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A:\Workspace\poc-fintech-playwright\data\"/>
    </mc:Choice>
  </mc:AlternateContent>
  <xr:revisionPtr revIDLastSave="0" documentId="13_ncr:1_{07C54317-8DC1-474F-A2E7-1D9F9D891799}" xr6:coauthVersionLast="47" xr6:coauthVersionMax="47" xr10:uidLastSave="{00000000-0000-0000-0000-000000000000}"/>
  <bookViews>
    <workbookView xWindow="-120" yWindow="-120" windowWidth="29040" windowHeight="15720" tabRatio="862" activeTab="1" xr2:uid="{00000000-000D-0000-FFFF-FFFF00000000}"/>
  </bookViews>
  <sheets>
    <sheet name="TBL_FATURA" sheetId="7" r:id="rId1"/>
    <sheet name="TBL_CENARIOS" sheetId="1" r:id="rId2"/>
    <sheet name="TBL_USUARIOS" sheetId="8" r:id="rId3"/>
    <sheet name="TBL_PIX" sheetId="5" r:id="rId4"/>
    <sheet name="TBL_USUARIOS_SECUNDARIOS" sheetId="9" r:id="rId5"/>
    <sheet name="tbl_de_massas" sheetId="15" r:id="rId6"/>
    <sheet name="TBL_CADASTRO" sheetId="2" state="hidden" r:id="rId7"/>
  </sheets>
  <definedNames>
    <definedName name="DadosExternos_1" localSheetId="5" hidden="1">tbl_de_massas!$A$1:$AO$1951</definedName>
    <definedName name="TBL_CADASTRO" localSheetId="6">#REF!</definedName>
    <definedName name="TBL_CADASTRO">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ecs2="http://schemas.microsoft.com/office/spreadsheetml/2025/externalCodeService2" uri="{197E6ECD-B69A-414C-8033-1280256DF6DC}">
      <xlecs2:externalCodeServiceImageAsInput maxWidth="640" maxHeight="480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A5E418-DD12-420D-91D4-1F35E96B510A}" keepAlive="1" name="Consulta - tbl_de_massas" description="Conexão com a consulta 'tbl_de_massas' na pasta de trabalho." type="5" refreshedVersion="8" background="1" saveData="1">
    <dbPr connection="Provider=Microsoft.Mashup.OleDb.1;Data Source=$Workbook$;Location=tbl_de_massas;Extended Properties=&quot;&quot;" command="SELECT * FROM [tbl_de_massas]"/>
  </connection>
</connections>
</file>

<file path=xl/sharedStrings.xml><?xml version="1.0" encoding="utf-8"?>
<sst xmlns="http://schemas.openxmlformats.org/spreadsheetml/2006/main" count="36342" uniqueCount="9733">
  <si>
    <t>SEQ</t>
  </si>
  <si>
    <t>ID_CENARIO</t>
  </si>
  <si>
    <t>NOME</t>
  </si>
  <si>
    <t>FEATURE</t>
  </si>
  <si>
    <t>ID_MASSA</t>
  </si>
  <si>
    <t>CPF</t>
  </si>
  <si>
    <t>SENHA</t>
  </si>
  <si>
    <t>cadastrar</t>
  </si>
  <si>
    <t>Criar um novo usuário e validar login/perfil (CT00)</t>
  </si>
  <si>
    <t>usuario</t>
  </si>
  <si>
    <t>C_0025</t>
  </si>
  <si>
    <t>87533086465</t>
  </si>
  <si>
    <t>admin999</t>
  </si>
  <si>
    <t>CT01.2</t>
  </si>
  <si>
    <t>Fazer login como Admin</t>
  </si>
  <si>
    <t>0001</t>
  </si>
  <si>
    <t>CT01.3</t>
  </si>
  <si>
    <t>Fazer login como Cliente</t>
  </si>
  <si>
    <t>0002</t>
  </si>
  <si>
    <t>CT01.4</t>
  </si>
  <si>
    <t>Validar campo obrigatório</t>
  </si>
  <si>
    <t>0003</t>
  </si>
  <si>
    <t>CT01.5</t>
  </si>
  <si>
    <t>Validar campo obrigatório senha</t>
  </si>
  <si>
    <t>0004</t>
  </si>
  <si>
    <t>CT01.6</t>
  </si>
  <si>
    <t>Validar campo obrigatório CPF</t>
  </si>
  <si>
    <t>0005</t>
  </si>
  <si>
    <t>CT03.1</t>
  </si>
  <si>
    <t>0070</t>
  </si>
  <si>
    <t>NOME_COMPLETO</t>
  </si>
  <si>
    <t>NOME_USUARIO</t>
  </si>
  <si>
    <t>EMAIL</t>
  </si>
  <si>
    <t>TELEFONE</t>
  </si>
  <si>
    <t>CEP</t>
  </si>
  <si>
    <t>RUA</t>
  </si>
  <si>
    <t>NUMERO</t>
  </si>
  <si>
    <t>BAIRRO</t>
  </si>
  <si>
    <t>CIDADE</t>
  </si>
  <si>
    <t>ESTADO</t>
  </si>
  <si>
    <t>PAIS</t>
  </si>
  <si>
    <t>DATA_NASCIMENTO</t>
  </si>
  <si>
    <t>BANDEIRA_CARTAO</t>
  </si>
  <si>
    <t>TIER_CARTAO</t>
  </si>
  <si>
    <t>DIA_VENCIMENTO</t>
  </si>
  <si>
    <t>NOME_IMPRESSO</t>
  </si>
  <si>
    <t>PLANO_CONTA</t>
  </si>
  <si>
    <t>CHAVE_PIX</t>
  </si>
  <si>
    <t>NOME_TUTOR</t>
  </si>
  <si>
    <t>CPF_TUTOR</t>
  </si>
  <si>
    <t>C_0001</t>
  </si>
  <si>
    <t>Heitor Martins</t>
  </si>
  <si>
    <t>heitor.martins</t>
  </si>
  <si>
    <t>martins.heitor@aol.com</t>
  </si>
  <si>
    <t>56420899325</t>
  </si>
  <si>
    <t>00891426</t>
  </si>
  <si>
    <t>Rodovia Albuquerque</t>
  </si>
  <si>
    <t>1437</t>
  </si>
  <si>
    <t>Merseyside</t>
  </si>
  <si>
    <t>Yasmin do Norte</t>
  </si>
  <si>
    <t>TO</t>
  </si>
  <si>
    <t>Brasil</t>
  </si>
  <si>
    <t>2005-01-24</t>
  </si>
  <si>
    <t>HIPERCARD</t>
  </si>
  <si>
    <t>PLATINUM</t>
  </si>
  <si>
    <t>HEITOR MARTINS</t>
  </si>
  <si>
    <t>PRO</t>
  </si>
  <si>
    <t/>
  </si>
  <si>
    <t>C_0002</t>
  </si>
  <si>
    <t>Dalila Pereira</t>
  </si>
  <si>
    <t>dalila.pereira</t>
  </si>
  <si>
    <t>pereira.dalila@ig.com.br</t>
  </si>
  <si>
    <t>34830475226</t>
  </si>
  <si>
    <t>554698529997</t>
  </si>
  <si>
    <t>98299314</t>
  </si>
  <si>
    <t>Avenida Elisa</t>
  </si>
  <si>
    <t>154</t>
  </si>
  <si>
    <t>Clwyd</t>
  </si>
  <si>
    <t>Moraes do Descoberto</t>
  </si>
  <si>
    <t>MG</t>
  </si>
  <si>
    <t>1981-11-13</t>
  </si>
  <si>
    <t>MASTERCARD</t>
  </si>
  <si>
    <t>GOLD</t>
  </si>
  <si>
    <t>DALILA PEREIRA</t>
  </si>
  <si>
    <t>FREE</t>
  </si>
  <si>
    <t>C_0003</t>
  </si>
  <si>
    <t>Pedro Nogueira</t>
  </si>
  <si>
    <t>pedro.nogueira</t>
  </si>
  <si>
    <t>nogueira.pedro@gmail.com</t>
  </si>
  <si>
    <t>00273860585</t>
  </si>
  <si>
    <t>0790748120</t>
  </si>
  <si>
    <t>58763017</t>
  </si>
  <si>
    <t>Rua Carvalho</t>
  </si>
  <si>
    <t>3975</t>
  </si>
  <si>
    <t>Borders</t>
  </si>
  <si>
    <t>Rafael do Norte</t>
  </si>
  <si>
    <t>RS</t>
  </si>
  <si>
    <t>1992-09-22</t>
  </si>
  <si>
    <t>BLACK</t>
  </si>
  <si>
    <t>PEDRO NOGUEIRA</t>
  </si>
  <si>
    <t>C_0004</t>
  </si>
  <si>
    <t>Fabricio Braga</t>
  </si>
  <si>
    <t>fabricio.braga</t>
  </si>
  <si>
    <t>braga.fabricio@hotmail.com</t>
  </si>
  <si>
    <t>37044231578</t>
  </si>
  <si>
    <t>8630352043</t>
  </si>
  <si>
    <t>39563022</t>
  </si>
  <si>
    <t>Rua Braga</t>
  </si>
  <si>
    <t>9008</t>
  </si>
  <si>
    <t>Shropshire</t>
  </si>
  <si>
    <t>Marcos de Nossa Senhora</t>
  </si>
  <si>
    <t>PA</t>
  </si>
  <si>
    <t>1971-12-15</t>
  </si>
  <si>
    <t>AMEX</t>
  </si>
  <si>
    <t>FABRICIO BRAGA</t>
  </si>
  <si>
    <t>C_0005</t>
  </si>
  <si>
    <t>Washington Oliveira</t>
  </si>
  <si>
    <t>washington.oliveira</t>
  </si>
  <si>
    <t>oliveira.washington@fastmail.com</t>
  </si>
  <si>
    <t>95860922590</t>
  </si>
  <si>
    <t>552481499689</t>
  </si>
  <si>
    <t>26486797</t>
  </si>
  <si>
    <t>Marginal Liz</t>
  </si>
  <si>
    <t>27740</t>
  </si>
  <si>
    <t>Lancashire</t>
  </si>
  <si>
    <t>Moraes do Sul</t>
  </si>
  <si>
    <t>AP</t>
  </si>
  <si>
    <t>1967-03-04</t>
  </si>
  <si>
    <t>WASHINGTON OLIVEIRA</t>
  </si>
  <si>
    <t>C_0006</t>
  </si>
  <si>
    <t>Julia Reis</t>
  </si>
  <si>
    <t>julia.reis</t>
  </si>
  <si>
    <t>reis.julia@yahoo.com</t>
  </si>
  <si>
    <t>53043536762</t>
  </si>
  <si>
    <t>6784601710</t>
  </si>
  <si>
    <t>54404076</t>
  </si>
  <si>
    <t>Travessa Barros</t>
  </si>
  <si>
    <t>2409</t>
  </si>
  <si>
    <t>Rutland</t>
  </si>
  <si>
    <t>Pereira do Sul</t>
  </si>
  <si>
    <t>PI</t>
  </si>
  <si>
    <t>1980-08-08</t>
  </si>
  <si>
    <t>VISA</t>
  </si>
  <si>
    <t>BRONZE</t>
  </si>
  <si>
    <t>JULIA REIS</t>
  </si>
  <si>
    <t>C_0007</t>
  </si>
  <si>
    <t>Morgana Macedo</t>
  </si>
  <si>
    <t>morgana.macedo</t>
  </si>
  <si>
    <t>macedo.morgana@bol.com.br</t>
  </si>
  <si>
    <t>05043431814</t>
  </si>
  <si>
    <t>559327478560</t>
  </si>
  <si>
    <t>52723950</t>
  </si>
  <si>
    <t>Alameda Reis</t>
  </si>
  <si>
    <t>3038</t>
  </si>
  <si>
    <t>County Fermanagh</t>
  </si>
  <si>
    <t>Lara de Nossa Senhora</t>
  </si>
  <si>
    <t>RO</t>
  </si>
  <si>
    <t>1987-03-28</t>
  </si>
  <si>
    <t>MORGANA MACEDO</t>
  </si>
  <si>
    <t>VIP_BLACK</t>
  </si>
  <si>
    <t>C_0008</t>
  </si>
  <si>
    <t>Tertuliano Silva</t>
  </si>
  <si>
    <t>tertuliano.silva</t>
  </si>
  <si>
    <t>silva.tertuliano@yahoo.com</t>
  </si>
  <si>
    <t>95962548205</t>
  </si>
  <si>
    <t>557697696713</t>
  </si>
  <si>
    <t>34993611</t>
  </si>
  <si>
    <t>Marginal Xavier</t>
  </si>
  <si>
    <t>369</t>
  </si>
  <si>
    <t>Lincolnshire</t>
  </si>
  <si>
    <t>Tertuliano de Nossa Senhora</t>
  </si>
  <si>
    <t>SE</t>
  </si>
  <si>
    <t>1985-03-27</t>
  </si>
  <si>
    <t>ELO</t>
  </si>
  <si>
    <t>TERTULIANO SILVA</t>
  </si>
  <si>
    <t>C_0009</t>
  </si>
  <si>
    <t>Alicia Moraes</t>
  </si>
  <si>
    <t>alicia.moraes</t>
  </si>
  <si>
    <t>moraes.alicia@live.com</t>
  </si>
  <si>
    <t>17763275197</t>
  </si>
  <si>
    <t>0519414664</t>
  </si>
  <si>
    <t>37604425</t>
  </si>
  <si>
    <t>Alameda Silva</t>
  </si>
  <si>
    <t>7647</t>
  </si>
  <si>
    <t>Wiltshire</t>
  </si>
  <si>
    <t>Costa do Sul</t>
  </si>
  <si>
    <t>AM</t>
  </si>
  <si>
    <t>1981-04-18</t>
  </si>
  <si>
    <t>ALICIA MORAES</t>
  </si>
  <si>
    <t>C_0010</t>
  </si>
  <si>
    <t>Sarah Reis</t>
  </si>
  <si>
    <t>sarah.reis</t>
  </si>
  <si>
    <t>reis.sarah@inbox.com</t>
  </si>
  <si>
    <t>38839254897</t>
  </si>
  <si>
    <t>554970824925</t>
  </si>
  <si>
    <t>32799143</t>
  </si>
  <si>
    <t>Rodovia Macedo</t>
  </si>
  <si>
    <t>278</t>
  </si>
  <si>
    <t>Batista do Norte</t>
  </si>
  <si>
    <t>CE</t>
  </si>
  <si>
    <t>1972-12-10</t>
  </si>
  <si>
    <t>SARAH REIS</t>
  </si>
  <si>
    <t>C_0011</t>
  </si>
  <si>
    <t>Marcelo Pereira</t>
  </si>
  <si>
    <t>marcelo.pereira</t>
  </si>
  <si>
    <t>pereira.marcelo@protonmail.com</t>
  </si>
  <si>
    <t>52337380742</t>
  </si>
  <si>
    <t>3914372642</t>
  </si>
  <si>
    <t>62858541</t>
  </si>
  <si>
    <t>Marginal Oliveira</t>
  </si>
  <si>
    <t>17383</t>
  </si>
  <si>
    <t>Powys</t>
  </si>
  <si>
    <t>Braga de Nossa Senhora</t>
  </si>
  <si>
    <t>GO</t>
  </si>
  <si>
    <t>2001-02-26</t>
  </si>
  <si>
    <t>MARCELO PEREIRA</t>
  </si>
  <si>
    <t>C_0012</t>
  </si>
  <si>
    <t>Salvador Batista</t>
  </si>
  <si>
    <t>salvador.batista</t>
  </si>
  <si>
    <t>batista.salvador@me.com</t>
  </si>
  <si>
    <t>88816631805</t>
  </si>
  <si>
    <t>9870437726</t>
  </si>
  <si>
    <t>82292891</t>
  </si>
  <si>
    <t>Rua Reis</t>
  </si>
  <si>
    <t>31995</t>
  </si>
  <si>
    <t>Johnson County</t>
  </si>
  <si>
    <t>Noah do Descoberto</t>
  </si>
  <si>
    <t>RJ</t>
  </si>
  <si>
    <t>2008-08-10</t>
  </si>
  <si>
    <t>SALVADOR BATISTA</t>
  </si>
  <si>
    <t>C_0013</t>
  </si>
  <si>
    <t>Nubia Santos</t>
  </si>
  <si>
    <t>nubia.santos</t>
  </si>
  <si>
    <t>santos.nubia@ig.com.br</t>
  </si>
  <si>
    <t>04828847626</t>
  </si>
  <si>
    <t>6642266225</t>
  </si>
  <si>
    <t>66885427</t>
  </si>
  <si>
    <t>Alameda Pereira</t>
  </si>
  <si>
    <t>23960</t>
  </si>
  <si>
    <t>Calhoun County</t>
  </si>
  <si>
    <t>Salvador do Descoberto</t>
  </si>
  <si>
    <t>MA</t>
  </si>
  <si>
    <t>1996-06-02</t>
  </si>
  <si>
    <t>NUBIA SANTOS</t>
  </si>
  <si>
    <t>C_0014</t>
  </si>
  <si>
    <t>Alicia Batista</t>
  </si>
  <si>
    <t>alicia.batista</t>
  </si>
  <si>
    <t>batista.alicia@yandex.com</t>
  </si>
  <si>
    <t>41998978958</t>
  </si>
  <si>
    <t>4064237944</t>
  </si>
  <si>
    <t>25434957</t>
  </si>
  <si>
    <t>Rua Franco</t>
  </si>
  <si>
    <t>3572</t>
  </si>
  <si>
    <t>West Yorkshire</t>
  </si>
  <si>
    <t>Costa do Norte</t>
  </si>
  <si>
    <t>2008-03-15</t>
  </si>
  <si>
    <t>ALICIA BATISTA</t>
  </si>
  <si>
    <t>C_0015</t>
  </si>
  <si>
    <t>Isadora Moraes</t>
  </si>
  <si>
    <t>isadora.moraes</t>
  </si>
  <si>
    <t>moraes.isadora@outlook.com</t>
  </si>
  <si>
    <t>74459209438</t>
  </si>
  <si>
    <t>55576172424</t>
  </si>
  <si>
    <t>45740060</t>
  </si>
  <si>
    <t>Travessa Paula</t>
  </si>
  <si>
    <t>1997</t>
  </si>
  <si>
    <t>Nataniel de Nossa Senhora</t>
  </si>
  <si>
    <t>PR</t>
  </si>
  <si>
    <t>1989-08-01</t>
  </si>
  <si>
    <t>ISADORA MORAES</t>
  </si>
  <si>
    <t>C_0016</t>
  </si>
  <si>
    <t>Marcela Franco</t>
  </si>
  <si>
    <t>marcela.franco</t>
  </si>
  <si>
    <t>franco.marcela@hotmail.com</t>
  </si>
  <si>
    <t>84291097735</t>
  </si>
  <si>
    <t>29204414704</t>
  </si>
  <si>
    <t>35228666</t>
  </si>
  <si>
    <t>Alameda Batista</t>
  </si>
  <si>
    <t>14798</t>
  </si>
  <si>
    <t>Grampian</t>
  </si>
  <si>
    <t>Batista de Nossa Senhora</t>
  </si>
  <si>
    <t>1989-01-31</t>
  </si>
  <si>
    <t>MARCELA FRANCO</t>
  </si>
  <si>
    <t>C_0017</t>
  </si>
  <si>
    <t>Elisa Silva</t>
  </si>
  <si>
    <t>elisa.silva</t>
  </si>
  <si>
    <t>silva.elisa@me.com</t>
  </si>
  <si>
    <t>08774055496</t>
  </si>
  <si>
    <t>553491982350</t>
  </si>
  <si>
    <t>52132899</t>
  </si>
  <si>
    <t>Rodovia Tertuliano</t>
  </si>
  <si>
    <t>70093</t>
  </si>
  <si>
    <t>Carroll County</t>
  </si>
  <si>
    <t>Maria Alice do Sul</t>
  </si>
  <si>
    <t>1975-10-08</t>
  </si>
  <si>
    <t>ELISA SILVA</t>
  </si>
  <si>
    <t>C_0018</t>
  </si>
  <si>
    <t>Maite Melo</t>
  </si>
  <si>
    <t>maite.melo</t>
  </si>
  <si>
    <t>melo.maite@protonmail.com</t>
  </si>
  <si>
    <t>87753560905</t>
  </si>
  <si>
    <t>557175134774</t>
  </si>
  <si>
    <t>71448119</t>
  </si>
  <si>
    <t>Alameda Moreira</t>
  </si>
  <si>
    <t>66534</t>
  </si>
  <si>
    <t>Suffolk</t>
  </si>
  <si>
    <t>Moraes do Norte</t>
  </si>
  <si>
    <t>1967-06-26</t>
  </si>
  <si>
    <t>MAITE MELO</t>
  </si>
  <si>
    <t>C_0019</t>
  </si>
  <si>
    <t>Marcos Xavier</t>
  </si>
  <si>
    <t>marcos.xavier</t>
  </si>
  <si>
    <t>xavier.marcos@uol.com.br</t>
  </si>
  <si>
    <t>66728984097</t>
  </si>
  <si>
    <t>550192509755</t>
  </si>
  <si>
    <t>03056180</t>
  </si>
  <si>
    <t>Marginal Carla</t>
  </si>
  <si>
    <t>84443</t>
  </si>
  <si>
    <t>Surrey</t>
  </si>
  <si>
    <t>Ana Clara de Nossa Senhora</t>
  </si>
  <si>
    <t>DF</t>
  </si>
  <si>
    <t>1971-08-01</t>
  </si>
  <si>
    <t>MARCOS XAVIER</t>
  </si>
  <si>
    <t>C_0020</t>
  </si>
  <si>
    <t>Livia Reis</t>
  </si>
  <si>
    <t>livia.reis</t>
  </si>
  <si>
    <t>reis.livia@mail.com</t>
  </si>
  <si>
    <t>77962452706</t>
  </si>
  <si>
    <t>28151439687</t>
  </si>
  <si>
    <t>21793768</t>
  </si>
  <si>
    <t>Rua Souza</t>
  </si>
  <si>
    <t>69843</t>
  </si>
  <si>
    <t>North Yorkshire</t>
  </si>
  <si>
    <t>Batista do Descoberto</t>
  </si>
  <si>
    <t>1985-04-16</t>
  </si>
  <si>
    <t>LIVIA REIS</t>
  </si>
  <si>
    <t>C_0021</t>
  </si>
  <si>
    <t>Natalia Batista</t>
  </si>
  <si>
    <t>natalia.batista</t>
  </si>
  <si>
    <t>batista.natalia@inbox.com</t>
  </si>
  <si>
    <t>22292775450</t>
  </si>
  <si>
    <t>7898701076</t>
  </si>
  <si>
    <t>68679493</t>
  </si>
  <si>
    <t>Marginal Moreira</t>
  </si>
  <si>
    <t>7370</t>
  </si>
  <si>
    <t>Cornwall</t>
  </si>
  <si>
    <t>Murilo de Nossa Senhora</t>
  </si>
  <si>
    <t>BA</t>
  </si>
  <si>
    <t>1976-12-23</t>
  </si>
  <si>
    <t>NATALIA BATISTA</t>
  </si>
  <si>
    <t>C_0022</t>
  </si>
  <si>
    <t>Vitoria Souza</t>
  </si>
  <si>
    <t>vitoria.souza</t>
  </si>
  <si>
    <t>souza.vitoria@bol.com.br</t>
  </si>
  <si>
    <t>91516343689</t>
  </si>
  <si>
    <t>21662579695</t>
  </si>
  <si>
    <t>55410691</t>
  </si>
  <si>
    <t>Rodovia Bruna</t>
  </si>
  <si>
    <t>784</t>
  </si>
  <si>
    <t>West Glamorgan</t>
  </si>
  <si>
    <t>Pereira do Descoberto</t>
  </si>
  <si>
    <t>PE</t>
  </si>
  <si>
    <t>1980-05-18</t>
  </si>
  <si>
    <t>VITORIA SOUZA</t>
  </si>
  <si>
    <t>C_0023</t>
  </si>
  <si>
    <t>Daniel Moraes</t>
  </si>
  <si>
    <t>daniel.moraes</t>
  </si>
  <si>
    <t>moraes.daniel@yahoo.com</t>
  </si>
  <si>
    <t>19423379818</t>
  </si>
  <si>
    <t>50354282331</t>
  </si>
  <si>
    <t>79383469</t>
  </si>
  <si>
    <t>Travessa Emanuelly</t>
  </si>
  <si>
    <t>42604</t>
  </si>
  <si>
    <t>County Londonderry</t>
  </si>
  <si>
    <t>Davi de Nossa Senhora</t>
  </si>
  <si>
    <t>2005-11-21</t>
  </si>
  <si>
    <t>DANIEL MORAES</t>
  </si>
  <si>
    <t>C_0024</t>
  </si>
  <si>
    <t>Lorenzo Nogueira</t>
  </si>
  <si>
    <t>lorenzo.nogueira</t>
  </si>
  <si>
    <t>nogueira.lorenzo@protonmail.com</t>
  </si>
  <si>
    <t>16174948285</t>
  </si>
  <si>
    <t>557960386071</t>
  </si>
  <si>
    <t>38288825</t>
  </si>
  <si>
    <t>Rua Julio Cesar</t>
  </si>
  <si>
    <t>618</t>
  </si>
  <si>
    <t>Jackson County</t>
  </si>
  <si>
    <t>Oliveira de Nossa Senhora</t>
  </si>
  <si>
    <t>PB</t>
  </si>
  <si>
    <t>1997-03-11</t>
  </si>
  <si>
    <t>LORENZO NOGUEIRA</t>
  </si>
  <si>
    <t>Rafael Saraiva</t>
  </si>
  <si>
    <t>rafael.saraiva</t>
  </si>
  <si>
    <t>saraiva.rafael@live.com</t>
  </si>
  <si>
    <t>26231878783</t>
  </si>
  <si>
    <t>54434742802</t>
  </si>
  <si>
    <t>96746965</t>
  </si>
  <si>
    <t>Alameda Ofelia</t>
  </si>
  <si>
    <t>1825</t>
  </si>
  <si>
    <t>Somerset</t>
  </si>
  <si>
    <t>Santos do Norte</t>
  </si>
  <si>
    <t>1973-02-21</t>
  </si>
  <si>
    <t>RAFAEL SARAIVA</t>
  </si>
  <si>
    <t>C_0026</t>
  </si>
  <si>
    <t>silva.elisa@inbox.com</t>
  </si>
  <si>
    <t>24048030850</t>
  </si>
  <si>
    <t>556973867510</t>
  </si>
  <si>
    <t>38869922</t>
  </si>
  <si>
    <t>Avenida Costa</t>
  </si>
  <si>
    <t>572</t>
  </si>
  <si>
    <t>Rebeca do Norte</t>
  </si>
  <si>
    <t>AC</t>
  </si>
  <si>
    <t>1974-05-19</t>
  </si>
  <si>
    <t>C_0027</t>
  </si>
  <si>
    <t>Giovanna Moraes</t>
  </si>
  <si>
    <t>giovanna.moraes</t>
  </si>
  <si>
    <t>moraes.giovanna@gmail.com</t>
  </si>
  <si>
    <t>45877859897</t>
  </si>
  <si>
    <t>4361296646</t>
  </si>
  <si>
    <t>27929047</t>
  </si>
  <si>
    <t>Avenida Batista</t>
  </si>
  <si>
    <t>2267</t>
  </si>
  <si>
    <t>Worcestershire</t>
  </si>
  <si>
    <t>Xavier de Nossa Senhora</t>
  </si>
  <si>
    <t>1981-07-27</t>
  </si>
  <si>
    <t>GIOVANNA MORAES</t>
  </si>
  <si>
    <t>C_0028</t>
  </si>
  <si>
    <t>Vitor Braga</t>
  </si>
  <si>
    <t>vitor.braga</t>
  </si>
  <si>
    <t>braga.vitor@live.com</t>
  </si>
  <si>
    <t>32436631727</t>
  </si>
  <si>
    <t>559288131582</t>
  </si>
  <si>
    <t>20084266</t>
  </si>
  <si>
    <t>Avenida Maite</t>
  </si>
  <si>
    <t>81322</t>
  </si>
  <si>
    <t>Albuquerque do Sul</t>
  </si>
  <si>
    <t>SP</t>
  </si>
  <si>
    <t>1998-10-11</t>
  </si>
  <si>
    <t>VITOR BRAGA</t>
  </si>
  <si>
    <t>C_0029</t>
  </si>
  <si>
    <t>Frederico Braga</t>
  </si>
  <si>
    <t>frederico.braga</t>
  </si>
  <si>
    <t>braga.frederico@aol.com</t>
  </si>
  <si>
    <t>42660591083</t>
  </si>
  <si>
    <t>88033536400</t>
  </si>
  <si>
    <t>11001069</t>
  </si>
  <si>
    <t>Avenida Manuela</t>
  </si>
  <si>
    <t>3915</t>
  </si>
  <si>
    <t>Dorset</t>
  </si>
  <si>
    <t>Miguel do Sul</t>
  </si>
  <si>
    <t>MS</t>
  </si>
  <si>
    <t>1986-10-24</t>
  </si>
  <si>
    <t>FREDERICO BRAGA</t>
  </si>
  <si>
    <t>C_0030</t>
  </si>
  <si>
    <t>Maria Clara Santos</t>
  </si>
  <si>
    <t>mariaclara.santos</t>
  </si>
  <si>
    <t>santos.mariaclara@icloud.com</t>
  </si>
  <si>
    <t>06183794953</t>
  </si>
  <si>
    <t>556028931494</t>
  </si>
  <si>
    <t>66464892</t>
  </si>
  <si>
    <t>Alameda Moraes</t>
  </si>
  <si>
    <t>366</t>
  </si>
  <si>
    <t>Heloisa do Norte</t>
  </si>
  <si>
    <t>1989-01-17</t>
  </si>
  <si>
    <t>MARIA CLARA SANTOS</t>
  </si>
  <si>
    <t>C_0031</t>
  </si>
  <si>
    <t>Maria Cecilia Pereira</t>
  </si>
  <si>
    <t>mariacecilia.pereira</t>
  </si>
  <si>
    <t>pereira.mariacecilia@outlook.com</t>
  </si>
  <si>
    <t>59411860109</t>
  </si>
  <si>
    <t>2084655440</t>
  </si>
  <si>
    <t>63062536</t>
  </si>
  <si>
    <t>Rodovia Eduardo</t>
  </si>
  <si>
    <t>460</t>
  </si>
  <si>
    <t>Franklin County</t>
  </si>
  <si>
    <t>Macedo do Sul</t>
  </si>
  <si>
    <t>1968-11-27</t>
  </si>
  <si>
    <t>MARIA CECILIA PEREIRA</t>
  </si>
  <si>
    <t>C_0032</t>
  </si>
  <si>
    <t>Beatriz Carvalho</t>
  </si>
  <si>
    <t>beatriz.carvalho</t>
  </si>
  <si>
    <t>carvalho.beatriz@yandex.com</t>
  </si>
  <si>
    <t>57582679709</t>
  </si>
  <si>
    <t>0155978166</t>
  </si>
  <si>
    <t>01902451</t>
  </si>
  <si>
    <t>Rua Saraiva</t>
  </si>
  <si>
    <t>884</t>
  </si>
  <si>
    <t>Moreira do Descoberto</t>
  </si>
  <si>
    <t>1999-06-09</t>
  </si>
  <si>
    <t>BEATRIZ CARVALHO</t>
  </si>
  <si>
    <t>C_0033</t>
  </si>
  <si>
    <t>Maria Luiza Melo</t>
  </si>
  <si>
    <t>marialuiza.melo</t>
  </si>
  <si>
    <t>melo.marialuiza@bol.com.br</t>
  </si>
  <si>
    <t>29382616403</t>
  </si>
  <si>
    <t>31369454536</t>
  </si>
  <si>
    <t>43355604</t>
  </si>
  <si>
    <t>Marginal Lorraine</t>
  </si>
  <si>
    <t>5171</t>
  </si>
  <si>
    <t>Tayside</t>
  </si>
  <si>
    <t>Fabricio do Descoberto</t>
  </si>
  <si>
    <t>1976-04-04</t>
  </si>
  <si>
    <t>MARIA LUIZA MELO</t>
  </si>
  <si>
    <t>C_0034</t>
  </si>
  <si>
    <t>Gustavo Barros</t>
  </si>
  <si>
    <t>gustavo.barros</t>
  </si>
  <si>
    <t>barros.gustavo@terra.com.br</t>
  </si>
  <si>
    <t>00724924906</t>
  </si>
  <si>
    <t>555858456862</t>
  </si>
  <si>
    <t>13642506</t>
  </si>
  <si>
    <t>Rodovia Antonio</t>
  </si>
  <si>
    <t>59339</t>
  </si>
  <si>
    <t>Cumbria</t>
  </si>
  <si>
    <t>Eloa do Norte</t>
  </si>
  <si>
    <t>RN</t>
  </si>
  <si>
    <t>1986-04-27</t>
  </si>
  <si>
    <t>GUSTAVO BARROS</t>
  </si>
  <si>
    <t>C_0035</t>
  </si>
  <si>
    <t>Maria Julia Barros</t>
  </si>
  <si>
    <t>mariajulia.barros</t>
  </si>
  <si>
    <t>barros.mariajulia@yandex.com</t>
  </si>
  <si>
    <t>57284832320</t>
  </si>
  <si>
    <t>9586061097</t>
  </si>
  <si>
    <t>52840179</t>
  </si>
  <si>
    <t>393</t>
  </si>
  <si>
    <t>Nottinghamshire</t>
  </si>
  <si>
    <t>Morgana do Descoberto</t>
  </si>
  <si>
    <t>1981-01-12</t>
  </si>
  <si>
    <t>MARIA JULIA BARROS</t>
  </si>
  <si>
    <t>C_0036</t>
  </si>
  <si>
    <t>Davi Lucca Franco</t>
  </si>
  <si>
    <t>davilucca.franco</t>
  </si>
  <si>
    <t>franco.davilucca@gmx.com</t>
  </si>
  <si>
    <t>51560770309</t>
  </si>
  <si>
    <t>551844217899</t>
  </si>
  <si>
    <t>78530521</t>
  </si>
  <si>
    <t>Alameda Albuquerque</t>
  </si>
  <si>
    <t>34472</t>
  </si>
  <si>
    <t>Hamilton County</t>
  </si>
  <si>
    <t>Martins do Sul</t>
  </si>
  <si>
    <t>1993-05-05</t>
  </si>
  <si>
    <t>DAVI LUCCA FRANCO</t>
  </si>
  <si>
    <t>C_0037</t>
  </si>
  <si>
    <t>Felicia Albuquerque</t>
  </si>
  <si>
    <t>felicia.albuquerque</t>
  </si>
  <si>
    <t>albuquerque.felicia@gmx.com</t>
  </si>
  <si>
    <t>00837240441</t>
  </si>
  <si>
    <t>559311408151</t>
  </si>
  <si>
    <t>54364944</t>
  </si>
  <si>
    <t>Rodovia Emanuel</t>
  </si>
  <si>
    <t>370</t>
  </si>
  <si>
    <t>Highlands and Islands</t>
  </si>
  <si>
    <t>Davi Lucca de Nossa Senhora</t>
  </si>
  <si>
    <t>2007-04-23</t>
  </si>
  <si>
    <t>FELICIA ALBUQUERQUE</t>
  </si>
  <si>
    <t>C_0038</t>
  </si>
  <si>
    <t>Maria Barros</t>
  </si>
  <si>
    <t>maria.barros</t>
  </si>
  <si>
    <t>barros.maria@protonmail.com</t>
  </si>
  <si>
    <t>72983191672</t>
  </si>
  <si>
    <t>0594264271</t>
  </si>
  <si>
    <t>63368992</t>
  </si>
  <si>
    <t>Avenida Caua</t>
  </si>
  <si>
    <t>6080</t>
  </si>
  <si>
    <t>Nubia do Sul</t>
  </si>
  <si>
    <t>1991-02-16</t>
  </si>
  <si>
    <t>MARIA BARROS</t>
  </si>
  <si>
    <t>C_0039</t>
  </si>
  <si>
    <t>Alice Braga</t>
  </si>
  <si>
    <t>alice.braga</t>
  </si>
  <si>
    <t>braga.alice@gmx.com</t>
  </si>
  <si>
    <t>64448809633</t>
  </si>
  <si>
    <t>557394088134</t>
  </si>
  <si>
    <t>05779618</t>
  </si>
  <si>
    <t>Avenida Pereira</t>
  </si>
  <si>
    <t>99402</t>
  </si>
  <si>
    <t>Souza do Sul</t>
  </si>
  <si>
    <t>RR</t>
  </si>
  <si>
    <t>1999-07-12</t>
  </si>
  <si>
    <t>ALICE BRAGA</t>
  </si>
  <si>
    <t>C_0040</t>
  </si>
  <si>
    <t>Ladislau Albuquerque</t>
  </si>
  <si>
    <t>ladislau.albuquerque</t>
  </si>
  <si>
    <t>albuquerque.ladislau@bol.com.br</t>
  </si>
  <si>
    <t>04908739870</t>
  </si>
  <si>
    <t>69620076494</t>
  </si>
  <si>
    <t>35738936</t>
  </si>
  <si>
    <t>Avenida Lorraine</t>
  </si>
  <si>
    <t>839</t>
  </si>
  <si>
    <t>Gwynedd County</t>
  </si>
  <si>
    <t>Julia do Norte</t>
  </si>
  <si>
    <t>1982-01-21</t>
  </si>
  <si>
    <t>LADISLAU ALBUQUERQUE</t>
  </si>
  <si>
    <t>C_0041</t>
  </si>
  <si>
    <t>Alicia Oliveira</t>
  </si>
  <si>
    <t>alicia.oliveira</t>
  </si>
  <si>
    <t>oliveira.alicia@hotmail.com</t>
  </si>
  <si>
    <t>94441788975</t>
  </si>
  <si>
    <t>0508316343</t>
  </si>
  <si>
    <t>78183199</t>
  </si>
  <si>
    <t>Marginal Carvalho</t>
  </si>
  <si>
    <t>1856</t>
  </si>
  <si>
    <t>Central</t>
  </si>
  <si>
    <t>Pereira do Norte</t>
  </si>
  <si>
    <t>1991-02-25</t>
  </si>
  <si>
    <t>10</t>
  </si>
  <si>
    <t>ALICIA OLIVEIRA</t>
  </si>
  <si>
    <t>15</t>
  </si>
  <si>
    <t>20</t>
  </si>
  <si>
    <t>0006</t>
  </si>
  <si>
    <t>0007</t>
  </si>
  <si>
    <t>25</t>
  </si>
  <si>
    <t>0008</t>
  </si>
  <si>
    <t>0010</t>
  </si>
  <si>
    <t>0009</t>
  </si>
  <si>
    <t>0011</t>
  </si>
  <si>
    <t>0012</t>
  </si>
  <si>
    <t>0013</t>
  </si>
  <si>
    <t>0014</t>
  </si>
  <si>
    <t>0025</t>
  </si>
  <si>
    <t>C_0042</t>
  </si>
  <si>
    <t>Matheus Batista</t>
  </si>
  <si>
    <t>matheus.batista</t>
  </si>
  <si>
    <t>batista.matheus@gmail.com</t>
  </si>
  <si>
    <t>14257085100</t>
  </si>
  <si>
    <t>62144365513</t>
  </si>
  <si>
    <t>54761461</t>
  </si>
  <si>
    <t>Avenida Celia</t>
  </si>
  <si>
    <t>81611</t>
  </si>
  <si>
    <t>Moraes de Nossa Senhora</t>
  </si>
  <si>
    <t>1967-09-28</t>
  </si>
  <si>
    <t>MATHEUS BATISTA</t>
  </si>
  <si>
    <t>C_0043</t>
  </si>
  <si>
    <t>Gubio Carvalho</t>
  </si>
  <si>
    <t>gubio.carvalho</t>
  </si>
  <si>
    <t>carvalho.gubio@protonmail.com</t>
  </si>
  <si>
    <t>92427439410</t>
  </si>
  <si>
    <t>5953840309</t>
  </si>
  <si>
    <t>76063443</t>
  </si>
  <si>
    <t>Avenida Ana Luiza</t>
  </si>
  <si>
    <t>28544</t>
  </si>
  <si>
    <t>South Glamorgan</t>
  </si>
  <si>
    <t>Antonio de Nossa Senhora</t>
  </si>
  <si>
    <t>1977-11-23</t>
  </si>
  <si>
    <t>GUBIO CARVALHO</t>
  </si>
  <si>
    <t>C_0044</t>
  </si>
  <si>
    <t>Enzo Xavier</t>
  </si>
  <si>
    <t>enzo.xavier</t>
  </si>
  <si>
    <t>xavier.enzo@protonmail.com</t>
  </si>
  <si>
    <t>79420820165</t>
  </si>
  <si>
    <t>99661364361</t>
  </si>
  <si>
    <t>33661834</t>
  </si>
  <si>
    <t>Avenida Reis</t>
  </si>
  <si>
    <t>49283</t>
  </si>
  <si>
    <t>Montgomery County</t>
  </si>
  <si>
    <t>AL</t>
  </si>
  <si>
    <t>1977-09-19</t>
  </si>
  <si>
    <t>ENZO XAVIER</t>
  </si>
  <si>
    <t>C_0045</t>
  </si>
  <si>
    <t>Gabriel Martins</t>
  </si>
  <si>
    <t>gabriel.martins</t>
  </si>
  <si>
    <t>martins.gabriel@inbox.com</t>
  </si>
  <si>
    <t>77046684804</t>
  </si>
  <si>
    <t>559040951629</t>
  </si>
  <si>
    <t>60126007</t>
  </si>
  <si>
    <t>Avenida Laura</t>
  </si>
  <si>
    <t>498</t>
  </si>
  <si>
    <t>Costa de Nossa Senhora</t>
  </si>
  <si>
    <t>1983-02-09</t>
  </si>
  <si>
    <t>GABRIEL MARTINS</t>
  </si>
  <si>
    <t>C_0046</t>
  </si>
  <si>
    <t>Maria Eduarda Costa</t>
  </si>
  <si>
    <t>mariaeduarda.costa</t>
  </si>
  <si>
    <t>costa.mariaeduarda@gmail.com</t>
  </si>
  <si>
    <t>39251184119</t>
  </si>
  <si>
    <t>552982950231</t>
  </si>
  <si>
    <t>85859411</t>
  </si>
  <si>
    <t>11865</t>
  </si>
  <si>
    <t>Madison County</t>
  </si>
  <si>
    <t>1986-03-12</t>
  </si>
  <si>
    <t>MARIA EDUARDA COSTA</t>
  </si>
  <si>
    <t>C_0047</t>
  </si>
  <si>
    <t>Gubio Pereira</t>
  </si>
  <si>
    <t>gubio.pereira</t>
  </si>
  <si>
    <t>pereira.gubio@aol.com</t>
  </si>
  <si>
    <t>96184038079</t>
  </si>
  <si>
    <t>75539627075</t>
  </si>
  <si>
    <t>53281468</t>
  </si>
  <si>
    <t>Avenida Franco</t>
  </si>
  <si>
    <t>891</t>
  </si>
  <si>
    <t>Maria Helena do Norte</t>
  </si>
  <si>
    <t>1976-12-08</t>
  </si>
  <si>
    <t>GUBIO PEREIRA</t>
  </si>
  <si>
    <t>C_0048</t>
  </si>
  <si>
    <t>Benicio Batista</t>
  </si>
  <si>
    <t>benicio.batista</t>
  </si>
  <si>
    <t>batista.benicio@uol.com.br</t>
  </si>
  <si>
    <t>68996520136</t>
  </si>
  <si>
    <t>3435638766</t>
  </si>
  <si>
    <t>65893615</t>
  </si>
  <si>
    <t>Rua Maria Cecilia</t>
  </si>
  <si>
    <t>66074</t>
  </si>
  <si>
    <t>Lothian</t>
  </si>
  <si>
    <t>Melo do Descoberto</t>
  </si>
  <si>
    <t>1977-04-16</t>
  </si>
  <si>
    <t>BENICIO BATISTA</t>
  </si>
  <si>
    <t>C_0049</t>
  </si>
  <si>
    <t>Igor Braga</t>
  </si>
  <si>
    <t>igor.braga</t>
  </si>
  <si>
    <t>braga.igor@yandex.com</t>
  </si>
  <si>
    <t>17420346089</t>
  </si>
  <si>
    <t>4785944347</t>
  </si>
  <si>
    <t>85201664</t>
  </si>
  <si>
    <t>Alameda Roberto</t>
  </si>
  <si>
    <t>697</t>
  </si>
  <si>
    <t>Mid Glamorgan</t>
  </si>
  <si>
    <t>Marcela do Descoberto</t>
  </si>
  <si>
    <t>1977-03-18</t>
  </si>
  <si>
    <t>IGOR BRAGA</t>
  </si>
  <si>
    <t>C_0050</t>
  </si>
  <si>
    <t>Eduarda Oliveira</t>
  </si>
  <si>
    <t>eduarda.oliveira</t>
  </si>
  <si>
    <t>oliveira.eduarda@gmail.com</t>
  </si>
  <si>
    <t>42201027366</t>
  </si>
  <si>
    <t>550343252881</t>
  </si>
  <si>
    <t>29387262</t>
  </si>
  <si>
    <t>Rodovia Ana Luiza</t>
  </si>
  <si>
    <t>2710</t>
  </si>
  <si>
    <t>Yango do Norte</t>
  </si>
  <si>
    <t>1975-03-23</t>
  </si>
  <si>
    <t>EDUARDA OLIVEIRA</t>
  </si>
  <si>
    <t>C_0051</t>
  </si>
  <si>
    <t>Nubia Franco</t>
  </si>
  <si>
    <t>nubia.franco</t>
  </si>
  <si>
    <t>franco.nubia@yandex.com</t>
  </si>
  <si>
    <t>54025952408</t>
  </si>
  <si>
    <t>5691563754</t>
  </si>
  <si>
    <t>67601677</t>
  </si>
  <si>
    <t>Avenida Helio</t>
  </si>
  <si>
    <t>7681</t>
  </si>
  <si>
    <t>Cleveland</t>
  </si>
  <si>
    <t>Dalila do Sul</t>
  </si>
  <si>
    <t>1989-05-04</t>
  </si>
  <si>
    <t>NUBIA FRANCO</t>
  </si>
  <si>
    <t>C_0052</t>
  </si>
  <si>
    <t>Morgana Nogueira</t>
  </si>
  <si>
    <t>morgana.nogueira</t>
  </si>
  <si>
    <t>nogueira.morgana@gmail.com</t>
  </si>
  <si>
    <t>09859435138</t>
  </si>
  <si>
    <t>9060970612</t>
  </si>
  <si>
    <t>25595631</t>
  </si>
  <si>
    <t>Marginal Saraiva</t>
  </si>
  <si>
    <t>2617</t>
  </si>
  <si>
    <t>Rafael de Nossa Senhora</t>
  </si>
  <si>
    <t>1998-03-31</t>
  </si>
  <si>
    <t>MORGANA NOGUEIRA</t>
  </si>
  <si>
    <t>C_0053</t>
  </si>
  <si>
    <t>Nicolas Martins</t>
  </si>
  <si>
    <t>nicolas.martins</t>
  </si>
  <si>
    <t>martins.nicolas@ig.com.br</t>
  </si>
  <si>
    <t>91243590173</t>
  </si>
  <si>
    <t>61588000685</t>
  </si>
  <si>
    <t>13967754</t>
  </si>
  <si>
    <t>Travessa Isabela</t>
  </si>
  <si>
    <t>546</t>
  </si>
  <si>
    <t>Lawrence County</t>
  </si>
  <si>
    <t>2005-03-29</t>
  </si>
  <si>
    <t>NICOLAS MARTINS</t>
  </si>
  <si>
    <t>C_0054</t>
  </si>
  <si>
    <t>Alice Silva</t>
  </si>
  <si>
    <t>alice.silva</t>
  </si>
  <si>
    <t>silva.alice@yandex.com</t>
  </si>
  <si>
    <t>18007282807</t>
  </si>
  <si>
    <t>556892636510</t>
  </si>
  <si>
    <t>75996339</t>
  </si>
  <si>
    <t>Avenida Macedo</t>
  </si>
  <si>
    <t>4026</t>
  </si>
  <si>
    <t>Xavier do Descoberto</t>
  </si>
  <si>
    <t>1974-08-04</t>
  </si>
  <si>
    <t>ALICE SILVA</t>
  </si>
  <si>
    <t>C_0055</t>
  </si>
  <si>
    <t>Yasmin Martins</t>
  </si>
  <si>
    <t>yasmin.martins</t>
  </si>
  <si>
    <t>martins.yasmin@live.com</t>
  </si>
  <si>
    <t>64802577400</t>
  </si>
  <si>
    <t>59408724550</t>
  </si>
  <si>
    <t>65204362</t>
  </si>
  <si>
    <t>Rodovia Sirineu</t>
  </si>
  <si>
    <t>31041</t>
  </si>
  <si>
    <t>Monroe County</t>
  </si>
  <si>
    <t>Albuquerque do Descoberto</t>
  </si>
  <si>
    <t>MT</t>
  </si>
  <si>
    <t>2007-12-03</t>
  </si>
  <si>
    <t>YASMIN MARTINS</t>
  </si>
  <si>
    <t>C_0056</t>
  </si>
  <si>
    <t>Yango Moreira</t>
  </si>
  <si>
    <t>yango.moreira</t>
  </si>
  <si>
    <t>moreira.yango@yandex.com</t>
  </si>
  <si>
    <t>01539632474</t>
  </si>
  <si>
    <t>554613226409</t>
  </si>
  <si>
    <t>06601304</t>
  </si>
  <si>
    <t>Travessa Eloa</t>
  </si>
  <si>
    <t>87793</t>
  </si>
  <si>
    <t>Fayette County</t>
  </si>
  <si>
    <t>Rafaela do Descoberto</t>
  </si>
  <si>
    <t>1994-05-05</t>
  </si>
  <si>
    <t>YANGO MOREIRA</t>
  </si>
  <si>
    <t>C_0057</t>
  </si>
  <si>
    <t>Maria Alice Franco</t>
  </si>
  <si>
    <t>mariaalice.franco</t>
  </si>
  <si>
    <t>franco.mariaalice@live.com</t>
  </si>
  <si>
    <t>41373956755</t>
  </si>
  <si>
    <t>43212966458</t>
  </si>
  <si>
    <t>85476948</t>
  </si>
  <si>
    <t>Rodovia Pereira</t>
  </si>
  <si>
    <t>36598</t>
  </si>
  <si>
    <t>Washington County</t>
  </si>
  <si>
    <t>Albuquerque do Norte</t>
  </si>
  <si>
    <t>1978-03-02</t>
  </si>
  <si>
    <t>MARIA ALICE FRANCO</t>
  </si>
  <si>
    <t>C_0058</t>
  </si>
  <si>
    <t>Eloa Santos</t>
  </si>
  <si>
    <t>eloa.santos</t>
  </si>
  <si>
    <t>santos.eloa@msn.com</t>
  </si>
  <si>
    <t>35232917633</t>
  </si>
  <si>
    <t>5014249359</t>
  </si>
  <si>
    <t>38725846</t>
  </si>
  <si>
    <t>80940</t>
  </si>
  <si>
    <t>Grant County</t>
  </si>
  <si>
    <t>Barros do Norte</t>
  </si>
  <si>
    <t>2001-01-27</t>
  </si>
  <si>
    <t>ELOA SANTOS</t>
  </si>
  <si>
    <t>C_0059</t>
  </si>
  <si>
    <t>Kleber Albuquerque</t>
  </si>
  <si>
    <t>kleber.albuquerque</t>
  </si>
  <si>
    <t>albuquerque.kleber@mail.com</t>
  </si>
  <si>
    <t>75935241838</t>
  </si>
  <si>
    <t>559526724663</t>
  </si>
  <si>
    <t>33089985</t>
  </si>
  <si>
    <t>Travessa Santos</t>
  </si>
  <si>
    <t>886</t>
  </si>
  <si>
    <t>Strathclyde</t>
  </si>
  <si>
    <t>Heloisa de Nossa Senhora</t>
  </si>
  <si>
    <t>2006-09-16</t>
  </si>
  <si>
    <t>KLEBER ALBUQUERQUE</t>
  </si>
  <si>
    <t>C_0060</t>
  </si>
  <si>
    <t>Larissa Braga</t>
  </si>
  <si>
    <t>larissa.braga</t>
  </si>
  <si>
    <t>braga.larissa@outlook.com</t>
  </si>
  <si>
    <t>03009484763</t>
  </si>
  <si>
    <t>12811113776</t>
  </si>
  <si>
    <t>39038784</t>
  </si>
  <si>
    <t>Rodovia Beatriz</t>
  </si>
  <si>
    <t>8392</t>
  </si>
  <si>
    <t>Logan County</t>
  </si>
  <si>
    <t>Silva do Norte</t>
  </si>
  <si>
    <t>1966-10-08</t>
  </si>
  <si>
    <t>LARISSA BRAGA</t>
  </si>
  <si>
    <t>C_0061</t>
  </si>
  <si>
    <t>Elisio Costa</t>
  </si>
  <si>
    <t>elisio.costa</t>
  </si>
  <si>
    <t>costa.elisio@zoho.com</t>
  </si>
  <si>
    <t>80969306997</t>
  </si>
  <si>
    <t>558375953019</t>
  </si>
  <si>
    <t>77364599</t>
  </si>
  <si>
    <t>Avenida Moreira</t>
  </si>
  <si>
    <t>1740</t>
  </si>
  <si>
    <t>Lake County</t>
  </si>
  <si>
    <t>2004-07-31</t>
  </si>
  <si>
    <t>ELISIO COSTA</t>
  </si>
  <si>
    <t>C_0062</t>
  </si>
  <si>
    <t>Melissa Batista</t>
  </si>
  <si>
    <t>melissa.batista</t>
  </si>
  <si>
    <t>batista.melissa@icloud.com</t>
  </si>
  <si>
    <t>38593851860</t>
  </si>
  <si>
    <t>16071697568</t>
  </si>
  <si>
    <t>53526987</t>
  </si>
  <si>
    <t>Rodovia Barros</t>
  </si>
  <si>
    <t>62821</t>
  </si>
  <si>
    <t>Melo de Nossa Senhora</t>
  </si>
  <si>
    <t>SC</t>
  </si>
  <si>
    <t>1968-08-05</t>
  </si>
  <si>
    <t>MELISSA BATISTA</t>
  </si>
  <si>
    <t>C_0063</t>
  </si>
  <si>
    <t>Mercia Albuquerque</t>
  </si>
  <si>
    <t>mercia.albuquerque</t>
  </si>
  <si>
    <t>albuquerque.mercia@yandex.com</t>
  </si>
  <si>
    <t>75695470200</t>
  </si>
  <si>
    <t>551139247310</t>
  </si>
  <si>
    <t>29949019</t>
  </si>
  <si>
    <t>Rodovia Hugo</t>
  </si>
  <si>
    <t>81637</t>
  </si>
  <si>
    <t>1997-06-04</t>
  </si>
  <si>
    <t>MERCIA ALBUQUERQUE</t>
  </si>
  <si>
    <t>C_0064</t>
  </si>
  <si>
    <t>Liz Barros</t>
  </si>
  <si>
    <t>liz.barros</t>
  </si>
  <si>
    <t>barros.liz@ig.com.br</t>
  </si>
  <si>
    <t>70900331984</t>
  </si>
  <si>
    <t>23739331424</t>
  </si>
  <si>
    <t>12275306</t>
  </si>
  <si>
    <t>Rodovia Yango</t>
  </si>
  <si>
    <t>14257</t>
  </si>
  <si>
    <t>Isle of Wight</t>
  </si>
  <si>
    <t>Pedro do Descoberto</t>
  </si>
  <si>
    <t>1990-09-05</t>
  </si>
  <si>
    <t>LIZ BARROS</t>
  </si>
  <si>
    <t>C_0065</t>
  </si>
  <si>
    <t>Elisa Franco</t>
  </si>
  <si>
    <t>elisa.franco</t>
  </si>
  <si>
    <t>franco.elisa@bol.com.br</t>
  </si>
  <si>
    <t>54832706306</t>
  </si>
  <si>
    <t>7766323142</t>
  </si>
  <si>
    <t>91358552</t>
  </si>
  <si>
    <t>Rua Maria Helena</t>
  </si>
  <si>
    <t>8656</t>
  </si>
  <si>
    <t>Gabriel do Descoberto</t>
  </si>
  <si>
    <t>1971-04-17</t>
  </si>
  <si>
    <t>ELISA FRANCO</t>
  </si>
  <si>
    <t>C_0066</t>
  </si>
  <si>
    <t>Sirineu Franco</t>
  </si>
  <si>
    <t>sirineu.franco</t>
  </si>
  <si>
    <t>franco.sirineu@mail.com</t>
  </si>
  <si>
    <t>10407293043</t>
  </si>
  <si>
    <t>9972248903</t>
  </si>
  <si>
    <t>00854008</t>
  </si>
  <si>
    <t>Marginal Maria Cecilia</t>
  </si>
  <si>
    <t>261</t>
  </si>
  <si>
    <t>Bruna do Sul</t>
  </si>
  <si>
    <t>1997-09-24</t>
  </si>
  <si>
    <t>SIRINEU FRANCO</t>
  </si>
  <si>
    <t>C_0067</t>
  </si>
  <si>
    <t>Murilo Moraes</t>
  </si>
  <si>
    <t>murilo.moraes</t>
  </si>
  <si>
    <t>moraes.murilo@me.com</t>
  </si>
  <si>
    <t>16151873750</t>
  </si>
  <si>
    <t>5190390260</t>
  </si>
  <si>
    <t>44471175</t>
  </si>
  <si>
    <t>26989</t>
  </si>
  <si>
    <t>County Antrim</t>
  </si>
  <si>
    <t>Souza de Nossa Senhora</t>
  </si>
  <si>
    <t>1994-06-19</t>
  </si>
  <si>
    <t>MURILO MORAES</t>
  </si>
  <si>
    <t>C_0068</t>
  </si>
  <si>
    <t>Ana Julia Oliveira</t>
  </si>
  <si>
    <t>anajulia.oliveira</t>
  </si>
  <si>
    <t>oliveira.anajulia@hotmail.com</t>
  </si>
  <si>
    <t>85849378200</t>
  </si>
  <si>
    <t>7521701065</t>
  </si>
  <si>
    <t>86157742</t>
  </si>
  <si>
    <t>Rodovia Santos</t>
  </si>
  <si>
    <t>35172</t>
  </si>
  <si>
    <t>Wayne County</t>
  </si>
  <si>
    <t>Braga do Sul</t>
  </si>
  <si>
    <t>1993-02-05</t>
  </si>
  <si>
    <t>ANA JULIA OLIVEIRA</t>
  </si>
  <si>
    <t>C_0069</t>
  </si>
  <si>
    <t>Caua Barros</t>
  </si>
  <si>
    <t>caua.barros</t>
  </si>
  <si>
    <t>barros.caua@gmx.com</t>
  </si>
  <si>
    <t>25455353896</t>
  </si>
  <si>
    <t>8416702863</t>
  </si>
  <si>
    <t>43678218</t>
  </si>
  <si>
    <t>Avenida Carlos</t>
  </si>
  <si>
    <t>9517</t>
  </si>
  <si>
    <t>2007-09-17</t>
  </si>
  <si>
    <t>CAUA BARROS</t>
  </si>
  <si>
    <t>C_0070</t>
  </si>
  <si>
    <t>Heloisa Xavier</t>
  </si>
  <si>
    <t>heloisa.xavier</t>
  </si>
  <si>
    <t>xavier.heloisa@yahoo.com</t>
  </si>
  <si>
    <t>99631906000</t>
  </si>
  <si>
    <t>555200837072</t>
  </si>
  <si>
    <t>03907470</t>
  </si>
  <si>
    <t>Rodovia Eduarda</t>
  </si>
  <si>
    <t>92503</t>
  </si>
  <si>
    <t>Yasmin do Sul</t>
  </si>
  <si>
    <t>2000-04-07</t>
  </si>
  <si>
    <t>HELOISA XAVIER</t>
  </si>
  <si>
    <t>C_0071</t>
  </si>
  <si>
    <t>Maria Alice Moraes</t>
  </si>
  <si>
    <t>mariaalice.moraes</t>
  </si>
  <si>
    <t>moraes.mariaalice@me.com</t>
  </si>
  <si>
    <t>07605900015</t>
  </si>
  <si>
    <t>13539341213</t>
  </si>
  <si>
    <t>06672328</t>
  </si>
  <si>
    <t>Alameda Maria Eduarda</t>
  </si>
  <si>
    <t>8846</t>
  </si>
  <si>
    <t>West Midlands</t>
  </si>
  <si>
    <t>Fabricia do Descoberto</t>
  </si>
  <si>
    <t>1985-04-04</t>
  </si>
  <si>
    <t>MARIA ALICE MORAES</t>
  </si>
  <si>
    <t>C_0072</t>
  </si>
  <si>
    <t>Gubio Saraiva</t>
  </si>
  <si>
    <t>gubio.saraiva</t>
  </si>
  <si>
    <t>saraiva.gubio@gmail.com</t>
  </si>
  <si>
    <t>19686514201</t>
  </si>
  <si>
    <t>28606188518</t>
  </si>
  <si>
    <t>47821094</t>
  </si>
  <si>
    <t>Marginal Raul</t>
  </si>
  <si>
    <t>4164</t>
  </si>
  <si>
    <t>County Armagh</t>
  </si>
  <si>
    <t>1976-07-18</t>
  </si>
  <si>
    <t>GUBIO SARAIVA</t>
  </si>
  <si>
    <t>C_0073</t>
  </si>
  <si>
    <t>Pietro Batista</t>
  </si>
  <si>
    <t>pietro.batista</t>
  </si>
  <si>
    <t>batista.pietro@mail.com</t>
  </si>
  <si>
    <t>02380328927</t>
  </si>
  <si>
    <t>72084108935</t>
  </si>
  <si>
    <t>78513151</t>
  </si>
  <si>
    <t>Rodovia Marcela</t>
  </si>
  <si>
    <t>26650</t>
  </si>
  <si>
    <t>Valentina de Nossa Senhora</t>
  </si>
  <si>
    <t>1974-10-23</t>
  </si>
  <si>
    <t>PIETRO BATISTA</t>
  </si>
  <si>
    <t>C_0074</t>
  </si>
  <si>
    <t>Laura Silva</t>
  </si>
  <si>
    <t>laura.silva</t>
  </si>
  <si>
    <t>silva.laura@icloud.com</t>
  </si>
  <si>
    <t>09403930772</t>
  </si>
  <si>
    <t>0492533268</t>
  </si>
  <si>
    <t>32124390</t>
  </si>
  <si>
    <t>Marginal Fabricia</t>
  </si>
  <si>
    <t>604</t>
  </si>
  <si>
    <t>Nogueira do Descoberto</t>
  </si>
  <si>
    <t>1995-11-05</t>
  </si>
  <si>
    <t>LAURA SILVA</t>
  </si>
  <si>
    <t>C_0075</t>
  </si>
  <si>
    <t>Victor Saraiva</t>
  </si>
  <si>
    <t>victor.saraiva</t>
  </si>
  <si>
    <t>saraiva.victor@bol.com.br</t>
  </si>
  <si>
    <t>01016874006</t>
  </si>
  <si>
    <t>8889839237</t>
  </si>
  <si>
    <t>41076680</t>
  </si>
  <si>
    <t>Rua Janaina</t>
  </si>
  <si>
    <t>21552</t>
  </si>
  <si>
    <t>Guilherme de Nossa Senhora</t>
  </si>
  <si>
    <t>1999-09-07</t>
  </si>
  <si>
    <t>VICTOR SARAIVA</t>
  </si>
  <si>
    <t>C_0076</t>
  </si>
  <si>
    <t>Samuel Silva</t>
  </si>
  <si>
    <t>samuel.silva</t>
  </si>
  <si>
    <t>silva.samuel@icloud.com</t>
  </si>
  <si>
    <t>08362653787</t>
  </si>
  <si>
    <t>551447518427</t>
  </si>
  <si>
    <t>03157631</t>
  </si>
  <si>
    <t>Avenida Melo</t>
  </si>
  <si>
    <t>5933</t>
  </si>
  <si>
    <t>Gloucestershire</t>
  </si>
  <si>
    <t>Franco do Descoberto</t>
  </si>
  <si>
    <t>1970-09-05</t>
  </si>
  <si>
    <t>SAMUEL SILVA</t>
  </si>
  <si>
    <t>C_0077</t>
  </si>
  <si>
    <t>Silas Oliveira</t>
  </si>
  <si>
    <t>silas.oliveira</t>
  </si>
  <si>
    <t>oliveira.silas@aol.com</t>
  </si>
  <si>
    <t>67343338927</t>
  </si>
  <si>
    <t>3416067350</t>
  </si>
  <si>
    <t>08909651</t>
  </si>
  <si>
    <t>Travessa Moraes</t>
  </si>
  <si>
    <t>16909</t>
  </si>
  <si>
    <t>Reis do Sul</t>
  </si>
  <si>
    <t>1973-12-17</t>
  </si>
  <si>
    <t>SILAS OLIVEIRA</t>
  </si>
  <si>
    <t>C_0078</t>
  </si>
  <si>
    <t>Miguel Melo</t>
  </si>
  <si>
    <t>miguel.melo</t>
  </si>
  <si>
    <t>melo.miguel@msn.com</t>
  </si>
  <si>
    <t>86681033857</t>
  </si>
  <si>
    <t>557835020860</t>
  </si>
  <si>
    <t>78178239</t>
  </si>
  <si>
    <t>4994</t>
  </si>
  <si>
    <t>Gustavo do Descoberto</t>
  </si>
  <si>
    <t>1978-05-24</t>
  </si>
  <si>
    <t>MIGUEL MELO</t>
  </si>
  <si>
    <t>C_0079</t>
  </si>
  <si>
    <t>Fabiano Batista</t>
  </si>
  <si>
    <t>fabiano.batista</t>
  </si>
  <si>
    <t>batista.fabiano@aol.com</t>
  </si>
  <si>
    <t>07650640140</t>
  </si>
  <si>
    <t>0453863204</t>
  </si>
  <si>
    <t>54485712</t>
  </si>
  <si>
    <t>Avenida Marcia</t>
  </si>
  <si>
    <t>71694</t>
  </si>
  <si>
    <t>Sara de Nossa Senhora</t>
  </si>
  <si>
    <t>1970-12-04</t>
  </si>
  <si>
    <t>FABIANO BATISTA</t>
  </si>
  <si>
    <t>C_0080</t>
  </si>
  <si>
    <t>Lavinia Nogueira</t>
  </si>
  <si>
    <t>lavinia.nogueira</t>
  </si>
  <si>
    <t>nogueira.lavinia@hotmail.com</t>
  </si>
  <si>
    <t>79848680187</t>
  </si>
  <si>
    <t>554292261352</t>
  </si>
  <si>
    <t>82166215</t>
  </si>
  <si>
    <t>Rodovia Joao</t>
  </si>
  <si>
    <t>80009</t>
  </si>
  <si>
    <t>Larissa do Norte</t>
  </si>
  <si>
    <t>1974-03-18</t>
  </si>
  <si>
    <t>LAVINIA NOGUEIRA</t>
  </si>
  <si>
    <t>C_0081</t>
  </si>
  <si>
    <t>Gubio Oliveira</t>
  </si>
  <si>
    <t>gubio.oliveira</t>
  </si>
  <si>
    <t>oliveira.gubio@gmx.com</t>
  </si>
  <si>
    <t>11222353644</t>
  </si>
  <si>
    <t>3118064017</t>
  </si>
  <si>
    <t>36010809</t>
  </si>
  <si>
    <t>Avenida Eduarda</t>
  </si>
  <si>
    <t>241</t>
  </si>
  <si>
    <t>Clark County</t>
  </si>
  <si>
    <t>Maria do Norte</t>
  </si>
  <si>
    <t>1983-08-27</t>
  </si>
  <si>
    <t>GUBIO OLIVEIRA</t>
  </si>
  <si>
    <t>C_0082</t>
  </si>
  <si>
    <t>Joana Oliveira</t>
  </si>
  <si>
    <t>joana.oliveira</t>
  </si>
  <si>
    <t>oliveira.joana@bol.com.br</t>
  </si>
  <si>
    <t>18798438468</t>
  </si>
  <si>
    <t>0132488387</t>
  </si>
  <si>
    <t>88662069</t>
  </si>
  <si>
    <t>Rodovia Carvalho</t>
  </si>
  <si>
    <t>76847</t>
  </si>
  <si>
    <t>Scott County</t>
  </si>
  <si>
    <t>1987-07-22</t>
  </si>
  <si>
    <t>JOANA OLIVEIRA</t>
  </si>
  <si>
    <t>C_0083</t>
  </si>
  <si>
    <t>Rafaela Moreira</t>
  </si>
  <si>
    <t>rafaela.moreira</t>
  </si>
  <si>
    <t>moreira.rafaela@aol.com</t>
  </si>
  <si>
    <t>61205769161</t>
  </si>
  <si>
    <t>556939615477</t>
  </si>
  <si>
    <t>56018953</t>
  </si>
  <si>
    <t>Rodovia Isabel</t>
  </si>
  <si>
    <t>60504</t>
  </si>
  <si>
    <t>Emanuelly do Descoberto</t>
  </si>
  <si>
    <t>1991-12-30</t>
  </si>
  <si>
    <t>RAFAELA MOREIRA</t>
  </si>
  <si>
    <t>C_0084</t>
  </si>
  <si>
    <t>Ana Laura Xavier</t>
  </si>
  <si>
    <t>analaura.xavier</t>
  </si>
  <si>
    <t>xavier.analaura@protonmail.com</t>
  </si>
  <si>
    <t>62137549549</t>
  </si>
  <si>
    <t>553620630133</t>
  </si>
  <si>
    <t>85195901</t>
  </si>
  <si>
    <t>Marginal Ladislau</t>
  </si>
  <si>
    <t>6166</t>
  </si>
  <si>
    <t>Santos de Nossa Senhora</t>
  </si>
  <si>
    <t>1991-10-16</t>
  </si>
  <si>
    <t>ANA LAURA XAVIER</t>
  </si>
  <si>
    <t>C_0085</t>
  </si>
  <si>
    <t>Gael Santos</t>
  </si>
  <si>
    <t>gael.santos</t>
  </si>
  <si>
    <t>santos.gael@yandex.com</t>
  </si>
  <si>
    <t>88087885392</t>
  </si>
  <si>
    <t>551008687019</t>
  </si>
  <si>
    <t>98950665</t>
  </si>
  <si>
    <t>Marginal Sara</t>
  </si>
  <si>
    <t>16514</t>
  </si>
  <si>
    <t>Cheshire</t>
  </si>
  <si>
    <t>1992-11-28</t>
  </si>
  <si>
    <t>GAEL SANTOS</t>
  </si>
  <si>
    <t>C_0086</t>
  </si>
  <si>
    <t>Lara Pereira</t>
  </si>
  <si>
    <t>lara.pereira</t>
  </si>
  <si>
    <t>pereira.lara@fastmail.com</t>
  </si>
  <si>
    <t>07206226388</t>
  </si>
  <si>
    <t>557881603470</t>
  </si>
  <si>
    <t>04690145</t>
  </si>
  <si>
    <t>Marginal Danilo</t>
  </si>
  <si>
    <t>65367</t>
  </si>
  <si>
    <t>Clay County</t>
  </si>
  <si>
    <t>1972-07-24</t>
  </si>
  <si>
    <t>LARA PEREIRA</t>
  </si>
  <si>
    <t>C_0087</t>
  </si>
  <si>
    <t>Isabel Pereira</t>
  </si>
  <si>
    <t>isabel.pereira</t>
  </si>
  <si>
    <t>pereira.isabel@bol.com.br</t>
  </si>
  <si>
    <t>38339506250</t>
  </si>
  <si>
    <t>8980837773</t>
  </si>
  <si>
    <t>43203560</t>
  </si>
  <si>
    <t>Alameda Braga</t>
  </si>
  <si>
    <t>8911</t>
  </si>
  <si>
    <t>Silvia do Descoberto</t>
  </si>
  <si>
    <t>1970-05-08</t>
  </si>
  <si>
    <t>ISABEL PEREIRA</t>
  </si>
  <si>
    <t>C_0088</t>
  </si>
  <si>
    <t>Noah Costa</t>
  </si>
  <si>
    <t>noah.costa</t>
  </si>
  <si>
    <t>costa.noah@ig.com.br</t>
  </si>
  <si>
    <t>35973639622</t>
  </si>
  <si>
    <t>554636121797</t>
  </si>
  <si>
    <t>69925842</t>
  </si>
  <si>
    <t>Rodovia Carlos</t>
  </si>
  <si>
    <t>2041</t>
  </si>
  <si>
    <t>Kent</t>
  </si>
  <si>
    <t>1993-04-25</t>
  </si>
  <si>
    <t>NOAH COSTA</t>
  </si>
  <si>
    <t>C_0089</t>
  </si>
  <si>
    <t>Helio Xavier</t>
  </si>
  <si>
    <t>helio.xavier</t>
  </si>
  <si>
    <t>xavier.helio@me.com</t>
  </si>
  <si>
    <t>79374632012</t>
  </si>
  <si>
    <t>97330993870</t>
  </si>
  <si>
    <t>50982385</t>
  </si>
  <si>
    <t>Rodovia Saraiva</t>
  </si>
  <si>
    <t>4333</t>
  </si>
  <si>
    <t>Henry County</t>
  </si>
  <si>
    <t>Nataniel do Descoberto</t>
  </si>
  <si>
    <t>2008-05-13</t>
  </si>
  <si>
    <t>HELIO XAVIER</t>
  </si>
  <si>
    <t>C_0090</t>
  </si>
  <si>
    <t>Liz Reis</t>
  </si>
  <si>
    <t>liz.reis</t>
  </si>
  <si>
    <t>reis.liz@zoho.com</t>
  </si>
  <si>
    <t>53366766670</t>
  </si>
  <si>
    <t>05862075064</t>
  </si>
  <si>
    <t>31100083</t>
  </si>
  <si>
    <t>921</t>
  </si>
  <si>
    <t>Hertfordshire</t>
  </si>
  <si>
    <t>Mercia do Sul</t>
  </si>
  <si>
    <t>1972-06-13</t>
  </si>
  <si>
    <t>LIZ REIS</t>
  </si>
  <si>
    <t>C_0091</t>
  </si>
  <si>
    <t>Roberta Souza</t>
  </si>
  <si>
    <t>roberta.souza</t>
  </si>
  <si>
    <t>souza.roberta@live.com</t>
  </si>
  <si>
    <t>25881941500</t>
  </si>
  <si>
    <t>556220325005</t>
  </si>
  <si>
    <t>89650435</t>
  </si>
  <si>
    <t>Travessa Suelen</t>
  </si>
  <si>
    <t>9690</t>
  </si>
  <si>
    <t>Douglas County</t>
  </si>
  <si>
    <t>Carvalho de Nossa Senhora</t>
  </si>
  <si>
    <t>1971-11-26</t>
  </si>
  <si>
    <t>ROBERTA SOUZA</t>
  </si>
  <si>
    <t>C_0092</t>
  </si>
  <si>
    <t>Melissa Moreira</t>
  </si>
  <si>
    <t>melissa.moreira</t>
  </si>
  <si>
    <t>moreira.melissa@terra.com.br</t>
  </si>
  <si>
    <t>72367562709</t>
  </si>
  <si>
    <t>9615352902</t>
  </si>
  <si>
    <t>27201326</t>
  </si>
  <si>
    <t>Marginal Moraes</t>
  </si>
  <si>
    <t>7866</t>
  </si>
  <si>
    <t>Bryan de Nossa Senhora</t>
  </si>
  <si>
    <t>1972-01-02</t>
  </si>
  <si>
    <t>MELISSA MOREIRA</t>
  </si>
  <si>
    <t>C_0093</t>
  </si>
  <si>
    <t>Alice Batista</t>
  </si>
  <si>
    <t>alice.batista</t>
  </si>
  <si>
    <t>batista.alice@icloud.com</t>
  </si>
  <si>
    <t>73520632691</t>
  </si>
  <si>
    <t>07348641238</t>
  </si>
  <si>
    <t>77826880</t>
  </si>
  <si>
    <t>Marginal Clara</t>
  </si>
  <si>
    <t>110</t>
  </si>
  <si>
    <t>Igor de Nossa Senhora</t>
  </si>
  <si>
    <t>1988-01-20</t>
  </si>
  <si>
    <t>ALICE BATISTA</t>
  </si>
  <si>
    <t>C_0094</t>
  </si>
  <si>
    <t>Vitoria Braga</t>
  </si>
  <si>
    <t>vitoria.braga</t>
  </si>
  <si>
    <t>braga.vitoria@aol.com</t>
  </si>
  <si>
    <t>45091344446</t>
  </si>
  <si>
    <t>6674229634</t>
  </si>
  <si>
    <t>84464941</t>
  </si>
  <si>
    <t>Rua Eloa</t>
  </si>
  <si>
    <t>815</t>
  </si>
  <si>
    <t>Ladislau do Sul</t>
  </si>
  <si>
    <t>1967-05-07</t>
  </si>
  <si>
    <t>VITORIA BRAGA</t>
  </si>
  <si>
    <t>C_0095</t>
  </si>
  <si>
    <t>Eloa Xavier</t>
  </si>
  <si>
    <t>eloa.xavier</t>
  </si>
  <si>
    <t>xavier.eloa@inbox.com</t>
  </si>
  <si>
    <t>42797968077</t>
  </si>
  <si>
    <t>0170900505</t>
  </si>
  <si>
    <t>02567401</t>
  </si>
  <si>
    <t>Travessa Deneval</t>
  </si>
  <si>
    <t>615</t>
  </si>
  <si>
    <t>Manuela do Descoberto</t>
  </si>
  <si>
    <t>1996-05-20</t>
  </si>
  <si>
    <t>ELOA XAVIER</t>
  </si>
  <si>
    <t>C_0096</t>
  </si>
  <si>
    <t>barros.mariajulia@ig.com.br</t>
  </si>
  <si>
    <t>93278663390</t>
  </si>
  <si>
    <t>58129413925</t>
  </si>
  <si>
    <t>91545012</t>
  </si>
  <si>
    <t>Alameda Isadora</t>
  </si>
  <si>
    <t>58430</t>
  </si>
  <si>
    <t>1978-04-02</t>
  </si>
  <si>
    <t>0015</t>
  </si>
  <si>
    <t>0017</t>
  </si>
  <si>
    <t>cpf</t>
  </si>
  <si>
    <t>saldo_conta</t>
  </si>
  <si>
    <t>limite_utilizado</t>
  </si>
  <si>
    <t>limite_disponivel</t>
  </si>
  <si>
    <t>fatura_fechada</t>
  </si>
  <si>
    <t>fatura_aberta</t>
  </si>
  <si>
    <t>dias_atraso</t>
  </si>
  <si>
    <t>cartao_fisico_numero</t>
  </si>
  <si>
    <t>cartao_fisico_cvv</t>
  </si>
  <si>
    <t>cartao_virtual_numero</t>
  </si>
  <si>
    <t>cartao_virtual_cvv</t>
  </si>
  <si>
    <t>12424713839</t>
  </si>
  <si>
    <t>Abigaelle Michel</t>
  </si>
  <si>
    <t>5442 7460 9903 2410</t>
  </si>
  <si>
    <t>43204282856</t>
  </si>
  <si>
    <t>Absalon Olivier</t>
  </si>
  <si>
    <t>5442 7460 6216 3719</t>
  </si>
  <si>
    <t>856</t>
  </si>
  <si>
    <t>27234768980</t>
  </si>
  <si>
    <t>Acanthe Vidal</t>
  </si>
  <si>
    <t>5442 7460 4352 2381</t>
  </si>
  <si>
    <t>980</t>
  </si>
  <si>
    <t>44794065574</t>
  </si>
  <si>
    <t>Achaire Schmitt</t>
  </si>
  <si>
    <t>5442 7460 4040 2844</t>
  </si>
  <si>
    <t>574</t>
  </si>
  <si>
    <t>83052128400</t>
  </si>
  <si>
    <t>Adalard Rodriguez</t>
  </si>
  <si>
    <t>5442 7460 0864 4232</t>
  </si>
  <si>
    <t>400</t>
  </si>
  <si>
    <t>07817267197</t>
  </si>
  <si>
    <t>Adrienne Giraud</t>
  </si>
  <si>
    <t>4203 1060 2877 0990</t>
  </si>
  <si>
    <t>197</t>
  </si>
  <si>
    <t>71078566429</t>
  </si>
  <si>
    <t>Alban Royer</t>
  </si>
  <si>
    <t>5442 7460 3074 5480</t>
  </si>
  <si>
    <t>429</t>
  </si>
  <si>
    <t>86236132526</t>
  </si>
  <si>
    <t>5185 4460 8680 7410</t>
  </si>
  <si>
    <t>526</t>
  </si>
  <si>
    <t>77017682203</t>
  </si>
  <si>
    <t>5442 7460 3341 8160</t>
  </si>
  <si>
    <t>203</t>
  </si>
  <si>
    <t>36072364535</t>
  </si>
  <si>
    <t>Alessandro Ferrari</t>
  </si>
  <si>
    <t>5442 7460 2038 8294</t>
  </si>
  <si>
    <t>333</t>
  </si>
  <si>
    <t>70696409003</t>
  </si>
  <si>
    <t>Alexander James Smith</t>
  </si>
  <si>
    <t>3782 480351 3483</t>
  </si>
  <si>
    <t>8821</t>
  </si>
  <si>
    <t>57855482407</t>
  </si>
  <si>
    <t>4576 7460 2297 6677</t>
  </si>
  <si>
    <t>56457538797</t>
  </si>
  <si>
    <t>Alexandre Costa</t>
  </si>
  <si>
    <t>5373 6360 3965 4669</t>
  </si>
  <si>
    <t>797</t>
  </si>
  <si>
    <t>18011225638</t>
  </si>
  <si>
    <t>Alice Albuquerque</t>
  </si>
  <si>
    <t>5442 7460 2184 6661</t>
  </si>
  <si>
    <t>638</t>
  </si>
  <si>
    <t>25713468361</t>
  </si>
  <si>
    <t>5442 7460 6629 7624</t>
  </si>
  <si>
    <t>361</t>
  </si>
  <si>
    <t>6375 6800 6807 3116</t>
  </si>
  <si>
    <t>958</t>
  </si>
  <si>
    <t>5442 7460 0745 5341</t>
  </si>
  <si>
    <t>79772936330</t>
  </si>
  <si>
    <t>Ana Clara Barros</t>
  </si>
  <si>
    <t>5373 6360 3461 7570</t>
  </si>
  <si>
    <t>330</t>
  </si>
  <si>
    <t>13440024202</t>
  </si>
  <si>
    <t>Ana Julia Santos</t>
  </si>
  <si>
    <t>5364 2660 5357 3420</t>
  </si>
  <si>
    <t>202</t>
  </si>
  <si>
    <t>54313729046</t>
  </si>
  <si>
    <t>Ana Luiza Nogueira</t>
  </si>
  <si>
    <t>5442 7460 9003 0217</t>
  </si>
  <si>
    <t>65184684166</t>
  </si>
  <si>
    <t>Anceline Gauthier</t>
  </si>
  <si>
    <t>5442 7460 4947 8021</t>
  </si>
  <si>
    <t>166</t>
  </si>
  <si>
    <t>53281863159</t>
  </si>
  <si>
    <t>Angel Rempel</t>
  </si>
  <si>
    <t>5442 7460 5945 2322</t>
  </si>
  <si>
    <t>159</t>
  </si>
  <si>
    <t>42718533218</t>
  </si>
  <si>
    <t>Angilran Morin</t>
  </si>
  <si>
    <t>5442 7460 7965 5007</t>
  </si>
  <si>
    <t>218</t>
  </si>
  <si>
    <t>38882777448</t>
  </si>
  <si>
    <t>Annonciade Poirier</t>
  </si>
  <si>
    <t>5442 7460 7026 1006</t>
  </si>
  <si>
    <t>448</t>
  </si>
  <si>
    <t>89331225245</t>
  </si>
  <si>
    <t>Aoi Yamamoto</t>
  </si>
  <si>
    <t>6505 0666 4055 1682</t>
  </si>
  <si>
    <t>64866656883</t>
  </si>
  <si>
    <t>Archambaud Remy</t>
  </si>
  <si>
    <t>5442 7460 5774 1894</t>
  </si>
  <si>
    <t>883</t>
  </si>
  <si>
    <t>41689983639</t>
  </si>
  <si>
    <t>Armandine Joly</t>
  </si>
  <si>
    <t>5442 7460 2232 1307</t>
  </si>
  <si>
    <t>639</t>
  </si>
  <si>
    <t>30113512287</t>
  </si>
  <si>
    <t>Armel Michel</t>
  </si>
  <si>
    <t>5185 4460 8337 0511</t>
  </si>
  <si>
    <t>287</t>
  </si>
  <si>
    <t>95654548522</t>
  </si>
  <si>
    <t>Assomption Sanchez</t>
  </si>
  <si>
    <t>5442 7460 9555 7352</t>
  </si>
  <si>
    <t>522</t>
  </si>
  <si>
    <t>51172415331</t>
  </si>
  <si>
    <t>Audrey Benoit</t>
  </si>
  <si>
    <t>5442 7460 3460 7138</t>
  </si>
  <si>
    <t>331</t>
  </si>
  <si>
    <t>65207037706</t>
  </si>
  <si>
    <t>Beatriz Ferreira</t>
  </si>
  <si>
    <t>3782 685080 1425</t>
  </si>
  <si>
    <t>90917191782</t>
  </si>
  <si>
    <t>Beatriz Franco</t>
  </si>
  <si>
    <t>5442 7460 1171 2107</t>
  </si>
  <si>
    <t>782</t>
  </si>
  <si>
    <t>25433185508</t>
  </si>
  <si>
    <t>Benjamin Macedo</t>
  </si>
  <si>
    <t>5442 7460 4207 9262</t>
  </si>
  <si>
    <t>508</t>
  </si>
  <si>
    <t>17693911189</t>
  </si>
  <si>
    <t>Blandine Fabre</t>
  </si>
  <si>
    <t>5442 7460 3108 7574</t>
  </si>
  <si>
    <t>189</t>
  </si>
  <si>
    <t>21005484686</t>
  </si>
  <si>
    <t>Boniface Gauthier</t>
  </si>
  <si>
    <t>5364 2660 6627 9262</t>
  </si>
  <si>
    <t>686</t>
  </si>
  <si>
    <t>12312312388</t>
  </si>
  <si>
    <t>Broder jonas</t>
  </si>
  <si>
    <t>5185 4460 2657 3346</t>
  </si>
  <si>
    <t>388</t>
  </si>
  <si>
    <t>12312312312</t>
  </si>
  <si>
    <t>5373 6360 9094 8588</t>
  </si>
  <si>
    <t>312</t>
  </si>
  <si>
    <t>75632149875</t>
  </si>
  <si>
    <t>5373 6360 0033 6346</t>
  </si>
  <si>
    <t>875</t>
  </si>
  <si>
    <t>27646660477</t>
  </si>
  <si>
    <t>Brunehilde Gaillard</t>
  </si>
  <si>
    <t>5442 7460 2776 5268</t>
  </si>
  <si>
    <t>477</t>
  </si>
  <si>
    <t>49335289779</t>
  </si>
  <si>
    <t>Bruno Henrique Alves</t>
  </si>
  <si>
    <t>4576 7460 2571 0727</t>
  </si>
  <si>
    <t>42194343806</t>
  </si>
  <si>
    <t>4576 7460 4934 6097</t>
  </si>
  <si>
    <t>81122222742</t>
  </si>
  <si>
    <t>Bryan Barros</t>
  </si>
  <si>
    <t>5373 6360 4562 4789</t>
  </si>
  <si>
    <t>742</t>
  </si>
  <si>
    <t>42111679011</t>
  </si>
  <si>
    <t>Camila Beatriz Santos</t>
  </si>
  <si>
    <t>5442 7460 6318 0938</t>
  </si>
  <si>
    <t>84979979998</t>
  </si>
  <si>
    <t>Camila Lopez</t>
  </si>
  <si>
    <t>3782 623285 4972</t>
  </si>
  <si>
    <t>07798679553</t>
  </si>
  <si>
    <t>6062 8200 4799 3000</t>
  </si>
  <si>
    <t>82499572612</t>
  </si>
  <si>
    <t>Camille Martin</t>
  </si>
  <si>
    <t>5442 7460 4229 7284</t>
  </si>
  <si>
    <t>612</t>
  </si>
  <si>
    <t>88712484814</t>
  </si>
  <si>
    <t>3782 720223 5276</t>
  </si>
  <si>
    <t>34272175349</t>
  </si>
  <si>
    <t>5442 7460 4625 0111</t>
  </si>
  <si>
    <t>349</t>
  </si>
  <si>
    <t>97504636177</t>
  </si>
  <si>
    <t>Charline Rodriguez</t>
  </si>
  <si>
    <t>5442 7460 5470 6527</t>
  </si>
  <si>
    <t>177</t>
  </si>
  <si>
    <t>36803189287</t>
  </si>
  <si>
    <t>Chloe Dubois</t>
  </si>
  <si>
    <t>5442 7460 8324 5117</t>
  </si>
  <si>
    <t>77355277308</t>
  </si>
  <si>
    <t>Christian Bertrand</t>
  </si>
  <si>
    <t>5442 7460 3070 4884</t>
  </si>
  <si>
    <t>308</t>
  </si>
  <si>
    <t>43838315910</t>
  </si>
  <si>
    <t>Christian Simon</t>
  </si>
  <si>
    <t>5442 7460 7036 5189</t>
  </si>
  <si>
    <t>910</t>
  </si>
  <si>
    <t>76925831102</t>
  </si>
  <si>
    <t>Clarisse Dufour</t>
  </si>
  <si>
    <t>5442 7460 7177 0889</t>
  </si>
  <si>
    <t>102</t>
  </si>
  <si>
    <t>48318883543</t>
  </si>
  <si>
    <t>Claude Garcia</t>
  </si>
  <si>
    <t>5442 7460 1607 2003</t>
  </si>
  <si>
    <t>543</t>
  </si>
  <si>
    <t>66655544433</t>
  </si>
  <si>
    <t>Cliente Amex Vip</t>
  </si>
  <si>
    <t>3782 123456 78901</t>
  </si>
  <si>
    <t>3782 608405 6139</t>
  </si>
  <si>
    <t>77766655544</t>
  </si>
  <si>
    <t>Cliente Cartao Teste</t>
  </si>
  <si>
    <t>5442 7460 1135 2723</t>
  </si>
  <si>
    <t>544</t>
  </si>
  <si>
    <t>77766655599</t>
  </si>
  <si>
    <t>5981 0124 9999 8888</t>
  </si>
  <si>
    <t>777</t>
  </si>
  <si>
    <t>5981 0125 6673 7131</t>
  </si>
  <si>
    <t>70000129979</t>
  </si>
  <si>
    <t>Comprador Monitor</t>
  </si>
  <si>
    <t>4576 7460 6058 7283</t>
  </si>
  <si>
    <t>66414169091</t>
  </si>
  <si>
    <t>Coy Schmeler</t>
  </si>
  <si>
    <t>5442 7460 4969 9232</t>
  </si>
  <si>
    <t>65451936372</t>
  </si>
  <si>
    <t>Dalila Batista</t>
  </si>
  <si>
    <t>5442 7460 4485 1604</t>
  </si>
  <si>
    <t>372</t>
  </si>
  <si>
    <t>5185 4460 4080 9494</t>
  </si>
  <si>
    <t>226</t>
  </si>
  <si>
    <t>87437767600</t>
  </si>
  <si>
    <t>Dalila Saraiva</t>
  </si>
  <si>
    <t>5364 2660 2813 8234</t>
  </si>
  <si>
    <t>600</t>
  </si>
  <si>
    <t>12388853222</t>
  </si>
  <si>
    <t>Daniel Costa</t>
  </si>
  <si>
    <t>5185 4460 0766 9386</t>
  </si>
  <si>
    <t>222</t>
  </si>
  <si>
    <t>33333333333</t>
  </si>
  <si>
    <t>5981 0126 7625 2833</t>
  </si>
  <si>
    <t>5981 0121 6847 4143</t>
  </si>
  <si>
    <t>840</t>
  </si>
  <si>
    <t>65461467385</t>
  </si>
  <si>
    <t>Daniel Dupuis</t>
  </si>
  <si>
    <t>5364 2660 2219 1882</t>
  </si>
  <si>
    <t>385</t>
  </si>
  <si>
    <t>72605753522</t>
  </si>
  <si>
    <t>Dohyun Choi</t>
  </si>
  <si>
    <t>4576 7460 9685 6188</t>
  </si>
  <si>
    <t>58480256907</t>
  </si>
  <si>
    <t>3782 431206 7566</t>
  </si>
  <si>
    <t>71003941242</t>
  </si>
  <si>
    <t>Dual Teste</t>
  </si>
  <si>
    <t>4576 7460 3577 0487</t>
  </si>
  <si>
    <t>41356720862</t>
  </si>
  <si>
    <t>Eduarda Melo</t>
  </si>
  <si>
    <t>5373 6360 1346 3202</t>
  </si>
  <si>
    <t>862</t>
  </si>
  <si>
    <t>48184183070</t>
  </si>
  <si>
    <t>Elisa Moraes</t>
  </si>
  <si>
    <t>5373 6360 5864 8006</t>
  </si>
  <si>
    <t>150.00</t>
  </si>
  <si>
    <t>73012176728</t>
  </si>
  <si>
    <t>5442 7460 8105 6141</t>
  </si>
  <si>
    <t>728</t>
  </si>
  <si>
    <t>23317643366</t>
  </si>
  <si>
    <t>5185 4460 3642 5230</t>
  </si>
  <si>
    <t>28818393472</t>
  </si>
  <si>
    <t>5442 7460 1737 5584</t>
  </si>
  <si>
    <t>472</t>
  </si>
  <si>
    <t>09056318624</t>
  </si>
  <si>
    <t>Emily Rose Johnson</t>
  </si>
  <si>
    <t>6505 0666 6899 6592</t>
  </si>
  <si>
    <t>34814029705</t>
  </si>
  <si>
    <t>Enzo Costa</t>
  </si>
  <si>
    <t>5185 4460 6531 8322</t>
  </si>
  <si>
    <t>705</t>
  </si>
  <si>
    <t>09657598818</t>
  </si>
  <si>
    <t>Enzo Gabriel Santos</t>
  </si>
  <si>
    <t>5185 4460 9536 7737</t>
  </si>
  <si>
    <t>818</t>
  </si>
  <si>
    <t>45116448614</t>
  </si>
  <si>
    <t>Ernest Dumont</t>
  </si>
  <si>
    <t>5442 7460 9373 8248</t>
  </si>
  <si>
    <t>614</t>
  </si>
  <si>
    <t>60107482754</t>
  </si>
  <si>
    <t>Eudoxie Pons</t>
  </si>
  <si>
    <t>5442 7460 2404 4469</t>
  </si>
  <si>
    <t>754</t>
  </si>
  <si>
    <t>54879306193</t>
  </si>
  <si>
    <t>Fabricia Carvalho</t>
  </si>
  <si>
    <t>5442 7460 7728 6659</t>
  </si>
  <si>
    <t>193</t>
  </si>
  <si>
    <t>38780699103</t>
  </si>
  <si>
    <t>Fabricia Souza</t>
  </si>
  <si>
    <t>5442 7460 6561 9937</t>
  </si>
  <si>
    <t>103</t>
  </si>
  <si>
    <t>3714 800030 22204</t>
  </si>
  <si>
    <t>578</t>
  </si>
  <si>
    <t>79990005907</t>
  </si>
  <si>
    <t>Fahad Al-Ghamdi</t>
  </si>
  <si>
    <t>4576 7460 4996 3843</t>
  </si>
  <si>
    <t>42062517700</t>
  </si>
  <si>
    <t>6062 8200 1789 5908</t>
  </si>
  <si>
    <t>85246671844</t>
  </si>
  <si>
    <t>Falba David</t>
  </si>
  <si>
    <t>5442 7460 2333 1185</t>
  </si>
  <si>
    <t>844</t>
  </si>
  <si>
    <t>15351515369</t>
  </si>
  <si>
    <t>Fatima Al-Harbi</t>
  </si>
  <si>
    <t>6505 0666 9490 5042</t>
  </si>
  <si>
    <t>01843444259</t>
  </si>
  <si>
    <t>3782 296131 8895</t>
  </si>
  <si>
    <t>57070650914</t>
  </si>
  <si>
    <t>Felicia Costa</t>
  </si>
  <si>
    <t>5185 4460 8124 4130</t>
  </si>
  <si>
    <t>914</t>
  </si>
  <si>
    <t>42681570697</t>
  </si>
  <si>
    <t>Felix Weber</t>
  </si>
  <si>
    <t>6062 8200 2382 2068</t>
  </si>
  <si>
    <t>44444444444</t>
  </si>
  <si>
    <t>Fernanda Lima</t>
  </si>
  <si>
    <t>5442 7460 6411 5291</t>
  </si>
  <si>
    <t>444</t>
  </si>
  <si>
    <t>82676153420</t>
  </si>
  <si>
    <t>Firmin Renard</t>
  </si>
  <si>
    <t>5185 4460 3568 4779</t>
  </si>
  <si>
    <t>420</t>
  </si>
  <si>
    <t>24662236606</t>
  </si>
  <si>
    <t>Flavien Rodriguez</t>
  </si>
  <si>
    <t>5442 7460 4563 6437</t>
  </si>
  <si>
    <t>606</t>
  </si>
  <si>
    <t>16266323249</t>
  </si>
  <si>
    <t>Flore Schmitt</t>
  </si>
  <si>
    <t>5442 7460 9163 1125</t>
  </si>
  <si>
    <t>249</t>
  </si>
  <si>
    <t>37810513150</t>
  </si>
  <si>
    <t>Florie Fontaine</t>
  </si>
  <si>
    <t>5442 7460 7963 5511</t>
  </si>
  <si>
    <t>150</t>
  </si>
  <si>
    <t>19231521659</t>
  </si>
  <si>
    <t>Gabriel Vinicius Souza</t>
  </si>
  <si>
    <t>5067 1146 6189 842</t>
  </si>
  <si>
    <t>08813546270</t>
  </si>
  <si>
    <t>5373 6360 2204 3292</t>
  </si>
  <si>
    <t>270</t>
  </si>
  <si>
    <t>74929424194</t>
  </si>
  <si>
    <t>Giulia Russo</t>
  </si>
  <si>
    <t>4576 7460 6011 1623</t>
  </si>
  <si>
    <t>07154153601</t>
  </si>
  <si>
    <t>Goncalo Santos</t>
  </si>
  <si>
    <t>6062 8200 9467 2268</t>
  </si>
  <si>
    <t>05458223608</t>
  </si>
  <si>
    <t>Gustave Jacquet</t>
  </si>
  <si>
    <t>5442 7460 1587 4139</t>
  </si>
  <si>
    <t>608</t>
  </si>
  <si>
    <t>47783749321</t>
  </si>
  <si>
    <t>Haewon Jung</t>
  </si>
  <si>
    <t>5442 7460 2604 6712</t>
  </si>
  <si>
    <t>93544490340</t>
  </si>
  <si>
    <t>6505 0666 1667 2851</t>
  </si>
  <si>
    <t>88652173320</t>
  </si>
  <si>
    <t>Hanako Watanabe</t>
  </si>
  <si>
    <t>4576 7460 7004 9583</t>
  </si>
  <si>
    <t>76782744325</t>
  </si>
  <si>
    <t>4576 7460 3895 6613</t>
  </si>
  <si>
    <t>95167270006</t>
  </si>
  <si>
    <t>Hannah Fischer</t>
  </si>
  <si>
    <t>5442 7460 5925 5475</t>
  </si>
  <si>
    <t>88312964185</t>
  </si>
  <si>
    <t>4576 7460 2950 2106</t>
  </si>
  <si>
    <t>81722521295</t>
  </si>
  <si>
    <t>Hector Paris</t>
  </si>
  <si>
    <t>5442 7460 9108 3526</t>
  </si>
  <si>
    <t>295</t>
  </si>
  <si>
    <t>3400 800082 82627</t>
  </si>
  <si>
    <t>465</t>
  </si>
  <si>
    <t>15879566323</t>
  </si>
  <si>
    <t>Helena Saraiva</t>
  </si>
  <si>
    <t>5442 7460 6349 9696</t>
  </si>
  <si>
    <t>323</t>
  </si>
  <si>
    <t>37877781016</t>
  </si>
  <si>
    <t>Helio Reis</t>
  </si>
  <si>
    <t>5442 7460 0099 4593</t>
  </si>
  <si>
    <t>01424679958</t>
  </si>
  <si>
    <t>Henrique Moraes</t>
  </si>
  <si>
    <t>5373 6360 3167 0911</t>
  </si>
  <si>
    <t>87588846615</t>
  </si>
  <si>
    <t>Hermine Duval</t>
  </si>
  <si>
    <t>5442 7460 2039 8322</t>
  </si>
  <si>
    <t>85764469015</t>
  </si>
  <si>
    <t>Hilaire Breton</t>
  </si>
  <si>
    <t>5373 6360 4219 1477</t>
  </si>
  <si>
    <t>73857513853</t>
  </si>
  <si>
    <t>Ines Oliveira</t>
  </si>
  <si>
    <t>4576 7460 6790 3682</t>
  </si>
  <si>
    <t>19983621512</t>
  </si>
  <si>
    <t>Integration Test User</t>
  </si>
  <si>
    <t>5981 0121 1654 6893</t>
  </si>
  <si>
    <t>512</t>
  </si>
  <si>
    <t>88888888888</t>
  </si>
  <si>
    <t>5442 7460 9459 2389</t>
  </si>
  <si>
    <t>888</t>
  </si>
  <si>
    <t>57673944623</t>
  </si>
  <si>
    <t>Ira Morar</t>
  </si>
  <si>
    <t>5442 7460 5075 1068</t>
  </si>
  <si>
    <t>623</t>
  </si>
  <si>
    <t>85900332608</t>
  </si>
  <si>
    <t>Isaac Albuquerque</t>
  </si>
  <si>
    <t>5442 7460 7587 3581</t>
  </si>
  <si>
    <t>75775457404</t>
  </si>
  <si>
    <t>Isabela Rocha Carvalho</t>
  </si>
  <si>
    <t>5442 7460 5652 9579</t>
  </si>
  <si>
    <t>404</t>
  </si>
  <si>
    <t>89602248718</t>
  </si>
  <si>
    <t>Isabel Silva</t>
  </si>
  <si>
    <t>5364 2660 8793 9167</t>
  </si>
  <si>
    <t>718</t>
  </si>
  <si>
    <t>6370 9500 4517 7859</t>
  </si>
  <si>
    <t>438</t>
  </si>
  <si>
    <t>26775244657</t>
  </si>
  <si>
    <t>Isidore Morin</t>
  </si>
  <si>
    <t>5442 7460 9242 0200</t>
  </si>
  <si>
    <t>657</t>
  </si>
  <si>
    <t>42755630345</t>
  </si>
  <si>
    <t>Isis Silva</t>
  </si>
  <si>
    <t>5185 4460 0402 8636</t>
  </si>
  <si>
    <t>345</t>
  </si>
  <si>
    <t>26986473966</t>
  </si>
  <si>
    <t>Jacinthe Vidal</t>
  </si>
  <si>
    <t>5442 7460 8748 9625</t>
  </si>
  <si>
    <t>966</t>
  </si>
  <si>
    <t>26700822386</t>
  </si>
  <si>
    <t>Jean Dupont</t>
  </si>
  <si>
    <t>6062 8200 5369 4904</t>
  </si>
  <si>
    <t>67010691002</t>
  </si>
  <si>
    <t>6505 0666 7155 5022</t>
  </si>
  <si>
    <t>77551164685</t>
  </si>
  <si>
    <t>Jeannel Aubry</t>
  </si>
  <si>
    <t>5442 7460 1068 2788</t>
  </si>
  <si>
    <t>685</t>
  </si>
  <si>
    <t>45447544025</t>
  </si>
  <si>
    <t>Jian Liu</t>
  </si>
  <si>
    <t>6505 0666 6165 7964</t>
  </si>
  <si>
    <t>41750109719</t>
  </si>
  <si>
    <t>Jiwoo Park</t>
  </si>
  <si>
    <t>5442 7460 4468 2208</t>
  </si>
  <si>
    <t>15980864210</t>
  </si>
  <si>
    <t>Joao Lucas Santos</t>
  </si>
  <si>
    <t>5185 4460 5023 3908</t>
  </si>
  <si>
    <t>210</t>
  </si>
  <si>
    <t>54451216311</t>
  </si>
  <si>
    <t>Joao Miguel Franco</t>
  </si>
  <si>
    <t>5364 2660 0630 5144</t>
  </si>
  <si>
    <t>311</t>
  </si>
  <si>
    <t>18956389652</t>
  </si>
  <si>
    <t>5442 7460 8520 0590</t>
  </si>
  <si>
    <t>652</t>
  </si>
  <si>
    <t>01086796160</t>
  </si>
  <si>
    <t>Joao Pedro Silva</t>
  </si>
  <si>
    <t>3782 810474 1016</t>
  </si>
  <si>
    <t>18642038977</t>
  </si>
  <si>
    <t>Joaquin Gonzalez</t>
  </si>
  <si>
    <t>5442 7460 2626 2988</t>
  </si>
  <si>
    <t>30423481053</t>
  </si>
  <si>
    <t>6062 8200 2812 3053</t>
  </si>
  <si>
    <t>20092389589</t>
  </si>
  <si>
    <t>Joon Jeong</t>
  </si>
  <si>
    <t>6062 8200 7026 8413</t>
  </si>
  <si>
    <t>73129536620</t>
  </si>
  <si>
    <t>Juliana Lima Rezende</t>
  </si>
  <si>
    <t>4576 7460 1295 1259</t>
  </si>
  <si>
    <t>4576 7460 1411 7539</t>
  </si>
  <si>
    <t>762</t>
  </si>
  <si>
    <t>65487063583</t>
  </si>
  <si>
    <t>Julio Xavier</t>
  </si>
  <si>
    <t>5373 6360 1646 7101</t>
  </si>
  <si>
    <t>583</t>
  </si>
  <si>
    <t>20250513611</t>
  </si>
  <si>
    <t>Karla Melo</t>
  </si>
  <si>
    <t>5442 7460 6785 5678</t>
  </si>
  <si>
    <t>611</t>
  </si>
  <si>
    <t>92957697327</t>
  </si>
  <si>
    <t>Kenji Sato</t>
  </si>
  <si>
    <t>6505 0666 1952 5435</t>
  </si>
  <si>
    <t>16618184630</t>
  </si>
  <si>
    <t>6062 8200 1410 7804</t>
  </si>
  <si>
    <t>68737946439</t>
  </si>
  <si>
    <t>Khalid Al-Zahrani</t>
  </si>
  <si>
    <t>3782 490279 9866</t>
  </si>
  <si>
    <t>87300736009</t>
  </si>
  <si>
    <t>6062 8200 8940 1249</t>
  </si>
  <si>
    <t>24930613945</t>
  </si>
  <si>
    <t>Lane Larkin</t>
  </si>
  <si>
    <t>5442 7460 3631 2648</t>
  </si>
  <si>
    <t>945</t>
  </si>
  <si>
    <t>99721176699</t>
  </si>
  <si>
    <t>Laura Oliveira</t>
  </si>
  <si>
    <t>5442 7460 7842 0893</t>
  </si>
  <si>
    <t>699</t>
  </si>
  <si>
    <t>92454501635</t>
  </si>
  <si>
    <t>Laurine Maillard</t>
  </si>
  <si>
    <t>5442 7460 4528 6363</t>
  </si>
  <si>
    <t>635</t>
  </si>
  <si>
    <t>87111008855</t>
  </si>
  <si>
    <t>Lei Chen</t>
  </si>
  <si>
    <t>5442 7460 9738 1287</t>
  </si>
  <si>
    <t>09636364990</t>
  </si>
  <si>
    <t>3782 153566 5282</t>
  </si>
  <si>
    <t>89287038082</t>
  </si>
  <si>
    <t>Leonardo Bianchi</t>
  </si>
  <si>
    <t>5442 7460 4389 5317</t>
  </si>
  <si>
    <t>43128363455</t>
  </si>
  <si>
    <t>Leonardo Braga</t>
  </si>
  <si>
    <t>5185 4460 7495 1691</t>
  </si>
  <si>
    <t>455</t>
  </si>
  <si>
    <t>23915031801</t>
  </si>
  <si>
    <t>Liz Batista</t>
  </si>
  <si>
    <t>5364 2660 3743 2404</t>
  </si>
  <si>
    <t>801</t>
  </si>
  <si>
    <t>68141495240</t>
  </si>
  <si>
    <t>Lucas Gabriel Ferreira</t>
  </si>
  <si>
    <t>6505 0666 1745 4082</t>
  </si>
  <si>
    <t>00238338827</t>
  </si>
  <si>
    <t>3782 493613 7137</t>
  </si>
  <si>
    <t>80535757654</t>
  </si>
  <si>
    <t>Lucas Laurent</t>
  </si>
  <si>
    <t>6062 8200 7609 3088</t>
  </si>
  <si>
    <t>27146712338</t>
  </si>
  <si>
    <t>Lucas Oliveira</t>
  </si>
  <si>
    <t>5442 7460 0832 9024</t>
  </si>
  <si>
    <t>338</t>
  </si>
  <si>
    <t>73511641500</t>
  </si>
  <si>
    <t>Lucca Macedo</t>
  </si>
  <si>
    <t>5185 4460 2551 9506</t>
  </si>
  <si>
    <t>500</t>
  </si>
  <si>
    <t>84688882300</t>
  </si>
  <si>
    <t>Lucca Martins</t>
  </si>
  <si>
    <t>5442 7460 0195 2657</t>
  </si>
  <si>
    <t>300</t>
  </si>
  <si>
    <t>17058588562</t>
  </si>
  <si>
    <t>Lukas Schneider</t>
  </si>
  <si>
    <t>6062 8200 3014 7312</t>
  </si>
  <si>
    <t>13912221138</t>
  </si>
  <si>
    <t>3782 760745 3409</t>
  </si>
  <si>
    <t>81123471746</t>
  </si>
  <si>
    <t>Marcela Moreira</t>
  </si>
  <si>
    <t>5364 2660 6467 4217</t>
  </si>
  <si>
    <t>746</t>
  </si>
  <si>
    <t>57137689370</t>
  </si>
  <si>
    <t>Marcela Xavier</t>
  </si>
  <si>
    <t>5185 4460 5982 5787</t>
  </si>
  <si>
    <t>84823321987</t>
  </si>
  <si>
    <t>Marcel Breton</t>
  </si>
  <si>
    <t>5442 7460 1766 7750</t>
  </si>
  <si>
    <t>987</t>
  </si>
  <si>
    <t>4766 0760 5262 6492</t>
  </si>
  <si>
    <t>63566545708</t>
  </si>
  <si>
    <t>Marcia Santos</t>
  </si>
  <si>
    <t>5364 2660 5531 3197</t>
  </si>
  <si>
    <t>708</t>
  </si>
  <si>
    <t>93784945015</t>
  </si>
  <si>
    <t>Margarida Martins</t>
  </si>
  <si>
    <t>5442 7460 5748 2658</t>
  </si>
  <si>
    <t>12902848900</t>
  </si>
  <si>
    <t>Mariana Costa Silva</t>
  </si>
  <si>
    <t>4576 7460 6419 0687</t>
  </si>
  <si>
    <t>28177566814</t>
  </si>
  <si>
    <t>3782 155660 6516</t>
  </si>
  <si>
    <t>98362511206</t>
  </si>
  <si>
    <t>Maria Santos</t>
  </si>
  <si>
    <t>5364 2660 1540 4490</t>
  </si>
  <si>
    <t>206</t>
  </si>
  <si>
    <t>92226402250</t>
  </si>
  <si>
    <t>Marina Carvalho</t>
  </si>
  <si>
    <t>5364 2660 1905 5884</t>
  </si>
  <si>
    <t>250</t>
  </si>
  <si>
    <t>80417045181</t>
  </si>
  <si>
    <t>Marli Carvalho</t>
  </si>
  <si>
    <t>5442 7460 5473 5974</t>
  </si>
  <si>
    <t>181</t>
  </si>
  <si>
    <t>02915062919</t>
  </si>
  <si>
    <t>Martim Costa</t>
  </si>
  <si>
    <t>6505 0666 7166 3754</t>
  </si>
  <si>
    <t>72856446096</t>
  </si>
  <si>
    <t>Marvin Dietrich</t>
  </si>
  <si>
    <t>5442 7460 1716 7924</t>
  </si>
  <si>
    <t>88877766655</t>
  </si>
  <si>
    <t>Massa Teste DB Real</t>
  </si>
  <si>
    <t>5442 7460 5720 1203</t>
  </si>
  <si>
    <t>655</t>
  </si>
  <si>
    <t>38160081359</t>
  </si>
  <si>
    <t>Mateo Fernandez</t>
  </si>
  <si>
    <t>6062 8200 6029 3753</t>
  </si>
  <si>
    <t>88339779788</t>
  </si>
  <si>
    <t>Mathilde Le gall</t>
  </si>
  <si>
    <t>5442 7460 7512 2955</t>
  </si>
  <si>
    <t>788</t>
  </si>
  <si>
    <t>23626419533</t>
  </si>
  <si>
    <t>Matteo Rossi</t>
  </si>
  <si>
    <t>5442 7460 2709 5864</t>
  </si>
  <si>
    <t>34715548313</t>
  </si>
  <si>
    <t>Maurice Meyer</t>
  </si>
  <si>
    <t>5442 7460 5940 3931</t>
  </si>
  <si>
    <t>313</t>
  </si>
  <si>
    <t>74478435715</t>
  </si>
  <si>
    <t>Maximilian Mueller</t>
  </si>
  <si>
    <t>6505 0666 6916 0630</t>
  </si>
  <si>
    <t>24369438004</t>
  </si>
  <si>
    <t>6062 8200 7915 2689</t>
  </si>
  <si>
    <t>40207277168</t>
  </si>
  <si>
    <t>Mercia Oliveira</t>
  </si>
  <si>
    <t>5185 4460 6676 7873</t>
  </si>
  <si>
    <t>168</t>
  </si>
  <si>
    <t>34310951783</t>
  </si>
  <si>
    <t>Michael David Williams</t>
  </si>
  <si>
    <t>6062 8200 9426 0604</t>
  </si>
  <si>
    <t>47591910388</t>
  </si>
  <si>
    <t>5442 7460 3483 8572</t>
  </si>
  <si>
    <t>92808200609</t>
  </si>
  <si>
    <t>Ming Zhang</t>
  </si>
  <si>
    <t>5442 7460 7882 7909</t>
  </si>
  <si>
    <t>50058578501</t>
  </si>
  <si>
    <t>Minjun Kim</t>
  </si>
  <si>
    <t>6062 8200 3229 1653</t>
  </si>
  <si>
    <t>37107075012</t>
  </si>
  <si>
    <t>6505 0666 2639 6273</t>
  </si>
  <si>
    <t>16165143539</t>
  </si>
  <si>
    <t>5442 7460 5909 1739</t>
  </si>
  <si>
    <t>539</t>
  </si>
  <si>
    <t>4576 7460 3018 3424</t>
  </si>
  <si>
    <t>814</t>
  </si>
  <si>
    <t>58628880208</t>
  </si>
  <si>
    <t>Morgan Poirier</t>
  </si>
  <si>
    <t>5442 7460 3696 2770</t>
  </si>
  <si>
    <t>208</t>
  </si>
  <si>
    <t>93852856961</t>
  </si>
  <si>
    <t>5442 7460 1816 6483</t>
  </si>
  <si>
    <t>961</t>
  </si>
  <si>
    <t>77529588591</t>
  </si>
  <si>
    <t>Nathalie Fournier</t>
  </si>
  <si>
    <t>5442 7460 9991 0293</t>
  </si>
  <si>
    <t>591</t>
  </si>
  <si>
    <t>77485258974</t>
  </si>
  <si>
    <t>Nicolas Reis</t>
  </si>
  <si>
    <t>5185 4460 3712 0103</t>
  </si>
  <si>
    <t>974</t>
  </si>
  <si>
    <t>98215828507</t>
  </si>
  <si>
    <t>Noura Al-Saud</t>
  </si>
  <si>
    <t>4576 7460 9102 4721</t>
  </si>
  <si>
    <t>72314189884</t>
  </si>
  <si>
    <t>5442 7460 6181 5967</t>
  </si>
  <si>
    <t>3787 800063 66588</t>
  </si>
  <si>
    <t>626</t>
  </si>
  <si>
    <t>32749568803</t>
  </si>
  <si>
    <t>Odile Bernard</t>
  </si>
  <si>
    <t>5373 6360 4888 5791</t>
  </si>
  <si>
    <t>803</t>
  </si>
  <si>
    <t>17334727380</t>
  </si>
  <si>
    <t>Odile Meunier</t>
  </si>
  <si>
    <t>5442 7460 6457 6600</t>
  </si>
  <si>
    <t>380</t>
  </si>
  <si>
    <t>65921979198</t>
  </si>
  <si>
    <t>Olivia Elizabeth Davis</t>
  </si>
  <si>
    <t>3782 964484 9713</t>
  </si>
  <si>
    <t>48431018434</t>
  </si>
  <si>
    <t>Opal King</t>
  </si>
  <si>
    <t>5442 7460 2097 3752</t>
  </si>
  <si>
    <t>434</t>
  </si>
  <si>
    <t>81698023189</t>
  </si>
  <si>
    <t>Oury Roche</t>
  </si>
  <si>
    <t>5442 7460 6843 4377</t>
  </si>
  <si>
    <t>33522298364</t>
  </si>
  <si>
    <t>Paula Barros</t>
  </si>
  <si>
    <t>5442 7460 8142 6976</t>
  </si>
  <si>
    <t>364</t>
  </si>
  <si>
    <t>61369613180</t>
  </si>
  <si>
    <t>Paulette Jean</t>
  </si>
  <si>
    <t>5442 7460 5165 4834</t>
  </si>
  <si>
    <t>180</t>
  </si>
  <si>
    <t>5442 7460 9732 0132</t>
  </si>
  <si>
    <t>585</t>
  </si>
  <si>
    <t>28832869497</t>
  </si>
  <si>
    <t>5442 7460 8592 9077</t>
  </si>
  <si>
    <t>497</t>
  </si>
  <si>
    <t>24719788947</t>
  </si>
  <si>
    <t>5442 7460 6080 0554</t>
  </si>
  <si>
    <t>947</t>
  </si>
  <si>
    <t>35417211460</t>
  </si>
  <si>
    <t>Pierre Bernard</t>
  </si>
  <si>
    <t>5442 7460 6905 0790</t>
  </si>
  <si>
    <t>95970102598</t>
  </si>
  <si>
    <t>Pietro Carvalho</t>
  </si>
  <si>
    <t>5373 6360 2570 9865</t>
  </si>
  <si>
    <t>598</t>
  </si>
  <si>
    <t>67154864257</t>
  </si>
  <si>
    <t>Prosper Julien</t>
  </si>
  <si>
    <t>5442 7460 3333 2884</t>
  </si>
  <si>
    <t>257</t>
  </si>
  <si>
    <t>27788134384</t>
  </si>
  <si>
    <t>Rafaela Nogueira</t>
  </si>
  <si>
    <t>5185 4460 1236 3660</t>
  </si>
  <si>
    <t>384</t>
  </si>
  <si>
    <t>42975897884</t>
  </si>
  <si>
    <t>Rafael Moreira</t>
  </si>
  <si>
    <t>5442 7460 6663 2979</t>
  </si>
  <si>
    <t>92134441682</t>
  </si>
  <si>
    <t>Rafael Nogueira</t>
  </si>
  <si>
    <t>5442 7460 0100 0259</t>
  </si>
  <si>
    <t>682</t>
  </si>
  <si>
    <t>6505 0666 4090 4551</t>
  </si>
  <si>
    <t>783</t>
  </si>
  <si>
    <t>76726514039</t>
  </si>
  <si>
    <t>Rafael Xavier</t>
  </si>
  <si>
    <t>5442 7460 2091 1845</t>
  </si>
  <si>
    <t>76671725950</t>
  </si>
  <si>
    <t>Raymonde Bernard</t>
  </si>
  <si>
    <t>5442 7460 6274 1188</t>
  </si>
  <si>
    <t>950</t>
  </si>
  <si>
    <t>51243235758</t>
  </si>
  <si>
    <t>Rebeca Moreira</t>
  </si>
  <si>
    <t>5442 7460 9444 2887</t>
  </si>
  <si>
    <t>758</t>
  </si>
  <si>
    <t>27888186700</t>
  </si>
  <si>
    <t>5442 7460 2688 1150</t>
  </si>
  <si>
    <t>700</t>
  </si>
  <si>
    <t>80665429410</t>
  </si>
  <si>
    <t>Ren Ito</t>
  </si>
  <si>
    <t>3782 910865 8932</t>
  </si>
  <si>
    <t>41649264658</t>
  </si>
  <si>
    <t>6505 0666 7023 0156</t>
  </si>
  <si>
    <t>78475680046</t>
  </si>
  <si>
    <t>Rodrigo Mendes Oliveira</t>
  </si>
  <si>
    <t>5442 7460 6201 6839</t>
  </si>
  <si>
    <t>42074143630</t>
  </si>
  <si>
    <t>Roselin Arnaud</t>
  </si>
  <si>
    <t>5364 2660 9470 1600</t>
  </si>
  <si>
    <t>630</t>
  </si>
  <si>
    <t>4203 1060 1720 4159</t>
  </si>
  <si>
    <t>805</t>
  </si>
  <si>
    <t>6505 0666 7940 5736</t>
  </si>
  <si>
    <t>687</t>
  </si>
  <si>
    <t>43316626409</t>
  </si>
  <si>
    <t>Samuel Carvalho</t>
  </si>
  <si>
    <t>5442 7460 3547 2177</t>
  </si>
  <si>
    <t>409</t>
  </si>
  <si>
    <t>11879646706</t>
  </si>
  <si>
    <t>Santiago Gomez</t>
  </si>
  <si>
    <t>6505 0666 7565 3509</t>
  </si>
  <si>
    <t>6062 8200 7050 9297</t>
  </si>
  <si>
    <t>897</t>
  </si>
  <si>
    <t>08025476561</t>
  </si>
  <si>
    <t>Seoyun Lee</t>
  </si>
  <si>
    <t>3782 532467 8360</t>
  </si>
  <si>
    <t>82474679928</t>
  </si>
  <si>
    <t>Sofia Esposito</t>
  </si>
  <si>
    <t>6062 8200 2915 7609</t>
  </si>
  <si>
    <t>16180339887</t>
  </si>
  <si>
    <t>Solda Final Teste</t>
  </si>
  <si>
    <t>3782 971602 1482</t>
  </si>
  <si>
    <t>27182818284</t>
  </si>
  <si>
    <t>Sonda Evento Bus</t>
  </si>
  <si>
    <t>6505 0666 7067 1211</t>
  </si>
  <si>
    <t>49768246758</t>
  </si>
  <si>
    <t>Sophia Grace Brown</t>
  </si>
  <si>
    <t>6062 8200 6757 6160</t>
  </si>
  <si>
    <t>66069157834</t>
  </si>
  <si>
    <t>Sophia Macedo</t>
  </si>
  <si>
    <t>5373 6360 0487 1231</t>
  </si>
  <si>
    <t>834</t>
  </si>
  <si>
    <t>15803041416</t>
  </si>
  <si>
    <t>Sophie Schmidt</t>
  </si>
  <si>
    <t>6062 8200 8153 1556</t>
  </si>
  <si>
    <t>03665706173</t>
  </si>
  <si>
    <t>Suelen Oliveira</t>
  </si>
  <si>
    <t>5185 4460 5544 6257</t>
  </si>
  <si>
    <t>173</t>
  </si>
  <si>
    <t>59127562468</t>
  </si>
  <si>
    <t>Tariq Al-Mansoor</t>
  </si>
  <si>
    <t>5442 7460 9214 5172</t>
  </si>
  <si>
    <t>12558823280</t>
  </si>
  <si>
    <t>4576 7460 7292 2294</t>
  </si>
  <si>
    <t>51742065392</t>
  </si>
  <si>
    <t>Taro Tanaka</t>
  </si>
  <si>
    <t>4576 7460 9383 4990</t>
  </si>
  <si>
    <t>6505 1960 7465 5476</t>
  </si>
  <si>
    <t>205</t>
  </si>
  <si>
    <t>31415926535</t>
  </si>
  <si>
    <t>Teste Solda Evento</t>
  </si>
  <si>
    <t>4576 7460 8954 9038</t>
  </si>
  <si>
    <t>88888888889</t>
  </si>
  <si>
    <t>teste teste</t>
  </si>
  <si>
    <t>5442 7460 6181 1207</t>
  </si>
  <si>
    <t>889</t>
  </si>
  <si>
    <t>12345678901</t>
  </si>
  <si>
    <t>Test User</t>
  </si>
  <si>
    <t>6505 2260 9151 8876</t>
  </si>
  <si>
    <t>901</t>
  </si>
  <si>
    <t>77777777777</t>
  </si>
  <si>
    <t>5442 7460 6378 1888</t>
  </si>
  <si>
    <t>12345678909</t>
  </si>
  <si>
    <t>5442 7460 0887 2353</t>
  </si>
  <si>
    <t>909</t>
  </si>
  <si>
    <t>98765432100</t>
  </si>
  <si>
    <t>User Teste</t>
  </si>
  <si>
    <t>5442 7460 8915 7058</t>
  </si>
  <si>
    <t>100</t>
  </si>
  <si>
    <t>46945365409</t>
  </si>
  <si>
    <t>Valentina Rodriguez</t>
  </si>
  <si>
    <t>4576 7460 2148 2328</t>
  </si>
  <si>
    <t>23201979902</t>
  </si>
  <si>
    <t>Vitor Albuquerque</t>
  </si>
  <si>
    <t>5442 7460 2829 3788</t>
  </si>
  <si>
    <t>902</t>
  </si>
  <si>
    <t>6062 8200 3828 9636</t>
  </si>
  <si>
    <t>590</t>
  </si>
  <si>
    <t>84585226834</t>
  </si>
  <si>
    <t>Wei Li</t>
  </si>
  <si>
    <t>6062 8200 1482 6074</t>
  </si>
  <si>
    <t>29910306743</t>
  </si>
  <si>
    <t>William Robert Miller</t>
  </si>
  <si>
    <t>6505 0666 6048 3970</t>
  </si>
  <si>
    <t>30857462261</t>
  </si>
  <si>
    <t>3782 307314 7663</t>
  </si>
  <si>
    <t>64332859618</t>
  </si>
  <si>
    <t>Xavier Thomas</t>
  </si>
  <si>
    <t>5442 7460 5170 1435</t>
  </si>
  <si>
    <t>96873928860</t>
  </si>
  <si>
    <t>Xiu Ying Wang</t>
  </si>
  <si>
    <t>4576 7460 4070 1907</t>
  </si>
  <si>
    <t>77751515015</t>
  </si>
  <si>
    <t>Yan Yang</t>
  </si>
  <si>
    <t>3782 111460 0263</t>
  </si>
  <si>
    <t>12923841310</t>
  </si>
  <si>
    <t>Youssef Al-Otaibi</t>
  </si>
  <si>
    <t>4576 7460 4366 5432</t>
  </si>
  <si>
    <t>11004395108</t>
  </si>
  <si>
    <t>3782 392688 5764</t>
  </si>
  <si>
    <t>77148062578</t>
  </si>
  <si>
    <t>Yuki Takahashi</t>
  </si>
  <si>
    <t>6062 8200 9857 5516</t>
  </si>
  <si>
    <t>CT02.1</t>
  </si>
  <si>
    <t>Enviar Pix por CPF e validar comprovante no extrato</t>
  </si>
  <si>
    <t>pix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</si>
  <si>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</si>
  <si>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</si>
  <si>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</si>
  <si>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</si>
  <si>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</si>
  <si>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</si>
  <si>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</si>
  <si>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</si>
  <si>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</si>
  <si>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</si>
  <si>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</si>
  <si>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</si>
  <si>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</si>
  <si>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</si>
  <si>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</si>
  <si>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</si>
  <si>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</si>
  <si>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</si>
  <si>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</si>
  <si>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</si>
  <si>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</si>
  <si>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</si>
  <si>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</si>
  <si>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</si>
  <si>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</si>
  <si>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</si>
  <si>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</si>
  <si>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</si>
  <si>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</si>
  <si>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</si>
  <si>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</si>
  <si>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</si>
  <si>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</si>
  <si>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</si>
  <si>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</si>
  <si>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</si>
  <si>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</si>
  <si>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</si>
  <si>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</si>
  <si>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</si>
  <si>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</si>
  <si>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</si>
  <si>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</si>
  <si>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</si>
  <si>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</si>
  <si>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</si>
  <si>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</si>
  <si>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</si>
  <si>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</si>
  <si>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</si>
  <si>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</si>
  <si>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</si>
  <si>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</si>
  <si>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</si>
  <si>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</si>
  <si>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</si>
  <si>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</si>
  <si>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</si>
  <si>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</si>
  <si>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</si>
  <si>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</si>
  <si>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</si>
  <si>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</si>
  <si>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</si>
  <si>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</si>
  <si>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</si>
  <si>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</si>
  <si>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</si>
  <si>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</si>
  <si>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</si>
  <si>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</si>
  <si>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</si>
  <si>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</si>
  <si>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</si>
  <si>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</si>
  <si>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</si>
  <si>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</si>
  <si>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</si>
  <si>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</si>
  <si>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</si>
  <si>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</si>
  <si>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</si>
  <si>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</si>
  <si>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</si>
  <si>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</si>
  <si>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</si>
  <si>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</si>
  <si>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</si>
  <si>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</si>
  <si>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</si>
  <si>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</si>
  <si>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</si>
  <si>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</si>
  <si>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</si>
  <si>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</si>
  <si>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</si>
  <si>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</si>
  <si>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</si>
  <si>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</si>
  <si>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</si>
  <si>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</si>
  <si>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</si>
  <si>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</si>
  <si>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</si>
  <si>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</si>
  <si>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</si>
  <si>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</si>
  <si>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</si>
  <si>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</si>
  <si>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</si>
  <si>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</si>
  <si>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</si>
  <si>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</si>
  <si>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</si>
  <si>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</si>
  <si>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</si>
  <si>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</si>
  <si>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</si>
  <si>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</si>
  <si>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</si>
  <si>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</si>
  <si>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</si>
  <si>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ID_USUARIO</t>
  </si>
  <si>
    <t>CHAVE_ALEATORIA</t>
  </si>
  <si>
    <t xml:space="preserve">VALOR </t>
  </si>
  <si>
    <t>CARACTERISTICAS</t>
  </si>
  <si>
    <t>SALDO</t>
  </si>
  <si>
    <t>OBSERVACAO</t>
  </si>
  <si>
    <t>Receber PIX</t>
  </si>
  <si>
    <t>Valor PIX</t>
  </si>
  <si>
    <t>Nome Completo</t>
  </si>
  <si>
    <t>0016</t>
  </si>
  <si>
    <t>0018</t>
  </si>
  <si>
    <t>0019</t>
  </si>
  <si>
    <t>0020</t>
  </si>
  <si>
    <t>0021</t>
  </si>
  <si>
    <t>0022</t>
  </si>
  <si>
    <t>0023</t>
  </si>
  <si>
    <t>0024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</si>
  <si>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</si>
  <si>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</si>
  <si>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</si>
  <si>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</si>
  <si>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</si>
  <si>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</si>
  <si>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</si>
  <si>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</si>
  <si>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</si>
  <si>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</si>
  <si>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</si>
  <si>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</si>
  <si>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</si>
  <si>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</si>
  <si>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</si>
  <si>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</si>
  <si>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</si>
  <si>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</si>
  <si>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</si>
  <si>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</si>
  <si>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</si>
  <si>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</si>
  <si>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</si>
  <si>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</si>
  <si>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</si>
  <si>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</si>
  <si>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</si>
  <si>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</si>
  <si>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</si>
  <si>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</si>
  <si>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</si>
  <si>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</si>
  <si>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</si>
  <si>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</si>
  <si>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</si>
  <si>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</si>
  <si>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</si>
  <si>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</si>
  <si>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</si>
  <si>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</si>
  <si>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</si>
  <si>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</si>
  <si>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</si>
  <si>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</si>
  <si>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</si>
  <si>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</si>
  <si>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</si>
  <si>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</si>
  <si>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</si>
  <si>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</si>
  <si>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</si>
  <si>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</si>
  <si>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</si>
  <si>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</si>
  <si>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</si>
  <si>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</si>
  <si>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</si>
  <si>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</si>
  <si>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</si>
  <si>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</si>
  <si>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</si>
  <si>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</si>
  <si>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</si>
  <si>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</si>
  <si>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</si>
  <si>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</si>
  <si>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</si>
  <si>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</si>
  <si>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</si>
  <si>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</si>
  <si>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</si>
  <si>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</si>
  <si>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</si>
  <si>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CT02.2</t>
  </si>
  <si>
    <t>Bloquear envio de Pix quando o saldo é insuficiente</t>
  </si>
  <si>
    <t>11</t>
  </si>
  <si>
    <t>CT02.3</t>
  </si>
  <si>
    <t>Tentar enviar Pix sem saldo e validar o bloqueio da UI</t>
  </si>
  <si>
    <t>CT03.2</t>
  </si>
  <si>
    <t>CT03.3</t>
  </si>
  <si>
    <t>fatura</t>
  </si>
  <si>
    <t>150.01</t>
  </si>
  <si>
    <t>150.02</t>
  </si>
  <si>
    <t>150.03</t>
  </si>
  <si>
    <t>PIN</t>
  </si>
  <si>
    <t>CARTÃO</t>
  </si>
  <si>
    <t>12</t>
  </si>
  <si>
    <t>13</t>
  </si>
  <si>
    <t>14</t>
  </si>
  <si>
    <t>0222</t>
  </si>
  <si>
    <t>0223</t>
  </si>
  <si>
    <t>0224</t>
  </si>
  <si>
    <t>CT03.4</t>
  </si>
  <si>
    <t>CT03.5</t>
  </si>
  <si>
    <t>id_massa</t>
  </si>
  <si>
    <t>dia_vencimento</t>
  </si>
  <si>
    <t>nome_completo</t>
  </si>
  <si>
    <t>status</t>
  </si>
  <si>
    <t>data_criação</t>
  </si>
  <si>
    <t>inadimplente</t>
  </si>
  <si>
    <t>Natália Moraes</t>
  </si>
  <si>
    <t>adimplente</t>
  </si>
  <si>
    <t>Alícia Barros</t>
  </si>
  <si>
    <t>Elísio Souza</t>
  </si>
  <si>
    <t>César Braga</t>
  </si>
  <si>
    <t>João Miguel Silva</t>
  </si>
  <si>
    <t>Albéric Prevost</t>
  </si>
  <si>
    <t>René Gautier</t>
  </si>
  <si>
    <t>Émile Clement</t>
  </si>
  <si>
    <t>Moïsette Maillard</t>
  </si>
  <si>
    <t>Philothée Charles</t>
  </si>
  <si>
    <t>Philomène Fabre</t>
  </si>
  <si>
    <t>Albérade Chevalier</t>
  </si>
  <si>
    <t>Gaëlle Joly</t>
  </si>
  <si>
    <t>Élzéar Marie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</si>
  <si>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</si>
  <si>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</si>
  <si>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</si>
  <si>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</si>
  <si>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</si>
  <si>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</si>
  <si>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</si>
  <si>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</si>
  <si>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</si>
  <si>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</si>
  <si>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</si>
  <si>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</si>
  <si>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</si>
  <si>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</si>
  <si>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</si>
  <si>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</si>
  <si>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</si>
  <si>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</si>
  <si>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</si>
  <si>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</si>
  <si>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</si>
  <si>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</si>
  <si>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</si>
  <si>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</si>
  <si>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</si>
  <si>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</si>
  <si>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</si>
  <si>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</si>
  <si>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</si>
  <si>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3714 800007 66662</t>
  </si>
  <si>
    <t>735</t>
  </si>
  <si>
    <t>0254</t>
  </si>
  <si>
    <t>5185 4460 6097 8021</t>
  </si>
  <si>
    <t>496</t>
  </si>
  <si>
    <t>0255</t>
  </si>
  <si>
    <t>0256</t>
  </si>
  <si>
    <t>0257</t>
  </si>
  <si>
    <t>70080586597</t>
  </si>
  <si>
    <t>Teste Verificacao Pin</t>
  </si>
  <si>
    <t>5442 7460 9819 2000</t>
  </si>
  <si>
    <t>0258</t>
  </si>
  <si>
    <t>77671688088</t>
  </si>
  <si>
    <t>3782 792990 4076</t>
  </si>
  <si>
    <t>0259</t>
  </si>
  <si>
    <t>47730117347</t>
  </si>
  <si>
    <t>4576 7460 4476 4438</t>
  </si>
  <si>
    <t>0260</t>
  </si>
  <si>
    <t>24415291457</t>
  </si>
  <si>
    <t>4576 7460 9054 3446</t>
  </si>
  <si>
    <t>0261</t>
  </si>
  <si>
    <t>77911486336</t>
  </si>
  <si>
    <t>3782 136636 9049</t>
  </si>
  <si>
    <t>0262</t>
  </si>
  <si>
    <t>59912891155</t>
  </si>
  <si>
    <t>6062 8200 6653 5701</t>
  </si>
  <si>
    <t>0263</t>
  </si>
  <si>
    <t>52627600907</t>
  </si>
  <si>
    <t>6505 0666 3778 9421</t>
  </si>
  <si>
    <t>0264</t>
  </si>
  <si>
    <t>51484422635</t>
  </si>
  <si>
    <t>6505 0666 2920 0649</t>
  </si>
  <si>
    <t>0265</t>
  </si>
  <si>
    <t>32653492091</t>
  </si>
  <si>
    <t>6062 8200 4058 1358</t>
  </si>
  <si>
    <t>0266</t>
  </si>
  <si>
    <t>09044605330</t>
  </si>
  <si>
    <t>6505 0666 6856 2270</t>
  </si>
  <si>
    <t>0267</t>
  </si>
  <si>
    <t>54688525273</t>
  </si>
  <si>
    <t>5442 7460 9954 1781</t>
  </si>
  <si>
    <t>0268</t>
  </si>
  <si>
    <t>49189459024</t>
  </si>
  <si>
    <t>6505 0666 5246 2732</t>
  </si>
  <si>
    <t>0269</t>
  </si>
  <si>
    <t>39121865108</t>
  </si>
  <si>
    <t>6505 0666 1671 6546</t>
  </si>
  <si>
    <t>6505 0666 3039 9501</t>
  </si>
  <si>
    <t>0270</t>
  </si>
  <si>
    <t>77025402907</t>
  </si>
  <si>
    <t>4576 7460 3620 5020</t>
  </si>
  <si>
    <t>4576 7460 6462 8999</t>
  </si>
  <si>
    <t>0271</t>
  </si>
  <si>
    <t>20488598605</t>
  </si>
  <si>
    <t>3782 427800 0927</t>
  </si>
  <si>
    <t>3782 386184 7968</t>
  </si>
  <si>
    <t>0272</t>
  </si>
  <si>
    <t>55966997640</t>
  </si>
  <si>
    <t>6062 8200 9195 3714</t>
  </si>
  <si>
    <t>6062 8200 7271 6748</t>
  </si>
  <si>
    <t>0273</t>
  </si>
  <si>
    <t>94938513897</t>
  </si>
  <si>
    <t>6505 0666 6854 3070</t>
  </si>
  <si>
    <t>0274</t>
  </si>
  <si>
    <t>35198162027</t>
  </si>
  <si>
    <t>6062 8200 3120 7923</t>
  </si>
  <si>
    <t>6062 8200 3515 9166</t>
  </si>
  <si>
    <t>0275</t>
  </si>
  <si>
    <t>71113626917</t>
  </si>
  <si>
    <t>4576 7460 1674 5339</t>
  </si>
  <si>
    <t>4576 7460 6250 3397</t>
  </si>
  <si>
    <t>0276</t>
  </si>
  <si>
    <t>86967614568</t>
  </si>
  <si>
    <t>4576 7460 8726 2080</t>
  </si>
  <si>
    <t>0277</t>
  </si>
  <si>
    <t>70028698924</t>
  </si>
  <si>
    <t>4576 7460 4677 6166</t>
  </si>
  <si>
    <t>0278</t>
  </si>
  <si>
    <t>01648104550</t>
  </si>
  <si>
    <t>4576 7460 8497 6840</t>
  </si>
  <si>
    <t>4576 7460 7974 9491</t>
  </si>
  <si>
    <t>0279</t>
  </si>
  <si>
    <t>26840915360</t>
  </si>
  <si>
    <t>4576 7460 6513 3472</t>
  </si>
  <si>
    <t>0280</t>
  </si>
  <si>
    <t>28260181401</t>
  </si>
  <si>
    <t>6505 0666 5159 2007</t>
  </si>
  <si>
    <t>6505 0666 5181 5927</t>
  </si>
  <si>
    <t>0281</t>
  </si>
  <si>
    <t>79424163800</t>
  </si>
  <si>
    <t>6505 0666 8807 1750</t>
  </si>
  <si>
    <t>0282</t>
  </si>
  <si>
    <t>64896650930</t>
  </si>
  <si>
    <t>4576 7460 8061 6781</t>
  </si>
  <si>
    <t>0283</t>
  </si>
  <si>
    <t>02840244063</t>
  </si>
  <si>
    <t>4576 7460 6093 5379</t>
  </si>
  <si>
    <t>0284</t>
  </si>
  <si>
    <t>14774436739</t>
  </si>
  <si>
    <t>6062 8200 2163 5716</t>
  </si>
  <si>
    <t>6062 8200 1993 6852</t>
  </si>
  <si>
    <t>0285</t>
  </si>
  <si>
    <t>32660006920</t>
  </si>
  <si>
    <t>3782 670027 7182</t>
  </si>
  <si>
    <t>0286</t>
  </si>
  <si>
    <t>31151984264</t>
  </si>
  <si>
    <t>6062 8200 2411 7903</t>
  </si>
  <si>
    <t>6062 8200 2775 0900</t>
  </si>
  <si>
    <t>0287</t>
  </si>
  <si>
    <t>19841659174</t>
  </si>
  <si>
    <t>5442 7460 7383 3835</t>
  </si>
  <si>
    <t>0288</t>
  </si>
  <si>
    <t>93035404763</t>
  </si>
  <si>
    <t>6505 0666 3842 0160</t>
  </si>
  <si>
    <t>6505 0666 3722 6039</t>
  </si>
  <si>
    <t>0289</t>
  </si>
  <si>
    <t>93573495370</t>
  </si>
  <si>
    <t>6505 0666 3012 1270</t>
  </si>
  <si>
    <t>6505 0666 3887 5658</t>
  </si>
  <si>
    <t>fat_min</t>
  </si>
  <si>
    <t>fat_parcial</t>
  </si>
  <si>
    <t>fat_menor_min</t>
  </si>
  <si>
    <t>Consultar faturas e pagar o valor total.</t>
  </si>
  <si>
    <t>Consultar faturas e pagar o valor mínimo.</t>
  </si>
  <si>
    <t>Consultar faturas e pagar com valor parcial</t>
  </si>
  <si>
    <t>Pagar valor Menor que o mínimo</t>
  </si>
  <si>
    <t>Pagar valor Maior que o mínimo</t>
  </si>
  <si>
    <t>16</t>
  </si>
  <si>
    <t>0290</t>
  </si>
  <si>
    <t>28291888531</t>
  </si>
  <si>
    <t>Lucas Gabriel Ferreira tu</t>
  </si>
  <si>
    <t>3782 907725 6467</t>
  </si>
  <si>
    <t>0291</t>
  </si>
  <si>
    <t>44010031107</t>
  </si>
  <si>
    <t>Santiago Gomez th</t>
  </si>
  <si>
    <t>6505 0666 5766 8664</t>
  </si>
  <si>
    <t>6505 0666 4809 9426</t>
  </si>
  <si>
    <t>0292</t>
  </si>
  <si>
    <t>08554650344</t>
  </si>
  <si>
    <t>William Robert Miller tr</t>
  </si>
  <si>
    <t>6505 0666 6891 8089</t>
  </si>
  <si>
    <t>0293</t>
  </si>
  <si>
    <t>46902786445</t>
  </si>
  <si>
    <t>Joon Jeonger</t>
  </si>
  <si>
    <t>6062 8200 4179 7276</t>
  </si>
  <si>
    <t>0294</t>
  </si>
  <si>
    <t>39088866783</t>
  </si>
  <si>
    <t>Camille Martinwe</t>
  </si>
  <si>
    <t>6062 8200 7718 9134</t>
  </si>
  <si>
    <t>0295</t>
  </si>
  <si>
    <t>53743477645</t>
  </si>
  <si>
    <t>Fahad Al-Ghamdiqw</t>
  </si>
  <si>
    <t>5442 7460 8269 3670</t>
  </si>
  <si>
    <t>5442 7460 7820 5942</t>
  </si>
  <si>
    <t>0296</t>
  </si>
  <si>
    <t>58379245580</t>
  </si>
  <si>
    <t>Ren Itoqw</t>
  </si>
  <si>
    <t>6062 8200 1212 0475</t>
  </si>
  <si>
    <t>6062 8200 1934 2795</t>
  </si>
  <si>
    <t>0297</t>
  </si>
  <si>
    <t>93373358590</t>
  </si>
  <si>
    <t>Santiago Gomasez</t>
  </si>
  <si>
    <t>5442 7460 8218 6799</t>
  </si>
  <si>
    <t>0298</t>
  </si>
  <si>
    <t>98223563312</t>
  </si>
  <si>
    <t>Chloe Dubasois</t>
  </si>
  <si>
    <t>3782 228417 7414</t>
  </si>
  <si>
    <t>3782 672811 2835</t>
  </si>
  <si>
    <t>0299</t>
  </si>
  <si>
    <t>38120843410</t>
  </si>
  <si>
    <t>Lukas Schqwneider</t>
  </si>
  <si>
    <t>6505 0666 2524 1753</t>
  </si>
  <si>
    <t>6505 0666 8170 6038</t>
  </si>
  <si>
    <t>0300</t>
  </si>
  <si>
    <t>98922242647</t>
  </si>
  <si>
    <t>Chloe Duqwbois</t>
  </si>
  <si>
    <t>5442 7460 3711 6304</t>
  </si>
  <si>
    <t>0301</t>
  </si>
  <si>
    <t>0302</t>
  </si>
  <si>
    <t>0303</t>
  </si>
  <si>
    <t>0304</t>
  </si>
  <si>
    <t>0305</t>
  </si>
  <si>
    <t>0306</t>
  </si>
  <si>
    <t>0307</t>
  </si>
  <si>
    <t>0308</t>
  </si>
  <si>
    <t>70272563633</t>
  </si>
  <si>
    <t>Jiwoo Paruik</t>
  </si>
  <si>
    <t>3782 325188 2065</t>
  </si>
  <si>
    <t>3782 686040 7451</t>
  </si>
  <si>
    <t>60083980768</t>
  </si>
  <si>
    <t>Kuihalid Al-Zahrani</t>
  </si>
  <si>
    <t>4576 7460 6654 3213</t>
  </si>
  <si>
    <t>17867091041</t>
  </si>
  <si>
    <t>Kenji Suiato</t>
  </si>
  <si>
    <t>6505 0666 3050 6750</t>
  </si>
  <si>
    <t>35711606492</t>
  </si>
  <si>
    <t>William Robert Muiller</t>
  </si>
  <si>
    <t>3782 969505 8372</t>
  </si>
  <si>
    <t>29033722682</t>
  </si>
  <si>
    <t>Mauximilian Mueller</t>
  </si>
  <si>
    <t>3782 369765 8397</t>
  </si>
  <si>
    <t>3782 725972 4287</t>
  </si>
  <si>
    <t>13586297653</t>
  </si>
  <si>
    <t>Mauriana Costa Silva</t>
  </si>
  <si>
    <t>6505 0666 8495 1540</t>
  </si>
  <si>
    <t>99872369100</t>
  </si>
  <si>
    <t>Gabriel Vinicius Souuza</t>
  </si>
  <si>
    <t>4576 7460 5475 9569</t>
  </si>
  <si>
    <t>30493526048</t>
  </si>
  <si>
    <t>Ines Oliuveira</t>
  </si>
  <si>
    <t>6505 0666 1412 1323</t>
  </si>
  <si>
    <t>0309</t>
  </si>
  <si>
    <t>65432546450</t>
  </si>
  <si>
    <t>6505 0666 6345 1555</t>
  </si>
  <si>
    <t>0310</t>
  </si>
  <si>
    <t>87652216052</t>
  </si>
  <si>
    <t>Hanako Watanfgabe</t>
  </si>
  <si>
    <t>5442 7460 6670 4196</t>
  </si>
  <si>
    <t>0311</t>
  </si>
  <si>
    <t>98463748520</t>
  </si>
  <si>
    <t>Seosdyun Lee</t>
  </si>
  <si>
    <t>5442 7460 3899 2839</t>
  </si>
  <si>
    <t>0312</t>
  </si>
  <si>
    <t>56731289671</t>
  </si>
  <si>
    <t>Fatima Al-Hardfbi</t>
  </si>
  <si>
    <t>3782 292950 9209</t>
  </si>
  <si>
    <t>0313</t>
  </si>
  <si>
    <t>49864548972</t>
  </si>
  <si>
    <t>Joon wJeong</t>
  </si>
  <si>
    <t>6062 8200 5997 3900</t>
  </si>
  <si>
    <t>0314</t>
  </si>
  <si>
    <t>01802088458</t>
  </si>
  <si>
    <t>Mariweana Costa Silva</t>
  </si>
  <si>
    <t>6505 0666 9725 4191</t>
  </si>
  <si>
    <t>0315</t>
  </si>
  <si>
    <t>92628846721</t>
  </si>
  <si>
    <t>Jiwean Liu</t>
  </si>
  <si>
    <t>4576 7460 3044 4774</t>
  </si>
  <si>
    <t>4576 7460 2984 7255</t>
  </si>
  <si>
    <t>status_fatura_fechada</t>
  </si>
  <si>
    <t>ABERTA</t>
  </si>
  <si>
    <t>0316</t>
  </si>
  <si>
    <t>22963721471</t>
  </si>
  <si>
    <t>Joaquin Gosnzalez</t>
  </si>
  <si>
    <t>4576 7460 5402 4735</t>
  </si>
  <si>
    <t>0317</t>
  </si>
  <si>
    <t>31503792706</t>
  </si>
  <si>
    <t>Pierre Bernsard</t>
  </si>
  <si>
    <t>6062 8200 5484 4239</t>
  </si>
  <si>
    <t>0318</t>
  </si>
  <si>
    <t>59804342243</t>
  </si>
  <si>
    <t>Luksas Schneider</t>
  </si>
  <si>
    <t>5442 7460 7409 7167</t>
  </si>
  <si>
    <t>0319</t>
  </si>
  <si>
    <t>36573595750</t>
  </si>
  <si>
    <t>Mateo Fernandsez</t>
  </si>
  <si>
    <t>6062 8200 2541 9516</t>
  </si>
  <si>
    <t>6062 8200 6562 0304</t>
  </si>
  <si>
    <t>status_fat_fechada</t>
  </si>
  <si>
    <t>fat_maior_min</t>
  </si>
  <si>
    <t>0320</t>
  </si>
  <si>
    <t>22177886040</t>
  </si>
  <si>
    <t>Fatimad Al-Harbi</t>
  </si>
  <si>
    <t>6505 0666 7970 6562</t>
  </si>
  <si>
    <t>6505 0666 4916 1789</t>
  </si>
  <si>
    <t>0321</t>
  </si>
  <si>
    <t>44328330500</t>
  </si>
  <si>
    <t>4576 7460 1972 4243</t>
  </si>
  <si>
    <t>0322</t>
  </si>
  <si>
    <t>72912610400</t>
  </si>
  <si>
    <t>Noura Al-Saqud</t>
  </si>
  <si>
    <t>6505 0666 4658 2099</t>
  </si>
  <si>
    <t>0323</t>
  </si>
  <si>
    <t>26631698030</t>
  </si>
  <si>
    <t>4576 7460 2348 5423</t>
  </si>
  <si>
    <t>22</t>
  </si>
  <si>
    <t>27</t>
  </si>
  <si>
    <t>6</t>
  </si>
  <si>
    <t>1</t>
  </si>
  <si>
    <t>19</t>
  </si>
  <si>
    <t>17</t>
  </si>
  <si>
    <t>0324</t>
  </si>
  <si>
    <t>07577665606</t>
  </si>
  <si>
    <t>3782 376849 6576</t>
  </si>
  <si>
    <t>0325</t>
  </si>
  <si>
    <t>43040626973</t>
  </si>
  <si>
    <t>5442 7460 7348 4478</t>
  </si>
  <si>
    <t>0326</t>
  </si>
  <si>
    <t>15336627119</t>
  </si>
  <si>
    <t>6505 0666 5196 0395</t>
  </si>
  <si>
    <t>0327</t>
  </si>
  <si>
    <t>51028811675</t>
  </si>
  <si>
    <t>5442 7460 6189 6511</t>
  </si>
  <si>
    <t>5442 7460 8370 1703</t>
  </si>
  <si>
    <t>0328</t>
  </si>
  <si>
    <t>08858964322</t>
  </si>
  <si>
    <t>4576 7460 5925 3334</t>
  </si>
  <si>
    <t>4576 7460 8074 1115</t>
  </si>
  <si>
    <t>0329</t>
  </si>
  <si>
    <t>80381157911</t>
  </si>
  <si>
    <t>6505 0666 9356 4971</t>
  </si>
  <si>
    <t>0330</t>
  </si>
  <si>
    <t>70268117896</t>
  </si>
  <si>
    <t>6062 8200 3807 8982</t>
  </si>
  <si>
    <t>0331</t>
  </si>
  <si>
    <t>90939424258</t>
  </si>
  <si>
    <t>6062 8200 8936 3131</t>
  </si>
  <si>
    <t>0332</t>
  </si>
  <si>
    <t>22642638146</t>
  </si>
  <si>
    <t>3782 151017 6000</t>
  </si>
  <si>
    <t>0333</t>
  </si>
  <si>
    <t>10725586109</t>
  </si>
  <si>
    <t>6505 0666 3989 9309</t>
  </si>
  <si>
    <t>6505 0666 5201 5174</t>
  </si>
  <si>
    <t>0334</t>
  </si>
  <si>
    <t>85335833890</t>
  </si>
  <si>
    <t>Marcos Fernandes Almeida</t>
  </si>
  <si>
    <t>4576 7460 5358 2156</t>
  </si>
  <si>
    <t>4576 7460 3283 1044</t>
  </si>
  <si>
    <t>0335</t>
  </si>
  <si>
    <t>36920426129</t>
  </si>
  <si>
    <t>Camila Lima</t>
  </si>
  <si>
    <t>6505 0666 4863 3280</t>
  </si>
  <si>
    <t>6505 0666 1445 1092</t>
  </si>
  <si>
    <t>0336</t>
  </si>
  <si>
    <t>84144150321</t>
  </si>
  <si>
    <t>Renata Borges Monteiro</t>
  </si>
  <si>
    <t>6505 0666 1756 9525</t>
  </si>
  <si>
    <t>6505 0666 6398 9662</t>
  </si>
  <si>
    <t>0337</t>
  </si>
  <si>
    <t>92166446213</t>
  </si>
  <si>
    <t>Matheus Souza</t>
  </si>
  <si>
    <t>6062 8200 2805 8216</t>
  </si>
  <si>
    <t>0338</t>
  </si>
  <si>
    <t>25699189033</t>
  </si>
  <si>
    <t>Camila Rodrigues Pereira</t>
  </si>
  <si>
    <t>6505 0666 8151 9921</t>
  </si>
  <si>
    <t>0339</t>
  </si>
  <si>
    <t>68117721236</t>
  </si>
  <si>
    <t>Gustavo Rocha Alves</t>
  </si>
  <si>
    <t>6062 8200 7501 3413</t>
  </si>
  <si>
    <t>6062 8200 9861 8036</t>
  </si>
  <si>
    <t>0340</t>
  </si>
  <si>
    <t>94670265202</t>
  </si>
  <si>
    <t>Caio Souza</t>
  </si>
  <si>
    <t>3782 177456 9851</t>
  </si>
  <si>
    <t>0341</t>
  </si>
  <si>
    <t>62704860505</t>
  </si>
  <si>
    <t>Leandro Lima Rocha</t>
  </si>
  <si>
    <t>6505 0666 9375 0283</t>
  </si>
  <si>
    <t>0342</t>
  </si>
  <si>
    <t>96466674738</t>
  </si>
  <si>
    <t>Vinicius Cardoso Barros</t>
  </si>
  <si>
    <t>3782 589564 5313</t>
  </si>
  <si>
    <t>0343</t>
  </si>
  <si>
    <t>11883258502</t>
  </si>
  <si>
    <t>Patricia Pinto</t>
  </si>
  <si>
    <t>3782 968891 0697</t>
  </si>
  <si>
    <t>0344</t>
  </si>
  <si>
    <t>70776504800</t>
  </si>
  <si>
    <t>Renato Araujo Rocha</t>
  </si>
  <si>
    <t>3782 571233 8136</t>
  </si>
  <si>
    <t>0345</t>
  </si>
  <si>
    <t>99583585572</t>
  </si>
  <si>
    <t>Vanessa Fernandes Alves</t>
  </si>
  <si>
    <t>6062 8200 6007 6137</t>
  </si>
  <si>
    <t>0346</t>
  </si>
  <si>
    <t>47542151843</t>
  </si>
  <si>
    <t>Guilherme Rodrigues Costa</t>
  </si>
  <si>
    <t>6505 0666 3466 0469</t>
  </si>
  <si>
    <t>0347</t>
  </si>
  <si>
    <t>40974315524</t>
  </si>
  <si>
    <t>Sabrina Nunes Cardoso</t>
  </si>
  <si>
    <t>5442 7460 7064 0275</t>
  </si>
  <si>
    <t>0348</t>
  </si>
  <si>
    <t>23025052805</t>
  </si>
  <si>
    <t>Mariana Fernandes Barros</t>
  </si>
  <si>
    <t>3782 590598 6267</t>
  </si>
  <si>
    <t>3782 534471 9647</t>
  </si>
  <si>
    <t>0349</t>
  </si>
  <si>
    <t>31500414301</t>
  </si>
  <si>
    <t>Debora Vieira</t>
  </si>
  <si>
    <t>6062 8200 9285 9710</t>
  </si>
  <si>
    <t>6062 8200 5392 9742</t>
  </si>
  <si>
    <t>0350</t>
  </si>
  <si>
    <t>43726884580</t>
  </si>
  <si>
    <t>Carolina Pereira Dias</t>
  </si>
  <si>
    <t>3782 437306 5283</t>
  </si>
  <si>
    <t>0351</t>
  </si>
  <si>
    <t>48769755078</t>
  </si>
  <si>
    <t>Marcelo Cavalcanti Castro</t>
  </si>
  <si>
    <t>3782 223713 8226</t>
  </si>
  <si>
    <t>3782 158410 6115</t>
  </si>
  <si>
    <t>0352</t>
  </si>
  <si>
    <t>22562791622</t>
  </si>
  <si>
    <t>Diego Vieira</t>
  </si>
  <si>
    <t>6505 0666 8470 1715</t>
  </si>
  <si>
    <t>0353</t>
  </si>
  <si>
    <t>68821327558</t>
  </si>
  <si>
    <t>Felipe Monteiro</t>
  </si>
  <si>
    <t>5442 7460 8046 6530</t>
  </si>
  <si>
    <t>5442 7460 3256 5842</t>
  </si>
  <si>
    <t>0354</t>
  </si>
  <si>
    <t>26685805366</t>
  </si>
  <si>
    <t>Carolina Fernandes Oliveira</t>
  </si>
  <si>
    <t>4576 7460 9268 7203</t>
  </si>
  <si>
    <t>0355</t>
  </si>
  <si>
    <t>24582991807</t>
  </si>
  <si>
    <t>Aline Moreira Santos</t>
  </si>
  <si>
    <t>6062 8200 9363 1180</t>
  </si>
  <si>
    <t>6062 8200 2398 9909</t>
  </si>
  <si>
    <t>0356</t>
  </si>
  <si>
    <t>67248806293</t>
  </si>
  <si>
    <t>Eduardo Nascimento Teixeira</t>
  </si>
  <si>
    <t>3782 957615 9859</t>
  </si>
  <si>
    <t>0357</t>
  </si>
  <si>
    <t>81845701399</t>
  </si>
  <si>
    <t>Vivian Nunes Carvalho</t>
  </si>
  <si>
    <t>3782 471775 3748</t>
  </si>
  <si>
    <t>0358</t>
  </si>
  <si>
    <t>10920133347</t>
  </si>
  <si>
    <t>Bianca Araujo</t>
  </si>
  <si>
    <t>6062 8200 4692 9847</t>
  </si>
  <si>
    <t>6062 8200 1428 5290</t>
  </si>
  <si>
    <t>0359</t>
  </si>
  <si>
    <t>80917197011</t>
  </si>
  <si>
    <t>Andre Nascimento</t>
  </si>
  <si>
    <t>6505 0666 3995 5356</t>
  </si>
  <si>
    <t>6505 0666 1775 3964</t>
  </si>
  <si>
    <t>0360</t>
  </si>
  <si>
    <t>71040451128</t>
  </si>
  <si>
    <t>Matheus Pereira Monteiro</t>
  </si>
  <si>
    <t>6062 8200 1917 8530</t>
  </si>
  <si>
    <t>6062 8200 5793 5396</t>
  </si>
  <si>
    <t>0361</t>
  </si>
  <si>
    <t>56807084420</t>
  </si>
  <si>
    <t>Leonardo Pinto Souza</t>
  </si>
  <si>
    <t>6062 8200 2945 2542</t>
  </si>
  <si>
    <t>0362</t>
  </si>
  <si>
    <t>08839971181</t>
  </si>
  <si>
    <t>Rafael Vieira Martins</t>
  </si>
  <si>
    <t>5442 7460 2884 7863</t>
  </si>
  <si>
    <t>0363</t>
  </si>
  <si>
    <t>31423586093</t>
  </si>
  <si>
    <t>Alexandre Borges Oliveira</t>
  </si>
  <si>
    <t>6505 0666 3160 0217</t>
  </si>
  <si>
    <t>6505 0666 5229 7927</t>
  </si>
  <si>
    <t>0364</t>
  </si>
  <si>
    <t>26857146187</t>
  </si>
  <si>
    <t>Renato Almeida Araujo</t>
  </si>
  <si>
    <t>4576 7460 5052 9092</t>
  </si>
  <si>
    <t>0365</t>
  </si>
  <si>
    <t>07726989610</t>
  </si>
  <si>
    <t>Isabela Cavalcanti Barros</t>
  </si>
  <si>
    <t>4576 7460 1593 7689</t>
  </si>
  <si>
    <t>4576 7460 1944 9660</t>
  </si>
  <si>
    <t>0366</t>
  </si>
  <si>
    <t>48451571956</t>
  </si>
  <si>
    <t>Renato Dias Araujo</t>
  </si>
  <si>
    <t>6505 0666 7244 4578</t>
  </si>
  <si>
    <t>0367</t>
  </si>
  <si>
    <t>97654945485</t>
  </si>
  <si>
    <t>Leticia Lima Araujo</t>
  </si>
  <si>
    <t>6505 0666 5914 3381</t>
  </si>
  <si>
    <t>0368</t>
  </si>
  <si>
    <t>08584034986</t>
  </si>
  <si>
    <t>Vanessa Costa Martins</t>
  </si>
  <si>
    <t>4576 7460 6637 2152</t>
  </si>
  <si>
    <t>0369</t>
  </si>
  <si>
    <t>28729302056</t>
  </si>
  <si>
    <t>Renato Ribeiro Vieira</t>
  </si>
  <si>
    <t>4576 7460 5676 9279</t>
  </si>
  <si>
    <t>0370</t>
  </si>
  <si>
    <t>34502353035</t>
  </si>
  <si>
    <t>Vivian Araujo</t>
  </si>
  <si>
    <t>6505 0666 3556 0764</t>
  </si>
  <si>
    <t>0371</t>
  </si>
  <si>
    <t>72231855704</t>
  </si>
  <si>
    <t>Marcos Mendes</t>
  </si>
  <si>
    <t>6062 8200 7872 1409</t>
  </si>
  <si>
    <t>0372</t>
  </si>
  <si>
    <t>53997169411</t>
  </si>
  <si>
    <t>Leticia Moreira Almeida</t>
  </si>
  <si>
    <t>5442 7460 7277 5468</t>
  </si>
  <si>
    <t>0373</t>
  </si>
  <si>
    <t>97868029501</t>
  </si>
  <si>
    <t>Gabriel Mendes</t>
  </si>
  <si>
    <t>6062 8200 2039 0895</t>
  </si>
  <si>
    <t>0374</t>
  </si>
  <si>
    <t>42482493595</t>
  </si>
  <si>
    <t>Camila Cavalcanti</t>
  </si>
  <si>
    <t>4576 7460 1090 4415</t>
  </si>
  <si>
    <t>0375</t>
  </si>
  <si>
    <t>57017653343</t>
  </si>
  <si>
    <t>Vivian Nascimento Cavalcanti</t>
  </si>
  <si>
    <t>6062 8200 1346 9542</t>
  </si>
  <si>
    <t>0376</t>
  </si>
  <si>
    <t>48212890910</t>
  </si>
  <si>
    <t>Larissa Araujo Mendes</t>
  </si>
  <si>
    <t>3782 982498 4463</t>
  </si>
  <si>
    <t>3782 338561 2567</t>
  </si>
  <si>
    <t>0377</t>
  </si>
  <si>
    <t>87865862466</t>
  </si>
  <si>
    <t>Rodrigo Gomes</t>
  </si>
  <si>
    <t>6505 0666 1119 3125</t>
  </si>
  <si>
    <t>0378</t>
  </si>
  <si>
    <t>83483323325</t>
  </si>
  <si>
    <t>Jessica Fernandes</t>
  </si>
  <si>
    <t>6505 0666 1700 2412</t>
  </si>
  <si>
    <t>0379</t>
  </si>
  <si>
    <t>90403351766</t>
  </si>
  <si>
    <t>Camila Barros Campos</t>
  </si>
  <si>
    <t>6505 0666 1393 1257</t>
  </si>
  <si>
    <t>0380</t>
  </si>
  <si>
    <t>78850992700</t>
  </si>
  <si>
    <t>Renata Cardoso Moreira</t>
  </si>
  <si>
    <t>5442 7460 3279 3706</t>
  </si>
  <si>
    <t>0381</t>
  </si>
  <si>
    <t>45511521531</t>
  </si>
  <si>
    <t>Alexandre Araujo</t>
  </si>
  <si>
    <t>4576 7460 1372 3879</t>
  </si>
  <si>
    <t>4576 7460 6742 7885</t>
  </si>
  <si>
    <t>0382</t>
  </si>
  <si>
    <t>87159430204</t>
  </si>
  <si>
    <t>Beatriz Barbosa</t>
  </si>
  <si>
    <t>5442 7460 1743 8102</t>
  </si>
  <si>
    <t>0383</t>
  </si>
  <si>
    <t>51123841586</t>
  </si>
  <si>
    <t>Andre Oliveira</t>
  </si>
  <si>
    <t>4576 7460 8745 2289</t>
  </si>
  <si>
    <t>0384</t>
  </si>
  <si>
    <t>20840762003</t>
  </si>
  <si>
    <t>Juliana Almeida Moura</t>
  </si>
  <si>
    <t>6505 0666 3139 3312</t>
  </si>
  <si>
    <t>0385</t>
  </si>
  <si>
    <t>45007607096</t>
  </si>
  <si>
    <t>Fabio Barros Nascimento</t>
  </si>
  <si>
    <t>6062 8200 7024 3591</t>
  </si>
  <si>
    <t>0386</t>
  </si>
  <si>
    <t>92391997485</t>
  </si>
  <si>
    <t>Tatiane Freitas Barbosa</t>
  </si>
  <si>
    <t>6062 8200 4915 5573</t>
  </si>
  <si>
    <t>0387</t>
  </si>
  <si>
    <t>57621538350</t>
  </si>
  <si>
    <t>Bianca Vieira</t>
  </si>
  <si>
    <t>4576 7460 4384 2431</t>
  </si>
  <si>
    <t>4576 7460 1420 3621</t>
  </si>
  <si>
    <t>0388</t>
  </si>
  <si>
    <t>61524727920</t>
  </si>
  <si>
    <t>Vinicius Oliveira Souza</t>
  </si>
  <si>
    <t>5442 7460 3776 2942</t>
  </si>
  <si>
    <t>0389</t>
  </si>
  <si>
    <t>24187681558</t>
  </si>
  <si>
    <t>Eduardo Campos Pinto</t>
  </si>
  <si>
    <t>5442 7460 1996 3805</t>
  </si>
  <si>
    <t>5442 7460 2995 2769</t>
  </si>
  <si>
    <t>0390</t>
  </si>
  <si>
    <t>26779115231</t>
  </si>
  <si>
    <t>Juliana Freitas Borges</t>
  </si>
  <si>
    <t>6062 8200 7259 2950</t>
  </si>
  <si>
    <t>6062 8200 9744 9205</t>
  </si>
  <si>
    <t>0391</t>
  </si>
  <si>
    <t>30898966566</t>
  </si>
  <si>
    <t>Jessica Moreira</t>
  </si>
  <si>
    <t>6062 8200 3314 5018</t>
  </si>
  <si>
    <t>0392</t>
  </si>
  <si>
    <t>13576138498</t>
  </si>
  <si>
    <t>Vinicius Gomes</t>
  </si>
  <si>
    <t>6062 8200 6531 1766</t>
  </si>
  <si>
    <t>0393</t>
  </si>
  <si>
    <t>96075975594</t>
  </si>
  <si>
    <t>Tatiane Dias Nascimento</t>
  </si>
  <si>
    <t>4576 7460 6754 3163</t>
  </si>
  <si>
    <t>4576 7460 3106 8780</t>
  </si>
  <si>
    <t>0394</t>
  </si>
  <si>
    <t>37394538508</t>
  </si>
  <si>
    <t>Andre Moreira</t>
  </si>
  <si>
    <t>3782 878556 8560</t>
  </si>
  <si>
    <t>3782 627012 6990</t>
  </si>
  <si>
    <t>0395</t>
  </si>
  <si>
    <t>10323669743</t>
  </si>
  <si>
    <t>Gustavo Castro</t>
  </si>
  <si>
    <t>3782 937433 9965</t>
  </si>
  <si>
    <t>0396</t>
  </si>
  <si>
    <t>74919619405</t>
  </si>
  <si>
    <t>Tatiane Almeida Oliveira</t>
  </si>
  <si>
    <t>3782 832270 8166</t>
  </si>
  <si>
    <t>3782 357042 3244</t>
  </si>
  <si>
    <t>0397</t>
  </si>
  <si>
    <t>53697575856</t>
  </si>
  <si>
    <t>Aline Moreira</t>
  </si>
  <si>
    <t>4576 7460 4677 2400</t>
  </si>
  <si>
    <t>0398</t>
  </si>
  <si>
    <t>26683587442</t>
  </si>
  <si>
    <t>Gustavo Souza</t>
  </si>
  <si>
    <t>6062 8200 7528 3187</t>
  </si>
  <si>
    <t>6062 8200 3982 5565</t>
  </si>
  <si>
    <t>0399</t>
  </si>
  <si>
    <t>26247111398</t>
  </si>
  <si>
    <t>Danilo Souza</t>
  </si>
  <si>
    <t>6505 0666 1156 8767</t>
  </si>
  <si>
    <t>6505 0666 2841 0231</t>
  </si>
  <si>
    <t>0400</t>
  </si>
  <si>
    <t>91949140440</t>
  </si>
  <si>
    <t>Danilo Moreira</t>
  </si>
  <si>
    <t>4576 7460 9004 4824</t>
  </si>
  <si>
    <t>0401</t>
  </si>
  <si>
    <t>38750991256</t>
  </si>
  <si>
    <t>Vinicius Moura Mendes</t>
  </si>
  <si>
    <t>4576 7460 5464 9020</t>
  </si>
  <si>
    <t>4576 7460 9821 1811</t>
  </si>
  <si>
    <t>0402</t>
  </si>
  <si>
    <t>64233573902</t>
  </si>
  <si>
    <t>Larissa Rocha</t>
  </si>
  <si>
    <t>6505 0666 8086 8390</t>
  </si>
  <si>
    <t>6505 0666 6981 6646</t>
  </si>
  <si>
    <t>0403</t>
  </si>
  <si>
    <t>76221106630</t>
  </si>
  <si>
    <t>Danilo Pereira Teixeira</t>
  </si>
  <si>
    <t>3782 264501 5082</t>
  </si>
  <si>
    <t>0404</t>
  </si>
  <si>
    <t>35915509304</t>
  </si>
  <si>
    <t>Caio Souza Fernandes</t>
  </si>
  <si>
    <t>4576 7460 4024 8632</t>
  </si>
  <si>
    <t>0405</t>
  </si>
  <si>
    <t>03671429887</t>
  </si>
  <si>
    <t>Thiago Cavalcanti</t>
  </si>
  <si>
    <t>5442 7460 3507 4277</t>
  </si>
  <si>
    <t>5442 7460 8481 3411</t>
  </si>
  <si>
    <t>0406</t>
  </si>
  <si>
    <t>17699645766</t>
  </si>
  <si>
    <t>4576 7460 4938 4943</t>
  </si>
  <si>
    <t>0407</t>
  </si>
  <si>
    <t>80299088499</t>
  </si>
  <si>
    <t>Matheus Barbosa</t>
  </si>
  <si>
    <t>5442 7460 8532 5960</t>
  </si>
  <si>
    <t>0408</t>
  </si>
  <si>
    <t>79194238308</t>
  </si>
  <si>
    <t>Danilo Fernandes Moura</t>
  </si>
  <si>
    <t>5442 7460 4245 5106</t>
  </si>
  <si>
    <t>0409</t>
  </si>
  <si>
    <t>73721018672</t>
  </si>
  <si>
    <t>Priscila Teixeira</t>
  </si>
  <si>
    <t>6062 8200 8608 2201</t>
  </si>
  <si>
    <t>6062 8200 6556 5696</t>
  </si>
  <si>
    <t>0410</t>
  </si>
  <si>
    <t>16922084039</t>
  </si>
  <si>
    <t>Thiago Lima Cardoso</t>
  </si>
  <si>
    <t>5442 7460 8518 9316</t>
  </si>
  <si>
    <t>0411</t>
  </si>
  <si>
    <t>34794102194</t>
  </si>
  <si>
    <t>Carolina Campos Fernandes</t>
  </si>
  <si>
    <t>5442 7460 1599 3634</t>
  </si>
  <si>
    <t>5442 7460 3774 4487</t>
  </si>
  <si>
    <t>0412</t>
  </si>
  <si>
    <t>83985114277</t>
  </si>
  <si>
    <t>Leonardo Monteiro Fernandes</t>
  </si>
  <si>
    <t>6505 0666 8253 6569</t>
  </si>
  <si>
    <t>0413</t>
  </si>
  <si>
    <t>71935647903</t>
  </si>
  <si>
    <t>Carolina Fernandes</t>
  </si>
  <si>
    <t>4576 7460 6570 5448</t>
  </si>
  <si>
    <t>0414</t>
  </si>
  <si>
    <t>05151697579</t>
  </si>
  <si>
    <t>Fabio Ribeiro Oliveira</t>
  </si>
  <si>
    <t>4576 7460 8279 6594</t>
  </si>
  <si>
    <t>4576 7460 5774 8445</t>
  </si>
  <si>
    <t>0415</t>
  </si>
  <si>
    <t>18578794494</t>
  </si>
  <si>
    <t>Juliana Silva Moreira</t>
  </si>
  <si>
    <t>6062 8200 6666 9231</t>
  </si>
  <si>
    <t>6062 8200 1082 4125</t>
  </si>
  <si>
    <t>0416</t>
  </si>
  <si>
    <t>26002929932</t>
  </si>
  <si>
    <t>Isabela Araujo Monteiro</t>
  </si>
  <si>
    <t>6062 8200 3579 1632</t>
  </si>
  <si>
    <t>0417</t>
  </si>
  <si>
    <t>49914715834</t>
  </si>
  <si>
    <t>Renata Almeida</t>
  </si>
  <si>
    <t>3782 324281 6364</t>
  </si>
  <si>
    <t>0418</t>
  </si>
  <si>
    <t>50563169702</t>
  </si>
  <si>
    <t>Alexandre Ribeiro</t>
  </si>
  <si>
    <t>4576 7460 4849 8544</t>
  </si>
  <si>
    <t>0419</t>
  </si>
  <si>
    <t>31478516992</t>
  </si>
  <si>
    <t>Juliana Cardoso Teixeira</t>
  </si>
  <si>
    <t>6062 8200 4594 8380</t>
  </si>
  <si>
    <t>0420</t>
  </si>
  <si>
    <t>81020274522</t>
  </si>
  <si>
    <t>Rafael Ribeiro</t>
  </si>
  <si>
    <t>6505 0666 4124 3427</t>
  </si>
  <si>
    <t>6505 0666 3053 2395</t>
  </si>
  <si>
    <t>0421</t>
  </si>
  <si>
    <t>43512032850</t>
  </si>
  <si>
    <t>Vanessa Carvalho</t>
  </si>
  <si>
    <t>6062 8200 3349 5316</t>
  </si>
  <si>
    <t>0422</t>
  </si>
  <si>
    <t>60506090710</t>
  </si>
  <si>
    <t>Marcelo Santos</t>
  </si>
  <si>
    <t>5442 7460 1585 8645</t>
  </si>
  <si>
    <t>0423</t>
  </si>
  <si>
    <t>75099245889</t>
  </si>
  <si>
    <t>Rodrigo Monteiro Araujo</t>
  </si>
  <si>
    <t>3782 305854 4896</t>
  </si>
  <si>
    <t>3782 938361 3414</t>
  </si>
  <si>
    <t>0424</t>
  </si>
  <si>
    <t>38416151040</t>
  </si>
  <si>
    <t>Felipe Ribeiro Nascimento</t>
  </si>
  <si>
    <t>3782 791681 4118</t>
  </si>
  <si>
    <t>0425</t>
  </si>
  <si>
    <t>15249727387</t>
  </si>
  <si>
    <t>Isabela Gomes Nascimento</t>
  </si>
  <si>
    <t>3782 162332 7730</t>
  </si>
  <si>
    <t>0426</t>
  </si>
  <si>
    <t>50609919628</t>
  </si>
  <si>
    <t>Leticia Silva Nunes</t>
  </si>
  <si>
    <t>3782 563556 7332</t>
  </si>
  <si>
    <t>0427</t>
  </si>
  <si>
    <t>38468911933</t>
  </si>
  <si>
    <t>Felipe Ribeiro</t>
  </si>
  <si>
    <t>5442 7460 2379 9239</t>
  </si>
  <si>
    <t>0428</t>
  </si>
  <si>
    <t>18304755920</t>
  </si>
  <si>
    <t>Rafael Alves</t>
  </si>
  <si>
    <t>5442 7460 4733 1293</t>
  </si>
  <si>
    <t>0429</t>
  </si>
  <si>
    <t>82892350115</t>
  </si>
  <si>
    <t>Bruno Barbosa Santos</t>
  </si>
  <si>
    <t>3782 211452 6942</t>
  </si>
  <si>
    <t>0430</t>
  </si>
  <si>
    <t>81305297342</t>
  </si>
  <si>
    <t>Vanessa Rodrigues Barros</t>
  </si>
  <si>
    <t>4576 7460 6805 0257</t>
  </si>
  <si>
    <t>4576 7460 5732 6820</t>
  </si>
  <si>
    <t>0431</t>
  </si>
  <si>
    <t>28671001270</t>
  </si>
  <si>
    <t>Gustavo Almeida</t>
  </si>
  <si>
    <t>6062 8200 2472 2881</t>
  </si>
  <si>
    <t>0432</t>
  </si>
  <si>
    <t>07643113874</t>
  </si>
  <si>
    <t>Amanda Costa Almeida</t>
  </si>
  <si>
    <t>6062 8200 2321 2726</t>
  </si>
  <si>
    <t>0433</t>
  </si>
  <si>
    <t>19849103701</t>
  </si>
  <si>
    <t>Rafael Cavalcanti</t>
  </si>
  <si>
    <t>6062 8200 2799 8781</t>
  </si>
  <si>
    <t>6062 8200 1271 7244</t>
  </si>
  <si>
    <t>0434</t>
  </si>
  <si>
    <t>40854108815</t>
  </si>
  <si>
    <t>Marcelo Rodrigues Dias</t>
  </si>
  <si>
    <t>3782 484622 3064</t>
  </si>
  <si>
    <t>0435</t>
  </si>
  <si>
    <t>24308231280</t>
  </si>
  <si>
    <t>Bianca Cavalcanti</t>
  </si>
  <si>
    <t>6062 8200 3824 5020</t>
  </si>
  <si>
    <t>6062 8200 3458 6037</t>
  </si>
  <si>
    <t>0436</t>
  </si>
  <si>
    <t>58770360090</t>
  </si>
  <si>
    <t>Larissa Gomes Alves</t>
  </si>
  <si>
    <t>3782 146272 8012</t>
  </si>
  <si>
    <t>0437</t>
  </si>
  <si>
    <t>74660588173</t>
  </si>
  <si>
    <t>Sabrina Borges</t>
  </si>
  <si>
    <t>6062 8200 5084 1597</t>
  </si>
  <si>
    <t>0438</t>
  </si>
  <si>
    <t>90228231647</t>
  </si>
  <si>
    <t>Lucas Almeida</t>
  </si>
  <si>
    <t>6062 8200 5744 1107</t>
  </si>
  <si>
    <t>0439</t>
  </si>
  <si>
    <t>90408052880</t>
  </si>
  <si>
    <t>Leonardo Costa Nunes</t>
  </si>
  <si>
    <t>3782 418899 8222</t>
  </si>
  <si>
    <t>0440</t>
  </si>
  <si>
    <t>43944529537</t>
  </si>
  <si>
    <t>Leandro Nunes Monteiro</t>
  </si>
  <si>
    <t>3782 895160 5466</t>
  </si>
  <si>
    <t>0441</t>
  </si>
  <si>
    <t>71391426100</t>
  </si>
  <si>
    <t>Camila Vieira Nunes</t>
  </si>
  <si>
    <t>6062 8200 1082 7496</t>
  </si>
  <si>
    <t>0442</t>
  </si>
  <si>
    <t>77639901804</t>
  </si>
  <si>
    <t>Andre Freitas Campos</t>
  </si>
  <si>
    <t>6062 8200 9669 6042</t>
  </si>
  <si>
    <t>0443</t>
  </si>
  <si>
    <t>56016184292</t>
  </si>
  <si>
    <t>Bruno Moura</t>
  </si>
  <si>
    <t>3782 197520 0191</t>
  </si>
  <si>
    <t>3782 186069 4014</t>
  </si>
  <si>
    <t>0444</t>
  </si>
  <si>
    <t>60495510734</t>
  </si>
  <si>
    <t>Renata Ribeiro Teixeira</t>
  </si>
  <si>
    <t>5442 7460 2284 4761</t>
  </si>
  <si>
    <t>5442 7460 6631 6303</t>
  </si>
  <si>
    <t>0445</t>
  </si>
  <si>
    <t>13085810250</t>
  </si>
  <si>
    <t>Beatriz Barbosa Lima</t>
  </si>
  <si>
    <t>6505 0666 3647 8233</t>
  </si>
  <si>
    <t>6505 0666 2073 4175</t>
  </si>
  <si>
    <t>0446</t>
  </si>
  <si>
    <t>70014787768</t>
  </si>
  <si>
    <t>Mariana Dias Carvalho</t>
  </si>
  <si>
    <t>6062 8200 2973 1585</t>
  </si>
  <si>
    <t>0447</t>
  </si>
  <si>
    <t>94395822606</t>
  </si>
  <si>
    <t>Carolina Gomes Vieira</t>
  </si>
  <si>
    <t>3782 918093 0567</t>
  </si>
  <si>
    <t>3782 622135 0058</t>
  </si>
  <si>
    <t>0448</t>
  </si>
  <si>
    <t>46416070014</t>
  </si>
  <si>
    <t>Jessica Nascimento</t>
  </si>
  <si>
    <t>6062 8200 8408 7166</t>
  </si>
  <si>
    <t>0449</t>
  </si>
  <si>
    <t>23313290361</t>
  </si>
  <si>
    <t>Felipe Ribeiro Cardoso</t>
  </si>
  <si>
    <t>5442 7460 9630 0450</t>
  </si>
  <si>
    <t>0450</t>
  </si>
  <si>
    <t>96360789981</t>
  </si>
  <si>
    <t>Leandro Freitas Moreira</t>
  </si>
  <si>
    <t>6062 8200 3196 3018</t>
  </si>
  <si>
    <t>0451</t>
  </si>
  <si>
    <t>18256004819</t>
  </si>
  <si>
    <t>Felipe Monteiro Nunes</t>
  </si>
  <si>
    <t>5442 7460 1378 8981</t>
  </si>
  <si>
    <t>5442 7460 8164 9157</t>
  </si>
  <si>
    <t>0452</t>
  </si>
  <si>
    <t>92643644204</t>
  </si>
  <si>
    <t>Marcelo Barbosa Araujo</t>
  </si>
  <si>
    <t>3782 601588 6677</t>
  </si>
  <si>
    <t>0453</t>
  </si>
  <si>
    <t>19153526228</t>
  </si>
  <si>
    <t>Caio Cavalcanti</t>
  </si>
  <si>
    <t>5442 7460 4532 1662</t>
  </si>
  <si>
    <t>0454</t>
  </si>
  <si>
    <t>80863695795</t>
  </si>
  <si>
    <t>Sabrina Nunes</t>
  </si>
  <si>
    <t>5442 7460 2601 7863</t>
  </si>
  <si>
    <t>5442 7460 8330 8084</t>
  </si>
  <si>
    <t>0455</t>
  </si>
  <si>
    <t>36311507099</t>
  </si>
  <si>
    <t>Eduardo Cavalcanti Cardoso</t>
  </si>
  <si>
    <t>5442 7460 5663 2922</t>
  </si>
  <si>
    <t>0456</t>
  </si>
  <si>
    <t>90790403200</t>
  </si>
  <si>
    <t>Renata Dias Pinto</t>
  </si>
  <si>
    <t>6062 8200 5075 5754</t>
  </si>
  <si>
    <t>0457</t>
  </si>
  <si>
    <t>58190814982</t>
  </si>
  <si>
    <t>Alexandre Nascimento</t>
  </si>
  <si>
    <t>6062 8200 4443 9931</t>
  </si>
  <si>
    <t>0458</t>
  </si>
  <si>
    <t>84012968114</t>
  </si>
  <si>
    <t>Marcelo Freitas Martins</t>
  </si>
  <si>
    <t>6505 0666 6767 0671</t>
  </si>
  <si>
    <t>0459</t>
  </si>
  <si>
    <t>43484627557</t>
  </si>
  <si>
    <t>Vivian Rodrigues Silva</t>
  </si>
  <si>
    <t>6062 8200 6781 3123</t>
  </si>
  <si>
    <t>0460</t>
  </si>
  <si>
    <t>30133043916</t>
  </si>
  <si>
    <t>Leandro Silva Araujo</t>
  </si>
  <si>
    <t>3782 605506 9993</t>
  </si>
  <si>
    <t>3782 901939 0612</t>
  </si>
  <si>
    <t>0461</t>
  </si>
  <si>
    <t>05968340711</t>
  </si>
  <si>
    <t>Felipe Carvalho</t>
  </si>
  <si>
    <t>4576 7460 7762 0510</t>
  </si>
  <si>
    <t>0462</t>
  </si>
  <si>
    <t>24373458251</t>
  </si>
  <si>
    <t>Gabriela Martins Freitas</t>
  </si>
  <si>
    <t>6062 8200 6690 6144</t>
  </si>
  <si>
    <t>6062 8200 7621 7281</t>
  </si>
  <si>
    <t>0463</t>
  </si>
  <si>
    <t>56340819800</t>
  </si>
  <si>
    <t>Juliana Fernandes</t>
  </si>
  <si>
    <t>6505 0666 7483 9850</t>
  </si>
  <si>
    <t>0464</t>
  </si>
  <si>
    <t>38275457904</t>
  </si>
  <si>
    <t>Fabio Pereira</t>
  </si>
  <si>
    <t>6505 0666 7493 8256</t>
  </si>
  <si>
    <t>6505 0666 4401 0367</t>
  </si>
  <si>
    <t>0465</t>
  </si>
  <si>
    <t>91825322651</t>
  </si>
  <si>
    <t>Vinicius Araujo Nunes</t>
  </si>
  <si>
    <t>6505 0666 8472 5231</t>
  </si>
  <si>
    <t>0466</t>
  </si>
  <si>
    <t>57314179700</t>
  </si>
  <si>
    <t>Marcos Dias Santos</t>
  </si>
  <si>
    <t>5442 7460 3905 9452</t>
  </si>
  <si>
    <t>0467</t>
  </si>
  <si>
    <t>18923147206</t>
  </si>
  <si>
    <t>Diego Oliveira</t>
  </si>
  <si>
    <t>3782 593763 2052</t>
  </si>
  <si>
    <t>0468</t>
  </si>
  <si>
    <t>39415569590</t>
  </si>
  <si>
    <t>Isabela Souza Rodrigues</t>
  </si>
  <si>
    <t>6062 8200 9385 2636</t>
  </si>
  <si>
    <t>0469</t>
  </si>
  <si>
    <t>72234215846</t>
  </si>
  <si>
    <t>Renato Nunes</t>
  </si>
  <si>
    <t>4576 7460 3929 9943</t>
  </si>
  <si>
    <t>0470</t>
  </si>
  <si>
    <t>74729484622</t>
  </si>
  <si>
    <t>Andre Freitas</t>
  </si>
  <si>
    <t>6505 0666 1421 9996</t>
  </si>
  <si>
    <t>0471</t>
  </si>
  <si>
    <t>11386654795</t>
  </si>
  <si>
    <t>Eduardo Carvalho</t>
  </si>
  <si>
    <t>5442 7460 8614 1922</t>
  </si>
  <si>
    <t>0472</t>
  </si>
  <si>
    <t>94366069156</t>
  </si>
  <si>
    <t>Gustavo Moura Almeida</t>
  </si>
  <si>
    <t>6062 8200 7718 0061</t>
  </si>
  <si>
    <t>6062 8200 6752 2509</t>
  </si>
  <si>
    <t>0473</t>
  </si>
  <si>
    <t>21791037780</t>
  </si>
  <si>
    <t>Vinicius Pereira Borges</t>
  </si>
  <si>
    <t>3782 858019 1001</t>
  </si>
  <si>
    <t>0474</t>
  </si>
  <si>
    <t>61404049835</t>
  </si>
  <si>
    <t>Vanessa Oliveira Souza</t>
  </si>
  <si>
    <t>6062 8200 3690 9148</t>
  </si>
  <si>
    <t>6062 8200 7020 7801</t>
  </si>
  <si>
    <t>0475</t>
  </si>
  <si>
    <t>78114315300</t>
  </si>
  <si>
    <t>Danilo Carvalho</t>
  </si>
  <si>
    <t>5442 7460 9500 5993</t>
  </si>
  <si>
    <t>0476</t>
  </si>
  <si>
    <t>52295510031</t>
  </si>
  <si>
    <t>Beatriz Borges Freitas</t>
  </si>
  <si>
    <t>3782 214059 0845</t>
  </si>
  <si>
    <t>0477</t>
  </si>
  <si>
    <t>26383769650</t>
  </si>
  <si>
    <t>Vinicius Moura Ribeiro</t>
  </si>
  <si>
    <t>6062 8200 6274 2253</t>
  </si>
  <si>
    <t>0478</t>
  </si>
  <si>
    <t>08489356165</t>
  </si>
  <si>
    <t>Jessica Martins Fernandes</t>
  </si>
  <si>
    <t>4576 7460 8980 0057</t>
  </si>
  <si>
    <t>0479</t>
  </si>
  <si>
    <t>90281868409</t>
  </si>
  <si>
    <t>Rodrigo Alves Rocha</t>
  </si>
  <si>
    <t>6505 0666 7771 2334</t>
  </si>
  <si>
    <t>0480</t>
  </si>
  <si>
    <t>66067548879</t>
  </si>
  <si>
    <t>Renato Barros Vieira</t>
  </si>
  <si>
    <t>6505 0666 4947 8268</t>
  </si>
  <si>
    <t>6505 0666 9386 2671</t>
  </si>
  <si>
    <t>0481</t>
  </si>
  <si>
    <t>22523359715</t>
  </si>
  <si>
    <t>Leonardo Campos Cavalcanti</t>
  </si>
  <si>
    <t>4576 7460 5264 1693</t>
  </si>
  <si>
    <t>4576 7460 6028 9578</t>
  </si>
  <si>
    <t>0482</t>
  </si>
  <si>
    <t>84828050884</t>
  </si>
  <si>
    <t>Diego Campos</t>
  </si>
  <si>
    <t>5442 7460 8018 8700</t>
  </si>
  <si>
    <t>5442 7460 3403 6225</t>
  </si>
  <si>
    <t>0483</t>
  </si>
  <si>
    <t>23822908118</t>
  </si>
  <si>
    <t>Marcelo Martins Gomes</t>
  </si>
  <si>
    <t>6062 8200 4007 0540</t>
  </si>
  <si>
    <t>0484</t>
  </si>
  <si>
    <t>19724811425</t>
  </si>
  <si>
    <t>Alexandre Mendes Silva</t>
  </si>
  <si>
    <t>3782 566088 0790</t>
  </si>
  <si>
    <t>0485</t>
  </si>
  <si>
    <t>61215935986</t>
  </si>
  <si>
    <t>Carolina Almeida Pereira</t>
  </si>
  <si>
    <t>4576 7460 8094 8576</t>
  </si>
  <si>
    <t>4576 7460 9310 7620</t>
  </si>
  <si>
    <t>0486</t>
  </si>
  <si>
    <t>77620837825</t>
  </si>
  <si>
    <t>Marcelo Barros</t>
  </si>
  <si>
    <t>3782 148363 0308</t>
  </si>
  <si>
    <t>0487</t>
  </si>
  <si>
    <t>10361732678</t>
  </si>
  <si>
    <t>Tatiane Cardoso</t>
  </si>
  <si>
    <t>5442 7460 7994 3956</t>
  </si>
  <si>
    <t>0488</t>
  </si>
  <si>
    <t>08236071430</t>
  </si>
  <si>
    <t>Fabio Nunes Cavalcanti</t>
  </si>
  <si>
    <t>6505 0666 5077 1129</t>
  </si>
  <si>
    <t>6505 0666 6224 1138</t>
  </si>
  <si>
    <t>0489</t>
  </si>
  <si>
    <t>18460763749</t>
  </si>
  <si>
    <t>Jessica Dias Costa</t>
  </si>
  <si>
    <t>3782 778159 2949</t>
  </si>
  <si>
    <t>3782 590785 4812</t>
  </si>
  <si>
    <t>0490</t>
  </si>
  <si>
    <t>31320895166</t>
  </si>
  <si>
    <t>Isabela Mendes</t>
  </si>
  <si>
    <t>6062 8200 3243 2731</t>
  </si>
  <si>
    <t>0491</t>
  </si>
  <si>
    <t>77615162432</t>
  </si>
  <si>
    <t>Vivian Santos</t>
  </si>
  <si>
    <t>6062 8200 3626 9554</t>
  </si>
  <si>
    <t>0492</t>
  </si>
  <si>
    <t>58933291121</t>
  </si>
  <si>
    <t>Sabrina Costa Teixeira</t>
  </si>
  <si>
    <t>6062 8200 8448 7769</t>
  </si>
  <si>
    <t>6062 8200 3012 1863</t>
  </si>
  <si>
    <t>0493</t>
  </si>
  <si>
    <t>22060989540</t>
  </si>
  <si>
    <t>Mariana Almeida</t>
  </si>
  <si>
    <t>5442 7460 3392 0513</t>
  </si>
  <si>
    <t>0494</t>
  </si>
  <si>
    <t>68687344414</t>
  </si>
  <si>
    <t>Gabriela Oliveira Cardoso</t>
  </si>
  <si>
    <t>5442 7460 9195 6352</t>
  </si>
  <si>
    <t>0495</t>
  </si>
  <si>
    <t>77842530955</t>
  </si>
  <si>
    <t>Alexandre Mendes Campos</t>
  </si>
  <si>
    <t>6062 8200 7803 6603</t>
  </si>
  <si>
    <t>0496</t>
  </si>
  <si>
    <t>10220526753</t>
  </si>
  <si>
    <t>Diego Lima Campos</t>
  </si>
  <si>
    <t>3782 735652 3026</t>
  </si>
  <si>
    <t>3782 172542 6896</t>
  </si>
  <si>
    <t>0497</t>
  </si>
  <si>
    <t>21477973400</t>
  </si>
  <si>
    <t>Juliana Alves Silva</t>
  </si>
  <si>
    <t>5442 7460 7525 7591</t>
  </si>
  <si>
    <t>0498</t>
  </si>
  <si>
    <t>77043495202</t>
  </si>
  <si>
    <t>Mariana Nascimento</t>
  </si>
  <si>
    <t>3782 673973 4229</t>
  </si>
  <si>
    <t>0499</t>
  </si>
  <si>
    <t>95236198534</t>
  </si>
  <si>
    <t>Marcelo Moura</t>
  </si>
  <si>
    <t>4576 7460 1579 0736</t>
  </si>
  <si>
    <t>0500</t>
  </si>
  <si>
    <t>10269971009</t>
  </si>
  <si>
    <t>Rafael Martins Barbosa</t>
  </si>
  <si>
    <t>4576 7460 6196 2872</t>
  </si>
  <si>
    <t>4576 7460 6663 8067</t>
  </si>
  <si>
    <t>0501</t>
  </si>
  <si>
    <t>87859448157</t>
  </si>
  <si>
    <t>Felipe Barbosa Castro</t>
  </si>
  <si>
    <t>6505 0666 2419 3924</t>
  </si>
  <si>
    <t>6505 0666 2016 9244</t>
  </si>
  <si>
    <t>0502</t>
  </si>
  <si>
    <t>10085157015</t>
  </si>
  <si>
    <t>Bianca Lima</t>
  </si>
  <si>
    <t>6505 0666 4436 7507</t>
  </si>
  <si>
    <t>0503</t>
  </si>
  <si>
    <t>98850825145</t>
  </si>
  <si>
    <t>Debora Fernandes Pinto</t>
  </si>
  <si>
    <t>5442 7460 3225 6598</t>
  </si>
  <si>
    <t>0504</t>
  </si>
  <si>
    <t>90928535002</t>
  </si>
  <si>
    <t>Carolina Martins Monteiro</t>
  </si>
  <si>
    <t>4576 7460 3448 9894</t>
  </si>
  <si>
    <t>4576 7460 5517 0087</t>
  </si>
  <si>
    <t>0505</t>
  </si>
  <si>
    <t>12202285245</t>
  </si>
  <si>
    <t>Tatiane Cardoso Rocha</t>
  </si>
  <si>
    <t>3782 180627 9504</t>
  </si>
  <si>
    <t>0506</t>
  </si>
  <si>
    <t>85191797892</t>
  </si>
  <si>
    <t>Renata Campos</t>
  </si>
  <si>
    <t>5442 7460 9891 7223</t>
  </si>
  <si>
    <t>0507</t>
  </si>
  <si>
    <t>69737030702</t>
  </si>
  <si>
    <t>Marcelo Mendes</t>
  </si>
  <si>
    <t>6505 0666 1741 7723</t>
  </si>
  <si>
    <t>0508</t>
  </si>
  <si>
    <t>43375327811</t>
  </si>
  <si>
    <t>Guilherme Rocha</t>
  </si>
  <si>
    <t>6505 0666 7662 2151</t>
  </si>
  <si>
    <t>6505 0666 9872 8637</t>
  </si>
  <si>
    <t>0509</t>
  </si>
  <si>
    <t>28979854960</t>
  </si>
  <si>
    <t>Sabrina Araujo Monteiro</t>
  </si>
  <si>
    <t>4576 7460 3577 2510</t>
  </si>
  <si>
    <t>0510</t>
  </si>
  <si>
    <t>00253817765</t>
  </si>
  <si>
    <t>Rodrigo Mendes Cavalcanti</t>
  </si>
  <si>
    <t>5442 7460 8734 3751</t>
  </si>
  <si>
    <t>5442 7460 7062 7877</t>
  </si>
  <si>
    <t>0511</t>
  </si>
  <si>
    <t>94603422644</t>
  </si>
  <si>
    <t>Isabela Souza Vieira</t>
  </si>
  <si>
    <t>6062 8200 4115 8825</t>
  </si>
  <si>
    <t>6062 8200 4194 8899</t>
  </si>
  <si>
    <t>0512</t>
  </si>
  <si>
    <t>88483031108</t>
  </si>
  <si>
    <t>Diego Teixeira Vieira</t>
  </si>
  <si>
    <t>4576 7460 9299 7832</t>
  </si>
  <si>
    <t>4576 7460 1702 1326</t>
  </si>
  <si>
    <t>0513</t>
  </si>
  <si>
    <t>36016578053</t>
  </si>
  <si>
    <t>Carolina Monteiro Moreira</t>
  </si>
  <si>
    <t>6062 8200 4855 5764</t>
  </si>
  <si>
    <t>0514</t>
  </si>
  <si>
    <t>25243338923</t>
  </si>
  <si>
    <t>Leonardo Martins Cavalcanti</t>
  </si>
  <si>
    <t>3782 828012 1686</t>
  </si>
  <si>
    <t>0515</t>
  </si>
  <si>
    <t>57743688747</t>
  </si>
  <si>
    <t>Alexandre Silva Almeida</t>
  </si>
  <si>
    <t>4576 7460 2353 6423</t>
  </si>
  <si>
    <t>0516</t>
  </si>
  <si>
    <t>78737235770</t>
  </si>
  <si>
    <t>Guilherme Silva Oliveira</t>
  </si>
  <si>
    <t>4576 7460 1459 8894</t>
  </si>
  <si>
    <t>0517</t>
  </si>
  <si>
    <t>53572586860</t>
  </si>
  <si>
    <t>Vanessa Barbosa</t>
  </si>
  <si>
    <t>6505 0666 2913 7530</t>
  </si>
  <si>
    <t>6505 0666 8514 7096</t>
  </si>
  <si>
    <t>0518</t>
  </si>
  <si>
    <t>69866249212</t>
  </si>
  <si>
    <t>Guilherme Almeida</t>
  </si>
  <si>
    <t>6062 8200 4092 5784</t>
  </si>
  <si>
    <t>0519</t>
  </si>
  <si>
    <t>50545587727</t>
  </si>
  <si>
    <t>Mariana Souza Barbosa</t>
  </si>
  <si>
    <t>3782 228779 6703</t>
  </si>
  <si>
    <t>3782 196580 6772</t>
  </si>
  <si>
    <t>0520</t>
  </si>
  <si>
    <t>59855723317</t>
  </si>
  <si>
    <t>Matheus Carvalho</t>
  </si>
  <si>
    <t>5442 7460 3052 4600</t>
  </si>
  <si>
    <t>5442 7460 8283 4043</t>
  </si>
  <si>
    <t>0521</t>
  </si>
  <si>
    <t>42748234820</t>
  </si>
  <si>
    <t>Debora Vieira Moreira</t>
  </si>
  <si>
    <t>6505 0666 8082 7429</t>
  </si>
  <si>
    <t>0522</t>
  </si>
  <si>
    <t>40148252990</t>
  </si>
  <si>
    <t>Juliana Teixeira</t>
  </si>
  <si>
    <t>6062 8200 8781 2402</t>
  </si>
  <si>
    <t>6062 8200 2573 2833</t>
  </si>
  <si>
    <t>0523</t>
  </si>
  <si>
    <t>71095799800</t>
  </si>
  <si>
    <t>Patricia Araujo Cardoso</t>
  </si>
  <si>
    <t>6505 0666 5561 8971</t>
  </si>
  <si>
    <t>0524</t>
  </si>
  <si>
    <t>55280087785</t>
  </si>
  <si>
    <t>Lucas Monteiro Martins</t>
  </si>
  <si>
    <t>5442 7460 4584 6238</t>
  </si>
  <si>
    <t>0525</t>
  </si>
  <si>
    <t>35276990409</t>
  </si>
  <si>
    <t>Eduardo Cavalcanti</t>
  </si>
  <si>
    <t>3782 702319 5906</t>
  </si>
  <si>
    <t>3782 340602 6540</t>
  </si>
  <si>
    <t>0526</t>
  </si>
  <si>
    <t>22747314979</t>
  </si>
  <si>
    <t>Marcos Oliveira Pinto</t>
  </si>
  <si>
    <t>6062 8200 2004 0229</t>
  </si>
  <si>
    <t>0527</t>
  </si>
  <si>
    <t>80446749346</t>
  </si>
  <si>
    <t>Gustavo Mendes Almeida</t>
  </si>
  <si>
    <t>6062 8200 8364 4010</t>
  </si>
  <si>
    <t>0528</t>
  </si>
  <si>
    <t>17045708750</t>
  </si>
  <si>
    <t>Rafael Costa</t>
  </si>
  <si>
    <t>4576 7460 6956 0301</t>
  </si>
  <si>
    <t>0529</t>
  </si>
  <si>
    <t>35678510630</t>
  </si>
  <si>
    <t>5442 7460 1340 5488</t>
  </si>
  <si>
    <t>0530</t>
  </si>
  <si>
    <t>16347313790</t>
  </si>
  <si>
    <t>Bianca Costa Dias</t>
  </si>
  <si>
    <t>4576 7460 6513 0296</t>
  </si>
  <si>
    <t>0531</t>
  </si>
  <si>
    <t>45682189183</t>
  </si>
  <si>
    <t>Aline Carvalho Araujo</t>
  </si>
  <si>
    <t>5442 7460 6411 9801</t>
  </si>
  <si>
    <t>5442 7460 9311 3482</t>
  </si>
  <si>
    <t>0532</t>
  </si>
  <si>
    <t>65860638337</t>
  </si>
  <si>
    <t>Aline Alves Freitas</t>
  </si>
  <si>
    <t>6062 8200 1185 0873</t>
  </si>
  <si>
    <t>6062 8200 1380 3763</t>
  </si>
  <si>
    <t>0533</t>
  </si>
  <si>
    <t>86611780025</t>
  </si>
  <si>
    <t>Fabio Vieira</t>
  </si>
  <si>
    <t>5442 7460 2809 6226</t>
  </si>
  <si>
    <t>0534</t>
  </si>
  <si>
    <t>30193549786</t>
  </si>
  <si>
    <t>Gustavo Teixeira Martins</t>
  </si>
  <si>
    <t>4576 7460 4535 2627</t>
  </si>
  <si>
    <t>0535</t>
  </si>
  <si>
    <t>31210749467</t>
  </si>
  <si>
    <t>Guilherme Lima Freitas</t>
  </si>
  <si>
    <t>5442 7460 1763 3470</t>
  </si>
  <si>
    <t>0536</t>
  </si>
  <si>
    <t>48567866448</t>
  </si>
  <si>
    <t>Juliana Nascimento</t>
  </si>
  <si>
    <t>3782 673876 9623</t>
  </si>
  <si>
    <t>3782 121111 0299</t>
  </si>
  <si>
    <t>0537</t>
  </si>
  <si>
    <t>42927399000</t>
  </si>
  <si>
    <t>Fabio Santos</t>
  </si>
  <si>
    <t>3782 389203 6229</t>
  </si>
  <si>
    <t>3782 244367 5681</t>
  </si>
  <si>
    <t>0538</t>
  </si>
  <si>
    <t>40199175314</t>
  </si>
  <si>
    <t>Diego Carvalho</t>
  </si>
  <si>
    <t>4576 7460 4823 2011</t>
  </si>
  <si>
    <t>0539</t>
  </si>
  <si>
    <t>15586944715</t>
  </si>
  <si>
    <t>Matheus Carvalho Lima</t>
  </si>
  <si>
    <t>5442 7460 8062 8331</t>
  </si>
  <si>
    <t>5442 7460 9704 8351</t>
  </si>
  <si>
    <t>0540</t>
  </si>
  <si>
    <t>23451232308</t>
  </si>
  <si>
    <t>Leticia Borges Fernandes</t>
  </si>
  <si>
    <t>4576 7460 6807 9124</t>
  </si>
  <si>
    <t>4576 7460 8041 1006</t>
  </si>
  <si>
    <t>0541</t>
  </si>
  <si>
    <t>93535047919</t>
  </si>
  <si>
    <t>Eduardo Borges Gomes</t>
  </si>
  <si>
    <t>5442 7460 6488 3185</t>
  </si>
  <si>
    <t>5442 7460 7322 1967</t>
  </si>
  <si>
    <t>0542</t>
  </si>
  <si>
    <t>42136053965</t>
  </si>
  <si>
    <t>Marcelo Teixeira</t>
  </si>
  <si>
    <t>5442 7460 4194 0341</t>
  </si>
  <si>
    <t>0543</t>
  </si>
  <si>
    <t>36507272698</t>
  </si>
  <si>
    <t>Gabriel Monteiro Castro</t>
  </si>
  <si>
    <t>6505 0666 6055 2962</t>
  </si>
  <si>
    <t>0544</t>
  </si>
  <si>
    <t>14495297040</t>
  </si>
  <si>
    <t>Mariana Dias Souza</t>
  </si>
  <si>
    <t>6505 0666 6816 0428</t>
  </si>
  <si>
    <t>6505 0666 5198 7149</t>
  </si>
  <si>
    <t>0545</t>
  </si>
  <si>
    <t>11579652379</t>
  </si>
  <si>
    <t>Matheus Lima Castro</t>
  </si>
  <si>
    <t>3782 739850 9947</t>
  </si>
  <si>
    <t>0546</t>
  </si>
  <si>
    <t>96858885820</t>
  </si>
  <si>
    <t>Gabriel Vieira Gomes</t>
  </si>
  <si>
    <t>3782 391837 7856</t>
  </si>
  <si>
    <t>3782 860989 5784</t>
  </si>
  <si>
    <t>0547</t>
  </si>
  <si>
    <t>62897585439</t>
  </si>
  <si>
    <t>Felipe Fernandes</t>
  </si>
  <si>
    <t>5442 7460 4420 2004</t>
  </si>
  <si>
    <t>0548</t>
  </si>
  <si>
    <t>14468705612</t>
  </si>
  <si>
    <t>Leticia Silva Alves</t>
  </si>
  <si>
    <t>6505 0666 7649 9256</t>
  </si>
  <si>
    <t>0549</t>
  </si>
  <si>
    <t>29281452065</t>
  </si>
  <si>
    <t>Renato Pinto Dias</t>
  </si>
  <si>
    <t>5442 7460 2945 1438</t>
  </si>
  <si>
    <t>0550</t>
  </si>
  <si>
    <t>88893437708</t>
  </si>
  <si>
    <t>Renato Monteiro Dias</t>
  </si>
  <si>
    <t>3782 944386 1842</t>
  </si>
  <si>
    <t>0551</t>
  </si>
  <si>
    <t>49758458060</t>
  </si>
  <si>
    <t>Marcelo Pereira Araujo</t>
  </si>
  <si>
    <t>6505 0666 5969 0505</t>
  </si>
  <si>
    <t>0552</t>
  </si>
  <si>
    <t>95695394376</t>
  </si>
  <si>
    <t>Danilo Pinto</t>
  </si>
  <si>
    <t>5442 7460 7210 2246</t>
  </si>
  <si>
    <t>0553</t>
  </si>
  <si>
    <t>23917560208</t>
  </si>
  <si>
    <t>Vanessa Lima</t>
  </si>
  <si>
    <t>6062 8200 7816 7543</t>
  </si>
  <si>
    <t>0554</t>
  </si>
  <si>
    <t>72395319538</t>
  </si>
  <si>
    <t>Leticia Alves</t>
  </si>
  <si>
    <t>6505 0666 4766 5629</t>
  </si>
  <si>
    <t>0555</t>
  </si>
  <si>
    <t>58725893289</t>
  </si>
  <si>
    <t>Jessica Silva Gomes</t>
  </si>
  <si>
    <t>4576 7460 7782 0298</t>
  </si>
  <si>
    <t>4576 7460 7613 7807</t>
  </si>
  <si>
    <t>0556</t>
  </si>
  <si>
    <t>06821843066</t>
  </si>
  <si>
    <t>Gabriel Castro Oliveira</t>
  </si>
  <si>
    <t>5442 7460 2155 2943</t>
  </si>
  <si>
    <t>0557</t>
  </si>
  <si>
    <t>17010528900</t>
  </si>
  <si>
    <t>Fernanda Monteiro Dias</t>
  </si>
  <si>
    <t>3782 601442 1660</t>
  </si>
  <si>
    <t>3782 987493 8880</t>
  </si>
  <si>
    <t>0558</t>
  </si>
  <si>
    <t>17758906273</t>
  </si>
  <si>
    <t>Caio Rocha Araujo</t>
  </si>
  <si>
    <t>4576 7460 6132 2768</t>
  </si>
  <si>
    <t>0559</t>
  </si>
  <si>
    <t>35727937426</t>
  </si>
  <si>
    <t>Danilo Cardoso</t>
  </si>
  <si>
    <t>6505 0666 2859 3383</t>
  </si>
  <si>
    <t>0560</t>
  </si>
  <si>
    <t>50839317107</t>
  </si>
  <si>
    <t>Thiago Ribeiro</t>
  </si>
  <si>
    <t>5442 7460 3061 5889</t>
  </si>
  <si>
    <t>5442 7460 2070 2996</t>
  </si>
  <si>
    <t>0561</t>
  </si>
  <si>
    <t>64523742812</t>
  </si>
  <si>
    <t>Aline Cavalcanti Santos</t>
  </si>
  <si>
    <t>6062 8200 8930 7538</t>
  </si>
  <si>
    <t>0562</t>
  </si>
  <si>
    <t>68095072214</t>
  </si>
  <si>
    <t>Beatriz Nunes</t>
  </si>
  <si>
    <t>6505 0666 7786 7863</t>
  </si>
  <si>
    <t>6505 0666 2308 4248</t>
  </si>
  <si>
    <t>0563</t>
  </si>
  <si>
    <t>02165154162</t>
  </si>
  <si>
    <t>Bianca Araujo Pinto</t>
  </si>
  <si>
    <t>6062 8200 9587 2227</t>
  </si>
  <si>
    <t>6062 8200 4302 0817</t>
  </si>
  <si>
    <t>0564</t>
  </si>
  <si>
    <t>71873195257</t>
  </si>
  <si>
    <t>Marcelo Martins Pereira</t>
  </si>
  <si>
    <t>4576 7460 2668 5155</t>
  </si>
  <si>
    <t>0565</t>
  </si>
  <si>
    <t>21341008851</t>
  </si>
  <si>
    <t>Fabio Costa Lima</t>
  </si>
  <si>
    <t>3782 359171 0681</t>
  </si>
  <si>
    <t>3782 844611 1733</t>
  </si>
  <si>
    <t>0566</t>
  </si>
  <si>
    <t>38935977608</t>
  </si>
  <si>
    <t>Isabela Rodrigues Barros</t>
  </si>
  <si>
    <t>5442 7460 6823 1840</t>
  </si>
  <si>
    <t>0567</t>
  </si>
  <si>
    <t>68365470004</t>
  </si>
  <si>
    <t>Aline Martins Lima</t>
  </si>
  <si>
    <t>6062 8200 2960 2088</t>
  </si>
  <si>
    <t>0568</t>
  </si>
  <si>
    <t>05030884041</t>
  </si>
  <si>
    <t>Renata Santos Fernandes</t>
  </si>
  <si>
    <t>5442 7460 2757 7964</t>
  </si>
  <si>
    <t>5442 7460 8166 5827</t>
  </si>
  <si>
    <t>0569</t>
  </si>
  <si>
    <t>81460184599</t>
  </si>
  <si>
    <t>Beatriz Moura Oliveira</t>
  </si>
  <si>
    <t>6062 8200 7865 0995</t>
  </si>
  <si>
    <t>0570</t>
  </si>
  <si>
    <t>48660346378</t>
  </si>
  <si>
    <t>Mariana Moreira Silva</t>
  </si>
  <si>
    <t>5442 7460 7322 9558</t>
  </si>
  <si>
    <t>0571</t>
  </si>
  <si>
    <t>75494348164</t>
  </si>
  <si>
    <t>Camila Moura</t>
  </si>
  <si>
    <t>5442 7460 1412 5566</t>
  </si>
  <si>
    <t>5442 7460 5311 2828</t>
  </si>
  <si>
    <t>0572</t>
  </si>
  <si>
    <t>24877274979</t>
  </si>
  <si>
    <t>Tatiane Teixeira</t>
  </si>
  <si>
    <t>5442 7460 3161 6013</t>
  </si>
  <si>
    <t>5442 7460 6271 4030</t>
  </si>
  <si>
    <t>0573</t>
  </si>
  <si>
    <t>36913953330</t>
  </si>
  <si>
    <t>Felipe Almeida</t>
  </si>
  <si>
    <t>6505 0666 1932 5532</t>
  </si>
  <si>
    <t>0574</t>
  </si>
  <si>
    <t>93835054007</t>
  </si>
  <si>
    <t>Marcelo Nunes Oliveira</t>
  </si>
  <si>
    <t>6062 8200 9749 1335</t>
  </si>
  <si>
    <t>6062 8200 7166 6684</t>
  </si>
  <si>
    <t>0575</t>
  </si>
  <si>
    <t>29627647624</t>
  </si>
  <si>
    <t>Eduardo Fernandes Oliveira</t>
  </si>
  <si>
    <t>3782 949961 0722</t>
  </si>
  <si>
    <t>3782 727040 3777</t>
  </si>
  <si>
    <t>0576</t>
  </si>
  <si>
    <t>11764026411</t>
  </si>
  <si>
    <t>Leonardo Moura</t>
  </si>
  <si>
    <t>4576 7460 9685 9140</t>
  </si>
  <si>
    <t>0577</t>
  </si>
  <si>
    <t>50170102629</t>
  </si>
  <si>
    <t>Rodrigo Castro Teixeira</t>
  </si>
  <si>
    <t>6062 8200 3337 0458</t>
  </si>
  <si>
    <t>0578</t>
  </si>
  <si>
    <t>28069862491</t>
  </si>
  <si>
    <t>Fabio Nunes Nascimento</t>
  </si>
  <si>
    <t>6505 0666 4720 9999</t>
  </si>
  <si>
    <t>0579</t>
  </si>
  <si>
    <t>82045577520</t>
  </si>
  <si>
    <t>Priscila Dias Araujo</t>
  </si>
  <si>
    <t>4576 7460 4378 7840</t>
  </si>
  <si>
    <t>0580</t>
  </si>
  <si>
    <t>67200755940</t>
  </si>
  <si>
    <t>Priscila Almeida Freitas</t>
  </si>
  <si>
    <t>6505 0666 3525 7068</t>
  </si>
  <si>
    <t>6505 0666 4652 4781</t>
  </si>
  <si>
    <t>0581</t>
  </si>
  <si>
    <t>32200759320</t>
  </si>
  <si>
    <t>Marcelo Lima</t>
  </si>
  <si>
    <t>6062 8200 5001 3045</t>
  </si>
  <si>
    <t>0582</t>
  </si>
  <si>
    <t>64108319788</t>
  </si>
  <si>
    <t>Rodrigo Castro</t>
  </si>
  <si>
    <t>5442 7460 7260 9407</t>
  </si>
  <si>
    <t>0583</t>
  </si>
  <si>
    <t>74827231451</t>
  </si>
  <si>
    <t>Gabriela Vieira</t>
  </si>
  <si>
    <t>4576 7460 2010 3791</t>
  </si>
  <si>
    <t>4576 7460 2756 5795</t>
  </si>
  <si>
    <t>0584</t>
  </si>
  <si>
    <t>30369578040</t>
  </si>
  <si>
    <t>Juliana Cavalcanti</t>
  </si>
  <si>
    <t>6505 0666 3725 8391</t>
  </si>
  <si>
    <t>0585</t>
  </si>
  <si>
    <t>96264341711</t>
  </si>
  <si>
    <t>Fabio Almeida Moura</t>
  </si>
  <si>
    <t>6062 8200 5624 5958</t>
  </si>
  <si>
    <t>6062 8200 8583 1064</t>
  </si>
  <si>
    <t>0586</t>
  </si>
  <si>
    <t>86962672225</t>
  </si>
  <si>
    <t>Rafael Carvalho</t>
  </si>
  <si>
    <t>4576 7460 8299 2692</t>
  </si>
  <si>
    <t>4576 7460 2425 9641</t>
  </si>
  <si>
    <t>0587</t>
  </si>
  <si>
    <t>79268082292</t>
  </si>
  <si>
    <t>Rodrigo Silva Araujo</t>
  </si>
  <si>
    <t>5442 7460 3117 8905</t>
  </si>
  <si>
    <t>5442 7460 8509 5811</t>
  </si>
  <si>
    <t>0588</t>
  </si>
  <si>
    <t>64126129391</t>
  </si>
  <si>
    <t>Debora Freitas Carvalho</t>
  </si>
  <si>
    <t>4576 7460 4069 5208</t>
  </si>
  <si>
    <t>4576 7460 2536 6014</t>
  </si>
  <si>
    <t>0589</t>
  </si>
  <si>
    <t>67392936271</t>
  </si>
  <si>
    <t>Sabrina Castro Cavalcanti</t>
  </si>
  <si>
    <t>5442 7460 5212 1027</t>
  </si>
  <si>
    <t>5442 7460 9766 1834</t>
  </si>
  <si>
    <t>0590</t>
  </si>
  <si>
    <t>00052348083</t>
  </si>
  <si>
    <t>Marcelo Barbosa</t>
  </si>
  <si>
    <t>3782 691184 9796</t>
  </si>
  <si>
    <t>0591</t>
  </si>
  <si>
    <t>53248330295</t>
  </si>
  <si>
    <t>Isabela Cavalcanti Moura</t>
  </si>
  <si>
    <t>6062 8200 1901 3084</t>
  </si>
  <si>
    <t>0592</t>
  </si>
  <si>
    <t>33143207604</t>
  </si>
  <si>
    <t>Juliana Ribeiro Fernandes</t>
  </si>
  <si>
    <t>3782 315190 1684</t>
  </si>
  <si>
    <t>3782 281320 9059</t>
  </si>
  <si>
    <t>0593</t>
  </si>
  <si>
    <t>65855878120</t>
  </si>
  <si>
    <t>Fernanda Moura Freitas</t>
  </si>
  <si>
    <t>6062 8200 3022 3204</t>
  </si>
  <si>
    <t>6062 8200 9026 4067</t>
  </si>
  <si>
    <t>0594</t>
  </si>
  <si>
    <t>10445178248</t>
  </si>
  <si>
    <t>Aline Pinto Gomes</t>
  </si>
  <si>
    <t>6062 8200 5651 0344</t>
  </si>
  <si>
    <t>6062 8200 6746 4761</t>
  </si>
  <si>
    <t>0595</t>
  </si>
  <si>
    <t>87615998085</t>
  </si>
  <si>
    <t>Lucas Castro</t>
  </si>
  <si>
    <t>6062 8200 3614 1349</t>
  </si>
  <si>
    <t>6062 8200 4072 4495</t>
  </si>
  <si>
    <t>0596</t>
  </si>
  <si>
    <t>12890408345</t>
  </si>
  <si>
    <t>Caio Moura Santos</t>
  </si>
  <si>
    <t>6505 0666 1198 9779</t>
  </si>
  <si>
    <t>0597</t>
  </si>
  <si>
    <t>95386746936</t>
  </si>
  <si>
    <t>Amanda Dias Costa</t>
  </si>
  <si>
    <t>4576 7460 5954 0457</t>
  </si>
  <si>
    <t>0598</t>
  </si>
  <si>
    <t>29521132701</t>
  </si>
  <si>
    <t>Andre Rocha Campos</t>
  </si>
  <si>
    <t>5442 7460 3950 4941</t>
  </si>
  <si>
    <t>0599</t>
  </si>
  <si>
    <t>50051122600</t>
  </si>
  <si>
    <t>Matheus Barros Castro</t>
  </si>
  <si>
    <t>3782 295886 9182</t>
  </si>
  <si>
    <t>0600</t>
  </si>
  <si>
    <t>25390414268</t>
  </si>
  <si>
    <t>Priscila Castro Cardoso</t>
  </si>
  <si>
    <t>3782 232681 9645</t>
  </si>
  <si>
    <t>3782 777481 8207</t>
  </si>
  <si>
    <t>0601</t>
  </si>
  <si>
    <t>06114963997</t>
  </si>
  <si>
    <t>Alexandre Fernandes</t>
  </si>
  <si>
    <t>6505 0666 1731 4894</t>
  </si>
  <si>
    <t>6505 0666 5177 4822</t>
  </si>
  <si>
    <t>0602</t>
  </si>
  <si>
    <t>36021809300</t>
  </si>
  <si>
    <t>Gustavo Campos Almeida</t>
  </si>
  <si>
    <t>6062 8200 5753 0225</t>
  </si>
  <si>
    <t>0603</t>
  </si>
  <si>
    <t>31555690424</t>
  </si>
  <si>
    <t>Renato Carvalho</t>
  </si>
  <si>
    <t>3782 299540 0335</t>
  </si>
  <si>
    <t>0604</t>
  </si>
  <si>
    <t>96261693382</t>
  </si>
  <si>
    <t>Priscila Carvalho</t>
  </si>
  <si>
    <t>6062 8200 9452 5027</t>
  </si>
  <si>
    <t>0605</t>
  </si>
  <si>
    <t>12896065792</t>
  </si>
  <si>
    <t>Tatiane Almeida</t>
  </si>
  <si>
    <t>4576 7460 3674 1991</t>
  </si>
  <si>
    <t>4576 7460 9786 8649</t>
  </si>
  <si>
    <t>0606</t>
  </si>
  <si>
    <t>66641243354</t>
  </si>
  <si>
    <t>Eduardo Mendes</t>
  </si>
  <si>
    <t>5442 7460 1423 9005</t>
  </si>
  <si>
    <t>5442 7460 1498 6885</t>
  </si>
  <si>
    <t>0607</t>
  </si>
  <si>
    <t>73150347491</t>
  </si>
  <si>
    <t>Matheus Fernandes</t>
  </si>
  <si>
    <t>6062 8200 6618 3502</t>
  </si>
  <si>
    <t>0608</t>
  </si>
  <si>
    <t>53025312599</t>
  </si>
  <si>
    <t>Isabela Gomes Alves</t>
  </si>
  <si>
    <t>6505 0666 6166 8060</t>
  </si>
  <si>
    <t>0609</t>
  </si>
  <si>
    <t>48238930340</t>
  </si>
  <si>
    <t>Bruno Cavalcanti Rocha</t>
  </si>
  <si>
    <t>4576 7460 6692 5428</t>
  </si>
  <si>
    <t>4576 7460 2805 1153</t>
  </si>
  <si>
    <t>0610</t>
  </si>
  <si>
    <t>22437206124</t>
  </si>
  <si>
    <t>5442 7460 6515 4570</t>
  </si>
  <si>
    <t>0611</t>
  </si>
  <si>
    <t>65415312188</t>
  </si>
  <si>
    <t>Tatiane Castro Pinto</t>
  </si>
  <si>
    <t>4576 7460 6527 7157</t>
  </si>
  <si>
    <t>0612</t>
  </si>
  <si>
    <t>00781769809</t>
  </si>
  <si>
    <t>Larissa Dias</t>
  </si>
  <si>
    <t>6062 8200 1145 8081</t>
  </si>
  <si>
    <t>6062 8200 6110 8190</t>
  </si>
  <si>
    <t>0613</t>
  </si>
  <si>
    <t>67536228708</t>
  </si>
  <si>
    <t>Felipe Borges Teixeira</t>
  </si>
  <si>
    <t>5442 7460 9635 1012</t>
  </si>
  <si>
    <t>0614</t>
  </si>
  <si>
    <t>12548559980</t>
  </si>
  <si>
    <t>Gabriela Araujo Costa</t>
  </si>
  <si>
    <t>4576 7460 7802 6798</t>
  </si>
  <si>
    <t>0615</t>
  </si>
  <si>
    <t>00150685360</t>
  </si>
  <si>
    <t>Diego Moura Fernandes</t>
  </si>
  <si>
    <t>4576 7460 1135 9931</t>
  </si>
  <si>
    <t>0616</t>
  </si>
  <si>
    <t>08531959608</t>
  </si>
  <si>
    <t>Marcos Araujo Oliveira</t>
  </si>
  <si>
    <t>6505 0666 5833 3269</t>
  </si>
  <si>
    <t>6505 0666 6617 4152</t>
  </si>
  <si>
    <t>0617</t>
  </si>
  <si>
    <t>33441701046</t>
  </si>
  <si>
    <t>Rodrigo Araujo Rocha</t>
  </si>
  <si>
    <t>6505 0666 5090 8469</t>
  </si>
  <si>
    <t>0618</t>
  </si>
  <si>
    <t>77103441863</t>
  </si>
  <si>
    <t>Jessica Oliveira</t>
  </si>
  <si>
    <t>6505 0666 7982 5731</t>
  </si>
  <si>
    <t>6505 0666 5864 2925</t>
  </si>
  <si>
    <t>0619</t>
  </si>
  <si>
    <t>20773978100</t>
  </si>
  <si>
    <t>Vinicius Fernandes Barbosa</t>
  </si>
  <si>
    <t>6062 8200 9422 0065</t>
  </si>
  <si>
    <t>0620</t>
  </si>
  <si>
    <t>43833239107</t>
  </si>
  <si>
    <t>Marcos Gomes Freitas</t>
  </si>
  <si>
    <t>5442 7460 5986 4485</t>
  </si>
  <si>
    <t>0621</t>
  </si>
  <si>
    <t>13072736375</t>
  </si>
  <si>
    <t>Sabrina Moreira Barbosa</t>
  </si>
  <si>
    <t>6062 8200 4538 0495</t>
  </si>
  <si>
    <t>6062 8200 6562 3063</t>
  </si>
  <si>
    <t>0622</t>
  </si>
  <si>
    <t>96616586766</t>
  </si>
  <si>
    <t>Bianca Mendes Rocha</t>
  </si>
  <si>
    <t>4576 7460 3411 5364</t>
  </si>
  <si>
    <t>4576 7460 3878 6137</t>
  </si>
  <si>
    <t>0623</t>
  </si>
  <si>
    <t>97493442436</t>
  </si>
  <si>
    <t>Carolina Barros</t>
  </si>
  <si>
    <t>4576 7460 4124 3143</t>
  </si>
  <si>
    <t>0624</t>
  </si>
  <si>
    <t>96128311652</t>
  </si>
  <si>
    <t>Vinicius Cardoso Borges</t>
  </si>
  <si>
    <t>4576 7460 6444 4612</t>
  </si>
  <si>
    <t>0625</t>
  </si>
  <si>
    <t>91912151707</t>
  </si>
  <si>
    <t>Leonardo Almeida Oliveira</t>
  </si>
  <si>
    <t>4576 7460 3879 5762</t>
  </si>
  <si>
    <t>0626</t>
  </si>
  <si>
    <t>25766394616</t>
  </si>
  <si>
    <t>Sabrina Cavalcanti Barros</t>
  </si>
  <si>
    <t>5442 7460 8606 4773</t>
  </si>
  <si>
    <t>0627</t>
  </si>
  <si>
    <t>25545318208</t>
  </si>
  <si>
    <t>Matheus Araujo Pinto</t>
  </si>
  <si>
    <t>5442 7460 5754 0958</t>
  </si>
  <si>
    <t>5442 7460 3228 1461</t>
  </si>
  <si>
    <t>0628</t>
  </si>
  <si>
    <t>33254130219</t>
  </si>
  <si>
    <t>Eduardo Vieira Rodrigues</t>
  </si>
  <si>
    <t>6062 8200 4227 3470</t>
  </si>
  <si>
    <t>0629</t>
  </si>
  <si>
    <t>35702246438</t>
  </si>
  <si>
    <t>Camila Nunes Ribeiro</t>
  </si>
  <si>
    <t>3782 985760 4687</t>
  </si>
  <si>
    <t>3782 953656 6232</t>
  </si>
  <si>
    <t>0630</t>
  </si>
  <si>
    <t>59013152350</t>
  </si>
  <si>
    <t>Felipe Dias</t>
  </si>
  <si>
    <t>3782 659927 9442</t>
  </si>
  <si>
    <t>3782 397552 9245</t>
  </si>
  <si>
    <t>0631</t>
  </si>
  <si>
    <t>04371310095</t>
  </si>
  <si>
    <t>Gustavo Cardoso Mendes</t>
  </si>
  <si>
    <t>4576 7460 1253 5968</t>
  </si>
  <si>
    <t>0632</t>
  </si>
  <si>
    <t>77762889426</t>
  </si>
  <si>
    <t>Bruno Moura Cardoso</t>
  </si>
  <si>
    <t>3782 711684 7069</t>
  </si>
  <si>
    <t>3782 583583 3863</t>
  </si>
  <si>
    <t>0633</t>
  </si>
  <si>
    <t>39710901508</t>
  </si>
  <si>
    <t>Carolina Moreira Monteiro</t>
  </si>
  <si>
    <t>6505 0666 7396 7553</t>
  </si>
  <si>
    <t>0634</t>
  </si>
  <si>
    <t>06567449365</t>
  </si>
  <si>
    <t>Leandro Monteiro</t>
  </si>
  <si>
    <t>4576 7460 1924 2030</t>
  </si>
  <si>
    <t>0635</t>
  </si>
  <si>
    <t>59059437535</t>
  </si>
  <si>
    <t>Camila Barbosa Carvalho</t>
  </si>
  <si>
    <t>3782 949344 1737</t>
  </si>
  <si>
    <t>3782 908884 6357</t>
  </si>
  <si>
    <t>0636</t>
  </si>
  <si>
    <t>53356088203</t>
  </si>
  <si>
    <t>Carolina Castro</t>
  </si>
  <si>
    <t>4576 7460 7619 3326</t>
  </si>
  <si>
    <t>4576 7460 3956 1721</t>
  </si>
  <si>
    <t>0637</t>
  </si>
  <si>
    <t>68674222927</t>
  </si>
  <si>
    <t>Alexandre Mendes Vieira</t>
  </si>
  <si>
    <t>4576 7460 1664 5940</t>
  </si>
  <si>
    <t>4576 7460 9342 3855</t>
  </si>
  <si>
    <t>0638</t>
  </si>
  <si>
    <t>59927572956</t>
  </si>
  <si>
    <t>Sabrina Cardoso Alves</t>
  </si>
  <si>
    <t>4576 7460 4930 4473</t>
  </si>
  <si>
    <t>4576 7460 5500 6545</t>
  </si>
  <si>
    <t>0639</t>
  </si>
  <si>
    <t>55333551707</t>
  </si>
  <si>
    <t>Camila Carvalho Araujo</t>
  </si>
  <si>
    <t>6505 0666 2131 4831</t>
  </si>
  <si>
    <t>6505 0666 7908 7278</t>
  </si>
  <si>
    <t>0640</t>
  </si>
  <si>
    <t>94181224309</t>
  </si>
  <si>
    <t>Aline Dias</t>
  </si>
  <si>
    <t>5442 7460 9273 3308</t>
  </si>
  <si>
    <t>0641</t>
  </si>
  <si>
    <t>67060533508</t>
  </si>
  <si>
    <t>Gustavo Freitas</t>
  </si>
  <si>
    <t>3782 857055 6988</t>
  </si>
  <si>
    <t>0642</t>
  </si>
  <si>
    <t>19381035059</t>
  </si>
  <si>
    <t>Matheus Campos Vieira</t>
  </si>
  <si>
    <t>6062 8200 8769 9690</t>
  </si>
  <si>
    <t>0643</t>
  </si>
  <si>
    <t>37393915375</t>
  </si>
  <si>
    <t>Vinicius Cavalcanti Ribeiro</t>
  </si>
  <si>
    <t>3782 762836 9395</t>
  </si>
  <si>
    <t>0644</t>
  </si>
  <si>
    <t>42439593400</t>
  </si>
  <si>
    <t>Leonardo Fernandes Teixeira</t>
  </si>
  <si>
    <t>4576 7460 1152 1301</t>
  </si>
  <si>
    <t>4576 7460 5917 0908</t>
  </si>
  <si>
    <t>0645</t>
  </si>
  <si>
    <t>77215701239</t>
  </si>
  <si>
    <t>Debora Martins</t>
  </si>
  <si>
    <t>3782 374797 4865</t>
  </si>
  <si>
    <t>0646</t>
  </si>
  <si>
    <t>20987058916</t>
  </si>
  <si>
    <t>Aline Campos Freitas</t>
  </si>
  <si>
    <t>3782 466616 8938</t>
  </si>
  <si>
    <t>0647</t>
  </si>
  <si>
    <t>33445872775</t>
  </si>
  <si>
    <t>Felipe Cavalcanti Pinto</t>
  </si>
  <si>
    <t>6062 8200 6029 0516</t>
  </si>
  <si>
    <t>0648</t>
  </si>
  <si>
    <t>57874112857</t>
  </si>
  <si>
    <t>Gabriela Lima</t>
  </si>
  <si>
    <t>5442 7460 1928 8050</t>
  </si>
  <si>
    <t>0649</t>
  </si>
  <si>
    <t>54458229583</t>
  </si>
  <si>
    <t>Felipe Moura Pereira</t>
  </si>
  <si>
    <t>3782 644270 2971</t>
  </si>
  <si>
    <t>0650</t>
  </si>
  <si>
    <t>42801524468</t>
  </si>
  <si>
    <t>Larissa Lima Souza</t>
  </si>
  <si>
    <t>6505 0666 2116 3195</t>
  </si>
  <si>
    <t>6505 0666 4844 7679</t>
  </si>
  <si>
    <t>0651</t>
  </si>
  <si>
    <t>73156870927</t>
  </si>
  <si>
    <t>Bianca Moreira</t>
  </si>
  <si>
    <t>6062 8200 7395 2458</t>
  </si>
  <si>
    <t>0652</t>
  </si>
  <si>
    <t>36804378709</t>
  </si>
  <si>
    <t>Rodrigo Pinto</t>
  </si>
  <si>
    <t>5442 7460 5700 8680</t>
  </si>
  <si>
    <t>0653</t>
  </si>
  <si>
    <t>19953946108</t>
  </si>
  <si>
    <t>Gustavo Pereira</t>
  </si>
  <si>
    <t>4576 7460 3681 5550</t>
  </si>
  <si>
    <t>0654</t>
  </si>
  <si>
    <t>66010742412</t>
  </si>
  <si>
    <t>Caio Borges</t>
  </si>
  <si>
    <t>5442 7460 1243 8372</t>
  </si>
  <si>
    <t>0655</t>
  </si>
  <si>
    <t>72685841725</t>
  </si>
  <si>
    <t>Marcos Cavalcanti</t>
  </si>
  <si>
    <t>5442 7460 1411 1565</t>
  </si>
  <si>
    <t>0656</t>
  </si>
  <si>
    <t>71337412295</t>
  </si>
  <si>
    <t>Amanda Cardoso</t>
  </si>
  <si>
    <t>3782 229068 5626</t>
  </si>
  <si>
    <t>0657</t>
  </si>
  <si>
    <t>87708235618</t>
  </si>
  <si>
    <t>Fabio Teixeira</t>
  </si>
  <si>
    <t>3782 977389 8121</t>
  </si>
  <si>
    <t>0658</t>
  </si>
  <si>
    <t>65457596478</t>
  </si>
  <si>
    <t>Bianca Freitas Moura</t>
  </si>
  <si>
    <t>5442 7460 4435 9067</t>
  </si>
  <si>
    <t>0659</t>
  </si>
  <si>
    <t>35718242372</t>
  </si>
  <si>
    <t>Leonardo Santos</t>
  </si>
  <si>
    <t>6062 8200 2712 8988</t>
  </si>
  <si>
    <t>6062 8200 7538 4787</t>
  </si>
  <si>
    <t>0660</t>
  </si>
  <si>
    <t>10299972844</t>
  </si>
  <si>
    <t>Camila Rocha Campos</t>
  </si>
  <si>
    <t>4576 7460 2028 7824</t>
  </si>
  <si>
    <t>0661</t>
  </si>
  <si>
    <t>95600801211</t>
  </si>
  <si>
    <t>Tatiane Oliveira Nunes</t>
  </si>
  <si>
    <t>5442 7460 8750 1856</t>
  </si>
  <si>
    <t>0662</t>
  </si>
  <si>
    <t>94737966924</t>
  </si>
  <si>
    <t>Aline Pereira Almeida</t>
  </si>
  <si>
    <t>6505 0666 1028 7316</t>
  </si>
  <si>
    <t>0663</t>
  </si>
  <si>
    <t>17175312105</t>
  </si>
  <si>
    <t>Jessica Silva</t>
  </si>
  <si>
    <t>3782 785739 4525</t>
  </si>
  <si>
    <t>0664</t>
  </si>
  <si>
    <t>29213857837</t>
  </si>
  <si>
    <t>Vivian Silva Martins</t>
  </si>
  <si>
    <t>6062 8200 7416 8579</t>
  </si>
  <si>
    <t>6062 8200 5420 0759</t>
  </si>
  <si>
    <t>0665</t>
  </si>
  <si>
    <t>02351678273</t>
  </si>
  <si>
    <t>Priscila Rocha Fernandes</t>
  </si>
  <si>
    <t>3782 336353 2446</t>
  </si>
  <si>
    <t>0666</t>
  </si>
  <si>
    <t>66008441400</t>
  </si>
  <si>
    <t>Leandro Martins Pereira</t>
  </si>
  <si>
    <t>4576 7460 1232 7064</t>
  </si>
  <si>
    <t>0667</t>
  </si>
  <si>
    <t>32409821707</t>
  </si>
  <si>
    <t>Lucas Santos Gomes</t>
  </si>
  <si>
    <t>6505 0666 2861 5274</t>
  </si>
  <si>
    <t>6505 0666 4219 9406</t>
  </si>
  <si>
    <t>0668</t>
  </si>
  <si>
    <t>93119384240</t>
  </si>
  <si>
    <t>4576 7460 2975 6352</t>
  </si>
  <si>
    <t>0669</t>
  </si>
  <si>
    <t>52761557808</t>
  </si>
  <si>
    <t>Matheus Nascimento Barros</t>
  </si>
  <si>
    <t>3782 134081 4152</t>
  </si>
  <si>
    <t>0670</t>
  </si>
  <si>
    <t>53055961900</t>
  </si>
  <si>
    <t>Rodrigo Cardoso Moreira</t>
  </si>
  <si>
    <t>6505 0666 4481 3053</t>
  </si>
  <si>
    <t>0671</t>
  </si>
  <si>
    <t>28855831267</t>
  </si>
  <si>
    <t>Renato Fernandes Silva</t>
  </si>
  <si>
    <t>6505 0666 4125 9194</t>
  </si>
  <si>
    <t>6505 0666 4475 9131</t>
  </si>
  <si>
    <t>0672</t>
  </si>
  <si>
    <t>60142789402</t>
  </si>
  <si>
    <t>Gustavo Monteiro Gomes</t>
  </si>
  <si>
    <t>4576 7460 5124 6709</t>
  </si>
  <si>
    <t>0673</t>
  </si>
  <si>
    <t>93147593851</t>
  </si>
  <si>
    <t>Vanessa Barros</t>
  </si>
  <si>
    <t>3782 855598 0224</t>
  </si>
  <si>
    <t>0674</t>
  </si>
  <si>
    <t>40413138216</t>
  </si>
  <si>
    <t>Vivian Lima Barros</t>
  </si>
  <si>
    <t>3782 366403 7030</t>
  </si>
  <si>
    <t>0675</t>
  </si>
  <si>
    <t>85552935705</t>
  </si>
  <si>
    <t>Leticia Souza</t>
  </si>
  <si>
    <t>5442 7460 2105 1537</t>
  </si>
  <si>
    <t>0676</t>
  </si>
  <si>
    <t>02898880507</t>
  </si>
  <si>
    <t>Jessica Vieira Barbosa</t>
  </si>
  <si>
    <t>5442 7460 6331 3215</t>
  </si>
  <si>
    <t>5442 7460 6855 6403</t>
  </si>
  <si>
    <t>0677</t>
  </si>
  <si>
    <t>53910503837</t>
  </si>
  <si>
    <t>Fernanda Cavalcanti</t>
  </si>
  <si>
    <t>6505 0666 7791 1239</t>
  </si>
  <si>
    <t>6505 0666 6100 4213</t>
  </si>
  <si>
    <t>0678</t>
  </si>
  <si>
    <t>85377706390</t>
  </si>
  <si>
    <t>Caio Pereira Oliveira</t>
  </si>
  <si>
    <t>6062 8200 5643 7561</t>
  </si>
  <si>
    <t>0679</t>
  </si>
  <si>
    <t>53495243569</t>
  </si>
  <si>
    <t>Fabio Barbosa Cavalcanti</t>
  </si>
  <si>
    <t>3782 331308 8927</t>
  </si>
  <si>
    <t>0680</t>
  </si>
  <si>
    <t>59168168632</t>
  </si>
  <si>
    <t>Camila Araujo</t>
  </si>
  <si>
    <t>6062 8200 1202 1786</t>
  </si>
  <si>
    <t>0681</t>
  </si>
  <si>
    <t>96610717303</t>
  </si>
  <si>
    <t>Amanda Ribeiro Oliveira</t>
  </si>
  <si>
    <t>3782 143668 7762</t>
  </si>
  <si>
    <t>0682</t>
  </si>
  <si>
    <t>54110995957</t>
  </si>
  <si>
    <t>Carolina Pinto Almeida</t>
  </si>
  <si>
    <t>4576 7460 9464 0052</t>
  </si>
  <si>
    <t>0683</t>
  </si>
  <si>
    <t>82050750340</t>
  </si>
  <si>
    <t>Vivian Oliveira Barbosa</t>
  </si>
  <si>
    <t>6062 8200 9150 3549</t>
  </si>
  <si>
    <t>0684</t>
  </si>
  <si>
    <t>50402990609</t>
  </si>
  <si>
    <t>Gabriela Moura Lima</t>
  </si>
  <si>
    <t>6062 8200 8729 5260</t>
  </si>
  <si>
    <t>0685</t>
  </si>
  <si>
    <t>23978876060</t>
  </si>
  <si>
    <t>Jessica Martins Gomes</t>
  </si>
  <si>
    <t>6062 8200 1442 8707</t>
  </si>
  <si>
    <t>0686</t>
  </si>
  <si>
    <t>57868049502</t>
  </si>
  <si>
    <t>Thiago Costa Campos</t>
  </si>
  <si>
    <t>6505 0666 2568 6817</t>
  </si>
  <si>
    <t>0687</t>
  </si>
  <si>
    <t>52366020848</t>
  </si>
  <si>
    <t>6062 8200 8182 4494</t>
  </si>
  <si>
    <t>0688</t>
  </si>
  <si>
    <t>48827116133</t>
  </si>
  <si>
    <t>Carolina Oliveira Gomes</t>
  </si>
  <si>
    <t>3782 180627 7818</t>
  </si>
  <si>
    <t>0689</t>
  </si>
  <si>
    <t>47889408846</t>
  </si>
  <si>
    <t>Renato Cavalcanti</t>
  </si>
  <si>
    <t>4576 7460 7872 9320</t>
  </si>
  <si>
    <t>0690</t>
  </si>
  <si>
    <t>84446387650</t>
  </si>
  <si>
    <t>Guilherme Lima</t>
  </si>
  <si>
    <t>4576 7460 2368 6220</t>
  </si>
  <si>
    <t>0691</t>
  </si>
  <si>
    <t>97568997006</t>
  </si>
  <si>
    <t>Carolina Silva</t>
  </si>
  <si>
    <t>5442 7460 7279 4484</t>
  </si>
  <si>
    <t>0692</t>
  </si>
  <si>
    <t>13437161873</t>
  </si>
  <si>
    <t>Jessica Barbosa Costa</t>
  </si>
  <si>
    <t>3782 211989 7222</t>
  </si>
  <si>
    <t>3782 839016 8258</t>
  </si>
  <si>
    <t>0693</t>
  </si>
  <si>
    <t>06606920310</t>
  </si>
  <si>
    <t>Danilo Carvalho Gomes</t>
  </si>
  <si>
    <t>6505 0666 4839 3394</t>
  </si>
  <si>
    <t>6505 0666 9148 7409</t>
  </si>
  <si>
    <t>0694</t>
  </si>
  <si>
    <t>52965228187</t>
  </si>
  <si>
    <t>Vivian Rocha Vieira</t>
  </si>
  <si>
    <t>4576 7460 8986 9884</t>
  </si>
  <si>
    <t>4576 7460 8705 7229</t>
  </si>
  <si>
    <t>0695</t>
  </si>
  <si>
    <t>40357726901</t>
  </si>
  <si>
    <t>Fabio Moura</t>
  </si>
  <si>
    <t>5442 7460 5998 8425</t>
  </si>
  <si>
    <t>0696</t>
  </si>
  <si>
    <t>23790874400</t>
  </si>
  <si>
    <t>Beatriz Vieira Dias</t>
  </si>
  <si>
    <t>4576 7460 1893 0834</t>
  </si>
  <si>
    <t>4576 7460 1043 2483</t>
  </si>
  <si>
    <t>0697</t>
  </si>
  <si>
    <t>09993741680</t>
  </si>
  <si>
    <t>Fabio Pinto Nascimento</t>
  </si>
  <si>
    <t>6505 0666 4039 0485</t>
  </si>
  <si>
    <t>0698</t>
  </si>
  <si>
    <t>08281029536</t>
  </si>
  <si>
    <t>Carolina Oliveira</t>
  </si>
  <si>
    <t>4576 7460 5625 6624</t>
  </si>
  <si>
    <t>0699</t>
  </si>
  <si>
    <t>78246324403</t>
  </si>
  <si>
    <t>Danilo Santos Araujo</t>
  </si>
  <si>
    <t>4576 7460 4125 0572</t>
  </si>
  <si>
    <t>4576 7460 3504 7683</t>
  </si>
  <si>
    <t>0700</t>
  </si>
  <si>
    <t>01827653345</t>
  </si>
  <si>
    <t>Mariana Oliveira Fernandes</t>
  </si>
  <si>
    <t>3782 337448 2631</t>
  </si>
  <si>
    <t>0701</t>
  </si>
  <si>
    <t>29230275239</t>
  </si>
  <si>
    <t>Leandro Oliveira Nascimento</t>
  </si>
  <si>
    <t>5442 7460 5342 3352</t>
  </si>
  <si>
    <t>5442 7460 1086 2579</t>
  </si>
  <si>
    <t>0702</t>
  </si>
  <si>
    <t>17974911131</t>
  </si>
  <si>
    <t>Gustavo Vieira</t>
  </si>
  <si>
    <t>4576 7460 4799 5735</t>
  </si>
  <si>
    <t>0703</t>
  </si>
  <si>
    <t>03177015848</t>
  </si>
  <si>
    <t>Renata Castro Freitas</t>
  </si>
  <si>
    <t>6505 0666 7248 2502</t>
  </si>
  <si>
    <t>0704</t>
  </si>
  <si>
    <t>81249532361</t>
  </si>
  <si>
    <t>Fernanda Moura Nunes</t>
  </si>
  <si>
    <t>5442 7460 9017 2783</t>
  </si>
  <si>
    <t>0705</t>
  </si>
  <si>
    <t>24125265160</t>
  </si>
  <si>
    <t>Marcos Almeida</t>
  </si>
  <si>
    <t>6505 0666 8478 9064</t>
  </si>
  <si>
    <t>0706</t>
  </si>
  <si>
    <t>36405752887</t>
  </si>
  <si>
    <t>Fabio Ribeiro Santos</t>
  </si>
  <si>
    <t>6505 0666 2384 4725</t>
  </si>
  <si>
    <t>6505 0666 1692 8198</t>
  </si>
  <si>
    <t>0707</t>
  </si>
  <si>
    <t>74656084735</t>
  </si>
  <si>
    <t>Beatriz Santos</t>
  </si>
  <si>
    <t>6062 8200 8034 2562</t>
  </si>
  <si>
    <t>6062 8200 1521 9137</t>
  </si>
  <si>
    <t>0708</t>
  </si>
  <si>
    <t>66642838246</t>
  </si>
  <si>
    <t>Larissa Vieira Moreira</t>
  </si>
  <si>
    <t>6062 8200 8739 2650</t>
  </si>
  <si>
    <t>0709</t>
  </si>
  <si>
    <t>73922459021</t>
  </si>
  <si>
    <t>Mariana Freitas</t>
  </si>
  <si>
    <t>6062 8200 7195 5862</t>
  </si>
  <si>
    <t>0710</t>
  </si>
  <si>
    <t>90168504570</t>
  </si>
  <si>
    <t>Juliana Barbosa</t>
  </si>
  <si>
    <t>5442 7460 5037 4924</t>
  </si>
  <si>
    <t>5442 7460 2429 2278</t>
  </si>
  <si>
    <t>0711</t>
  </si>
  <si>
    <t>06892290973</t>
  </si>
  <si>
    <t>Eduardo Santos Nascimento</t>
  </si>
  <si>
    <t>5442 7460 2400 5115</t>
  </si>
  <si>
    <t>0712</t>
  </si>
  <si>
    <t>74872985745</t>
  </si>
  <si>
    <t>Caio Barros</t>
  </si>
  <si>
    <t>4576 7460 7250 4894</t>
  </si>
  <si>
    <t>0713</t>
  </si>
  <si>
    <t>33616947367</t>
  </si>
  <si>
    <t>Caio Almeida</t>
  </si>
  <si>
    <t>5442 7460 6019 3471</t>
  </si>
  <si>
    <t>0714</t>
  </si>
  <si>
    <t>53167090120</t>
  </si>
  <si>
    <t>Thiago Dias Carvalho</t>
  </si>
  <si>
    <t>4576 7460 6593 1257</t>
  </si>
  <si>
    <t>4576 7460 8620 3900</t>
  </si>
  <si>
    <t>0715</t>
  </si>
  <si>
    <t>53954655020</t>
  </si>
  <si>
    <t>Andre Borges Ribeiro</t>
  </si>
  <si>
    <t>6062 8200 8379 6200</t>
  </si>
  <si>
    <t>6062 8200 1490 8806</t>
  </si>
  <si>
    <t>0716</t>
  </si>
  <si>
    <t>35101471208</t>
  </si>
  <si>
    <t>Bruno Freitas</t>
  </si>
  <si>
    <t>3782 161532 0472</t>
  </si>
  <si>
    <t>0717</t>
  </si>
  <si>
    <t>61334016720</t>
  </si>
  <si>
    <t>Jessica Carvalho Lima</t>
  </si>
  <si>
    <t>4576 7460 7255 8066</t>
  </si>
  <si>
    <t>0718</t>
  </si>
  <si>
    <t>59146816429</t>
  </si>
  <si>
    <t>Isabela Araujo Cavalcanti</t>
  </si>
  <si>
    <t>5442 7460 5603 9530</t>
  </si>
  <si>
    <t>0719</t>
  </si>
  <si>
    <t>58845963322</t>
  </si>
  <si>
    <t>Gabriel Fernandes Nascimento</t>
  </si>
  <si>
    <t>5442 7460 9337 4694</t>
  </si>
  <si>
    <t>5442 7460 8681 9435</t>
  </si>
  <si>
    <t>0720</t>
  </si>
  <si>
    <t>94618280476</t>
  </si>
  <si>
    <t>Rafael Nunes</t>
  </si>
  <si>
    <t>3782 186310 6676</t>
  </si>
  <si>
    <t>3782 360184 8265</t>
  </si>
  <si>
    <t>0721</t>
  </si>
  <si>
    <t>42228758990</t>
  </si>
  <si>
    <t>Tatiane Mendes Rocha</t>
  </si>
  <si>
    <t>5442 7460 9697 0464</t>
  </si>
  <si>
    <t>5442 7460 8420 3136</t>
  </si>
  <si>
    <t>0722</t>
  </si>
  <si>
    <t>80654103321</t>
  </si>
  <si>
    <t>Amanda Ribeiro Pinto</t>
  </si>
  <si>
    <t>5442 7460 8237 2511</t>
  </si>
  <si>
    <t>0723</t>
  </si>
  <si>
    <t>04705395859</t>
  </si>
  <si>
    <t>Priscila Pinto Castro</t>
  </si>
  <si>
    <t>3782 411780 2890</t>
  </si>
  <si>
    <t>0724</t>
  </si>
  <si>
    <t>47245812209</t>
  </si>
  <si>
    <t>Andre Cavalcanti Alves</t>
  </si>
  <si>
    <t>3782 734768 8007</t>
  </si>
  <si>
    <t>0725</t>
  </si>
  <si>
    <t>20622917366</t>
  </si>
  <si>
    <t>Marcelo Campos Carvalho</t>
  </si>
  <si>
    <t>6505 0666 8952 3576</t>
  </si>
  <si>
    <t>0726</t>
  </si>
  <si>
    <t>10875742777</t>
  </si>
  <si>
    <t>Sabrina Ribeiro Moura</t>
  </si>
  <si>
    <t>5442 7460 6953 4009</t>
  </si>
  <si>
    <t>0727</t>
  </si>
  <si>
    <t>51836968612</t>
  </si>
  <si>
    <t>Guilherme Pinto Costa</t>
  </si>
  <si>
    <t>6062 8200 4380 9512</t>
  </si>
  <si>
    <t>6062 8200 7594 9700</t>
  </si>
  <si>
    <t>0728</t>
  </si>
  <si>
    <t>46386337905</t>
  </si>
  <si>
    <t>Marcelo Rodrigues Cavalcanti</t>
  </si>
  <si>
    <t>4576 7460 7968 8840</t>
  </si>
  <si>
    <t>4576 7460 8695 5629</t>
  </si>
  <si>
    <t>0729</t>
  </si>
  <si>
    <t>94196243070</t>
  </si>
  <si>
    <t>Juliana Barbosa Mendes</t>
  </si>
  <si>
    <t>5442 7460 9931 8773</t>
  </si>
  <si>
    <t>0730</t>
  </si>
  <si>
    <t>09928308691</t>
  </si>
  <si>
    <t>Marcelo Oliveira Ribeiro</t>
  </si>
  <si>
    <t>6062 8200 9972 8687</t>
  </si>
  <si>
    <t>0731</t>
  </si>
  <si>
    <t>72226255508</t>
  </si>
  <si>
    <t>Thiago Cavalcanti Oliveira</t>
  </si>
  <si>
    <t>4576 7460 8956 1086</t>
  </si>
  <si>
    <t>0732</t>
  </si>
  <si>
    <t>66720557033</t>
  </si>
  <si>
    <t>Rafael Costa Cardoso</t>
  </si>
  <si>
    <t>6505 0666 9408 2032</t>
  </si>
  <si>
    <t>0733</t>
  </si>
  <si>
    <t>59722709860</t>
  </si>
  <si>
    <t>Bruno Pinto Monteiro</t>
  </si>
  <si>
    <t>5442 7460 5822 7426</t>
  </si>
  <si>
    <t>5442 7460 7608 5856</t>
  </si>
  <si>
    <t>0734</t>
  </si>
  <si>
    <t>50088152022</t>
  </si>
  <si>
    <t>Bruno Nascimento</t>
  </si>
  <si>
    <t>6505 0666 5980 5137</t>
  </si>
  <si>
    <t>0735</t>
  </si>
  <si>
    <t>84562141166</t>
  </si>
  <si>
    <t>Thiago Vieira</t>
  </si>
  <si>
    <t>6062 8200 7597 1807</t>
  </si>
  <si>
    <t>0736</t>
  </si>
  <si>
    <t>52818083036</t>
  </si>
  <si>
    <t>Fernanda Castro Almeida</t>
  </si>
  <si>
    <t>5442 7460 7248 1894</t>
  </si>
  <si>
    <t>5442 7460 7181 7945</t>
  </si>
  <si>
    <t>0737</t>
  </si>
  <si>
    <t>00751606413</t>
  </si>
  <si>
    <t>Leonardo Dias Carvalho</t>
  </si>
  <si>
    <t>6062 8200 7186 0733</t>
  </si>
  <si>
    <t>0738</t>
  </si>
  <si>
    <t>97879465499</t>
  </si>
  <si>
    <t>Mariana Campos</t>
  </si>
  <si>
    <t>6505 0666 2570 2102</t>
  </si>
  <si>
    <t>0739</t>
  </si>
  <si>
    <t>96440538772</t>
  </si>
  <si>
    <t>Mariana Lima</t>
  </si>
  <si>
    <t>3782 621369 4180</t>
  </si>
  <si>
    <t>3782 415957 5468</t>
  </si>
  <si>
    <t>0740</t>
  </si>
  <si>
    <t>49145433895</t>
  </si>
  <si>
    <t>Gabriela Castro Cardoso</t>
  </si>
  <si>
    <t>6505 0666 2198 1870</t>
  </si>
  <si>
    <t>0741</t>
  </si>
  <si>
    <t>44833187728</t>
  </si>
  <si>
    <t>Mariana Barbosa Pereira</t>
  </si>
  <si>
    <t>6062 8200 4607 1076</t>
  </si>
  <si>
    <t>0742</t>
  </si>
  <si>
    <t>64071628588</t>
  </si>
  <si>
    <t>Vinicius Nunes Campos</t>
  </si>
  <si>
    <t>3782 555476 4686</t>
  </si>
  <si>
    <t>0743</t>
  </si>
  <si>
    <t>02052416706</t>
  </si>
  <si>
    <t>Gabriela Silva Nunes</t>
  </si>
  <si>
    <t>6062 8200 4028 1105</t>
  </si>
  <si>
    <t>0744</t>
  </si>
  <si>
    <t>59807192706</t>
  </si>
  <si>
    <t>Caio Nunes Dias</t>
  </si>
  <si>
    <t>6062 8200 7419 3490</t>
  </si>
  <si>
    <t>0745</t>
  </si>
  <si>
    <t>68396263930</t>
  </si>
  <si>
    <t>5442 7460 5901 5045</t>
  </si>
  <si>
    <t>0746</t>
  </si>
  <si>
    <t>70492704902</t>
  </si>
  <si>
    <t>Thiago Pinto Lima</t>
  </si>
  <si>
    <t>5442 7460 3285 5696</t>
  </si>
  <si>
    <t>0747</t>
  </si>
  <si>
    <t>24275693132</t>
  </si>
  <si>
    <t>Diego Castro</t>
  </si>
  <si>
    <t>3782 417199 4678</t>
  </si>
  <si>
    <t>0748</t>
  </si>
  <si>
    <t>51102917567</t>
  </si>
  <si>
    <t>Leonardo Alves Barbosa</t>
  </si>
  <si>
    <t>3782 314331 2867</t>
  </si>
  <si>
    <t>3782 622947 6821</t>
  </si>
  <si>
    <t>0749</t>
  </si>
  <si>
    <t>00914250183</t>
  </si>
  <si>
    <t>Lucas Mendes Borges</t>
  </si>
  <si>
    <t>6062 8200 1485 3909</t>
  </si>
  <si>
    <t>0750</t>
  </si>
  <si>
    <t>79661708452</t>
  </si>
  <si>
    <t>Danilo Barros Cardoso</t>
  </si>
  <si>
    <t>5442 7460 6909 8083</t>
  </si>
  <si>
    <t>5442 7460 2677 5448</t>
  </si>
  <si>
    <t>0751</t>
  </si>
  <si>
    <t>99303514262</t>
  </si>
  <si>
    <t>Mariana Lima Dias</t>
  </si>
  <si>
    <t>6505 0666 8549 9350</t>
  </si>
  <si>
    <t>0752</t>
  </si>
  <si>
    <t>56282001315</t>
  </si>
  <si>
    <t>Patricia Rocha Borges</t>
  </si>
  <si>
    <t>3782 616855 4900</t>
  </si>
  <si>
    <t>0753</t>
  </si>
  <si>
    <t>55502699706</t>
  </si>
  <si>
    <t>Priscila Cardoso Oliveira</t>
  </si>
  <si>
    <t>6505 0666 9002 1723</t>
  </si>
  <si>
    <t>0754</t>
  </si>
  <si>
    <t>51969856386</t>
  </si>
  <si>
    <t>Aline Carvalho Souza</t>
  </si>
  <si>
    <t>6062 8200 5261 3847</t>
  </si>
  <si>
    <t>6062 8200 1488 2479</t>
  </si>
  <si>
    <t>0755</t>
  </si>
  <si>
    <t>01254572007</t>
  </si>
  <si>
    <t>Guilherme Moreira Costa</t>
  </si>
  <si>
    <t>6062 8200 3479 1885</t>
  </si>
  <si>
    <t>0756</t>
  </si>
  <si>
    <t>43490440358</t>
  </si>
  <si>
    <t>Vinicius Nunes</t>
  </si>
  <si>
    <t>3782 886626 3952</t>
  </si>
  <si>
    <t>3782 854870 0676</t>
  </si>
  <si>
    <t>0757</t>
  </si>
  <si>
    <t>70428937780</t>
  </si>
  <si>
    <t>Lucas Barros</t>
  </si>
  <si>
    <t>5442 7460 9335 3625</t>
  </si>
  <si>
    <t>0758</t>
  </si>
  <si>
    <t>93229676769</t>
  </si>
  <si>
    <t>Alexandre Mendes Oliveira</t>
  </si>
  <si>
    <t>3782 541298 5624</t>
  </si>
  <si>
    <t>0759</t>
  </si>
  <si>
    <t>26993139553</t>
  </si>
  <si>
    <t>Isabela Carvalho</t>
  </si>
  <si>
    <t>6062 8200 4631 6028</t>
  </si>
  <si>
    <t>6062 8200 9857 6601</t>
  </si>
  <si>
    <t>0760</t>
  </si>
  <si>
    <t>51523665505</t>
  </si>
  <si>
    <t>Leticia Pinto Alves</t>
  </si>
  <si>
    <t>4576 7460 1044 2410</t>
  </si>
  <si>
    <t>0761</t>
  </si>
  <si>
    <t>62256618595</t>
  </si>
  <si>
    <t>Gabriel Campos Barros</t>
  </si>
  <si>
    <t>3782 294093 1387</t>
  </si>
  <si>
    <t>0762</t>
  </si>
  <si>
    <t>49733368318</t>
  </si>
  <si>
    <t>Gustavo Carvalho</t>
  </si>
  <si>
    <t>5442 7460 1594 6274</t>
  </si>
  <si>
    <t>0763</t>
  </si>
  <si>
    <t>72953634088</t>
  </si>
  <si>
    <t>Debora Carvalho Cardoso</t>
  </si>
  <si>
    <t>4576 7460 1875 4306</t>
  </si>
  <si>
    <t>0764</t>
  </si>
  <si>
    <t>80562594655</t>
  </si>
  <si>
    <t>Danilo Barros Moura</t>
  </si>
  <si>
    <t>5442 7460 3435 1793</t>
  </si>
  <si>
    <t>0765</t>
  </si>
  <si>
    <t>67228922395</t>
  </si>
  <si>
    <t>Gustavo Oliveira Gomes</t>
  </si>
  <si>
    <t>5442 7460 8339 8060</t>
  </si>
  <si>
    <t>0766</t>
  </si>
  <si>
    <t>22151564142</t>
  </si>
  <si>
    <t>Mariana Santos</t>
  </si>
  <si>
    <t>6505 0666 3909 6818</t>
  </si>
  <si>
    <t>0767</t>
  </si>
  <si>
    <t>55895217427</t>
  </si>
  <si>
    <t>Debora Monteiro</t>
  </si>
  <si>
    <t>6505 0666 4228 1103</t>
  </si>
  <si>
    <t>0768</t>
  </si>
  <si>
    <t>07744253507</t>
  </si>
  <si>
    <t>3782 929293 5840</t>
  </si>
  <si>
    <t>0769</t>
  </si>
  <si>
    <t>28376837605</t>
  </si>
  <si>
    <t>Carolina Teixeira Freitas</t>
  </si>
  <si>
    <t>3782 651755 4452</t>
  </si>
  <si>
    <t>0770</t>
  </si>
  <si>
    <t>98787625644</t>
  </si>
  <si>
    <t>Vinicius Castro</t>
  </si>
  <si>
    <t>6062 8200 9852 1217</t>
  </si>
  <si>
    <t>0771</t>
  </si>
  <si>
    <t>28690599223</t>
  </si>
  <si>
    <t>Juliana Rodrigues Pereira</t>
  </si>
  <si>
    <t>6505 0666 2032 3226</t>
  </si>
  <si>
    <t>0772</t>
  </si>
  <si>
    <t>90948890304</t>
  </si>
  <si>
    <t>Fabio Monteiro</t>
  </si>
  <si>
    <t>3782 797662 5698</t>
  </si>
  <si>
    <t>0773</t>
  </si>
  <si>
    <t>07943169212</t>
  </si>
  <si>
    <t>Rodrigo Freitas Souza</t>
  </si>
  <si>
    <t>6062 8200 7689 8575</t>
  </si>
  <si>
    <t>0774</t>
  </si>
  <si>
    <t>74478551626</t>
  </si>
  <si>
    <t>Eduardo Rodrigues</t>
  </si>
  <si>
    <t>6505 0666 1927 0601</t>
  </si>
  <si>
    <t>6505 0666 1651 7326</t>
  </si>
  <si>
    <t>0775</t>
  </si>
  <si>
    <t>04122522609</t>
  </si>
  <si>
    <t>Marcelo Pinto</t>
  </si>
  <si>
    <t>6505 0666 6756 2822</t>
  </si>
  <si>
    <t>0776</t>
  </si>
  <si>
    <t>49302811808</t>
  </si>
  <si>
    <t>Rafael Barbosa Campos</t>
  </si>
  <si>
    <t>4576 7460 7182 7360</t>
  </si>
  <si>
    <t>4576 7460 2204 8214</t>
  </si>
  <si>
    <t>0777</t>
  </si>
  <si>
    <t>79640889393</t>
  </si>
  <si>
    <t>Danilo Cavalcanti Nunes</t>
  </si>
  <si>
    <t>4576 7460 1478 2945</t>
  </si>
  <si>
    <t>0778</t>
  </si>
  <si>
    <t>96112604400</t>
  </si>
  <si>
    <t>Thiago Ribeiro Nunes</t>
  </si>
  <si>
    <t>4576 7460 9951 0475</t>
  </si>
  <si>
    <t>0779</t>
  </si>
  <si>
    <t>98566615875</t>
  </si>
  <si>
    <t>Camila Moura Freitas</t>
  </si>
  <si>
    <t>6505 0666 5727 5802</t>
  </si>
  <si>
    <t>0780</t>
  </si>
  <si>
    <t>91476150362</t>
  </si>
  <si>
    <t>Amanda Barros</t>
  </si>
  <si>
    <t>6505 0666 7040 8240</t>
  </si>
  <si>
    <t>6505 0666 8856 8104</t>
  </si>
  <si>
    <t>0781</t>
  </si>
  <si>
    <t>65363085909</t>
  </si>
  <si>
    <t>Carolina Dias</t>
  </si>
  <si>
    <t>6062 8200 9422 6725</t>
  </si>
  <si>
    <t>0782</t>
  </si>
  <si>
    <t>13056957478</t>
  </si>
  <si>
    <t>Guilherme Cardoso</t>
  </si>
  <si>
    <t>3782 152496 6389</t>
  </si>
  <si>
    <t>0783</t>
  </si>
  <si>
    <t>19758551752</t>
  </si>
  <si>
    <t>Carolina Silva Moura</t>
  </si>
  <si>
    <t>6062 8200 5075 9235</t>
  </si>
  <si>
    <t>0784</t>
  </si>
  <si>
    <t>37142562617</t>
  </si>
  <si>
    <t>Debora Castro Monteiro</t>
  </si>
  <si>
    <t>6505 0666 2036 4121</t>
  </si>
  <si>
    <t>0785</t>
  </si>
  <si>
    <t>05461641105</t>
  </si>
  <si>
    <t>Fabio Castro Costa</t>
  </si>
  <si>
    <t>5442 7460 9275 9154</t>
  </si>
  <si>
    <t>0786</t>
  </si>
  <si>
    <t>89949685044</t>
  </si>
  <si>
    <t>Vanessa Fernandes Nascimento</t>
  </si>
  <si>
    <t>3782 127550 6599</t>
  </si>
  <si>
    <t>3782 600700 5257</t>
  </si>
  <si>
    <t>0787</t>
  </si>
  <si>
    <t>24570659500</t>
  </si>
  <si>
    <t>Leonardo Mendes Souza</t>
  </si>
  <si>
    <t>3782 914874 8108</t>
  </si>
  <si>
    <t>3782 652345 8796</t>
  </si>
  <si>
    <t>0788</t>
  </si>
  <si>
    <t>53850222179</t>
  </si>
  <si>
    <t>Amanda Vieira Pereira</t>
  </si>
  <si>
    <t>6505 0666 6411 8976</t>
  </si>
  <si>
    <t>0789</t>
  </si>
  <si>
    <t>12906207845</t>
  </si>
  <si>
    <t>Amanda Lima Monteiro</t>
  </si>
  <si>
    <t>6505 0666 8104 7752</t>
  </si>
  <si>
    <t>0790</t>
  </si>
  <si>
    <t>08269468282</t>
  </si>
  <si>
    <t>Felipe Rocha Oliveira</t>
  </si>
  <si>
    <t>6062 8200 8812 8900</t>
  </si>
  <si>
    <t>0791</t>
  </si>
  <si>
    <t>21991564945</t>
  </si>
  <si>
    <t>Gustavo Rodrigues</t>
  </si>
  <si>
    <t>6505 0666 6874 4291</t>
  </si>
  <si>
    <t>6505 0666 7723 1275</t>
  </si>
  <si>
    <t>0792</t>
  </si>
  <si>
    <t>17144667106</t>
  </si>
  <si>
    <t>Priscila Rocha Araujo</t>
  </si>
  <si>
    <t>3782 231178 1491</t>
  </si>
  <si>
    <t>0793</t>
  </si>
  <si>
    <t>55013381304</t>
  </si>
  <si>
    <t>Fabio Araujo Lima</t>
  </si>
  <si>
    <t>6505 0666 6232 4530</t>
  </si>
  <si>
    <t>0794</t>
  </si>
  <si>
    <t>51044043156</t>
  </si>
  <si>
    <t>Leticia Pinto Pereira</t>
  </si>
  <si>
    <t>3782 308444 3441</t>
  </si>
  <si>
    <t>0795</t>
  </si>
  <si>
    <t>16184353454</t>
  </si>
  <si>
    <t>Matheus Campos Gomes</t>
  </si>
  <si>
    <t>6062 8200 9766 2860</t>
  </si>
  <si>
    <t>0796</t>
  </si>
  <si>
    <t>30093904320</t>
  </si>
  <si>
    <t>Vivian Rocha Pinto</t>
  </si>
  <si>
    <t>5442 7460 5432 2829</t>
  </si>
  <si>
    <t>0797</t>
  </si>
  <si>
    <t>48894465918</t>
  </si>
  <si>
    <t>Vinicius Pereira Almeida</t>
  </si>
  <si>
    <t>3782 352534 6182</t>
  </si>
  <si>
    <t>0798</t>
  </si>
  <si>
    <t>77314785562</t>
  </si>
  <si>
    <t>Gustavo Martins Gomes</t>
  </si>
  <si>
    <t>6062 8200 9357 8959</t>
  </si>
  <si>
    <t>0799</t>
  </si>
  <si>
    <t>40120963973</t>
  </si>
  <si>
    <t>Debora Cavalcanti Freitas</t>
  </si>
  <si>
    <t>6062 8200 9125 1937</t>
  </si>
  <si>
    <t>6062 8200 2213 2164</t>
  </si>
  <si>
    <t>0800</t>
  </si>
  <si>
    <t>46956968789</t>
  </si>
  <si>
    <t>Jessica Alves</t>
  </si>
  <si>
    <t>4576 7460 2029 2746</t>
  </si>
  <si>
    <t>0801</t>
  </si>
  <si>
    <t>59474065438</t>
  </si>
  <si>
    <t>Sabrina Mendes</t>
  </si>
  <si>
    <t>5442 7460 3013 1735</t>
  </si>
  <si>
    <t>5442 7460 9417 7713</t>
  </si>
  <si>
    <t>0802</t>
  </si>
  <si>
    <t>86691690532</t>
  </si>
  <si>
    <t>5442 7460 3182 0593</t>
  </si>
  <si>
    <t>0803</t>
  </si>
  <si>
    <t>74776266920</t>
  </si>
  <si>
    <t>Aline Santos Nunes</t>
  </si>
  <si>
    <t>6505 0666 8224 0681</t>
  </si>
  <si>
    <t>0804</t>
  </si>
  <si>
    <t>51877171387</t>
  </si>
  <si>
    <t>Vanessa Freitas Cavalcanti</t>
  </si>
  <si>
    <t>5442 7460 3663 4543</t>
  </si>
  <si>
    <t>0805</t>
  </si>
  <si>
    <t>87164119279</t>
  </si>
  <si>
    <t>Carolina Costa Monteiro</t>
  </si>
  <si>
    <t>4576 7460 3393 0281</t>
  </si>
  <si>
    <t>0806</t>
  </si>
  <si>
    <t>07650339769</t>
  </si>
  <si>
    <t>Priscila Alves Monteiro</t>
  </si>
  <si>
    <t>5442 7460 6373 8688</t>
  </si>
  <si>
    <t>5442 7460 8440 3530</t>
  </si>
  <si>
    <t>0807</t>
  </si>
  <si>
    <t>38772944803</t>
  </si>
  <si>
    <t>Patricia Ribeiro Freitas</t>
  </si>
  <si>
    <t>6062 8200 8443 4433</t>
  </si>
  <si>
    <t>6062 8200 8084 7366</t>
  </si>
  <si>
    <t>0808</t>
  </si>
  <si>
    <t>18565483843</t>
  </si>
  <si>
    <t>Isabela Lima Alves</t>
  </si>
  <si>
    <t>3782 509027 7968</t>
  </si>
  <si>
    <t>0809</t>
  </si>
  <si>
    <t>87858733141</t>
  </si>
  <si>
    <t>Eduardo Almeida Martins</t>
  </si>
  <si>
    <t>3782 794833 4928</t>
  </si>
  <si>
    <t>3782 657225 6110</t>
  </si>
  <si>
    <t>0810</t>
  </si>
  <si>
    <t>11904659810</t>
  </si>
  <si>
    <t>Matheus Barros</t>
  </si>
  <si>
    <t>5442 7460 1800 0691</t>
  </si>
  <si>
    <t>0811</t>
  </si>
  <si>
    <t>03489530209</t>
  </si>
  <si>
    <t>Marcelo Gomes Ribeiro</t>
  </si>
  <si>
    <t>3782 602182 7640</t>
  </si>
  <si>
    <t>3782 483230 9211</t>
  </si>
  <si>
    <t>0812</t>
  </si>
  <si>
    <t>76570021745</t>
  </si>
  <si>
    <t>Amanda Cardoso Silva</t>
  </si>
  <si>
    <t>5442 7460 2332 8581</t>
  </si>
  <si>
    <t>0813</t>
  </si>
  <si>
    <t>47426048810</t>
  </si>
  <si>
    <t>Debora Nunes</t>
  </si>
  <si>
    <t>4576 7460 7815 9345</t>
  </si>
  <si>
    <t>0814</t>
  </si>
  <si>
    <t>27559718604</t>
  </si>
  <si>
    <t>Bianca Santos</t>
  </si>
  <si>
    <t>5442 7460 9619 1668</t>
  </si>
  <si>
    <t>0815</t>
  </si>
  <si>
    <t>78347549206</t>
  </si>
  <si>
    <t>Eduardo Nascimento</t>
  </si>
  <si>
    <t>4576 7460 4541 6017</t>
  </si>
  <si>
    <t>0816</t>
  </si>
  <si>
    <t>03098375965</t>
  </si>
  <si>
    <t>Bianca Silva Fernandes</t>
  </si>
  <si>
    <t>5442 7460 1690 6638</t>
  </si>
  <si>
    <t>0817</t>
  </si>
  <si>
    <t>81645989682</t>
  </si>
  <si>
    <t>Vivian Carvalho</t>
  </si>
  <si>
    <t>6062 8200 6501 8927</t>
  </si>
  <si>
    <t>0818</t>
  </si>
  <si>
    <t>23969258901</t>
  </si>
  <si>
    <t>Alexandre Teixeira Dias</t>
  </si>
  <si>
    <t>6505 0666 4698 1200</t>
  </si>
  <si>
    <t>0819</t>
  </si>
  <si>
    <t>71477745408</t>
  </si>
  <si>
    <t>Caio Moura</t>
  </si>
  <si>
    <t>3782 318779 5743</t>
  </si>
  <si>
    <t>0820</t>
  </si>
  <si>
    <t>92971464300</t>
  </si>
  <si>
    <t>Camila Nascimento Almeida</t>
  </si>
  <si>
    <t>6062 8200 5899 7720</t>
  </si>
  <si>
    <t>6062 8200 6564 6598</t>
  </si>
  <si>
    <t>0821</t>
  </si>
  <si>
    <t>63804480128</t>
  </si>
  <si>
    <t>Beatriz Martins</t>
  </si>
  <si>
    <t>4576 7460 1302 8600</t>
  </si>
  <si>
    <t>0822</t>
  </si>
  <si>
    <t>94890736522</t>
  </si>
  <si>
    <t>Leticia Freitas</t>
  </si>
  <si>
    <t>4576 7460 7320 9767</t>
  </si>
  <si>
    <t>0823</t>
  </si>
  <si>
    <t>01766628710</t>
  </si>
  <si>
    <t>Marcos Moura Freitas</t>
  </si>
  <si>
    <t>6062 8200 3923 8787</t>
  </si>
  <si>
    <t>0824</t>
  </si>
  <si>
    <t>76876815501</t>
  </si>
  <si>
    <t>Amanda Campos</t>
  </si>
  <si>
    <t>5442 7460 6557 2449</t>
  </si>
  <si>
    <t>5442 7460 3543 9562</t>
  </si>
  <si>
    <t>0825</t>
  </si>
  <si>
    <t>93269482850</t>
  </si>
  <si>
    <t>Marcos Vieira Carvalho</t>
  </si>
  <si>
    <t>4576 7460 1146 7392</t>
  </si>
  <si>
    <t>4576 7460 2585 9621</t>
  </si>
  <si>
    <t>0826</t>
  </si>
  <si>
    <t>28239789331</t>
  </si>
  <si>
    <t>Mariana Gomes Pereira</t>
  </si>
  <si>
    <t>6062 8200 5780 3899</t>
  </si>
  <si>
    <t>0827</t>
  </si>
  <si>
    <t>46282119812</t>
  </si>
  <si>
    <t>Carolina Rocha Mendes</t>
  </si>
  <si>
    <t>3782 963963 9071</t>
  </si>
  <si>
    <t>0828</t>
  </si>
  <si>
    <t>59983280000</t>
  </si>
  <si>
    <t>Caio Pinto</t>
  </si>
  <si>
    <t>4576 7460 7006 8789</t>
  </si>
  <si>
    <t>0829</t>
  </si>
  <si>
    <t>79482316681</t>
  </si>
  <si>
    <t>Renata Moura</t>
  </si>
  <si>
    <t>3782 633766 6224</t>
  </si>
  <si>
    <t>3782 762950 4764</t>
  </si>
  <si>
    <t>0830</t>
  </si>
  <si>
    <t>00311995004</t>
  </si>
  <si>
    <t>Fabio Almeida Monteiro</t>
  </si>
  <si>
    <t>4576 7460 5678 6241</t>
  </si>
  <si>
    <t>4576 7460 1151 2924</t>
  </si>
  <si>
    <t>0831</t>
  </si>
  <si>
    <t>14771328056</t>
  </si>
  <si>
    <t>Guilherme Rodrigues Monteiro</t>
  </si>
  <si>
    <t>4576 7460 2789 9609</t>
  </si>
  <si>
    <t>4576 7460 6222 2054</t>
  </si>
  <si>
    <t>0832</t>
  </si>
  <si>
    <t>21939934753</t>
  </si>
  <si>
    <t>Renata Cardoso</t>
  </si>
  <si>
    <t>4576 7460 1163 7096</t>
  </si>
  <si>
    <t>0833</t>
  </si>
  <si>
    <t>59072013980</t>
  </si>
  <si>
    <t>5442 7460 4268 6301</t>
  </si>
  <si>
    <t>0834</t>
  </si>
  <si>
    <t>66301486145</t>
  </si>
  <si>
    <t>Felipe Costa Cardoso</t>
  </si>
  <si>
    <t>5442 7460 5420 4620</t>
  </si>
  <si>
    <t>0835</t>
  </si>
  <si>
    <t>99453252484</t>
  </si>
  <si>
    <t>Bianca Almeida Moreira</t>
  </si>
  <si>
    <t>6505 0666 6557 4823</t>
  </si>
  <si>
    <t>0836</t>
  </si>
  <si>
    <t>84238578678</t>
  </si>
  <si>
    <t>Debora Borges</t>
  </si>
  <si>
    <t>6505 0666 6514 6269</t>
  </si>
  <si>
    <t>0837</t>
  </si>
  <si>
    <t>35936238547</t>
  </si>
  <si>
    <t>Renato Almeida Campos</t>
  </si>
  <si>
    <t>6505 0666 5187 5567</t>
  </si>
  <si>
    <t>0838</t>
  </si>
  <si>
    <t>38201875028</t>
  </si>
  <si>
    <t>4576 7460 4453 4834</t>
  </si>
  <si>
    <t>0839</t>
  </si>
  <si>
    <t>80190304332</t>
  </si>
  <si>
    <t>Gabriela Fernandes Nunes</t>
  </si>
  <si>
    <t>6505 0666 8660 6722</t>
  </si>
  <si>
    <t>0840</t>
  </si>
  <si>
    <t>66449756071</t>
  </si>
  <si>
    <t>Carolina Nunes Lima</t>
  </si>
  <si>
    <t>6062 8200 8532 5004</t>
  </si>
  <si>
    <t>6062 8200 4405 2354</t>
  </si>
  <si>
    <t>0841</t>
  </si>
  <si>
    <t>93075629626</t>
  </si>
  <si>
    <t>Rodrigo Oliveira Borges</t>
  </si>
  <si>
    <t>6062 8200 9700 7534</t>
  </si>
  <si>
    <t>0842</t>
  </si>
  <si>
    <t>02383658677</t>
  </si>
  <si>
    <t>Tatiane Pinto Nunes</t>
  </si>
  <si>
    <t>6062 8200 2462 1374</t>
  </si>
  <si>
    <t>6062 8200 4701 6347</t>
  </si>
  <si>
    <t>0843</t>
  </si>
  <si>
    <t>91706706766</t>
  </si>
  <si>
    <t>Beatriz Pereira Araujo</t>
  </si>
  <si>
    <t>5442 7460 5234 3956</t>
  </si>
  <si>
    <t>0844</t>
  </si>
  <si>
    <t>24202514580</t>
  </si>
  <si>
    <t>Eduardo Nascimento Costa</t>
  </si>
  <si>
    <t>5442 7460 5974 7045</t>
  </si>
  <si>
    <t>0845</t>
  </si>
  <si>
    <t>83104811873</t>
  </si>
  <si>
    <t>Vanessa Cavalcanti Teixeira</t>
  </si>
  <si>
    <t>4576 7460 8959 8172</t>
  </si>
  <si>
    <t>4576 7460 7915 0772</t>
  </si>
  <si>
    <t>0846</t>
  </si>
  <si>
    <t>79346297964</t>
  </si>
  <si>
    <t>3782 797476 4155</t>
  </si>
  <si>
    <t>0847</t>
  </si>
  <si>
    <t>99084383109</t>
  </si>
  <si>
    <t>Priscila Fernandes</t>
  </si>
  <si>
    <t>5442 7460 2098 1011</t>
  </si>
  <si>
    <t>0848</t>
  </si>
  <si>
    <t>98443557702</t>
  </si>
  <si>
    <t>Gabriel Alves Pereira</t>
  </si>
  <si>
    <t>6505 0666 9989 3578</t>
  </si>
  <si>
    <t>0849</t>
  </si>
  <si>
    <t>26837910116</t>
  </si>
  <si>
    <t>Diego Vieira Campos</t>
  </si>
  <si>
    <t>6062 8200 8478 0490</t>
  </si>
  <si>
    <t>0850</t>
  </si>
  <si>
    <t>52833815107</t>
  </si>
  <si>
    <t>Juliana Rocha Nascimento</t>
  </si>
  <si>
    <t>5442 7460 6052 4816</t>
  </si>
  <si>
    <t>0851</t>
  </si>
  <si>
    <t>35401696523</t>
  </si>
  <si>
    <t>Caio Ribeiro Santos</t>
  </si>
  <si>
    <t>5442 7460 9712 4329</t>
  </si>
  <si>
    <t>0852</t>
  </si>
  <si>
    <t>46518451505</t>
  </si>
  <si>
    <t>Rodrigo Silva Souza</t>
  </si>
  <si>
    <t>5442 7460 3000 3560</t>
  </si>
  <si>
    <t>0853</t>
  </si>
  <si>
    <t>17847895188</t>
  </si>
  <si>
    <t>Eduardo Vieira Castro</t>
  </si>
  <si>
    <t>6505 0666 9971 2563</t>
  </si>
  <si>
    <t>0854</t>
  </si>
  <si>
    <t>22779184906</t>
  </si>
  <si>
    <t>Alexandre Mendes Dias</t>
  </si>
  <si>
    <t>4576 7460 8614 7209</t>
  </si>
  <si>
    <t>0855</t>
  </si>
  <si>
    <t>93496307102</t>
  </si>
  <si>
    <t>Mariana Castro</t>
  </si>
  <si>
    <t>6505 0666 1103 5511</t>
  </si>
  <si>
    <t>0856</t>
  </si>
  <si>
    <t>91584403489</t>
  </si>
  <si>
    <t>Alexandre Pinto Lima</t>
  </si>
  <si>
    <t>3782 364562 8271</t>
  </si>
  <si>
    <t>3782 645299 6081</t>
  </si>
  <si>
    <t>0857</t>
  </si>
  <si>
    <t>87655645884</t>
  </si>
  <si>
    <t>Bruno Dias Barbosa</t>
  </si>
  <si>
    <t>4576 7460 1438 6737</t>
  </si>
  <si>
    <t>0858</t>
  </si>
  <si>
    <t>46654576039</t>
  </si>
  <si>
    <t>Gustavo Pereira Almeida</t>
  </si>
  <si>
    <t>4576 7460 8495 7511</t>
  </si>
  <si>
    <t>4576 7460 6550 0867</t>
  </si>
  <si>
    <t>0859</t>
  </si>
  <si>
    <t>74057400575</t>
  </si>
  <si>
    <t>Rodrigo Costa Dias</t>
  </si>
  <si>
    <t>6062 8200 8248 3502</t>
  </si>
  <si>
    <t>6062 8200 8722 5574</t>
  </si>
  <si>
    <t>0860</t>
  </si>
  <si>
    <t>24169591232</t>
  </si>
  <si>
    <t>Carolina Campos Carvalho</t>
  </si>
  <si>
    <t>4576 7460 1939 2531</t>
  </si>
  <si>
    <t>0861</t>
  </si>
  <si>
    <t>11648499805</t>
  </si>
  <si>
    <t>Carolina Pinto Campos</t>
  </si>
  <si>
    <t>6505 0666 5593 4970</t>
  </si>
  <si>
    <t>0862</t>
  </si>
  <si>
    <t>71522757260</t>
  </si>
  <si>
    <t>Larissa Moreira</t>
  </si>
  <si>
    <t>4576 7460 8927 9488</t>
  </si>
  <si>
    <t>0863</t>
  </si>
  <si>
    <t>30353435511</t>
  </si>
  <si>
    <t>Gustavo Costa Nunes</t>
  </si>
  <si>
    <t>5442 7460 7022 1565</t>
  </si>
  <si>
    <t>0864</t>
  </si>
  <si>
    <t>79784148412</t>
  </si>
  <si>
    <t>Bianca Campos</t>
  </si>
  <si>
    <t>4576 7460 6362 6784</t>
  </si>
  <si>
    <t>0865</t>
  </si>
  <si>
    <t>97641919596</t>
  </si>
  <si>
    <t>Gabriel Alves Dias</t>
  </si>
  <si>
    <t>4576 7460 4133 2156</t>
  </si>
  <si>
    <t>0866</t>
  </si>
  <si>
    <t>76303715788</t>
  </si>
  <si>
    <t>Leonardo Barros Lima</t>
  </si>
  <si>
    <t>4576 7460 8708 7689</t>
  </si>
  <si>
    <t>0867</t>
  </si>
  <si>
    <t>47405859100</t>
  </si>
  <si>
    <t>Felipe Gomes</t>
  </si>
  <si>
    <t>6505 0666 4377 1789</t>
  </si>
  <si>
    <t>0868</t>
  </si>
  <si>
    <t>21628620340</t>
  </si>
  <si>
    <t>Beatriz Gomes Vieira</t>
  </si>
  <si>
    <t>6505 0666 2552 0104</t>
  </si>
  <si>
    <t>0869</t>
  </si>
  <si>
    <t>21787368238</t>
  </si>
  <si>
    <t>Fabio Pinto</t>
  </si>
  <si>
    <t>3782 785596 4891</t>
  </si>
  <si>
    <t>0870</t>
  </si>
  <si>
    <t>21271633540</t>
  </si>
  <si>
    <t>Aline Gomes</t>
  </si>
  <si>
    <t>4576 7460 2460 0120</t>
  </si>
  <si>
    <t>0871</t>
  </si>
  <si>
    <t>20896338592</t>
  </si>
  <si>
    <t>Isabela Barbosa</t>
  </si>
  <si>
    <t>5442 7460 2138 8390</t>
  </si>
  <si>
    <t>0872</t>
  </si>
  <si>
    <t>79042637005</t>
  </si>
  <si>
    <t>Debora Mendes Barbosa</t>
  </si>
  <si>
    <t>6062 8200 2609 4413</t>
  </si>
  <si>
    <t>0873</t>
  </si>
  <si>
    <t>43278933150</t>
  </si>
  <si>
    <t>Felipe Rodrigues Alves</t>
  </si>
  <si>
    <t>4576 7460 6969 6182</t>
  </si>
  <si>
    <t>0874</t>
  </si>
  <si>
    <t>74713105457</t>
  </si>
  <si>
    <t>Guilherme Alves</t>
  </si>
  <si>
    <t>3782 964035 7573</t>
  </si>
  <si>
    <t>0875</t>
  </si>
  <si>
    <t>06895074538</t>
  </si>
  <si>
    <t>Bianca Teixeira</t>
  </si>
  <si>
    <t>6505 0666 4564 7994</t>
  </si>
  <si>
    <t>0876</t>
  </si>
  <si>
    <t>83600860607</t>
  </si>
  <si>
    <t>Gabriel Fernandes</t>
  </si>
  <si>
    <t>6505 0666 5685 2262</t>
  </si>
  <si>
    <t>0877</t>
  </si>
  <si>
    <t>59162092820</t>
  </si>
  <si>
    <t>Felipe Pereira</t>
  </si>
  <si>
    <t>4576 7460 3198 6184</t>
  </si>
  <si>
    <t>0878</t>
  </si>
  <si>
    <t>07668999000</t>
  </si>
  <si>
    <t>Larissa Martins Santos</t>
  </si>
  <si>
    <t>5442 7460 7330 0854</t>
  </si>
  <si>
    <t>5442 7460 9139 5188</t>
  </si>
  <si>
    <t>0879</t>
  </si>
  <si>
    <t>93083350309</t>
  </si>
  <si>
    <t>Matheus Lima Vieira</t>
  </si>
  <si>
    <t>6505 0666 9932 2301</t>
  </si>
  <si>
    <t>0880</t>
  </si>
  <si>
    <t>78505003691</t>
  </si>
  <si>
    <t>Gabriela Martins Dias</t>
  </si>
  <si>
    <t>6505 0666 4487 2375</t>
  </si>
  <si>
    <t>6505 0666 2952 6896</t>
  </si>
  <si>
    <t>0881</t>
  </si>
  <si>
    <t>61849141703</t>
  </si>
  <si>
    <t>Amanda Teixeira Lima</t>
  </si>
  <si>
    <t>5442 7460 4010 2041</t>
  </si>
  <si>
    <t>5442 7460 7868 1891</t>
  </si>
  <si>
    <t>0882</t>
  </si>
  <si>
    <t>46021037669</t>
  </si>
  <si>
    <t>Gabriela Castro Freitas</t>
  </si>
  <si>
    <t>6505 0666 1116 9006</t>
  </si>
  <si>
    <t>0883</t>
  </si>
  <si>
    <t>15106680980</t>
  </si>
  <si>
    <t>Carolina Barbosa Moura</t>
  </si>
  <si>
    <t>5442 7460 6165 9152</t>
  </si>
  <si>
    <t>5442 7460 4175 8150</t>
  </si>
  <si>
    <t>0884</t>
  </si>
  <si>
    <t>04688251181</t>
  </si>
  <si>
    <t>Matheus Vieira</t>
  </si>
  <si>
    <t>5442 7460 8741 8923</t>
  </si>
  <si>
    <t>0885</t>
  </si>
  <si>
    <t>57674516725</t>
  </si>
  <si>
    <t>Priscila Teixeira Monteiro</t>
  </si>
  <si>
    <t>6062 8200 9351 1855</t>
  </si>
  <si>
    <t>6062 8200 1682 5118</t>
  </si>
  <si>
    <t>0886</t>
  </si>
  <si>
    <t>34668666181</t>
  </si>
  <si>
    <t>3782 184431 6028</t>
  </si>
  <si>
    <t>3782 123478 2990</t>
  </si>
  <si>
    <t>0887</t>
  </si>
  <si>
    <t>26648901829</t>
  </si>
  <si>
    <t>Lucas Nascimento</t>
  </si>
  <si>
    <t>5442 7460 7435 0412</t>
  </si>
  <si>
    <t>0888</t>
  </si>
  <si>
    <t>49970344102</t>
  </si>
  <si>
    <t>3782 764201 4694</t>
  </si>
  <si>
    <t>3782 283566 3583</t>
  </si>
  <si>
    <t>0889</t>
  </si>
  <si>
    <t>67802633389</t>
  </si>
  <si>
    <t>Juliana Nunes</t>
  </si>
  <si>
    <t>6505 0666 8800 8233</t>
  </si>
  <si>
    <t>0890</t>
  </si>
  <si>
    <t>25652744405</t>
  </si>
  <si>
    <t>Vivian Moura Vieira</t>
  </si>
  <si>
    <t>6505 0666 6218 2654</t>
  </si>
  <si>
    <t>0891</t>
  </si>
  <si>
    <t>52917629851</t>
  </si>
  <si>
    <t>Aline Santos Araujo</t>
  </si>
  <si>
    <t>6505 0666 1579 1431</t>
  </si>
  <si>
    <t>0892</t>
  </si>
  <si>
    <t>29275669252</t>
  </si>
  <si>
    <t>Leonardo Pinto Borges</t>
  </si>
  <si>
    <t>5442 7460 8007 2592</t>
  </si>
  <si>
    <t>0893</t>
  </si>
  <si>
    <t>17340104445</t>
  </si>
  <si>
    <t>4576 7460 5726 0282</t>
  </si>
  <si>
    <t>0894</t>
  </si>
  <si>
    <t>90462710645</t>
  </si>
  <si>
    <t>Rafael Barros Santos</t>
  </si>
  <si>
    <t>6062 8200 7653 3236</t>
  </si>
  <si>
    <t>0895</t>
  </si>
  <si>
    <t>21714768180</t>
  </si>
  <si>
    <t>Priscila Martins Castro</t>
  </si>
  <si>
    <t>6505 0666 2577 1798</t>
  </si>
  <si>
    <t>0896</t>
  </si>
  <si>
    <t>33618433590</t>
  </si>
  <si>
    <t>Rafael Dias Gomes</t>
  </si>
  <si>
    <t>6062 8200 4174 9436</t>
  </si>
  <si>
    <t>0897</t>
  </si>
  <si>
    <t>68404043230</t>
  </si>
  <si>
    <t>Diego Monteiro</t>
  </si>
  <si>
    <t>3782 829859 2546</t>
  </si>
  <si>
    <t>0898</t>
  </si>
  <si>
    <t>14091727670</t>
  </si>
  <si>
    <t>Renato Pinto Monteiro</t>
  </si>
  <si>
    <t>6062 8200 4000 2590</t>
  </si>
  <si>
    <t>0899</t>
  </si>
  <si>
    <t>99592623759</t>
  </si>
  <si>
    <t>Leonardo Cavalcanti</t>
  </si>
  <si>
    <t>6505 0666 1504 2264</t>
  </si>
  <si>
    <t>0900</t>
  </si>
  <si>
    <t>77287427109</t>
  </si>
  <si>
    <t>Vivian Borges</t>
  </si>
  <si>
    <t>6062 8200 6608 6265</t>
  </si>
  <si>
    <t>0901</t>
  </si>
  <si>
    <t>73071928530</t>
  </si>
  <si>
    <t>Gabriela Alves Vieira</t>
  </si>
  <si>
    <t>3782 830250 5485</t>
  </si>
  <si>
    <t>0902</t>
  </si>
  <si>
    <t>83473257311</t>
  </si>
  <si>
    <t>Guilherme Araujo Barros</t>
  </si>
  <si>
    <t>5442 7460 7913 5195</t>
  </si>
  <si>
    <t>0903</t>
  </si>
  <si>
    <t>94338323531</t>
  </si>
  <si>
    <t>Rodrigo Vieira</t>
  </si>
  <si>
    <t>6505 0666 2042 2854</t>
  </si>
  <si>
    <t>0904</t>
  </si>
  <si>
    <t>37616930360</t>
  </si>
  <si>
    <t>Vivian Gomes Ribeiro</t>
  </si>
  <si>
    <t>3782 749453 5650</t>
  </si>
  <si>
    <t>0905</t>
  </si>
  <si>
    <t>73121972804</t>
  </si>
  <si>
    <t>Marcos Barbosa</t>
  </si>
  <si>
    <t>4576 7460 6477 6985</t>
  </si>
  <si>
    <t>0906</t>
  </si>
  <si>
    <t>60507823770</t>
  </si>
  <si>
    <t>Vivian Gomes Cardoso</t>
  </si>
  <si>
    <t>5442 7460 2007 1024</t>
  </si>
  <si>
    <t>5442 7460 9694 3078</t>
  </si>
  <si>
    <t>0907</t>
  </si>
  <si>
    <t>25160491961</t>
  </si>
  <si>
    <t>Renato Lima</t>
  </si>
  <si>
    <t>3782 904254 8280</t>
  </si>
  <si>
    <t>3782 538991 4765</t>
  </si>
  <si>
    <t>0908</t>
  </si>
  <si>
    <t>23576204717</t>
  </si>
  <si>
    <t>Alexandre Alves Pereira</t>
  </si>
  <si>
    <t>4576 7460 6849 5118</t>
  </si>
  <si>
    <t>4576 7460 7603 5114</t>
  </si>
  <si>
    <t>0909</t>
  </si>
  <si>
    <t>11993171959</t>
  </si>
  <si>
    <t>Caio Nascimento</t>
  </si>
  <si>
    <t>4576 7460 9385 6677</t>
  </si>
  <si>
    <t>0910</t>
  </si>
  <si>
    <t>74145478410</t>
  </si>
  <si>
    <t>Thiago Lima Dias</t>
  </si>
  <si>
    <t>4576 7460 3425 0648</t>
  </si>
  <si>
    <t>4576 7460 4488 5523</t>
  </si>
  <si>
    <t>0911</t>
  </si>
  <si>
    <t>38595174903</t>
  </si>
  <si>
    <t>Lucas Rocha Pereira</t>
  </si>
  <si>
    <t>6505 0666 9471 3147</t>
  </si>
  <si>
    <t>6505 0666 5977 3832</t>
  </si>
  <si>
    <t>0912</t>
  </si>
  <si>
    <t>82791589791</t>
  </si>
  <si>
    <t>Bianca Vieira Nunes</t>
  </si>
  <si>
    <t>5442 7460 6248 6663</t>
  </si>
  <si>
    <t>0913</t>
  </si>
  <si>
    <t>05198183342</t>
  </si>
  <si>
    <t>Tatiane Campos Dias</t>
  </si>
  <si>
    <t>4576 7460 7486 1706</t>
  </si>
  <si>
    <t>4576 7460 4673 7387</t>
  </si>
  <si>
    <t>0914</t>
  </si>
  <si>
    <t>48455289678</t>
  </si>
  <si>
    <t>Patricia Borges Rodrigues</t>
  </si>
  <si>
    <t>5442 7460 1266 5839</t>
  </si>
  <si>
    <t>0915</t>
  </si>
  <si>
    <t>48133676312</t>
  </si>
  <si>
    <t>Thiago Nascimento</t>
  </si>
  <si>
    <t>4576 7460 4829 8332</t>
  </si>
  <si>
    <t>4576 7460 8012 1183</t>
  </si>
  <si>
    <t>0916</t>
  </si>
  <si>
    <t>40706702972</t>
  </si>
  <si>
    <t>Renato Moura Mendes</t>
  </si>
  <si>
    <t>4576 7460 9161 7374</t>
  </si>
  <si>
    <t>0917</t>
  </si>
  <si>
    <t>06506988193</t>
  </si>
  <si>
    <t>Carolina Alves Ribeiro</t>
  </si>
  <si>
    <t>3782 819329 3591</t>
  </si>
  <si>
    <t>3782 837060 2129</t>
  </si>
  <si>
    <t>0918</t>
  </si>
  <si>
    <t>01048768830</t>
  </si>
  <si>
    <t>Diego Cavalcanti Rocha</t>
  </si>
  <si>
    <t>6505 0666 2877 8610</t>
  </si>
  <si>
    <t>0919</t>
  </si>
  <si>
    <t>88129926253</t>
  </si>
  <si>
    <t>Carolina Mendes</t>
  </si>
  <si>
    <t>5442 7460 5332 4247</t>
  </si>
  <si>
    <t>5442 7460 4840 7823</t>
  </si>
  <si>
    <t>0920</t>
  </si>
  <si>
    <t>69877541874</t>
  </si>
  <si>
    <t>Juliana Monteiro</t>
  </si>
  <si>
    <t>4576 7460 7109 8792</t>
  </si>
  <si>
    <t>0921</t>
  </si>
  <si>
    <t>81162006587</t>
  </si>
  <si>
    <t>Gabriela Rodrigues Freitas</t>
  </si>
  <si>
    <t>4576 7460 9320 9770</t>
  </si>
  <si>
    <t>0922</t>
  </si>
  <si>
    <t>20874994977</t>
  </si>
  <si>
    <t>Andre Cardoso</t>
  </si>
  <si>
    <t>6062 8200 4651 8493</t>
  </si>
  <si>
    <t>0923</t>
  </si>
  <si>
    <t>98330280551</t>
  </si>
  <si>
    <t>Marcelo Castro Monteiro</t>
  </si>
  <si>
    <t>4576 7460 8279 5193</t>
  </si>
  <si>
    <t>0924</t>
  </si>
  <si>
    <t>79600520267</t>
  </si>
  <si>
    <t>Thiago Borges Dias</t>
  </si>
  <si>
    <t>6062 8200 9681 3332</t>
  </si>
  <si>
    <t>0925</t>
  </si>
  <si>
    <t>92712225040</t>
  </si>
  <si>
    <t>Vivian Castro</t>
  </si>
  <si>
    <t>6505 0666 4619 1171</t>
  </si>
  <si>
    <t>6505 0666 6314 1180</t>
  </si>
  <si>
    <t>0926</t>
  </si>
  <si>
    <t>76813157051</t>
  </si>
  <si>
    <t>Marcos Araujo Moreira</t>
  </si>
  <si>
    <t>3782 924225 4909</t>
  </si>
  <si>
    <t>0927</t>
  </si>
  <si>
    <t>46112322714</t>
  </si>
  <si>
    <t>Gustavo Pinto</t>
  </si>
  <si>
    <t>3782 180926 3912</t>
  </si>
  <si>
    <t>3782 591755 1579</t>
  </si>
  <si>
    <t>0928</t>
  </si>
  <si>
    <t>75706448086</t>
  </si>
  <si>
    <t>Marcelo Moreira Araujo</t>
  </si>
  <si>
    <t>4576 7460 2820 7141</t>
  </si>
  <si>
    <t>4576 7460 7989 1830</t>
  </si>
  <si>
    <t>0929</t>
  </si>
  <si>
    <t>51308293100</t>
  </si>
  <si>
    <t>Marcos Cavalcanti Almeida</t>
  </si>
  <si>
    <t>4576 7460 4780 6687</t>
  </si>
  <si>
    <t>4576 7460 5063 9050</t>
  </si>
  <si>
    <t>0930</t>
  </si>
  <si>
    <t>53123000982</t>
  </si>
  <si>
    <t>Vivian Barbosa Vieira</t>
  </si>
  <si>
    <t>6062 8200 5877 1875</t>
  </si>
  <si>
    <t>6062 8200 6992 5797</t>
  </si>
  <si>
    <t>0931</t>
  </si>
  <si>
    <t>52285247460</t>
  </si>
  <si>
    <t>Rodrigo Cavalcanti</t>
  </si>
  <si>
    <t>3782 174150 7634</t>
  </si>
  <si>
    <t>0932</t>
  </si>
  <si>
    <t>39160905425</t>
  </si>
  <si>
    <t>Bianca Nascimento Monteiro</t>
  </si>
  <si>
    <t>6062 8200 6923 6900</t>
  </si>
  <si>
    <t>0933</t>
  </si>
  <si>
    <t>43052686801</t>
  </si>
  <si>
    <t>Aline Carvalho</t>
  </si>
  <si>
    <t>4576 7460 3001 1299</t>
  </si>
  <si>
    <t>0934</t>
  </si>
  <si>
    <t>32665896885</t>
  </si>
  <si>
    <t>Jessica Almeida Lima</t>
  </si>
  <si>
    <t>3782 861223 8555</t>
  </si>
  <si>
    <t>0935</t>
  </si>
  <si>
    <t>82595103750</t>
  </si>
  <si>
    <t>Eduardo Fernandes Mendes</t>
  </si>
  <si>
    <t>3782 802014 1065</t>
  </si>
  <si>
    <t>3782 381331 4916</t>
  </si>
  <si>
    <t>0936</t>
  </si>
  <si>
    <t>79511861557</t>
  </si>
  <si>
    <t>5442 7460 8543 0652</t>
  </si>
  <si>
    <t>0937</t>
  </si>
  <si>
    <t>20662974298</t>
  </si>
  <si>
    <t>Guilherme Vieira</t>
  </si>
  <si>
    <t>3782 370986 9952</t>
  </si>
  <si>
    <t>0938</t>
  </si>
  <si>
    <t>66211023138</t>
  </si>
  <si>
    <t>Leonardo Rodrigues</t>
  </si>
  <si>
    <t>6062 8200 8577 7973</t>
  </si>
  <si>
    <t>6062 8200 4906 1235</t>
  </si>
  <si>
    <t>0939</t>
  </si>
  <si>
    <t>97726473622</t>
  </si>
  <si>
    <t>Sabrina Barros</t>
  </si>
  <si>
    <t>6062 8200 7582 6653</t>
  </si>
  <si>
    <t>0940</t>
  </si>
  <si>
    <t>00294466860</t>
  </si>
  <si>
    <t>Leandro Rodrigues</t>
  </si>
  <si>
    <t>6505 0666 2708 4057</t>
  </si>
  <si>
    <t>0941</t>
  </si>
  <si>
    <t>73779166720</t>
  </si>
  <si>
    <t>Debora Gomes Martins</t>
  </si>
  <si>
    <t>6062 8200 8129 8019</t>
  </si>
  <si>
    <t>6062 8200 2809 4252</t>
  </si>
  <si>
    <t>0942</t>
  </si>
  <si>
    <t>97124435668</t>
  </si>
  <si>
    <t>Isabela Rodrigues</t>
  </si>
  <si>
    <t>6505 0666 7016 1314</t>
  </si>
  <si>
    <t>6505 0666 8515 6490</t>
  </si>
  <si>
    <t>0943</t>
  </si>
  <si>
    <t>12956513435</t>
  </si>
  <si>
    <t>Diego Souza Teixeira</t>
  </si>
  <si>
    <t>6062 8200 5989 8188</t>
  </si>
  <si>
    <t>0944</t>
  </si>
  <si>
    <t>98847457220</t>
  </si>
  <si>
    <t>Rodrigo Rodrigues Teixeira</t>
  </si>
  <si>
    <t>6062 8200 2432 5481</t>
  </si>
  <si>
    <t>0945</t>
  </si>
  <si>
    <t>39130617030</t>
  </si>
  <si>
    <t>Marcos Lima Nascimento</t>
  </si>
  <si>
    <t>4576 7460 5326 5085</t>
  </si>
  <si>
    <t>0946</t>
  </si>
  <si>
    <t>24644032530</t>
  </si>
  <si>
    <t>Caio Moreira</t>
  </si>
  <si>
    <t>6062 8200 7326 1301</t>
  </si>
  <si>
    <t>0947</t>
  </si>
  <si>
    <t>35838158824</t>
  </si>
  <si>
    <t>Fernanda Vieira Monteiro</t>
  </si>
  <si>
    <t>3782 894570 2642</t>
  </si>
  <si>
    <t>3782 692110 6113</t>
  </si>
  <si>
    <t>0948</t>
  </si>
  <si>
    <t>86787475527</t>
  </si>
  <si>
    <t>Camila Carvalho</t>
  </si>
  <si>
    <t>5442 7460 4949 4935</t>
  </si>
  <si>
    <t>5442 7460 2199 8145</t>
  </si>
  <si>
    <t>0949</t>
  </si>
  <si>
    <t>09553513751</t>
  </si>
  <si>
    <t>Patricia Rocha Lima</t>
  </si>
  <si>
    <t>3782 666305 7579</t>
  </si>
  <si>
    <t>0950</t>
  </si>
  <si>
    <t>29439606916</t>
  </si>
  <si>
    <t>Priscila Moura</t>
  </si>
  <si>
    <t>4576 7460 6652 5576</t>
  </si>
  <si>
    <t>4576 7460 2247 4402</t>
  </si>
  <si>
    <t>0951</t>
  </si>
  <si>
    <t>38294813141</t>
  </si>
  <si>
    <t>Diego Fernandes</t>
  </si>
  <si>
    <t>4576 7460 9002 0784</t>
  </si>
  <si>
    <t>4576 7460 1892 3709</t>
  </si>
  <si>
    <t>0952</t>
  </si>
  <si>
    <t>77812218856</t>
  </si>
  <si>
    <t>Rodrigo Alves</t>
  </si>
  <si>
    <t>4576 7460 2694 6282</t>
  </si>
  <si>
    <t>0953</t>
  </si>
  <si>
    <t>38827979247</t>
  </si>
  <si>
    <t>Isabela Cardoso</t>
  </si>
  <si>
    <t>5442 7460 1860 3575</t>
  </si>
  <si>
    <t>0954</t>
  </si>
  <si>
    <t>00153487259</t>
  </si>
  <si>
    <t>Camila Campos</t>
  </si>
  <si>
    <t>5442 7460 7886 4730</t>
  </si>
  <si>
    <t>0955</t>
  </si>
  <si>
    <t>11800835396</t>
  </si>
  <si>
    <t>Leandro Nascimento Vieira</t>
  </si>
  <si>
    <t>6062 8200 4560 7700</t>
  </si>
  <si>
    <t>0956</t>
  </si>
  <si>
    <t>35917680221</t>
  </si>
  <si>
    <t>Rafael Souza Barros</t>
  </si>
  <si>
    <t>6062 8200 9802 5068</t>
  </si>
  <si>
    <t>0957</t>
  </si>
  <si>
    <t>06958427491</t>
  </si>
  <si>
    <t>Leticia Cardoso Barros</t>
  </si>
  <si>
    <t>3782 845782 6151</t>
  </si>
  <si>
    <t>3782 292350 6031</t>
  </si>
  <si>
    <t>0958</t>
  </si>
  <si>
    <t>44178581104</t>
  </si>
  <si>
    <t>Sabrina Santos</t>
  </si>
  <si>
    <t>6062 8200 9383 9094</t>
  </si>
  <si>
    <t>0959</t>
  </si>
  <si>
    <t>02309717258</t>
  </si>
  <si>
    <t>Renato Pereira Nunes</t>
  </si>
  <si>
    <t>6062 8200 2932 6917</t>
  </si>
  <si>
    <t>0960</t>
  </si>
  <si>
    <t>21475362536</t>
  </si>
  <si>
    <t>Juliana Souza</t>
  </si>
  <si>
    <t>3782 446143 1958</t>
  </si>
  <si>
    <t>0961</t>
  </si>
  <si>
    <t>03473947440</t>
  </si>
  <si>
    <t>Mariana Carvalho</t>
  </si>
  <si>
    <t>4576 7460 8051 8360</t>
  </si>
  <si>
    <t>4576 7460 4269 4378</t>
  </si>
  <si>
    <t>0962</t>
  </si>
  <si>
    <t>51794481583</t>
  </si>
  <si>
    <t>Aline Alves</t>
  </si>
  <si>
    <t>4576 7460 6628 8774</t>
  </si>
  <si>
    <t>0963</t>
  </si>
  <si>
    <t>18159024932</t>
  </si>
  <si>
    <t>Vinicius Moreira Rocha</t>
  </si>
  <si>
    <t>6062 8200 1457 5002</t>
  </si>
  <si>
    <t>0964</t>
  </si>
  <si>
    <t>38275771528</t>
  </si>
  <si>
    <t>Caio Silva Campos</t>
  </si>
  <si>
    <t>4576 7460 8455 4834</t>
  </si>
  <si>
    <t>0965</t>
  </si>
  <si>
    <t>02773226771</t>
  </si>
  <si>
    <t>Bianca Souza Monteiro</t>
  </si>
  <si>
    <t>6505 0666 3448 6464</t>
  </si>
  <si>
    <t>0966</t>
  </si>
  <si>
    <t>48694121794</t>
  </si>
  <si>
    <t>Beatriz Moura Rodrigues</t>
  </si>
  <si>
    <t>4576 7460 6017 5368</t>
  </si>
  <si>
    <t>4576 7460 8683 7828</t>
  </si>
  <si>
    <t>0967</t>
  </si>
  <si>
    <t>62695976259</t>
  </si>
  <si>
    <t>Gustavo Cardoso</t>
  </si>
  <si>
    <t>6505 0666 9755 6401</t>
  </si>
  <si>
    <t>0968</t>
  </si>
  <si>
    <t>10415006880</t>
  </si>
  <si>
    <t>Mariana Oliveira Rodrigues</t>
  </si>
  <si>
    <t>4576 7460 6930 6611</t>
  </si>
  <si>
    <t>0969</t>
  </si>
  <si>
    <t>82671799500</t>
  </si>
  <si>
    <t>Debora Monteiro Fernandes</t>
  </si>
  <si>
    <t>6062 8200 2170 0081</t>
  </si>
  <si>
    <t>6062 8200 2936 1136</t>
  </si>
  <si>
    <t>0970</t>
  </si>
  <si>
    <t>58615104662</t>
  </si>
  <si>
    <t>Vivian Pinto Gomes</t>
  </si>
  <si>
    <t>6062 8200 9373 4670</t>
  </si>
  <si>
    <t>6062 8200 8495 4728</t>
  </si>
  <si>
    <t>0971</t>
  </si>
  <si>
    <t>51507172079</t>
  </si>
  <si>
    <t>Danilo Martins Moura</t>
  </si>
  <si>
    <t>6505 0666 6850 3097</t>
  </si>
  <si>
    <t>6505 0666 2297 3167</t>
  </si>
  <si>
    <t>0972</t>
  </si>
  <si>
    <t>90823576582</t>
  </si>
  <si>
    <t>Carolina Teixeira</t>
  </si>
  <si>
    <t>5442 7460 9972 0048</t>
  </si>
  <si>
    <t>0973</t>
  </si>
  <si>
    <t>91096654717</t>
  </si>
  <si>
    <t>Alexandre Santos</t>
  </si>
  <si>
    <t>5442 7460 7846 5216</t>
  </si>
  <si>
    <t>0974</t>
  </si>
  <si>
    <t>15231905313</t>
  </si>
  <si>
    <t>Vanessa Pinto</t>
  </si>
  <si>
    <t>6062 8200 2996 0995</t>
  </si>
  <si>
    <t>0975</t>
  </si>
  <si>
    <t>01200600274</t>
  </si>
  <si>
    <t>Juliana Oliveira</t>
  </si>
  <si>
    <t>4576 7460 6436 3866</t>
  </si>
  <si>
    <t>4576 7460 6956 1857</t>
  </si>
  <si>
    <t>0976</t>
  </si>
  <si>
    <t>52447299346</t>
  </si>
  <si>
    <t>5442 7460 6317 6488</t>
  </si>
  <si>
    <t>0977</t>
  </si>
  <si>
    <t>05506170351</t>
  </si>
  <si>
    <t>Marcos Pinto Carvalho</t>
  </si>
  <si>
    <t>3782 546722 0422</t>
  </si>
  <si>
    <t>0978</t>
  </si>
  <si>
    <t>91167572203</t>
  </si>
  <si>
    <t>Rafael Santos</t>
  </si>
  <si>
    <t>6062 8200 3841 7936</t>
  </si>
  <si>
    <t>0979</t>
  </si>
  <si>
    <t>30807538876</t>
  </si>
  <si>
    <t>Patricia Monteiro</t>
  </si>
  <si>
    <t>6062 8200 8786 1062</t>
  </si>
  <si>
    <t>0980</t>
  </si>
  <si>
    <t>26520854417</t>
  </si>
  <si>
    <t>Vinicius Barros</t>
  </si>
  <si>
    <t>6505 0666 1022 5065</t>
  </si>
  <si>
    <t>6505 0666 6915 7861</t>
  </si>
  <si>
    <t>0981</t>
  </si>
  <si>
    <t>05945256404</t>
  </si>
  <si>
    <t>Priscila Martins Freitas</t>
  </si>
  <si>
    <t>6505 0666 2802 3690</t>
  </si>
  <si>
    <t>0982</t>
  </si>
  <si>
    <t>77632283773</t>
  </si>
  <si>
    <t>Mariana Moreira</t>
  </si>
  <si>
    <t>6505 0666 6883 4073</t>
  </si>
  <si>
    <t>0983</t>
  </si>
  <si>
    <t>56143646767</t>
  </si>
  <si>
    <t>Matheus Monteiro Oliveira</t>
  </si>
  <si>
    <t>6062 8200 2090 9058</t>
  </si>
  <si>
    <t>6062 8200 1458 6704</t>
  </si>
  <si>
    <t>0984</t>
  </si>
  <si>
    <t>97212546739</t>
  </si>
  <si>
    <t>6505 0666 4191 8406</t>
  </si>
  <si>
    <t>0985</t>
  </si>
  <si>
    <t>65336194115</t>
  </si>
  <si>
    <t>Jessica Cardoso Costa</t>
  </si>
  <si>
    <t>6505 0666 6621 9382</t>
  </si>
  <si>
    <t>0986</t>
  </si>
  <si>
    <t>74984840803</t>
  </si>
  <si>
    <t>Mariana Rocha</t>
  </si>
  <si>
    <t>6062 8200 6007 0704</t>
  </si>
  <si>
    <t>0987</t>
  </si>
  <si>
    <t>08126383798</t>
  </si>
  <si>
    <t>Carolina Freitas</t>
  </si>
  <si>
    <t>6062 8200 5685 3123</t>
  </si>
  <si>
    <t>0988</t>
  </si>
  <si>
    <t>41586070606</t>
  </si>
  <si>
    <t>Carolina Santos</t>
  </si>
  <si>
    <t>6505 0666 1562 3429</t>
  </si>
  <si>
    <t>6505 0666 9359 7421</t>
  </si>
  <si>
    <t>0989</t>
  </si>
  <si>
    <t>12672742553</t>
  </si>
  <si>
    <t>Leandro Gomes Pinto</t>
  </si>
  <si>
    <t>4576 7460 5710 1335</t>
  </si>
  <si>
    <t>0990</t>
  </si>
  <si>
    <t>35618929228</t>
  </si>
  <si>
    <t>Leandro Pereira</t>
  </si>
  <si>
    <t>3782 845258 5032</t>
  </si>
  <si>
    <t>3782 397637 5873</t>
  </si>
  <si>
    <t>0991</t>
  </si>
  <si>
    <t>79443255529</t>
  </si>
  <si>
    <t>Vivian Teixeira</t>
  </si>
  <si>
    <t>6062 8200 4112 7642</t>
  </si>
  <si>
    <t>6062 8200 8717 6663</t>
  </si>
  <si>
    <t>0992</t>
  </si>
  <si>
    <t>94951838630</t>
  </si>
  <si>
    <t>Gustavo Vieira Campos</t>
  </si>
  <si>
    <t>6062 8200 5212 0964</t>
  </si>
  <si>
    <t>0993</t>
  </si>
  <si>
    <t>33937068023</t>
  </si>
  <si>
    <t>Eduardo Araujo Barbosa</t>
  </si>
  <si>
    <t>3782 429141 4665</t>
  </si>
  <si>
    <t>3782 200788 2413</t>
  </si>
  <si>
    <t>0994</t>
  </si>
  <si>
    <t>38748322369</t>
  </si>
  <si>
    <t>Vinicius Barbosa Nunes</t>
  </si>
  <si>
    <t>5442 7460 4499 6906</t>
  </si>
  <si>
    <t>0995</t>
  </si>
  <si>
    <t>93593303965</t>
  </si>
  <si>
    <t>Aline Pinto</t>
  </si>
  <si>
    <t>4576 7460 1300 1232</t>
  </si>
  <si>
    <t>0996</t>
  </si>
  <si>
    <t>26246817360</t>
  </si>
  <si>
    <t>4576 7460 8900 9086</t>
  </si>
  <si>
    <t>0997</t>
  </si>
  <si>
    <t>94056955255</t>
  </si>
  <si>
    <t>Caio Oliveira Campos</t>
  </si>
  <si>
    <t>4576 7460 9982 3980</t>
  </si>
  <si>
    <t>0998</t>
  </si>
  <si>
    <t>76826896680</t>
  </si>
  <si>
    <t>Matheus Santos</t>
  </si>
  <si>
    <t>3782 456680 6537</t>
  </si>
  <si>
    <t>0999</t>
  </si>
  <si>
    <t>77323950341</t>
  </si>
  <si>
    <t>Debora Pereira Nunes</t>
  </si>
  <si>
    <t>6505 0666 1392 9013</t>
  </si>
  <si>
    <t>1000</t>
  </si>
  <si>
    <t>13981688317</t>
  </si>
  <si>
    <t>Amanda Nunes Alves</t>
  </si>
  <si>
    <t>6062 8200 1112 8806</t>
  </si>
  <si>
    <t>6062 8200 1383 1755</t>
  </si>
  <si>
    <t>venc.</t>
  </si>
  <si>
    <t>corte</t>
  </si>
  <si>
    <t>5</t>
  </si>
  <si>
    <t>26</t>
  </si>
  <si>
    <t>23</t>
  </si>
  <si>
    <t>7</t>
  </si>
  <si>
    <t>9</t>
  </si>
  <si>
    <t>21</t>
  </si>
  <si>
    <t>8</t>
  </si>
  <si>
    <t>3</t>
  </si>
  <si>
    <t>18</t>
  </si>
  <si>
    <t>28</t>
  </si>
  <si>
    <t>2</t>
  </si>
  <si>
    <t>4</t>
  </si>
  <si>
    <t>24</t>
  </si>
  <si>
    <t>1001</t>
  </si>
  <si>
    <t>11739361148</t>
  </si>
  <si>
    <t>Larissa Monteiro Freitas</t>
  </si>
  <si>
    <t>5442 7460 4090 9708</t>
  </si>
  <si>
    <t>1002</t>
  </si>
  <si>
    <t>15607750841</t>
  </si>
  <si>
    <t>5442 7460 9064 2229</t>
  </si>
  <si>
    <t>1003</t>
  </si>
  <si>
    <t>96941995653</t>
  </si>
  <si>
    <t>Renato Pinto Barbosa</t>
  </si>
  <si>
    <t>6505 0666 9119 1217</t>
  </si>
  <si>
    <t>1004</t>
  </si>
  <si>
    <t>36502564526</t>
  </si>
  <si>
    <t>Diego Souza</t>
  </si>
  <si>
    <t>3782 535964 9317</t>
  </si>
  <si>
    <t>3782 558647 9916</t>
  </si>
  <si>
    <t>1005</t>
  </si>
  <si>
    <t>35721436247</t>
  </si>
  <si>
    <t>Tatiane Cavalcanti Souza</t>
  </si>
  <si>
    <t>6505 0666 8579 6709</t>
  </si>
  <si>
    <t>1006</t>
  </si>
  <si>
    <t>48335528098</t>
  </si>
  <si>
    <t>Woojin Yoon</t>
  </si>
  <si>
    <t>5442 7460 1924 2560</t>
  </si>
  <si>
    <t>1007</t>
  </si>
  <si>
    <t>18770234698</t>
  </si>
  <si>
    <t>Woojin Song</t>
  </si>
  <si>
    <t>3782 540038 2816</t>
  </si>
  <si>
    <t>1008</t>
  </si>
  <si>
    <t>06668995764</t>
  </si>
  <si>
    <t>Yejun Hwang</t>
  </si>
  <si>
    <t>4576 7460 3072 8020</t>
  </si>
  <si>
    <t>1009</t>
  </si>
  <si>
    <t>86874689460</t>
  </si>
  <si>
    <t>Yuna Jung</t>
  </si>
  <si>
    <t>6505 0666 6952 0347</t>
  </si>
  <si>
    <t>1010</t>
  </si>
  <si>
    <t>25795155268</t>
  </si>
  <si>
    <t>Hyunwoo Lee</t>
  </si>
  <si>
    <t>3782 998031 5956</t>
  </si>
  <si>
    <t>1011</t>
  </si>
  <si>
    <t>90544937635</t>
  </si>
  <si>
    <t>Taro Shimizu Sato</t>
  </si>
  <si>
    <t>6062 8200 9612 7995</t>
  </si>
  <si>
    <t>6062 8200 9976 3120</t>
  </si>
  <si>
    <t>1012</t>
  </si>
  <si>
    <t>65682191773</t>
  </si>
  <si>
    <t>Sofia Fernandez</t>
  </si>
  <si>
    <t>4576 7460 7331 5482</t>
  </si>
  <si>
    <t>1013</t>
  </si>
  <si>
    <t>62274646511</t>
  </si>
  <si>
    <t>Giulia Colombo Rizzo</t>
  </si>
  <si>
    <t>6505 0666 7816 6776</t>
  </si>
  <si>
    <t>6505 0666 3124 2079</t>
  </si>
  <si>
    <t>1014</t>
  </si>
  <si>
    <t>06604021149</t>
  </si>
  <si>
    <t>Giulia Giordano</t>
  </si>
  <si>
    <t>6505 0666 9385 0141</t>
  </si>
  <si>
    <t>1015</t>
  </si>
  <si>
    <t>86436263330</t>
  </si>
  <si>
    <t>Lucas Bertrand</t>
  </si>
  <si>
    <t>4576 7460 7776 2785</t>
  </si>
  <si>
    <t>4576 7460 1613 2392</t>
  </si>
  <si>
    <t>1016</t>
  </si>
  <si>
    <t>35130534441</t>
  </si>
  <si>
    <t>Alexandre Vieira Borges</t>
  </si>
  <si>
    <t>5442 7460 7516 2112</t>
  </si>
  <si>
    <t>1017</t>
  </si>
  <si>
    <t>62534321412</t>
  </si>
  <si>
    <t>Vinicius Rocha</t>
  </si>
  <si>
    <t>3782 746257 9753</t>
  </si>
  <si>
    <t>1018</t>
  </si>
  <si>
    <t>03295714940</t>
  </si>
  <si>
    <t>Alexandre Souza Araujo</t>
  </si>
  <si>
    <t>5442 7460 6849 7651</t>
  </si>
  <si>
    <t>5442 7460 2291 4279</t>
  </si>
  <si>
    <t>1019</t>
  </si>
  <si>
    <t>08461807316</t>
  </si>
  <si>
    <t>Tatiane Fernandes</t>
  </si>
  <si>
    <t>6062 8200 6721 2597</t>
  </si>
  <si>
    <t>1020</t>
  </si>
  <si>
    <t>31541386094</t>
  </si>
  <si>
    <t>Leticia Dias Teixeira</t>
  </si>
  <si>
    <t>5442 7460 2369 6015</t>
  </si>
  <si>
    <t>1021</t>
  </si>
  <si>
    <t>83999245638</t>
  </si>
  <si>
    <t>Leandro Silva</t>
  </si>
  <si>
    <t>4576 7460 7078 8670</t>
  </si>
  <si>
    <t>1022</t>
  </si>
  <si>
    <t>16943119290</t>
  </si>
  <si>
    <t>Aline Oliveira Araujo</t>
  </si>
  <si>
    <t>3782 132737 7327</t>
  </si>
  <si>
    <t>3782 950768 6852</t>
  </si>
  <si>
    <t>1023</t>
  </si>
  <si>
    <t>57904419041</t>
  </si>
  <si>
    <t>Fabio Oliveira</t>
  </si>
  <si>
    <t>5442 7460 6038 3411</t>
  </si>
  <si>
    <t>5442 7460 7592 1110</t>
  </si>
  <si>
    <t>1024</t>
  </si>
  <si>
    <t>83481823738</t>
  </si>
  <si>
    <t>Thiago Araujo Souza</t>
  </si>
  <si>
    <t>4576 7460 2023 9612</t>
  </si>
  <si>
    <t>1025</t>
  </si>
  <si>
    <t>80282684123</t>
  </si>
  <si>
    <t>Marcelo Alves Cavalcanti</t>
  </si>
  <si>
    <t>6062 8200 3661 0749</t>
  </si>
  <si>
    <t>6062 8200 6784 6087</t>
  </si>
  <si>
    <t>1026</t>
  </si>
  <si>
    <t>57458076798</t>
  </si>
  <si>
    <t>Guilherme Santos Costa</t>
  </si>
  <si>
    <t>4576 7460 3814 4706</t>
  </si>
  <si>
    <t>4576 7460 1706 7489</t>
  </si>
  <si>
    <t>1027</t>
  </si>
  <si>
    <t>62843268583</t>
  </si>
  <si>
    <t>Thiago Ribeiro Martins</t>
  </si>
  <si>
    <t>5442 7460 2272 4303</t>
  </si>
  <si>
    <t>1028</t>
  </si>
  <si>
    <t>47691077068</t>
  </si>
  <si>
    <t>Vivian Carvalho Nascimento</t>
  </si>
  <si>
    <t>5442 7460 9857 9877</t>
  </si>
  <si>
    <t>5442 7460 9696 8936</t>
  </si>
  <si>
    <t>1029</t>
  </si>
  <si>
    <t>59938424740</t>
  </si>
  <si>
    <t>Matheus Rodrigues Almeida</t>
  </si>
  <si>
    <t>4576 7460 1837 5401</t>
  </si>
  <si>
    <t>4576 7460 4965 7773</t>
  </si>
  <si>
    <t>1030</t>
  </si>
  <si>
    <t>21424586291</t>
  </si>
  <si>
    <t>Matheus Barbosa Pereira</t>
  </si>
  <si>
    <t>4576 7460 3168 4032</t>
  </si>
  <si>
    <t>1031</t>
  </si>
  <si>
    <t>40309806437</t>
  </si>
  <si>
    <t>Bruno Cardoso Almeida</t>
  </si>
  <si>
    <t>4576 7460 3347 8350</t>
  </si>
  <si>
    <t>1032</t>
  </si>
  <si>
    <t>58388724460</t>
  </si>
  <si>
    <t>Marcelo Freitas Oliveira</t>
  </si>
  <si>
    <t>3782 379508 7116</t>
  </si>
  <si>
    <t>1033</t>
  </si>
  <si>
    <t>16819360703</t>
  </si>
  <si>
    <t>Gabriela Barbosa Lima</t>
  </si>
  <si>
    <t>5442 7460 4489 5962</t>
  </si>
  <si>
    <t>5442 7460 1552 8921</t>
  </si>
  <si>
    <t>1034</t>
  </si>
  <si>
    <t>20125098006</t>
  </si>
  <si>
    <t>Rafael Freitas</t>
  </si>
  <si>
    <t>4576 7460 5521 2894</t>
  </si>
  <si>
    <t>1035</t>
  </si>
  <si>
    <t>98232113456</t>
  </si>
  <si>
    <t>Marcelo Costa</t>
  </si>
  <si>
    <t>5442 7460 4172 7647</t>
  </si>
  <si>
    <t>5442 7460 5153 5197</t>
  </si>
  <si>
    <t>1036</t>
  </si>
  <si>
    <t>11980124710</t>
  </si>
  <si>
    <t>Fabio Fernandes</t>
  </si>
  <si>
    <t>5442 7460 5532 8076</t>
  </si>
  <si>
    <t>1037</t>
  </si>
  <si>
    <t>55719962859</t>
  </si>
  <si>
    <t>Alexandre Costa Ribeiro</t>
  </si>
  <si>
    <t>6505 0666 3512 0239</t>
  </si>
  <si>
    <t>1038</t>
  </si>
  <si>
    <t>91441537910</t>
  </si>
  <si>
    <t>Leonardo Gomes Costa</t>
  </si>
  <si>
    <t>4576 7460 1182 3123</t>
  </si>
  <si>
    <t>1039</t>
  </si>
  <si>
    <t>91851981616</t>
  </si>
  <si>
    <t>Leonardo Santos Moreira</t>
  </si>
  <si>
    <t>6062 8200 1590 7418</t>
  </si>
  <si>
    <t>6062 8200 8313 5851</t>
  </si>
  <si>
    <t>1040</t>
  </si>
  <si>
    <t>29341012902</t>
  </si>
  <si>
    <t>6062 8200 6467 0954</t>
  </si>
  <si>
    <t>1041</t>
  </si>
  <si>
    <t>51059491451</t>
  </si>
  <si>
    <t>Fernanda Moura</t>
  </si>
  <si>
    <t>4576 7460 6260 8653</t>
  </si>
  <si>
    <t>4576 7460 3923 4877</t>
  </si>
  <si>
    <t>1042</t>
  </si>
  <si>
    <t>15599935299</t>
  </si>
  <si>
    <t>Leandro Barbosa</t>
  </si>
  <si>
    <t>6062 8200 5855 7083</t>
  </si>
  <si>
    <t>1043</t>
  </si>
  <si>
    <t>51880500051</t>
  </si>
  <si>
    <t>Diego Cardoso Oliveira</t>
  </si>
  <si>
    <t>5442 7460 5559 7585</t>
  </si>
  <si>
    <t>1044</t>
  </si>
  <si>
    <t>17897294757</t>
  </si>
  <si>
    <t>Amanda Pinto</t>
  </si>
  <si>
    <t>3782 376955 3436</t>
  </si>
  <si>
    <t>3782 694856 7830</t>
  </si>
  <si>
    <t>1045</t>
  </si>
  <si>
    <t>77703041300</t>
  </si>
  <si>
    <t>Beatriz Cavalcanti Barros</t>
  </si>
  <si>
    <t>6062 8200 1405 4669</t>
  </si>
  <si>
    <t>6062 8200 8073 6481</t>
  </si>
  <si>
    <t>1046</t>
  </si>
  <si>
    <t>06985818064</t>
  </si>
  <si>
    <t>Rodrigo Silva Santos</t>
  </si>
  <si>
    <t>3782 890591 6092</t>
  </si>
  <si>
    <t>3782 935967 7248</t>
  </si>
  <si>
    <t>1047</t>
  </si>
  <si>
    <t>93105332502</t>
  </si>
  <si>
    <t>Guilherme Gomes</t>
  </si>
  <si>
    <t>4576 7460 6182 0390</t>
  </si>
  <si>
    <t>1048</t>
  </si>
  <si>
    <t>14374912355</t>
  </si>
  <si>
    <t>Gustavo Costa Silva</t>
  </si>
  <si>
    <t>4576 7460 7342 2265</t>
  </si>
  <si>
    <t>1049</t>
  </si>
  <si>
    <t>75573435302</t>
  </si>
  <si>
    <t>Mariana Mendes Araujo</t>
  </si>
  <si>
    <t>6505 0666 6248 5500</t>
  </si>
  <si>
    <t>6505 0666 6341 0358</t>
  </si>
  <si>
    <t>1050</t>
  </si>
  <si>
    <t>60756063353</t>
  </si>
  <si>
    <t>Beatriz Alves Rodrigues</t>
  </si>
  <si>
    <t>6062 8200 8230 1537</t>
  </si>
  <si>
    <t>1051</t>
  </si>
  <si>
    <t>81572247053</t>
  </si>
  <si>
    <t>Bianca Moreira Freitas</t>
  </si>
  <si>
    <t>6062 8200 5349 6929</t>
  </si>
  <si>
    <t>1052</t>
  </si>
  <si>
    <t>29321993231</t>
  </si>
  <si>
    <t>Felipe Mendes</t>
  </si>
  <si>
    <t>6062 8200 4848 2593</t>
  </si>
  <si>
    <t>1053</t>
  </si>
  <si>
    <t>13711261353</t>
  </si>
  <si>
    <t>Renato Rodrigues</t>
  </si>
  <si>
    <t>3782 867350 5451</t>
  </si>
  <si>
    <t>3782 419398 2333</t>
  </si>
  <si>
    <t>1054</t>
  </si>
  <si>
    <t>15732277811</t>
  </si>
  <si>
    <t>6505 0666 7106 3226</t>
  </si>
  <si>
    <t>1055</t>
  </si>
  <si>
    <t>37799131004</t>
  </si>
  <si>
    <t>Fernanda Campos</t>
  </si>
  <si>
    <t>4576 7460 4100 4804</t>
  </si>
  <si>
    <t>4576 7460 1669 1745</t>
  </si>
  <si>
    <t>1056</t>
  </si>
  <si>
    <t>58236682366</t>
  </si>
  <si>
    <t>Matheus Lima</t>
  </si>
  <si>
    <t>6062 8200 6540 1736</t>
  </si>
  <si>
    <t>6062 8200 3922 0373</t>
  </si>
  <si>
    <t>1057</t>
  </si>
  <si>
    <t>58492688475</t>
  </si>
  <si>
    <t>5442 7460 9844 9040</t>
  </si>
  <si>
    <t>1058</t>
  </si>
  <si>
    <t>89758146106</t>
  </si>
  <si>
    <t>Bianca Borges</t>
  </si>
  <si>
    <t>6505 0666 5082 8919</t>
  </si>
  <si>
    <t>1059</t>
  </si>
  <si>
    <t>60462218546</t>
  </si>
  <si>
    <t>Guilherme Silva</t>
  </si>
  <si>
    <t>5442 7460 8805 5098</t>
  </si>
  <si>
    <t>1060</t>
  </si>
  <si>
    <t>71562078577</t>
  </si>
  <si>
    <t>Carolina Carvalho Souza</t>
  </si>
  <si>
    <t>6062 8200 9053 6661</t>
  </si>
  <si>
    <t>1061</t>
  </si>
  <si>
    <t>19130727464</t>
  </si>
  <si>
    <t>Danilo Dias Cardoso</t>
  </si>
  <si>
    <t>4576 7460 1473 2950</t>
  </si>
  <si>
    <t>1062</t>
  </si>
  <si>
    <t>28340720600</t>
  </si>
  <si>
    <t>Vinicius Alves Martins</t>
  </si>
  <si>
    <t>6062 8200 9625 2803</t>
  </si>
  <si>
    <t>1063</t>
  </si>
  <si>
    <t>26795099431</t>
  </si>
  <si>
    <t>Carolina Pereira Lima</t>
  </si>
  <si>
    <t>5442 7460 8775 9478</t>
  </si>
  <si>
    <t>1064</t>
  </si>
  <si>
    <t>64782900694</t>
  </si>
  <si>
    <t>Leticia Gomes Santos</t>
  </si>
  <si>
    <t>3782 375299 2815</t>
  </si>
  <si>
    <t>1065</t>
  </si>
  <si>
    <t>52735582981</t>
  </si>
  <si>
    <t>Jessica Teixeira Barros</t>
  </si>
  <si>
    <t>6505 0666 4604 4466</t>
  </si>
  <si>
    <t>6505 0666 3960 2108</t>
  </si>
  <si>
    <t>1066</t>
  </si>
  <si>
    <t>03576833587</t>
  </si>
  <si>
    <t>Beatriz Barros Costa</t>
  </si>
  <si>
    <t>6062 8200 1548 6267</t>
  </si>
  <si>
    <t>6062 8200 2617 5296</t>
  </si>
  <si>
    <t>1067</t>
  </si>
  <si>
    <t>65487243565</t>
  </si>
  <si>
    <t>Leonardo Souza Barbosa</t>
  </si>
  <si>
    <t>4576 7460 7683 5785</t>
  </si>
  <si>
    <t>1068</t>
  </si>
  <si>
    <t>97146683605</t>
  </si>
  <si>
    <t>Carolina Silva Teixeira</t>
  </si>
  <si>
    <t>6062 8200 7923 6650</t>
  </si>
  <si>
    <t>1069</t>
  </si>
  <si>
    <t>32213735700</t>
  </si>
  <si>
    <t>Renata Carvalho Barbosa</t>
  </si>
  <si>
    <t>3782 102588 6348</t>
  </si>
  <si>
    <t>1070</t>
  </si>
  <si>
    <t>00569350565</t>
  </si>
  <si>
    <t>Eduardo Rodrigues Oliveira</t>
  </si>
  <si>
    <t>6505 0666 7353 6963</t>
  </si>
  <si>
    <t>6505 0666 2942 4768</t>
  </si>
  <si>
    <t>1071</t>
  </si>
  <si>
    <t>96473064400</t>
  </si>
  <si>
    <t>Diego Fernandes Moura</t>
  </si>
  <si>
    <t>5442 7460 9285 2097</t>
  </si>
  <si>
    <t>1072</t>
  </si>
  <si>
    <t>45054771000</t>
  </si>
  <si>
    <t>Juliana Pereira Cavalcanti</t>
  </si>
  <si>
    <t>3782 583319 0285</t>
  </si>
  <si>
    <t>1073</t>
  </si>
  <si>
    <t>52611315701</t>
  </si>
  <si>
    <t>Rafael Lima</t>
  </si>
  <si>
    <t>5442 7460 2328 8309</t>
  </si>
  <si>
    <t>1074</t>
  </si>
  <si>
    <t>67062962449</t>
  </si>
  <si>
    <t>Caio Cardoso Costa</t>
  </si>
  <si>
    <t>4576 7460 6077 5191</t>
  </si>
  <si>
    <t>4576 7460 4240 2590</t>
  </si>
  <si>
    <t>1075</t>
  </si>
  <si>
    <t>86395250647</t>
  </si>
  <si>
    <t>Amanda Dias</t>
  </si>
  <si>
    <t>5442 7460 2833 5982</t>
  </si>
  <si>
    <t>1076</t>
  </si>
  <si>
    <t>98139952702</t>
  </si>
  <si>
    <t>Matheus Vieira Cardoso</t>
  </si>
  <si>
    <t>5442 7460 6652 4784</t>
  </si>
  <si>
    <t>1077</t>
  </si>
  <si>
    <t>89147421800</t>
  </si>
  <si>
    <t>Rafael Souza Cavalcanti</t>
  </si>
  <si>
    <t>5442 7460 7673 3936</t>
  </si>
  <si>
    <t>1078</t>
  </si>
  <si>
    <t>47738170549</t>
  </si>
  <si>
    <t>Beatriz Gomes</t>
  </si>
  <si>
    <t>5442 7460 6848 2400</t>
  </si>
  <si>
    <t>1079</t>
  </si>
  <si>
    <t>44833643081</t>
  </si>
  <si>
    <t>Vinicius Nascimento Cardoso</t>
  </si>
  <si>
    <t>6505 0666 7439 7161</t>
  </si>
  <si>
    <t>1080</t>
  </si>
  <si>
    <t>68198837221</t>
  </si>
  <si>
    <t>Carolina Santos Rodrigues</t>
  </si>
  <si>
    <t>6505 0666 4225 0961</t>
  </si>
  <si>
    <t>1081</t>
  </si>
  <si>
    <t>55584677620</t>
  </si>
  <si>
    <t>Debora Oliveira</t>
  </si>
  <si>
    <t>5442 7460 4168 9477</t>
  </si>
  <si>
    <t>5442 7460 6566 9587</t>
  </si>
  <si>
    <t>1082</t>
  </si>
  <si>
    <t>47212254746</t>
  </si>
  <si>
    <t>Guilherme Dias</t>
  </si>
  <si>
    <t>5442 7460 2912 3925</t>
  </si>
  <si>
    <t>1083</t>
  </si>
  <si>
    <t>22542799555</t>
  </si>
  <si>
    <t>Carolina Cardoso Pereira</t>
  </si>
  <si>
    <t>4576 7460 7190 4119</t>
  </si>
  <si>
    <t>1084</t>
  </si>
  <si>
    <t>15320529791</t>
  </si>
  <si>
    <t>Vinicius Pinto Almeida</t>
  </si>
  <si>
    <t>6062 8200 9691 2499</t>
  </si>
  <si>
    <t>1085</t>
  </si>
  <si>
    <t>14896427653</t>
  </si>
  <si>
    <t>Amanda Borges Rocha</t>
  </si>
  <si>
    <t>3782 193749 8838</t>
  </si>
  <si>
    <t>1086</t>
  </si>
  <si>
    <t>91623734711</t>
  </si>
  <si>
    <t>Vivian Barbosa Gomes</t>
  </si>
  <si>
    <t>6062 8200 3746 8538</t>
  </si>
  <si>
    <t>1087</t>
  </si>
  <si>
    <t>58874183704</t>
  </si>
  <si>
    <t>Marcelo Araujo Gomes</t>
  </si>
  <si>
    <t>4576 7460 8047 9309</t>
  </si>
  <si>
    <t>1088</t>
  </si>
  <si>
    <t>23094193625</t>
  </si>
  <si>
    <t>Marcos Monteiro Rocha</t>
  </si>
  <si>
    <t>3782 632911 9108</t>
  </si>
  <si>
    <t>3782 325759 6040</t>
  </si>
  <si>
    <t>1089</t>
  </si>
  <si>
    <t>47654580088</t>
  </si>
  <si>
    <t>4576 7460 1423 5962</t>
  </si>
  <si>
    <t>4576 7460 5014 1309</t>
  </si>
  <si>
    <t>1090</t>
  </si>
  <si>
    <t>58595409579</t>
  </si>
  <si>
    <t>Carolina Costa Moura</t>
  </si>
  <si>
    <t>6505 0666 6403 3232</t>
  </si>
  <si>
    <t>6505 0666 7879 9854</t>
  </si>
  <si>
    <t>1091</t>
  </si>
  <si>
    <t>32093879824</t>
  </si>
  <si>
    <t>Leandro Rodrigues Gomes</t>
  </si>
  <si>
    <t>3782 516207 2372</t>
  </si>
  <si>
    <t>3782 433049 2965</t>
  </si>
  <si>
    <t>1092</t>
  </si>
  <si>
    <t>33480005640</t>
  </si>
  <si>
    <t>Aline Teixeira</t>
  </si>
  <si>
    <t>5442 7460 8945 2473</t>
  </si>
  <si>
    <t>5442 7460 3245 9835</t>
  </si>
  <si>
    <t>1093</t>
  </si>
  <si>
    <t>33371743454</t>
  </si>
  <si>
    <t>6505 0666 6922 4084</t>
  </si>
  <si>
    <t>1094</t>
  </si>
  <si>
    <t>03265071758</t>
  </si>
  <si>
    <t>Andre Nunes</t>
  </si>
  <si>
    <t>6062 8200 4064 0292</t>
  </si>
  <si>
    <t>6062 8200 2363 4480</t>
  </si>
  <si>
    <t>1095</t>
  </si>
  <si>
    <t>16628754600</t>
  </si>
  <si>
    <t>Leonardo Castro</t>
  </si>
  <si>
    <t>4576 7460 6313 5365</t>
  </si>
  <si>
    <t>1096</t>
  </si>
  <si>
    <t>57788360902</t>
  </si>
  <si>
    <t>Gabriela Pereira Santos</t>
  </si>
  <si>
    <t>3782 182422 2018</t>
  </si>
  <si>
    <t>1097</t>
  </si>
  <si>
    <t>59451664130</t>
  </si>
  <si>
    <t>Vinicius Dias Rocha</t>
  </si>
  <si>
    <t>3782 880469 0814</t>
  </si>
  <si>
    <t>1098</t>
  </si>
  <si>
    <t>40872191354</t>
  </si>
  <si>
    <t>Rodrigo Santos</t>
  </si>
  <si>
    <t>4576 7460 2453 3901</t>
  </si>
  <si>
    <t>1099</t>
  </si>
  <si>
    <t>24126889663</t>
  </si>
  <si>
    <t>Guilherme Souza Dias</t>
  </si>
  <si>
    <t>3782 896986 5366</t>
  </si>
  <si>
    <t>3782 781588 2980</t>
  </si>
  <si>
    <t>1100</t>
  </si>
  <si>
    <t>40187852596</t>
  </si>
  <si>
    <t>Fabio Barbosa Nascimento</t>
  </si>
  <si>
    <t>3782 883796 7336</t>
  </si>
  <si>
    <t>1101</t>
  </si>
  <si>
    <t>17909345240</t>
  </si>
  <si>
    <t>Fabio Nunes Moura</t>
  </si>
  <si>
    <t>6062 8200 6144 4433</t>
  </si>
  <si>
    <t>1102</t>
  </si>
  <si>
    <t>03275877330</t>
  </si>
  <si>
    <t>Vanessa Nascimento</t>
  </si>
  <si>
    <t>5442 7460 7741 0340</t>
  </si>
  <si>
    <t>1103</t>
  </si>
  <si>
    <t>51077982410</t>
  </si>
  <si>
    <t>Gustavo Rocha Campos</t>
  </si>
  <si>
    <t>5442 7460 9186 9624</t>
  </si>
  <si>
    <t>5442 7460 3614 8994</t>
  </si>
  <si>
    <t>1104</t>
  </si>
  <si>
    <t>80793270847</t>
  </si>
  <si>
    <t>Sabrina Vieira Dias</t>
  </si>
  <si>
    <t>6505 0666 7699 9875</t>
  </si>
  <si>
    <t>6505 0666 2500 3706</t>
  </si>
  <si>
    <t>1105</t>
  </si>
  <si>
    <t>37633580801</t>
  </si>
  <si>
    <t>Caio Borges Almeida</t>
  </si>
  <si>
    <t>6505 0666 1903 2093</t>
  </si>
  <si>
    <t>1106</t>
  </si>
  <si>
    <t>32697253882</t>
  </si>
  <si>
    <t>Bianca Santos Barbosa</t>
  </si>
  <si>
    <t>3782 984785 2747</t>
  </si>
  <si>
    <t>1107</t>
  </si>
  <si>
    <t>42134302860</t>
  </si>
  <si>
    <t>Carolina Teixeira Campos</t>
  </si>
  <si>
    <t>6505 0666 8596 9074</t>
  </si>
  <si>
    <t>6505 0666 7197 9138</t>
  </si>
  <si>
    <t>1108</t>
  </si>
  <si>
    <t>24886099513</t>
  </si>
  <si>
    <t>Amanda Souza</t>
  </si>
  <si>
    <t>6505 0666 7479 2003</t>
  </si>
  <si>
    <t>6505 0666 3029 5558</t>
  </si>
  <si>
    <t>1109</t>
  </si>
  <si>
    <t>99390644704</t>
  </si>
  <si>
    <t>Fernanda Souza Alves</t>
  </si>
  <si>
    <t>4576 7460 8814 0538</t>
  </si>
  <si>
    <t>1110</t>
  </si>
  <si>
    <t>08989125804</t>
  </si>
  <si>
    <t>Marcos Rocha</t>
  </si>
  <si>
    <t>6062 8200 9395 1376</t>
  </si>
  <si>
    <t>6062 8200 5298 0441</t>
  </si>
  <si>
    <t>tbl_ven</t>
  </si>
  <si>
    <t>tbl_corte</t>
  </si>
  <si>
    <t>091</t>
  </si>
  <si>
    <t>096</t>
  </si>
  <si>
    <t>039</t>
  </si>
  <si>
    <t>015</t>
  </si>
  <si>
    <t>016</t>
  </si>
  <si>
    <t>070</t>
  </si>
  <si>
    <t>046</t>
  </si>
  <si>
    <t>Haya Al-Harbi</t>
  </si>
  <si>
    <t>6062 8200 2766 0213</t>
  </si>
  <si>
    <t>6062 8200 6115 7063</t>
  </si>
  <si>
    <t>Seoyun Kim Park</t>
  </si>
  <si>
    <t>5442 7460 9592 6839</t>
  </si>
  <si>
    <t>1111</t>
  </si>
  <si>
    <t>1112</t>
  </si>
  <si>
    <t>tbl_schema</t>
  </si>
  <si>
    <t>tbl_pf_valor_parcela</t>
  </si>
  <si>
    <t>tbl_pf_saldo_financiado</t>
  </si>
  <si>
    <t>tbl_pf_iof_total</t>
  </si>
  <si>
    <t>tbl_pf_iof_adicional</t>
  </si>
  <si>
    <t>tbl_pf_cet_anual</t>
  </si>
  <si>
    <t>tbl_pf_prazo</t>
  </si>
  <si>
    <t>tbl_pf_data_contratacao</t>
  </si>
  <si>
    <t>tbl_pa_valor_pagamento</t>
  </si>
  <si>
    <t>tbl_pa_minimo</t>
  </si>
  <si>
    <t>tbl_pa_piso</t>
  </si>
  <si>
    <t>tbl_pa_valor_parcela</t>
  </si>
  <si>
    <t>tbl_pa_saldo_financiado</t>
  </si>
  <si>
    <t>tbl_pa_iof_total</t>
  </si>
  <si>
    <t>tbl_pa_cet_anual</t>
  </si>
  <si>
    <t>tbl_pa_data_contratacao</t>
  </si>
  <si>
    <t>tbl_reneg</t>
  </si>
  <si>
    <t>tbl_pf_elegivel</t>
  </si>
  <si>
    <t>tbl_pf_valor_ativacao_automatica</t>
  </si>
  <si>
    <t>tbl_cemiterio_teste</t>
  </si>
  <si>
    <t>tbl_cemiterio_teste_motivo</t>
  </si>
  <si>
    <t>normal</t>
  </si>
  <si>
    <t>BILLING_CHARGES_DESSINCRONIZADO_POS_CONSOLIDACAO</t>
  </si>
  <si>
    <t>elegivel</t>
  </si>
  <si>
    <t>85484694639</t>
  </si>
  <si>
    <t>20187524726</t>
  </si>
  <si>
    <t>1113</t>
  </si>
  <si>
    <t>37452237137</t>
  </si>
  <si>
    <t>Juliana Rocha Mendes</t>
  </si>
  <si>
    <t>6505 0666 8531 7072</t>
  </si>
  <si>
    <t>1114</t>
  </si>
  <si>
    <t>21819628809</t>
  </si>
  <si>
    <t>Daiki Tanaka</t>
  </si>
  <si>
    <t>5442 7460 6687 7226</t>
  </si>
  <si>
    <t>1115</t>
  </si>
  <si>
    <t>97881194502</t>
  </si>
  <si>
    <t>Priscila Silva Lima</t>
  </si>
  <si>
    <t>3782 198843 1219</t>
  </si>
  <si>
    <t>3782 694537 2953</t>
  </si>
  <si>
    <t>1116</t>
  </si>
  <si>
    <t>69214994803</t>
  </si>
  <si>
    <t>Jade Dupont Bernard</t>
  </si>
  <si>
    <t>3782 266939 1966</t>
  </si>
  <si>
    <t>1117</t>
  </si>
  <si>
    <t>26203741388</t>
  </si>
  <si>
    <t>Valentina Ramirez</t>
  </si>
  <si>
    <t>6062 8200 2658 3372</t>
  </si>
  <si>
    <t>1118</t>
  </si>
  <si>
    <t>30882575015</t>
  </si>
  <si>
    <t>Sofia Aguirre</t>
  </si>
  <si>
    <t>5442 7460 2873 4826</t>
  </si>
  <si>
    <t>1119</t>
  </si>
  <si>
    <t>12475215674</t>
  </si>
  <si>
    <t>Paula Lopez Martinez</t>
  </si>
  <si>
    <t>6505 0666 5746 1286</t>
  </si>
  <si>
    <t>1120</t>
  </si>
  <si>
    <t>45756620036</t>
  </si>
  <si>
    <t>Emma Harris Robinson</t>
  </si>
  <si>
    <t>5442 7460 4319 5082</t>
  </si>
  <si>
    <t>1121</t>
  </si>
  <si>
    <t>31959857053</t>
  </si>
  <si>
    <t>Riku Yamaguchi</t>
  </si>
  <si>
    <t>5442 7460 1643 7473</t>
  </si>
  <si>
    <t>1122</t>
  </si>
  <si>
    <t>67705454890</t>
  </si>
  <si>
    <t>Samuel Brown</t>
  </si>
  <si>
    <t>3782 857134 5163</t>
  </si>
  <si>
    <t>3782 673395 7167</t>
  </si>
  <si>
    <t>1123</t>
  </si>
  <si>
    <t>55687484973</t>
  </si>
  <si>
    <t>David Clark</t>
  </si>
  <si>
    <t>5442 7460 3599 3782</t>
  </si>
  <si>
    <t>1124</t>
  </si>
  <si>
    <t>93125200598</t>
  </si>
  <si>
    <t>David Scott</t>
  </si>
  <si>
    <t>6505 0666 8469 2701</t>
  </si>
  <si>
    <t>6505 0666 6642 4531</t>
  </si>
  <si>
    <t>1125</t>
  </si>
  <si>
    <t>22043570064</t>
  </si>
  <si>
    <t>Victoria Miller Martinez</t>
  </si>
  <si>
    <t>6505 0666 9873 0540</t>
  </si>
  <si>
    <t>1126</t>
  </si>
  <si>
    <t>63099423521</t>
  </si>
  <si>
    <t>Sophia White</t>
  </si>
  <si>
    <t>5442 7460 7111 3081</t>
  </si>
  <si>
    <t>1127</t>
  </si>
  <si>
    <t>20534628257</t>
  </si>
  <si>
    <t>Henry Wilson</t>
  </si>
  <si>
    <t>3782 968857 8858</t>
  </si>
  <si>
    <t>1128</t>
  </si>
  <si>
    <t>53385920108</t>
  </si>
  <si>
    <t>Michael Scott</t>
  </si>
  <si>
    <t>6505 0666 4153 4030</t>
  </si>
  <si>
    <t>6505 0666 3339 4553</t>
  </si>
  <si>
    <t>1129</t>
  </si>
  <si>
    <t>57253407830</t>
  </si>
  <si>
    <t>Victoria Williams</t>
  </si>
  <si>
    <t>6062 8200 1585 5102</t>
  </si>
  <si>
    <t>1130</t>
  </si>
  <si>
    <t>45807973704</t>
  </si>
  <si>
    <t>Evelyn Garcia</t>
  </si>
  <si>
    <t>6505 0666 9968 7764</t>
  </si>
  <si>
    <t>1131</t>
  </si>
  <si>
    <t>62394749164</t>
  </si>
  <si>
    <t>Emily Allen Martin</t>
  </si>
  <si>
    <t>3782 544353 8062</t>
  </si>
  <si>
    <t>3782 702823 5324</t>
  </si>
  <si>
    <t>1132</t>
  </si>
  <si>
    <t>84857152177</t>
  </si>
  <si>
    <t>Ethan Wilson</t>
  </si>
  <si>
    <t>4576 7460 5253 5284</t>
  </si>
  <si>
    <t>1133</t>
  </si>
  <si>
    <t>92819654452</t>
  </si>
  <si>
    <t>Daniel Wilson</t>
  </si>
  <si>
    <t>6505 0666 8491 2875</t>
  </si>
  <si>
    <t>6505 0666 7329 1779</t>
  </si>
  <si>
    <t>1134</t>
  </si>
  <si>
    <t>42906851965</t>
  </si>
  <si>
    <t>Ethan Robinson Martinez</t>
  </si>
  <si>
    <t>6505 0666 5140 1628</t>
  </si>
  <si>
    <t>1135</t>
  </si>
  <si>
    <t>08714012235</t>
  </si>
  <si>
    <t>David Johnson Anderson</t>
  </si>
  <si>
    <t>6062 8200 3211 9161</t>
  </si>
  <si>
    <t>1136</t>
  </si>
  <si>
    <t>76572487423</t>
  </si>
  <si>
    <t>Daniel Anderson</t>
  </si>
  <si>
    <t>4576 7460 4241 0620</t>
  </si>
  <si>
    <t>4576 7460 7269 8783</t>
  </si>
  <si>
    <t>1137</t>
  </si>
  <si>
    <t>98296127679</t>
  </si>
  <si>
    <t>Elizabeth Wright</t>
  </si>
  <si>
    <t>3782 355945 3301</t>
  </si>
  <si>
    <t>3782 393572 1401</t>
  </si>
  <si>
    <t>1138</t>
  </si>
  <si>
    <t>26255415554</t>
  </si>
  <si>
    <t>Ava Lewis</t>
  </si>
  <si>
    <t>5442 7460 2674 7149</t>
  </si>
  <si>
    <t>1139</t>
  </si>
  <si>
    <t>52761775899</t>
  </si>
  <si>
    <t>Alexander Jones Wright</t>
  </si>
  <si>
    <t>6505 0666 1153 3959</t>
  </si>
  <si>
    <t>6505 0666 1900 5355</t>
  </si>
  <si>
    <t>1140</t>
  </si>
  <si>
    <t>66351633281</t>
  </si>
  <si>
    <t>Daniel Scott</t>
  </si>
  <si>
    <t>5442 7460 2948 5430</t>
  </si>
  <si>
    <t>1141</t>
  </si>
  <si>
    <t>93733388119</t>
  </si>
  <si>
    <t>Henry Martinez</t>
  </si>
  <si>
    <t>6505 0666 2084 9039</t>
  </si>
  <si>
    <t>1142</t>
  </si>
  <si>
    <t>45087772528</t>
  </si>
  <si>
    <t>Daniel Harris</t>
  </si>
  <si>
    <t>6062 8200 1336 4475</t>
  </si>
  <si>
    <t>1143</t>
  </si>
  <si>
    <t>31123420629</t>
  </si>
  <si>
    <t>Emily Rodriguez</t>
  </si>
  <si>
    <t>6505 0666 8297 7193</t>
  </si>
  <si>
    <t>1144</t>
  </si>
  <si>
    <t>61427748853</t>
  </si>
  <si>
    <t>William Hernandez</t>
  </si>
  <si>
    <t>6505 0666 8774 3454</t>
  </si>
  <si>
    <t>1145</t>
  </si>
  <si>
    <t>54224340305</t>
  </si>
  <si>
    <t>Joseph Taylor</t>
  </si>
  <si>
    <t>4576 7460 6429 8117</t>
  </si>
  <si>
    <t>4576 7460 1809 3203</t>
  </si>
  <si>
    <t>1146</t>
  </si>
  <si>
    <t>07831751670</t>
  </si>
  <si>
    <t>Harper Allen</t>
  </si>
  <si>
    <t>5442 7460 8150 5378</t>
  </si>
  <si>
    <t>5442 7460 7508 4627</t>
  </si>
  <si>
    <t>1147</t>
  </si>
  <si>
    <t>32766438475</t>
  </si>
  <si>
    <t>Victoria Smith</t>
  </si>
  <si>
    <t>6505 0666 1823 6882</t>
  </si>
  <si>
    <t>6505 0666 3031 0233</t>
  </si>
  <si>
    <t>1148</t>
  </si>
  <si>
    <t>32369958901</t>
  </si>
  <si>
    <t>Benjamin Johnson</t>
  </si>
  <si>
    <t>3782 284046 8990</t>
  </si>
  <si>
    <t>1149</t>
  </si>
  <si>
    <t>61435149769</t>
  </si>
  <si>
    <t>William Jones</t>
  </si>
  <si>
    <t>3782 858035 5540</t>
  </si>
  <si>
    <t>1150</t>
  </si>
  <si>
    <t>61108947700</t>
  </si>
  <si>
    <t>Benjamin King</t>
  </si>
  <si>
    <t>5442 7460 1815 5031</t>
  </si>
  <si>
    <t>1151</t>
  </si>
  <si>
    <t>23644909873</t>
  </si>
  <si>
    <t>Sophia Jones</t>
  </si>
  <si>
    <t>4576 7460 4844 8649</t>
  </si>
  <si>
    <t>1152</t>
  </si>
  <si>
    <t>44425670183</t>
  </si>
  <si>
    <t>Victoria White Johnson</t>
  </si>
  <si>
    <t>4576 7460 1041 6266</t>
  </si>
  <si>
    <t>4576 7460 3868 9139</t>
  </si>
  <si>
    <t>1153</t>
  </si>
  <si>
    <t>21757137254</t>
  </si>
  <si>
    <t>Michael Jones White</t>
  </si>
  <si>
    <t>6505 0666 3382 5615</t>
  </si>
  <si>
    <t>1154</t>
  </si>
  <si>
    <t>80397069200</t>
  </si>
  <si>
    <t>Isabella Thomas</t>
  </si>
  <si>
    <t>4576 7460 7325 8852</t>
  </si>
  <si>
    <t>4576 7460 7202 3000</t>
  </si>
  <si>
    <t>1155</t>
  </si>
  <si>
    <t>83971275184</t>
  </si>
  <si>
    <t>Harper Smith Davis</t>
  </si>
  <si>
    <t>4576 7460 4833 8280</t>
  </si>
  <si>
    <t>1156</t>
  </si>
  <si>
    <t>27881385120</t>
  </si>
  <si>
    <t>5442 7460 4633 8775</t>
  </si>
  <si>
    <t>1157</t>
  </si>
  <si>
    <t>88346469080</t>
  </si>
  <si>
    <t>Mia Jackson</t>
  </si>
  <si>
    <t>4576 7460 8312 4602</t>
  </si>
  <si>
    <t>4576 7460 2539 0117</t>
  </si>
  <si>
    <t>1158</t>
  </si>
  <si>
    <t>83208209959</t>
  </si>
  <si>
    <t>Charlotte King</t>
  </si>
  <si>
    <t>3782 789608 0704</t>
  </si>
  <si>
    <t>3782 757148 5702</t>
  </si>
  <si>
    <t>1159</t>
  </si>
  <si>
    <t>40053549040</t>
  </si>
  <si>
    <t>Alexander King</t>
  </si>
  <si>
    <t>3782 539904 2047</t>
  </si>
  <si>
    <t>1160</t>
  </si>
  <si>
    <t>50563867582</t>
  </si>
  <si>
    <t>Charlotte Harris</t>
  </si>
  <si>
    <t>4576 7460 5636 0940</t>
  </si>
  <si>
    <t>1161</t>
  </si>
  <si>
    <t>80567416402</t>
  </si>
  <si>
    <t>Alexander Young Rodriguez</t>
  </si>
  <si>
    <t>4576 7460 6990 5965</t>
  </si>
  <si>
    <t>4576 7460 7895 9762</t>
  </si>
  <si>
    <t>1162</t>
  </si>
  <si>
    <t>85164909049</t>
  </si>
  <si>
    <t>Harper Lewis</t>
  </si>
  <si>
    <t>4576 7460 2352 4321</t>
  </si>
  <si>
    <t>1163</t>
  </si>
  <si>
    <t>62678235475</t>
  </si>
  <si>
    <t>Matthew Davis Martinez</t>
  </si>
  <si>
    <t>4576 7460 5681 0244</t>
  </si>
  <si>
    <t>1164</t>
  </si>
  <si>
    <t>77049944254</t>
  </si>
  <si>
    <t>Ava Young Jackson</t>
  </si>
  <si>
    <t>6505 0666 4439 9086</t>
  </si>
  <si>
    <t>6505 0666 6148 0320</t>
  </si>
  <si>
    <t>1165</t>
  </si>
  <si>
    <t>64980819290</t>
  </si>
  <si>
    <t>Mason Hernandez</t>
  </si>
  <si>
    <t>6505 0666 4151 1656</t>
  </si>
  <si>
    <t>1166</t>
  </si>
  <si>
    <t>73182436910</t>
  </si>
  <si>
    <t>Victoria Williams Young</t>
  </si>
  <si>
    <t>6505 0666 3896 8987</t>
  </si>
  <si>
    <t>1167</t>
  </si>
  <si>
    <t>39586802400</t>
  </si>
  <si>
    <t>Olivia Rodriguez Martin</t>
  </si>
  <si>
    <t>5442 7460 8861 9990</t>
  </si>
  <si>
    <t>5442 7460 8114 5774</t>
  </si>
  <si>
    <t>1168</t>
  </si>
  <si>
    <t>87012306033</t>
  </si>
  <si>
    <t>Abigail Thomas</t>
  </si>
  <si>
    <t>6505 0666 1630 5649</t>
  </si>
  <si>
    <t>6505 0666 4888 2701</t>
  </si>
  <si>
    <t>1169</t>
  </si>
  <si>
    <t>62600915834</t>
  </si>
  <si>
    <t>Matthew Walker</t>
  </si>
  <si>
    <t>5442 7460 5302 0488</t>
  </si>
  <si>
    <t>1170</t>
  </si>
  <si>
    <t>29801244860</t>
  </si>
  <si>
    <t>Chloe Miller</t>
  </si>
  <si>
    <t>6062 8200 3432 9289</t>
  </si>
  <si>
    <t>1171</t>
  </si>
  <si>
    <t>03595202600</t>
  </si>
  <si>
    <t>Henry Davis</t>
  </si>
  <si>
    <t>5442 7460 6677 6778</t>
  </si>
  <si>
    <t>5442 7460 1129 8275</t>
  </si>
  <si>
    <t>1172</t>
  </si>
  <si>
    <t>03042905802</t>
  </si>
  <si>
    <t>Xin Yang</t>
  </si>
  <si>
    <t>6505 0666 1381 0904</t>
  </si>
  <si>
    <t>1173</t>
  </si>
  <si>
    <t>97552412640</t>
  </si>
  <si>
    <t>Tao Hu Sun</t>
  </si>
  <si>
    <t>6505 0666 5832 4923</t>
  </si>
  <si>
    <t>1174</t>
  </si>
  <si>
    <t>03359508092</t>
  </si>
  <si>
    <t>Na Zhao</t>
  </si>
  <si>
    <t>6505 0666 2328 8804</t>
  </si>
  <si>
    <t>1175</t>
  </si>
  <si>
    <t>15911152720</t>
  </si>
  <si>
    <t>Xiu Ying Xu</t>
  </si>
  <si>
    <t>3782 186919 6027</t>
  </si>
  <si>
    <t>1176</t>
  </si>
  <si>
    <t>88699812230</t>
  </si>
  <si>
    <t>Jian Wang</t>
  </si>
  <si>
    <t>3782 737593 7021</t>
  </si>
  <si>
    <t>3782 275199 5038</t>
  </si>
  <si>
    <t>1177</t>
  </si>
  <si>
    <t>78323472440</t>
  </si>
  <si>
    <t>Fang Wang</t>
  </si>
  <si>
    <t>3782 299190 9616</t>
  </si>
  <si>
    <t>1178</t>
  </si>
  <si>
    <t>64660080706</t>
  </si>
  <si>
    <t>Min Wang</t>
  </si>
  <si>
    <t>6062 8200 8572 9250</t>
  </si>
  <si>
    <t>1179</t>
  </si>
  <si>
    <t>70066946395</t>
  </si>
  <si>
    <t>Hui Zhou</t>
  </si>
  <si>
    <t>4576 7460 2524 5660</t>
  </si>
  <si>
    <t>4576 7460 6007 3843</t>
  </si>
  <si>
    <t>1180</t>
  </si>
  <si>
    <t>92504200994</t>
  </si>
  <si>
    <t>Fang Lin Guo</t>
  </si>
  <si>
    <t>3782 890561 1504</t>
  </si>
  <si>
    <t>3782 175448 3718</t>
  </si>
  <si>
    <t>1181</t>
  </si>
  <si>
    <t>30343714973</t>
  </si>
  <si>
    <t>Min Huang Zhu</t>
  </si>
  <si>
    <t>6505 0666 6545 9340</t>
  </si>
  <si>
    <t>6505 0666 8611 0819</t>
  </si>
  <si>
    <t>1182</t>
  </si>
  <si>
    <t>33637229153</t>
  </si>
  <si>
    <t>Fang Liu Zhang</t>
  </si>
  <si>
    <t>5442 7460 4712 2280</t>
  </si>
  <si>
    <t>1183</t>
  </si>
  <si>
    <t>37790014463</t>
  </si>
  <si>
    <t>Ming He</t>
  </si>
  <si>
    <t>6062 8200 3164 6920</t>
  </si>
  <si>
    <t>1184</t>
  </si>
  <si>
    <t>51851685600</t>
  </si>
  <si>
    <t>Xin Zhou Guo</t>
  </si>
  <si>
    <t>5442 7460 8604 4342</t>
  </si>
  <si>
    <t>1185</t>
  </si>
  <si>
    <t>24469655120</t>
  </si>
  <si>
    <t>Wei Zhou</t>
  </si>
  <si>
    <t>4576 7460 6546 2409</t>
  </si>
  <si>
    <t>4576 7460 5296 5060</t>
  </si>
  <si>
    <t>1186</t>
  </si>
  <si>
    <t>32886478938</t>
  </si>
  <si>
    <t>Xin Luo</t>
  </si>
  <si>
    <t>5442 7460 3085 1497</t>
  </si>
  <si>
    <t>5442 7460 5664 4750</t>
  </si>
  <si>
    <t>1187</t>
  </si>
  <si>
    <t>02270529359</t>
  </si>
  <si>
    <t>Hui Xu</t>
  </si>
  <si>
    <t>6062 8200 6414 3471</t>
  </si>
  <si>
    <t>1188</t>
  </si>
  <si>
    <t>09291684457</t>
  </si>
  <si>
    <t>Na Luo</t>
  </si>
  <si>
    <t>6062 8200 1616 0462</t>
  </si>
  <si>
    <t>1189</t>
  </si>
  <si>
    <t>84560585806</t>
  </si>
  <si>
    <t>Lei Yang Zhu</t>
  </si>
  <si>
    <t>6505 0666 8741 9206</t>
  </si>
  <si>
    <t>1190</t>
  </si>
  <si>
    <t>65706103763</t>
  </si>
  <si>
    <t>Jing Chen Li</t>
  </si>
  <si>
    <t>6062 8200 4018 7245</t>
  </si>
  <si>
    <t>6062 8200 3894 3656</t>
  </si>
  <si>
    <t>1191</t>
  </si>
  <si>
    <t>34686781507</t>
  </si>
  <si>
    <t>Xiu Ying Hu</t>
  </si>
  <si>
    <t>6062 8200 4586 5543</t>
  </si>
  <si>
    <t>1192</t>
  </si>
  <si>
    <t>35056754234</t>
  </si>
  <si>
    <t>6062 8200 8545 4835</t>
  </si>
  <si>
    <t>1193</t>
  </si>
  <si>
    <t>24937394266</t>
  </si>
  <si>
    <t>Min Li Zhu</t>
  </si>
  <si>
    <t>6062 8200 8783 3784</t>
  </si>
  <si>
    <t>1194</t>
  </si>
  <si>
    <t>26644662323</t>
  </si>
  <si>
    <t>Hao Luo Xu</t>
  </si>
  <si>
    <t>6505 0666 7702 0141</t>
  </si>
  <si>
    <t>6505 0666 5863 7551</t>
  </si>
  <si>
    <t>1195</t>
  </si>
  <si>
    <t>42857951752</t>
  </si>
  <si>
    <t>Yan Zhang</t>
  </si>
  <si>
    <t>5442 7460 9604 7540</t>
  </si>
  <si>
    <t>5442 7460 1267 7254</t>
  </si>
  <si>
    <t>1196</t>
  </si>
  <si>
    <t>90082020507</t>
  </si>
  <si>
    <t>Tao Hu</t>
  </si>
  <si>
    <t>3782 204329 2460</t>
  </si>
  <si>
    <t>3782 929275 0745</t>
  </si>
  <si>
    <t>1197</t>
  </si>
  <si>
    <t>70342150812</t>
  </si>
  <si>
    <t>Chao Xu</t>
  </si>
  <si>
    <t>5442 7460 9850 6488</t>
  </si>
  <si>
    <t>1198</t>
  </si>
  <si>
    <t>44202387635</t>
  </si>
  <si>
    <t>Min Li Yang</t>
  </si>
  <si>
    <t>6505 0666 4125 6471</t>
  </si>
  <si>
    <t>1199</t>
  </si>
  <si>
    <t>65137026409</t>
  </si>
  <si>
    <t>Jian Zhao</t>
  </si>
  <si>
    <t>4576 7460 2700 8407</t>
  </si>
  <si>
    <t>4576 7460 2262 9850</t>
  </si>
  <si>
    <t>1200</t>
  </si>
  <si>
    <t>78104756222</t>
  </si>
  <si>
    <t>Tao Sun Liu</t>
  </si>
  <si>
    <t>4576 7460 4899 4875</t>
  </si>
  <si>
    <t>1201</t>
  </si>
  <si>
    <t>92466855470</t>
  </si>
  <si>
    <t>Yan Wu</t>
  </si>
  <si>
    <t>3782 868454 5408</t>
  </si>
  <si>
    <t>1202</t>
  </si>
  <si>
    <t>11092935185</t>
  </si>
  <si>
    <t>5442 7460 9700 8606</t>
  </si>
  <si>
    <t>1203</t>
  </si>
  <si>
    <t>57858861204</t>
  </si>
  <si>
    <t>Lei Guo</t>
  </si>
  <si>
    <t>6062 8200 4296 2569</t>
  </si>
  <si>
    <t>1204</t>
  </si>
  <si>
    <t>72711139328</t>
  </si>
  <si>
    <t>Jing Wang Xu</t>
  </si>
  <si>
    <t>6062 8200 8942 5018</t>
  </si>
  <si>
    <t>1205</t>
  </si>
  <si>
    <t>45859095163</t>
  </si>
  <si>
    <t>Jian Luo Liu</t>
  </si>
  <si>
    <t>4576 7460 6153 5994</t>
  </si>
  <si>
    <t>1206</t>
  </si>
  <si>
    <t>99938797709</t>
  </si>
  <si>
    <t>3782 225077 1541</t>
  </si>
  <si>
    <t>1207</t>
  </si>
  <si>
    <t>92105933750</t>
  </si>
  <si>
    <t>Feng Lin</t>
  </si>
  <si>
    <t>4576 7460 5761 5183</t>
  </si>
  <si>
    <t>1208</t>
  </si>
  <si>
    <t>17232262205</t>
  </si>
  <si>
    <t>Fang Lin Zhu</t>
  </si>
  <si>
    <t>6062 8200 2290 8844</t>
  </si>
  <si>
    <t>6062 8200 5128 1124</t>
  </si>
  <si>
    <t>1209</t>
  </si>
  <si>
    <t>61960703803</t>
  </si>
  <si>
    <t>Min Wu</t>
  </si>
  <si>
    <t>3782 780824 8189</t>
  </si>
  <si>
    <t>3782 932483 0862</t>
  </si>
  <si>
    <t>1210</t>
  </si>
  <si>
    <t>03231668140</t>
  </si>
  <si>
    <t>Lei Zhang</t>
  </si>
  <si>
    <t>6062 8200 5811 8087</t>
  </si>
  <si>
    <t>1211</t>
  </si>
  <si>
    <t>33362406386</t>
  </si>
  <si>
    <t>Xin Luo Zhu</t>
  </si>
  <si>
    <t>4576 7460 4276 6315</t>
  </si>
  <si>
    <t>1212</t>
  </si>
  <si>
    <t>89236264816</t>
  </si>
  <si>
    <t>Bo He</t>
  </si>
  <si>
    <t>5442 7460 7281 8625</t>
  </si>
  <si>
    <t>1213</t>
  </si>
  <si>
    <t>24796980504</t>
  </si>
  <si>
    <t>Ming Chen</t>
  </si>
  <si>
    <t>4576 7460 2165 3973</t>
  </si>
  <si>
    <t>4576 7460 2849 2018</t>
  </si>
  <si>
    <t>1214</t>
  </si>
  <si>
    <t>64315351032</t>
  </si>
  <si>
    <t>Li Huang</t>
  </si>
  <si>
    <t>6505 0666 3165 5896</t>
  </si>
  <si>
    <t>1215</t>
  </si>
  <si>
    <t>32259420575</t>
  </si>
  <si>
    <t>Hui Chen Ma</t>
  </si>
  <si>
    <t>5442 7460 5836 4273</t>
  </si>
  <si>
    <t>1216</t>
  </si>
  <si>
    <t>47087312480</t>
  </si>
  <si>
    <t>Xin Zhou</t>
  </si>
  <si>
    <t>3782 638675 1364</t>
  </si>
  <si>
    <t>3782 309897 3908</t>
  </si>
  <si>
    <t>1217</t>
  </si>
  <si>
    <t>37761638446</t>
  </si>
  <si>
    <t>Bo Gao</t>
  </si>
  <si>
    <t>5442 7460 5421 4154</t>
  </si>
  <si>
    <t>5442 7460 6969 1395</t>
  </si>
  <si>
    <t>1218</t>
  </si>
  <si>
    <t>94579887018</t>
  </si>
  <si>
    <t>Fang Chen Gao</t>
  </si>
  <si>
    <t>4576 7460 3355 1020</t>
  </si>
  <si>
    <t>4576 7460 8550 0614</t>
  </si>
  <si>
    <t>1219</t>
  </si>
  <si>
    <t>36901029284</t>
  </si>
  <si>
    <t>Yan Zhu</t>
  </si>
  <si>
    <t>6505 0666 6158 8066</t>
  </si>
  <si>
    <t>1220</t>
  </si>
  <si>
    <t>20530844648</t>
  </si>
  <si>
    <t>Ming Huang</t>
  </si>
  <si>
    <t>6062 8200 4793 9745</t>
  </si>
  <si>
    <t>1221</t>
  </si>
  <si>
    <t>60395856680</t>
  </si>
  <si>
    <t>Na Hu</t>
  </si>
  <si>
    <t>6505 0666 4028 0663</t>
  </si>
  <si>
    <t>1222</t>
  </si>
  <si>
    <t>57226796406</t>
  </si>
  <si>
    <t>Mei Sasaki</t>
  </si>
  <si>
    <t>6062 8200 1794 1627</t>
  </si>
  <si>
    <t>1223</t>
  </si>
  <si>
    <t>77396833370</t>
  </si>
  <si>
    <t>Kenji Saito</t>
  </si>
  <si>
    <t>4576 7460 2872 6885</t>
  </si>
  <si>
    <t>4576 7460 5356 5038</t>
  </si>
  <si>
    <t>1224</t>
  </si>
  <si>
    <t>60231513291</t>
  </si>
  <si>
    <t>Taro Shimizu Yamamoto</t>
  </si>
  <si>
    <t>5442 7460 2927 3060</t>
  </si>
  <si>
    <t>1225</t>
  </si>
  <si>
    <t>41256605220</t>
  </si>
  <si>
    <t>Akari Tanaka</t>
  </si>
  <si>
    <t>6505 0666 1950 2613</t>
  </si>
  <si>
    <t>1226</t>
  </si>
  <si>
    <t>77023361456</t>
  </si>
  <si>
    <t>Kenji Shimizu</t>
  </si>
  <si>
    <t>6505 0666 7622 6572</t>
  </si>
  <si>
    <t>1227</t>
  </si>
  <si>
    <t>82568255706</t>
  </si>
  <si>
    <t>Kenji Sasaki</t>
  </si>
  <si>
    <t>6062 8200 7354 1614</t>
  </si>
  <si>
    <t>6062 8200 3840 6294</t>
  </si>
  <si>
    <t>1228</t>
  </si>
  <si>
    <t>25815682837</t>
  </si>
  <si>
    <t>Takumi Yoshida Kato</t>
  </si>
  <si>
    <t>6505 0666 1701 3868</t>
  </si>
  <si>
    <t>6505 0666 2475 0610</t>
  </si>
  <si>
    <t>1229</t>
  </si>
  <si>
    <t>33065057069</t>
  </si>
  <si>
    <t>Daiki Yamada</t>
  </si>
  <si>
    <t>5442 7460 7741 1085</t>
  </si>
  <si>
    <t>5442 7460 5685 8838</t>
  </si>
  <si>
    <t>1230</t>
  </si>
  <si>
    <t>15939490816</t>
  </si>
  <si>
    <t>Riku Kimura</t>
  </si>
  <si>
    <t>6505 0666 5345 8404</t>
  </si>
  <si>
    <t>1231</t>
  </si>
  <si>
    <t>21126184829</t>
  </si>
  <si>
    <t>Haruto Saito</t>
  </si>
  <si>
    <t>6505 0666 5482 4074</t>
  </si>
  <si>
    <t>1232</t>
  </si>
  <si>
    <t>03853488862</t>
  </si>
  <si>
    <t>Yui Sasaki Ito</t>
  </si>
  <si>
    <t>3782 122651 3549</t>
  </si>
  <si>
    <t>1233</t>
  </si>
  <si>
    <t>43590811625</t>
  </si>
  <si>
    <t>Hina Saito</t>
  </si>
  <si>
    <t>3782 326358 3909</t>
  </si>
  <si>
    <t>3782 791705 9701</t>
  </si>
  <si>
    <t>1234</t>
  </si>
  <si>
    <t>44514236942</t>
  </si>
  <si>
    <t>Yui Yamazaki Yamaguchi</t>
  </si>
  <si>
    <t>4576 7460 3895 4999</t>
  </si>
  <si>
    <t>1235</t>
  </si>
  <si>
    <t>63915229016</t>
  </si>
  <si>
    <t>Hina Inoue</t>
  </si>
  <si>
    <t>4576 7460 6457 8756</t>
  </si>
  <si>
    <t>4576 7460 2946 4561</t>
  </si>
  <si>
    <t>1236</t>
  </si>
  <si>
    <t>35614342230</t>
  </si>
  <si>
    <t>Mattia Rossi Moretti</t>
  </si>
  <si>
    <t>6062 8200 6057 3068</t>
  </si>
  <si>
    <t>6062 8200 9737 1723</t>
  </si>
  <si>
    <t>1237</t>
  </si>
  <si>
    <t>66145582693</t>
  </si>
  <si>
    <t>Lucia Gonzalez Benitez</t>
  </si>
  <si>
    <t>3782 915823 3178</t>
  </si>
  <si>
    <t>3782 451581 5275</t>
  </si>
  <si>
    <t>1238</t>
  </si>
  <si>
    <t>11313581046</t>
  </si>
  <si>
    <t>Agustin Rodriguez Gonzalez</t>
  </si>
  <si>
    <t>6062 8200 9309 3835</t>
  </si>
  <si>
    <t>6062 8200 1730 6094</t>
  </si>
  <si>
    <t>1239</t>
  </si>
  <si>
    <t>68776887910</t>
  </si>
  <si>
    <t>Andrea Greco</t>
  </si>
  <si>
    <t>6062 8200 7900 7360</t>
  </si>
  <si>
    <t>6062 8200 3795 8024</t>
  </si>
  <si>
    <t>1240</t>
  </si>
  <si>
    <t>90569645425</t>
  </si>
  <si>
    <t>Giorgia Conti</t>
  </si>
  <si>
    <t>6062 8200 5421 4401</t>
  </si>
  <si>
    <t>1241</t>
  </si>
  <si>
    <t>16268172000</t>
  </si>
  <si>
    <t>Danilo Barbosa</t>
  </si>
  <si>
    <t>4576 7460 2641 3343</t>
  </si>
  <si>
    <t>4576 7460 7570 3157</t>
  </si>
  <si>
    <t>1242</t>
  </si>
  <si>
    <t>32589680473</t>
  </si>
  <si>
    <t>Ignacio Aguirre Ramirez</t>
  </si>
  <si>
    <t>3782 662664 8187</t>
  </si>
  <si>
    <t>1243</t>
  </si>
  <si>
    <t>84459322765</t>
  </si>
  <si>
    <t>Jiho Shin Han</t>
  </si>
  <si>
    <t>5442 7460 4571 0171</t>
  </si>
  <si>
    <t>1244</t>
  </si>
  <si>
    <t>50285652605</t>
  </si>
  <si>
    <t>Seojun Kang</t>
  </si>
  <si>
    <t>5442 7460 8801 1977</t>
  </si>
  <si>
    <t>1245</t>
  </si>
  <si>
    <t>03185334728</t>
  </si>
  <si>
    <t>Minjun Jung</t>
  </si>
  <si>
    <t>6505 0666 7405 5212</t>
  </si>
  <si>
    <t>fat_fechada</t>
  </si>
  <si>
    <t>fat_aberta</t>
  </si>
  <si>
    <t>lim_utilizado</t>
  </si>
  <si>
    <t>lim_disponivel</t>
  </si>
  <si>
    <t>curada_uti</t>
  </si>
  <si>
    <t>FATURA_DUPLICADA</t>
  </si>
  <si>
    <t>FATURA_DUPLICADA, TRANSACAO_ORFA, TRANSACAO_ORFA, TRANSACAO_ORFA</t>
  </si>
  <si>
    <t>LIMITE_EXCEDIDO, FATURA_DUPLICADA</t>
  </si>
  <si>
    <t>TRANSACAO_ORFA, TRANSACAO_ORFA</t>
  </si>
  <si>
    <t>FATURA_DUPLICADA, TRANSACAO_ORFA</t>
  </si>
  <si>
    <t>FATURA_DUPLICADA, TRANSACAO_ORFA, TRANSACAO_ORFA, TRANSACAO_ORFA, TRANSACAO_ORFA, TRANSACAO_ORFA, TRANSACAO_ORFA, TRANSACAO_ORFA, TRANSACAO_ORFA, TRANSACAO_ORFA, TRANSACAO_ORFA</t>
  </si>
  <si>
    <t>TRANSACAO_ORFA</t>
  </si>
  <si>
    <t>LIMITE_EXCEDIDO</t>
  </si>
  <si>
    <t>TRANSACAO_ORFA, TRANSACAO_ORFA, TRANSACAO_ORFA, TRANSACAO_ORFA, TRANSACAO_ORFA, TRANSACAO_ORFA, TRANSACAO_ORFA, TRANSACAO_ORFA, TRANSACAO_ORFA, TRANSACAO_ORFA, TRANSACAO_ORFA, TRANSACAO_ORFA</t>
  </si>
  <si>
    <t>PAGAMENTO_SEM_COMPROVANTE</t>
  </si>
  <si>
    <t>FATURA_ABERTA_MES_DIVERGENTE_CORRIGIDO</t>
  </si>
  <si>
    <t>LIMITE_EXCEDIDO, FATURA_ABERTA_MES_DIVERGENTE_CORRIGIDO</t>
  </si>
  <si>
    <t>TRANSACAO_ORFA, TRANSACAO_ORFA, TRANSACAO_ORFA, ENCARGOS_ORFAOS_REGERADOS, ENCARGOS_ORFAOS_REGERADOS</t>
  </si>
  <si>
    <t>TRANSACAO_ORFA, PAGAMENTO_SEM_COMPROVANTE</t>
  </si>
  <si>
    <t>TRANSACAO_ORFA, FATURA_ABERTA_MES_DIVERGENTE_CORRIGIDO</t>
  </si>
  <si>
    <t>TRANSACAO_ORFA, TRANSACAO_ORFA, ENCARGOS_ORFAOS_REGERADOS</t>
  </si>
  <si>
    <t>TRANSACAO_ORFA, TRANSACAO_ORFA, TRANSACAO_ORFA, ENCARGOS_ORFAOS_REGERADOS</t>
  </si>
  <si>
    <t>TRANSACAO_ORFA, TRANSACAO_ORFA, ENCARGOS_ORFAOS_REGERADOS, FATURA_ABERTA_MES_DIVERGENTE_CORRIGIDO</t>
  </si>
  <si>
    <t>PAGO_TOTAL</t>
  </si>
  <si>
    <t>PAGO_MIN</t>
  </si>
  <si>
    <t>PAGO_PARCIAL</t>
  </si>
  <si>
    <t>VIGENTE</t>
  </si>
  <si>
    <t>1246</t>
  </si>
  <si>
    <t>10424896028</t>
  </si>
  <si>
    <t>Ines Bertrand</t>
  </si>
  <si>
    <t>5442 7460 5008 1666</t>
  </si>
  <si>
    <t>5442 7460 3800 6098</t>
  </si>
  <si>
    <t>1247</t>
  </si>
  <si>
    <t>38546908192</t>
  </si>
  <si>
    <t>Lea Lambert</t>
  </si>
  <si>
    <t>6505 0666 3442 4399</t>
  </si>
  <si>
    <t>6505 0666 9770 3247</t>
  </si>
  <si>
    <t>1248</t>
  </si>
  <si>
    <t>45351147491</t>
  </si>
  <si>
    <t>Louise Leroy</t>
  </si>
  <si>
    <t>3782 821905 4386</t>
  </si>
  <si>
    <t>1249</t>
  </si>
  <si>
    <t>89218146807</t>
  </si>
  <si>
    <t>Camille Girard Fournier</t>
  </si>
  <si>
    <t>6505 0666 2224 2870</t>
  </si>
  <si>
    <t>1250</t>
  </si>
  <si>
    <t>16440859099</t>
  </si>
  <si>
    <t>Jade Michel Morel</t>
  </si>
  <si>
    <t>6505 0666 5619 7514</t>
  </si>
  <si>
    <t>6505 0666 4833 8803</t>
  </si>
  <si>
    <t>1251</t>
  </si>
  <si>
    <t>61985637405</t>
  </si>
  <si>
    <t>Camille Dubois</t>
  </si>
  <si>
    <t>6505 0666 4387 1331</t>
  </si>
  <si>
    <t>1252</t>
  </si>
  <si>
    <t>50683273604</t>
  </si>
  <si>
    <t>Jean Dubois Fontaine</t>
  </si>
  <si>
    <t>5442 7460 1188 0366</t>
  </si>
  <si>
    <t>5442 7460 9709 5587</t>
  </si>
  <si>
    <t>1253</t>
  </si>
  <si>
    <t>09703349668</t>
  </si>
  <si>
    <t>Chloe Martin Michel</t>
  </si>
  <si>
    <t>6062 8200 7683 2423</t>
  </si>
  <si>
    <t>1254</t>
  </si>
  <si>
    <t>12028034742</t>
  </si>
  <si>
    <t>Jules Dupont</t>
  </si>
  <si>
    <t>5442 7460 5196 9506</t>
  </si>
  <si>
    <t>1255</t>
  </si>
  <si>
    <t>68646821617</t>
  </si>
  <si>
    <t>Hugo Morel</t>
  </si>
  <si>
    <t>6505 0666 3461 0521</t>
  </si>
  <si>
    <t>1256</t>
  </si>
  <si>
    <t>28701853244</t>
  </si>
  <si>
    <t>Hugo Bonnet</t>
  </si>
  <si>
    <t>6505 0666 4355 1246</t>
  </si>
  <si>
    <t>1257</t>
  </si>
  <si>
    <t>83518088904</t>
  </si>
  <si>
    <t>Ines Bernard</t>
  </si>
  <si>
    <t>5442 7460 2891 7847</t>
  </si>
  <si>
    <t>1258</t>
  </si>
  <si>
    <t>52740394489</t>
  </si>
  <si>
    <t>Arthur Bonnet</t>
  </si>
  <si>
    <t>6062 8200 3221 3983</t>
  </si>
  <si>
    <t>1259</t>
  </si>
  <si>
    <t>82316485421</t>
  </si>
  <si>
    <t>Camille Fournier Moreau</t>
  </si>
  <si>
    <t>6062 8200 4071 6284</t>
  </si>
  <si>
    <t>6062 8200 1152 3426</t>
  </si>
  <si>
    <t>1260</t>
  </si>
  <si>
    <t>67328794054</t>
  </si>
  <si>
    <t>Zoe Bernard</t>
  </si>
  <si>
    <t>3782 730287 9701</t>
  </si>
  <si>
    <t>3782 438994 9505</t>
  </si>
  <si>
    <t>1261</t>
  </si>
  <si>
    <t>01225161924</t>
  </si>
  <si>
    <t>Jade David</t>
  </si>
  <si>
    <t>6505 0666 9833 1326</t>
  </si>
  <si>
    <t>1262</t>
  </si>
  <si>
    <t>21275975593</t>
  </si>
  <si>
    <t>Camille Bonnet Martin</t>
  </si>
  <si>
    <t>6505 0666 6772 8976</t>
  </si>
  <si>
    <t>1263</t>
  </si>
  <si>
    <t>18644594680</t>
  </si>
  <si>
    <t>Sarah Fournier</t>
  </si>
  <si>
    <t>3782 563466 1703</t>
  </si>
  <si>
    <t>3782 623644 9199</t>
  </si>
  <si>
    <t>1264</t>
  </si>
  <si>
    <t>91854527266</t>
  </si>
  <si>
    <t>Arthur Vincent</t>
  </si>
  <si>
    <t>4576 7460 8392 8194</t>
  </si>
  <si>
    <t>1265</t>
  </si>
  <si>
    <t>67237338439</t>
  </si>
  <si>
    <t>Emma Fournier</t>
  </si>
  <si>
    <t>4576 7460 7149 4515</t>
  </si>
  <si>
    <t>1266</t>
  </si>
  <si>
    <t>06689718000</t>
  </si>
  <si>
    <t>Jean Dubois</t>
  </si>
  <si>
    <t>6062 8200 5944 6574</t>
  </si>
  <si>
    <t>1267</t>
  </si>
  <si>
    <t>86754163500</t>
  </si>
  <si>
    <t>Lucas Martin</t>
  </si>
  <si>
    <t>6505 0666 9804 4743</t>
  </si>
  <si>
    <t>1268</t>
  </si>
  <si>
    <t>76021727797</t>
  </si>
  <si>
    <t>Hugo Bernard</t>
  </si>
  <si>
    <t>5442 7460 5654 2235</t>
  </si>
  <si>
    <t>5442 7460 1478 9356</t>
  </si>
  <si>
    <t>1269</t>
  </si>
  <si>
    <t>98157570328</t>
  </si>
  <si>
    <t>Jean Girard</t>
  </si>
  <si>
    <t>6505 0666 2234 8886</t>
  </si>
  <si>
    <t>1270</t>
  </si>
  <si>
    <t>98020514384</t>
  </si>
  <si>
    <t>Chloe Martin</t>
  </si>
  <si>
    <t>5442 7460 6750 0855</t>
  </si>
  <si>
    <t>5442 7460 4565 1183</t>
  </si>
  <si>
    <t>1271</t>
  </si>
  <si>
    <t>14904252179</t>
  </si>
  <si>
    <t>Jules Morel</t>
  </si>
  <si>
    <t>3782 859635 1473</t>
  </si>
  <si>
    <t>1272</t>
  </si>
  <si>
    <t>68917679544</t>
  </si>
  <si>
    <t>Lucas Morel</t>
  </si>
  <si>
    <t>3782 436161 1313</t>
  </si>
  <si>
    <t>1273</t>
  </si>
  <si>
    <t>88471689103</t>
  </si>
  <si>
    <t>Jade Simon</t>
  </si>
  <si>
    <t>6505 0666 4228 5429</t>
  </si>
  <si>
    <t>1274</t>
  </si>
  <si>
    <t>74923620056</t>
  </si>
  <si>
    <t>Jean Lefebvre</t>
  </si>
  <si>
    <t>6062 8200 4037 7435</t>
  </si>
  <si>
    <t>1275</t>
  </si>
  <si>
    <t>19974186226</t>
  </si>
  <si>
    <t>Thomas Fontaine</t>
  </si>
  <si>
    <t>3782 115491 5377</t>
  </si>
  <si>
    <t>1276</t>
  </si>
  <si>
    <t>03973500070</t>
  </si>
  <si>
    <t>Jade Fournier</t>
  </si>
  <si>
    <t>6505 0666 8952 6109</t>
  </si>
  <si>
    <t>1277</t>
  </si>
  <si>
    <t>41930726490</t>
  </si>
  <si>
    <t>Manon Leroy Bernard</t>
  </si>
  <si>
    <t>6062 8200 8394 2440</t>
  </si>
  <si>
    <t>1278</t>
  </si>
  <si>
    <t>33327581797</t>
  </si>
  <si>
    <t>Chloe Dubois Moreau</t>
  </si>
  <si>
    <t>5442 7460 4988 9806</t>
  </si>
  <si>
    <t>1279</t>
  </si>
  <si>
    <t>94909356207</t>
  </si>
  <si>
    <t>5442 7460 1862 0464</t>
  </si>
  <si>
    <t>5442 7460 7109 5795</t>
  </si>
  <si>
    <t>1280</t>
  </si>
  <si>
    <t>54427855393</t>
  </si>
  <si>
    <t>Thomas Girard</t>
  </si>
  <si>
    <t>4576 7460 5774 3964</t>
  </si>
  <si>
    <t>4576 7460 1699 1764</t>
  </si>
  <si>
    <t>1281</t>
  </si>
  <si>
    <t>54234474886</t>
  </si>
  <si>
    <t>Gabriel David Fontaine</t>
  </si>
  <si>
    <t>3782 519302 7936</t>
  </si>
  <si>
    <t>3782 402449 5871</t>
  </si>
  <si>
    <t>1282</t>
  </si>
  <si>
    <t>14868276166</t>
  </si>
  <si>
    <t>3782 986276 6739</t>
  </si>
  <si>
    <t>1283</t>
  </si>
  <si>
    <t>54360125402</t>
  </si>
  <si>
    <t>Louise Bertrand</t>
  </si>
  <si>
    <t>4576 7460 2852 6038</t>
  </si>
  <si>
    <t>1284</t>
  </si>
  <si>
    <t>98129553058</t>
  </si>
  <si>
    <t>Jean Morel</t>
  </si>
  <si>
    <t>3782 957264 8783</t>
  </si>
  <si>
    <t>1285</t>
  </si>
  <si>
    <t>49213216556</t>
  </si>
  <si>
    <t>Jean Simon</t>
  </si>
  <si>
    <t>4576 7460 3031 9452</t>
  </si>
  <si>
    <t>1286</t>
  </si>
  <si>
    <t>20354808176</t>
  </si>
  <si>
    <t>Ines Michel</t>
  </si>
  <si>
    <t>3782 372598 9123</t>
  </si>
  <si>
    <t>1287</t>
  </si>
  <si>
    <t>75763726480</t>
  </si>
  <si>
    <t>Arthur Bertrand</t>
  </si>
  <si>
    <t>4576 7460 6116 5473</t>
  </si>
  <si>
    <t>1288</t>
  </si>
  <si>
    <t>38588493322</t>
  </si>
  <si>
    <t>Sarah Fontaine</t>
  </si>
  <si>
    <t>6062 8200 8275 2302</t>
  </si>
  <si>
    <t>6062 8200 5872 3836</t>
  </si>
  <si>
    <t>1289</t>
  </si>
  <si>
    <t>31693344505</t>
  </si>
  <si>
    <t>Jade Bertrand</t>
  </si>
  <si>
    <t>5442 7460 7475 5536</t>
  </si>
  <si>
    <t>1290</t>
  </si>
  <si>
    <t>97902019747</t>
  </si>
  <si>
    <t>Louise Lefebvre Roux</t>
  </si>
  <si>
    <t>4576 7460 7310 7740</t>
  </si>
  <si>
    <t>1291</t>
  </si>
  <si>
    <t>56370708739</t>
  </si>
  <si>
    <t>Ines Vincent</t>
  </si>
  <si>
    <t>6062 8200 8392 5328</t>
  </si>
  <si>
    <t>1292</t>
  </si>
  <si>
    <t>74422694278</t>
  </si>
  <si>
    <t>Louise David</t>
  </si>
  <si>
    <t>6062 8200 9099 3594</t>
  </si>
  <si>
    <t>6062 8200 2379 9098</t>
  </si>
  <si>
    <t>1293</t>
  </si>
  <si>
    <t>41889781398</t>
  </si>
  <si>
    <t>Louise Fontaine</t>
  </si>
  <si>
    <t>4576 7460 6652 5145</t>
  </si>
  <si>
    <t>1294</t>
  </si>
  <si>
    <t>73012838228</t>
  </si>
  <si>
    <t>Louis Bernard Laurent</t>
  </si>
  <si>
    <t>3782 225175 5993</t>
  </si>
  <si>
    <t>1295</t>
  </si>
  <si>
    <t>28758092889</t>
  </si>
  <si>
    <t>5442 7460 7150 1902</t>
  </si>
  <si>
    <t>1296</t>
  </si>
  <si>
    <t>47921114806</t>
  </si>
  <si>
    <t>4576 7460 7159 2417</t>
  </si>
  <si>
    <t>4576 7460 9546 4121</t>
  </si>
  <si>
    <t>1297</t>
  </si>
  <si>
    <t>87488631226</t>
  </si>
  <si>
    <t>Gabriel David Morel</t>
  </si>
  <si>
    <t>3782 452595 1493</t>
  </si>
  <si>
    <t>3782 519559 3219</t>
  </si>
  <si>
    <t>1298</t>
  </si>
  <si>
    <t>72155568592</t>
  </si>
  <si>
    <t>Louis Lambert</t>
  </si>
  <si>
    <t>5442 7460 4327 9798</t>
  </si>
  <si>
    <t>1299</t>
  </si>
  <si>
    <t>95517481078</t>
  </si>
  <si>
    <t>Emma Bertrand</t>
  </si>
  <si>
    <t>5442 7460 5982 7751</t>
  </si>
  <si>
    <t>1300</t>
  </si>
  <si>
    <t>76487516155</t>
  </si>
  <si>
    <t>Jules Bernard</t>
  </si>
  <si>
    <t>4576 7460 6464 0051</t>
  </si>
  <si>
    <t>1301</t>
  </si>
  <si>
    <t>28046226300</t>
  </si>
  <si>
    <t>Leonardo Araujo Barbosa</t>
  </si>
  <si>
    <t>4576 7460 8639 5547</t>
  </si>
  <si>
    <t>4576 7460 3076 7856</t>
  </si>
  <si>
    <t>1302</t>
  </si>
  <si>
    <t>94972948833</t>
  </si>
  <si>
    <t>Eduardo Silva</t>
  </si>
  <si>
    <t>4576 7460 7890 2512</t>
  </si>
  <si>
    <t>1303</t>
  </si>
  <si>
    <t>34013028506</t>
  </si>
  <si>
    <t>Juliana Almeida</t>
  </si>
  <si>
    <t>5442 7460 5906 9182</t>
  </si>
  <si>
    <t>1304</t>
  </si>
  <si>
    <t>90917289730</t>
  </si>
  <si>
    <t>Debora Almeida</t>
  </si>
  <si>
    <t>4576 7460 9000 0179</t>
  </si>
  <si>
    <t>4576 7460 3792 2732</t>
  </si>
  <si>
    <t>1305</t>
  </si>
  <si>
    <t>75579917457</t>
  </si>
  <si>
    <t>Lucas Teixeira Dias</t>
  </si>
  <si>
    <t>6505 0666 1485 1798</t>
  </si>
  <si>
    <t>6505 0666 8614 3959</t>
  </si>
  <si>
    <t>1306</t>
  </si>
  <si>
    <t>07451017044</t>
  </si>
  <si>
    <t>Gabriela Costa Alves</t>
  </si>
  <si>
    <t>3782 186329 7226</t>
  </si>
  <si>
    <t>1307</t>
  </si>
  <si>
    <t>94518914201</t>
  </si>
  <si>
    <t>Debora Alves Santos</t>
  </si>
  <si>
    <t>5442 7460 6099 0972</t>
  </si>
  <si>
    <t>5442 7460 7615 0596</t>
  </si>
  <si>
    <t>1308</t>
  </si>
  <si>
    <t>46588250070</t>
  </si>
  <si>
    <t>Isabela Monteiro</t>
  </si>
  <si>
    <t>5442 7460 8427 0105</t>
  </si>
  <si>
    <t>1309</t>
  </si>
  <si>
    <t>60772129118</t>
  </si>
  <si>
    <t>6505 0666 6340 9962</t>
  </si>
  <si>
    <t>1310</t>
  </si>
  <si>
    <t>80902100661</t>
  </si>
  <si>
    <t>Diego Araujo Teixeira</t>
  </si>
  <si>
    <t>6505 0666 8543 9826</t>
  </si>
  <si>
    <t>1311</t>
  </si>
  <si>
    <t>66202527102</t>
  </si>
  <si>
    <t>Sabrina Ribeiro Fernandes</t>
  </si>
  <si>
    <t>6062 8200 1918 9665</t>
  </si>
  <si>
    <t>6062 8200 2508 5207</t>
  </si>
  <si>
    <t>1312</t>
  </si>
  <si>
    <t>60040338550</t>
  </si>
  <si>
    <t>Aline Monteiro</t>
  </si>
  <si>
    <t>5442 7460 6478 9156</t>
  </si>
  <si>
    <t>1313</t>
  </si>
  <si>
    <t>83530009032</t>
  </si>
  <si>
    <t>Vivian Barbosa</t>
  </si>
  <si>
    <t>4576 7460 7626 9864</t>
  </si>
  <si>
    <t>1314</t>
  </si>
  <si>
    <t>34601489423</t>
  </si>
  <si>
    <t>Bianca Costa</t>
  </si>
  <si>
    <t>3782 808212 6517</t>
  </si>
  <si>
    <t>3782 945586 5224</t>
  </si>
  <si>
    <t>1315</t>
  </si>
  <si>
    <t>71745778306</t>
  </si>
  <si>
    <t>Leandro Gomes Almeida</t>
  </si>
  <si>
    <t>3782 978853 1763</t>
  </si>
  <si>
    <t>1316</t>
  </si>
  <si>
    <t>57650116670</t>
  </si>
  <si>
    <t>Marcelo Vieira Moura</t>
  </si>
  <si>
    <t>6062 8200 6859 8321</t>
  </si>
  <si>
    <t>6062 8200 2448 4222</t>
  </si>
  <si>
    <t>1317</t>
  </si>
  <si>
    <t>41263253792</t>
  </si>
  <si>
    <t>Juliana Freitas Araujo</t>
  </si>
  <si>
    <t>4576 7460 3788 1093</t>
  </si>
  <si>
    <t>1318</t>
  </si>
  <si>
    <t>60045391980</t>
  </si>
  <si>
    <t>Marcelo Borges Gomes</t>
  </si>
  <si>
    <t>3782 569582 6308</t>
  </si>
  <si>
    <t>1319</t>
  </si>
  <si>
    <t>20255670222</t>
  </si>
  <si>
    <t>Gabriela Moura</t>
  </si>
  <si>
    <t>6505 0666 2979 6034</t>
  </si>
  <si>
    <t>1320</t>
  </si>
  <si>
    <t>73137558301</t>
  </si>
  <si>
    <t>Fabio Campos Araujo</t>
  </si>
  <si>
    <t>4576 7460 2344 5348</t>
  </si>
  <si>
    <t>4576 7460 4348 0306</t>
  </si>
  <si>
    <t>1321</t>
  </si>
  <si>
    <t>18536058757</t>
  </si>
  <si>
    <t>Camila Castro Fernandes</t>
  </si>
  <si>
    <t>6062 8200 7762 4659</t>
  </si>
  <si>
    <t>1322</t>
  </si>
  <si>
    <t>21555939104</t>
  </si>
  <si>
    <t>Gabriel Oliveira Carvalho</t>
  </si>
  <si>
    <t>4576 7460 5723 0157</t>
  </si>
  <si>
    <t>4576 7460 5449 2717</t>
  </si>
  <si>
    <t>1323</t>
  </si>
  <si>
    <t>98301272228</t>
  </si>
  <si>
    <t>Gustavo Nascimento Araujo</t>
  </si>
  <si>
    <t>6062 8200 3817 1575</t>
  </si>
  <si>
    <t>1324</t>
  </si>
  <si>
    <t>80308777654</t>
  </si>
  <si>
    <t>Patricia Almeida</t>
  </si>
  <si>
    <t>4576 7460 6467 0120</t>
  </si>
  <si>
    <t>4576 7460 9251 2974</t>
  </si>
  <si>
    <t>1325</t>
  </si>
  <si>
    <t>60982161000</t>
  </si>
  <si>
    <t>Thiago Silva Pinto</t>
  </si>
  <si>
    <t>4576 7460 3776 3529</t>
  </si>
  <si>
    <t>4576 7460 1128 8046</t>
  </si>
  <si>
    <t>1326</t>
  </si>
  <si>
    <t>83132219924</t>
  </si>
  <si>
    <t>Sabrina Rocha</t>
  </si>
  <si>
    <t>4576 7460 7749 9625</t>
  </si>
  <si>
    <t>1327</t>
  </si>
  <si>
    <t>35717904304</t>
  </si>
  <si>
    <t>Leonardo Campos</t>
  </si>
  <si>
    <t>5442 7460 8618 8119</t>
  </si>
  <si>
    <t>1328</t>
  </si>
  <si>
    <t>95989501072</t>
  </si>
  <si>
    <t>Sabrina Lima Castro</t>
  </si>
  <si>
    <t>6062 8200 2478 8604</t>
  </si>
  <si>
    <t>1329</t>
  </si>
  <si>
    <t>73874343286</t>
  </si>
  <si>
    <t>Fernanda Pereira</t>
  </si>
  <si>
    <t>6505 0666 6723 1404</t>
  </si>
  <si>
    <t>1330</t>
  </si>
  <si>
    <t>14571590156</t>
  </si>
  <si>
    <t>Carolina Nascimento Silva</t>
  </si>
  <si>
    <t>6062 8200 6117 0313</t>
  </si>
  <si>
    <t>1331</t>
  </si>
  <si>
    <t>08833365026</t>
  </si>
  <si>
    <t>6062 8200 4884 2123</t>
  </si>
  <si>
    <t>1332</t>
  </si>
  <si>
    <t>88289613172</t>
  </si>
  <si>
    <t>Guilherme Nunes Araujo</t>
  </si>
  <si>
    <t>3782 704044 9468</t>
  </si>
  <si>
    <t>3782 962212 5405</t>
  </si>
  <si>
    <t>1333</t>
  </si>
  <si>
    <t>86993334712</t>
  </si>
  <si>
    <t>Guilherme Lima Santos</t>
  </si>
  <si>
    <t>3782 721577 2023</t>
  </si>
  <si>
    <t>1334</t>
  </si>
  <si>
    <t>03275873695</t>
  </si>
  <si>
    <t>Vanessa Mendes Monteiro</t>
  </si>
  <si>
    <t>6062 8200 8803 5720</t>
  </si>
  <si>
    <t>6062 8200 8209 8343</t>
  </si>
  <si>
    <t>1335</t>
  </si>
  <si>
    <t>74894658500</t>
  </si>
  <si>
    <t>Larissa Souza Costa</t>
  </si>
  <si>
    <t>6505 0666 1320 5036</t>
  </si>
  <si>
    <t>6505 0666 9523 1067</t>
  </si>
  <si>
    <t>1336</t>
  </si>
  <si>
    <t>00023975601</t>
  </si>
  <si>
    <t>Gustavo Almeida Vieira</t>
  </si>
  <si>
    <t>4576 7460 9372 7023</t>
  </si>
  <si>
    <t>4576 7460 6105 3806</t>
  </si>
  <si>
    <t>1337</t>
  </si>
  <si>
    <t>16635315284</t>
  </si>
  <si>
    <t>Juliana Fernandes Freitas</t>
  </si>
  <si>
    <t>6062 8200 9032 3986</t>
  </si>
  <si>
    <t>1338</t>
  </si>
  <si>
    <t>05823227078</t>
  </si>
  <si>
    <t>Gabriel Monteiro</t>
  </si>
  <si>
    <t>5442 7460 3537 5196</t>
  </si>
  <si>
    <t>1339</t>
  </si>
  <si>
    <t>95301704400</t>
  </si>
  <si>
    <t>Tatiane Barbosa</t>
  </si>
  <si>
    <t>3782 469398 1675</t>
  </si>
  <si>
    <t>1340</t>
  </si>
  <si>
    <t>31221851217</t>
  </si>
  <si>
    <t>Rafael Santos Lima</t>
  </si>
  <si>
    <t>6062 8200 1581 5823</t>
  </si>
  <si>
    <t>1341</t>
  </si>
  <si>
    <t>16672446800</t>
  </si>
  <si>
    <t>Camila Monteiro</t>
  </si>
  <si>
    <t>5442 7460 9834 0440</t>
  </si>
  <si>
    <t>1342</t>
  </si>
  <si>
    <t>18339010883</t>
  </si>
  <si>
    <t>6062 8200 3651 5349</t>
  </si>
  <si>
    <t>1343</t>
  </si>
  <si>
    <t>78600022487</t>
  </si>
  <si>
    <t>Danilo Cavalcanti Borges</t>
  </si>
  <si>
    <t>6062 8200 8583 2076</t>
  </si>
  <si>
    <t>6062 8200 2730 9983</t>
  </si>
  <si>
    <t>1344</t>
  </si>
  <si>
    <t>22735312143</t>
  </si>
  <si>
    <t>Eduardo Rodrigues Nunes</t>
  </si>
  <si>
    <t>4576 7460 8550 9391</t>
  </si>
  <si>
    <t>1345</t>
  </si>
  <si>
    <t>95139875071</t>
  </si>
  <si>
    <t>Rafael Cavalcanti Fernandes</t>
  </si>
  <si>
    <t>5442 7460 1580 0320</t>
  </si>
  <si>
    <t>5442 7460 5463 1948</t>
  </si>
  <si>
    <t>1346</t>
  </si>
  <si>
    <t>97860040603</t>
  </si>
  <si>
    <t>Bruno Pinto Silva</t>
  </si>
  <si>
    <t>5442 7460 6505 1294</t>
  </si>
  <si>
    <t>1347</t>
  </si>
  <si>
    <t>01602978778</t>
  </si>
  <si>
    <t>Thiago Castro</t>
  </si>
  <si>
    <t>6505 0666 6811 4822</t>
  </si>
  <si>
    <t>6505 0666 6136 7025</t>
  </si>
  <si>
    <t>1348</t>
  </si>
  <si>
    <t>77111648900</t>
  </si>
  <si>
    <t>Jessica Silva Carvalho</t>
  </si>
  <si>
    <t>3782 134817 3019</t>
  </si>
  <si>
    <t>1349</t>
  </si>
  <si>
    <t>75631033925</t>
  </si>
  <si>
    <t>Marcelo Souza Moreira</t>
  </si>
  <si>
    <t>3782 485630 5852</t>
  </si>
  <si>
    <t>1350</t>
  </si>
  <si>
    <t>69092128864</t>
  </si>
  <si>
    <t>Vivian Moura Dias</t>
  </si>
  <si>
    <t>6062 8200 3331 5870</t>
  </si>
  <si>
    <t>6062 8200 4678 8101</t>
  </si>
  <si>
    <t>1351</t>
  </si>
  <si>
    <t>14475637600</t>
  </si>
  <si>
    <t>Ren Yamada</t>
  </si>
  <si>
    <t>5442 7460 7521 7899</t>
  </si>
  <si>
    <t>5442 7460 1695 1494</t>
  </si>
  <si>
    <t>1352</t>
  </si>
  <si>
    <t>78906497709</t>
  </si>
  <si>
    <t>Sota Kimura</t>
  </si>
  <si>
    <t>3782 253127 0149</t>
  </si>
  <si>
    <t>1353</t>
  </si>
  <si>
    <t>99150375970</t>
  </si>
  <si>
    <t>Aoi Kato Matsumoto</t>
  </si>
  <si>
    <t>6505 0666 1318 3378</t>
  </si>
  <si>
    <t>1354</t>
  </si>
  <si>
    <t>33556569922</t>
  </si>
  <si>
    <t>Hina Yamada</t>
  </si>
  <si>
    <t>4576 7460 5342 2305</t>
  </si>
  <si>
    <t>4576 7460 3708 7135</t>
  </si>
  <si>
    <t>1355</t>
  </si>
  <si>
    <t>00535826320</t>
  </si>
  <si>
    <t>Sakura Shimizu</t>
  </si>
  <si>
    <t>6062 8200 2696 2118</t>
  </si>
  <si>
    <t>1356</t>
  </si>
  <si>
    <t>83247222383</t>
  </si>
  <si>
    <t>Rio Yamamoto</t>
  </si>
  <si>
    <t>6505 0666 5188 9314</t>
  </si>
  <si>
    <t>1357</t>
  </si>
  <si>
    <t>28315538730</t>
  </si>
  <si>
    <t>Nana Kato</t>
  </si>
  <si>
    <t>5442 7460 3533 4433</t>
  </si>
  <si>
    <t>1358</t>
  </si>
  <si>
    <t>11674112939</t>
  </si>
  <si>
    <t>Yui Kobayashi</t>
  </si>
  <si>
    <t>6062 8200 9817 2977</t>
  </si>
  <si>
    <t>1359</t>
  </si>
  <si>
    <t>93224731931</t>
  </si>
  <si>
    <t>Ren Kato</t>
  </si>
  <si>
    <t>3782 936362 6915</t>
  </si>
  <si>
    <t>3782 373513 5622</t>
  </si>
  <si>
    <t>1360</t>
  </si>
  <si>
    <t>27465813964</t>
  </si>
  <si>
    <t>Aoi Yamazaki</t>
  </si>
  <si>
    <t>6062 8200 6731 4381</t>
  </si>
  <si>
    <t>1361</t>
  </si>
  <si>
    <t>38931669801</t>
  </si>
  <si>
    <t>Ren Watanabe Saito</t>
  </si>
  <si>
    <t>3782 632423 3099</t>
  </si>
  <si>
    <t>1362</t>
  </si>
  <si>
    <t>44016225701</t>
  </si>
  <si>
    <t>Kaito Yamazaki</t>
  </si>
  <si>
    <t>6505 0666 9282 9022</t>
  </si>
  <si>
    <t>6505 0666 5074 5318</t>
  </si>
  <si>
    <t>1363</t>
  </si>
  <si>
    <t>37489248108</t>
  </si>
  <si>
    <t>Ren Yoshida</t>
  </si>
  <si>
    <t>4576 7460 7765 2437</t>
  </si>
  <si>
    <t>1364</t>
  </si>
  <si>
    <t>10551804513</t>
  </si>
  <si>
    <t>Akari Kobayashi</t>
  </si>
  <si>
    <t>5442 7460 1835 8850</t>
  </si>
  <si>
    <t>1365</t>
  </si>
  <si>
    <t>38989339030</t>
  </si>
  <si>
    <t>Hanako Yoshida</t>
  </si>
  <si>
    <t>6505 0666 5368 2739</t>
  </si>
  <si>
    <t>1366</t>
  </si>
  <si>
    <t>58711445513</t>
  </si>
  <si>
    <t>Taro Hayashi Yamada</t>
  </si>
  <si>
    <t>6062 8200 7522 8019</t>
  </si>
  <si>
    <t>1367</t>
  </si>
  <si>
    <t>88478454756</t>
  </si>
  <si>
    <t>Sakura Kobayashi</t>
  </si>
  <si>
    <t>4576 7460 3361 7323</t>
  </si>
  <si>
    <t>1368</t>
  </si>
  <si>
    <t>94944224060</t>
  </si>
  <si>
    <t>Sakura Matsumoto</t>
  </si>
  <si>
    <t>3782 758809 3303</t>
  </si>
  <si>
    <t>1369</t>
  </si>
  <si>
    <t>86563088155</t>
  </si>
  <si>
    <t>Hiroshi Yamaguchi</t>
  </si>
  <si>
    <t>4576 7460 9972 7234</t>
  </si>
  <si>
    <t>1370</t>
  </si>
  <si>
    <t>81130739651</t>
  </si>
  <si>
    <t>Hanako Ito</t>
  </si>
  <si>
    <t>6062 8200 9516 9480</t>
  </si>
  <si>
    <t>1371</t>
  </si>
  <si>
    <t>43283480435</t>
  </si>
  <si>
    <t>3782 716518 4210</t>
  </si>
  <si>
    <t>1372</t>
  </si>
  <si>
    <t>58981116547</t>
  </si>
  <si>
    <t>Daiki Yamazaki</t>
  </si>
  <si>
    <t>3782 124827 5443</t>
  </si>
  <si>
    <t>1373</t>
  </si>
  <si>
    <t>58704560965</t>
  </si>
  <si>
    <t>Hiroshi Matsumoto</t>
  </si>
  <si>
    <t>3782 629052 4447</t>
  </si>
  <si>
    <t>3782 715950 4320</t>
  </si>
  <si>
    <t>1374</t>
  </si>
  <si>
    <t>81137599308</t>
  </si>
  <si>
    <t>Yuki Kimura</t>
  </si>
  <si>
    <t>6505 0666 1068 5041</t>
  </si>
  <si>
    <t>1375</t>
  </si>
  <si>
    <t>16885060801</t>
  </si>
  <si>
    <t>Akari Kato</t>
  </si>
  <si>
    <t>6505 0666 5908 4660</t>
  </si>
  <si>
    <t>1376</t>
  </si>
  <si>
    <t>69089279385</t>
  </si>
  <si>
    <t>Hina Yamamoto Watanabe</t>
  </si>
  <si>
    <t>6505 0666 4577 4885</t>
  </si>
  <si>
    <t>1377</t>
  </si>
  <si>
    <t>36155207852</t>
  </si>
  <si>
    <t>Nana Tanaka</t>
  </si>
  <si>
    <t>3782 761195 2636</t>
  </si>
  <si>
    <t>3782 792304 2702</t>
  </si>
  <si>
    <t>1378</t>
  </si>
  <si>
    <t>77237265202</t>
  </si>
  <si>
    <t>Kaito Kato</t>
  </si>
  <si>
    <t>5442 7460 7168 9097</t>
  </si>
  <si>
    <t>1379</t>
  </si>
  <si>
    <t>10199243735</t>
  </si>
  <si>
    <t>Hiroshi Takahashi Inoue</t>
  </si>
  <si>
    <t>6505 0666 9118 2964</t>
  </si>
  <si>
    <t>1380</t>
  </si>
  <si>
    <t>97380693433</t>
  </si>
  <si>
    <t>Hina Nakamura Sato</t>
  </si>
  <si>
    <t>5442 7460 9716 9190</t>
  </si>
  <si>
    <t>1381</t>
  </si>
  <si>
    <t>87801178130</t>
  </si>
  <si>
    <t>Kaito Watanabe</t>
  </si>
  <si>
    <t>6505 0666 2464 3076</t>
  </si>
  <si>
    <t>1382</t>
  </si>
  <si>
    <t>84664743823</t>
  </si>
  <si>
    <t>3782 378509 7213</t>
  </si>
  <si>
    <t>1383</t>
  </si>
  <si>
    <t>41797159704</t>
  </si>
  <si>
    <t>Haruto Kobayashi Yamazaki</t>
  </si>
  <si>
    <t>6505 0666 6876 0547</t>
  </si>
  <si>
    <t>1384</t>
  </si>
  <si>
    <t>90492713081</t>
  </si>
  <si>
    <t>Yuki Yamada</t>
  </si>
  <si>
    <t>3782 276780 8133</t>
  </si>
  <si>
    <t>3782 169139 5850</t>
  </si>
  <si>
    <t>1385</t>
  </si>
  <si>
    <t>54358930891</t>
  </si>
  <si>
    <t>Hanako Hayashi</t>
  </si>
  <si>
    <t>6505 0666 5678 0851</t>
  </si>
  <si>
    <t>6505 0666 8293 2636</t>
  </si>
  <si>
    <t>1386</t>
  </si>
  <si>
    <t>14957021627</t>
  </si>
  <si>
    <t>Hina Sato</t>
  </si>
  <si>
    <t>4576 7460 7188 1535</t>
  </si>
  <si>
    <t>1387</t>
  </si>
  <si>
    <t>19573622947</t>
  </si>
  <si>
    <t>Kaito Nakamura</t>
  </si>
  <si>
    <t>6505 0666 4282 7509</t>
  </si>
  <si>
    <t>1388</t>
  </si>
  <si>
    <t>78650073883</t>
  </si>
  <si>
    <t>Taro Yamamoto</t>
  </si>
  <si>
    <t>3782 388990 6867</t>
  </si>
  <si>
    <t>1389</t>
  </si>
  <si>
    <t>03527839828</t>
  </si>
  <si>
    <t>Hina Kato</t>
  </si>
  <si>
    <t>5442 7460 6289 9466</t>
  </si>
  <si>
    <t>5442 7460 8957 0820</t>
  </si>
  <si>
    <t>1390</t>
  </si>
  <si>
    <t>92636056459</t>
  </si>
  <si>
    <t>Riku Yamamoto Yamaguchi</t>
  </si>
  <si>
    <t>6062 8200 1141 2949</t>
  </si>
  <si>
    <t>6062 8200 7905 3824</t>
  </si>
  <si>
    <t>1391</t>
  </si>
  <si>
    <t>77282729182</t>
  </si>
  <si>
    <t>Riku Inoue Nakamura</t>
  </si>
  <si>
    <t>6062 8200 2209 5689</t>
  </si>
  <si>
    <t>6062 8200 2073 5491</t>
  </si>
  <si>
    <t>1392</t>
  </si>
  <si>
    <t>56155704589</t>
  </si>
  <si>
    <t>Taro Matsumoto</t>
  </si>
  <si>
    <t>6505 0666 1944 8862</t>
  </si>
  <si>
    <t>1393</t>
  </si>
  <si>
    <t>84119371603</t>
  </si>
  <si>
    <t>Hiroshi Inoue</t>
  </si>
  <si>
    <t>5442 7460 6519 8696</t>
  </si>
  <si>
    <t>1394</t>
  </si>
  <si>
    <t>53195693003</t>
  </si>
  <si>
    <t>Takumi Hayashi Kimura</t>
  </si>
  <si>
    <t>6505 0666 5740 5860</t>
  </si>
  <si>
    <t>1395</t>
  </si>
  <si>
    <t>24177215546</t>
  </si>
  <si>
    <t>6505 0666 8021 6547</t>
  </si>
  <si>
    <t>1396</t>
  </si>
  <si>
    <t>74267188246</t>
  </si>
  <si>
    <t>Akari Ito Watanabe</t>
  </si>
  <si>
    <t>5442 7460 6730 7874</t>
  </si>
  <si>
    <t>1397</t>
  </si>
  <si>
    <t>66656473660</t>
  </si>
  <si>
    <t>Taro Kobayashi</t>
  </si>
  <si>
    <t>3782 359860 7970</t>
  </si>
  <si>
    <t>1398</t>
  </si>
  <si>
    <t>00165484934</t>
  </si>
  <si>
    <t>Ren Yamazaki</t>
  </si>
  <si>
    <t>6505 0666 5805 5975</t>
  </si>
  <si>
    <t>6505 0666 6327 9761</t>
  </si>
  <si>
    <t>1399</t>
  </si>
  <si>
    <t>78335290873</t>
  </si>
  <si>
    <t>Daiki Matsumoto</t>
  </si>
  <si>
    <t>6062 8200 3230 7852</t>
  </si>
  <si>
    <t>1400</t>
  </si>
  <si>
    <t>86619438415</t>
  </si>
  <si>
    <t>Aoi Ito</t>
  </si>
  <si>
    <t>3782 116285 8923</t>
  </si>
  <si>
    <t>3782 221053 9067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</si>
  <si>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</si>
  <si>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</si>
  <si>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</si>
  <si>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</si>
  <si>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</si>
  <si>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</si>
  <si>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</si>
  <si>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</si>
  <si>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</si>
  <si>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</si>
  <si>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</si>
  <si>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</si>
  <si>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</si>
  <si>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</si>
  <si>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</si>
  <si>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</si>
  <si>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</si>
  <si>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</si>
  <si>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</si>
  <si>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</si>
  <si>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</si>
  <si>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</si>
  <si>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</si>
  <si>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</si>
  <si>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</si>
  <si>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</si>
  <si>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</si>
  <si>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</si>
  <si>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</si>
  <si>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49009976505</t>
  </si>
  <si>
    <t>Hugo Lefebvre</t>
  </si>
  <si>
    <t>6505 0666 8788 7797</t>
  </si>
  <si>
    <t>56341804571</t>
  </si>
  <si>
    <t>Lea Dubois</t>
  </si>
  <si>
    <t>6505 0666 3819 1315</t>
  </si>
  <si>
    <t>6505 0666 1287 0943</t>
  </si>
  <si>
    <t>60622708309</t>
  </si>
  <si>
    <t>Jade Bernard Leroy</t>
  </si>
  <si>
    <t>4576 7460 9748 8578</t>
  </si>
  <si>
    <t>17819818093</t>
  </si>
  <si>
    <t>Thomas Morel</t>
  </si>
  <si>
    <t>6062 8200 5339 0533</t>
  </si>
  <si>
    <t>82649500514</t>
  </si>
  <si>
    <t>Arthur Roux</t>
  </si>
  <si>
    <t>6062 8200 6941 8794</t>
  </si>
  <si>
    <t>39425927030</t>
  </si>
  <si>
    <t>Lucas Vincent</t>
  </si>
  <si>
    <t>6505 0666 5530 8914</t>
  </si>
  <si>
    <t>49525118479</t>
  </si>
  <si>
    <t>4576 7460 5668 8505</t>
  </si>
  <si>
    <t>95163681400</t>
  </si>
  <si>
    <t>Jules Girard</t>
  </si>
  <si>
    <t>4576 7460 6211 5610</t>
  </si>
  <si>
    <t>13514535213</t>
  </si>
  <si>
    <t>Pierre Bertrand</t>
  </si>
  <si>
    <t>5442 7460 8456 0058</t>
  </si>
  <si>
    <t>23464476766</t>
  </si>
  <si>
    <t>Zoe Dupont Lefebvre</t>
  </si>
  <si>
    <t>6062 8200 2981 0307</t>
  </si>
  <si>
    <t>33257921462</t>
  </si>
  <si>
    <t>Camille Lambert Michel</t>
  </si>
  <si>
    <t>4576 7460 5822 8382</t>
  </si>
  <si>
    <t>34239398851</t>
  </si>
  <si>
    <t>Sarah Simon</t>
  </si>
  <si>
    <t>5442 7460 9004 6593</t>
  </si>
  <si>
    <t>43847760556</t>
  </si>
  <si>
    <t>Ines Vincent Dubois</t>
  </si>
  <si>
    <t>6062 8200 2871 7121</t>
  </si>
  <si>
    <t>18395946830</t>
  </si>
  <si>
    <t>Louis Vincent</t>
  </si>
  <si>
    <t>5442 7460 1837 6096</t>
  </si>
  <si>
    <t>05905432961</t>
  </si>
  <si>
    <t>6062 8200 8855 8126</t>
  </si>
  <si>
    <t>6062 8200 5709 1724</t>
  </si>
  <si>
    <t>88352832646</t>
  </si>
  <si>
    <t>4576 7460 7234 2727</t>
  </si>
  <si>
    <t>4576 7460 9925 9264</t>
  </si>
  <si>
    <t>12930723033</t>
  </si>
  <si>
    <t>Camille Martin Girard</t>
  </si>
  <si>
    <t>3782 826958 0647</t>
  </si>
  <si>
    <t>29746110527</t>
  </si>
  <si>
    <t>Sarah Michel</t>
  </si>
  <si>
    <t>5442 7460 6689 8623</t>
  </si>
  <si>
    <t>01758777001</t>
  </si>
  <si>
    <t>Manon Dupont Moreau</t>
  </si>
  <si>
    <t>3782 171131 7498</t>
  </si>
  <si>
    <t>35429601870</t>
  </si>
  <si>
    <t>Ines Simon</t>
  </si>
  <si>
    <t>6062 8200 8813 9247</t>
  </si>
  <si>
    <t>88408621025</t>
  </si>
  <si>
    <t>Pierre Leroy</t>
  </si>
  <si>
    <t>6062 8200 4012 7055</t>
  </si>
  <si>
    <t>66559228444</t>
  </si>
  <si>
    <t>Maxime Fontaine</t>
  </si>
  <si>
    <t>6505 0666 5020 2201</t>
  </si>
  <si>
    <t>6505 0666 2408 3124</t>
  </si>
  <si>
    <t>52753491224</t>
  </si>
  <si>
    <t>5442 7460 8812 8663</t>
  </si>
  <si>
    <t>5442 7460 3565 7294</t>
  </si>
  <si>
    <t>62330721234</t>
  </si>
  <si>
    <t>4576 7460 8260 2260</t>
  </si>
  <si>
    <t>01103534203</t>
  </si>
  <si>
    <t>Zoe Fournier Laurent</t>
  </si>
  <si>
    <t>6505 0666 1978 9279</t>
  </si>
  <si>
    <t>6505 0666 8779 6864</t>
  </si>
  <si>
    <t>68990299101</t>
  </si>
  <si>
    <t>Camille Morel David</t>
  </si>
  <si>
    <t>4576 7460 2766 1177</t>
  </si>
  <si>
    <t>4576 7460 4557 7285</t>
  </si>
  <si>
    <t>66619239382</t>
  </si>
  <si>
    <t>Lea Girard</t>
  </si>
  <si>
    <t>6505 0666 1122 6047</t>
  </si>
  <si>
    <t>07793360389</t>
  </si>
  <si>
    <t>Maxime Girard Martin</t>
  </si>
  <si>
    <t>3782 770228 3846</t>
  </si>
  <si>
    <t>47442920110</t>
  </si>
  <si>
    <t>Emma Bonnet</t>
  </si>
  <si>
    <t>5442 7460 1528 3396</t>
  </si>
  <si>
    <t>1430</t>
  </si>
  <si>
    <t>47186273386</t>
  </si>
  <si>
    <t>Louis Laurent Dupont</t>
  </si>
  <si>
    <t>3782 639577 0608</t>
  </si>
  <si>
    <t>3782 651674 3397</t>
  </si>
  <si>
    <t>1431</t>
  </si>
  <si>
    <t>06552519281</t>
  </si>
  <si>
    <t>Hugo Laurent Fournier</t>
  </si>
  <si>
    <t>3782 851844 5401</t>
  </si>
  <si>
    <t>3782 227599 6249</t>
  </si>
  <si>
    <t>1432</t>
  </si>
  <si>
    <t>01787325245</t>
  </si>
  <si>
    <t>Emma Martin</t>
  </si>
  <si>
    <t>6062 8200 3305 6203</t>
  </si>
  <si>
    <t>6062 8200 7020 7410</t>
  </si>
  <si>
    <t>1433</t>
  </si>
  <si>
    <t>99114997150</t>
  </si>
  <si>
    <t>Manon Laurent</t>
  </si>
  <si>
    <t>4576 7460 7965 1007</t>
  </si>
  <si>
    <t>1434</t>
  </si>
  <si>
    <t>25066112588</t>
  </si>
  <si>
    <t>Zoe Martin</t>
  </si>
  <si>
    <t>5442 7460 2770 5513</t>
  </si>
  <si>
    <t>1435</t>
  </si>
  <si>
    <t>76523808637</t>
  </si>
  <si>
    <t>Maxime Dubois</t>
  </si>
  <si>
    <t>4576 7460 5336 4116</t>
  </si>
  <si>
    <t>1436</t>
  </si>
  <si>
    <t>23495446214</t>
  </si>
  <si>
    <t>Hugo Dubois</t>
  </si>
  <si>
    <t>6062 8200 5612 7983</t>
  </si>
  <si>
    <t>69877450488</t>
  </si>
  <si>
    <t>Jean Lefebvre Lambert</t>
  </si>
  <si>
    <t>6505 0666 2511 9411</t>
  </si>
  <si>
    <t>1438</t>
  </si>
  <si>
    <t>49639118338</t>
  </si>
  <si>
    <t>Pierre Roux</t>
  </si>
  <si>
    <t>5442 7460 4861 2435</t>
  </si>
  <si>
    <t>1439</t>
  </si>
  <si>
    <t>60097858552</t>
  </si>
  <si>
    <t>Arthur Michel</t>
  </si>
  <si>
    <t>6062 8200 2586 4141</t>
  </si>
  <si>
    <t>1440</t>
  </si>
  <si>
    <t>53468208685</t>
  </si>
  <si>
    <t>Lea Simon</t>
  </si>
  <si>
    <t>4576 7460 8523 6375</t>
  </si>
  <si>
    <t>4576 7460 9963 1383</t>
  </si>
  <si>
    <t>1441</t>
  </si>
  <si>
    <t>20964247631</t>
  </si>
  <si>
    <t>Jade Girard</t>
  </si>
  <si>
    <t>6505 0666 5699 3643</t>
  </si>
  <si>
    <t>1442</t>
  </si>
  <si>
    <t>84649069947</t>
  </si>
  <si>
    <t>Manon Martin</t>
  </si>
  <si>
    <t>5442 7460 7632 8096</t>
  </si>
  <si>
    <t>1443</t>
  </si>
  <si>
    <t>59332520500</t>
  </si>
  <si>
    <t>Jade Lefebvre Bonnet</t>
  </si>
  <si>
    <t>4576 7460 6929 4165</t>
  </si>
  <si>
    <t>4576 7460 2907 1128</t>
  </si>
  <si>
    <t>1444</t>
  </si>
  <si>
    <t>41738411834</t>
  </si>
  <si>
    <t>Jules Dubois Lefebvre</t>
  </si>
  <si>
    <t>4576 7460 6131 5970</t>
  </si>
  <si>
    <t>1445</t>
  </si>
  <si>
    <t>97379707647</t>
  </si>
  <si>
    <t>Lea Leroy</t>
  </si>
  <si>
    <t>6062 8200 2174 3784</t>
  </si>
  <si>
    <t>6062 8200 9167 5962</t>
  </si>
  <si>
    <t>1446</t>
  </si>
  <si>
    <t>62330213913</t>
  </si>
  <si>
    <t>3782 517180 7499</t>
  </si>
  <si>
    <t>3782 905419 5877</t>
  </si>
  <si>
    <t>1447</t>
  </si>
  <si>
    <t>38476222262</t>
  </si>
  <si>
    <t>Gabriel Laurent</t>
  </si>
  <si>
    <t>6062 8200 9739 2961</t>
  </si>
  <si>
    <t>1448</t>
  </si>
  <si>
    <t>35676101121</t>
  </si>
  <si>
    <t>Chloe Lefebvre</t>
  </si>
  <si>
    <t>5442 7460 3154 8669</t>
  </si>
  <si>
    <t>1449</t>
  </si>
  <si>
    <t>26818675506</t>
  </si>
  <si>
    <t>Maxime Bernard Bertrand</t>
  </si>
  <si>
    <t>3782 977833 4641</t>
  </si>
  <si>
    <t>1450</t>
  </si>
  <si>
    <t>31521533091</t>
  </si>
  <si>
    <t>Chloe Fontaine</t>
  </si>
  <si>
    <t>6062 8200 7091 7161</t>
  </si>
  <si>
    <t>6062 8200 1376 0796</t>
  </si>
  <si>
    <t>1451</t>
  </si>
  <si>
    <t>09397140191</t>
  </si>
  <si>
    <t>Chloe Leroy</t>
  </si>
  <si>
    <t>4576 7460 5267 8087</t>
  </si>
  <si>
    <t>1452</t>
  </si>
  <si>
    <t>92965664106</t>
  </si>
  <si>
    <t>Louis Dubois</t>
  </si>
  <si>
    <t>6062 8200 7055 0373</t>
  </si>
  <si>
    <t>1453</t>
  </si>
  <si>
    <t>31205887849</t>
  </si>
  <si>
    <t>Ines Dupont</t>
  </si>
  <si>
    <t>6062 8200 6999 5042</t>
  </si>
  <si>
    <t>6062 8200 3806 2717</t>
  </si>
  <si>
    <t>1454</t>
  </si>
  <si>
    <t>49547250892</t>
  </si>
  <si>
    <t>6505 0666 9562 7410</t>
  </si>
  <si>
    <t>1455</t>
  </si>
  <si>
    <t>34112274009</t>
  </si>
  <si>
    <t>Jean Bonnet Vincent</t>
  </si>
  <si>
    <t>5442 7460 9355 1751</t>
  </si>
  <si>
    <t>1456</t>
  </si>
  <si>
    <t>79578073135</t>
  </si>
  <si>
    <t>Lea Lefebvre</t>
  </si>
  <si>
    <t>4576 7460 7837 7770</t>
  </si>
  <si>
    <t>1457</t>
  </si>
  <si>
    <t>44257031549</t>
  </si>
  <si>
    <t>Sarah David</t>
  </si>
  <si>
    <t>5442 7460 2685 1585</t>
  </si>
  <si>
    <t>5442 7460 5537 6238</t>
  </si>
  <si>
    <t>1458</t>
  </si>
  <si>
    <t>27966883132</t>
  </si>
  <si>
    <t>Pierre Bonnet</t>
  </si>
  <si>
    <t>6062 8200 4106 4362</t>
  </si>
  <si>
    <t>1459</t>
  </si>
  <si>
    <t>77550124841</t>
  </si>
  <si>
    <t>Emma Fontaine</t>
  </si>
  <si>
    <t>6505 0666 7196 6550</t>
  </si>
  <si>
    <t>1460</t>
  </si>
  <si>
    <t>45731178739</t>
  </si>
  <si>
    <t>6505 0666 8444 9025</t>
  </si>
  <si>
    <t>1461</t>
  </si>
  <si>
    <t>03201066400</t>
  </si>
  <si>
    <t>5442 7460 7836 1049</t>
  </si>
  <si>
    <t>1462</t>
  </si>
  <si>
    <t>97014292307</t>
  </si>
  <si>
    <t>Thomas Dubois</t>
  </si>
  <si>
    <t>6062 8200 4163 1578</t>
  </si>
  <si>
    <t>1463</t>
  </si>
  <si>
    <t>47178284102</t>
  </si>
  <si>
    <t>Jade Vincent</t>
  </si>
  <si>
    <t>6505 0666 6134 2899</t>
  </si>
  <si>
    <t>1464</t>
  </si>
  <si>
    <t>47296352051</t>
  </si>
  <si>
    <t>Ines Laurent</t>
  </si>
  <si>
    <t>6505 0666 8221 8784</t>
  </si>
  <si>
    <t>6505 0666 2468 8984</t>
  </si>
  <si>
    <t>1465</t>
  </si>
  <si>
    <t>16034605008</t>
  </si>
  <si>
    <t>Jules Vincent</t>
  </si>
  <si>
    <t>4576 7460 2384 2823</t>
  </si>
  <si>
    <t>1466</t>
  </si>
  <si>
    <t>00872753417</t>
  </si>
  <si>
    <t>Maxime Vincent Bertrand</t>
  </si>
  <si>
    <t>5442 7460 2128 6256</t>
  </si>
  <si>
    <t>1467</t>
  </si>
  <si>
    <t>50677216424</t>
  </si>
  <si>
    <t>6505 0666 1306 2945</t>
  </si>
  <si>
    <t>6505 0666 5800 1229</t>
  </si>
  <si>
    <t>1468</t>
  </si>
  <si>
    <t>48643518484</t>
  </si>
  <si>
    <t>Sarah Dubois</t>
  </si>
  <si>
    <t>3782 570066 1783</t>
  </si>
  <si>
    <t>1469</t>
  </si>
  <si>
    <t>68792265669</t>
  </si>
  <si>
    <t>Jean David</t>
  </si>
  <si>
    <t>6505 0666 8249 6029</t>
  </si>
  <si>
    <t>1470</t>
  </si>
  <si>
    <t>09309918691</t>
  </si>
  <si>
    <t>Louis Fontaine David</t>
  </si>
  <si>
    <t>6505 0666 3656 3297</t>
  </si>
  <si>
    <t>1471</t>
  </si>
  <si>
    <t>73541372435</t>
  </si>
  <si>
    <t>Camille Moreau</t>
  </si>
  <si>
    <t>4576 7460 2236 7283</t>
  </si>
  <si>
    <t>1472</t>
  </si>
  <si>
    <t>46957020029</t>
  </si>
  <si>
    <t>Louise David Morel</t>
  </si>
  <si>
    <t>6505 0666 5998 9319</t>
  </si>
  <si>
    <t>6505 0666 6347 8719</t>
  </si>
  <si>
    <t>1473</t>
  </si>
  <si>
    <t>86407215722</t>
  </si>
  <si>
    <t>Louise Lefebvre</t>
  </si>
  <si>
    <t>3782 720439 8393</t>
  </si>
  <si>
    <t>1474</t>
  </si>
  <si>
    <t>73231709156</t>
  </si>
  <si>
    <t>Chloe Moreau</t>
  </si>
  <si>
    <t>3782 498163 3028</t>
  </si>
  <si>
    <t>1475</t>
  </si>
  <si>
    <t>62371524239</t>
  </si>
  <si>
    <t>Camille David</t>
  </si>
  <si>
    <t>6505 0666 7011 4374</t>
  </si>
  <si>
    <t>1476</t>
  </si>
  <si>
    <t>65276741123</t>
  </si>
  <si>
    <t>Pierre Morel</t>
  </si>
  <si>
    <t>6062 8200 2477 2086</t>
  </si>
  <si>
    <t>1477</t>
  </si>
  <si>
    <t>35741711294</t>
  </si>
  <si>
    <t>Louise Fontaine Laurent</t>
  </si>
  <si>
    <t>5442 7460 6036 9099</t>
  </si>
  <si>
    <t>1478</t>
  </si>
  <si>
    <t>22349554597</t>
  </si>
  <si>
    <t>Zoe Roux</t>
  </si>
  <si>
    <t>6505 0666 9370 6488</t>
  </si>
  <si>
    <t>6505 0666 5557 2858</t>
  </si>
  <si>
    <t>1479</t>
  </si>
  <si>
    <t>91015475698</t>
  </si>
  <si>
    <t>Gabriel Bertrand Dupont</t>
  </si>
  <si>
    <t>6062 8200 6987 9502</t>
  </si>
  <si>
    <t>1480</t>
  </si>
  <si>
    <t>95275711972</t>
  </si>
  <si>
    <t>Chloe Vincent</t>
  </si>
  <si>
    <t>5442 7460 3180 1267</t>
  </si>
  <si>
    <t>1481</t>
  </si>
  <si>
    <t>64305790858</t>
  </si>
  <si>
    <t>Ines Girard</t>
  </si>
  <si>
    <t>5442 7460 8118 3688</t>
  </si>
  <si>
    <t>1482</t>
  </si>
  <si>
    <t>72681257395</t>
  </si>
  <si>
    <t>Lea Simon Morel</t>
  </si>
  <si>
    <t>4576 7460 9561 2656</t>
  </si>
  <si>
    <t>1483</t>
  </si>
  <si>
    <t>43524734642</t>
  </si>
  <si>
    <t>5442 7460 8009 4731</t>
  </si>
  <si>
    <t>1484</t>
  </si>
  <si>
    <t>63612980602</t>
  </si>
  <si>
    <t>Chloe Laurent</t>
  </si>
  <si>
    <t>6505 0666 6326 1687</t>
  </si>
  <si>
    <t>6505 0666 3643 9376</t>
  </si>
  <si>
    <t>1485</t>
  </si>
  <si>
    <t>30460954571</t>
  </si>
  <si>
    <t>Louis Michel Morel</t>
  </si>
  <si>
    <t>6505 0666 3363 8085</t>
  </si>
  <si>
    <t>1486</t>
  </si>
  <si>
    <t>85175587587</t>
  </si>
  <si>
    <t>Zoe Lefebvre</t>
  </si>
  <si>
    <t>6062 8200 2227 9976</t>
  </si>
  <si>
    <t>1487</t>
  </si>
  <si>
    <t>37632446036</t>
  </si>
  <si>
    <t>Gabriel Fontaine</t>
  </si>
  <si>
    <t>4576 7460 4173 4881</t>
  </si>
  <si>
    <t>4576 7460 1818 6149</t>
  </si>
  <si>
    <t>1488</t>
  </si>
  <si>
    <t>65846114008</t>
  </si>
  <si>
    <t>Lucas Michel</t>
  </si>
  <si>
    <t>6505 0666 5123 9623</t>
  </si>
  <si>
    <t>6505 0666 9057 9228</t>
  </si>
  <si>
    <t>1489</t>
  </si>
  <si>
    <t>22219159175</t>
  </si>
  <si>
    <t>6062 8200 4500 4273</t>
  </si>
  <si>
    <t>1490</t>
  </si>
  <si>
    <t>15439614010</t>
  </si>
  <si>
    <t>4576 7460 8147 8485</t>
  </si>
  <si>
    <t>1491</t>
  </si>
  <si>
    <t>25152592193</t>
  </si>
  <si>
    <t>Zoe Morel Girard</t>
  </si>
  <si>
    <t>5442 7460 6625 5871</t>
  </si>
  <si>
    <t>1492</t>
  </si>
  <si>
    <t>56210579370</t>
  </si>
  <si>
    <t>Chloe Bertrand</t>
  </si>
  <si>
    <t>3782 521883 9907</t>
  </si>
  <si>
    <t>1493</t>
  </si>
  <si>
    <t>90539788449</t>
  </si>
  <si>
    <t>Ines Girard Bonnet</t>
  </si>
  <si>
    <t>4576 7460 5690 3826</t>
  </si>
  <si>
    <t>1494</t>
  </si>
  <si>
    <t>53562110901</t>
  </si>
  <si>
    <t>5442 7460 1756 1799</t>
  </si>
  <si>
    <t>1495</t>
  </si>
  <si>
    <t>22718885815</t>
  </si>
  <si>
    <t>Jean Vincent</t>
  </si>
  <si>
    <t>6062 8200 4201 4303</t>
  </si>
  <si>
    <t>1496</t>
  </si>
  <si>
    <t>18203714331</t>
  </si>
  <si>
    <t>4576 7460 3725 9741</t>
  </si>
  <si>
    <t>1497</t>
  </si>
  <si>
    <t>88511411690</t>
  </si>
  <si>
    <t>Louise Bertrand Vincent</t>
  </si>
  <si>
    <t>6505 0666 2115 7801</t>
  </si>
  <si>
    <t>6505 0666 5795 0658</t>
  </si>
  <si>
    <t>1498</t>
  </si>
  <si>
    <t>46353526920</t>
  </si>
  <si>
    <t>4576 7460 2634 6500</t>
  </si>
  <si>
    <t>1499</t>
  </si>
  <si>
    <t>84708864876</t>
  </si>
  <si>
    <t>Lea Bertrand</t>
  </si>
  <si>
    <t>5442 7460 1569 7953</t>
  </si>
  <si>
    <t>1500</t>
  </si>
  <si>
    <t>95135254579</t>
  </si>
  <si>
    <t>Louise Lambert</t>
  </si>
  <si>
    <t>3782 774397 0347</t>
  </si>
  <si>
    <t>C_0226</t>
  </si>
  <si>
    <t>cd A:\Workspace\poc-fintech-playwright; npm run test:ct03.all 2&gt;&amp;1 | Tee-Object -FilePath "$env:TEMP\ct03_debug.log"</t>
  </si>
  <si>
    <t>Get-Content "$env:TEMP\ct03_debug.log" | Select-String -Pattern "Error:|Falha no cenário|PIN usado|Passou|Falhou" -Context 0,3</t>
  </si>
  <si>
    <t>if (Test-Path "F:\GITHUB\FintechBankApp\API\logs\crash.log") { Get-Content "F:\GITHUB\FintechBankApp\API\logs\crash.log" -Tail 40 } else { "sem crash" }</t>
  </si>
  <si>
    <t>Roda assim, que salva tudo em arquivo e ainda mostra na tela:</t>
  </si>
  <si>
    <t>Se der erro, me passa estes dois:</t>
  </si>
  <si>
    <t>O primeiro mostra o erro do teste; o segundo mostra se a API morreu e o stack trace exato. Com os dois eu fecho o diagnóstico rápido.</t>
  </si>
  <si>
    <t>Get-Content "$env:TEMP\ct03_debug.log" | Select-String -Pattern "Error:|Falha no cenário|PIN usado|Passou|Falhou" -Context 0,3; if (Test-Path "F:\GITHUB\FintechBankApp\API\logs\crash.log") { Get-Content "F:\GITHUB\FintechBankApp\API\logs\crash.log" -Tail 40 } else { "sem crash" }</t>
  </si>
  <si>
    <t>1501</t>
  </si>
  <si>
    <t>22110841419</t>
  </si>
  <si>
    <t>Agustin Martinez Sosa</t>
  </si>
  <si>
    <t>6505 0666 7875 9776</t>
  </si>
  <si>
    <t>1502</t>
  </si>
  <si>
    <t>57329832600</t>
  </si>
  <si>
    <t>Matias Gonzalez Fernandez</t>
  </si>
  <si>
    <t>3782 705831 2827</t>
  </si>
  <si>
    <t>3782 219372 4869</t>
  </si>
  <si>
    <t>1503</t>
  </si>
  <si>
    <t>76034563470</t>
  </si>
  <si>
    <t>Nicolas Gonzalez Aguirre</t>
  </si>
  <si>
    <t>5442 7460 4720 3140</t>
  </si>
  <si>
    <t>1504</t>
  </si>
  <si>
    <t>06814917955</t>
  </si>
  <si>
    <t>Bruno Medina Fernandez</t>
  </si>
  <si>
    <t>6505 0666 4477 4533</t>
  </si>
  <si>
    <t>1505</t>
  </si>
  <si>
    <t>55493091143</t>
  </si>
  <si>
    <t>Tomas Medina Flores</t>
  </si>
  <si>
    <t>4576 7460 5231 2344</t>
  </si>
  <si>
    <t>1506</t>
  </si>
  <si>
    <t>37488008197</t>
  </si>
  <si>
    <t>Camila Aguirre Ruiz</t>
  </si>
  <si>
    <t>4576 7460 4550 1246</t>
  </si>
  <si>
    <t>1507</t>
  </si>
  <si>
    <t>80459553259</t>
  </si>
  <si>
    <t>Facundo Sanchez</t>
  </si>
  <si>
    <t>5442 7460 6741 1138</t>
  </si>
  <si>
    <t>1508</t>
  </si>
  <si>
    <t>10395885906</t>
  </si>
  <si>
    <t>Mateo Medina Gomez</t>
  </si>
  <si>
    <t>5442 7460 8790 9632</t>
  </si>
  <si>
    <t>5442 7460 6881 7816</t>
  </si>
  <si>
    <t>1509</t>
  </si>
  <si>
    <t>89261508871</t>
  </si>
  <si>
    <t>Delfina Diaz Benitez</t>
  </si>
  <si>
    <t>5442 7460 1335 7988</t>
  </si>
  <si>
    <t>1510</t>
  </si>
  <si>
    <t>87137133029</t>
  </si>
  <si>
    <t>Delfina Flores Torres</t>
  </si>
  <si>
    <t>3782 403362 5370</t>
  </si>
  <si>
    <t>1511</t>
  </si>
  <si>
    <t>27267915817</t>
  </si>
  <si>
    <t>Facundo Acosta</t>
  </si>
  <si>
    <t>3782 472696 7279</t>
  </si>
  <si>
    <t>1512</t>
  </si>
  <si>
    <t>00250867311</t>
  </si>
  <si>
    <t>Zoe Benitez Garcia</t>
  </si>
  <si>
    <t>3782 990775 0864</t>
  </si>
  <si>
    <t>1513</t>
  </si>
  <si>
    <t>15213976352</t>
  </si>
  <si>
    <t>Zoe Ruiz Aguirre</t>
  </si>
  <si>
    <t>6062 8200 9169 0040</t>
  </si>
  <si>
    <t>1514</t>
  </si>
  <si>
    <t>88252619770</t>
  </si>
  <si>
    <t>Martina Ruiz Lopez</t>
  </si>
  <si>
    <t>6505 0666 8500 8025</t>
  </si>
  <si>
    <t>6505 0666 9920 3404</t>
  </si>
  <si>
    <t>1515</t>
  </si>
  <si>
    <t>50063649209</t>
  </si>
  <si>
    <t>Nicolas Herrera Sosa</t>
  </si>
  <si>
    <t>6505 0666 1341 1627</t>
  </si>
  <si>
    <t>6505 0666 1945 1318</t>
  </si>
  <si>
    <t>1516</t>
  </si>
  <si>
    <t>04262108759</t>
  </si>
  <si>
    <t>Ignacio Fernandez Ramirez</t>
  </si>
  <si>
    <t>6062 8200 6032 2970</t>
  </si>
  <si>
    <t>1517</t>
  </si>
  <si>
    <t>32804042235</t>
  </si>
  <si>
    <t>Lucas Gonzalez</t>
  </si>
  <si>
    <t>5442 7460 3164 3362</t>
  </si>
  <si>
    <t>5442 7460 5891 6690</t>
  </si>
  <si>
    <t>1518</t>
  </si>
  <si>
    <t>31151506524</t>
  </si>
  <si>
    <t>Lucas Martinez</t>
  </si>
  <si>
    <t>6505 0666 1631 3294</t>
  </si>
  <si>
    <t>1519</t>
  </si>
  <si>
    <t>39589372848</t>
  </si>
  <si>
    <t>Lucas Sanchez Torres</t>
  </si>
  <si>
    <t>6062 8200 3768 1682</t>
  </si>
  <si>
    <t>1520</t>
  </si>
  <si>
    <t>57072494600</t>
  </si>
  <si>
    <t>Paula Diaz Sosa</t>
  </si>
  <si>
    <t>3782 109212 2905</t>
  </si>
  <si>
    <t>3782 870359 3008</t>
  </si>
  <si>
    <t>1521</t>
  </si>
  <si>
    <t>30815377207</t>
  </si>
  <si>
    <t>Ignacio Perez Romero</t>
  </si>
  <si>
    <t>6062 8200 3773 8827</t>
  </si>
  <si>
    <t>6062 8200 8009 0998</t>
  </si>
  <si>
    <t>1522</t>
  </si>
  <si>
    <t>29483037964</t>
  </si>
  <si>
    <t>Matias Alvarez Fernandez</t>
  </si>
  <si>
    <t>5442 7460 4131 8969</t>
  </si>
  <si>
    <t>1523</t>
  </si>
  <si>
    <t>52441914383</t>
  </si>
  <si>
    <t>Valentina Benitez Acosta</t>
  </si>
  <si>
    <t>6062 8200 7259 8036</t>
  </si>
  <si>
    <t>1524</t>
  </si>
  <si>
    <t>20325864284</t>
  </si>
  <si>
    <t>Valentina Rodriguez Gomez</t>
  </si>
  <si>
    <t>3782 176329 4846</t>
  </si>
  <si>
    <t>1525</t>
  </si>
  <si>
    <t>06324614549</t>
  </si>
  <si>
    <t>Ignacio Sanchez</t>
  </si>
  <si>
    <t>5442 7460 1070 1514</t>
  </si>
  <si>
    <t>5442 7460 3247 1114</t>
  </si>
  <si>
    <t>1526</t>
  </si>
  <si>
    <t>33180379235</t>
  </si>
  <si>
    <t>Lucia Diaz Benitez</t>
  </si>
  <si>
    <t>3782 238304 0775</t>
  </si>
  <si>
    <t>1527</t>
  </si>
  <si>
    <t>23550083378</t>
  </si>
  <si>
    <t>Sofia Gomez Benitez</t>
  </si>
  <si>
    <t>3782 594283 5477</t>
  </si>
  <si>
    <t>1528</t>
  </si>
  <si>
    <t>00734200773</t>
  </si>
  <si>
    <t>Camila Perez</t>
  </si>
  <si>
    <t>5442 7460 5965 8973</t>
  </si>
  <si>
    <t>5442 7460 9676 9590</t>
  </si>
  <si>
    <t>1529</t>
  </si>
  <si>
    <t>56417729176</t>
  </si>
  <si>
    <t>Abril Rodriguez Alvarez</t>
  </si>
  <si>
    <t>6505 0666 5797 8840</t>
  </si>
  <si>
    <t>6505 0666 8251 3787</t>
  </si>
  <si>
    <t>1530</t>
  </si>
  <si>
    <t>04482378062</t>
  </si>
  <si>
    <t>Delfina Romero Gomez</t>
  </si>
  <si>
    <t>6062 8200 3960 7626</t>
  </si>
  <si>
    <t>1531</t>
  </si>
  <si>
    <t>30304417769</t>
  </si>
  <si>
    <t>Catalina Fernandez</t>
  </si>
  <si>
    <t>6505 0666 5782 7579</t>
  </si>
  <si>
    <t>1532</t>
  </si>
  <si>
    <t>04604021880</t>
  </si>
  <si>
    <t>Valentina Diaz Gomez</t>
  </si>
  <si>
    <t>5442 7460 3798 3743</t>
  </si>
  <si>
    <t>1533</t>
  </si>
  <si>
    <t>68274436806</t>
  </si>
  <si>
    <t>Lucia Diaz Rodriguez</t>
  </si>
  <si>
    <t>5442 7460 7646 9631</t>
  </si>
  <si>
    <t>1534</t>
  </si>
  <si>
    <t>19941617368</t>
  </si>
  <si>
    <t>Sofia Acosta Herrera</t>
  </si>
  <si>
    <t>5442 7460 7124 6518</t>
  </si>
  <si>
    <t>1535</t>
  </si>
  <si>
    <t>95240483450</t>
  </si>
  <si>
    <t>Julieta Martinez</t>
  </si>
  <si>
    <t>6062 8200 5133 5550</t>
  </si>
  <si>
    <t>1536</t>
  </si>
  <si>
    <t>44117260251</t>
  </si>
  <si>
    <t>Matias Ramirez Gomez</t>
  </si>
  <si>
    <t>6062 8200 6301 5660</t>
  </si>
  <si>
    <t>1537</t>
  </si>
  <si>
    <t>97076769654</t>
  </si>
  <si>
    <t>Julieta Ruiz Flores</t>
  </si>
  <si>
    <t>6505 0666 3428 3586</t>
  </si>
  <si>
    <t>6505 0666 1215 2165</t>
  </si>
  <si>
    <t>1538</t>
  </si>
  <si>
    <t>91136540040</t>
  </si>
  <si>
    <t>Mia Acosta Martinez</t>
  </si>
  <si>
    <t>4576 7460 5222 8538</t>
  </si>
  <si>
    <t>1539</t>
  </si>
  <si>
    <t>39593324674</t>
  </si>
  <si>
    <t>Nicolas Ruiz</t>
  </si>
  <si>
    <t>5442 7460 7904 2806</t>
  </si>
  <si>
    <t>5442 7460 2291 9200</t>
  </si>
  <si>
    <t>1540</t>
  </si>
  <si>
    <t>73020931649</t>
  </si>
  <si>
    <t>5442 7460 9293 2416</t>
  </si>
  <si>
    <t>1541</t>
  </si>
  <si>
    <t>95280942367</t>
  </si>
  <si>
    <t>Camila Garcia Medina</t>
  </si>
  <si>
    <t>6505 0666 9175 7421</t>
  </si>
  <si>
    <t>1542</t>
  </si>
  <si>
    <t>34182093518</t>
  </si>
  <si>
    <t>Camila Gonzalez Herrera</t>
  </si>
  <si>
    <t>6062 8200 3995 5583</t>
  </si>
  <si>
    <t>1543</t>
  </si>
  <si>
    <t>10741063778</t>
  </si>
  <si>
    <t>Abril Gonzalez Acosta</t>
  </si>
  <si>
    <t>4576 7460 9915 6266</t>
  </si>
  <si>
    <t>4576 7460 3572 1226</t>
  </si>
  <si>
    <t>1544</t>
  </si>
  <si>
    <t>35406271032</t>
  </si>
  <si>
    <t>Mia Ramirez Sosa</t>
  </si>
  <si>
    <t>4576 7460 3373 1726</t>
  </si>
  <si>
    <t>1545</t>
  </si>
  <si>
    <t>15636580703</t>
  </si>
  <si>
    <t>Lucas Ruiz Medina</t>
  </si>
  <si>
    <t>3782 257158 7754</t>
  </si>
  <si>
    <t>1546</t>
  </si>
  <si>
    <t>97459509809</t>
  </si>
  <si>
    <t>Martina Aguirre</t>
  </si>
  <si>
    <t>6062 8200 7804 6187</t>
  </si>
  <si>
    <t>1547</t>
  </si>
  <si>
    <t>73893749268</t>
  </si>
  <si>
    <t>Nicolas Herrera Flores</t>
  </si>
  <si>
    <t>3782 603955 6791</t>
  </si>
  <si>
    <t>1548</t>
  </si>
  <si>
    <t>85269739160</t>
  </si>
  <si>
    <t>Lucas Ramirez</t>
  </si>
  <si>
    <t>3782 923244 9476</t>
  </si>
  <si>
    <t>3782 418967 2929</t>
  </si>
  <si>
    <t>1549</t>
  </si>
  <si>
    <t>84029073930</t>
  </si>
  <si>
    <t>Delfina Torres Flores</t>
  </si>
  <si>
    <t>3782 281715 2363</t>
  </si>
  <si>
    <t>1550</t>
  </si>
  <si>
    <t>36566722297</t>
  </si>
  <si>
    <t>Julieta Martinez Herrera</t>
  </si>
  <si>
    <t>6062 8200 1973 1125</t>
  </si>
  <si>
    <t>6062 8200 8529 4464</t>
  </si>
  <si>
    <t>1551</t>
  </si>
  <si>
    <t>84321812852</t>
  </si>
  <si>
    <t>Delfina Ramirez</t>
  </si>
  <si>
    <t>6062 8200 8551 4963</t>
  </si>
  <si>
    <t>1552</t>
  </si>
  <si>
    <t>12834875197</t>
  </si>
  <si>
    <t>Paula Martinez Ramirez</t>
  </si>
  <si>
    <t>3782 705353 2993</t>
  </si>
  <si>
    <t>1553</t>
  </si>
  <si>
    <t>06900278930</t>
  </si>
  <si>
    <t>Zoe Sosa Alvarez</t>
  </si>
  <si>
    <t>6505 0666 8075 8392</t>
  </si>
  <si>
    <t>1554</t>
  </si>
  <si>
    <t>89377675979</t>
  </si>
  <si>
    <t>Santiago Rodriguez Medina</t>
  </si>
  <si>
    <t>6505 0666 6609 7601</t>
  </si>
  <si>
    <t>6505 0666 2580 6030</t>
  </si>
  <si>
    <t>1555</t>
  </si>
  <si>
    <t>55255599433</t>
  </si>
  <si>
    <t>Lucas Martinez Sanchez</t>
  </si>
  <si>
    <t>6505 0666 1297 6855</t>
  </si>
  <si>
    <t>1556</t>
  </si>
  <si>
    <t>44704472930</t>
  </si>
  <si>
    <t>Facundo Romero</t>
  </si>
  <si>
    <t>4576 7460 2211 6686</t>
  </si>
  <si>
    <t>1557</t>
  </si>
  <si>
    <t>69015824550</t>
  </si>
  <si>
    <t>Catalina Lopez</t>
  </si>
  <si>
    <t>3782 751329 7354</t>
  </si>
  <si>
    <t>3782 995619 4726</t>
  </si>
  <si>
    <t>1558</t>
  </si>
  <si>
    <t>71709005807</t>
  </si>
  <si>
    <t>Mia Ramirez Gonzalez</t>
  </si>
  <si>
    <t>5442 7460 5489 6182</t>
  </si>
  <si>
    <t>1559</t>
  </si>
  <si>
    <t>11046748823</t>
  </si>
  <si>
    <t>Mateo Rodriguez</t>
  </si>
  <si>
    <t>6505 0666 6609 0577</t>
  </si>
  <si>
    <t>1560</t>
  </si>
  <si>
    <t>89038152388</t>
  </si>
  <si>
    <t>Franco Gonzalez</t>
  </si>
  <si>
    <t>6505 0666 9047 6350</t>
  </si>
  <si>
    <t>1561</t>
  </si>
  <si>
    <t>65432790602</t>
  </si>
  <si>
    <t>Paula Acosta Ramirez</t>
  </si>
  <si>
    <t>5442 7460 1737 6649</t>
  </si>
  <si>
    <t>1562</t>
  </si>
  <si>
    <t>53030106195</t>
  </si>
  <si>
    <t>Franco Lopez Herrera</t>
  </si>
  <si>
    <t>3782 632607 3158</t>
  </si>
  <si>
    <t>3782 854748 2011</t>
  </si>
  <si>
    <t>1563</t>
  </si>
  <si>
    <t>04370995396</t>
  </si>
  <si>
    <t>Agustin Diaz Martinez</t>
  </si>
  <si>
    <t>4576 7460 5387 4953</t>
  </si>
  <si>
    <t>1564</t>
  </si>
  <si>
    <t>71638413703</t>
  </si>
  <si>
    <t>Ignacio Aguirre Perez</t>
  </si>
  <si>
    <t>3782 138145 8880</t>
  </si>
  <si>
    <t>3782 179554 6811</t>
  </si>
  <si>
    <t>1565</t>
  </si>
  <si>
    <t>73704924784</t>
  </si>
  <si>
    <t>Tomas Herrera Rodriguez</t>
  </si>
  <si>
    <t>5442 7460 5129 3924</t>
  </si>
  <si>
    <t>1566</t>
  </si>
  <si>
    <t>42007158566</t>
  </si>
  <si>
    <t>Joaquin Torres Alvarez</t>
  </si>
  <si>
    <t>6062 8200 3420 6446</t>
  </si>
  <si>
    <t>1567</t>
  </si>
  <si>
    <t>70074537679</t>
  </si>
  <si>
    <t>Matias Acosta Gomez</t>
  </si>
  <si>
    <t>4576 7460 6886 4689</t>
  </si>
  <si>
    <t>1568</t>
  </si>
  <si>
    <t>77594394232</t>
  </si>
  <si>
    <t>Valentina Flores</t>
  </si>
  <si>
    <t>3782 528606 7705</t>
  </si>
  <si>
    <t>1569</t>
  </si>
  <si>
    <t>79729004005</t>
  </si>
  <si>
    <t>Sofia Lopez Acosta</t>
  </si>
  <si>
    <t>6505 0666 5652 0939</t>
  </si>
  <si>
    <t>1570</t>
  </si>
  <si>
    <t>40309937531</t>
  </si>
  <si>
    <t>Ignacio Benitez Fernandez</t>
  </si>
  <si>
    <t>6062 8200 8955 1590</t>
  </si>
  <si>
    <t>1571</t>
  </si>
  <si>
    <t>56242156571</t>
  </si>
  <si>
    <t>Joaquin Herrera Acosta</t>
  </si>
  <si>
    <t>6505 0666 8216 3001</t>
  </si>
  <si>
    <t>1572</t>
  </si>
  <si>
    <t>07428132401</t>
  </si>
  <si>
    <t>Zoe Castro</t>
  </si>
  <si>
    <t>5442 7460 3754 0736</t>
  </si>
  <si>
    <t>1573</t>
  </si>
  <si>
    <t>38779978304</t>
  </si>
  <si>
    <t>Santiago Herrera Garcia</t>
  </si>
  <si>
    <t>5442 7460 2469 6990</t>
  </si>
  <si>
    <t>1574</t>
  </si>
  <si>
    <t>76789215603</t>
  </si>
  <si>
    <t>Lucas Romero Gomez</t>
  </si>
  <si>
    <t>6062 8200 6075 7410</t>
  </si>
  <si>
    <t>6062 8200 6153 9808</t>
  </si>
  <si>
    <t>1575</t>
  </si>
  <si>
    <t>90117323080</t>
  </si>
  <si>
    <t>Mia Fernandez Perez</t>
  </si>
  <si>
    <t>6062 8200 7493 7274</t>
  </si>
  <si>
    <t>6062 8200 9491 3721</t>
  </si>
  <si>
    <t>1576</t>
  </si>
  <si>
    <t>74618971797</t>
  </si>
  <si>
    <t>Bruno Torres Rodriguez</t>
  </si>
  <si>
    <t>6062 8200 9995 9476</t>
  </si>
  <si>
    <t>6062 8200 6084 5222</t>
  </si>
  <si>
    <t>1577</t>
  </si>
  <si>
    <t>65912914585</t>
  </si>
  <si>
    <t>Delfina Flores</t>
  </si>
  <si>
    <t>6505 0666 9548 4183</t>
  </si>
  <si>
    <t>1578</t>
  </si>
  <si>
    <t>50925691151</t>
  </si>
  <si>
    <t>Bruno Castro</t>
  </si>
  <si>
    <t>5442 7460 8102 0754</t>
  </si>
  <si>
    <t>1579</t>
  </si>
  <si>
    <t>42359590502</t>
  </si>
  <si>
    <t>Nicolas Acosta Benitez</t>
  </si>
  <si>
    <t>4576 7460 9432 0871</t>
  </si>
  <si>
    <t>1580</t>
  </si>
  <si>
    <t>38424585330</t>
  </si>
  <si>
    <t>Catalina Ruiz Herrera</t>
  </si>
  <si>
    <t>3782 601832 6278</t>
  </si>
  <si>
    <t>1581</t>
  </si>
  <si>
    <t>34293017348</t>
  </si>
  <si>
    <t>Delfina Medina</t>
  </si>
  <si>
    <t>6505 0666 3747 2165</t>
  </si>
  <si>
    <t>1582</t>
  </si>
  <si>
    <t>08901846748</t>
  </si>
  <si>
    <t>Nicolas Ramirez Sanchez</t>
  </si>
  <si>
    <t>6062 8200 2054 9823</t>
  </si>
  <si>
    <t>6062 8200 9011 4571</t>
  </si>
  <si>
    <t>1583</t>
  </si>
  <si>
    <t>55452080546</t>
  </si>
  <si>
    <t>Tomas Herrera Ramirez</t>
  </si>
  <si>
    <t>6062 8200 1604 6400</t>
  </si>
  <si>
    <t>6062 8200 6770 2838</t>
  </si>
  <si>
    <t>1584</t>
  </si>
  <si>
    <t>36451406465</t>
  </si>
  <si>
    <t>Bruno Herrera</t>
  </si>
  <si>
    <t>5442 7460 1734 8395</t>
  </si>
  <si>
    <t>5442 7460 3245 7291</t>
  </si>
  <si>
    <t>1585</t>
  </si>
  <si>
    <t>76234173713</t>
  </si>
  <si>
    <t>Lucas Torres Garcia</t>
  </si>
  <si>
    <t>6505 0666 3824 3320</t>
  </si>
  <si>
    <t>6505 0666 8047 8181</t>
  </si>
  <si>
    <t>1586</t>
  </si>
  <si>
    <t>18938680100</t>
  </si>
  <si>
    <t>Lucas Perez Diaz</t>
  </si>
  <si>
    <t>6505 0666 3697 5879</t>
  </si>
  <si>
    <t>6505 0666 1411 3840</t>
  </si>
  <si>
    <t>1587</t>
  </si>
  <si>
    <t>02639446380</t>
  </si>
  <si>
    <t>Mateo Sanchez Gonzalez</t>
  </si>
  <si>
    <t>6062 8200 9868 7796</t>
  </si>
  <si>
    <t>6062 8200 1307 0483</t>
  </si>
  <si>
    <t>1588</t>
  </si>
  <si>
    <t>81020099690</t>
  </si>
  <si>
    <t>Agustin Benitez Romero</t>
  </si>
  <si>
    <t>6062 8200 5443 0038</t>
  </si>
  <si>
    <t>6062 8200 6119 9272</t>
  </si>
  <si>
    <t>1589</t>
  </si>
  <si>
    <t>89993829900</t>
  </si>
  <si>
    <t>Delfina Gomez</t>
  </si>
  <si>
    <t>4576 7460 6965 4720</t>
  </si>
  <si>
    <t>1590</t>
  </si>
  <si>
    <t>93963131900</t>
  </si>
  <si>
    <t>Lucia Garcia</t>
  </si>
  <si>
    <t>5442 7460 5007 5573</t>
  </si>
  <si>
    <t>1591</t>
  </si>
  <si>
    <t>02976358591</t>
  </si>
  <si>
    <t>Tomas Diaz Sosa</t>
  </si>
  <si>
    <t>4576 7460 9241 2054</t>
  </si>
  <si>
    <t>1592</t>
  </si>
  <si>
    <t>35686721971</t>
  </si>
  <si>
    <t>Sofia Garcia</t>
  </si>
  <si>
    <t>6505 0666 9929 4422</t>
  </si>
  <si>
    <t>1593</t>
  </si>
  <si>
    <t>51290560358</t>
  </si>
  <si>
    <t>Catalina Flores Aguirre</t>
  </si>
  <si>
    <t>6062 8200 4525 2976</t>
  </si>
  <si>
    <t>1594</t>
  </si>
  <si>
    <t>24857221535</t>
  </si>
  <si>
    <t>Sofia Lopez</t>
  </si>
  <si>
    <t>5442 7460 7112 8353</t>
  </si>
  <si>
    <t>1595</t>
  </si>
  <si>
    <t>70366215167</t>
  </si>
  <si>
    <t>Agustin Diaz</t>
  </si>
  <si>
    <t>6505 0666 6131 3712</t>
  </si>
  <si>
    <t>6505 0666 9913 7568</t>
  </si>
  <si>
    <t>1596</t>
  </si>
  <si>
    <t>15566377807</t>
  </si>
  <si>
    <t>Bruno Rodriguez</t>
  </si>
  <si>
    <t>6505 0666 4889 4680</t>
  </si>
  <si>
    <t>1597</t>
  </si>
  <si>
    <t>04699047807</t>
  </si>
  <si>
    <t>Camila Sanchez Alvarez</t>
  </si>
  <si>
    <t>5442 7460 1748 3476</t>
  </si>
  <si>
    <t>1598</t>
  </si>
  <si>
    <t>20511699263</t>
  </si>
  <si>
    <t>Franco Aguirre Romero</t>
  </si>
  <si>
    <t>6062 8200 3202 2001</t>
  </si>
  <si>
    <t>1599</t>
  </si>
  <si>
    <t>52427302856</t>
  </si>
  <si>
    <t>Camila Gonzalez Sanchez</t>
  </si>
  <si>
    <t>3782 894319 9469</t>
  </si>
  <si>
    <t>1600</t>
  </si>
  <si>
    <t>14287462939</t>
  </si>
  <si>
    <t>Julieta Perez</t>
  </si>
  <si>
    <t>5442 7460 1837 9776</t>
  </si>
  <si>
    <t>1601</t>
  </si>
  <si>
    <t>02871757909</t>
  </si>
  <si>
    <t>Renato Rodrigues Castro</t>
  </si>
  <si>
    <t>5442 7460 8288 9120</t>
  </si>
  <si>
    <t>1602</t>
  </si>
  <si>
    <t>87795273378</t>
  </si>
  <si>
    <t>Jessica Nascimento Almeida</t>
  </si>
  <si>
    <t>6062 8200 1289 8402</t>
  </si>
  <si>
    <t>6062 8200 4058 1860</t>
  </si>
  <si>
    <t>1603</t>
  </si>
  <si>
    <t>16052862300</t>
  </si>
  <si>
    <t>Leandro Teixeira Campos</t>
  </si>
  <si>
    <t>3782 643993 1292</t>
  </si>
  <si>
    <t>1604</t>
  </si>
  <si>
    <t>12703302509</t>
  </si>
  <si>
    <t>Marcelo Martins</t>
  </si>
  <si>
    <t>6062 8200 2930 9855</t>
  </si>
  <si>
    <t>1605</t>
  </si>
  <si>
    <t>00320741230</t>
  </si>
  <si>
    <t>Renata Oliveira Gomes</t>
  </si>
  <si>
    <t>4576 7460 5259 1119</t>
  </si>
  <si>
    <t>1606</t>
  </si>
  <si>
    <t>17414614999</t>
  </si>
  <si>
    <t>Gustavo Mendes</t>
  </si>
  <si>
    <t>4576 7460 1743 5958</t>
  </si>
  <si>
    <t>4576 7460 3171 4554</t>
  </si>
  <si>
    <t>1607</t>
  </si>
  <si>
    <t>14820740520</t>
  </si>
  <si>
    <t>6505 0666 2832 6788</t>
  </si>
  <si>
    <t>1608</t>
  </si>
  <si>
    <t>88798340964</t>
  </si>
  <si>
    <t>Bruno Vieira Rodrigues</t>
  </si>
  <si>
    <t>6062 8200 3491 7079</t>
  </si>
  <si>
    <t>1609</t>
  </si>
  <si>
    <t>23984631766</t>
  </si>
  <si>
    <t>Vinicius Oliveira</t>
  </si>
  <si>
    <t>6505 0666 6365 2694</t>
  </si>
  <si>
    <t>1610</t>
  </si>
  <si>
    <t>67513034591</t>
  </si>
  <si>
    <t>5442 7460 6723 3207</t>
  </si>
  <si>
    <t>1611</t>
  </si>
  <si>
    <t>02361669994</t>
  </si>
  <si>
    <t>Sabrina Ribeiro Rodrigues</t>
  </si>
  <si>
    <t>3782 898604 7470</t>
  </si>
  <si>
    <t>3782 903456 2437</t>
  </si>
  <si>
    <t>1612</t>
  </si>
  <si>
    <t>67438439704</t>
  </si>
  <si>
    <t>Priscila Campos</t>
  </si>
  <si>
    <t>5442 7460 2763 3842</t>
  </si>
  <si>
    <t>1613</t>
  </si>
  <si>
    <t>00444519203</t>
  </si>
  <si>
    <t>Mariana Oliveira Alves</t>
  </si>
  <si>
    <t>3782 545642 1267</t>
  </si>
  <si>
    <t>3782 216247 0576</t>
  </si>
  <si>
    <t>1614</t>
  </si>
  <si>
    <t>22179109067</t>
  </si>
  <si>
    <t>Rodrigo Castro Pinto</t>
  </si>
  <si>
    <t>6062 8200 3307 9437</t>
  </si>
  <si>
    <t>1615</t>
  </si>
  <si>
    <t>95035859533</t>
  </si>
  <si>
    <t>Felipe Souza Campos</t>
  </si>
  <si>
    <t>6505 0666 8490 4237</t>
  </si>
  <si>
    <t>1616</t>
  </si>
  <si>
    <t>21117293106</t>
  </si>
  <si>
    <t>Gabriela Rocha</t>
  </si>
  <si>
    <t>4576 7460 9095 9271</t>
  </si>
  <si>
    <t>1617</t>
  </si>
  <si>
    <t>52946272648</t>
  </si>
  <si>
    <t>Leandro Lima Teixeira</t>
  </si>
  <si>
    <t>5442 7460 8458 1899</t>
  </si>
  <si>
    <t>1618</t>
  </si>
  <si>
    <t>80834239205</t>
  </si>
  <si>
    <t>Thiago Oliveira</t>
  </si>
  <si>
    <t>5442 7460 9539 4114</t>
  </si>
  <si>
    <t>1619</t>
  </si>
  <si>
    <t>88590962865</t>
  </si>
  <si>
    <t>Lucas Freitas Araujo</t>
  </si>
  <si>
    <t>5442 7460 7960 3074</t>
  </si>
  <si>
    <t>1620</t>
  </si>
  <si>
    <t>28158542522</t>
  </si>
  <si>
    <t>Vinicius Dias</t>
  </si>
  <si>
    <t>6062 8200 8969 1600</t>
  </si>
  <si>
    <t>6062 8200 1547 1465</t>
  </si>
  <si>
    <t>1621</t>
  </si>
  <si>
    <t>45164329433</t>
  </si>
  <si>
    <t>Emma Ricci Bianchi</t>
  </si>
  <si>
    <t>5442 7460 7638 7379</t>
  </si>
  <si>
    <t>1622</t>
  </si>
  <si>
    <t>96832461097</t>
  </si>
  <si>
    <t>Vittoria Bianchi Rossi</t>
  </si>
  <si>
    <t>3782 986036 7921</t>
  </si>
  <si>
    <t>1623</t>
  </si>
  <si>
    <t>86808404674</t>
  </si>
  <si>
    <t>Ginevra Costa Gallo</t>
  </si>
  <si>
    <t>6505 0666 5009 2683</t>
  </si>
  <si>
    <t>1624</t>
  </si>
  <si>
    <t>73754355104</t>
  </si>
  <si>
    <t>Mattia Bruno</t>
  </si>
  <si>
    <t>6062 8200 9909 0329</t>
  </si>
  <si>
    <t>1625</t>
  </si>
  <si>
    <t>69944771937</t>
  </si>
  <si>
    <t>Emma Costa Ricci</t>
  </si>
  <si>
    <t>6062 8200 3655 1529</t>
  </si>
  <si>
    <t>1626</t>
  </si>
  <si>
    <t>67267798012</t>
  </si>
  <si>
    <t>Mattia Ferrari</t>
  </si>
  <si>
    <t>3782 676811 6134</t>
  </si>
  <si>
    <t>3782 463064 4517</t>
  </si>
  <si>
    <t>1627</t>
  </si>
  <si>
    <t>04541855704</t>
  </si>
  <si>
    <t>Mattia Gallo Marino</t>
  </si>
  <si>
    <t>6062 8200 7345 4962</t>
  </si>
  <si>
    <t>6062 8200 1551 1430</t>
  </si>
  <si>
    <t>1628</t>
  </si>
  <si>
    <t>01232731889</t>
  </si>
  <si>
    <t>Andrea Rossi Russo</t>
  </si>
  <si>
    <t>3782 877625 8700</t>
  </si>
  <si>
    <t>3782 471859 6248</t>
  </si>
  <si>
    <t>1629</t>
  </si>
  <si>
    <t>08504077373</t>
  </si>
  <si>
    <t>Aurora Greco Colombo</t>
  </si>
  <si>
    <t>3782 429403 9279</t>
  </si>
  <si>
    <t>1630</t>
  </si>
  <si>
    <t>78070142022</t>
  </si>
  <si>
    <t>Leonardo Bruno</t>
  </si>
  <si>
    <t>5442 7460 4320 9126</t>
  </si>
  <si>
    <t>1631</t>
  </si>
  <si>
    <t>35188040735</t>
  </si>
  <si>
    <t>Riccardo Conti Gallo</t>
  </si>
  <si>
    <t>3782 342812 4087</t>
  </si>
  <si>
    <t>1632</t>
  </si>
  <si>
    <t>92229539671</t>
  </si>
  <si>
    <t>Sofia Bianchi</t>
  </si>
  <si>
    <t>6505 0666 2216 8514</t>
  </si>
  <si>
    <t>6505 0666 8964 0817</t>
  </si>
  <si>
    <t>1633</t>
  </si>
  <si>
    <t>28736349445</t>
  </si>
  <si>
    <t>Emma Moretti</t>
  </si>
  <si>
    <t>4576 7460 6468 8448</t>
  </si>
  <si>
    <t>1634</t>
  </si>
  <si>
    <t>70590129589</t>
  </si>
  <si>
    <t>Andrea Russo Greco</t>
  </si>
  <si>
    <t>6062 8200 4810 5622</t>
  </si>
  <si>
    <t>6062 8200 1707 9249</t>
  </si>
  <si>
    <t>1635</t>
  </si>
  <si>
    <t>85105061756</t>
  </si>
  <si>
    <t>Vittoria Esposito Moretti</t>
  </si>
  <si>
    <t>4576 7460 6666 5813</t>
  </si>
  <si>
    <t>4576 7460 1399 6729</t>
  </si>
  <si>
    <t>1636</t>
  </si>
  <si>
    <t>19932092479</t>
  </si>
  <si>
    <t>Beatrice Rossi</t>
  </si>
  <si>
    <t>4576 7460 4154 2902</t>
  </si>
  <si>
    <t>4576 7460 5549 1459</t>
  </si>
  <si>
    <t>1637</t>
  </si>
  <si>
    <t>72711069281</t>
  </si>
  <si>
    <t>Vittoria Bianchi</t>
  </si>
  <si>
    <t>3782 560553 9944</t>
  </si>
  <si>
    <t>1638</t>
  </si>
  <si>
    <t>47523456928</t>
  </si>
  <si>
    <t>Andrea Gallo</t>
  </si>
  <si>
    <t>5442 7460 7360 6309</t>
  </si>
  <si>
    <t>5442 7460 5494 8034</t>
  </si>
  <si>
    <t>1639</t>
  </si>
  <si>
    <t>57393315289</t>
  </si>
  <si>
    <t>Beatrice Colombo Ferrari</t>
  </si>
  <si>
    <t>4576 7460 1571 4457</t>
  </si>
  <si>
    <t>1640</t>
  </si>
  <si>
    <t>45136379359</t>
  </si>
  <si>
    <t>Matteo Colombo Russo</t>
  </si>
  <si>
    <t>6062 8200 4750 2036</t>
  </si>
  <si>
    <t>6062 8200 9533 1981</t>
  </si>
  <si>
    <t>1641</t>
  </si>
  <si>
    <t>77956384737</t>
  </si>
  <si>
    <t>Francesco Costa Ferrari</t>
  </si>
  <si>
    <t>6062 8200 2709 5985</t>
  </si>
  <si>
    <t>1642</t>
  </si>
  <si>
    <t>33345010518</t>
  </si>
  <si>
    <t>Emma Moretti Ricci</t>
  </si>
  <si>
    <t>5442 7460 3594 6595</t>
  </si>
  <si>
    <t>5442 7460 4113 1304</t>
  </si>
  <si>
    <t>1643</t>
  </si>
  <si>
    <t>10420258868</t>
  </si>
  <si>
    <t>Beatrice Conti Bruno</t>
  </si>
  <si>
    <t>4576 7460 9735 2369</t>
  </si>
  <si>
    <t>1644</t>
  </si>
  <si>
    <t>32232473511</t>
  </si>
  <si>
    <t>Aurora Costa Gallo</t>
  </si>
  <si>
    <t>4576 7460 6355 3638</t>
  </si>
  <si>
    <t>1645</t>
  </si>
  <si>
    <t>60031714056</t>
  </si>
  <si>
    <t>Giorgia Rizzo Greco</t>
  </si>
  <si>
    <t>5442 7460 1543 9589</t>
  </si>
  <si>
    <t>1646</t>
  </si>
  <si>
    <t>47234133917</t>
  </si>
  <si>
    <t>Giorgia Lombardi Esposito</t>
  </si>
  <si>
    <t>6062 8200 1364 1245</t>
  </si>
  <si>
    <t>1647</t>
  </si>
  <si>
    <t>56094580214</t>
  </si>
  <si>
    <t>Gabriele Ricci Russo</t>
  </si>
  <si>
    <t>5442 7460 5173 1529</t>
  </si>
  <si>
    <t>5442 7460 1960 5629</t>
  </si>
  <si>
    <t>1648</t>
  </si>
  <si>
    <t>94967568165</t>
  </si>
  <si>
    <t>Leonardo Mancini</t>
  </si>
  <si>
    <t>6062 8200 2586 4017</t>
  </si>
  <si>
    <t>1649</t>
  </si>
  <si>
    <t>88546642788</t>
  </si>
  <si>
    <t>Alessandro Costa Moretti</t>
  </si>
  <si>
    <t>3782 651230 4064</t>
  </si>
  <si>
    <t>1650</t>
  </si>
  <si>
    <t>16790546197</t>
  </si>
  <si>
    <t>Giorgia Bruno Gallo</t>
  </si>
  <si>
    <t>6062 8200 2418 1748</t>
  </si>
  <si>
    <t>1651</t>
  </si>
  <si>
    <t>97014653423</t>
  </si>
  <si>
    <t>Thiago Almeida</t>
  </si>
  <si>
    <t>5442 7460 9615 8531</t>
  </si>
  <si>
    <t>5442 7460 8873 2298</t>
  </si>
  <si>
    <t>1652</t>
  </si>
  <si>
    <t>72754674101</t>
  </si>
  <si>
    <t>Leonardo Castro Araujo</t>
  </si>
  <si>
    <t>5442 7460 6662 3175</t>
  </si>
  <si>
    <t>5442 7460 6769 8310</t>
  </si>
  <si>
    <t>1653</t>
  </si>
  <si>
    <t>80562778624</t>
  </si>
  <si>
    <t>Matheus Campos</t>
  </si>
  <si>
    <t>5442 7460 4518 8454</t>
  </si>
  <si>
    <t>1654</t>
  </si>
  <si>
    <t>62548100502</t>
  </si>
  <si>
    <t>Gabriel Pinto</t>
  </si>
  <si>
    <t>6505 0666 3105 4012</t>
  </si>
  <si>
    <t>1655</t>
  </si>
  <si>
    <t>18887338450</t>
  </si>
  <si>
    <t>Vinicius Cavalcanti Castro</t>
  </si>
  <si>
    <t>3782 413659 2058</t>
  </si>
  <si>
    <t>3782 437788 8112</t>
  </si>
  <si>
    <t>1656</t>
  </si>
  <si>
    <t>39372084026</t>
  </si>
  <si>
    <t>Lucas Alves Campos</t>
  </si>
  <si>
    <t>5442 7460 7005 1188</t>
  </si>
  <si>
    <t>1657</t>
  </si>
  <si>
    <t>24994778906</t>
  </si>
  <si>
    <t>Gabriel Fernandes Carvalho</t>
  </si>
  <si>
    <t>4576 7460 7641 9598</t>
  </si>
  <si>
    <t>4576 7460 2912 1509</t>
  </si>
  <si>
    <t>1658</t>
  </si>
  <si>
    <t>83568936747</t>
  </si>
  <si>
    <t>Felipe Silva Fernandes</t>
  </si>
  <si>
    <t>3782 609360 7904</t>
  </si>
  <si>
    <t>1659</t>
  </si>
  <si>
    <t>19960592626</t>
  </si>
  <si>
    <t>Carolina Pinto Araujo</t>
  </si>
  <si>
    <t>6505 0666 7379 3007</t>
  </si>
  <si>
    <t>1660</t>
  </si>
  <si>
    <t>08308377017</t>
  </si>
  <si>
    <t>Leonardo Freitas</t>
  </si>
  <si>
    <t>3782 399963 2861</t>
  </si>
  <si>
    <t>1661</t>
  </si>
  <si>
    <t>31577159250</t>
  </si>
  <si>
    <t>Bruno Vieira Cardoso</t>
  </si>
  <si>
    <t>6505 0666 6173 7344</t>
  </si>
  <si>
    <t>6505 0666 9300 4107</t>
  </si>
  <si>
    <t>1662</t>
  </si>
  <si>
    <t>91576204073</t>
  </si>
  <si>
    <t>Jessica Castro Alves</t>
  </si>
  <si>
    <t>6062 8200 3066 4456</t>
  </si>
  <si>
    <t>1663</t>
  </si>
  <si>
    <t>34658073919</t>
  </si>
  <si>
    <t>Vivian Rocha Oliveira</t>
  </si>
  <si>
    <t>3782 764740 6499</t>
  </si>
  <si>
    <t>3782 861479 8740</t>
  </si>
  <si>
    <t>1664</t>
  </si>
  <si>
    <t>79576366755</t>
  </si>
  <si>
    <t>Juliana Costa</t>
  </si>
  <si>
    <t>3782 488494 5848</t>
  </si>
  <si>
    <t>3782 253472 7672</t>
  </si>
  <si>
    <t>1665</t>
  </si>
  <si>
    <t>46625930423</t>
  </si>
  <si>
    <t>Mariana Carvalho Monteiro</t>
  </si>
  <si>
    <t>3782 331809 3183</t>
  </si>
  <si>
    <t>1666</t>
  </si>
  <si>
    <t>84391106930</t>
  </si>
  <si>
    <t>Gabriela Cardoso Rodrigues</t>
  </si>
  <si>
    <t>6505 0666 2070 4858</t>
  </si>
  <si>
    <t>1667</t>
  </si>
  <si>
    <t>64559507120</t>
  </si>
  <si>
    <t>Gustavo Freitas Vieira</t>
  </si>
  <si>
    <t>3782 624685 3694</t>
  </si>
  <si>
    <t>1668</t>
  </si>
  <si>
    <t>88143423778</t>
  </si>
  <si>
    <t>Guilherme Gomes Monteiro</t>
  </si>
  <si>
    <t>4576 7460 3635 6671</t>
  </si>
  <si>
    <t>1669</t>
  </si>
  <si>
    <t>09890151901</t>
  </si>
  <si>
    <t>Renata Barros Rocha</t>
  </si>
  <si>
    <t>3782 920150 5308</t>
  </si>
  <si>
    <t>3782 576018 7196</t>
  </si>
  <si>
    <t>1670</t>
  </si>
  <si>
    <t>21376768348</t>
  </si>
  <si>
    <t>Bruno Mendes Oliveira</t>
  </si>
  <si>
    <t>4576 7460 2152 1386</t>
  </si>
  <si>
    <t>4576 7460 4023 1963</t>
  </si>
  <si>
    <t>1671</t>
  </si>
  <si>
    <t>43057403891</t>
  </si>
  <si>
    <t>Alexandre Nunes</t>
  </si>
  <si>
    <t>4576 7460 7635 9687</t>
  </si>
  <si>
    <t>1672</t>
  </si>
  <si>
    <t>46794023857</t>
  </si>
  <si>
    <t>Juliana Vieira Campos</t>
  </si>
  <si>
    <t>5442 7460 2728 5183</t>
  </si>
  <si>
    <t>1673</t>
  </si>
  <si>
    <t>60992206740</t>
  </si>
  <si>
    <t>Sabrina Alves Lima</t>
  </si>
  <si>
    <t>6062 8200 8711 7965</t>
  </si>
  <si>
    <t>6062 8200 8395 6006</t>
  </si>
  <si>
    <t>1674</t>
  </si>
  <si>
    <t>77480144423</t>
  </si>
  <si>
    <t>Gustavo Dias</t>
  </si>
  <si>
    <t>4576 7460 4194 4360</t>
  </si>
  <si>
    <t>1675</t>
  </si>
  <si>
    <t>62505930716</t>
  </si>
  <si>
    <t>Patricia Cavalcanti Rodrigues</t>
  </si>
  <si>
    <t>6062 8200 3767 9737</t>
  </si>
  <si>
    <t>1676</t>
  </si>
  <si>
    <t>27163086911</t>
  </si>
  <si>
    <t>Rafael Nascimento Moura</t>
  </si>
  <si>
    <t>6505 0666 4596 8585</t>
  </si>
  <si>
    <t>6505 0666 8967 4948</t>
  </si>
  <si>
    <t>1677</t>
  </si>
  <si>
    <t>31710055650</t>
  </si>
  <si>
    <t>Renata Oliveira</t>
  </si>
  <si>
    <t>6062 8200 5755 0272</t>
  </si>
  <si>
    <t>1678</t>
  </si>
  <si>
    <t>75054093109</t>
  </si>
  <si>
    <t>5442 7460 9325 1808</t>
  </si>
  <si>
    <t>5442 7460 5316 6367</t>
  </si>
  <si>
    <t>1679</t>
  </si>
  <si>
    <t>37352022767</t>
  </si>
  <si>
    <t>Jessica Carvalho</t>
  </si>
  <si>
    <t>6505 0666 6076 1814</t>
  </si>
  <si>
    <t>1680</t>
  </si>
  <si>
    <t>05662124639</t>
  </si>
  <si>
    <t>Renata Castro Cavalcanti</t>
  </si>
  <si>
    <t>4576 7460 3536 2290</t>
  </si>
  <si>
    <t>1681</t>
  </si>
  <si>
    <t>52211369103</t>
  </si>
  <si>
    <t>Sabrina Vieira Campos</t>
  </si>
  <si>
    <t>6062 8200 5620 6533</t>
  </si>
  <si>
    <t>1682</t>
  </si>
  <si>
    <t>12511825856</t>
  </si>
  <si>
    <t>Alexandre Teixeira</t>
  </si>
  <si>
    <t>6062 8200 3231 0817</t>
  </si>
  <si>
    <t>1683</t>
  </si>
  <si>
    <t>31069423041</t>
  </si>
  <si>
    <t>Guilherme Freitas</t>
  </si>
  <si>
    <t>3782 519275 5788</t>
  </si>
  <si>
    <t>3782 197363 4234</t>
  </si>
  <si>
    <t>1684</t>
  </si>
  <si>
    <t>67175388802</t>
  </si>
  <si>
    <t>Renata Cardoso Dias</t>
  </si>
  <si>
    <t>6505 0666 4730 2745</t>
  </si>
  <si>
    <t>6505 0666 4052 0779</t>
  </si>
  <si>
    <t>1685</t>
  </si>
  <si>
    <t>27200360210</t>
  </si>
  <si>
    <t>Amanda Moura Rodrigues</t>
  </si>
  <si>
    <t>5442 7460 4305 0903</t>
  </si>
  <si>
    <t>1686</t>
  </si>
  <si>
    <t>78480226250</t>
  </si>
  <si>
    <t>Vanessa Costa</t>
  </si>
  <si>
    <t>5442 7460 4709 7191</t>
  </si>
  <si>
    <t>1687</t>
  </si>
  <si>
    <t>33704476579</t>
  </si>
  <si>
    <t>Felipe Araujo Barbosa</t>
  </si>
  <si>
    <t>4576 7460 1332 7094</t>
  </si>
  <si>
    <t>4576 7460 5218 1181</t>
  </si>
  <si>
    <t>1688</t>
  </si>
  <si>
    <t>15062046351</t>
  </si>
  <si>
    <t>Caio Pereira Lima</t>
  </si>
  <si>
    <t>4576 7460 8235 9921</t>
  </si>
  <si>
    <t>1689</t>
  </si>
  <si>
    <t>43529002224</t>
  </si>
  <si>
    <t>Priscila Santos</t>
  </si>
  <si>
    <t>3782 786423 6876</t>
  </si>
  <si>
    <t>1690</t>
  </si>
  <si>
    <t>77522831180</t>
  </si>
  <si>
    <t>Fernanda Costa</t>
  </si>
  <si>
    <t>5442 7460 4007 5509</t>
  </si>
  <si>
    <t>1691</t>
  </si>
  <si>
    <t>06110445878</t>
  </si>
  <si>
    <t>Matheus Cardoso Martins</t>
  </si>
  <si>
    <t>6062 8200 2396 8635</t>
  </si>
  <si>
    <t>6062 8200 5292 6278</t>
  </si>
  <si>
    <t>1692</t>
  </si>
  <si>
    <t>45759031678</t>
  </si>
  <si>
    <t>Marcos Teixeira Souza</t>
  </si>
  <si>
    <t>3782 606588 8863</t>
  </si>
  <si>
    <t>1693</t>
  </si>
  <si>
    <t>89686746390</t>
  </si>
  <si>
    <t>Bianca Silva</t>
  </si>
  <si>
    <t>5442 7460 6264 7498</t>
  </si>
  <si>
    <t>5442 7460 3586 5614</t>
  </si>
  <si>
    <t>1694</t>
  </si>
  <si>
    <t>13156651311</t>
  </si>
  <si>
    <t>Diego Barbosa</t>
  </si>
  <si>
    <t>4576 7460 5145 1637</t>
  </si>
  <si>
    <t>4576 7460 5614 9165</t>
  </si>
  <si>
    <t>1695</t>
  </si>
  <si>
    <t>62820622097</t>
  </si>
  <si>
    <t>Leandro Dias</t>
  </si>
  <si>
    <t>6062 8200 2364 0667</t>
  </si>
  <si>
    <t>1696</t>
  </si>
  <si>
    <t>41620958848</t>
  </si>
  <si>
    <t>Camila Oliveira</t>
  </si>
  <si>
    <t>6505 0666 8443 8273</t>
  </si>
  <si>
    <t>1697</t>
  </si>
  <si>
    <t>42724703880</t>
  </si>
  <si>
    <t>Debora Vieira Moura</t>
  </si>
  <si>
    <t>3782 671508 1481</t>
  </si>
  <si>
    <t>3782 515967 2757</t>
  </si>
  <si>
    <t>1698</t>
  </si>
  <si>
    <t>78597152281</t>
  </si>
  <si>
    <t>Isabela Almeida Castro</t>
  </si>
  <si>
    <t>6062 8200 5734 6441</t>
  </si>
  <si>
    <t>6062 8200 5954 9684</t>
  </si>
  <si>
    <t>1699</t>
  </si>
  <si>
    <t>09185174009</t>
  </si>
  <si>
    <t>Carolina Rocha</t>
  </si>
  <si>
    <t>5442 7460 4189 9035</t>
  </si>
  <si>
    <t>1700</t>
  </si>
  <si>
    <t>62298957142</t>
  </si>
  <si>
    <t>Diego Araujo</t>
  </si>
  <si>
    <t>6505 0666 9288 6758</t>
  </si>
  <si>
    <t>1701</t>
  </si>
  <si>
    <t>02625025506</t>
  </si>
  <si>
    <t>Rafael Vieira</t>
  </si>
  <si>
    <t>3782 796637 5326</t>
  </si>
  <si>
    <t>1702</t>
  </si>
  <si>
    <t>05193627641</t>
  </si>
  <si>
    <t>Aline Silva Barros</t>
  </si>
  <si>
    <t>3782 418922 0195</t>
  </si>
  <si>
    <t>1703</t>
  </si>
  <si>
    <t>84807756370</t>
  </si>
  <si>
    <t>Vivian Costa</t>
  </si>
  <si>
    <t>5442 7460 1645 4208</t>
  </si>
  <si>
    <t>5442 7460 8295 0739</t>
  </si>
  <si>
    <t>1704</t>
  </si>
  <si>
    <t>87537728143</t>
  </si>
  <si>
    <t>Gustavo Silva Teixeira</t>
  </si>
  <si>
    <t>6062 8200 4113 5289</t>
  </si>
  <si>
    <t>1705</t>
  </si>
  <si>
    <t>94286919684</t>
  </si>
  <si>
    <t>Amanda Lima Rodrigues</t>
  </si>
  <si>
    <t>5442 7460 3283 6538</t>
  </si>
  <si>
    <t>5442 7460 7711 5007</t>
  </si>
  <si>
    <t>1706</t>
  </si>
  <si>
    <t>81721742760</t>
  </si>
  <si>
    <t>6505 0666 6833 9519</t>
  </si>
  <si>
    <t>1707</t>
  </si>
  <si>
    <t>32776713720</t>
  </si>
  <si>
    <t>Vinicius Costa</t>
  </si>
  <si>
    <t>5442 7460 5820 1690</t>
  </si>
  <si>
    <t>1708</t>
  </si>
  <si>
    <t>74838281293</t>
  </si>
  <si>
    <t>Beatriz Silva</t>
  </si>
  <si>
    <t>6062 8200 6585 0126</t>
  </si>
  <si>
    <t>6062 8200 6165 8255</t>
  </si>
  <si>
    <t>1709</t>
  </si>
  <si>
    <t>19306496818</t>
  </si>
  <si>
    <t>Larissa Castro Santos</t>
  </si>
  <si>
    <t>3782 195124 6759</t>
  </si>
  <si>
    <t>1710</t>
  </si>
  <si>
    <t>98247775476</t>
  </si>
  <si>
    <t>Fernanda Lima Silva</t>
  </si>
  <si>
    <t>5442 7460 4556 7362</t>
  </si>
  <si>
    <t>1711</t>
  </si>
  <si>
    <t>04783351562</t>
  </si>
  <si>
    <t>Patricia Fernandes Rocha</t>
  </si>
  <si>
    <t>5442 7460 9278 3885</t>
  </si>
  <si>
    <t>5442 7460 5402 7506</t>
  </si>
  <si>
    <t>1712</t>
  </si>
  <si>
    <t>15941520719</t>
  </si>
  <si>
    <t>5442 7460 1215 3064</t>
  </si>
  <si>
    <t>5442 7460 4933 0946</t>
  </si>
  <si>
    <t>1713</t>
  </si>
  <si>
    <t>00831181796</t>
  </si>
  <si>
    <t>Lucas Campos Monteiro</t>
  </si>
  <si>
    <t>4576 7460 6611 1571</t>
  </si>
  <si>
    <t>1714</t>
  </si>
  <si>
    <t>23563456470</t>
  </si>
  <si>
    <t>Alexandre Carvalho Gomes</t>
  </si>
  <si>
    <t>3782 134622 8508</t>
  </si>
  <si>
    <t>1715</t>
  </si>
  <si>
    <t>43857574704</t>
  </si>
  <si>
    <t>Amanda Ribeiro Mendes</t>
  </si>
  <si>
    <t>6505 0666 8383 8443</t>
  </si>
  <si>
    <t>6505 0666 6557 9120</t>
  </si>
  <si>
    <t>1716</t>
  </si>
  <si>
    <t>03247776559</t>
  </si>
  <si>
    <t>Marcos Borges</t>
  </si>
  <si>
    <t>6505 0666 2301 5753</t>
  </si>
  <si>
    <t>1717</t>
  </si>
  <si>
    <t>26206020410</t>
  </si>
  <si>
    <t>Camila Costa Campos</t>
  </si>
  <si>
    <t>4576 7460 5560 5098</t>
  </si>
  <si>
    <t>4576 7460 7816 6514</t>
  </si>
  <si>
    <t>1718</t>
  </si>
  <si>
    <t>66697180048</t>
  </si>
  <si>
    <t>Priscila Nunes Monteiro</t>
  </si>
  <si>
    <t>6505 0666 5107 0198</t>
  </si>
  <si>
    <t>1719</t>
  </si>
  <si>
    <t>16845722072</t>
  </si>
  <si>
    <t>Caio Gomes</t>
  </si>
  <si>
    <t>5442 7460 3743 5423</t>
  </si>
  <si>
    <t>1720</t>
  </si>
  <si>
    <t>54864980390</t>
  </si>
  <si>
    <t>Sabrina Ribeiro Moreira</t>
  </si>
  <si>
    <t>4576 7460 3618 2673</t>
  </si>
  <si>
    <t>1721</t>
  </si>
  <si>
    <t>03586428413</t>
  </si>
  <si>
    <t>Priscila Carvalho Barros</t>
  </si>
  <si>
    <t>5442 7460 6930 0377</t>
  </si>
  <si>
    <t>1722</t>
  </si>
  <si>
    <t>72108537074</t>
  </si>
  <si>
    <t>Vinicius Silva Castro</t>
  </si>
  <si>
    <t>3782 633703 7599</t>
  </si>
  <si>
    <t>3782 106921 5950</t>
  </si>
  <si>
    <t>1723</t>
  </si>
  <si>
    <t>56794517191</t>
  </si>
  <si>
    <t>Fabio Gomes Carvalho</t>
  </si>
  <si>
    <t>5442 7460 7908 7769</t>
  </si>
  <si>
    <t>1724</t>
  </si>
  <si>
    <t>03887927605</t>
  </si>
  <si>
    <t>Danilo Alves Nascimento</t>
  </si>
  <si>
    <t>6505 0666 1097 8083</t>
  </si>
  <si>
    <t>1725</t>
  </si>
  <si>
    <t>69961824253</t>
  </si>
  <si>
    <t>Leandro Lima</t>
  </si>
  <si>
    <t>5442 7460 3671 0911</t>
  </si>
  <si>
    <t>1726</t>
  </si>
  <si>
    <t>88455135646</t>
  </si>
  <si>
    <t>Vanessa Alves</t>
  </si>
  <si>
    <t>6062 8200 4689 3113</t>
  </si>
  <si>
    <t>1727</t>
  </si>
  <si>
    <t>34116094439</t>
  </si>
  <si>
    <t>Larissa Monteiro</t>
  </si>
  <si>
    <t>6505 0666 4933 2714</t>
  </si>
  <si>
    <t>1728</t>
  </si>
  <si>
    <t>21955567816</t>
  </si>
  <si>
    <t>6062 8200 8364 1472</t>
  </si>
  <si>
    <t>1729</t>
  </si>
  <si>
    <t>61551081296</t>
  </si>
  <si>
    <t>Larissa Nunes Barbosa</t>
  </si>
  <si>
    <t>4576 7460 5475 5209</t>
  </si>
  <si>
    <t>1730</t>
  </si>
  <si>
    <t>95035133400</t>
  </si>
  <si>
    <t>Leonardo Borges Nunes</t>
  </si>
  <si>
    <t>6062 8200 6468 4006</t>
  </si>
  <si>
    <t>6062 8200 6355 2126</t>
  </si>
  <si>
    <t>1731</t>
  </si>
  <si>
    <t>73839249759</t>
  </si>
  <si>
    <t>Isabela Teixeira</t>
  </si>
  <si>
    <t>6062 8200 8331 0809</t>
  </si>
  <si>
    <t>1732</t>
  </si>
  <si>
    <t>07469076808</t>
  </si>
  <si>
    <t>Vinicius Martins Rocha</t>
  </si>
  <si>
    <t>6062 8200 9196 8052</t>
  </si>
  <si>
    <t>1733</t>
  </si>
  <si>
    <t>70055121462</t>
  </si>
  <si>
    <t>Alexandre Monteiro</t>
  </si>
  <si>
    <t>5442 7460 3054 1122</t>
  </si>
  <si>
    <t>5442 7460 2064 5366</t>
  </si>
  <si>
    <t>1734</t>
  </si>
  <si>
    <t>67719111877</t>
  </si>
  <si>
    <t>Fabio Moreira</t>
  </si>
  <si>
    <t>3782 157713 9637</t>
  </si>
  <si>
    <t>1735</t>
  </si>
  <si>
    <t>52299115498</t>
  </si>
  <si>
    <t>Diego Souza Araujo</t>
  </si>
  <si>
    <t>6062 8200 4815 9338</t>
  </si>
  <si>
    <t>6062 8200 2150 8664</t>
  </si>
  <si>
    <t>1736</t>
  </si>
  <si>
    <t>07227257606</t>
  </si>
  <si>
    <t>Vinicius Nascimento Rocha</t>
  </si>
  <si>
    <t>6505 0666 3361 3480</t>
  </si>
  <si>
    <t>1737</t>
  </si>
  <si>
    <t>85152144662</t>
  </si>
  <si>
    <t>6062 8200 4303 4967</t>
  </si>
  <si>
    <t>1738</t>
  </si>
  <si>
    <t>77662028836</t>
  </si>
  <si>
    <t>6505 0666 3753 5406</t>
  </si>
  <si>
    <t>1739</t>
  </si>
  <si>
    <t>41511215445</t>
  </si>
  <si>
    <t>Guilherme Nunes</t>
  </si>
  <si>
    <t>6505 0666 1120 9006</t>
  </si>
  <si>
    <t>6505 0666 2869 7135</t>
  </si>
  <si>
    <t>75868347501</t>
  </si>
  <si>
    <t>Fabio Nascimento Borges</t>
  </si>
  <si>
    <t>4576 7460 8968 0283</t>
  </si>
  <si>
    <t>1741</t>
  </si>
  <si>
    <t>86986901224</t>
  </si>
  <si>
    <t>Carolina Nunes Freitas</t>
  </si>
  <si>
    <t>5442 7460 5390 3345</t>
  </si>
  <si>
    <t>5442 7460 6916 9321</t>
  </si>
  <si>
    <t>1742</t>
  </si>
  <si>
    <t>77614411110</t>
  </si>
  <si>
    <t>6505 0666 9109 4296</t>
  </si>
  <si>
    <t>6505 0666 8974 3143</t>
  </si>
  <si>
    <t>1743</t>
  </si>
  <si>
    <t>64772841032</t>
  </si>
  <si>
    <t>Rodrigo Martins</t>
  </si>
  <si>
    <t>3782 436061 4891</t>
  </si>
  <si>
    <t>1744</t>
  </si>
  <si>
    <t>25611647138</t>
  </si>
  <si>
    <t>Renata Moura Costa</t>
  </si>
  <si>
    <t>4576 7460 1598 7314</t>
  </si>
  <si>
    <t>1745</t>
  </si>
  <si>
    <t>93336679621</t>
  </si>
  <si>
    <t>Caio Gomes Moura</t>
  </si>
  <si>
    <t>6505 0666 3817 2949</t>
  </si>
  <si>
    <t>1746</t>
  </si>
  <si>
    <t>77348621953</t>
  </si>
  <si>
    <t>Gustavo Araujo Rocha</t>
  </si>
  <si>
    <t>5442 7460 6975 4144</t>
  </si>
  <si>
    <t>5442 7460 6563 8337</t>
  </si>
  <si>
    <t>1747</t>
  </si>
  <si>
    <t>31947135317</t>
  </si>
  <si>
    <t>Camila Moreira</t>
  </si>
  <si>
    <t>4576 7460 1453 8685</t>
  </si>
  <si>
    <t>4576 7460 9125 3609</t>
  </si>
  <si>
    <t>1748</t>
  </si>
  <si>
    <t>67502178856</t>
  </si>
  <si>
    <t>Priscila Barros</t>
  </si>
  <si>
    <t>5442 7460 8850 9747</t>
  </si>
  <si>
    <t>5442 7460 7895 2787</t>
  </si>
  <si>
    <t>1749</t>
  </si>
  <si>
    <t>67834180576</t>
  </si>
  <si>
    <t>Caio Monteiro Santos</t>
  </si>
  <si>
    <t>3782 343283 4714</t>
  </si>
  <si>
    <t>1750</t>
  </si>
  <si>
    <t>25484458870</t>
  </si>
  <si>
    <t>Vinicius Teixeira</t>
  </si>
  <si>
    <t>3782 571061 9358</t>
  </si>
  <si>
    <t>1751</t>
  </si>
  <si>
    <t>58815325891</t>
  </si>
  <si>
    <t>Jessica Teixeira</t>
  </si>
  <si>
    <t>3782 704473 9376</t>
  </si>
  <si>
    <t>3782 547299 0946</t>
  </si>
  <si>
    <t>1752</t>
  </si>
  <si>
    <t>59550508846</t>
  </si>
  <si>
    <t>Leonardo Costa</t>
  </si>
  <si>
    <t>3782 635627 0432</t>
  </si>
  <si>
    <t>1753</t>
  </si>
  <si>
    <t>06408600522</t>
  </si>
  <si>
    <t>Fernanda Nascimento Monteiro</t>
  </si>
  <si>
    <t>6062 8200 5076 9739</t>
  </si>
  <si>
    <t>1754</t>
  </si>
  <si>
    <t>33950513230</t>
  </si>
  <si>
    <t>Guilherme Barbosa Souza</t>
  </si>
  <si>
    <t>6505 0666 1889 8949</t>
  </si>
  <si>
    <t>6505 0666 4467 7177</t>
  </si>
  <si>
    <t>1755</t>
  </si>
  <si>
    <t>32702125263</t>
  </si>
  <si>
    <t>Leticia Cardoso</t>
  </si>
  <si>
    <t>6062 8200 2146 4997</t>
  </si>
  <si>
    <t>1756</t>
  </si>
  <si>
    <t>45901226500</t>
  </si>
  <si>
    <t>Renata Gomes</t>
  </si>
  <si>
    <t>3782 122614 0611</t>
  </si>
  <si>
    <t>3782 738500 7509</t>
  </si>
  <si>
    <t>1757</t>
  </si>
  <si>
    <t>51068000139</t>
  </si>
  <si>
    <t>Leticia Martins Castro</t>
  </si>
  <si>
    <t>4576 7460 8019 5674</t>
  </si>
  <si>
    <t>4576 7460 8627 4202</t>
  </si>
  <si>
    <t>1758</t>
  </si>
  <si>
    <t>87413344777</t>
  </si>
  <si>
    <t>Amanda Lima Borges</t>
  </si>
  <si>
    <t>4576 7460 6245 2046</t>
  </si>
  <si>
    <t>1759</t>
  </si>
  <si>
    <t>70185745954</t>
  </si>
  <si>
    <t>Rafael Rodrigues Lima</t>
  </si>
  <si>
    <t>4576 7460 5431 5870</t>
  </si>
  <si>
    <t>1760</t>
  </si>
  <si>
    <t>15953434588</t>
  </si>
  <si>
    <t>Diego Teixeira</t>
  </si>
  <si>
    <t>4576 7460 8835 0714</t>
  </si>
  <si>
    <t>1761</t>
  </si>
  <si>
    <t>75557943811</t>
  </si>
  <si>
    <t>Vivian Almeida Santos</t>
  </si>
  <si>
    <t>4576 7460 6815 6971</t>
  </si>
  <si>
    <t>4576 7460 5961 7303</t>
  </si>
  <si>
    <t>1762</t>
  </si>
  <si>
    <t>70624208249</t>
  </si>
  <si>
    <t>Gabriela Barbosa Rocha</t>
  </si>
  <si>
    <t>5442 7460 1989 7664</t>
  </si>
  <si>
    <t>1763</t>
  </si>
  <si>
    <t>10506893138</t>
  </si>
  <si>
    <t>Beatriz Nascimento Barbosa</t>
  </si>
  <si>
    <t>3782 269935 6632</t>
  </si>
  <si>
    <t>3782 290076 8341</t>
  </si>
  <si>
    <t>1764</t>
  </si>
  <si>
    <t>64784684700</t>
  </si>
  <si>
    <t>6062 8200 3916 5610</t>
  </si>
  <si>
    <t>6062 8200 1837 5519</t>
  </si>
  <si>
    <t>1765</t>
  </si>
  <si>
    <t>02656295866</t>
  </si>
  <si>
    <t>Vanessa Pinto Moura</t>
  </si>
  <si>
    <t>5442 7460 6417 8790</t>
  </si>
  <si>
    <t>1766</t>
  </si>
  <si>
    <t>76116498418</t>
  </si>
  <si>
    <t>Danilo Teixeira Vieira</t>
  </si>
  <si>
    <t>5442 7460 6671 3147</t>
  </si>
  <si>
    <t>1767</t>
  </si>
  <si>
    <t>08336755241</t>
  </si>
  <si>
    <t>Leonardo Silva Monteiro</t>
  </si>
  <si>
    <t>4576 7460 2337 3067</t>
  </si>
  <si>
    <t>1768</t>
  </si>
  <si>
    <t>67091637844</t>
  </si>
  <si>
    <t>Sabrina Carvalho Castro</t>
  </si>
  <si>
    <t>6062 8200 9508 3049</t>
  </si>
  <si>
    <t>1769</t>
  </si>
  <si>
    <t>54257397020</t>
  </si>
  <si>
    <t>Vivian Pereira Pinto</t>
  </si>
  <si>
    <t>3782 278743 4528</t>
  </si>
  <si>
    <t>3782 416069 4464</t>
  </si>
  <si>
    <t>1770</t>
  </si>
  <si>
    <t>95911438500</t>
  </si>
  <si>
    <t>Aline Silva</t>
  </si>
  <si>
    <t>3782 100849 7963</t>
  </si>
  <si>
    <t>1771</t>
  </si>
  <si>
    <t>17996647674</t>
  </si>
  <si>
    <t>Gabriela Silva Santos</t>
  </si>
  <si>
    <t>3782 952165 0879</t>
  </si>
  <si>
    <t>1772</t>
  </si>
  <si>
    <t>00449688763</t>
  </si>
  <si>
    <t>Priscila Carvalho Monteiro</t>
  </si>
  <si>
    <t>4576 7460 2689 3002</t>
  </si>
  <si>
    <t>1773</t>
  </si>
  <si>
    <t>07183881946</t>
  </si>
  <si>
    <t>Aline Oliveira Costa</t>
  </si>
  <si>
    <t>4576 7460 4515 3008</t>
  </si>
  <si>
    <t>4576 7460 5036 1774</t>
  </si>
  <si>
    <t>1774</t>
  </si>
  <si>
    <t>80621572020</t>
  </si>
  <si>
    <t>Debora Castro Alves</t>
  </si>
  <si>
    <t>4576 7460 1657 7483</t>
  </si>
  <si>
    <t>1775</t>
  </si>
  <si>
    <t>21614437807</t>
  </si>
  <si>
    <t>Renata Almeida Borges</t>
  </si>
  <si>
    <t>6505 0666 5322 2760</t>
  </si>
  <si>
    <t>1776</t>
  </si>
  <si>
    <t>23722071216</t>
  </si>
  <si>
    <t>Vivian Lima</t>
  </si>
  <si>
    <t>6505 0666 6718 1435</t>
  </si>
  <si>
    <t>6505 0666 3556 2770</t>
  </si>
  <si>
    <t>1777</t>
  </si>
  <si>
    <t>07065508110</t>
  </si>
  <si>
    <t>Fabio Campos Pereira</t>
  </si>
  <si>
    <t>6062 8200 8488 1633</t>
  </si>
  <si>
    <t>1778</t>
  </si>
  <si>
    <t>13810394300</t>
  </si>
  <si>
    <t>Gabriela Rodrigues Costa</t>
  </si>
  <si>
    <t>6062 8200 1361 8913</t>
  </si>
  <si>
    <t>6062 8200 6432 2165</t>
  </si>
  <si>
    <t>1779</t>
  </si>
  <si>
    <t>76367356606</t>
  </si>
  <si>
    <t>Aline Almeida Nascimento</t>
  </si>
  <si>
    <t>6062 8200 3025 4866</t>
  </si>
  <si>
    <t>1780</t>
  </si>
  <si>
    <t>04466985200</t>
  </si>
  <si>
    <t>Leandro Pinto Nascimento</t>
  </si>
  <si>
    <t>5442 7460 2519 0385</t>
  </si>
  <si>
    <t>1781</t>
  </si>
  <si>
    <t>00387469800</t>
  </si>
  <si>
    <t>Marcelo Cavalcanti</t>
  </si>
  <si>
    <t>3782 719740 5809</t>
  </si>
  <si>
    <t>3782 473842 1936</t>
  </si>
  <si>
    <t>1782</t>
  </si>
  <si>
    <t>12897122552</t>
  </si>
  <si>
    <t>Diego Rocha</t>
  </si>
  <si>
    <t>5442 7460 5102 2563</t>
  </si>
  <si>
    <t>1783</t>
  </si>
  <si>
    <t>80930695690</t>
  </si>
  <si>
    <t>Priscila Nascimento</t>
  </si>
  <si>
    <t>6062 8200 4721 3855</t>
  </si>
  <si>
    <t>1784</t>
  </si>
  <si>
    <t>44952258475</t>
  </si>
  <si>
    <t>Felipe Gomes Campos</t>
  </si>
  <si>
    <t>6505 0666 5501 6063</t>
  </si>
  <si>
    <t>6505 0666 5084 5977</t>
  </si>
  <si>
    <t>1785</t>
  </si>
  <si>
    <t>49619776836</t>
  </si>
  <si>
    <t>Diego Silva Borges</t>
  </si>
  <si>
    <t>5442 7460 4576 9265</t>
  </si>
  <si>
    <t>5442 7460 4631 8202</t>
  </si>
  <si>
    <t>1786</t>
  </si>
  <si>
    <t>95890654144</t>
  </si>
  <si>
    <t>Vivian Almeida</t>
  </si>
  <si>
    <t>5442 7460 7568 1408</t>
  </si>
  <si>
    <t>1787</t>
  </si>
  <si>
    <t>79993217298</t>
  </si>
  <si>
    <t>Gabriel Cavalcanti Nascimento</t>
  </si>
  <si>
    <t>3782 413078 4530</t>
  </si>
  <si>
    <t>3782 763419 2099</t>
  </si>
  <si>
    <t>1788</t>
  </si>
  <si>
    <t>52321263423</t>
  </si>
  <si>
    <t>Felipe Ribeiro Dias</t>
  </si>
  <si>
    <t>6505 0666 2488 8156</t>
  </si>
  <si>
    <t>1789</t>
  </si>
  <si>
    <t>99464935197</t>
  </si>
  <si>
    <t>Fabio Cardoso</t>
  </si>
  <si>
    <t>5442 7460 2904 0224</t>
  </si>
  <si>
    <t>5442 7460 4797 7623</t>
  </si>
  <si>
    <t>1790</t>
  </si>
  <si>
    <t>25522695919</t>
  </si>
  <si>
    <t>Marcos Almeida Ribeiro</t>
  </si>
  <si>
    <t>4576 7460 8888 9612</t>
  </si>
  <si>
    <t>4576 7460 2218 7403</t>
  </si>
  <si>
    <t>1791</t>
  </si>
  <si>
    <t>79890917203</t>
  </si>
  <si>
    <t>Leonardo Lima</t>
  </si>
  <si>
    <t>6505 0666 7529 0479</t>
  </si>
  <si>
    <t>1792</t>
  </si>
  <si>
    <t>06692691400</t>
  </si>
  <si>
    <t>Diego Freitas Nascimento</t>
  </si>
  <si>
    <t>4576 7460 8275 0259</t>
  </si>
  <si>
    <t>1793</t>
  </si>
  <si>
    <t>00952462079</t>
  </si>
  <si>
    <t>Mariana Cardoso Costa</t>
  </si>
  <si>
    <t>4576 7460 5381 0983</t>
  </si>
  <si>
    <t>1794</t>
  </si>
  <si>
    <t>94498878027</t>
  </si>
  <si>
    <t>Eduardo Carvalho Costa</t>
  </si>
  <si>
    <t>5442 7460 6933 2608</t>
  </si>
  <si>
    <t>5442 7460 2655 3800</t>
  </si>
  <si>
    <t>1795</t>
  </si>
  <si>
    <t>50078489997</t>
  </si>
  <si>
    <t>Vinicius Pinto Pereira</t>
  </si>
  <si>
    <t>3782 549683 3552</t>
  </si>
  <si>
    <t>1796</t>
  </si>
  <si>
    <t>82131583265</t>
  </si>
  <si>
    <t>6062 8200 6055 3373</t>
  </si>
  <si>
    <t>6062 8200 2740 0602</t>
  </si>
  <si>
    <t>1797</t>
  </si>
  <si>
    <t>41156272394</t>
  </si>
  <si>
    <t>Marcos Rodrigues Santos</t>
  </si>
  <si>
    <t>6505 0666 3318 4479</t>
  </si>
  <si>
    <t>1798</t>
  </si>
  <si>
    <t>62802426842</t>
  </si>
  <si>
    <t>Eduardo Pinto Castro</t>
  </si>
  <si>
    <t>4576 7460 4790 0690</t>
  </si>
  <si>
    <t>4576 7460 4438 9371</t>
  </si>
  <si>
    <t>1799</t>
  </si>
  <si>
    <t>65545043977</t>
  </si>
  <si>
    <t>Eduardo Borges Silva</t>
  </si>
  <si>
    <t>4576 7460 4447 0494</t>
  </si>
  <si>
    <t>4576 7460 8482 1952</t>
  </si>
  <si>
    <t>1800</t>
  </si>
  <si>
    <t>41611117976</t>
  </si>
  <si>
    <t>5442 7460 7901 1228</t>
  </si>
  <si>
    <t>5442 7460 1374 6870</t>
  </si>
  <si>
    <t>1801</t>
  </si>
  <si>
    <t>71790183913</t>
  </si>
  <si>
    <t>Teste Todo Real</t>
  </si>
  <si>
    <t>4576 7460 9140 3593</t>
  </si>
  <si>
    <t>1802</t>
  </si>
  <si>
    <t>71790184079</t>
  </si>
  <si>
    <t>Teste Todo Uti</t>
  </si>
  <si>
    <t>6505 0666 1136 7555</t>
  </si>
  <si>
    <t>1803</t>
  </si>
  <si>
    <t>94510214502</t>
  </si>
  <si>
    <t>Yui Ito</t>
  </si>
  <si>
    <t>6062 8200 2300 4412</t>
  </si>
  <si>
    <t>1804</t>
  </si>
  <si>
    <t>49542886225</t>
  </si>
  <si>
    <t>Takumi Matsumoto</t>
  </si>
  <si>
    <t>5442 7460 1273 7788</t>
  </si>
  <si>
    <t>1805</t>
  </si>
  <si>
    <t>22754368639</t>
  </si>
  <si>
    <t>Hanako Nakamura</t>
  </si>
  <si>
    <t>3782 208649 6087</t>
  </si>
  <si>
    <t>1806</t>
  </si>
  <si>
    <t>43107205443</t>
  </si>
  <si>
    <t>Takumi Tanaka</t>
  </si>
  <si>
    <t>6505 0666 4349 4924</t>
  </si>
  <si>
    <t>1807</t>
  </si>
  <si>
    <t>73321674254</t>
  </si>
  <si>
    <t>Riku Matsumoto</t>
  </si>
  <si>
    <t>6062 8200 7171 1431</t>
  </si>
  <si>
    <t>1808</t>
  </si>
  <si>
    <t>12364312191</t>
  </si>
  <si>
    <t>Ren Saito</t>
  </si>
  <si>
    <t>6505 0666 7024 4449</t>
  </si>
  <si>
    <t>6505 0666 4772 3223</t>
  </si>
  <si>
    <t>1809</t>
  </si>
  <si>
    <t>05870415799</t>
  </si>
  <si>
    <t>Yuki Inoue Tanaka</t>
  </si>
  <si>
    <t>4576 7460 6457 4955</t>
  </si>
  <si>
    <t>4576 7460 9002 3939</t>
  </si>
  <si>
    <t>1810</t>
  </si>
  <si>
    <t>41901621405</t>
  </si>
  <si>
    <t>Nana Saito</t>
  </si>
  <si>
    <t>6062 8200 8339 5784</t>
  </si>
  <si>
    <t>1811</t>
  </si>
  <si>
    <t>69044296230</t>
  </si>
  <si>
    <t>Nana Takahashi</t>
  </si>
  <si>
    <t>5442 7460 2313 1590</t>
  </si>
  <si>
    <t>1812</t>
  </si>
  <si>
    <t>94772872450</t>
  </si>
  <si>
    <t>Rio Watanabe</t>
  </si>
  <si>
    <t>6062 8200 5671 2226</t>
  </si>
  <si>
    <t>6062 8200 9651 2851</t>
  </si>
  <si>
    <t>1813</t>
  </si>
  <si>
    <t>69594010703</t>
  </si>
  <si>
    <t>Taro Yamazaki</t>
  </si>
  <si>
    <t>3782 436672 5198</t>
  </si>
  <si>
    <t>1814</t>
  </si>
  <si>
    <t>35974168372</t>
  </si>
  <si>
    <t>Ren Yamaguchi Sasaki</t>
  </si>
  <si>
    <t>3782 240474 1149</t>
  </si>
  <si>
    <t>1815</t>
  </si>
  <si>
    <t>26165478565</t>
  </si>
  <si>
    <t>Yuki Watanabe</t>
  </si>
  <si>
    <t>5442 7460 9727 4003</t>
  </si>
  <si>
    <t>5442 7460 9480 6339</t>
  </si>
  <si>
    <t>1816</t>
  </si>
  <si>
    <t>10459815830</t>
  </si>
  <si>
    <t>Mei Saito</t>
  </si>
  <si>
    <t>3782 183911 8088</t>
  </si>
  <si>
    <t>3782 157270 0183</t>
  </si>
  <si>
    <t>1817</t>
  </si>
  <si>
    <t>55486883161</t>
  </si>
  <si>
    <t>Hanako Yamamoto</t>
  </si>
  <si>
    <t>6062 8200 6611 6029</t>
  </si>
  <si>
    <t>1818</t>
  </si>
  <si>
    <t>67150095038</t>
  </si>
  <si>
    <t>Kaito Matsumoto</t>
  </si>
  <si>
    <t>4576 7460 9164 1390</t>
  </si>
  <si>
    <t>1819</t>
  </si>
  <si>
    <t>11140758926</t>
  </si>
  <si>
    <t>Hiroshi Sato</t>
  </si>
  <si>
    <t>6062 8200 9172 2326</t>
  </si>
  <si>
    <t>1820</t>
  </si>
  <si>
    <t>17999564907</t>
  </si>
  <si>
    <t>Riku Shimizu</t>
  </si>
  <si>
    <t>4576 7460 1956 6644</t>
  </si>
  <si>
    <t>4576 7460 6165 9235</t>
  </si>
  <si>
    <t>1821</t>
  </si>
  <si>
    <t>15783816574</t>
  </si>
  <si>
    <t>Hiroshi Tanaka Sato</t>
  </si>
  <si>
    <t>4576 7460 2378 0007</t>
  </si>
  <si>
    <t>1822</t>
  </si>
  <si>
    <t>67390207108</t>
  </si>
  <si>
    <t>Akari Sato</t>
  </si>
  <si>
    <t>5442 7460 5468 6499</t>
  </si>
  <si>
    <t>1823</t>
  </si>
  <si>
    <t>01809113172</t>
  </si>
  <si>
    <t>Kenji Kobayashi Nakamura</t>
  </si>
  <si>
    <t>5442 7460 4466 8187</t>
  </si>
  <si>
    <t>1824</t>
  </si>
  <si>
    <t>89642210363</t>
  </si>
  <si>
    <t>Ren Kimura</t>
  </si>
  <si>
    <t>4576 7460 8331 6282</t>
  </si>
  <si>
    <t>17647033247</t>
  </si>
  <si>
    <t>Hina Kimura Saito</t>
  </si>
  <si>
    <t>6062 8200 3741 4691</t>
  </si>
  <si>
    <t>1826</t>
  </si>
  <si>
    <t>58436427475</t>
  </si>
  <si>
    <t>Yuki Shimizu</t>
  </si>
  <si>
    <t>5442 7460 3184 1375</t>
  </si>
  <si>
    <t>5442 7460 6097 9063</t>
  </si>
  <si>
    <t>1827</t>
  </si>
  <si>
    <t>40388267917</t>
  </si>
  <si>
    <t>Riku Yamada</t>
  </si>
  <si>
    <t>5442 7460 2800 9168</t>
  </si>
  <si>
    <t>1828</t>
  </si>
  <si>
    <t>65148451939</t>
  </si>
  <si>
    <t>Haruto Sato</t>
  </si>
  <si>
    <t>5442 7460 3910 1326</t>
  </si>
  <si>
    <t>5442 7460 4814 8644</t>
  </si>
  <si>
    <t>1829</t>
  </si>
  <si>
    <t>32957537923</t>
  </si>
  <si>
    <t>Nana Shimizu</t>
  </si>
  <si>
    <t>4576 7460 7911 8184</t>
  </si>
  <si>
    <t>1830</t>
  </si>
  <si>
    <t>16351386128</t>
  </si>
  <si>
    <t>Mei Takahashi</t>
  </si>
  <si>
    <t>3782 595761 2631</t>
  </si>
  <si>
    <t>3782 730863 2312</t>
  </si>
  <si>
    <t>1831</t>
  </si>
  <si>
    <t>63112034805</t>
  </si>
  <si>
    <t>Takumi Yoshida</t>
  </si>
  <si>
    <t>6062 8200 8321 7737</t>
  </si>
  <si>
    <t>1832</t>
  </si>
  <si>
    <t>39696644388</t>
  </si>
  <si>
    <t>Hanako Shimizu Takahashi</t>
  </si>
  <si>
    <t>4576 7460 1706 9729</t>
  </si>
  <si>
    <t>1833</t>
  </si>
  <si>
    <t>45150320978</t>
  </si>
  <si>
    <t>Kaito Kobayashi</t>
  </si>
  <si>
    <t>3782 430940 8917</t>
  </si>
  <si>
    <t>1834</t>
  </si>
  <si>
    <t>65371668292</t>
  </si>
  <si>
    <t>Hina Hayashi</t>
  </si>
  <si>
    <t>6062 8200 8033 8827</t>
  </si>
  <si>
    <t>1835</t>
  </si>
  <si>
    <t>38750435965</t>
  </si>
  <si>
    <t>Haruto Shimizu</t>
  </si>
  <si>
    <t>3782 839333 4809</t>
  </si>
  <si>
    <t>1836</t>
  </si>
  <si>
    <t>77908486746</t>
  </si>
  <si>
    <t>Nana Takahashi Watanabe</t>
  </si>
  <si>
    <t>6062 8200 1903 6712</t>
  </si>
  <si>
    <t>1837</t>
  </si>
  <si>
    <t>98856339366</t>
  </si>
  <si>
    <t>3782 379847 7581</t>
  </si>
  <si>
    <t>1838</t>
  </si>
  <si>
    <t>56831379931</t>
  </si>
  <si>
    <t>Takumi Yamamoto</t>
  </si>
  <si>
    <t>4576 7460 6543 7214</t>
  </si>
  <si>
    <t>1839</t>
  </si>
  <si>
    <t>06592644630</t>
  </si>
  <si>
    <t>Hiroshi Takahashi</t>
  </si>
  <si>
    <t>6505 0666 9368 5949</t>
  </si>
  <si>
    <t>6505 0666 5679 9839</t>
  </si>
  <si>
    <t>1840</t>
  </si>
  <si>
    <t>77083759596</t>
  </si>
  <si>
    <t>Kaito Watanabe Ito</t>
  </si>
  <si>
    <t>4576 7460 6985 5488</t>
  </si>
  <si>
    <t>1841</t>
  </si>
  <si>
    <t>52308185813</t>
  </si>
  <si>
    <t>Rio Yamada Yamaguchi</t>
  </si>
  <si>
    <t>6062 8200 1640 4181</t>
  </si>
  <si>
    <t>1842</t>
  </si>
  <si>
    <t>47419932999</t>
  </si>
  <si>
    <t>Riku Kimura Hayashi</t>
  </si>
  <si>
    <t>6505 0666 6890 1969</t>
  </si>
  <si>
    <t>1843</t>
  </si>
  <si>
    <t>78010674877</t>
  </si>
  <si>
    <t>Haruto Yoshida</t>
  </si>
  <si>
    <t>3782 186866 6408</t>
  </si>
  <si>
    <t>3782 757890 0583</t>
  </si>
  <si>
    <t>1844</t>
  </si>
  <si>
    <t>85660969917</t>
  </si>
  <si>
    <t>Ren Sasaki</t>
  </si>
  <si>
    <t>6062 8200 1299 2382</t>
  </si>
  <si>
    <t>1845</t>
  </si>
  <si>
    <t>85966635099</t>
  </si>
  <si>
    <t>Yui Watanabe Kobayashi</t>
  </si>
  <si>
    <t>6062 8200 8767 2319</t>
  </si>
  <si>
    <t>1846</t>
  </si>
  <si>
    <t>55985274802</t>
  </si>
  <si>
    <t>3782 784577 7175</t>
  </si>
  <si>
    <t>1847</t>
  </si>
  <si>
    <t>22436591407</t>
  </si>
  <si>
    <t>Takumi Kato</t>
  </si>
  <si>
    <t>4576 7460 2116 4408</t>
  </si>
  <si>
    <t>1848</t>
  </si>
  <si>
    <t>60166304204</t>
  </si>
  <si>
    <t>Hina Yamaguchi</t>
  </si>
  <si>
    <t>3782 236000 8347</t>
  </si>
  <si>
    <t>3782 372708 1076</t>
  </si>
  <si>
    <t>1849</t>
  </si>
  <si>
    <t>67522759803</t>
  </si>
  <si>
    <t>Nana Matsumoto Nakamura</t>
  </si>
  <si>
    <t>3782 542927 5297</t>
  </si>
  <si>
    <t>1850</t>
  </si>
  <si>
    <t>94006117493</t>
  </si>
  <si>
    <t>6505 0666 5500 5424</t>
  </si>
  <si>
    <t>1851</t>
  </si>
  <si>
    <t>53680461380</t>
  </si>
  <si>
    <t>Nana Kimura</t>
  </si>
  <si>
    <t>5442 7460 7261 9580</t>
  </si>
  <si>
    <t>1852</t>
  </si>
  <si>
    <t>00281653305</t>
  </si>
  <si>
    <t>Kaito Takahashi Sato</t>
  </si>
  <si>
    <t>6062 8200 7673 2058</t>
  </si>
  <si>
    <t>6062 8200 7292 4422</t>
  </si>
  <si>
    <t>1853</t>
  </si>
  <si>
    <t>17383281551</t>
  </si>
  <si>
    <t>Rio Sasaki Kato</t>
  </si>
  <si>
    <t>4576 7460 5122 2915</t>
  </si>
  <si>
    <t>4576 7460 7005 3015</t>
  </si>
  <si>
    <t>1854</t>
  </si>
  <si>
    <t>42494932459</t>
  </si>
  <si>
    <t>Gabriel Dias Nascimento</t>
  </si>
  <si>
    <t>3782 243946 5480</t>
  </si>
  <si>
    <t>1855</t>
  </si>
  <si>
    <t>01105090132</t>
  </si>
  <si>
    <t>Gabriela Ribeiro Moura</t>
  </si>
  <si>
    <t>6062 8200 5990 7277</t>
  </si>
  <si>
    <t>6062 8200 6572 7015</t>
  </si>
  <si>
    <t>18684112814</t>
  </si>
  <si>
    <t>Isabela Nascimento Pereira</t>
  </si>
  <si>
    <t>3782 300139 2062</t>
  </si>
  <si>
    <t>1857</t>
  </si>
  <si>
    <t>88910265493</t>
  </si>
  <si>
    <t>Rodrigo Cavalcanti Borges</t>
  </si>
  <si>
    <t>6505 0666 5652 1776</t>
  </si>
  <si>
    <t>6505 0666 7594 8539</t>
  </si>
  <si>
    <t>1858</t>
  </si>
  <si>
    <t>17209693700</t>
  </si>
  <si>
    <t>Caio Alves</t>
  </si>
  <si>
    <t>5442 7460 2876 4889</t>
  </si>
  <si>
    <t>1859</t>
  </si>
  <si>
    <t>95729406193</t>
  </si>
  <si>
    <t>Marcos Araujo Teixeira</t>
  </si>
  <si>
    <t>3782 391954 0150</t>
  </si>
  <si>
    <t>1860</t>
  </si>
  <si>
    <t>47145530112</t>
  </si>
  <si>
    <t>3782 245764 0228</t>
  </si>
  <si>
    <t>1861</t>
  </si>
  <si>
    <t>26395417819</t>
  </si>
  <si>
    <t>6062 8200 4278 2331</t>
  </si>
  <si>
    <t>1862</t>
  </si>
  <si>
    <t>06130855664</t>
  </si>
  <si>
    <t>Carolina Barros Ribeiro</t>
  </si>
  <si>
    <t>4576 7460 8115 1061</t>
  </si>
  <si>
    <t>1863</t>
  </si>
  <si>
    <t>20353914908</t>
  </si>
  <si>
    <t>Thiago Souza</t>
  </si>
  <si>
    <t>6062 8200 7400 7841</t>
  </si>
  <si>
    <t>6062 8200 3430 7981</t>
  </si>
  <si>
    <t>1864</t>
  </si>
  <si>
    <t>25804799886</t>
  </si>
  <si>
    <t>Priscila Almeida Barros</t>
  </si>
  <si>
    <t>6505 0666 5746 7893</t>
  </si>
  <si>
    <t>1865</t>
  </si>
  <si>
    <t>37780711064</t>
  </si>
  <si>
    <t>Vanessa Barbosa Nunes</t>
  </si>
  <si>
    <t>5442 7460 1295 0461</t>
  </si>
  <si>
    <t>5442 7460 4326 5587</t>
  </si>
  <si>
    <t>1866</t>
  </si>
  <si>
    <t>15463026114</t>
  </si>
  <si>
    <t>Rodrigo Rocha Gomes</t>
  </si>
  <si>
    <t>6062 8200 6633 1383</t>
  </si>
  <si>
    <t>1867</t>
  </si>
  <si>
    <t>07692667462</t>
  </si>
  <si>
    <t>Bianca Alves Ribeiro</t>
  </si>
  <si>
    <t>4576 7460 4444 0453</t>
  </si>
  <si>
    <t>1868</t>
  </si>
  <si>
    <t>59721883506</t>
  </si>
  <si>
    <t>Danilo Gomes Ribeiro</t>
  </si>
  <si>
    <t>6505 0666 3282 5393</t>
  </si>
  <si>
    <t>1869</t>
  </si>
  <si>
    <t>68355982630</t>
  </si>
  <si>
    <t>Jessica Oliveira Alves</t>
  </si>
  <si>
    <t>3782 993748 3435</t>
  </si>
  <si>
    <t>1870</t>
  </si>
  <si>
    <t>74693636371</t>
  </si>
  <si>
    <t>Gabriela Oliveira Dias</t>
  </si>
  <si>
    <t>3782 908440 1243</t>
  </si>
  <si>
    <t>1871</t>
  </si>
  <si>
    <t>86904117125</t>
  </si>
  <si>
    <t>Rafael Gomes Silva</t>
  </si>
  <si>
    <t>6062 8200 4993 2851</t>
  </si>
  <si>
    <t>1872</t>
  </si>
  <si>
    <t>69841201011</t>
  </si>
  <si>
    <t>4576 7460 3539 6515</t>
  </si>
  <si>
    <t>1873</t>
  </si>
  <si>
    <t>36390515057</t>
  </si>
  <si>
    <t>Matheus Rodrigues</t>
  </si>
  <si>
    <t>6062 8200 1778 8177</t>
  </si>
  <si>
    <t>1874</t>
  </si>
  <si>
    <t>45088928416</t>
  </si>
  <si>
    <t>6505 0666 3790 1283</t>
  </si>
  <si>
    <t>6505 0666 4739 9996</t>
  </si>
  <si>
    <t>1875</t>
  </si>
  <si>
    <t>88654048921</t>
  </si>
  <si>
    <t>Vinicius Pereira Dias</t>
  </si>
  <si>
    <t>6062 8200 7755 6790</t>
  </si>
  <si>
    <t>1876</t>
  </si>
  <si>
    <t>87906403908</t>
  </si>
  <si>
    <t>Marcos Teixeira Campos</t>
  </si>
  <si>
    <t>5442 7460 4103 8521</t>
  </si>
  <si>
    <t>1877</t>
  </si>
  <si>
    <t>97188277141</t>
  </si>
  <si>
    <t>Bruno Souza</t>
  </si>
  <si>
    <t>5442 7460 3413 9744</t>
  </si>
  <si>
    <t>1878</t>
  </si>
  <si>
    <t>48610328147</t>
  </si>
  <si>
    <t>Rodrigo Cardoso Monteiro</t>
  </si>
  <si>
    <t>6062 8200 8692 3028</t>
  </si>
  <si>
    <t>1879</t>
  </si>
  <si>
    <t>31981341293</t>
  </si>
  <si>
    <t>Vinicius Fernandes Costa</t>
  </si>
  <si>
    <t>6505 0666 6766 5151</t>
  </si>
  <si>
    <t>1880</t>
  </si>
  <si>
    <t>31899918710</t>
  </si>
  <si>
    <t>Beatriz Cardoso Gomes</t>
  </si>
  <si>
    <t>3782 462374 4319</t>
  </si>
  <si>
    <t>1881</t>
  </si>
  <si>
    <t>31759522325</t>
  </si>
  <si>
    <t>Leandro Oliveira Pinto</t>
  </si>
  <si>
    <t>3782 598422 8515</t>
  </si>
  <si>
    <t>1882</t>
  </si>
  <si>
    <t>31832951308</t>
  </si>
  <si>
    <t>Vanessa Costa Carvalho</t>
  </si>
  <si>
    <t>5442 7460 4814 7981</t>
  </si>
  <si>
    <t>1883</t>
  </si>
  <si>
    <t>56273512680</t>
  </si>
  <si>
    <t>Gabriel Barros Araujo</t>
  </si>
  <si>
    <t>6062 8200 2985 2198</t>
  </si>
  <si>
    <t>6062 8200 5368 1864</t>
  </si>
  <si>
    <t>1884</t>
  </si>
  <si>
    <t>77540011440</t>
  </si>
  <si>
    <t>Vinicius Freitas Moreira</t>
  </si>
  <si>
    <t>4576 7460 7919 3308</t>
  </si>
  <si>
    <t>4576 7460 4972 1151</t>
  </si>
  <si>
    <t>1885</t>
  </si>
  <si>
    <t>55204136223</t>
  </si>
  <si>
    <t>Renata Santos Costa</t>
  </si>
  <si>
    <t>6062 8200 9383 6069</t>
  </si>
  <si>
    <t>1886</t>
  </si>
  <si>
    <t>78035801147</t>
  </si>
  <si>
    <t>Leticia Rocha</t>
  </si>
  <si>
    <t>3782 701793 3319</t>
  </si>
  <si>
    <t>3782 180990 2600</t>
  </si>
  <si>
    <t>1887</t>
  </si>
  <si>
    <t>50559791356</t>
  </si>
  <si>
    <t>Bianca Fernandes Lima</t>
  </si>
  <si>
    <t>4576 7460 3784 8981</t>
  </si>
  <si>
    <t>1888</t>
  </si>
  <si>
    <t>35008873920</t>
  </si>
  <si>
    <t>Jessica Souza Fernandes</t>
  </si>
  <si>
    <t>5442 7460 9192 0601</t>
  </si>
  <si>
    <t>1889</t>
  </si>
  <si>
    <t>54834528952</t>
  </si>
  <si>
    <t>Patricia Campos Alves</t>
  </si>
  <si>
    <t>5442 7460 9813 6184</t>
  </si>
  <si>
    <t>1890</t>
  </si>
  <si>
    <t>76178854404</t>
  </si>
  <si>
    <t>Gustavo Martins Carvalho</t>
  </si>
  <si>
    <t>5442 7460 4550 4386</t>
  </si>
  <si>
    <t>1891</t>
  </si>
  <si>
    <t>95539880838</t>
  </si>
  <si>
    <t>Marcos Araujo Pinto</t>
  </si>
  <si>
    <t>6505 0666 4921 4720</t>
  </si>
  <si>
    <t>6505 0666 3508 1959</t>
  </si>
  <si>
    <t>1892</t>
  </si>
  <si>
    <t>18545500475</t>
  </si>
  <si>
    <t>Bianca Moreira Teixeira</t>
  </si>
  <si>
    <t>4576 7460 3956 9795</t>
  </si>
  <si>
    <t>4576 7460 1949 2172</t>
  </si>
  <si>
    <t>1893</t>
  </si>
  <si>
    <t>11995715980</t>
  </si>
  <si>
    <t>Bruno Silva Monteiro</t>
  </si>
  <si>
    <t>4576 7460 5577 0527</t>
  </si>
  <si>
    <t>4576 7460 2707 3486</t>
  </si>
  <si>
    <t>1894</t>
  </si>
  <si>
    <t>19360122351</t>
  </si>
  <si>
    <t>Leticia Cavalcanti</t>
  </si>
  <si>
    <t>6505 0666 4043 1551</t>
  </si>
  <si>
    <t>1895</t>
  </si>
  <si>
    <t>49811285179</t>
  </si>
  <si>
    <t>Tatiane Cavalcanti Moura</t>
  </si>
  <si>
    <t>4576 7460 9989 8997</t>
  </si>
  <si>
    <t>1896</t>
  </si>
  <si>
    <t>19178739217</t>
  </si>
  <si>
    <t>Carolina Silva Cardoso</t>
  </si>
  <si>
    <t>6062 8200 3937 3842</t>
  </si>
  <si>
    <t>1897</t>
  </si>
  <si>
    <t>77008303807</t>
  </si>
  <si>
    <t>Alexandre Pinto</t>
  </si>
  <si>
    <t>4576 7460 2361 0312</t>
  </si>
  <si>
    <t>4576 7460 6822 5760</t>
  </si>
  <si>
    <t>1898</t>
  </si>
  <si>
    <t>70295787082</t>
  </si>
  <si>
    <t>Sabrina Silva</t>
  </si>
  <si>
    <t>6062 8200 4245 9643</t>
  </si>
  <si>
    <t>1899</t>
  </si>
  <si>
    <t>01382542143</t>
  </si>
  <si>
    <t>6062 8200 5632 2940</t>
  </si>
  <si>
    <t>1900</t>
  </si>
  <si>
    <t>03523483727</t>
  </si>
  <si>
    <t>Fernanda Pinto Almeida</t>
  </si>
  <si>
    <t>3782 220873 8004</t>
  </si>
  <si>
    <t>1901</t>
  </si>
  <si>
    <t>46940735402</t>
  </si>
  <si>
    <t>Danilo Ribeiro</t>
  </si>
  <si>
    <t>6062 8200 7349 1986</t>
  </si>
  <si>
    <t>1902</t>
  </si>
  <si>
    <t>76348476588</t>
  </si>
  <si>
    <t>Debora Dias Martins</t>
  </si>
  <si>
    <t>4576 7460 4649 7436</t>
  </si>
  <si>
    <t>1903</t>
  </si>
  <si>
    <t>75043628162</t>
  </si>
  <si>
    <t>Felipe Nunes</t>
  </si>
  <si>
    <t>4576 7460 4126 4325</t>
  </si>
  <si>
    <t>1904</t>
  </si>
  <si>
    <t>93230509463</t>
  </si>
  <si>
    <t>Beatriz Gomes Martins</t>
  </si>
  <si>
    <t>6062 8200 8992 3428</t>
  </si>
  <si>
    <t>1905</t>
  </si>
  <si>
    <t>96305154902</t>
  </si>
  <si>
    <t>4576 7460 4749 7696</t>
  </si>
  <si>
    <t>1906</t>
  </si>
  <si>
    <t>71790185942</t>
  </si>
  <si>
    <t>Teste Limite Certo</t>
  </si>
  <si>
    <t>4576 7460 3424 8542</t>
  </si>
  <si>
    <t>1907</t>
  </si>
  <si>
    <t>09511990721</t>
  </si>
  <si>
    <t>5442 7460 8254 9583</t>
  </si>
  <si>
    <t>5442 7460 3215 0618</t>
  </si>
  <si>
    <t>1908</t>
  </si>
  <si>
    <t>33801228312</t>
  </si>
  <si>
    <t>Renata Nascimento</t>
  </si>
  <si>
    <t>6062 8200 1847 8176</t>
  </si>
  <si>
    <t>6062 8200 7550 0500</t>
  </si>
  <si>
    <t>1909</t>
  </si>
  <si>
    <t>68596143904</t>
  </si>
  <si>
    <t>Rodrigo Monteiro Carvalho</t>
  </si>
  <si>
    <t>6505 0666 8620 4639</t>
  </si>
  <si>
    <t>1910</t>
  </si>
  <si>
    <t>55272992210</t>
  </si>
  <si>
    <t>Caio Santos Campos</t>
  </si>
  <si>
    <t>5442 7460 6932 9885</t>
  </si>
  <si>
    <t>6505 1860 6582 0767</t>
  </si>
  <si>
    <t>706</t>
  </si>
  <si>
    <t>5442 7460 4078 6645</t>
  </si>
  <si>
    <t>905</t>
  </si>
  <si>
    <t>tbl_pago_encargos</t>
  </si>
  <si>
    <t>0</t>
  </si>
  <si>
    <t>0,00</t>
  </si>
  <si>
    <t>92,13</t>
  </si>
  <si>
    <t>1911</t>
  </si>
  <si>
    <t>05978134189</t>
  </si>
  <si>
    <t>Paula Rodriguez Sanchez</t>
  </si>
  <si>
    <t>6062 8200 4064 6462</t>
  </si>
  <si>
    <t>1912</t>
  </si>
  <si>
    <t>14760530657</t>
  </si>
  <si>
    <t>Martina Romero</t>
  </si>
  <si>
    <t>3782 524912 2992</t>
  </si>
  <si>
    <t>1913</t>
  </si>
  <si>
    <t>88869881849</t>
  </si>
  <si>
    <t>5442 7460 4400 4540</t>
  </si>
  <si>
    <t>1914</t>
  </si>
  <si>
    <t>87006029902</t>
  </si>
  <si>
    <t>Matias Gomez</t>
  </si>
  <si>
    <t>4576 7460 9964 7976</t>
  </si>
  <si>
    <t>4576 7460 6490 5640</t>
  </si>
  <si>
    <t>1915</t>
  </si>
  <si>
    <t>76619765874</t>
  </si>
  <si>
    <t>Mateo Fernandez Torres</t>
  </si>
  <si>
    <t>6505 0666 7107 6859</t>
  </si>
  <si>
    <t>6505 0666 5261 9199</t>
  </si>
  <si>
    <t>1916</t>
  </si>
  <si>
    <t>22012455336</t>
  </si>
  <si>
    <t>Julieta Gomez Castro</t>
  </si>
  <si>
    <t>6505 0666 4842 8537</t>
  </si>
  <si>
    <t>1917</t>
  </si>
  <si>
    <t>03065884470</t>
  </si>
  <si>
    <t>Bruno Castro Alvarez</t>
  </si>
  <si>
    <t>3782 561268 6184</t>
  </si>
  <si>
    <t>3782 133446 9615</t>
  </si>
  <si>
    <t>1918</t>
  </si>
  <si>
    <t>12971052907</t>
  </si>
  <si>
    <t>Julieta Sanchez Gonzalez</t>
  </si>
  <si>
    <t>5442 7460 6016 8871</t>
  </si>
  <si>
    <t>5442 7460 2133 4780</t>
  </si>
  <si>
    <t>1919</t>
  </si>
  <si>
    <t>35317653886</t>
  </si>
  <si>
    <t>Joaquin Torres Gomez</t>
  </si>
  <si>
    <t>3782 233571 2518</t>
  </si>
  <si>
    <t>1920</t>
  </si>
  <si>
    <t>91769011145</t>
  </si>
  <si>
    <t>Franco Gonzalez Acosta</t>
  </si>
  <si>
    <t>4576 7460 7247 5606</t>
  </si>
  <si>
    <t>4576 7460 3179 2852</t>
  </si>
  <si>
    <t>1921</t>
  </si>
  <si>
    <t>36953516836</t>
  </si>
  <si>
    <t>Ignacio Sosa Castro</t>
  </si>
  <si>
    <t>5442 7460 6813 8282</t>
  </si>
  <si>
    <t>1922</t>
  </si>
  <si>
    <t>51942385765</t>
  </si>
  <si>
    <t>Abril Gomez Castro</t>
  </si>
  <si>
    <t>6505 0666 6686 8996</t>
  </si>
  <si>
    <t>6505 0666 8252 2797</t>
  </si>
  <si>
    <t>1923</t>
  </si>
  <si>
    <t>46587463363</t>
  </si>
  <si>
    <t>Catalina Sanchez</t>
  </si>
  <si>
    <t>6062 8200 7072 0508</t>
  </si>
  <si>
    <t>1924</t>
  </si>
  <si>
    <t>58780116701</t>
  </si>
  <si>
    <t>Julieta Ruiz Diaz</t>
  </si>
  <si>
    <t>5442 7460 3236 3923</t>
  </si>
  <si>
    <t>5442 7460 1328 2844</t>
  </si>
  <si>
    <t>1925</t>
  </si>
  <si>
    <t>95527976240</t>
  </si>
  <si>
    <t>Valentina Alvarez Torres</t>
  </si>
  <si>
    <t>3782 678806 5135</t>
  </si>
  <si>
    <t>1926</t>
  </si>
  <si>
    <t>69323145840</t>
  </si>
  <si>
    <t>Camila Lopez Romero</t>
  </si>
  <si>
    <t>4576 7460 1695 3891</t>
  </si>
  <si>
    <t>4576 7460 9447 8173</t>
  </si>
  <si>
    <t>1927</t>
  </si>
  <si>
    <t>88154976501</t>
  </si>
  <si>
    <t>Facundo Fernandez Rodriguez</t>
  </si>
  <si>
    <t>6505 0666 2935 1396</t>
  </si>
  <si>
    <t>1928</t>
  </si>
  <si>
    <t>73431167039</t>
  </si>
  <si>
    <t>Lucia Fernandez Medina</t>
  </si>
  <si>
    <t>6062 8200 5407 7129</t>
  </si>
  <si>
    <t>1929</t>
  </si>
  <si>
    <t>79675164514</t>
  </si>
  <si>
    <t>Valentina Perez Sosa</t>
  </si>
  <si>
    <t>5442 7460 6338 1022</t>
  </si>
  <si>
    <t>1930</t>
  </si>
  <si>
    <t>30241265541</t>
  </si>
  <si>
    <t>Julieta Sosa Ramirez</t>
  </si>
  <si>
    <t>4576 7460 5217 9086</t>
  </si>
  <si>
    <t>1931</t>
  </si>
  <si>
    <t>81701454068</t>
  </si>
  <si>
    <t>Facundo Castro Ramirez</t>
  </si>
  <si>
    <t>4576 7460 3126 5273</t>
  </si>
  <si>
    <t>1932</t>
  </si>
  <si>
    <t>29835724989</t>
  </si>
  <si>
    <t>Camila Romero</t>
  </si>
  <si>
    <t>4576 7460 5624 9761</t>
  </si>
  <si>
    <t>1933</t>
  </si>
  <si>
    <t>26524567099</t>
  </si>
  <si>
    <t>Tomas Acosta Garcia</t>
  </si>
  <si>
    <t>6062 8200 8206 3818</t>
  </si>
  <si>
    <t>6062 8200 5642 9164</t>
  </si>
  <si>
    <t>1934</t>
  </si>
  <si>
    <t>81901022900</t>
  </si>
  <si>
    <t>Franco Medina Flores</t>
  </si>
  <si>
    <t>3782 944345 3135</t>
  </si>
  <si>
    <t>3782 934655 5806</t>
  </si>
  <si>
    <t>1935</t>
  </si>
  <si>
    <t>67400759485</t>
  </si>
  <si>
    <t>Catalina Torres</t>
  </si>
  <si>
    <t>6062 8200 6054 0859</t>
  </si>
  <si>
    <t>1936</t>
  </si>
  <si>
    <t>83570322220</t>
  </si>
  <si>
    <t>Lucia Diaz</t>
  </si>
  <si>
    <t>6062 8200 1769 4364</t>
  </si>
  <si>
    <t>1937</t>
  </si>
  <si>
    <t>38310178409</t>
  </si>
  <si>
    <t>Martina Alvarez Gomez</t>
  </si>
  <si>
    <t>5442 7460 9818 8084</t>
  </si>
  <si>
    <t>1938</t>
  </si>
  <si>
    <t>79692511880</t>
  </si>
  <si>
    <t>Paula Gomez Medina</t>
  </si>
  <si>
    <t>6505 0666 4038 1547</t>
  </si>
  <si>
    <t>1939</t>
  </si>
  <si>
    <t>36003818492</t>
  </si>
  <si>
    <t>Valentina Lopez Torres</t>
  </si>
  <si>
    <t>6062 8200 3428 0855</t>
  </si>
  <si>
    <t>1940</t>
  </si>
  <si>
    <t>41771341807</t>
  </si>
  <si>
    <t>Nicolas Fernandez Ruiz</t>
  </si>
  <si>
    <t>6505 0666 4768 5458</t>
  </si>
  <si>
    <t>6505 0666 6041 5294</t>
  </si>
  <si>
    <t>1941</t>
  </si>
  <si>
    <t>61591149487</t>
  </si>
  <si>
    <t>Martina Medina Herrera</t>
  </si>
  <si>
    <t>4576 7460 6822 3066</t>
  </si>
  <si>
    <t>4576 7460 8494 9897</t>
  </si>
  <si>
    <t>1942</t>
  </si>
  <si>
    <t>23172745210</t>
  </si>
  <si>
    <t>Zoe Diaz Garcia</t>
  </si>
  <si>
    <t>4576 7460 1275 5618</t>
  </si>
  <si>
    <t>4576 7460 5288 5293</t>
  </si>
  <si>
    <t>1943</t>
  </si>
  <si>
    <t>29876882295</t>
  </si>
  <si>
    <t>Mia Romero</t>
  </si>
  <si>
    <t>4576 7460 4536 5548</t>
  </si>
  <si>
    <t>4576 7460 4013 6675</t>
  </si>
  <si>
    <t>1944</t>
  </si>
  <si>
    <t>36003653124</t>
  </si>
  <si>
    <t>Tomas Acosta Gonzalez</t>
  </si>
  <si>
    <t>3782 446404 1225</t>
  </si>
  <si>
    <t>1945</t>
  </si>
  <si>
    <t>13019756723</t>
  </si>
  <si>
    <t>Abril Perez Gomez</t>
  </si>
  <si>
    <t>6062 8200 8232 4355</t>
  </si>
  <si>
    <t>6062 8200 6879 5080</t>
  </si>
  <si>
    <t>1946</t>
  </si>
  <si>
    <t>64569056644</t>
  </si>
  <si>
    <t>Mia Sanchez Ruiz</t>
  </si>
  <si>
    <t>4576 7460 3015 1593</t>
  </si>
  <si>
    <t>4576 7460 8814 0050</t>
  </si>
  <si>
    <t>1947</t>
  </si>
  <si>
    <t>00176511075</t>
  </si>
  <si>
    <t>Matias Perez</t>
  </si>
  <si>
    <t>4576 7460 8403 7530</t>
  </si>
  <si>
    <t>4576 7460 9894 1148</t>
  </si>
  <si>
    <t>1948</t>
  </si>
  <si>
    <t>08906935528</t>
  </si>
  <si>
    <t>Joaquin Medina</t>
  </si>
  <si>
    <t>6505 0666 2980 0425</t>
  </si>
  <si>
    <t>1949</t>
  </si>
  <si>
    <t>23736541643</t>
  </si>
  <si>
    <t>Ignacio Aguirre</t>
  </si>
  <si>
    <t>5442 7460 2456 9191</t>
  </si>
  <si>
    <t>1950</t>
  </si>
  <si>
    <t>97338728577</t>
  </si>
  <si>
    <t>Lucas Ramirez Gonzalez</t>
  </si>
  <si>
    <t>4576 7460 6826 5759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</si>
</sst>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d/m;@"/>
  </numFmts>
  <fonts count="1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FF0000"/>
      <name val="Arial"/>
      <family val="2"/>
      <charset val="1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44" fontId="10" fillId="0" borderId="0" applyFont="0" applyFill="0" applyBorder="0" applyAlignment="0" applyProtection="0"/>
  </cellStyleXfs>
  <cellXfs count="55">
    <xf numFmtId="0" fontId="0" fillId="0" borderId="0" xfId="0"/>
    <xf numFmtId="49" fontId="7" fillId="0" borderId="0" xfId="1" applyNumberFormat="1"/>
    <xf numFmtId="49" fontId="0" fillId="0" borderId="0" xfId="0" applyNumberFormat="1"/>
    <xf numFmtId="0" fontId="6" fillId="0" borderId="0" xfId="1" applyFont="1"/>
    <xf numFmtId="49" fontId="0" fillId="0" borderId="3" xfId="0" applyNumberFormat="1" applyBorder="1" applyProtection="1">
      <protection locked="0"/>
    </xf>
    <xf numFmtId="0" fontId="0" fillId="0" borderId="4" xfId="0" applyBorder="1"/>
    <xf numFmtId="49" fontId="9" fillId="0" borderId="1" xfId="0" applyNumberFormat="1" applyFont="1" applyBorder="1" applyProtection="1">
      <protection locked="0"/>
    </xf>
    <xf numFmtId="49" fontId="9" fillId="0" borderId="2" xfId="0" applyNumberFormat="1" applyFont="1" applyBorder="1"/>
    <xf numFmtId="49" fontId="9" fillId="0" borderId="2" xfId="0" applyNumberFormat="1" applyFont="1" applyBorder="1" applyProtection="1">
      <protection locked="0"/>
    </xf>
    <xf numFmtId="164" fontId="0" fillId="0" borderId="4" xfId="0" applyNumberFormat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9" fillId="0" borderId="2" xfId="0" applyNumberFormat="1" applyFont="1" applyBorder="1" applyAlignment="1">
      <alignment vertical="center"/>
    </xf>
    <xf numFmtId="0" fontId="5" fillId="0" borderId="0" xfId="1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4" fillId="0" borderId="0" xfId="1" applyFont="1" applyAlignment="1">
      <alignment horizontal="left"/>
    </xf>
    <xf numFmtId="0" fontId="7" fillId="0" borderId="0" xfId="1"/>
    <xf numFmtId="0" fontId="4" fillId="0" borderId="0" xfId="1" applyFont="1"/>
    <xf numFmtId="44" fontId="0" fillId="0" borderId="0" xfId="2" applyFont="1" applyAlignment="1">
      <alignment horizontal="left"/>
    </xf>
    <xf numFmtId="44" fontId="11" fillId="0" borderId="0" xfId="2" applyFont="1"/>
    <xf numFmtId="0" fontId="11" fillId="0" borderId="0" xfId="0" applyFont="1"/>
    <xf numFmtId="49" fontId="3" fillId="0" borderId="0" xfId="1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2" applyNumberFormat="1" applyFont="1" applyAlignment="1">
      <alignment horizontal="left"/>
    </xf>
    <xf numFmtId="14" fontId="0" fillId="0" borderId="0" xfId="0" applyNumberForma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7" fillId="0" borderId="0" xfId="1" applyNumberFormat="1" applyAlignment="1">
      <alignment vertical="center" wrapText="1"/>
    </xf>
    <xf numFmtId="49" fontId="6" fillId="0" borderId="0" xfId="1" applyNumberFormat="1" applyFont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165" fontId="0" fillId="0" borderId="0" xfId="2" applyNumberFormat="1" applyFont="1" applyAlignment="1">
      <alignment horizontal="left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left"/>
    </xf>
    <xf numFmtId="165" fontId="11" fillId="0" borderId="0" xfId="2" applyNumberFormat="1" applyFont="1" applyAlignment="1">
      <alignment horizontal="center"/>
    </xf>
    <xf numFmtId="165" fontId="11" fillId="0" borderId="0" xfId="2" applyNumberFormat="1" applyFont="1"/>
    <xf numFmtId="2" fontId="0" fillId="0" borderId="0" xfId="2" applyNumberFormat="1" applyFont="1" applyAlignment="1">
      <alignment horizontal="right"/>
    </xf>
    <xf numFmtId="2" fontId="0" fillId="0" borderId="0" xfId="2" applyNumberFormat="1" applyFont="1" applyAlignment="1">
      <alignment horizontal="left"/>
    </xf>
    <xf numFmtId="2" fontId="0" fillId="2" borderId="0" xfId="2" applyNumberFormat="1" applyFont="1" applyFill="1" applyAlignment="1">
      <alignment horizontal="right"/>
    </xf>
    <xf numFmtId="49" fontId="1" fillId="0" borderId="0" xfId="1" applyNumberFormat="1" applyFont="1" applyAlignment="1">
      <alignment vertical="center" wrapText="1"/>
    </xf>
    <xf numFmtId="2" fontId="0" fillId="0" borderId="0" xfId="0" applyNumberFormat="1"/>
    <xf numFmtId="22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44" fontId="0" fillId="0" borderId="0" xfId="2" applyFont="1"/>
    <xf numFmtId="2" fontId="0" fillId="0" borderId="5" xfId="0" applyNumberFormat="1" applyBorder="1"/>
    <xf numFmtId="0" fontId="0" fillId="0" borderId="0" xfId="0" quotePrefix="1" applyAlignment="1">
      <alignment horizontal="left"/>
    </xf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2" borderId="0" xfId="0" applyNumberFormat="1" applyFill="1" applyAlignment="1">
      <alignment horizontal="left"/>
    </xf>
    <xf numFmtId="0" fontId="0" fillId="3" borderId="0" xfId="0" applyNumberFormat="1" applyFill="1" applyAlignment="1">
      <alignment horizontal="left"/>
    </xf>
    <xf numFmtId="0" fontId="0" fillId="0" borderId="0" xfId="0" applyNumberFormat="1" applyAlignment="1">
      <alignment horizontal="left" vertical="center"/>
    </xf>
  </cellXfs>
  <cellStyles count="3">
    <cellStyle name="Moeda" xfId="2" builtinId="4"/>
    <cellStyle name="Normal" xfId="0" builtinId="0"/>
    <cellStyle name="Normal 2" xfId="1" xr:uid="{DFC4EA73-6E46-4D59-8793-29F8B9222C2D}"/>
  </cellStyles>
  <dxfs count="163"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27" formatCode="dd/mm/yyyy\ hh:mm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  <name val="Arial"/>
        <family val="2"/>
        <charset val="1"/>
      </font>
      <fill>
        <patternFill>
          <bgColor rgb="FFCC0000"/>
        </patternFill>
      </fill>
    </dxf>
    <dxf>
      <font>
        <b/>
        <color rgb="FFFFFFFF"/>
        <name val="Arial"/>
        <family val="2"/>
        <charset val="1"/>
      </font>
      <fill>
        <patternFill>
          <bgColor rgb="FFCC0000"/>
        </patternFill>
      </fill>
    </dxf>
    <dxf>
      <font>
        <b/>
        <color rgb="FFFFFFFF"/>
        <name val="Arial"/>
        <family val="2"/>
        <charset val="1"/>
      </font>
      <fill>
        <patternFill>
          <bgColor rgb="FFCC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2060"/>
      </font>
      <fill>
        <gradientFill type="path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b/>
        <i val="0"/>
        <color rgb="FF002060"/>
      </font>
      <fill>
        <gradientFill degree="13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gradientFill degree="45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2060"/>
      </font>
      <fill>
        <gradientFill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2060"/>
      </font>
      <fill>
        <gradientFill>
          <stop position="0">
            <color theme="9" tint="0.40000610370189521"/>
          </stop>
          <stop position="1">
            <color theme="9" tint="-0.25098422193060094"/>
          </stop>
        </gradient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alignment horizontal="left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alignment horizontal="center" vertical="center" textRotation="0" wrapText="1" indent="0" justifyLastLine="0" shrinkToFit="0" readingOrder="0"/>
    </dxf>
    <dxf>
      <numFmt numFmtId="164" formatCode="&quot;R$&quot;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none">
          <fgColor indexed="64"/>
          <bgColor auto="1"/>
        </patternFill>
      </fill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charset val="1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d/m;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d/m;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numFmt numFmtId="0" formatCode="General"/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numFmt numFmtId="30" formatCode="@"/>
    </dxf>
    <dxf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5" formatCode="d/m;@"/>
      <alignment horizontal="left" vertical="bottom" textRotation="0" wrapText="0" indent="0" justifyLastLine="0" shrinkToFit="0" readingOrder="0"/>
    </dxf>
    <dxf>
      <numFmt numFmtId="165" formatCode="d/m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986B5E9-95CB-48F9-AFF8-86989FB8E239}" autoFormatId="16" applyNumberFormats="0" applyBorderFormats="0" applyFontFormats="0" applyPatternFormats="0" applyAlignmentFormats="0" applyWidthHeightFormats="0">
  <queryTableRefresh nextId="42">
    <queryTableFields count="41">
      <queryTableField id="1" name="id_massa" tableColumnId="1"/>
      <queryTableField id="2" name="cpf" tableColumnId="2"/>
      <queryTableField id="3" name="dia_vencimento" tableColumnId="3"/>
      <queryTableField id="4" name="nome_completo" tableColumnId="4"/>
      <queryTableField id="5" name="saldo_conta" tableColumnId="5"/>
      <queryTableField id="6" name="limite_utilizado" tableColumnId="6"/>
      <queryTableField id="7" name="limite_disponivel" tableColumnId="7"/>
      <queryTableField id="8" name="fatura_fechada" tableColumnId="8"/>
      <queryTableField id="9" name="fatura_aberta" tableColumnId="9"/>
      <queryTableField id="10" name="status_fatura_fechada" tableColumnId="10"/>
      <queryTableField id="11" name="dias_atraso" tableColumnId="11"/>
      <queryTableField id="12" name="status" tableColumnId="12"/>
      <queryTableField id="13" name="cartao_fisico_numero" tableColumnId="13"/>
      <queryTableField id="14" name="cartao_fisico_cvv" tableColumnId="14"/>
      <queryTableField id="15" name="cartao_virtual_numero" tableColumnId="15"/>
      <queryTableField id="16" name="cartao_virtual_cvv" tableColumnId="16"/>
      <queryTableField id="17" name="data_criação" tableColumnId="17"/>
      <queryTableField id="18" name="tbl_ven" tableColumnId="18"/>
      <queryTableField id="19" name="tbl_corte" tableColumnId="19"/>
      <queryTableField id="20" name="tbl_schema" tableColumnId="20"/>
      <queryTableField id="21" name="tbl_pf_valor_parcela" tableColumnId="21"/>
      <queryTableField id="22" name="tbl_pf_saldo_financiado" tableColumnId="22"/>
      <queryTableField id="23" name="tbl_pf_iof_total" tableColumnId="23"/>
      <queryTableField id="24" name="tbl_pf_iof_adicional" tableColumnId="24"/>
      <queryTableField id="25" name="tbl_pf_cet_anual" tableColumnId="25"/>
      <queryTableField id="26" name="tbl_pf_prazo" tableColumnId="26"/>
      <queryTableField id="27" name="tbl_pf_data_contratacao" tableColumnId="27"/>
      <queryTableField id="28" name="tbl_pa_valor_pagamento" tableColumnId="28"/>
      <queryTableField id="29" name="tbl_pa_minimo" tableColumnId="29"/>
      <queryTableField id="30" name="tbl_pa_piso" tableColumnId="30"/>
      <queryTableField id="31" name="tbl_pa_valor_parcela" tableColumnId="31"/>
      <queryTableField id="32" name="tbl_pa_saldo_financiado" tableColumnId="32"/>
      <queryTableField id="33" name="tbl_pa_iof_total" tableColumnId="33"/>
      <queryTableField id="34" name="tbl_pa_cet_anual" tableColumnId="34"/>
      <queryTableField id="35" name="tbl_pa_data_contratacao" tableColumnId="35"/>
      <queryTableField id="36" name="tbl_reneg" tableColumnId="36"/>
      <queryTableField id="37" name="tbl_pf_elegivel" tableColumnId="37"/>
      <queryTableField id="38" name="tbl_pf_valor_ativacao_automatica" tableColumnId="38"/>
      <queryTableField id="39" name="tbl_cemiterio_teste" tableColumnId="39"/>
      <queryTableField id="40" name="tbl_cemiterio_teste_motivo" tableColumnId="40"/>
      <queryTableField id="41" name="tbl_pago_encargos" tableColumnId="41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A8DCBB-AFA9-4AAC-A564-CCD30E8AEE7C}" name="TBL_FATURA" displayName="TBL_FATURA" ref="A1:O6" totalsRowShown="0" headerRowDxfId="137">
  <autoFilter ref="A1:O6" xr:uid="{ACAD8BB5-3CE9-41D3-BC36-340712D20CB1}"/>
  <tableColumns count="15">
    <tableColumn id="5" xr3:uid="{3835DD3A-E6B3-46D4-BF43-5EC599302DB5}" name="ID_CENARIO" dataDxfId="136"/>
    <tableColumn id="1" xr3:uid="{57D281C3-E317-40AA-B086-71E4FF806825}" name="ID_MASSA" dataDxfId="135">
      <calculatedColumnFormula>_xlfn.XLOOKUP($A2,TBL_CENARIOS[ID_CENARIO],TBL_CENARIOS[ID_MASSA],"--",0,1)</calculatedColumnFormula>
    </tableColumn>
    <tableColumn id="6" xr3:uid="{C775FE0F-6A46-45A9-9C26-21A3D2856363}" name="CPF">
      <calculatedColumnFormula>_xlfn.XLOOKUP($A2,TBL_CENARIOS[ID_CENARIO],TBL_CENARIOS[CPF],"--",0,1)</calculatedColumnFormula>
    </tableColumn>
    <tableColumn id="8" xr3:uid="{47E83102-DC67-4564-B063-A4126B4C33A5}" name="saldo_conta" dataDxfId="134" dataCellStyle="Moeda">
      <calculatedColumnFormula>_xlfn.XLOOKUP(TBL_FATURA[[#This Row],[ID_MASSA]],tbl_de_massas[id_massa],tbl_de_massas[saldo_conta],"--",0,1)</calculatedColumnFormula>
    </tableColumn>
    <tableColumn id="12" xr3:uid="{B3645EC9-0054-4C8B-A89B-2FB889ECAE48}" name="fatura_aberta" dataDxfId="99" dataCellStyle="Moeda">
      <calculatedColumnFormula>_xlfn.XLOOKUP(TBL_FATURA[[#This Row],[ID_MASSA]],tbl_de_massas[id_massa],tbl_de_massas[fatura_aberta],"--",0,1)</calculatedColumnFormula>
    </tableColumn>
    <tableColumn id="11" xr3:uid="{65AEF7CC-35B8-4DEF-BA22-B2268F41A298}" name="fatura_fechada" dataDxfId="133" dataCellStyle="Moeda">
      <calculatedColumnFormula>_xlfn.XLOOKUP(TBL_FATURA[[#This Row],[ID_MASSA]],tbl_de_massas[id_massa],tbl_de_massas[fatura_fechada],"--",0,1)</calculatedColumnFormula>
    </tableColumn>
    <tableColumn id="13" xr3:uid="{D922D015-E52D-4AFC-A686-3CF3420CDBF1}" name="dias_atraso" dataDxfId="132" dataCellStyle="Moeda">
      <calculatedColumnFormula>_xlfn.XLOOKUP(TBL_FATURA[[#This Row],[ID_MASSA]],tbl_de_massas[id_massa],tbl_de_massas[dias_atraso],"--",0,1)</calculatedColumnFormula>
    </tableColumn>
    <tableColumn id="15" xr3:uid="{7718918C-F813-4703-9A25-E7831CED560A}" name="fat_min" dataDxfId="131" dataCellStyle="Moeda">
      <calculatedColumnFormula>_xlfn.XLOOKUP(TBL_FATURA[[#This Row],[ID_MASSA]],TBL_CENARIOS[ID_MASSA],TBL_CENARIOS[fat_min],"--",0,1)</calculatedColumnFormula>
    </tableColumn>
    <tableColumn id="9" xr3:uid="{51E319A8-2E6A-44FA-AF5E-CD59CE2CF427}" name="fat_parcial" dataDxfId="130" dataCellStyle="Moeda">
      <calculatedColumnFormula>_xlfn.XLOOKUP(TBL_FATURA[[#This Row],[ID_MASSA]],tbl_de_massas[id_massa],tbl_de_massas[fatura_aberta],"--",0,1)</calculatedColumnFormula>
    </tableColumn>
    <tableColumn id="10" xr3:uid="{95C3F721-AB02-42BC-A826-38C13FB7B4F0}" name="fat_menor_min" dataDxfId="129" dataCellStyle="Moeda">
      <calculatedColumnFormula>_xlfn.XLOOKUP(TBL_FATURA[[#This Row],[CPF]],TBL_CENARIOS[CPF],TBL_CENARIOS[fat_menor_min],"--",0,1)</calculatedColumnFormula>
    </tableColumn>
    <tableColumn id="4" xr3:uid="{3042AD2E-CEA4-4968-BD5C-8C9EFD465383}" name="fat_maior_min" dataDxfId="128" dataCellStyle="Moeda">
      <calculatedColumnFormula>_xlfn.XLOOKUP(TBL_FATURA[[#This Row],[CPF]],TBL_CENARIOS[CPF],TBL_CENARIOS[fat_maior_min],"--",0,1)</calculatedColumnFormula>
    </tableColumn>
    <tableColumn id="2" xr3:uid="{57E8C4E6-1D02-4ED8-AB91-338A2B41001B}" name="status" dataDxfId="127">
      <calculatedColumnFormula>_xlfn.XLOOKUP(TBL_FATURA[[#This Row],[ID_MASSA]],tbl_de_massas[id_massa],tbl_de_massas[status],"--",0,1)</calculatedColumnFormula>
    </tableColumn>
    <tableColumn id="3" xr3:uid="{4B955240-A8E1-4014-81BB-6BD30D716D59}" name="status_fat_fechada" dataDxfId="126" dataCellStyle="Moeda">
      <calculatedColumnFormula>_xlfn.XLOOKUP(TBL_FATURA[[#This Row],[ID_MASSA]],tbl_de_massas[id_massa],tbl_de_massas[status_fatura_fechada],"--",0,1)</calculatedColumnFormula>
    </tableColumn>
    <tableColumn id="7" xr3:uid="{A7C741C0-C17D-4767-A53D-C57B04895AEB}" name="venc." dataDxfId="125" dataCellStyle="Moeda">
      <calculatedColumnFormula>_xlfn.XLOOKUP(TBL_FATURA[[#This Row],[ID_MASSA]],tbl_de_massas[id_massa],tbl_de_massas[tbl_ven],"--",0,1)</calculatedColumnFormula>
    </tableColumn>
    <tableColumn id="14" xr3:uid="{B6F213D9-4149-42F8-B3E9-E59752142245}" name="corte" dataDxfId="124" dataCellStyle="Moeda">
      <calculatedColumnFormula>_xlfn.XLOOKUP(TBL_FATURA[[#This Row],[ID_MASSA]],tbl_de_massas[id_massa],tbl_de_massas[tbl_corte],"--",0,1)</calculatedColumnFormula>
    </tableColumn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AD8BB5-3CE9-41D3-BC36-340712D20CB1}" name="TBL_CENARIOS" displayName="TBL_CENARIOS" ref="A1:W40" totalsRowShown="0" headerRowDxfId="162" dataDxfId="161">
  <autoFilter ref="A1:W40" xr:uid="{ACAD8BB5-3CE9-41D3-BC36-340712D20CB1}"/>
  <tableColumns count="23">
    <tableColumn id="1" xr3:uid="{6B5CC53B-DBD1-4CDD-9C32-1542A08B6368}" name="SEQ" dataDxfId="160"/>
    <tableColumn id="2" xr3:uid="{CD2BF865-12FB-4CA7-92AF-5986F6A10D19}" name="ID_CENARIO" dataDxfId="159"/>
    <tableColumn id="3" xr3:uid="{563E21B0-9315-4673-AE65-91CD43ACD432}" name="NOME" dataDxfId="158"/>
    <tableColumn id="4" xr3:uid="{DB0D9038-101D-470A-81C6-962007B72CE6}" name="FEATURE" dataDxfId="157"/>
    <tableColumn id="5" xr3:uid="{16EFE91C-C2D5-4678-8B5A-309210985C7C}" name="ID_MASSA" dataDxfId="156"/>
    <tableColumn id="6" xr3:uid="{C1F4FC78-7C99-4F62-96BF-BB11A4BB5183}" name="CPF" dataDxfId="155"/>
    <tableColumn id="7" xr3:uid="{A3E27E20-946D-47F2-A273-1FEB437AB4D1}" name="SENHA" dataDxfId="154"/>
    <tableColumn id="8" xr3:uid="{74AA8602-E172-4420-A77A-A4E3DCAD25A6}" name="saldo_conta" dataDxfId="153" dataCellStyle="Moeda">
      <calculatedColumnFormula>_xlfn.XLOOKUP(TBL_CENARIOS[[#This Row],[ID_MASSA]],tbl_de_massas[id_massa],tbl_de_massas[saldo_conta],"--",0,1)</calculatedColumnFormula>
    </tableColumn>
    <tableColumn id="18" xr3:uid="{7E6DB8D1-89E4-444D-93CD-81751FD245EA}" name="Valor PIX" dataDxfId="152" dataCellStyle="Moeda"/>
    <tableColumn id="9" xr3:uid="{BF33B3D0-974C-4FA3-A80F-DFF5462F5091}" name="lim_utilizado" dataDxfId="151" dataCellStyle="Moeda">
      <calculatedColumnFormula>_xlfn.XLOOKUP(TBL_CENARIOS[[#This Row],[ID_MASSA]],tbl_de_massas[id_massa],tbl_de_massas[limite_utilizado],"--",0,1)</calculatedColumnFormula>
    </tableColumn>
    <tableColumn id="10" xr3:uid="{DE162726-6540-4059-9A60-3F7ACBE5D86F}" name="lim_disponivel" dataDxfId="150" dataCellStyle="Moeda">
      <calculatedColumnFormula>_xlfn.XLOOKUP(TBL_CENARIOS[[#This Row],[ID_MASSA]],tbl_de_massas[id_massa],tbl_de_massas[limite_disponivel],"--",0,1)</calculatedColumnFormula>
    </tableColumn>
    <tableColumn id="12" xr3:uid="{BEFA12A4-F572-4ED2-A6F9-929A0EF3AFEF}" name="fat_aberta" dataDxfId="149" dataCellStyle="Moeda">
      <calculatedColumnFormula>TRUNC(_xlfn.XLOOKUP(TBL_CENARIOS[[#This Row],[ID_MASSA]],tbl_de_massas[id_massa],tbl_de_massas[fatura_aberta],"--",0,1),4)</calculatedColumnFormula>
    </tableColumn>
    <tableColumn id="11" xr3:uid="{BAB42A70-210B-4E99-9320-0B78E4B019F3}" name="fat_fechada" dataDxfId="148" dataCellStyle="Moeda">
      <calculatedColumnFormula>TRUNC(_xlfn.XLOOKUP(TBL_CENARIOS[[#This Row],[ID_MASSA]],tbl_de_massas[id_massa],tbl_de_massas[fatura_fechada],"--",0,1),2)</calculatedColumnFormula>
    </tableColumn>
    <tableColumn id="14" xr3:uid="{9C454D31-997B-4C6C-92CF-B33DA8B73E50}" name="fat_min" dataDxfId="147" dataCellStyle="Moeda">
      <calculatedColumnFormula>TRUNC(VALUE(_xlfn.XLOOKUP(TBL_CENARIOS[[#This Row],[ID_MASSA]],tbl_de_massas[id_massa],tbl_de_massas[fatura_fechada],"--",0,1)*0.1),2)</calculatedColumnFormula>
    </tableColumn>
    <tableColumn id="15" xr3:uid="{82A5D342-0BF9-45E0-81B9-42D12E59D3A9}" name="fat_parcial" dataDxfId="146" dataCellStyle="Moeda">
      <calculatedColumnFormula>TRUNC(VALUE(_xlfn.XLOOKUP(TBL_CENARIOS[[#This Row],[ID_MASSA]],tbl_de_massas[id_massa],tbl_de_massas[fatura_fechada],"--",0,1)*0.75),2)</calculatedColumnFormula>
    </tableColumn>
    <tableColumn id="16" xr3:uid="{EA17B47C-E9FE-408E-97D1-4B2273406D14}" name="fat_menor_min" dataDxfId="145" dataCellStyle="Moeda">
      <calculatedColumnFormula>TRUNC(VALUE(_xlfn.XLOOKUP(TBL_CENARIOS[[#This Row],[ID_MASSA]],tbl_de_massas[id_massa],tbl_de_massas[fatura_fechada],"--",0,1)*0.075),2)</calculatedColumnFormula>
    </tableColumn>
    <tableColumn id="17" xr3:uid="{C6117F9B-9405-463E-B2DB-0E2DACBFFA31}" name="fat_maior_min" dataDxfId="144" dataCellStyle="Moeda">
      <calculatedColumnFormula>TRUNC(VALUE(_xlfn.XLOOKUP(TBL_CENARIOS[[#This Row],[ID_MASSA]],tbl_de_massas[id_massa],tbl_de_massas[fatura_fechada],"--",0,1)*0.55),2)</calculatedColumnFormula>
    </tableColumn>
    <tableColumn id="19" xr3:uid="{11A030C0-138C-463E-92B7-77F64AC67ADF}" name="status" dataDxfId="143">
      <calculatedColumnFormula>_xlfn.XLOOKUP(TBL_CENARIOS[[#This Row],[ID_MASSA]],tbl_de_massas[id_massa],tbl_de_massas[status],"--",0,1)</calculatedColumnFormula>
    </tableColumn>
    <tableColumn id="21" xr3:uid="{8748C400-3BBD-42E6-83F5-72E138B1CF9A}" name="status_fat_fechada" dataDxfId="142">
      <calculatedColumnFormula>_xlfn.XLOOKUP(TBL_CENARIOS[[#This Row],[ID_MASSA]],tbl_de_massas[id_massa],tbl_de_massas[status_fatura_fechada],"--",0,1)</calculatedColumnFormula>
    </tableColumn>
    <tableColumn id="22" xr3:uid="{7ECC047B-1085-4001-85AF-77847D602B78}" name="venc." dataDxfId="141">
      <calculatedColumnFormula>_xlfn.XLOOKUP(TBL_CENARIOS[[#This Row],[ID_MASSA]],tbl_de_massas[id_massa],tbl_de_massas[tbl_ven],"--",0,1)</calculatedColumnFormula>
    </tableColumn>
    <tableColumn id="23" xr3:uid="{3FD9B604-E104-4BA1-AA96-690807BA8253}" name="corte" dataDxfId="140" dataCellStyle="Moeda">
      <calculatedColumnFormula>_xlfn.XLOOKUP(TBL_CENARIOS[[#This Row],[ID_MASSA]],tbl_de_massas[id_massa],tbl_de_massas[tbl_corte],"--",0,1)</calculatedColumnFormula>
    </tableColumn>
    <tableColumn id="13" xr3:uid="{C77AE377-2821-4B52-A59F-255A37268165}" name="dias_atraso" dataDxfId="139" dataCellStyle="Moeda">
      <calculatedColumnFormula>_xlfn.XLOOKUP(TBL_CENARIOS[[#This Row],[ID_MASSA]],tbl_de_massas[id_massa],tbl_de_massas[dias_atraso],"--",0,1)</calculatedColumnFormula>
    </tableColumn>
    <tableColumn id="20" xr3:uid="{27E369B8-6B20-48FC-82AA-2FEDE6A41898}" name="PIN" dataDxfId="138" dataCellStyle="Moeda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USUARIOS" displayName="TBL_USUARIOS" ref="A1:H1430" totalsRowShown="0">
  <autoFilter ref="A1:H1430" xr:uid="{00000000-0009-0000-0100-000002000000}"/>
  <sortState xmlns:xlrd2="http://schemas.microsoft.com/office/spreadsheetml/2017/richdata2" ref="A2:H1430">
    <sortCondition ref="G1:G1430"/>
  </sortState>
  <tableColumns count="8">
    <tableColumn id="1" xr3:uid="{00000000-0010-0000-0100-000001000000}" name="ID_MASSA"/>
    <tableColumn id="2" xr3:uid="{00000000-0010-0000-0100-000002000000}" name="CPF" dataDxfId="123">
      <calculatedColumnFormula>_xlfn.XLOOKUP(TBL_USUARIOS[[#This Row],[ID_MASSA]],tbl_de_massas[id_massa],tbl_de_massas[cpf],"--",0,1)</calculatedColumnFormula>
    </tableColumn>
    <tableColumn id="3" xr3:uid="{00000000-0010-0000-0100-000003000000}" name="SENHA"/>
    <tableColumn id="4" xr3:uid="{00000000-0010-0000-0100-000004000000}" name="Nome Completo" dataDxfId="122">
      <calculatedColumnFormula>_xlfn.XLOOKUP(TBL_USUARIOS[[#This Row],[ID_MASSA]],tbl_de_massas[id_massa],tbl_de_massas[nome_completo],"--",0,1)</calculatedColumnFormula>
    </tableColumn>
    <tableColumn id="5" xr3:uid="{00000000-0010-0000-0100-000005000000}" name="CARTÃO" dataDxfId="121">
      <calculatedColumnFormula>_xlfn.XLOOKUP(TBL_USUARIOS[[#This Row],[ID_MASSA]],tbl_de_massas[id_massa],tbl_de_massas[cartao_fisico_numero],"--",0,1)</calculatedColumnFormula>
    </tableColumn>
    <tableColumn id="6" xr3:uid="{00000000-0010-0000-0100-000006000000}" name="CARACTERISTICAS" dataDxfId="120">
      <calculatedColumnFormula>_xlfn.XLOOKUP(TBL_USUARIOS[[#This Row],[ID_MASSA]],tbl_de_massas[id_massa],tbl_de_massas[nome_completo],"--",0,1)</calculatedColumnFormula>
    </tableColumn>
    <tableColumn id="7" xr3:uid="{00000000-0010-0000-0100-000007000000}" name="SALDO" dataCellStyle="Moeda">
      <calculatedColumnFormula>_xlfn.XLOOKUP(TBL_USUARIOS[[#This Row],[ID_MASSA]],tbl_de_massas[id_massa],tbl_de_massas[saldo_conta],"--",0,1)</calculatedColumnFormula>
    </tableColumn>
    <tableColumn id="8" xr3:uid="{00000000-0010-0000-0100-000008000000}" name="OBSERVACAO" dataDxfId="119">
      <calculatedColumnFormula>_xlfn.XLOOKUP(TBL_USUARIOS[[#This Row],[ID_MASSA]],tbl_de_massas[id_massa],tbl_de_massas[nome_completo],"--",0,1)</calculatedColumnFormula>
    </tableColumn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1710CA-FA03-41CA-A221-9CA1B5EF534E}" name="TBL_PIX" displayName="TBL_PIX" ref="A1:F2" totalsRowShown="0" headerRowDxfId="118" dataDxfId="116" headerRowBorderDxfId="117" tableBorderDxfId="115" totalsRowBorderDxfId="114">
  <autoFilter ref="A1:F2" xr:uid="{021710CA-FA03-41CA-A221-9CA1B5EF534E}"/>
  <tableColumns count="6">
    <tableColumn id="1" xr3:uid="{2BC66165-7F34-4B47-97D4-FA2E4B4C0BB4}" name="ID_USUARIO" dataDxfId="113"/>
    <tableColumn id="2" xr3:uid="{03E4ED89-DB74-4513-BC91-E5329EA55201}" name="CPF" dataDxfId="112">
      <calculatedColumnFormula>_xlfn.XLOOKUP(TBL_PIX[[#This Row],[ID_USUARIO]],tbl_de_massas[id_massa],tbl_de_massas[cpf],"--",0,1)</calculatedColumnFormula>
    </tableColumn>
    <tableColumn id="3" xr3:uid="{D32F7505-23BF-4176-8736-AFFD4F1E4BC7}" name="TELEFONE" dataDxfId="111">
      <calculatedColumnFormula>_xlfn.XLOOKUP(TBL_PIX[[#This Row],[ID_USUARIO]],tbl_de_massas[id_massa],tbl_de_massas[cpf],"--",0,1)</calculatedColumnFormula>
    </tableColumn>
    <tableColumn id="4" xr3:uid="{72C80B85-AED0-4C8F-A725-6C049D5CE2CD}" name="EMAIL" dataDxfId="110">
      <calculatedColumnFormula>_xlfn.XLOOKUP(TBL_PIX[[#This Row],[ID_USUARIO]],tbl_de_massas[id_massa],tbl_de_massas[cpf],"--",0,1)</calculatedColumnFormula>
    </tableColumn>
    <tableColumn id="5" xr3:uid="{47018E78-96FB-42D5-A9B9-1986EAA97150}" name="CHAVE_ALEATORIA" dataDxfId="109">
      <calculatedColumnFormula>_xlfn.XLOOKUP(TBL_PIX[[#This Row],[ID_USUARIO]],tbl_de_massas[id_massa],tbl_de_massas[cpf],"--",0,1)</calculatedColumnFormula>
    </tableColumn>
    <tableColumn id="6" xr3:uid="{0BDC1BD7-71D0-4DFB-A376-0878F5128002}" name="VALOR " dataDxfId="108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245E5D-5355-4FC8-B167-80DE573ACBC4}" name="TBL_USUARIOS_SECUNDARIOS" displayName="TBL_USUARIOS_SECUNDARIOS" ref="A1:F4" totalsRowShown="0" headerRowDxfId="107">
  <autoFilter ref="A1:F4" xr:uid="{ACAD8BB5-3CE9-41D3-BC36-340712D20CB1}"/>
  <tableColumns count="6">
    <tableColumn id="1" xr3:uid="{CC19F18F-BD6D-4A4C-A7A5-391603A99248}" name="ID_CENARIO" dataDxfId="106"/>
    <tableColumn id="5" xr3:uid="{8A869B4C-0B04-4799-B600-D2FC3C489A7C}" name="ID_MASSA" dataDxfId="105"/>
    <tableColumn id="6" xr3:uid="{3E06E571-9310-48C4-8118-D2077283E386}" name="CPF">
      <calculatedColumnFormula>_xlfn.XLOOKUP(TBL_USUARIOS_SECUNDARIOS[[#This Row],[ID_MASSA]]&amp;"",tbl_de_massas[id_massa],tbl_de_massas[cpf],"--",0,1)</calculatedColumnFormula>
    </tableColumn>
    <tableColumn id="9" xr3:uid="{4E395619-FB9A-4352-AE19-9A6EF94F0D66}" name="CARACTERISTICAS" dataDxfId="104"/>
    <tableColumn id="10" xr3:uid="{62E00385-9862-4F18-A5C6-32F5C8D9CFFE}" name="SALDO" dataDxfId="103"/>
    <tableColumn id="11" xr3:uid="{046F1A48-9169-4337-AC48-D03FA3313EC5}" name="OBSERVACAO" dataDxfId="102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9B9BB7-793B-42B2-A230-C9AC5AAAF389}" name="tbl_de_massas" displayName="tbl_de_massas" ref="A1:AO1951" tableType="queryTable" totalsRowShown="0" headerRowDxfId="101" dataDxfId="100">
  <autoFilter ref="A1:AO1951" xr:uid="{7D9B9BB7-793B-42B2-A230-C9AC5AAAF389}">
    <filterColumn colId="9">
      <filters>
        <filter val="VIGENTE"/>
      </filters>
    </filterColumn>
    <filterColumn colId="16">
      <filters>
        <dateGroupItem year="2026" month="7" dateTimeGrouping="month"/>
      </filters>
    </filterColumn>
  </autoFilter>
  <sortState xmlns:xlrd2="http://schemas.microsoft.com/office/spreadsheetml/2017/richdata2" ref="A2:AO1951">
    <sortCondition ref="A1:A1951"/>
  </sortState>
  <tableColumns count="41">
    <tableColumn id="1" xr3:uid="{A94A0C65-239E-4AE7-BE24-584C88913927}" uniqueName="1" name="id_massa" queryTableFieldId="1" dataDxfId="40"/>
    <tableColumn id="2" xr3:uid="{5379EC0B-E378-4DF0-A4B1-81F4E63B4A7C}" uniqueName="2" name="cpf" queryTableFieldId="2" dataDxfId="39"/>
    <tableColumn id="3" xr3:uid="{9EA16D93-195F-476C-A130-1CACEFCF1ACC}" uniqueName="3" name="dia_vencimento" queryTableFieldId="3" dataDxfId="38"/>
    <tableColumn id="4" xr3:uid="{28559FEF-DE6B-41FD-A6FB-D242B89A5AEB}" uniqueName="4" name="nome_completo" queryTableFieldId="4" dataDxfId="37"/>
    <tableColumn id="5" xr3:uid="{E144B1F4-4A1E-4989-AE5D-CFA3323E461E}" uniqueName="5" name="saldo_conta" queryTableFieldId="5" dataDxfId="36" dataCellStyle="Moeda"/>
    <tableColumn id="6" xr3:uid="{5D7ACCA9-B01C-41F2-A833-E9F6369497AF}" uniqueName="6" name="limite_utilizado" queryTableFieldId="6" dataDxfId="35" dataCellStyle="Moeda"/>
    <tableColumn id="7" xr3:uid="{3653F2E3-2666-470D-B459-729C4CA7BC7A}" uniqueName="7" name="limite_disponivel" queryTableFieldId="7" dataDxfId="34" dataCellStyle="Moeda"/>
    <tableColumn id="8" xr3:uid="{64625AD8-4B54-4ECA-A478-9485E0032ACA}" uniqueName="8" name="fatura_fechada" queryTableFieldId="8" dataDxfId="33" dataCellStyle="Moeda"/>
    <tableColumn id="9" xr3:uid="{912D34B9-5163-45D9-9786-5DD607AD0861}" uniqueName="9" name="fatura_aberta" queryTableFieldId="9" dataDxfId="32" dataCellStyle="Moeda"/>
    <tableColumn id="10" xr3:uid="{DD8B1BDE-0D13-42EA-9A6D-00D635305916}" uniqueName="10" name="status_fatura_fechada" queryTableFieldId="10" dataDxfId="31"/>
    <tableColumn id="11" xr3:uid="{C11C82B4-2867-4C6E-9ED7-663F93E18BFF}" uniqueName="11" name="dias_atraso" queryTableFieldId="11" dataDxfId="30"/>
    <tableColumn id="12" xr3:uid="{4CE06843-10ED-419C-B33B-00A34972452F}" uniqueName="12" name="status" queryTableFieldId="12" dataDxfId="29"/>
    <tableColumn id="13" xr3:uid="{62467902-F509-4AAE-AA9C-B270C206B6C5}" uniqueName="13" name="cartao_fisico_numero" queryTableFieldId="13" dataDxfId="28"/>
    <tableColumn id="14" xr3:uid="{9F6C5FC5-6338-49FD-B130-3961BD17CBAF}" uniqueName="14" name="cartao_fisico_cvv" queryTableFieldId="14" dataDxfId="27"/>
    <tableColumn id="15" xr3:uid="{F1B9CC02-1EF4-405D-9D0E-34CF9CF32EF9}" uniqueName="15" name="cartao_virtual_numero" queryTableFieldId="15" dataDxfId="26"/>
    <tableColumn id="16" xr3:uid="{726D466F-95EC-42BF-BCF1-6BDCFCAF7347}" uniqueName="16" name="cartao_virtual_cvv" queryTableFieldId="16" dataDxfId="25"/>
    <tableColumn id="17" xr3:uid="{1EFE7257-DD4E-4660-9A2E-05A47CBA831D}" uniqueName="17" name="data_criação" queryTableFieldId="17" dataDxfId="24"/>
    <tableColumn id="18" xr3:uid="{0FE9D701-25B2-4A47-BF1C-2DD1A6523868}" uniqueName="18" name="tbl_ven" queryTableFieldId="18" dataDxfId="23"/>
    <tableColumn id="19" xr3:uid="{60C49619-CA25-4F1B-9BF0-77DFCCDCCC0F}" uniqueName="19" name="tbl_corte" queryTableFieldId="19" dataDxfId="22"/>
    <tableColumn id="20" xr3:uid="{B9F1D43A-BB1D-4610-A764-BE5A10B97846}" uniqueName="20" name="tbl_schema" queryTableFieldId="20" dataDxfId="21"/>
    <tableColumn id="21" xr3:uid="{B14D0718-61CC-483F-BA7B-649D24AF7F27}" uniqueName="21" name="tbl_pf_valor_parcela" queryTableFieldId="21" dataDxfId="20"/>
    <tableColumn id="22" xr3:uid="{D334D426-EF89-4EFF-9706-2102AF0A7456}" uniqueName="22" name="tbl_pf_saldo_financiado" queryTableFieldId="22" dataDxfId="19"/>
    <tableColumn id="23" xr3:uid="{02724157-8A5F-4264-B8B7-E411284ABD6A}" uniqueName="23" name="tbl_pf_iof_total" queryTableFieldId="23" dataDxfId="18"/>
    <tableColumn id="24" xr3:uid="{6FBDD50F-CF96-4E70-A612-6EFA9B7BD4D6}" uniqueName="24" name="tbl_pf_iof_adicional" queryTableFieldId="24" dataDxfId="17"/>
    <tableColumn id="25" xr3:uid="{722A8274-5DF9-49B1-845B-AFF9D776931E}" uniqueName="25" name="tbl_pf_cet_anual" queryTableFieldId="25" dataDxfId="16"/>
    <tableColumn id="26" xr3:uid="{0DDCFED1-9484-4B10-A61C-694C5B50D23F}" uniqueName="26" name="tbl_pf_prazo" queryTableFieldId="26" dataDxfId="15"/>
    <tableColumn id="27" xr3:uid="{2BA61D63-6BB1-484F-AB77-CD89F2505CEB}" uniqueName="27" name="tbl_pf_data_contratacao" queryTableFieldId="27" dataDxfId="14"/>
    <tableColumn id="28" xr3:uid="{DF07FA59-C5D5-4653-A20B-12AA684B35A0}" uniqueName="28" name="tbl_pa_valor_pagamento" queryTableFieldId="28" dataDxfId="13"/>
    <tableColumn id="29" xr3:uid="{310D8F03-7A65-44A4-9587-9086F3301D6B}" uniqueName="29" name="tbl_pa_minimo" queryTableFieldId="29" dataDxfId="12"/>
    <tableColumn id="30" xr3:uid="{DB1251CC-00D4-406E-A62F-BE9F3D2401F1}" uniqueName="30" name="tbl_pa_piso" queryTableFieldId="30" dataDxfId="11"/>
    <tableColumn id="31" xr3:uid="{DE2853CC-872A-4106-9DFF-6B1F50987A66}" uniqueName="31" name="tbl_pa_valor_parcela" queryTableFieldId="31" dataDxfId="10"/>
    <tableColumn id="32" xr3:uid="{17F0ED11-FBA6-4385-99F3-8F6480A49761}" uniqueName="32" name="tbl_pa_saldo_financiado" queryTableFieldId="32" dataDxfId="9"/>
    <tableColumn id="33" xr3:uid="{8E14819F-DCD3-43C5-B894-C0B6F4EA3D0E}" uniqueName="33" name="tbl_pa_iof_total" queryTableFieldId="33" dataDxfId="8"/>
    <tableColumn id="34" xr3:uid="{B8361522-AAEB-4CDA-B2B8-D03AFFF2CD3D}" uniqueName="34" name="tbl_pa_cet_anual" queryTableFieldId="34" dataDxfId="7"/>
    <tableColumn id="35" xr3:uid="{849C07A0-0EE3-4853-92C0-6CB4DB7D9B9F}" uniqueName="35" name="tbl_pa_data_contratacao" queryTableFieldId="35" dataDxfId="6"/>
    <tableColumn id="36" xr3:uid="{AAB8834C-1640-4C2E-AB0C-2A899D991224}" uniqueName="36" name="tbl_reneg" queryTableFieldId="36" dataDxfId="5"/>
    <tableColumn id="37" xr3:uid="{C26E12DC-9A70-408C-B83E-B349BFE3144C}" uniqueName="37" name="tbl_pf_elegivel" queryTableFieldId="37" dataDxfId="4"/>
    <tableColumn id="38" xr3:uid="{FA835F7A-D716-4F48-A214-789426A672DB}" uniqueName="38" name="tbl_pf_valor_ativacao_automatica" queryTableFieldId="38" dataDxfId="3"/>
    <tableColumn id="39" xr3:uid="{70C7F7FB-D2F8-47E1-8DEF-3EEB1CD41BA6}" uniqueName="39" name="tbl_cemiterio_teste" queryTableFieldId="39" dataDxfId="2"/>
    <tableColumn id="40" xr3:uid="{620CA05A-5DD7-441B-BE77-CF81501CF588}" uniqueName="40" name="tbl_cemiterio_teste_motivo" queryTableFieldId="40" dataDxfId="1"/>
    <tableColumn id="41" xr3:uid="{21D4660F-4A19-48CE-B536-37A6EF294223}" uniqueName="41" name="tbl_pago_encargos" queryTableFieldId="41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" row="7">
    <wetp:webextensionref xmlns:r="http://schemas.openxmlformats.org/officeDocument/2006/relationships" r:id="rId1"/>
  </wetp:taskpane>
  <wetp:taskpane dockstate="right" visibility="0" width="350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E0621C0-A9AC-4D85-8DFD-6F51249067DC}">
  <we:reference id="wa200009404" version="1.0.0.8" store="pt-BR" storeType="OMEX"/>
  <we:alternateReferences>
    <we:reference id="WA200009404" version="1.0.0.8" store="" storeType="OMEX"/>
  </we:alternateReferences>
  <we:properties>
    <we:property name="claude.fileId" value="&quot;89966cdb-5e51-4f65-8aaa-0de70835bed2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62C90128-9D5D-468F-A984-707F303AE6FD}">
  <we:reference id="wa200010725" version="1.0.0.1" store="pt-BR" storeType="OMEX"/>
  <we:alternateReferences>
    <we:reference id="WA200010725" version="1.0.0.1" store="WA200010725" storeType="OMEX"/>
  </we:alternateReferences>
  <we:properties>
    <we:property name="claude.fileId" value="&quot;0c02caf8-dc59-4d38-af2d-d83322fd846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890F-D010-4A55-82C9-6B278A204453}">
  <dimension ref="A1:Q6"/>
  <sheetViews>
    <sheetView showOutlineSymbols="0" zoomScale="110" zoomScaleNormal="110" workbookViewId="0">
      <selection activeCell="E1" sqref="E1:E1048576"/>
    </sheetView>
  </sheetViews>
  <sheetFormatPr defaultRowHeight="15.75" x14ac:dyDescent="0.25"/>
  <cols>
    <col min="1" max="1" width="10.75" style="2" customWidth="1"/>
    <col min="2" max="2" width="8.625" customWidth="1"/>
    <col min="3" max="3" width="11.125" bestFit="1" customWidth="1"/>
    <col min="4" max="4" width="11.125" customWidth="1"/>
    <col min="5" max="5" width="11" customWidth="1"/>
    <col min="6" max="6" width="12.5" customWidth="1"/>
    <col min="8" max="8" width="9.625" customWidth="1"/>
    <col min="9" max="9" width="10.25" customWidth="1"/>
    <col min="10" max="10" width="9.75" customWidth="1"/>
    <col min="11" max="11" width="11.75" customWidth="1"/>
    <col min="12" max="12" width="11.625" customWidth="1"/>
    <col min="13" max="13" width="11.625" bestFit="1" customWidth="1"/>
    <col min="14" max="14" width="17.25" customWidth="1"/>
    <col min="17" max="17" width="11.625" style="15" bestFit="1" customWidth="1"/>
  </cols>
  <sheetData>
    <row r="1" spans="1:17" s="26" customFormat="1" ht="66.75" customHeight="1" x14ac:dyDescent="0.25">
      <c r="A1" s="24" t="s">
        <v>1</v>
      </c>
      <c r="B1" s="25" t="s">
        <v>4</v>
      </c>
      <c r="C1" s="26" t="s">
        <v>5</v>
      </c>
      <c r="D1" s="23" t="s">
        <v>1294</v>
      </c>
      <c r="E1" s="23" t="s">
        <v>1298</v>
      </c>
      <c r="F1" s="23" t="s">
        <v>1297</v>
      </c>
      <c r="G1" s="23" t="s">
        <v>1299</v>
      </c>
      <c r="H1" s="23" t="s">
        <v>2533</v>
      </c>
      <c r="I1" s="23" t="s">
        <v>2534</v>
      </c>
      <c r="J1" s="23" t="s">
        <v>2535</v>
      </c>
      <c r="K1" s="23" t="s">
        <v>2673</v>
      </c>
      <c r="L1" s="26" t="s">
        <v>2367</v>
      </c>
      <c r="M1" s="26" t="s">
        <v>2672</v>
      </c>
      <c r="N1" s="27" t="s">
        <v>5594</v>
      </c>
      <c r="O1" s="27" t="s">
        <v>5595</v>
      </c>
    </row>
    <row r="2" spans="1:17" x14ac:dyDescent="0.25">
      <c r="A2" s="2" t="s">
        <v>28</v>
      </c>
      <c r="B2" t="str">
        <f>_xlfn.XLOOKUP($A2,TBL_CENARIOS[ID_CENARIO],TBL_CENARIOS[ID_MASSA],"--",0,1)</f>
        <v>0038</v>
      </c>
      <c r="C2" s="19" t="str">
        <f>_xlfn.XLOOKUP($A2,TBL_CENARIOS[ID_CENARIO],TBL_CENARIOS[CPF],"--",0,1)</f>
        <v>97504636177</v>
      </c>
      <c r="D2" s="21">
        <f>_xlfn.XLOOKUP(TBL_FATURA[[#This Row],[ID_MASSA]],tbl_de_massas[id_massa],tbl_de_massas[saldo_conta],"--",0,1)</f>
        <v>10000</v>
      </c>
      <c r="E2" s="21">
        <f>_xlfn.XLOOKUP(TBL_FATURA[[#This Row],[ID_MASSA]],tbl_de_massas[id_massa],tbl_de_massas[fatura_aberta],"--",0,1)</f>
        <v>1572.02</v>
      </c>
      <c r="F2" s="21">
        <f>_xlfn.XLOOKUP(TBL_FATURA[[#This Row],[ID_MASSA]],tbl_de_massas[id_massa],tbl_de_massas[fatura_fechada],"--",0,1)</f>
        <v>1309.9100000000001</v>
      </c>
      <c r="G2" s="22">
        <f>_xlfn.XLOOKUP(TBL_FATURA[[#This Row],[ID_MASSA]],tbl_de_massas[id_massa],tbl_de_massas[dias_atraso],"--",0,1)</f>
        <v>11</v>
      </c>
      <c r="H2" s="21">
        <f>_xlfn.XLOOKUP(TBL_FATURA[[#This Row],[ID_MASSA]],TBL_CENARIOS[ID_MASSA],TBL_CENARIOS[fat_min],"--",0,1)</f>
        <v>130.99</v>
      </c>
      <c r="I2" s="21">
        <f>_xlfn.XLOOKUP(TBL_FATURA[[#This Row],[CPF]],TBL_CENARIOS[CPF],TBL_CENARIOS[fat_parcial],"--",0,1)</f>
        <v>982.43</v>
      </c>
      <c r="J2" s="21">
        <f>_xlfn.XLOOKUP(TBL_FATURA[[#This Row],[CPF]],TBL_CENARIOS[CPF],TBL_CENARIOS[fat_menor_min],"--",0,1)</f>
        <v>98.24</v>
      </c>
      <c r="K2" s="21">
        <f>_xlfn.XLOOKUP(TBL_FATURA[[#This Row],[CPF]],TBL_CENARIOS[CPF],TBL_CENARIOS[fat_maior_min],"--",0,1)</f>
        <v>720.45</v>
      </c>
      <c r="L2" s="15" t="str">
        <f>_xlfn.XLOOKUP(TBL_FATURA[[#This Row],[ID_MASSA]],tbl_de_massas[id_massa],tbl_de_massas[status],"--",0,1)</f>
        <v>inadimplente</v>
      </c>
      <c r="M2" s="21" t="str">
        <f>_xlfn.XLOOKUP(TBL_FATURA[[#This Row],[ID_MASSA]],tbl_de_massas[id_massa],tbl_de_massas[status_fatura_fechada],"--",0,1)</f>
        <v>VIGENTE</v>
      </c>
      <c r="N2" s="38">
        <f>_xlfn.XLOOKUP(TBL_FATURA[[#This Row],[ID_MASSA]],tbl_de_massas[id_massa],tbl_de_massas[tbl_ven],"--",0,1)</f>
        <v>46310</v>
      </c>
      <c r="O2" s="39">
        <f>_xlfn.XLOOKUP(TBL_FATURA[[#This Row],[ID_MASSA]],tbl_de_massas[id_massa],tbl_de_massas[tbl_corte],"--",0,1)</f>
        <v>46305</v>
      </c>
      <c r="Q2"/>
    </row>
    <row r="3" spans="1:17" x14ac:dyDescent="0.25">
      <c r="A3" s="2" t="s">
        <v>2348</v>
      </c>
      <c r="B3" t="str">
        <f>_xlfn.XLOOKUP($A3,TBL_CENARIOS[ID_CENARIO],TBL_CENARIOS[ID_MASSA],"--",0,1)</f>
        <v>0042</v>
      </c>
      <c r="C3" s="18" t="str">
        <f>_xlfn.XLOOKUP($A3,TBL_CENARIOS[ID_CENARIO],TBL_CENARIOS[CPF],"--",0,1)</f>
        <v>17693911189</v>
      </c>
      <c r="D3" s="21">
        <f>_xlfn.XLOOKUP(TBL_FATURA[[#This Row],[ID_MASSA]],tbl_de_massas[id_massa],tbl_de_massas[saldo_conta],"--",0,1)</f>
        <v>10000</v>
      </c>
      <c r="E3" s="21">
        <f>_xlfn.XLOOKUP(TBL_FATURA[[#This Row],[ID_MASSA]],tbl_de_massas[id_massa],tbl_de_massas[fatura_aberta],"--",0,1)</f>
        <v>1694.48</v>
      </c>
      <c r="F3" s="21">
        <f>_xlfn.XLOOKUP(TBL_FATURA[[#This Row],[ID_MASSA]],tbl_de_massas[id_massa],tbl_de_massas[fatura_fechada],"--",0,1)</f>
        <v>1422.82</v>
      </c>
      <c r="G3" s="22">
        <f>_xlfn.XLOOKUP(TBL_FATURA[[#This Row],[ID_MASSA]],tbl_de_massas[id_massa],tbl_de_massas[dias_atraso],"--",0,1)</f>
        <v>11</v>
      </c>
      <c r="H3" s="21">
        <f>_xlfn.XLOOKUP(TBL_FATURA[[#This Row],[ID_MASSA]],TBL_CENARIOS[ID_MASSA],TBL_CENARIOS[fat_min],"--",0,1)</f>
        <v>142.28</v>
      </c>
      <c r="I3" s="21">
        <f>_xlfn.XLOOKUP(TBL_FATURA[[#This Row],[CPF]],TBL_CENARIOS[CPF],TBL_CENARIOS[fat_parcial],"--",0,1)</f>
        <v>1067.1099999999999</v>
      </c>
      <c r="J3" s="21">
        <f>_xlfn.XLOOKUP(TBL_FATURA[[#This Row],[CPF]],TBL_CENARIOS[CPF],TBL_CENARIOS[fat_menor_min],"--",0,1)</f>
        <v>106.71</v>
      </c>
      <c r="K3" s="21">
        <f>_xlfn.XLOOKUP(TBL_FATURA[[#This Row],[CPF]],TBL_CENARIOS[CPF],TBL_CENARIOS[fat_maior_min],"--",0,1)</f>
        <v>782.55</v>
      </c>
      <c r="L3" s="15" t="str">
        <f>_xlfn.XLOOKUP(TBL_FATURA[[#This Row],[ID_MASSA]],tbl_de_massas[id_massa],tbl_de_massas[status],"--",0,1)</f>
        <v>inadimplente</v>
      </c>
      <c r="M3" s="21" t="str">
        <f>_xlfn.XLOOKUP(TBL_FATURA[[#This Row],[ID_MASSA]],tbl_de_massas[id_massa],tbl_de_massas[status_fatura_fechada],"--",0,1)</f>
        <v>VIGENTE</v>
      </c>
      <c r="N3" s="38">
        <f>_xlfn.XLOOKUP(TBL_FATURA[[#This Row],[ID_MASSA]],tbl_de_massas[id_massa],tbl_de_massas[tbl_ven],"--",0,1)</f>
        <v>46310</v>
      </c>
      <c r="O3" s="39">
        <f>_xlfn.XLOOKUP(TBL_FATURA[[#This Row],[ID_MASSA]],tbl_de_massas[id_massa],tbl_de_massas[tbl_corte],"--",0,1)</f>
        <v>46305</v>
      </c>
      <c r="Q3"/>
    </row>
    <row r="4" spans="1:17" x14ac:dyDescent="0.25">
      <c r="A4" s="2" t="s">
        <v>2349</v>
      </c>
      <c r="B4" s="2" t="str">
        <f>_xlfn.XLOOKUP($A4,TBL_CENARIOS[ID_CENARIO],TBL_CENARIOS[ID_MASSA],"--",0,1)</f>
        <v>0043</v>
      </c>
      <c r="C4" s="1" t="str">
        <f>_xlfn.XLOOKUP($A4,TBL_CENARIOS[ID_CENARIO],TBL_CENARIOS[CPF],"--",0,1)</f>
        <v>81698023189</v>
      </c>
      <c r="D4" s="21">
        <f>_xlfn.XLOOKUP(TBL_FATURA[[#This Row],[ID_MASSA]],tbl_de_massas[id_massa],tbl_de_massas[saldo_conta],"--",0,1)</f>
        <v>10000</v>
      </c>
      <c r="E4" s="21">
        <f>_xlfn.XLOOKUP(TBL_FATURA[[#This Row],[ID_MASSA]],tbl_de_massas[id_massa],tbl_de_massas[fatura_aberta],"--",0,1)</f>
        <v>1803.6</v>
      </c>
      <c r="F4" s="21">
        <f>_xlfn.XLOOKUP(TBL_FATURA[[#This Row],[ID_MASSA]],tbl_de_massas[id_massa],tbl_de_massas[fatura_fechada],"--",0,1)</f>
        <v>1523.41</v>
      </c>
      <c r="G4" s="22">
        <f>_xlfn.XLOOKUP(TBL_FATURA[[#This Row],[ID_MASSA]],tbl_de_massas[id_massa],tbl_de_massas[dias_atraso],"--",0,1)</f>
        <v>11</v>
      </c>
      <c r="H4" s="21">
        <f>_xlfn.XLOOKUP(TBL_FATURA[[#This Row],[ID_MASSA]],TBL_CENARIOS[ID_MASSA],TBL_CENARIOS[fat_min],"--",0,1)</f>
        <v>152.34</v>
      </c>
      <c r="I4" s="21">
        <f>_xlfn.XLOOKUP(TBL_FATURA[[#This Row],[CPF]],TBL_CENARIOS[CPF],TBL_CENARIOS[fat_parcial],"--",0,1)</f>
        <v>1142.55</v>
      </c>
      <c r="J4" s="21">
        <f>_xlfn.XLOOKUP(TBL_FATURA[[#This Row],[CPF]],TBL_CENARIOS[CPF],TBL_CENARIOS[fat_menor_min],"--",0,1)</f>
        <v>114.25</v>
      </c>
      <c r="K4" s="21">
        <f>_xlfn.XLOOKUP(TBL_FATURA[[#This Row],[CPF]],TBL_CENARIOS[CPF],TBL_CENARIOS[fat_maior_min],"--",0,1)</f>
        <v>837.87</v>
      </c>
      <c r="L4" s="15" t="str">
        <f>_xlfn.XLOOKUP(TBL_FATURA[[#This Row],[ID_MASSA]],tbl_de_massas[id_massa],tbl_de_massas[status],"--",0,1)</f>
        <v>inadimplente</v>
      </c>
      <c r="M4" s="21" t="str">
        <f>_xlfn.XLOOKUP(TBL_FATURA[[#This Row],[ID_MASSA]],tbl_de_massas[id_massa],tbl_de_massas[status_fatura_fechada],"--",0,1)</f>
        <v>VIGENTE</v>
      </c>
      <c r="N4" s="38">
        <f>_xlfn.XLOOKUP(TBL_FATURA[[#This Row],[ID_MASSA]],tbl_de_massas[id_massa],tbl_de_massas[tbl_ven],"--",0,1)</f>
        <v>46310</v>
      </c>
      <c r="O4" s="39">
        <f>_xlfn.XLOOKUP(TBL_FATURA[[#This Row],[ID_MASSA]],tbl_de_massas[id_massa],tbl_de_massas[tbl_corte],"--",0,1)</f>
        <v>46305</v>
      </c>
      <c r="Q4"/>
    </row>
    <row r="5" spans="1:17" x14ac:dyDescent="0.25">
      <c r="A5" s="2" t="s">
        <v>2362</v>
      </c>
      <c r="B5" s="2" t="str">
        <f>_xlfn.XLOOKUP($A5,TBL_CENARIOS[ID_CENARIO],TBL_CENARIOS[ID_MASSA],"--",0,1)</f>
        <v>0051</v>
      </c>
      <c r="C5" s="19" t="str">
        <f>_xlfn.XLOOKUP($A5,TBL_CENARIOS[ID_CENARIO],TBL_CENARIOS[CPF],"--",0,1)</f>
        <v>16165143539</v>
      </c>
      <c r="D5" s="21">
        <f>_xlfn.XLOOKUP(TBL_FATURA[[#This Row],[ID_MASSA]],tbl_de_massas[id_massa],tbl_de_massas[saldo_conta],"--",0,1)</f>
        <v>10000</v>
      </c>
      <c r="E5" s="21">
        <f>_xlfn.XLOOKUP(TBL_FATURA[[#This Row],[ID_MASSA]],tbl_de_massas[id_massa],tbl_de_massas[fatura_aberta],"--",0,1)</f>
        <v>1584.1</v>
      </c>
      <c r="F5" s="21">
        <f>_xlfn.XLOOKUP(TBL_FATURA[[#This Row],[ID_MASSA]],tbl_de_massas[id_massa],tbl_de_massas[fatura_fechada],"--",0,1)</f>
        <v>1321.07</v>
      </c>
      <c r="G5" s="22">
        <f>_xlfn.XLOOKUP(TBL_FATURA[[#This Row],[ID_MASSA]],tbl_de_massas[id_massa],tbl_de_massas[dias_atraso],"--",0,1)</f>
        <v>11</v>
      </c>
      <c r="H5" s="21">
        <f>_xlfn.XLOOKUP(TBL_FATURA[[#This Row],[ID_MASSA]],TBL_CENARIOS[ID_MASSA],TBL_CENARIOS[fat_min],"--",0,1)</f>
        <v>132.1</v>
      </c>
      <c r="I5" s="21">
        <f>_xlfn.XLOOKUP(TBL_FATURA[[#This Row],[CPF]],TBL_CENARIOS[CPF],TBL_CENARIOS[fat_parcial],"--",0,1)</f>
        <v>990.8</v>
      </c>
      <c r="J5" s="21">
        <f>_xlfn.XLOOKUP(TBL_FATURA[[#This Row],[CPF]],TBL_CENARIOS[CPF],TBL_CENARIOS[fat_menor_min],"--",0,1)</f>
        <v>99.08</v>
      </c>
      <c r="K5" s="21">
        <f>_xlfn.XLOOKUP(TBL_FATURA[[#This Row],[CPF]],TBL_CENARIOS[CPF],TBL_CENARIOS[fat_maior_min],"--",0,1)</f>
        <v>726.58</v>
      </c>
      <c r="L5" s="15" t="str">
        <f>_xlfn.XLOOKUP(TBL_FATURA[[#This Row],[ID_MASSA]],tbl_de_massas[id_massa],tbl_de_massas[status],"--",0,1)</f>
        <v>inadimplente</v>
      </c>
      <c r="M5" s="21" t="str">
        <f>_xlfn.XLOOKUP(TBL_FATURA[[#This Row],[ID_MASSA]],tbl_de_massas[id_massa],tbl_de_massas[status_fatura_fechada],"--",0,1)</f>
        <v>VIGENTE</v>
      </c>
      <c r="N5" s="38">
        <f>_xlfn.XLOOKUP(TBL_FATURA[[#This Row],[ID_MASSA]],tbl_de_massas[id_massa],tbl_de_massas[tbl_ven],"--",0,1)</f>
        <v>46310</v>
      </c>
      <c r="O5" s="39">
        <f>_xlfn.XLOOKUP(TBL_FATURA[[#This Row],[ID_MASSA]],tbl_de_massas[id_massa],tbl_de_massas[tbl_corte],"--",0,1)</f>
        <v>46305</v>
      </c>
      <c r="Q5"/>
    </row>
    <row r="6" spans="1:17" x14ac:dyDescent="0.25">
      <c r="A6" s="2" t="s">
        <v>2363</v>
      </c>
      <c r="B6" s="2" t="str">
        <f>_xlfn.XLOOKUP($A6,TBL_CENARIOS[ID_CENARIO],TBL_CENARIOS[ID_MASSA],"--",0,1)</f>
        <v>0053</v>
      </c>
      <c r="C6" s="18" t="str">
        <f>_xlfn.XLOOKUP($A6,TBL_CENARIOS[ID_CENARIO],TBL_CENARIOS[CPF],"--",0,1)</f>
        <v>43204282856</v>
      </c>
      <c r="D6" s="21">
        <f>_xlfn.XLOOKUP(TBL_FATURA[[#This Row],[ID_MASSA]],tbl_de_massas[id_massa],tbl_de_massas[saldo_conta],"--",0,1)</f>
        <v>10000</v>
      </c>
      <c r="E6" s="21">
        <f>_xlfn.XLOOKUP(TBL_FATURA[[#This Row],[ID_MASSA]],tbl_de_massas[id_massa],tbl_de_massas[fatura_aberta],"--",0,1)</f>
        <v>1746.11</v>
      </c>
      <c r="F6" s="21">
        <f>_xlfn.XLOOKUP(TBL_FATURA[[#This Row],[ID_MASSA]],tbl_de_massas[id_massa],tbl_de_massas[fatura_fechada],"--",0,1)</f>
        <v>1470.42</v>
      </c>
      <c r="G6" s="22">
        <f>_xlfn.XLOOKUP(TBL_FATURA[[#This Row],[ID_MASSA]],tbl_de_massas[id_massa],tbl_de_massas[dias_atraso],"--",0,1)</f>
        <v>11</v>
      </c>
      <c r="H6" s="21">
        <f>_xlfn.XLOOKUP(TBL_FATURA[[#This Row],[ID_MASSA]],TBL_CENARIOS[ID_MASSA],TBL_CENARIOS[fat_min],"--",0,1)</f>
        <v>147.04</v>
      </c>
      <c r="I6" s="21">
        <f>_xlfn.XLOOKUP(TBL_FATURA[[#This Row],[CPF]],TBL_CENARIOS[CPF],TBL_CENARIOS[fat_parcial],"--",0,1)</f>
        <v>1102.81</v>
      </c>
      <c r="J6" s="21">
        <f>_xlfn.XLOOKUP(TBL_FATURA[[#This Row],[CPF]],TBL_CENARIOS[CPF],TBL_CENARIOS[fat_menor_min],"--",0,1)</f>
        <v>110.28</v>
      </c>
      <c r="K6" s="21">
        <f>_xlfn.XLOOKUP(TBL_FATURA[[#This Row],[CPF]],TBL_CENARIOS[CPF],TBL_CENARIOS[fat_maior_min],"--",0,1)</f>
        <v>808.73</v>
      </c>
      <c r="L6" s="15" t="str">
        <f>_xlfn.XLOOKUP(TBL_FATURA[[#This Row],[ID_MASSA]],tbl_de_massas[id_massa],tbl_de_massas[status],"--",0,1)</f>
        <v>inadimplente</v>
      </c>
      <c r="M6" s="21" t="str">
        <f>_xlfn.XLOOKUP(TBL_FATURA[[#This Row],[ID_MASSA]],tbl_de_massas[id_massa],tbl_de_massas[status_fatura_fechada],"--",0,1)</f>
        <v>VIGENTE</v>
      </c>
      <c r="N6" s="38">
        <f>_xlfn.XLOOKUP(TBL_FATURA[[#This Row],[ID_MASSA]],tbl_de_massas[id_massa],tbl_de_massas[tbl_ven],"--",0,1)</f>
        <v>46310</v>
      </c>
      <c r="O6" s="39">
        <f>_xlfn.XLOOKUP(TBL_FATURA[[#This Row],[ID_MASSA]],tbl_de_massas[id_massa],tbl_de_massas[tbl_corte],"--",0,1)</f>
        <v>46305</v>
      </c>
      <c r="Q6"/>
    </row>
  </sheetData>
  <phoneticPr fontId="8" type="noConversion"/>
  <conditionalFormatting sqref="D2:D6">
    <cfRule type="cellIs" dxfId="98" priority="3" operator="greaterThan">
      <formula>$F2</formula>
    </cfRule>
  </conditionalFormatting>
  <conditionalFormatting sqref="K3:K6">
    <cfRule type="cellIs" dxfId="97" priority="2" operator="greaterThan">
      <formula>$H3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I2:I6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"/>
  <sheetViews>
    <sheetView tabSelected="1" showOutlineSymbols="0" zoomScale="90" zoomScaleNormal="90" workbookViewId="0">
      <selection activeCell="K10" sqref="K10"/>
    </sheetView>
  </sheetViews>
  <sheetFormatPr defaultRowHeight="15.75" x14ac:dyDescent="0.25"/>
  <cols>
    <col min="1" max="1" width="4.875" customWidth="1"/>
    <col min="2" max="2" width="11.875" customWidth="1"/>
    <col min="3" max="3" width="40.875" customWidth="1"/>
    <col min="4" max="4" width="9" hidden="1" customWidth="1"/>
    <col min="5" max="5" width="9.625" style="2" customWidth="1"/>
    <col min="6" max="6" width="11.75" customWidth="1"/>
    <col min="7" max="7" width="9.25" hidden="1" customWidth="1"/>
    <col min="8" max="8" width="13.5" customWidth="1"/>
    <col min="9" max="9" width="7.625" customWidth="1"/>
    <col min="10" max="10" width="10.125" customWidth="1"/>
    <col min="11" max="11" width="11.75" customWidth="1"/>
    <col min="12" max="12" width="11.875" customWidth="1"/>
    <col min="13" max="13" width="9.625" customWidth="1"/>
    <col min="14" max="14" width="10.125" customWidth="1"/>
    <col min="15" max="15" width="10.625" customWidth="1"/>
    <col min="16" max="16" width="9.5" customWidth="1"/>
    <col min="17" max="17" width="9.25" customWidth="1"/>
    <col min="18" max="18" width="11.5" style="29" bestFit="1" customWidth="1"/>
    <col min="19" max="19" width="15.25" customWidth="1"/>
    <col min="20" max="20" width="11.75" bestFit="1" customWidth="1"/>
    <col min="21" max="21" width="9" bestFit="1" customWidth="1"/>
    <col min="22" max="22" width="7.25" bestFit="1" customWidth="1"/>
    <col min="23" max="23" width="18.875" bestFit="1" customWidth="1"/>
    <col min="24" max="24" width="10.625" bestFit="1" customWidth="1"/>
    <col min="26" max="26" width="5.375" customWidth="1"/>
    <col min="27" max="27" width="10.625" bestFit="1" customWidth="1"/>
  </cols>
  <sheetData>
    <row r="1" spans="1:23" s="30" customFormat="1" ht="66.599999999999994" customHeight="1" x14ac:dyDescent="0.25">
      <c r="A1" s="30" t="s">
        <v>0</v>
      </c>
      <c r="B1" s="30" t="s">
        <v>1</v>
      </c>
      <c r="C1" s="30" t="s">
        <v>2</v>
      </c>
      <c r="D1" s="30" t="s">
        <v>3</v>
      </c>
      <c r="E1" s="31" t="s">
        <v>4</v>
      </c>
      <c r="F1" s="30" t="s">
        <v>5</v>
      </c>
      <c r="G1" s="30" t="s">
        <v>6</v>
      </c>
      <c r="H1" s="32" t="s">
        <v>1294</v>
      </c>
      <c r="I1" s="33" t="s">
        <v>2260</v>
      </c>
      <c r="J1" s="43" t="s">
        <v>6703</v>
      </c>
      <c r="K1" s="43" t="s">
        <v>6704</v>
      </c>
      <c r="L1" s="43" t="s">
        <v>6702</v>
      </c>
      <c r="M1" s="43" t="s">
        <v>6701</v>
      </c>
      <c r="N1" s="30" t="s">
        <v>2533</v>
      </c>
      <c r="O1" s="34" t="s">
        <v>2534</v>
      </c>
      <c r="P1" s="30" t="s">
        <v>2535</v>
      </c>
      <c r="Q1" s="30" t="s">
        <v>2673</v>
      </c>
      <c r="R1" s="30" t="s">
        <v>2367</v>
      </c>
      <c r="S1" s="30" t="s">
        <v>2672</v>
      </c>
      <c r="T1" s="30" t="s">
        <v>5594</v>
      </c>
      <c r="U1" s="30" t="s">
        <v>5595</v>
      </c>
      <c r="V1" s="32" t="s">
        <v>1299</v>
      </c>
      <c r="W1" s="30" t="s">
        <v>2354</v>
      </c>
    </row>
    <row r="2" spans="1:23" x14ac:dyDescent="0.25">
      <c r="A2" s="15">
        <v>1</v>
      </c>
      <c r="B2" s="15" t="s">
        <v>7</v>
      </c>
      <c r="C2" s="15" t="s">
        <v>8</v>
      </c>
      <c r="D2" s="15" t="s">
        <v>9</v>
      </c>
      <c r="E2" s="16" t="s">
        <v>7794</v>
      </c>
      <c r="F2" s="17" t="s">
        <v>11</v>
      </c>
      <c r="G2" s="15" t="s">
        <v>12</v>
      </c>
      <c r="H2" s="20" t="str">
        <f>_xlfn.XLOOKUP(TBL_CENARIOS[[#This Row],[ID_MASSA]],tbl_de_massas[id_massa],tbl_de_massas[saldo_conta],"--",0,1)</f>
        <v>--</v>
      </c>
      <c r="I2" s="28"/>
      <c r="J2" s="28" t="str">
        <f>_xlfn.XLOOKUP(TBL_CENARIOS[[#This Row],[ID_MASSA]],tbl_de_massas[id_massa],tbl_de_massas[limite_utilizado],"--",0,1)</f>
        <v>--</v>
      </c>
      <c r="K2" s="28" t="str">
        <f>_xlfn.XLOOKUP(TBL_CENARIOS[[#This Row],[ID_MASSA]],tbl_de_massas[id_massa],tbl_de_massas[limite_disponivel],"--",0,1)</f>
        <v>--</v>
      </c>
      <c r="L2" s="40" t="e">
        <f>TRUNC(_xlfn.XLOOKUP(TBL_CENARIOS[[#This Row],[ID_MASSA]],tbl_de_massas[id_massa],tbl_de_massas[fatura_aberta],"--",0,1),4)</f>
        <v>#VALUE!</v>
      </c>
      <c r="M2" s="40" t="e">
        <f>TRUNC(_xlfn.XLOOKUP(TBL_CENARIOS[[#This Row],[ID_MASSA]],tbl_de_massas[id_massa],tbl_de_massas[fatura_fechada],"--",0,1),2)</f>
        <v>#VALUE!</v>
      </c>
      <c r="N2" s="40" t="e">
        <f>TRUNC(VALUE(_xlfn.XLOOKUP(TBL_CENARIOS[[#This Row],[ID_MASSA]],tbl_de_massas[id_massa],tbl_de_massas[fatura_fechada],"--",0,1)*0.1),2)</f>
        <v>#VALUE!</v>
      </c>
      <c r="O2" s="40" t="e">
        <f>TRUNC(VALUE(_xlfn.XLOOKUP(TBL_CENARIOS[[#This Row],[ID_MASSA]],tbl_de_massas[id_massa],tbl_de_massas[fatura_fechada],"--",0,1)*0.75),2)</f>
        <v>#VALUE!</v>
      </c>
      <c r="P2" s="40" t="e">
        <f>TRUNC(VALUE(_xlfn.XLOOKUP(TBL_CENARIOS[[#This Row],[ID_MASSA]],tbl_de_massas[id_massa],tbl_de_massas[fatura_fechada],"--",0,1)*0.075),2)</f>
        <v>#VALUE!</v>
      </c>
      <c r="Q2" s="40" t="e">
        <f>TRUNC(VALUE(_xlfn.XLOOKUP(TBL_CENARIOS[[#This Row],[ID_MASSA]],tbl_de_massas[id_massa],tbl_de_massas[fatura_fechada],"--",0,1)*0.55),2)</f>
        <v>#VALUE!</v>
      </c>
      <c r="R2" s="15" t="str">
        <f>_xlfn.XLOOKUP(TBL_CENARIOS[[#This Row],[ID_MASSA]],tbl_de_massas[id_massa],tbl_de_massas[status],"--",0,1)</f>
        <v>--</v>
      </c>
      <c r="S2" s="15" t="str">
        <f>_xlfn.XLOOKUP(TBL_CENARIOS[[#This Row],[ID_MASSA]],tbl_de_massas[id_massa],tbl_de_massas[status_fatura_fechada],"--",0,1)</f>
        <v>--</v>
      </c>
      <c r="T2" s="37" t="str">
        <f>_xlfn.XLOOKUP(TBL_CENARIOS[[#This Row],[ID_MASSA]],tbl_de_massas[id_massa],tbl_de_massas[tbl_ven],"--",0,1)</f>
        <v>--</v>
      </c>
      <c r="U2" s="37" t="str">
        <f>_xlfn.XLOOKUP(TBL_CENARIOS[[#This Row],[ID_MASSA]],tbl_de_massas[id_massa],tbl_de_massas[tbl_corte],"--",0,1)</f>
        <v>--</v>
      </c>
      <c r="V2" s="15" t="str">
        <f>_xlfn.XLOOKUP(TBL_CENARIOS[[#This Row],[ID_MASSA]],tbl_de_massas[id_massa],tbl_de_massas[dias_atraso],"--",0,1)</f>
        <v>--</v>
      </c>
      <c r="W2" s="15"/>
    </row>
    <row r="3" spans="1:23" x14ac:dyDescent="0.25">
      <c r="A3" s="15">
        <v>2</v>
      </c>
      <c r="B3" s="15" t="s">
        <v>13</v>
      </c>
      <c r="C3" s="15" t="s">
        <v>14</v>
      </c>
      <c r="D3" s="15" t="s">
        <v>9</v>
      </c>
      <c r="E3" s="16" t="s">
        <v>2341</v>
      </c>
      <c r="F3" s="17" t="str">
        <f>_xlfn.XLOOKUP(TBL_CENARIOS[[#This Row],[ID_MASSA]],tbl_de_massas[id_massa],tbl_de_massas[cpf],"--",0,1)</f>
        <v>38160081359</v>
      </c>
      <c r="G3" s="15" t="s">
        <v>12</v>
      </c>
      <c r="H3" s="20">
        <f>_xlfn.XLOOKUP(TBL_CENARIOS[[#This Row],[ID_MASSA]],tbl_de_massas[id_massa],tbl_de_massas[saldo_conta],"--",0,1)</f>
        <v>69245.59</v>
      </c>
      <c r="I3" s="28"/>
      <c r="J3" s="41">
        <f>_xlfn.XLOOKUP(TBL_CENARIOS[[#This Row],[ID_MASSA]],tbl_de_massas[id_massa],tbl_de_massas[limite_utilizado],"--",0,1)</f>
        <v>5.3</v>
      </c>
      <c r="K3" s="41">
        <f>_xlfn.XLOOKUP(TBL_CENARIOS[[#This Row],[ID_MASSA]],tbl_de_massas[id_massa],tbl_de_massas[limite_disponivel],"--",0,1)</f>
        <v>2235.17</v>
      </c>
      <c r="L3" s="40">
        <f>TRUNC(_xlfn.XLOOKUP(TBL_CENARIOS[[#This Row],[ID_MASSA]],tbl_de_massas[id_massa],tbl_de_massas[fatura_aberta],"--",0,1),4)</f>
        <v>13.26</v>
      </c>
      <c r="M3" s="40">
        <f>TRUNC(_xlfn.XLOOKUP(TBL_CENARIOS[[#This Row],[ID_MASSA]],tbl_de_massas[id_massa],tbl_de_massas[fatura_fechada],"--",0,1),2)</f>
        <v>4586.96</v>
      </c>
      <c r="N3" s="40">
        <f>TRUNC(VALUE(_xlfn.XLOOKUP(TBL_CENARIOS[[#This Row],[ID_MASSA]],tbl_de_massas[id_massa],tbl_de_massas[fatura_fechada],"--",0,1)*0.1),2)</f>
        <v>458.69</v>
      </c>
      <c r="O3" s="40">
        <f>TRUNC(VALUE(_xlfn.XLOOKUP(TBL_CENARIOS[[#This Row],[ID_MASSA]],tbl_de_massas[id_massa],tbl_de_massas[fatura_fechada],"--",0,1)*0.75),2)</f>
        <v>3440.22</v>
      </c>
      <c r="P3" s="40">
        <f>TRUNC(VALUE(_xlfn.XLOOKUP(TBL_CENARIOS[[#This Row],[ID_MASSA]],tbl_de_massas[id_massa],tbl_de_massas[fatura_fechada],"--",0,1)*0.075),2)</f>
        <v>344.02</v>
      </c>
      <c r="Q3" s="40">
        <f>TRUNC(VALUE(_xlfn.XLOOKUP(TBL_CENARIOS[[#This Row],[ID_MASSA]],tbl_de_massas[id_massa],tbl_de_massas[fatura_fechada],"--",0,1)*0.55),2)</f>
        <v>2522.8200000000002</v>
      </c>
      <c r="R3" s="15" t="str">
        <f>_xlfn.XLOOKUP(TBL_CENARIOS[[#This Row],[ID_MASSA]],tbl_de_massas[id_massa],tbl_de_massas[status],"--",0,1)</f>
        <v>adimplente</v>
      </c>
      <c r="S3" s="15" t="str">
        <f>_xlfn.XLOOKUP(TBL_CENARIOS[[#This Row],[ID_MASSA]],tbl_de_massas[id_massa],tbl_de_massas[status_fatura_fechada],"--",0,1)</f>
        <v>PAGO_PARCIAL</v>
      </c>
      <c r="T3" s="35">
        <f>_xlfn.XLOOKUP(TBL_CENARIOS[[#This Row],[ID_MASSA]],tbl_de_massas[id_massa],tbl_de_massas[tbl_ven],"--",0,1)</f>
        <v>46300</v>
      </c>
      <c r="U3" s="35">
        <f>_xlfn.XLOOKUP(TBL_CENARIOS[[#This Row],[ID_MASSA]],tbl_de_massas[id_massa],tbl_de_massas[tbl_corte],"--",0,1)</f>
        <v>46295</v>
      </c>
      <c r="V3" s="15">
        <f>_xlfn.XLOOKUP(TBL_CENARIOS[[#This Row],[ID_MASSA]],tbl_de_massas[id_massa],tbl_de_massas[dias_atraso],"--",0,1)</f>
        <v>0</v>
      </c>
      <c r="W3" s="15">
        <v>9898</v>
      </c>
    </row>
    <row r="4" spans="1:23" x14ac:dyDescent="0.25">
      <c r="A4" s="15">
        <v>3</v>
      </c>
      <c r="B4" s="15" t="s">
        <v>16</v>
      </c>
      <c r="C4" s="15" t="s">
        <v>17</v>
      </c>
      <c r="D4" s="15" t="s">
        <v>9</v>
      </c>
      <c r="E4" s="16" t="s">
        <v>15</v>
      </c>
      <c r="F4" s="17" t="str">
        <f>_xlfn.XLOOKUP(TBL_CENARIOS[[#This Row],[ID_MASSA]],tbl_de_massas[id_massa],tbl_de_massas[cpf],"--",0,1)</f>
        <v>33333333333</v>
      </c>
      <c r="G4" s="15" t="s">
        <v>12</v>
      </c>
      <c r="H4" s="20">
        <f>_xlfn.XLOOKUP(TBL_CENARIOS[[#This Row],[ID_MASSA]],tbl_de_massas[id_massa],tbl_de_massas[saldo_conta],"--",0,1)</f>
        <v>11500</v>
      </c>
      <c r="I4" s="28"/>
      <c r="J4" s="41">
        <f>_xlfn.XLOOKUP(TBL_CENARIOS[[#This Row],[ID_MASSA]],tbl_de_massas[id_massa],tbl_de_massas[limite_utilizado],"--",0,1)</f>
        <v>429.56</v>
      </c>
      <c r="K4" s="41">
        <f>_xlfn.XLOOKUP(TBL_CENARIOS[[#This Row],[ID_MASSA]],tbl_de_massas[id_massa],tbl_de_massas[limite_disponivel],"--",0,1)</f>
        <v>4570.4399999999996</v>
      </c>
      <c r="L4" s="40">
        <f>TRUNC(_xlfn.XLOOKUP(TBL_CENARIOS[[#This Row],[ID_MASSA]],tbl_de_massas[id_massa],tbl_de_massas[fatura_aberta],"--",0,1),4)</f>
        <v>429.56</v>
      </c>
      <c r="M4" s="40">
        <f>TRUNC(_xlfn.XLOOKUP(TBL_CENARIOS[[#This Row],[ID_MASSA]],tbl_de_massas[id_massa],tbl_de_massas[fatura_fechada],"--",0,1),2)</f>
        <v>4360.91</v>
      </c>
      <c r="N4" s="40">
        <f>TRUNC(VALUE(_xlfn.XLOOKUP(TBL_CENARIOS[[#This Row],[ID_MASSA]],tbl_de_massas[id_massa],tbl_de_massas[fatura_fechada],"--",0,1)*0.1),2)</f>
        <v>436.09</v>
      </c>
      <c r="O4" s="40">
        <f>TRUNC(VALUE(_xlfn.XLOOKUP(TBL_CENARIOS[[#This Row],[ID_MASSA]],tbl_de_massas[id_massa],tbl_de_massas[fatura_fechada],"--",0,1)*0.75),2)</f>
        <v>3270.68</v>
      </c>
      <c r="P4" s="40">
        <f>TRUNC(VALUE(_xlfn.XLOOKUP(TBL_CENARIOS[[#This Row],[ID_MASSA]],tbl_de_massas[id_massa],tbl_de_massas[fatura_fechada],"--",0,1)*0.075),2)</f>
        <v>327.06</v>
      </c>
      <c r="Q4" s="40">
        <f>TRUNC(VALUE(_xlfn.XLOOKUP(TBL_CENARIOS[[#This Row],[ID_MASSA]],tbl_de_massas[id_massa],tbl_de_massas[fatura_fechada],"--",0,1)*0.55),2)</f>
        <v>2398.5</v>
      </c>
      <c r="R4" s="15" t="str">
        <f>_xlfn.XLOOKUP(TBL_CENARIOS[[#This Row],[ID_MASSA]],tbl_de_massas[id_massa],tbl_de_massas[status],"--",0,1)</f>
        <v>adimplente</v>
      </c>
      <c r="S4" s="15" t="str">
        <f>_xlfn.XLOOKUP(TBL_CENARIOS[[#This Row],[ID_MASSA]],tbl_de_massas[id_massa],tbl_de_massas[status_fatura_fechada],"--",0,1)</f>
        <v>PAGO_TOTAL</v>
      </c>
      <c r="T4" s="35">
        <f>_xlfn.XLOOKUP(TBL_CENARIOS[[#This Row],[ID_MASSA]],tbl_de_massas[id_massa],tbl_de_massas[tbl_ven],"--",0,1)</f>
        <v>46310</v>
      </c>
      <c r="U4" s="35">
        <f>_xlfn.XLOOKUP(TBL_CENARIOS[[#This Row],[ID_MASSA]],tbl_de_massas[id_massa],tbl_de_massas[tbl_corte],"--",0,1)</f>
        <v>46305</v>
      </c>
      <c r="V4" s="15">
        <f>_xlfn.XLOOKUP(TBL_CENARIOS[[#This Row],[ID_MASSA]],tbl_de_massas[id_massa],tbl_de_massas[dias_atraso],"--",0,1)</f>
        <v>0</v>
      </c>
      <c r="W4" s="15">
        <v>9898</v>
      </c>
    </row>
    <row r="5" spans="1:23" x14ac:dyDescent="0.25">
      <c r="A5" s="15">
        <v>4</v>
      </c>
      <c r="B5" s="15" t="s">
        <v>19</v>
      </c>
      <c r="C5" s="15" t="s">
        <v>20</v>
      </c>
      <c r="D5" s="15" t="s">
        <v>9</v>
      </c>
      <c r="E5" s="16" t="s">
        <v>21</v>
      </c>
      <c r="F5" s="17" t="str">
        <f>_xlfn.XLOOKUP(TBL_CENARIOS[[#This Row],[ID_MASSA]],tbl_de_massas[id_massa],tbl_de_massas[cpf],"--",0,1)</f>
        <v>93852856961</v>
      </c>
      <c r="G5" s="15" t="s">
        <v>12</v>
      </c>
      <c r="H5" s="20">
        <f>_xlfn.XLOOKUP(TBL_CENARIOS[[#This Row],[ID_MASSA]],tbl_de_massas[id_massa],tbl_de_massas[saldo_conta],"--",0,1)</f>
        <v>52000</v>
      </c>
      <c r="I5" s="28"/>
      <c r="J5" s="41">
        <f>_xlfn.XLOOKUP(TBL_CENARIOS[[#This Row],[ID_MASSA]],tbl_de_massas[id_massa],tbl_de_massas[limite_utilizado],"--",0,1)</f>
        <v>278.44</v>
      </c>
      <c r="K5" s="41">
        <f>_xlfn.XLOOKUP(TBL_CENARIOS[[#This Row],[ID_MASSA]],tbl_de_massas[id_massa],tbl_de_massas[limite_disponivel],"--",0,1)</f>
        <v>4721.5600000000004</v>
      </c>
      <c r="L5" s="40">
        <f>TRUNC(_xlfn.XLOOKUP(TBL_CENARIOS[[#This Row],[ID_MASSA]],tbl_de_massas[id_massa],tbl_de_massas[fatura_aberta],"--",0,1),4)</f>
        <v>278.44</v>
      </c>
      <c r="M5" s="40">
        <f>TRUNC(_xlfn.XLOOKUP(TBL_CENARIOS[[#This Row],[ID_MASSA]],tbl_de_massas[id_massa],tbl_de_massas[fatura_fechada],"--",0,1),2)</f>
        <v>5354.03</v>
      </c>
      <c r="N5" s="40">
        <f>TRUNC(VALUE(_xlfn.XLOOKUP(TBL_CENARIOS[[#This Row],[ID_MASSA]],tbl_de_massas[id_massa],tbl_de_massas[fatura_fechada],"--",0,1)*0.1),2)</f>
        <v>535.4</v>
      </c>
      <c r="O5" s="40">
        <f>TRUNC(VALUE(_xlfn.XLOOKUP(TBL_CENARIOS[[#This Row],[ID_MASSA]],tbl_de_massas[id_massa],tbl_de_massas[fatura_fechada],"--",0,1)*0.75),2)</f>
        <v>4015.52</v>
      </c>
      <c r="P5" s="40">
        <f>TRUNC(VALUE(_xlfn.XLOOKUP(TBL_CENARIOS[[#This Row],[ID_MASSA]],tbl_de_massas[id_massa],tbl_de_massas[fatura_fechada],"--",0,1)*0.075),2)</f>
        <v>401.55</v>
      </c>
      <c r="Q5" s="40">
        <f>TRUNC(VALUE(_xlfn.XLOOKUP(TBL_CENARIOS[[#This Row],[ID_MASSA]],tbl_de_massas[id_massa],tbl_de_massas[fatura_fechada],"--",0,1)*0.55),2)</f>
        <v>2944.71</v>
      </c>
      <c r="R5" s="15" t="str">
        <f>_xlfn.XLOOKUP(TBL_CENARIOS[[#This Row],[ID_MASSA]],tbl_de_massas[id_massa],tbl_de_massas[status],"--",0,1)</f>
        <v>adimplente</v>
      </c>
      <c r="S5" s="15" t="str">
        <f>_xlfn.XLOOKUP(TBL_CENARIOS[[#This Row],[ID_MASSA]],tbl_de_massas[id_massa],tbl_de_massas[status_fatura_fechada],"--",0,1)</f>
        <v>PAGO_TOTAL</v>
      </c>
      <c r="T5" s="35">
        <f>_xlfn.XLOOKUP(TBL_CENARIOS[[#This Row],[ID_MASSA]],tbl_de_massas[id_massa],tbl_de_massas[tbl_ven],"--",0,1)</f>
        <v>46310</v>
      </c>
      <c r="U5" s="35">
        <f>_xlfn.XLOOKUP(TBL_CENARIOS[[#This Row],[ID_MASSA]],tbl_de_massas[id_massa],tbl_de_massas[tbl_corte],"--",0,1)</f>
        <v>46305</v>
      </c>
      <c r="V5" s="15">
        <f>_xlfn.XLOOKUP(TBL_CENARIOS[[#This Row],[ID_MASSA]],tbl_de_massas[id_massa],tbl_de_massas[dias_atraso],"--",0,1)</f>
        <v>0</v>
      </c>
      <c r="W5" s="15">
        <v>9898</v>
      </c>
    </row>
    <row r="6" spans="1:23" x14ac:dyDescent="0.25">
      <c r="A6" s="15">
        <v>5</v>
      </c>
      <c r="B6" s="15" t="s">
        <v>22</v>
      </c>
      <c r="C6" s="15" t="s">
        <v>23</v>
      </c>
      <c r="D6" s="15" t="s">
        <v>9</v>
      </c>
      <c r="E6" s="16" t="s">
        <v>24</v>
      </c>
      <c r="F6" s="17" t="str">
        <f>_xlfn.XLOOKUP(TBL_CENARIOS[[#This Row],[ID_MASSA]],tbl_de_massas[id_massa],tbl_de_massas[cpf],"--",0,1)</f>
        <v>20250513611</v>
      </c>
      <c r="G6" s="15" t="s">
        <v>12</v>
      </c>
      <c r="H6" s="20">
        <f>_xlfn.XLOOKUP(TBL_CENARIOS[[#This Row],[ID_MASSA]],tbl_de_massas[id_massa],tbl_de_massas[saldo_conta],"--",0,1)</f>
        <v>30841.52</v>
      </c>
      <c r="I6" s="28"/>
      <c r="J6" s="41">
        <f>_xlfn.XLOOKUP(TBL_CENARIOS[[#This Row],[ID_MASSA]],tbl_de_massas[id_massa],tbl_de_massas[limite_utilizado],"--",0,1)</f>
        <v>3318.61</v>
      </c>
      <c r="K6" s="41">
        <f>_xlfn.XLOOKUP(TBL_CENARIOS[[#This Row],[ID_MASSA]],tbl_de_massas[id_massa],tbl_de_massas[limite_disponivel],"--",0,1)</f>
        <v>1681.39</v>
      </c>
      <c r="L6" s="40">
        <f>TRUNC(_xlfn.XLOOKUP(TBL_CENARIOS[[#This Row],[ID_MASSA]],tbl_de_massas[id_massa],tbl_de_massas[fatura_aberta],"--",0,1),4)</f>
        <v>3318.61</v>
      </c>
      <c r="M6" s="40">
        <f>TRUNC(_xlfn.XLOOKUP(TBL_CENARIOS[[#This Row],[ID_MASSA]],tbl_de_massas[id_massa],tbl_de_massas[fatura_fechada],"--",0,1),2)</f>
        <v>8034.28</v>
      </c>
      <c r="N6" s="40">
        <f>TRUNC(VALUE(_xlfn.XLOOKUP(TBL_CENARIOS[[#This Row],[ID_MASSA]],tbl_de_massas[id_massa],tbl_de_massas[fatura_fechada],"--",0,1)*0.1),2)</f>
        <v>803.42</v>
      </c>
      <c r="O6" s="40">
        <f>TRUNC(VALUE(_xlfn.XLOOKUP(TBL_CENARIOS[[#This Row],[ID_MASSA]],tbl_de_massas[id_massa],tbl_de_massas[fatura_fechada],"--",0,1)*0.75),2)</f>
        <v>6025.71</v>
      </c>
      <c r="P6" s="40">
        <f>TRUNC(VALUE(_xlfn.XLOOKUP(TBL_CENARIOS[[#This Row],[ID_MASSA]],tbl_de_massas[id_massa],tbl_de_massas[fatura_fechada],"--",0,1)*0.075),2)</f>
        <v>602.57000000000005</v>
      </c>
      <c r="Q6" s="40">
        <f>TRUNC(VALUE(_xlfn.XLOOKUP(TBL_CENARIOS[[#This Row],[ID_MASSA]],tbl_de_massas[id_massa],tbl_de_massas[fatura_fechada],"--",0,1)*0.55),2)</f>
        <v>4418.8500000000004</v>
      </c>
      <c r="R6" s="15" t="str">
        <f>_xlfn.XLOOKUP(TBL_CENARIOS[[#This Row],[ID_MASSA]],tbl_de_massas[id_massa],tbl_de_massas[status],"--",0,1)</f>
        <v>adimplente</v>
      </c>
      <c r="S6" s="15" t="str">
        <f>_xlfn.XLOOKUP(TBL_CENARIOS[[#This Row],[ID_MASSA]],tbl_de_massas[id_massa],tbl_de_massas[status_fatura_fechada],"--",0,1)</f>
        <v>PAGO_TOTAL</v>
      </c>
      <c r="T6" s="35">
        <f>_xlfn.XLOOKUP(TBL_CENARIOS[[#This Row],[ID_MASSA]],tbl_de_massas[id_massa],tbl_de_massas[tbl_ven],"--",0,1)</f>
        <v>46310</v>
      </c>
      <c r="U6" s="35">
        <f>_xlfn.XLOOKUP(TBL_CENARIOS[[#This Row],[ID_MASSA]],tbl_de_massas[id_massa],tbl_de_massas[tbl_corte],"--",0,1)</f>
        <v>46305</v>
      </c>
      <c r="V6" s="15">
        <f>_xlfn.XLOOKUP(TBL_CENARIOS[[#This Row],[ID_MASSA]],tbl_de_massas[id_massa],tbl_de_massas[dias_atraso],"--",0,1)</f>
        <v>0</v>
      </c>
      <c r="W6" s="15">
        <v>9898</v>
      </c>
    </row>
    <row r="7" spans="1:23" x14ac:dyDescent="0.25">
      <c r="A7" s="15">
        <v>6</v>
      </c>
      <c r="B7" s="15" t="s">
        <v>25</v>
      </c>
      <c r="C7" s="15" t="s">
        <v>26</v>
      </c>
      <c r="D7" s="15" t="s">
        <v>9</v>
      </c>
      <c r="E7" s="16" t="s">
        <v>27</v>
      </c>
      <c r="F7" s="17" t="str">
        <f>_xlfn.XLOOKUP(TBL_CENARIOS[[#This Row],[ID_MASSA]],tbl_de_massas[id_massa],tbl_de_massas[cpf],"--",0,1)</f>
        <v>80417045181</v>
      </c>
      <c r="G7" s="15" t="s">
        <v>12</v>
      </c>
      <c r="H7" s="20">
        <f>_xlfn.XLOOKUP(TBL_CENARIOS[[#This Row],[ID_MASSA]],tbl_de_massas[id_massa],tbl_de_massas[saldo_conta],"--",0,1)</f>
        <v>10000</v>
      </c>
      <c r="I7" s="28"/>
      <c r="J7" s="41">
        <f>_xlfn.XLOOKUP(TBL_CENARIOS[[#This Row],[ID_MASSA]],tbl_de_massas[id_massa],tbl_de_massas[limite_utilizado],"--",0,1)</f>
        <v>1065.33</v>
      </c>
      <c r="K7" s="41">
        <f>_xlfn.XLOOKUP(TBL_CENARIOS[[#This Row],[ID_MASSA]],tbl_de_massas[id_massa],tbl_de_massas[limite_disponivel],"--",0,1)</f>
        <v>3934.67</v>
      </c>
      <c r="L7" s="40">
        <f>TRUNC(_xlfn.XLOOKUP(TBL_CENARIOS[[#This Row],[ID_MASSA]],tbl_de_massas[id_massa],tbl_de_massas[fatura_aberta],"--",0,1),4)</f>
        <v>1065.33</v>
      </c>
      <c r="M7" s="40">
        <f>TRUNC(_xlfn.XLOOKUP(TBL_CENARIOS[[#This Row],[ID_MASSA]],tbl_de_massas[id_massa],tbl_de_massas[fatura_fechada],"--",0,1),2)</f>
        <v>1353.73</v>
      </c>
      <c r="N7" s="40">
        <f>TRUNC(VALUE(_xlfn.XLOOKUP(TBL_CENARIOS[[#This Row],[ID_MASSA]],tbl_de_massas[id_massa],tbl_de_massas[fatura_fechada],"--",0,1)*0.1),2)</f>
        <v>135.37</v>
      </c>
      <c r="O7" s="40">
        <f>TRUNC(VALUE(_xlfn.XLOOKUP(TBL_CENARIOS[[#This Row],[ID_MASSA]],tbl_de_massas[id_massa],tbl_de_massas[fatura_fechada],"--",0,1)*0.75),2)</f>
        <v>1015.29</v>
      </c>
      <c r="P7" s="40">
        <f>TRUNC(VALUE(_xlfn.XLOOKUP(TBL_CENARIOS[[#This Row],[ID_MASSA]],tbl_de_massas[id_massa],tbl_de_massas[fatura_fechada],"--",0,1)*0.075),2)</f>
        <v>101.52</v>
      </c>
      <c r="Q7" s="40">
        <f>TRUNC(VALUE(_xlfn.XLOOKUP(TBL_CENARIOS[[#This Row],[ID_MASSA]],tbl_de_massas[id_massa],tbl_de_massas[fatura_fechada],"--",0,1)*0.55),2)</f>
        <v>744.55</v>
      </c>
      <c r="R7" s="15" t="str">
        <f>_xlfn.XLOOKUP(TBL_CENARIOS[[#This Row],[ID_MASSA]],tbl_de_massas[id_massa],tbl_de_massas[status],"--",0,1)</f>
        <v>adimplente</v>
      </c>
      <c r="S7" s="15" t="str">
        <f>_xlfn.XLOOKUP(TBL_CENARIOS[[#This Row],[ID_MASSA]],tbl_de_massas[id_massa],tbl_de_massas[status_fatura_fechada],"--",0,1)</f>
        <v>PAGO_PARCIAL</v>
      </c>
      <c r="T7" s="35">
        <f>_xlfn.XLOOKUP(TBL_CENARIOS[[#This Row],[ID_MASSA]],tbl_de_massas[id_massa],tbl_de_massas[tbl_ven],"--",0,1)</f>
        <v>46310</v>
      </c>
      <c r="U7" s="35">
        <f>_xlfn.XLOOKUP(TBL_CENARIOS[[#This Row],[ID_MASSA]],tbl_de_massas[id_massa],tbl_de_massas[tbl_corte],"--",0,1)</f>
        <v>46305</v>
      </c>
      <c r="V7" s="15">
        <f>_xlfn.XLOOKUP(TBL_CENARIOS[[#This Row],[ID_MASSA]],tbl_de_massas[id_massa],tbl_de_massas[dias_atraso],"--",0,1)</f>
        <v>0</v>
      </c>
      <c r="W7" s="15">
        <v>9898</v>
      </c>
    </row>
    <row r="8" spans="1:23" x14ac:dyDescent="0.25">
      <c r="A8" s="15">
        <v>8</v>
      </c>
      <c r="B8" s="15" t="s">
        <v>2128</v>
      </c>
      <c r="C8" s="15" t="s">
        <v>2129</v>
      </c>
      <c r="D8" s="15" t="s">
        <v>2130</v>
      </c>
      <c r="E8" s="16" t="s">
        <v>18</v>
      </c>
      <c r="F8" s="17" t="str">
        <f>_xlfn.XLOOKUP(TBL_CENARIOS[[#This Row],[ID_MASSA]],tbl_de_massas[id_massa],tbl_de_massas[cpf],"--",0,1)</f>
        <v>53281863159</v>
      </c>
      <c r="G8" s="15" t="s">
        <v>12</v>
      </c>
      <c r="H8" s="20">
        <f>_xlfn.XLOOKUP(TBL_CENARIOS[[#This Row],[ID_MASSA]],tbl_de_massas[id_massa],tbl_de_massas[saldo_conta],"--",0,1)</f>
        <v>1946.36</v>
      </c>
      <c r="I8" s="28">
        <v>17.88</v>
      </c>
      <c r="J8" s="41">
        <f>_xlfn.XLOOKUP(TBL_CENARIOS[[#This Row],[ID_MASSA]],tbl_de_massas[id_massa],tbl_de_massas[limite_utilizado],"--",0,1)</f>
        <v>420.02</v>
      </c>
      <c r="K8" s="41">
        <f>_xlfn.XLOOKUP(TBL_CENARIOS[[#This Row],[ID_MASSA]],tbl_de_massas[id_massa],tbl_de_massas[limite_disponivel],"--",0,1)</f>
        <v>4579.9799999999996</v>
      </c>
      <c r="L8" s="40">
        <f>TRUNC(_xlfn.XLOOKUP(TBL_CENARIOS[[#This Row],[ID_MASSA]],tbl_de_massas[id_massa],tbl_de_massas[fatura_aberta],"--",0,1),4)</f>
        <v>420.02</v>
      </c>
      <c r="M8" s="40">
        <f>TRUNC(_xlfn.XLOOKUP(TBL_CENARIOS[[#This Row],[ID_MASSA]],tbl_de_massas[id_massa],tbl_de_massas[fatura_fechada],"--",0,1),2)</f>
        <v>1231.95</v>
      </c>
      <c r="N8" s="40">
        <f>TRUNC(VALUE(_xlfn.XLOOKUP(TBL_CENARIOS[[#This Row],[ID_MASSA]],tbl_de_massas[id_massa],tbl_de_massas[fatura_fechada],"--",0,1)*0.1),2)</f>
        <v>123.19</v>
      </c>
      <c r="O8" s="40">
        <f>TRUNC(VALUE(_xlfn.XLOOKUP(TBL_CENARIOS[[#This Row],[ID_MASSA]],tbl_de_massas[id_massa],tbl_de_massas[fatura_fechada],"--",0,1)*0.75),2)</f>
        <v>923.96</v>
      </c>
      <c r="P8" s="40">
        <f>TRUNC(VALUE(_xlfn.XLOOKUP(TBL_CENARIOS[[#This Row],[ID_MASSA]],tbl_de_massas[id_massa],tbl_de_massas[fatura_fechada],"--",0,1)*0.075),2)</f>
        <v>92.39</v>
      </c>
      <c r="Q8" s="40">
        <f>TRUNC(VALUE(_xlfn.XLOOKUP(TBL_CENARIOS[[#This Row],[ID_MASSA]],tbl_de_massas[id_massa],tbl_de_massas[fatura_fechada],"--",0,1)*0.55),2)</f>
        <v>677.57</v>
      </c>
      <c r="R8" s="15" t="str">
        <f>_xlfn.XLOOKUP(TBL_CENARIOS[[#This Row],[ID_MASSA]],tbl_de_massas[id_massa],tbl_de_massas[status],"--",0,1)</f>
        <v>adimplente</v>
      </c>
      <c r="S8" s="15" t="str">
        <f>_xlfn.XLOOKUP(TBL_CENARIOS[[#This Row],[ID_MASSA]],tbl_de_massas[id_massa],tbl_de_massas[status_fatura_fechada],"--",0,1)</f>
        <v>PAGO_PARCIAL</v>
      </c>
      <c r="T8" s="35">
        <f>_xlfn.XLOOKUP(TBL_CENARIOS[[#This Row],[ID_MASSA]],tbl_de_massas[id_massa],tbl_de_massas[tbl_ven],"--",0,1)</f>
        <v>46310</v>
      </c>
      <c r="U8" s="35">
        <f>_xlfn.XLOOKUP(TBL_CENARIOS[[#This Row],[ID_MASSA]],tbl_de_massas[id_massa],tbl_de_massas[tbl_corte],"--",0,1)</f>
        <v>46305</v>
      </c>
      <c r="V8" s="15">
        <f>_xlfn.XLOOKUP(TBL_CENARIOS[[#This Row],[ID_MASSA]],tbl_de_massas[id_massa],tbl_de_massas[dias_atraso],"--",0,1)</f>
        <v>0</v>
      </c>
      <c r="W8" s="15">
        <v>9898</v>
      </c>
    </row>
    <row r="9" spans="1:23" x14ac:dyDescent="0.25">
      <c r="A9" s="15" t="s">
        <v>605</v>
      </c>
      <c r="B9" s="15" t="s">
        <v>2343</v>
      </c>
      <c r="C9" s="15" t="s">
        <v>2344</v>
      </c>
      <c r="D9" s="15" t="s">
        <v>2130</v>
      </c>
      <c r="E9" s="16" t="s">
        <v>2269</v>
      </c>
      <c r="F9" s="17" t="str">
        <f>_xlfn.XLOOKUP(TBL_CENARIOS[[#This Row],[ID_MASSA]],tbl_de_massas[id_massa],tbl_de_massas[cpf],"--",0,1)</f>
        <v>12345678901</v>
      </c>
      <c r="G9" s="15" t="s">
        <v>12</v>
      </c>
      <c r="H9" s="20">
        <f>_xlfn.XLOOKUP(TBL_CENARIOS[[#This Row],[ID_MASSA]],tbl_de_massas[id_massa],tbl_de_massas[saldo_conta],"--",0,1)</f>
        <v>4.2</v>
      </c>
      <c r="I9" s="28">
        <v>500</v>
      </c>
      <c r="J9" s="41">
        <f>_xlfn.XLOOKUP(TBL_CENARIOS[[#This Row],[ID_MASSA]],tbl_de_massas[id_massa],tbl_de_massas[limite_utilizado],"--",0,1)</f>
        <v>1088.68</v>
      </c>
      <c r="K9" s="41">
        <f>_xlfn.XLOOKUP(TBL_CENARIOS[[#This Row],[ID_MASSA]],tbl_de_massas[id_massa],tbl_de_massas[limite_disponivel],"--",0,1)</f>
        <v>3911.32</v>
      </c>
      <c r="L9" s="40">
        <f>TRUNC(_xlfn.XLOOKUP(TBL_CENARIOS[[#This Row],[ID_MASSA]],tbl_de_massas[id_massa],tbl_de_massas[fatura_aberta],"--",0,1),4)</f>
        <v>963.69</v>
      </c>
      <c r="M9" s="40">
        <f>TRUNC(_xlfn.XLOOKUP(TBL_CENARIOS[[#This Row],[ID_MASSA]],tbl_de_massas[id_massa],tbl_de_massas[fatura_fechada],"--",0,1),2)</f>
        <v>749.16</v>
      </c>
      <c r="N9" s="40">
        <f>TRUNC(VALUE(_xlfn.XLOOKUP(TBL_CENARIOS[[#This Row],[ID_MASSA]],tbl_de_massas[id_massa],tbl_de_massas[fatura_fechada],"--",0,1)*0.1),2)</f>
        <v>74.91</v>
      </c>
      <c r="O9" s="40">
        <f>TRUNC(VALUE(_xlfn.XLOOKUP(TBL_CENARIOS[[#This Row],[ID_MASSA]],tbl_de_massas[id_massa],tbl_de_massas[fatura_fechada],"--",0,1)*0.75),2)</f>
        <v>561.87</v>
      </c>
      <c r="P9" s="40">
        <f>TRUNC(VALUE(_xlfn.XLOOKUP(TBL_CENARIOS[[#This Row],[ID_MASSA]],tbl_de_massas[id_massa],tbl_de_massas[fatura_fechada],"--",0,1)*0.075),2)</f>
        <v>56.18</v>
      </c>
      <c r="Q9" s="40">
        <f>TRUNC(VALUE(_xlfn.XLOOKUP(TBL_CENARIOS[[#This Row],[ID_MASSA]],tbl_de_massas[id_massa],tbl_de_massas[fatura_fechada],"--",0,1)*0.55),2)</f>
        <v>412.03</v>
      </c>
      <c r="R9" s="15" t="str">
        <f>_xlfn.XLOOKUP(TBL_CENARIOS[[#This Row],[ID_MASSA]],tbl_de_massas[id_massa],tbl_de_massas[status],"--",0,1)</f>
        <v>inadimplente</v>
      </c>
      <c r="S9" s="15" t="str">
        <f>_xlfn.XLOOKUP(TBL_CENARIOS[[#This Row],[ID_MASSA]],tbl_de_massas[id_massa],tbl_de_massas[status_fatura_fechada],"--",0,1)</f>
        <v>VIGENTE</v>
      </c>
      <c r="T9" s="35">
        <f>_xlfn.XLOOKUP(TBL_CENARIOS[[#This Row],[ID_MASSA]],tbl_de_massas[id_massa],tbl_de_massas[tbl_ven],"--",0,1)</f>
        <v>46310</v>
      </c>
      <c r="U9" s="35">
        <f>_xlfn.XLOOKUP(TBL_CENARIOS[[#This Row],[ID_MASSA]],tbl_de_massas[id_massa],tbl_de_massas[tbl_corte],"--",0,1)</f>
        <v>46305</v>
      </c>
      <c r="V9" s="15">
        <f>_xlfn.XLOOKUP(TBL_CENARIOS[[#This Row],[ID_MASSA]],tbl_de_massas[id_massa],tbl_de_massas[dias_atraso],"--",0,1)</f>
        <v>11</v>
      </c>
      <c r="W9" s="15">
        <v>9898</v>
      </c>
    </row>
    <row r="10" spans="1:23" x14ac:dyDescent="0.25">
      <c r="A10" s="15" t="s">
        <v>2345</v>
      </c>
      <c r="B10" s="15" t="s">
        <v>2346</v>
      </c>
      <c r="C10" s="15" t="s">
        <v>2347</v>
      </c>
      <c r="D10" s="15" t="s">
        <v>2130</v>
      </c>
      <c r="E10" s="16" t="s">
        <v>2191</v>
      </c>
      <c r="F10" s="17" t="str">
        <f>_xlfn.XLOOKUP(TBL_CENARIOS[[#This Row],[ID_MASSA]],tbl_de_massas[id_massa],tbl_de_massas[cpf],"--",0,1)</f>
        <v>71003941242</v>
      </c>
      <c r="G10" s="15" t="s">
        <v>12</v>
      </c>
      <c r="H10" s="20">
        <f>_xlfn.XLOOKUP(TBL_CENARIOS[[#This Row],[ID_MASSA]],tbl_de_massas[id_massa],tbl_de_massas[saldo_conta],"--",0,1)</f>
        <v>100</v>
      </c>
      <c r="I10" s="28" t="s">
        <v>1548</v>
      </c>
      <c r="J10" s="41">
        <f>_xlfn.XLOOKUP(TBL_CENARIOS[[#This Row],[ID_MASSA]],tbl_de_massas[id_massa],tbl_de_massas[limite_utilizado],"--",0,1)</f>
        <v>1058.4000000000001</v>
      </c>
      <c r="K10" s="41">
        <f>_xlfn.XLOOKUP(TBL_CENARIOS[[#This Row],[ID_MASSA]],tbl_de_massas[id_massa],tbl_de_massas[limite_disponivel],"--",0,1)</f>
        <v>7941.6</v>
      </c>
      <c r="L10" s="40">
        <f>TRUNC(_xlfn.XLOOKUP(TBL_CENARIOS[[#This Row],[ID_MASSA]],tbl_de_massas[id_massa],tbl_de_massas[fatura_aberta],"--",0,1),4)</f>
        <v>1058.3900000000001</v>
      </c>
      <c r="M10" s="40">
        <f>TRUNC(_xlfn.XLOOKUP(TBL_CENARIOS[[#This Row],[ID_MASSA]],tbl_de_massas[id_massa],tbl_de_massas[fatura_fechada],"--",0,1),2)</f>
        <v>951.34</v>
      </c>
      <c r="N10" s="40">
        <f>TRUNC(VALUE(_xlfn.XLOOKUP(TBL_CENARIOS[[#This Row],[ID_MASSA]],tbl_de_massas[id_massa],tbl_de_massas[fatura_fechada],"--",0,1)*0.1),2)</f>
        <v>95.13</v>
      </c>
      <c r="O10" s="40">
        <f>TRUNC(VALUE(_xlfn.XLOOKUP(TBL_CENARIOS[[#This Row],[ID_MASSA]],tbl_de_massas[id_massa],tbl_de_massas[fatura_fechada],"--",0,1)*0.75),2)</f>
        <v>713.5</v>
      </c>
      <c r="P10" s="40">
        <f>TRUNC(VALUE(_xlfn.XLOOKUP(TBL_CENARIOS[[#This Row],[ID_MASSA]],tbl_de_massas[id_massa],tbl_de_massas[fatura_fechada],"--",0,1)*0.075),2)</f>
        <v>71.349999999999994</v>
      </c>
      <c r="Q10" s="40">
        <f>TRUNC(VALUE(_xlfn.XLOOKUP(TBL_CENARIOS[[#This Row],[ID_MASSA]],tbl_de_massas[id_massa],tbl_de_massas[fatura_fechada],"--",0,1)*0.55),2)</f>
        <v>523.23</v>
      </c>
      <c r="R10" s="15" t="str">
        <f>_xlfn.XLOOKUP(TBL_CENARIOS[[#This Row],[ID_MASSA]],tbl_de_massas[id_massa],tbl_de_massas[status],"--",0,1)</f>
        <v>inadimplente</v>
      </c>
      <c r="S10" s="15" t="str">
        <f>_xlfn.XLOOKUP(TBL_CENARIOS[[#This Row],[ID_MASSA]],tbl_de_massas[id_massa],tbl_de_massas[status_fatura_fechada],"--",0,1)</f>
        <v>VIGENTE</v>
      </c>
      <c r="T10" s="35">
        <f>_xlfn.XLOOKUP(TBL_CENARIOS[[#This Row],[ID_MASSA]],tbl_de_massas[id_massa],tbl_de_massas[tbl_ven],"--",0,1)</f>
        <v>46305</v>
      </c>
      <c r="U10" s="35">
        <f>_xlfn.XLOOKUP(TBL_CENARIOS[[#This Row],[ID_MASSA]],tbl_de_massas[id_massa],tbl_de_massas[tbl_corte],"--",0,1)</f>
        <v>46300</v>
      </c>
      <c r="V10" s="15">
        <f>_xlfn.XLOOKUP(TBL_CENARIOS[[#This Row],[ID_MASSA]],tbl_de_massas[id_massa],tbl_de_massas[dias_atraso],"--",0,1)</f>
        <v>16</v>
      </c>
      <c r="W10" s="15">
        <v>9898</v>
      </c>
    </row>
    <row r="11" spans="1:23" x14ac:dyDescent="0.25">
      <c r="A11" s="15" t="s">
        <v>2356</v>
      </c>
      <c r="B11" s="15" t="s">
        <v>28</v>
      </c>
      <c r="C11" s="15" t="s">
        <v>2536</v>
      </c>
      <c r="D11" s="15" t="s">
        <v>2350</v>
      </c>
      <c r="E11" s="49" t="s">
        <v>2282</v>
      </c>
      <c r="F11" s="17" t="str">
        <f>_xlfn.XLOOKUP(TBL_CENARIOS[[#This Row],[ID_MASSA]],tbl_de_massas[id_massa],tbl_de_massas[cpf],"--",0,1)</f>
        <v>97504636177</v>
      </c>
      <c r="G11" s="15" t="s">
        <v>12</v>
      </c>
      <c r="H11" s="20">
        <f>_xlfn.XLOOKUP(TBL_CENARIOS[[#This Row],[ID_MASSA]],tbl_de_massas[id_massa],tbl_de_massas[saldo_conta],"--",0,1)</f>
        <v>10000</v>
      </c>
      <c r="I11" s="28" t="s">
        <v>2351</v>
      </c>
      <c r="J11" s="41">
        <f>_xlfn.XLOOKUP(TBL_CENARIOS[[#This Row],[ID_MASSA]],tbl_de_massas[id_massa],tbl_de_massas[limite_utilizado],"--",0,1)</f>
        <v>1572.02</v>
      </c>
      <c r="K11" s="41">
        <f>_xlfn.XLOOKUP(TBL_CENARIOS[[#This Row],[ID_MASSA]],tbl_de_massas[id_massa],tbl_de_massas[limite_disponivel],"--",0,1)</f>
        <v>3427.98</v>
      </c>
      <c r="L11" s="40">
        <f>TRUNC(_xlfn.XLOOKUP(TBL_CENARIOS[[#This Row],[ID_MASSA]],tbl_de_massas[id_massa],tbl_de_massas[fatura_aberta],"--",0,1),4)</f>
        <v>1572.02</v>
      </c>
      <c r="M11" s="42">
        <f>TRUNC(_xlfn.XLOOKUP(TBL_CENARIOS[[#This Row],[ID_MASSA]],tbl_de_massas[id_massa],tbl_de_massas[fatura_fechada],"--",0,1),2)</f>
        <v>1309.9100000000001</v>
      </c>
      <c r="N11" s="40">
        <f>TRUNC(VALUE(_xlfn.XLOOKUP(TBL_CENARIOS[[#This Row],[ID_MASSA]],tbl_de_massas[id_massa],tbl_de_massas[fatura_fechada],"--",0,1)*0.1),2)</f>
        <v>130.99</v>
      </c>
      <c r="O11" s="40">
        <f>TRUNC(VALUE(_xlfn.XLOOKUP(TBL_CENARIOS[[#This Row],[ID_MASSA]],tbl_de_massas[id_massa],tbl_de_massas[fatura_fechada],"--",0,1)*0.75),2)</f>
        <v>982.43</v>
      </c>
      <c r="P11" s="40">
        <f>TRUNC(VALUE(_xlfn.XLOOKUP(TBL_CENARIOS[[#This Row],[ID_MASSA]],tbl_de_massas[id_massa],tbl_de_massas[fatura_fechada],"--",0,1)*0.075),2)</f>
        <v>98.24</v>
      </c>
      <c r="Q11" s="40">
        <f>TRUNC(VALUE(_xlfn.XLOOKUP(TBL_CENARIOS[[#This Row],[ID_MASSA]],tbl_de_massas[id_massa],tbl_de_massas[fatura_fechada],"--",0,1)*0.55),2)</f>
        <v>720.45</v>
      </c>
      <c r="R11" s="15" t="str">
        <f>_xlfn.XLOOKUP(TBL_CENARIOS[[#This Row],[ID_MASSA]],tbl_de_massas[id_massa],tbl_de_massas[status],"--",0,1)</f>
        <v>inadimplente</v>
      </c>
      <c r="S11" s="15" t="str">
        <f>_xlfn.XLOOKUP(TBL_CENARIOS[[#This Row],[ID_MASSA]],tbl_de_massas[id_massa],tbl_de_massas[status_fatura_fechada],"--",0,1)</f>
        <v>VIGENTE</v>
      </c>
      <c r="T11" s="35">
        <f>_xlfn.XLOOKUP(TBL_CENARIOS[[#This Row],[ID_MASSA]],tbl_de_massas[id_massa],tbl_de_massas[tbl_ven],"--",0,1)</f>
        <v>46310</v>
      </c>
      <c r="U11" s="35">
        <f>_xlfn.XLOOKUP(TBL_CENARIOS[[#This Row],[ID_MASSA]],tbl_de_massas[id_massa],tbl_de_massas[tbl_corte],"--",0,1)</f>
        <v>46305</v>
      </c>
      <c r="V11" s="15">
        <f>_xlfn.XLOOKUP(TBL_CENARIOS[[#This Row],[ID_MASSA]],tbl_de_massas[id_massa],tbl_de_massas[dias_atraso],"--",0,1)</f>
        <v>11</v>
      </c>
      <c r="W11" s="15">
        <v>9898</v>
      </c>
    </row>
    <row r="12" spans="1:23" x14ac:dyDescent="0.25">
      <c r="A12" s="15" t="s">
        <v>2357</v>
      </c>
      <c r="B12" s="15" t="s">
        <v>2348</v>
      </c>
      <c r="C12" s="15" t="s">
        <v>2537</v>
      </c>
      <c r="D12" s="15" t="s">
        <v>2350</v>
      </c>
      <c r="E12" s="49" t="s">
        <v>2286</v>
      </c>
      <c r="F12" s="17" t="str">
        <f>_xlfn.XLOOKUP(TBL_CENARIOS[[#This Row],[ID_MASSA]],tbl_de_massas[id_massa],tbl_de_massas[cpf],"--",0,1)</f>
        <v>17693911189</v>
      </c>
      <c r="G12" s="15" t="s">
        <v>12</v>
      </c>
      <c r="H12" s="20">
        <f>_xlfn.XLOOKUP(TBL_CENARIOS[[#This Row],[ID_MASSA]],tbl_de_massas[id_massa],tbl_de_massas[saldo_conta],"--",0,1)</f>
        <v>10000</v>
      </c>
      <c r="I12" s="28" t="s">
        <v>2352</v>
      </c>
      <c r="J12" s="41">
        <f>_xlfn.XLOOKUP(TBL_CENARIOS[[#This Row],[ID_MASSA]],tbl_de_massas[id_massa],tbl_de_massas[limite_utilizado],"--",0,1)</f>
        <v>1694.48</v>
      </c>
      <c r="K12" s="41">
        <f>_xlfn.XLOOKUP(TBL_CENARIOS[[#This Row],[ID_MASSA]],tbl_de_massas[id_massa],tbl_de_massas[limite_disponivel],"--",0,1)</f>
        <v>3305.52</v>
      </c>
      <c r="L12" s="40">
        <f>TRUNC(_xlfn.XLOOKUP(TBL_CENARIOS[[#This Row],[ID_MASSA]],tbl_de_massas[id_massa],tbl_de_massas[fatura_aberta],"--",0,1),4)</f>
        <v>1694.48</v>
      </c>
      <c r="M12" s="40">
        <f>TRUNC(_xlfn.XLOOKUP(TBL_CENARIOS[[#This Row],[ID_MASSA]],tbl_de_massas[id_massa],tbl_de_massas[fatura_fechada],"--",0,1),2)</f>
        <v>1422.82</v>
      </c>
      <c r="N12" s="42">
        <f>TRUNC(VALUE(_xlfn.XLOOKUP(TBL_CENARIOS[[#This Row],[ID_MASSA]],tbl_de_massas[id_massa],tbl_de_massas[fatura_fechada],"--",0,1)*0.1),2)</f>
        <v>142.28</v>
      </c>
      <c r="O12" s="40">
        <f>TRUNC(VALUE(_xlfn.XLOOKUP(TBL_CENARIOS[[#This Row],[ID_MASSA]],tbl_de_massas[id_massa],tbl_de_massas[fatura_fechada],"--",0,1)*0.75),2)</f>
        <v>1067.1099999999999</v>
      </c>
      <c r="P12" s="40">
        <f>TRUNC(VALUE(_xlfn.XLOOKUP(TBL_CENARIOS[[#This Row],[ID_MASSA]],tbl_de_massas[id_massa],tbl_de_massas[fatura_fechada],"--",0,1)*0.075),2)</f>
        <v>106.71</v>
      </c>
      <c r="Q12" s="40">
        <f>TRUNC(VALUE(_xlfn.XLOOKUP(TBL_CENARIOS[[#This Row],[ID_MASSA]],tbl_de_massas[id_massa],tbl_de_massas[fatura_fechada],"--",0,1)*0.55),2)</f>
        <v>782.55</v>
      </c>
      <c r="R12" s="15" t="str">
        <f>_xlfn.XLOOKUP(TBL_CENARIOS[[#This Row],[ID_MASSA]],tbl_de_massas[id_massa],tbl_de_massas[status],"--",0,1)</f>
        <v>inadimplente</v>
      </c>
      <c r="S12" s="15" t="str">
        <f>_xlfn.XLOOKUP(TBL_CENARIOS[[#This Row],[ID_MASSA]],tbl_de_massas[id_massa],tbl_de_massas[status_fatura_fechada],"--",0,1)</f>
        <v>VIGENTE</v>
      </c>
      <c r="T12" s="35">
        <f>_xlfn.XLOOKUP(TBL_CENARIOS[[#This Row],[ID_MASSA]],tbl_de_massas[id_massa],tbl_de_massas[tbl_ven],"--",0,1)</f>
        <v>46310</v>
      </c>
      <c r="U12" s="35">
        <f>_xlfn.XLOOKUP(TBL_CENARIOS[[#This Row],[ID_MASSA]],tbl_de_massas[id_massa],tbl_de_massas[tbl_corte],"--",0,1)</f>
        <v>46305</v>
      </c>
      <c r="V12" s="15">
        <f>_xlfn.XLOOKUP(TBL_CENARIOS[[#This Row],[ID_MASSA]],tbl_de_massas[id_massa],tbl_de_massas[dias_atraso],"--",0,1)</f>
        <v>11</v>
      </c>
      <c r="W12" s="15">
        <v>9898</v>
      </c>
    </row>
    <row r="13" spans="1:23" x14ac:dyDescent="0.25">
      <c r="A13" s="15" t="s">
        <v>2358</v>
      </c>
      <c r="B13" s="15" t="s">
        <v>2349</v>
      </c>
      <c r="C13" s="15" t="s">
        <v>2538</v>
      </c>
      <c r="D13" s="15" t="s">
        <v>2350</v>
      </c>
      <c r="E13" s="15" t="s">
        <v>2287</v>
      </c>
      <c r="F13" s="17" t="str">
        <f>_xlfn.XLOOKUP(TBL_CENARIOS[[#This Row],[ID_MASSA]],tbl_de_massas[id_massa],tbl_de_massas[cpf],"--",0,1)</f>
        <v>81698023189</v>
      </c>
      <c r="G13" s="15" t="s">
        <v>12</v>
      </c>
      <c r="H13" s="20">
        <f>_xlfn.XLOOKUP(TBL_CENARIOS[[#This Row],[ID_MASSA]],tbl_de_massas[id_massa],tbl_de_massas[saldo_conta],"--",0,1)</f>
        <v>10000</v>
      </c>
      <c r="I13" s="28" t="s">
        <v>2353</v>
      </c>
      <c r="J13" s="41">
        <f>_xlfn.XLOOKUP(TBL_CENARIOS[[#This Row],[ID_MASSA]],tbl_de_massas[id_massa],tbl_de_massas[limite_utilizado],"--",0,1)</f>
        <v>1803.6</v>
      </c>
      <c r="K13" s="41">
        <f>_xlfn.XLOOKUP(TBL_CENARIOS[[#This Row],[ID_MASSA]],tbl_de_massas[id_massa],tbl_de_massas[limite_disponivel],"--",0,1)</f>
        <v>3196.4</v>
      </c>
      <c r="L13" s="40">
        <f>TRUNC(_xlfn.XLOOKUP(TBL_CENARIOS[[#This Row],[ID_MASSA]],tbl_de_massas[id_massa],tbl_de_massas[fatura_aberta],"--",0,1),4)</f>
        <v>1803.6</v>
      </c>
      <c r="M13" s="40">
        <f>TRUNC(_xlfn.XLOOKUP(TBL_CENARIOS[[#This Row],[ID_MASSA]],tbl_de_massas[id_massa],tbl_de_massas[fatura_fechada],"--",0,1),2)</f>
        <v>1523.41</v>
      </c>
      <c r="N13" s="40">
        <f>TRUNC(VALUE(_xlfn.XLOOKUP(TBL_CENARIOS[[#This Row],[ID_MASSA]],tbl_de_massas[id_massa],tbl_de_massas[fatura_fechada],"--",0,1)*0.1),2)</f>
        <v>152.34</v>
      </c>
      <c r="O13" s="42">
        <f>TRUNC(VALUE(_xlfn.XLOOKUP(TBL_CENARIOS[[#This Row],[ID_MASSA]],tbl_de_massas[id_massa],tbl_de_massas[fatura_fechada],"--",0,1)*0.75),2)</f>
        <v>1142.55</v>
      </c>
      <c r="P13" s="40">
        <f>TRUNC(VALUE(_xlfn.XLOOKUP(TBL_CENARIOS[[#This Row],[ID_MASSA]],tbl_de_massas[id_massa],tbl_de_massas[fatura_fechada],"--",0,1)*0.075),2)</f>
        <v>114.25</v>
      </c>
      <c r="Q13" s="40">
        <f>TRUNC(VALUE(_xlfn.XLOOKUP(TBL_CENARIOS[[#This Row],[ID_MASSA]],tbl_de_massas[id_massa],tbl_de_massas[fatura_fechada],"--",0,1)*0.55),2)</f>
        <v>837.87</v>
      </c>
      <c r="R13" s="15" t="str">
        <f>_xlfn.XLOOKUP(TBL_CENARIOS[[#This Row],[ID_MASSA]],tbl_de_massas[id_massa],tbl_de_massas[status],"--",0,1)</f>
        <v>inadimplente</v>
      </c>
      <c r="S13" s="15" t="str">
        <f>_xlfn.XLOOKUP(TBL_CENARIOS[[#This Row],[ID_MASSA]],tbl_de_massas[id_massa],tbl_de_massas[status_fatura_fechada],"--",0,1)</f>
        <v>VIGENTE</v>
      </c>
      <c r="T13" s="35">
        <f>_xlfn.XLOOKUP(TBL_CENARIOS[[#This Row],[ID_MASSA]],tbl_de_massas[id_massa],tbl_de_massas[tbl_ven],"--",0,1)</f>
        <v>46310</v>
      </c>
      <c r="U13" s="35">
        <f>_xlfn.XLOOKUP(TBL_CENARIOS[[#This Row],[ID_MASSA]],tbl_de_massas[id_massa],tbl_de_massas[tbl_corte],"--",0,1)</f>
        <v>46305</v>
      </c>
      <c r="V13" s="15">
        <f>_xlfn.XLOOKUP(TBL_CENARIOS[[#This Row],[ID_MASSA]],tbl_de_massas[id_massa],tbl_de_massas[dias_atraso],"--",0,1)</f>
        <v>11</v>
      </c>
      <c r="W13" s="15">
        <v>9898</v>
      </c>
    </row>
    <row r="14" spans="1:23" x14ac:dyDescent="0.25">
      <c r="A14" s="15" t="s">
        <v>607</v>
      </c>
      <c r="B14" s="15" t="s">
        <v>2362</v>
      </c>
      <c r="C14" s="15" t="s">
        <v>2539</v>
      </c>
      <c r="D14" s="15" t="s">
        <v>2350</v>
      </c>
      <c r="E14" s="15" t="s">
        <v>2295</v>
      </c>
      <c r="F14" s="17" t="str">
        <f>_xlfn.XLOOKUP(TBL_CENARIOS[[#This Row],[ID_MASSA]],tbl_de_massas[id_massa],tbl_de_massas[cpf],"--",0,1)</f>
        <v>16165143539</v>
      </c>
      <c r="G14" s="15" t="s">
        <v>12</v>
      </c>
      <c r="H14" s="20">
        <f>_xlfn.XLOOKUP(TBL_CENARIOS[[#This Row],[ID_MASSA]],tbl_de_massas[id_massa],tbl_de_massas[saldo_conta],"--",0,1)</f>
        <v>10000</v>
      </c>
      <c r="I14" s="28"/>
      <c r="J14" s="41">
        <f>_xlfn.XLOOKUP(TBL_CENARIOS[[#This Row],[ID_MASSA]],tbl_de_massas[id_massa],tbl_de_massas[limite_utilizado],"--",0,1)</f>
        <v>1584.1</v>
      </c>
      <c r="K14" s="41">
        <f>_xlfn.XLOOKUP(TBL_CENARIOS[[#This Row],[ID_MASSA]],tbl_de_massas[id_massa],tbl_de_massas[limite_disponivel],"--",0,1)</f>
        <v>3415.9</v>
      </c>
      <c r="L14" s="40">
        <f>TRUNC(_xlfn.XLOOKUP(TBL_CENARIOS[[#This Row],[ID_MASSA]],tbl_de_massas[id_massa],tbl_de_massas[fatura_aberta],"--",0,1),4)</f>
        <v>1584.1</v>
      </c>
      <c r="M14" s="40">
        <f>TRUNC(_xlfn.XLOOKUP(TBL_CENARIOS[[#This Row],[ID_MASSA]],tbl_de_massas[id_massa],tbl_de_massas[fatura_fechada],"--",0,1),2)</f>
        <v>1321.07</v>
      </c>
      <c r="N14" s="40">
        <f>TRUNC(VALUE(_xlfn.XLOOKUP(TBL_CENARIOS[[#This Row],[ID_MASSA]],tbl_de_massas[id_massa],tbl_de_massas[fatura_fechada],"--",0,1)*0.1),2)</f>
        <v>132.1</v>
      </c>
      <c r="O14" s="40">
        <f>TRUNC(VALUE(_xlfn.XLOOKUP(TBL_CENARIOS[[#This Row],[ID_MASSA]],tbl_de_massas[id_massa],tbl_de_massas[fatura_fechada],"--",0,1)*0.75),2)</f>
        <v>990.8</v>
      </c>
      <c r="P14" s="42">
        <f>TRUNC(VALUE(_xlfn.XLOOKUP(TBL_CENARIOS[[#This Row],[ID_MASSA]],tbl_de_massas[id_massa],tbl_de_massas[fatura_fechada],"--",0,1)*0.075),2)</f>
        <v>99.08</v>
      </c>
      <c r="Q14" s="40">
        <f>TRUNC(VALUE(_xlfn.XLOOKUP(TBL_CENARIOS[[#This Row],[ID_MASSA]],tbl_de_massas[id_massa],tbl_de_massas[fatura_fechada],"--",0,1)*0.55),2)</f>
        <v>726.58</v>
      </c>
      <c r="R14" s="15" t="str">
        <f>_xlfn.XLOOKUP(TBL_CENARIOS[[#This Row],[ID_MASSA]],tbl_de_massas[id_massa],tbl_de_massas[status],"--",0,1)</f>
        <v>inadimplente</v>
      </c>
      <c r="S14" s="15" t="str">
        <f>_xlfn.XLOOKUP(TBL_CENARIOS[[#This Row],[ID_MASSA]],tbl_de_massas[id_massa],tbl_de_massas[status_fatura_fechada],"--",0,1)</f>
        <v>VIGENTE</v>
      </c>
      <c r="T14" s="35">
        <f>_xlfn.XLOOKUP(TBL_CENARIOS[[#This Row],[ID_MASSA]],tbl_de_massas[id_massa],tbl_de_massas[tbl_ven],"--",0,1)</f>
        <v>46310</v>
      </c>
      <c r="U14" s="35">
        <f>_xlfn.XLOOKUP(TBL_CENARIOS[[#This Row],[ID_MASSA]],tbl_de_massas[id_massa],tbl_de_massas[tbl_corte],"--",0,1)</f>
        <v>46305</v>
      </c>
      <c r="V14" s="15">
        <f>_xlfn.XLOOKUP(TBL_CENARIOS[[#This Row],[ID_MASSA]],tbl_de_massas[id_massa],tbl_de_massas[dias_atraso],"--",0,1)</f>
        <v>11</v>
      </c>
      <c r="W14" s="15">
        <v>9898</v>
      </c>
    </row>
    <row r="15" spans="1:23" x14ac:dyDescent="0.25">
      <c r="A15" s="15" t="s">
        <v>2541</v>
      </c>
      <c r="B15" s="15" t="s">
        <v>2363</v>
      </c>
      <c r="C15" s="15" t="s">
        <v>2540</v>
      </c>
      <c r="D15" s="15" t="s">
        <v>2350</v>
      </c>
      <c r="E15" s="15" t="s">
        <v>2297</v>
      </c>
      <c r="F15" s="17" t="str">
        <f>_xlfn.XLOOKUP(TBL_CENARIOS[[#This Row],[ID_MASSA]],tbl_de_massas[id_massa],tbl_de_massas[cpf],"--",0,1)</f>
        <v>43204282856</v>
      </c>
      <c r="G15" s="15" t="s">
        <v>12</v>
      </c>
      <c r="H15" s="20">
        <f>_xlfn.XLOOKUP(TBL_CENARIOS[[#This Row],[ID_MASSA]],tbl_de_massas[id_massa],tbl_de_massas[saldo_conta],"--",0,1)</f>
        <v>10000</v>
      </c>
      <c r="I15" s="28"/>
      <c r="J15" s="41">
        <f>_xlfn.XLOOKUP(TBL_CENARIOS[[#This Row],[ID_MASSA]],tbl_de_massas[id_massa],tbl_de_massas[limite_utilizado],"--",0,1)</f>
        <v>1746.11</v>
      </c>
      <c r="K15" s="41">
        <f>_xlfn.XLOOKUP(TBL_CENARIOS[[#This Row],[ID_MASSA]],tbl_de_massas[id_massa],tbl_de_massas[limite_disponivel],"--",0,1)</f>
        <v>3253.89</v>
      </c>
      <c r="L15" s="40">
        <f>TRUNC(_xlfn.XLOOKUP(TBL_CENARIOS[[#This Row],[ID_MASSA]],tbl_de_massas[id_massa],tbl_de_massas[fatura_aberta],"--",0,1),4)</f>
        <v>1746.11</v>
      </c>
      <c r="M15" s="40">
        <f>TRUNC(_xlfn.XLOOKUP(TBL_CENARIOS[[#This Row],[ID_MASSA]],tbl_de_massas[id_massa],tbl_de_massas[fatura_fechada],"--",0,1),2)</f>
        <v>1470.42</v>
      </c>
      <c r="N15" s="40">
        <f>TRUNC(VALUE(_xlfn.XLOOKUP(TBL_CENARIOS[[#This Row],[ID_MASSA]],tbl_de_massas[id_massa],tbl_de_massas[fatura_fechada],"--",0,1)*0.1),2)</f>
        <v>147.04</v>
      </c>
      <c r="O15" s="40">
        <f>TRUNC(VALUE(_xlfn.XLOOKUP(TBL_CENARIOS[[#This Row],[ID_MASSA]],tbl_de_massas[id_massa],tbl_de_massas[fatura_fechada],"--",0,1)*0.75),2)</f>
        <v>1102.81</v>
      </c>
      <c r="P15" s="40">
        <f>TRUNC(VALUE(_xlfn.XLOOKUP(TBL_CENARIOS[[#This Row],[ID_MASSA]],tbl_de_massas[id_massa],tbl_de_massas[fatura_fechada],"--",0,1)*0.075),2)</f>
        <v>110.28</v>
      </c>
      <c r="Q15" s="42">
        <f>TRUNC(VALUE(_xlfn.XLOOKUP(TBL_CENARIOS[[#This Row],[ID_MASSA]],tbl_de_massas[id_massa],tbl_de_massas[fatura_fechada],"--",0,1)*0.55),2)</f>
        <v>808.73</v>
      </c>
      <c r="R15" s="15" t="str">
        <f>_xlfn.XLOOKUP(TBL_CENARIOS[[#This Row],[ID_MASSA]],tbl_de_massas[id_massa],tbl_de_massas[status],"--",0,1)</f>
        <v>inadimplente</v>
      </c>
      <c r="S15" s="15" t="str">
        <f>_xlfn.XLOOKUP(TBL_CENARIOS[[#This Row],[ID_MASSA]],tbl_de_massas[id_massa],tbl_de_massas[status_fatura_fechada],"--",0,1)</f>
        <v>VIGENTE</v>
      </c>
      <c r="T15" s="35">
        <f>_xlfn.XLOOKUP(TBL_CENARIOS[[#This Row],[ID_MASSA]],tbl_de_massas[id_massa],tbl_de_massas[tbl_ven],"--",0,1)</f>
        <v>46310</v>
      </c>
      <c r="U15" s="35">
        <f>_xlfn.XLOOKUP(TBL_CENARIOS[[#This Row],[ID_MASSA]],tbl_de_massas[id_massa],tbl_de_massas[tbl_corte],"--",0,1)</f>
        <v>46305</v>
      </c>
      <c r="V15" s="15">
        <f>_xlfn.XLOOKUP(TBL_CENARIOS[[#This Row],[ID_MASSA]],tbl_de_massas[id_massa],tbl_de_massas[dias_atraso],"--",0,1)</f>
        <v>11</v>
      </c>
      <c r="W15" s="15">
        <v>9898</v>
      </c>
    </row>
    <row r="16" spans="1:23" x14ac:dyDescent="0.25">
      <c r="E16"/>
    </row>
    <row r="17" spans="1:21" x14ac:dyDescent="0.25">
      <c r="E17"/>
      <c r="J17" s="44"/>
      <c r="K17" s="44"/>
      <c r="L17" s="44"/>
      <c r="M17" s="44"/>
      <c r="N17" s="44"/>
      <c r="O17" s="44"/>
    </row>
    <row r="18" spans="1:21" x14ac:dyDescent="0.25">
      <c r="E18"/>
      <c r="J18" s="48">
        <v>4156.17</v>
      </c>
      <c r="K18" s="48">
        <v>7450.45</v>
      </c>
      <c r="L18" s="48">
        <v>5865.99</v>
      </c>
      <c r="M18" s="48">
        <v>5118.18</v>
      </c>
      <c r="N18" s="48">
        <v>8307.14</v>
      </c>
      <c r="O18" s="44"/>
      <c r="Q18" s="48">
        <v>4156.17</v>
      </c>
      <c r="R18" s="48">
        <v>7450.45</v>
      </c>
      <c r="S18" s="48">
        <v>5865.99</v>
      </c>
      <c r="T18" s="48">
        <v>5118.18</v>
      </c>
      <c r="U18" s="48">
        <v>8307.14</v>
      </c>
    </row>
    <row r="19" spans="1:21" x14ac:dyDescent="0.25">
      <c r="E19"/>
      <c r="J19" s="48">
        <f>M11</f>
        <v>1309.9100000000001</v>
      </c>
      <c r="K19" s="48">
        <f>N12</f>
        <v>142.28</v>
      </c>
      <c r="L19" s="48">
        <f>O13</f>
        <v>1142.55</v>
      </c>
      <c r="M19" s="48">
        <f>P14</f>
        <v>99.08</v>
      </c>
      <c r="N19" s="48">
        <f>Q15</f>
        <v>808.73</v>
      </c>
      <c r="O19" s="44"/>
      <c r="Q19" s="48">
        <v>5507.8</v>
      </c>
      <c r="R19" s="48">
        <v>330.82</v>
      </c>
      <c r="S19" s="48">
        <v>3118.14</v>
      </c>
      <c r="T19" s="48">
        <v>559.88</v>
      </c>
      <c r="U19" s="48">
        <v>3591.83</v>
      </c>
    </row>
    <row r="20" spans="1:21" x14ac:dyDescent="0.25">
      <c r="J20" s="48">
        <v>0</v>
      </c>
      <c r="K20" s="48">
        <v>1289.6400000000001</v>
      </c>
      <c r="L20" s="48">
        <v>4936.5</v>
      </c>
      <c r="M20" s="48">
        <v>7684.29</v>
      </c>
      <c r="N20" s="48">
        <v>3717.76</v>
      </c>
      <c r="O20" s="44"/>
      <c r="Q20" s="48">
        <v>5852.25</v>
      </c>
      <c r="R20" s="48">
        <v>4752.1400000000003</v>
      </c>
      <c r="S20" s="48">
        <v>4915.04</v>
      </c>
      <c r="T20" s="48">
        <v>8222.7000000000007</v>
      </c>
      <c r="U20" s="48">
        <v>7288.13</v>
      </c>
    </row>
    <row r="21" spans="1:21" x14ac:dyDescent="0.25">
      <c r="J21" s="48">
        <f>M11</f>
        <v>1309.9100000000001</v>
      </c>
      <c r="K21" s="48">
        <f>N12</f>
        <v>142.28</v>
      </c>
      <c r="L21" s="48">
        <f>O13</f>
        <v>1142.55</v>
      </c>
      <c r="M21" s="48">
        <f>P14</f>
        <v>99.08</v>
      </c>
      <c r="N21" s="48">
        <f>Q15</f>
        <v>808.73</v>
      </c>
      <c r="Q21" s="48">
        <v>-344.44999999999982</v>
      </c>
      <c r="R21" s="48">
        <v>-4421.3200000000006</v>
      </c>
      <c r="S21" s="48">
        <v>3118.14</v>
      </c>
      <c r="T21" s="48">
        <v>559.88</v>
      </c>
      <c r="U21" s="48">
        <v>3591.83</v>
      </c>
    </row>
    <row r="22" spans="1:21" x14ac:dyDescent="0.25">
      <c r="J22" s="48">
        <f>K11</f>
        <v>3427.98</v>
      </c>
      <c r="K22" s="48">
        <f>K12</f>
        <v>3305.52</v>
      </c>
      <c r="L22" s="48">
        <f>K13</f>
        <v>3196.4</v>
      </c>
      <c r="M22" s="48">
        <f>K14</f>
        <v>3415.9</v>
      </c>
      <c r="N22" s="48">
        <f>K15</f>
        <v>3253.89</v>
      </c>
      <c r="Q22" s="48">
        <v>-2430.6799999999998</v>
      </c>
      <c r="R22" s="48">
        <v>-205.86</v>
      </c>
      <c r="S22" s="48">
        <v>-1901.37</v>
      </c>
      <c r="T22" s="48">
        <v>-171.05</v>
      </c>
      <c r="U22" s="48">
        <v>-1470.89</v>
      </c>
    </row>
    <row r="23" spans="1:21" x14ac:dyDescent="0.25">
      <c r="J23" s="48">
        <f>J22-M11</f>
        <v>2118.0699999999997</v>
      </c>
      <c r="K23" s="48">
        <f>K22-N11</f>
        <v>3174.5299999999997</v>
      </c>
      <c r="L23" s="48">
        <f>L22-O11</f>
        <v>2213.9700000000003</v>
      </c>
      <c r="M23" s="48">
        <f>M22-P11</f>
        <v>3317.6600000000003</v>
      </c>
      <c r="N23" s="48">
        <f>N22-Q11</f>
        <v>2533.4399999999996</v>
      </c>
      <c r="Q23" s="48">
        <v>-7938.48</v>
      </c>
      <c r="R23" s="48">
        <v>-756.64</v>
      </c>
      <c r="S23" s="48">
        <v>-6032.22</v>
      </c>
      <c r="T23" s="48">
        <v>-584.13</v>
      </c>
      <c r="U23" s="48">
        <v>-4500.18</v>
      </c>
    </row>
    <row r="24" spans="1:21" x14ac:dyDescent="0.25">
      <c r="J24" s="48">
        <f>K11-L11</f>
        <v>1855.96</v>
      </c>
      <c r="K24" s="48">
        <f t="shared" ref="K24:N24" si="0">L11-M11</f>
        <v>262.1099999999999</v>
      </c>
      <c r="L24" s="48">
        <f t="shared" si="0"/>
        <v>1178.92</v>
      </c>
      <c r="M24" s="48">
        <f t="shared" si="0"/>
        <v>-851.43999999999994</v>
      </c>
      <c r="N24" s="48">
        <f t="shared" si="0"/>
        <v>884.18999999999994</v>
      </c>
      <c r="Q24" s="48">
        <v>-8282.93</v>
      </c>
      <c r="R24" s="48">
        <v>344.44999999999982</v>
      </c>
      <c r="S24" s="48">
        <v>4957.0200000000004</v>
      </c>
      <c r="T24" s="48">
        <v>-3580.0700000000006</v>
      </c>
      <c r="U24" s="48">
        <v>3717.7700000000004</v>
      </c>
    </row>
    <row r="30" spans="1:21" x14ac:dyDescent="0.25">
      <c r="A30" t="s">
        <v>7798</v>
      </c>
      <c r="L30" s="44">
        <f>L11+M11</f>
        <v>2881.9300000000003</v>
      </c>
    </row>
    <row r="31" spans="1:21" x14ac:dyDescent="0.25">
      <c r="A31" t="s">
        <v>7795</v>
      </c>
    </row>
    <row r="33" spans="1:3" x14ac:dyDescent="0.25">
      <c r="A33" t="s">
        <v>7799</v>
      </c>
    </row>
    <row r="34" spans="1:3" x14ac:dyDescent="0.25">
      <c r="A34" t="s">
        <v>7796</v>
      </c>
    </row>
    <row r="37" spans="1:3" x14ac:dyDescent="0.25">
      <c r="A37" t="s">
        <v>7797</v>
      </c>
      <c r="C37" t="s">
        <v>7801</v>
      </c>
    </row>
    <row r="39" spans="1:3" x14ac:dyDescent="0.25">
      <c r="A39" t="s">
        <v>7800</v>
      </c>
    </row>
    <row r="40">
      <c r="A40" t="inlineStr">
        <is>
          <t xml:space="preserve">17</t>
        </is>
      </c>
      <c r="B40" t="inlineStr">
        <is>
          <t xml:space="preserve">CT03.7</t>
        </is>
      </c>
      <c r="C40" t="inlineStr">
        <is>
          <t xml:space="preserve">Reenvio do pagamento mínimo cai na guarda de idempotência.</t>
        </is>
      </c>
      <c r="D40" t="inlineStr">
        <is>
          <t xml:space="preserve">fatura</t>
        </is>
      </c>
      <c r="E40" t="inlineStr">
        <is>
          <t xml:space="preserve">0042</t>
        </is>
      </c>
      <c r="F40" t="inlineStr">
        <is>
          <t xml:space="preserve">17693911189</t>
        </is>
      </c>
      <c r="G40" t="inlineStr">
        <is>
          <t xml:space="preserve">admin999</t>
        </is>
      </c>
      <c r="H40" t="inlineStr">
        <is>
          <t xml:space="preserve">10000</t>
        </is>
      </c>
      <c r="I40" t="inlineStr">
        <is>
          <t xml:space="preserve">150.02</t>
        </is>
      </c>
      <c r="J40" t="inlineStr">
        <is>
          <t xml:space="preserve">1694.48</t>
        </is>
      </c>
      <c r="K40" t="inlineStr">
        <is>
          <t xml:space="preserve">3305.52</t>
        </is>
      </c>
      <c r="L40" t="inlineStr">
        <is>
          <t xml:space="preserve">1694.48</t>
        </is>
      </c>
      <c r="M40" t="inlineStr">
        <is>
          <t xml:space="preserve">1422.82</t>
        </is>
      </c>
      <c r="N40" t="inlineStr">
        <is>
          <t xml:space="preserve">142.28</t>
        </is>
      </c>
      <c r="O40" t="inlineStr">
        <is>
          <t xml:space="preserve">1067.11</t>
        </is>
      </c>
      <c r="P40" t="inlineStr">
        <is>
          <t xml:space="preserve">106.71</t>
        </is>
      </c>
      <c r="Q40" t="inlineStr">
        <is>
          <t xml:space="preserve">782.55</t>
        </is>
      </c>
      <c r="R40" t="inlineStr">
        <is>
          <t xml:space="preserve">inadimplente</t>
        </is>
      </c>
      <c r="S40" t="inlineStr">
        <is>
          <t xml:space="preserve">VIGENTE</t>
        </is>
      </c>
      <c r="T40" t="inlineStr">
        <is>
          <t xml:space="preserve">46310</t>
        </is>
      </c>
      <c r="U40" t="inlineStr">
        <is>
          <t xml:space="preserve">46305</t>
        </is>
      </c>
      <c r="V40" t="inlineStr">
        <is>
          <t xml:space="preserve">11</t>
        </is>
      </c>
      <c r="W40" t="inlineStr">
        <is>
          <t xml:space="preserve">9898</t>
        </is>
      </c>
    </row>
  </sheetData>
  <phoneticPr fontId="8" type="noConversion"/>
  <conditionalFormatting sqref="E2:E10">
    <cfRule type="duplicateValues" dxfId="96" priority="45"/>
    <cfRule type="duplicateValues" dxfId="95" priority="65"/>
  </conditionalFormatting>
  <conditionalFormatting sqref="E20:E1048576 E1:E10">
    <cfRule type="duplicateValues" dxfId="94" priority="42"/>
  </conditionalFormatting>
  <conditionalFormatting sqref="H2:H15">
    <cfRule type="cellIs" dxfId="93" priority="39" operator="greaterThan">
      <formula>$M$11</formula>
    </cfRule>
    <cfRule type="cellIs" dxfId="92" priority="40" operator="lessThan">
      <formula>100</formula>
    </cfRule>
    <cfRule type="cellIs" dxfId="91" priority="62" operator="greaterThan">
      <formula>$M$3</formula>
    </cfRule>
  </conditionalFormatting>
  <conditionalFormatting sqref="J18">
    <cfRule type="cellIs" dxfId="90" priority="34" operator="equal">
      <formula>$L11</formula>
    </cfRule>
  </conditionalFormatting>
  <conditionalFormatting sqref="J19">
    <cfRule type="cellIs" dxfId="89" priority="44" operator="equal">
      <formula>97.17</formula>
    </cfRule>
  </conditionalFormatting>
  <conditionalFormatting sqref="J19:J20">
    <cfRule type="cellIs" dxfId="88" priority="25" operator="equal">
      <formula>$L$11</formula>
    </cfRule>
  </conditionalFormatting>
  <conditionalFormatting sqref="J20">
    <cfRule type="cellIs" dxfId="87" priority="29" operator="equal">
      <formula>$L13</formula>
    </cfRule>
  </conditionalFormatting>
  <conditionalFormatting sqref="J18:N18">
    <cfRule type="cellIs" dxfId="85" priority="55" operator="equal">
      <formula>$L12</formula>
    </cfRule>
  </conditionalFormatting>
  <conditionalFormatting sqref="J20:N20">
    <cfRule type="cellIs" dxfId="84" priority="30" operator="equal">
      <formula>$L14</formula>
    </cfRule>
  </conditionalFormatting>
  <conditionalFormatting sqref="K17">
    <cfRule type="cellIs" dxfId="83" priority="54" operator="equal">
      <formula>$L$12</formula>
    </cfRule>
  </conditionalFormatting>
  <conditionalFormatting sqref="K19">
    <cfRule type="cellIs" dxfId="82" priority="41" operator="equal">
      <formula>$L12</formula>
    </cfRule>
  </conditionalFormatting>
  <conditionalFormatting sqref="K20">
    <cfRule type="cellIs" dxfId="81" priority="19" operator="equal">
      <formula>$L$12</formula>
    </cfRule>
  </conditionalFormatting>
  <conditionalFormatting sqref="K22">
    <cfRule type="cellIs" dxfId="80" priority="23" operator="equal">
      <formula>$K$12</formula>
    </cfRule>
  </conditionalFormatting>
  <conditionalFormatting sqref="K2:L15">
    <cfRule type="cellIs" dxfId="79" priority="63" operator="lessThan">
      <formula>0</formula>
    </cfRule>
  </conditionalFormatting>
  <conditionalFormatting sqref="L17:L20">
    <cfRule type="cellIs" dxfId="78" priority="28" operator="equal">
      <formula>$L$13</formula>
    </cfRule>
  </conditionalFormatting>
  <conditionalFormatting sqref="L22">
    <cfRule type="cellIs" dxfId="77" priority="22" operator="equal">
      <formula>$K$13</formula>
    </cfRule>
  </conditionalFormatting>
  <conditionalFormatting sqref="M2:M15">
    <cfRule type="cellIs" dxfId="76" priority="61" operator="lessThan">
      <formula>$H$13</formula>
    </cfRule>
  </conditionalFormatting>
  <conditionalFormatting sqref="M11">
    <cfRule type="cellIs" dxfId="75" priority="60" operator="lessThan">
      <formula>$H$11</formula>
    </cfRule>
  </conditionalFormatting>
  <conditionalFormatting sqref="M17:M20">
    <cfRule type="cellIs" dxfId="74" priority="27" operator="equal">
      <formula>$L$14</formula>
    </cfRule>
  </conditionalFormatting>
  <conditionalFormatting sqref="M22">
    <cfRule type="cellIs" dxfId="73" priority="21" operator="equal">
      <formula>$K$14</formula>
    </cfRule>
  </conditionalFormatting>
  <conditionalFormatting sqref="N12">
    <cfRule type="cellIs" dxfId="72" priority="59" operator="lessThan">
      <formula>$M$12</formula>
    </cfRule>
  </conditionalFormatting>
  <conditionalFormatting sqref="N17:N18">
    <cfRule type="cellIs" dxfId="71" priority="31" operator="equal">
      <formula>$L$15</formula>
    </cfRule>
  </conditionalFormatting>
  <conditionalFormatting sqref="N20">
    <cfRule type="cellIs" dxfId="70" priority="26" operator="equal">
      <formula>$L$15</formula>
    </cfRule>
  </conditionalFormatting>
  <conditionalFormatting sqref="N22">
    <cfRule type="cellIs" dxfId="69" priority="20" operator="equal">
      <formula>$K$15</formula>
    </cfRule>
  </conditionalFormatting>
  <conditionalFormatting sqref="N19:O19">
    <cfRule type="cellIs" dxfId="68" priority="46" operator="equal">
      <formula>$L$15</formula>
    </cfRule>
  </conditionalFormatting>
  <conditionalFormatting sqref="O13">
    <cfRule type="cellIs" dxfId="67" priority="58" operator="lessThan">
      <formula>$M$13</formula>
    </cfRule>
  </conditionalFormatting>
  <conditionalFormatting sqref="O17">
    <cfRule type="cellIs" dxfId="66" priority="35" operator="lessThan">
      <formula>0</formula>
    </cfRule>
  </conditionalFormatting>
  <conditionalFormatting sqref="P14">
    <cfRule type="cellIs" dxfId="65" priority="57" operator="lessThan">
      <formula>$N$14</formula>
    </cfRule>
  </conditionalFormatting>
  <conditionalFormatting sqref="Q15">
    <cfRule type="cellIs" dxfId="64" priority="56" operator="greaterThan">
      <formula>$N$15</formula>
    </cfRule>
  </conditionalFormatting>
  <conditionalFormatting sqref="Q18">
    <cfRule type="cellIs" dxfId="63" priority="14" operator="equal">
      <formula>$L11</formula>
    </cfRule>
  </conditionalFormatting>
  <conditionalFormatting sqref="Q19">
    <cfRule type="cellIs" dxfId="62" priority="16" operator="equal">
      <formula>97.17</formula>
    </cfRule>
  </conditionalFormatting>
  <conditionalFormatting sqref="Q19:Q20">
    <cfRule type="cellIs" dxfId="61" priority="7" operator="equal">
      <formula>$L$11</formula>
    </cfRule>
  </conditionalFormatting>
  <conditionalFormatting sqref="Q20">
    <cfRule type="cellIs" dxfId="60" priority="11" operator="equal">
      <formula>$L13</formula>
    </cfRule>
  </conditionalFormatting>
  <conditionalFormatting sqref="Q18:U18">
    <cfRule type="cellIs" dxfId="58" priority="18" operator="equal">
      <formula>$L12</formula>
    </cfRule>
  </conditionalFormatting>
  <conditionalFormatting sqref="Q20:U20">
    <cfRule type="cellIs" dxfId="57" priority="12" operator="equal">
      <formula>$L14</formula>
    </cfRule>
  </conditionalFormatting>
  <conditionalFormatting sqref="R19">
    <cfRule type="cellIs" dxfId="56" priority="15" operator="equal">
      <formula>$L12</formula>
    </cfRule>
  </conditionalFormatting>
  <conditionalFormatting sqref="R20">
    <cfRule type="cellIs" dxfId="55" priority="1" operator="equal">
      <formula>$L$12</formula>
    </cfRule>
  </conditionalFormatting>
  <conditionalFormatting sqref="R22">
    <cfRule type="cellIs" dxfId="54" priority="5" operator="equal">
      <formula>$K$12</formula>
    </cfRule>
  </conditionalFormatting>
  <conditionalFormatting sqref="S18:S20">
    <cfRule type="cellIs" dxfId="53" priority="10" operator="equal">
      <formula>$L$13</formula>
    </cfRule>
  </conditionalFormatting>
  <conditionalFormatting sqref="S22">
    <cfRule type="cellIs" dxfId="52" priority="4" operator="equal">
      <formula>$K$13</formula>
    </cfRule>
  </conditionalFormatting>
  <conditionalFormatting sqref="T18:T20">
    <cfRule type="cellIs" dxfId="51" priority="9" operator="equal">
      <formula>$L$14</formula>
    </cfRule>
  </conditionalFormatting>
  <conditionalFormatting sqref="T22">
    <cfRule type="cellIs" dxfId="50" priority="3" operator="equal">
      <formula>$K$14</formula>
    </cfRule>
  </conditionalFormatting>
  <conditionalFormatting sqref="U18">
    <cfRule type="cellIs" dxfId="49" priority="13" operator="equal">
      <formula>$L$15</formula>
    </cfRule>
  </conditionalFormatting>
  <conditionalFormatting sqref="U20">
    <cfRule type="cellIs" dxfId="48" priority="8" operator="equal">
      <formula>$L$15</formula>
    </cfRule>
  </conditionalFormatting>
  <conditionalFormatting sqref="U22">
    <cfRule type="cellIs" dxfId="47" priority="2" operator="equal">
      <formula>$K$15</formula>
    </cfRule>
  </conditionalFormatting>
  <conditionalFormatting sqref="U19">
    <cfRule type="cellIs" dxfId="46" priority="17" operator="equal">
      <formula>$L$15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4" operator="containsText" id="{CAF537D3-770E-404E-BE25-B70CC24F2922}">
            <xm:f>NOT(ISERROR(SEARCH($K$11,J22)))</xm:f>
            <xm:f>$K$11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J22</xm:sqref>
        </x14:conditionalFormatting>
        <x14:conditionalFormatting xmlns:xm="http://schemas.microsoft.com/office/excel/2006/main">
          <x14:cfRule type="containsText" priority="6" operator="containsText" id="{2B638C83-1494-48D5-B7D5-28DE93AE0CEF}">
            <xm:f>NOT(ISERROR(SEARCH($K$11,Q22)))</xm:f>
            <xm:f>$K$11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Q22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E2BE3-C293-4EE6-A513-C17FACD5D1B4}">
  <dimension ref="A1:H1430"/>
  <sheetViews>
    <sheetView showOutlineSymbols="0" workbookViewId="0"/>
  </sheetViews>
  <sheetFormatPr defaultRowHeight="15.75" x14ac:dyDescent="0.25"/>
  <cols>
    <col min="1" max="1" width="10.25" style="2" customWidth="1"/>
    <col min="2" max="2" width="11.625" bestFit="1" customWidth="1"/>
    <col min="3" max="3" width="13.875" bestFit="1" customWidth="1"/>
    <col min="4" max="4" width="20.125" bestFit="1" customWidth="1"/>
    <col min="5" max="5" width="28.5" bestFit="1" customWidth="1"/>
    <col min="6" max="6" width="18.75" bestFit="1" customWidth="1"/>
    <col min="7" max="7" width="15.625" customWidth="1"/>
    <col min="8" max="8" width="27.375" bestFit="1" customWidth="1"/>
  </cols>
  <sheetData>
    <row r="1" spans="1:8" s="11" customFormat="1" ht="66.75" customHeight="1" x14ac:dyDescent="0.25">
      <c r="A1" s="13" t="s">
        <v>4</v>
      </c>
      <c r="B1" s="13" t="s">
        <v>5</v>
      </c>
      <c r="C1" s="13" t="s">
        <v>6</v>
      </c>
      <c r="D1" s="13" t="s">
        <v>2261</v>
      </c>
      <c r="E1" s="13" t="s">
        <v>2355</v>
      </c>
      <c r="F1" s="13" t="s">
        <v>2256</v>
      </c>
      <c r="G1" s="13" t="s">
        <v>2257</v>
      </c>
      <c r="H1" s="13" t="s">
        <v>2258</v>
      </c>
    </row>
    <row r="2" spans="1:8" x14ac:dyDescent="0.25">
      <c r="A2" s="2" t="s">
        <v>2269</v>
      </c>
      <c r="B2" s="14" t="str">
        <f>_xlfn.XLOOKUP(TBL_USUARIOS[[#This Row],[ID_MASSA]],tbl_de_massas[id_massa],tbl_de_massas[cpf],"--",0,1)</f>
        <v>12345678901</v>
      </c>
      <c r="C2" t="s">
        <v>12</v>
      </c>
      <c r="D2" t="str">
        <f>_xlfn.XLOOKUP(TBL_USUARIOS[[#This Row],[ID_MASSA]],tbl_de_massas[id_massa],tbl_de_massas[nome_completo],"--",0,1)</f>
        <v>Test User</v>
      </c>
      <c r="E2" t="str">
        <f>_xlfn.XLOOKUP(TBL_USUARIOS[[#This Row],[ID_MASSA]],tbl_de_massas[id_massa],tbl_de_massas[cartao_fisico_numero],"--",0,1)</f>
        <v>6505 2260 9151 8876</v>
      </c>
      <c r="F2" t="str">
        <f>_xlfn.XLOOKUP(TBL_USUARIOS[[#This Row],[ID_MASSA]],tbl_de_massas[id_massa],tbl_de_massas[nome_completo],"--",0,1)</f>
        <v>Test User</v>
      </c>
      <c r="G2" s="47">
        <f>_xlfn.XLOOKUP(TBL_USUARIOS[[#This Row],[ID_MASSA]],tbl_de_massas[id_massa],tbl_de_massas[saldo_conta],"--",0,1)</f>
        <v>4.2</v>
      </c>
      <c r="H2" t="str">
        <f>_xlfn.XLOOKUP(TBL_USUARIOS[[#This Row],[ID_MASSA]],tbl_de_massas[id_massa],tbl_de_massas[nome_completo],"--",0,1)</f>
        <v>Test User</v>
      </c>
    </row>
    <row r="3" spans="1:8" x14ac:dyDescent="0.25">
      <c r="A3" s="2" t="s">
        <v>2191</v>
      </c>
      <c r="B3" s="14" t="str">
        <f>_xlfn.XLOOKUP(TBL_USUARIOS[[#This Row],[ID_MASSA]],tbl_de_massas[id_massa],tbl_de_massas[cpf],"--",0,1)</f>
        <v>71003941242</v>
      </c>
      <c r="C3" t="s">
        <v>12</v>
      </c>
      <c r="D3" t="str">
        <f>_xlfn.XLOOKUP(TBL_USUARIOS[[#This Row],[ID_MASSA]],tbl_de_massas[id_massa],tbl_de_massas[nome_completo],"--",0,1)</f>
        <v>Dual Teste</v>
      </c>
      <c r="E3" t="str">
        <f>_xlfn.XLOOKUP(TBL_USUARIOS[[#This Row],[ID_MASSA]],tbl_de_massas[id_massa],tbl_de_massas[cartao_fisico_numero],"--",0,1)</f>
        <v>4576 7460 3577 0487</v>
      </c>
      <c r="F3" t="str">
        <f>_xlfn.XLOOKUP(TBL_USUARIOS[[#This Row],[ID_MASSA]],tbl_de_massas[id_massa],tbl_de_massas[nome_completo],"--",0,1)</f>
        <v>Dual Teste</v>
      </c>
      <c r="G3" s="47">
        <f>_xlfn.XLOOKUP(TBL_USUARIOS[[#This Row],[ID_MASSA]],tbl_de_massas[id_massa],tbl_de_massas[saldo_conta],"--",0,1)</f>
        <v>100</v>
      </c>
      <c r="H3" t="str">
        <f>_xlfn.XLOOKUP(TBL_USUARIOS[[#This Row],[ID_MASSA]],tbl_de_massas[id_massa],tbl_de_massas[nome_completo],"--",0,1)</f>
        <v>Dual Teste</v>
      </c>
    </row>
    <row r="4" spans="1:8" x14ac:dyDescent="0.25">
      <c r="A4" s="2" t="s">
        <v>5716</v>
      </c>
      <c r="B4" t="str">
        <f>_xlfn.XLOOKUP(TBL_USUARIOS[[#This Row],[ID_MASSA]],tbl_de_massas[id_massa],tbl_de_massas[cpf],"--",0,1)</f>
        <v>57458076798</v>
      </c>
      <c r="C4" t="s">
        <v>12</v>
      </c>
      <c r="D4" t="str">
        <f>_xlfn.XLOOKUP(TBL_USUARIOS[[#This Row],[ID_MASSA]],tbl_de_massas[id_massa],tbl_de_massas[nome_completo],"--",0,1)</f>
        <v>Guilherme Santos Costa</v>
      </c>
      <c r="E4" t="str">
        <f>_xlfn.XLOOKUP(TBL_USUARIOS[[#This Row],[ID_MASSA]],tbl_de_massas[id_massa],tbl_de_massas[cartao_fisico_numero],"--",0,1)</f>
        <v>4576 7460 3814 4706</v>
      </c>
      <c r="F4" t="str">
        <f>_xlfn.XLOOKUP(TBL_USUARIOS[[#This Row],[ID_MASSA]],tbl_de_massas[id_massa],tbl_de_massas[nome_completo],"--",0,1)</f>
        <v>Guilherme Santos Costa</v>
      </c>
      <c r="G4" s="47">
        <f>_xlfn.XLOOKUP(TBL_USUARIOS[[#This Row],[ID_MASSA]],tbl_de_massas[id_massa],tbl_de_massas[saldo_conta],"--",0,1)</f>
        <v>311.85000000000002</v>
      </c>
      <c r="H4" t="str">
        <f>_xlfn.XLOOKUP(TBL_USUARIOS[[#This Row],[ID_MASSA]],tbl_de_massas[id_massa],tbl_de_massas[nome_completo],"--",0,1)</f>
        <v>Guilherme Santos Costa</v>
      </c>
    </row>
    <row r="5" spans="1:8" x14ac:dyDescent="0.25">
      <c r="A5" s="2" t="s">
        <v>2188</v>
      </c>
      <c r="B5" s="14" t="str">
        <f>_xlfn.XLOOKUP(TBL_USUARIOS[[#This Row],[ID_MASSA]],tbl_de_massas[id_massa],tbl_de_massas[cpf],"--",0,1)</f>
        <v>27182818284</v>
      </c>
      <c r="C5" t="s">
        <v>12</v>
      </c>
      <c r="D5" t="str">
        <f>_xlfn.XLOOKUP(TBL_USUARIOS[[#This Row],[ID_MASSA]],tbl_de_massas[id_massa],tbl_de_massas[nome_completo],"--",0,1)</f>
        <v>Sonda Evento Bus</v>
      </c>
      <c r="E5" t="str">
        <f>_xlfn.XLOOKUP(TBL_USUARIOS[[#This Row],[ID_MASSA]],tbl_de_massas[id_massa],tbl_de_massas[cartao_fisico_numero],"--",0,1)</f>
        <v>6505 0666 7067 1211</v>
      </c>
      <c r="F5" t="str">
        <f>_xlfn.XLOOKUP(TBL_USUARIOS[[#This Row],[ID_MASSA]],tbl_de_massas[id_massa],tbl_de_massas[nome_completo],"--",0,1)</f>
        <v>Sonda Evento Bus</v>
      </c>
      <c r="G5" s="47">
        <f>_xlfn.XLOOKUP(TBL_USUARIOS[[#This Row],[ID_MASSA]],tbl_de_massas[id_massa],tbl_de_massas[saldo_conta],"--",0,1)</f>
        <v>500</v>
      </c>
      <c r="H5" t="str">
        <f>_xlfn.XLOOKUP(TBL_USUARIOS[[#This Row],[ID_MASSA]],tbl_de_massas[id_massa],tbl_de_massas[nome_completo],"--",0,1)</f>
        <v>Sonda Evento Bus</v>
      </c>
    </row>
    <row r="6" spans="1:8" x14ac:dyDescent="0.25">
      <c r="A6" s="2" t="s">
        <v>4656</v>
      </c>
      <c r="B6" t="str">
        <f>_xlfn.XLOOKUP(TBL_USUARIOS[[#This Row],[ID_MASSA]],tbl_de_massas[id_massa],tbl_de_massas[cpf],"--",0,1)</f>
        <v>91476150362</v>
      </c>
      <c r="C6" t="s">
        <v>12</v>
      </c>
      <c r="D6" t="str">
        <f>_xlfn.XLOOKUP(TBL_USUARIOS[[#This Row],[ID_MASSA]],tbl_de_massas[id_massa],tbl_de_massas[nome_completo],"--",0,1)</f>
        <v>Amanda Barros</v>
      </c>
      <c r="E6" t="str">
        <f>_xlfn.XLOOKUP(TBL_USUARIOS[[#This Row],[ID_MASSA]],tbl_de_massas[id_massa],tbl_de_massas[cartao_fisico_numero],"--",0,1)</f>
        <v>6505 0666 7040 8240</v>
      </c>
      <c r="F6" t="str">
        <f>_xlfn.XLOOKUP(TBL_USUARIOS[[#This Row],[ID_MASSA]],tbl_de_massas[id_massa],tbl_de_massas[nome_completo],"--",0,1)</f>
        <v>Amanda Barros</v>
      </c>
      <c r="G6" s="47">
        <f>_xlfn.XLOOKUP(TBL_USUARIOS[[#This Row],[ID_MASSA]],tbl_de_massas[id_massa],tbl_de_massas[saldo_conta],"--",0,1)</f>
        <v>521.95000000000005</v>
      </c>
      <c r="H6" t="str">
        <f>_xlfn.XLOOKUP(TBL_USUARIOS[[#This Row],[ID_MASSA]],tbl_de_massas[id_massa],tbl_de_massas[nome_completo],"--",0,1)</f>
        <v>Amanda Barros</v>
      </c>
    </row>
    <row r="7" spans="1:8" x14ac:dyDescent="0.25">
      <c r="A7" s="2" t="s">
        <v>6063</v>
      </c>
      <c r="B7" t="str">
        <f>_xlfn.XLOOKUP(TBL_USUARIOS[[#This Row],[ID_MASSA]],tbl_de_massas[id_massa],tbl_de_massas[cpf],"--",0,1)</f>
        <v>42134302860</v>
      </c>
      <c r="C7" t="s">
        <v>12</v>
      </c>
      <c r="D7" t="str">
        <f>_xlfn.XLOOKUP(TBL_USUARIOS[[#This Row],[ID_MASSA]],tbl_de_massas[id_massa],tbl_de_massas[nome_completo],"--",0,1)</f>
        <v>Carolina Teixeira Campos</v>
      </c>
      <c r="E7" t="str">
        <f>_xlfn.XLOOKUP(TBL_USUARIOS[[#This Row],[ID_MASSA]],tbl_de_massas[id_massa],tbl_de_massas[cartao_fisico_numero],"--",0,1)</f>
        <v>6505 0666 8596 9074</v>
      </c>
      <c r="F7" t="str">
        <f>_xlfn.XLOOKUP(TBL_USUARIOS[[#This Row],[ID_MASSA]],tbl_de_massas[id_massa],tbl_de_massas[nome_completo],"--",0,1)</f>
        <v>Carolina Teixeira Campos</v>
      </c>
      <c r="G7" s="47">
        <f>_xlfn.XLOOKUP(TBL_USUARIOS[[#This Row],[ID_MASSA]],tbl_de_massas[id_massa],tbl_de_massas[saldo_conta],"--",0,1)</f>
        <v>539.04</v>
      </c>
      <c r="H7" t="str">
        <f>_xlfn.XLOOKUP(TBL_USUARIOS[[#This Row],[ID_MASSA]],tbl_de_massas[id_massa],tbl_de_massas[nome_completo],"--",0,1)</f>
        <v>Carolina Teixeira Campos</v>
      </c>
    </row>
    <row r="8" spans="1:8" x14ac:dyDescent="0.25">
      <c r="A8" s="2" t="s">
        <v>5368</v>
      </c>
      <c r="B8" t="str">
        <f>_xlfn.XLOOKUP(TBL_USUARIOS[[#This Row],[ID_MASSA]],tbl_de_massas[id_massa],tbl_de_massas[cpf],"--",0,1)</f>
        <v>86787475527</v>
      </c>
      <c r="C8" t="s">
        <v>12</v>
      </c>
      <c r="D8" t="str">
        <f>_xlfn.XLOOKUP(TBL_USUARIOS[[#This Row],[ID_MASSA]],tbl_de_massas[id_massa],tbl_de_massas[nome_completo],"--",0,1)</f>
        <v>Camila Carvalho</v>
      </c>
      <c r="E8" t="str">
        <f>_xlfn.XLOOKUP(TBL_USUARIOS[[#This Row],[ID_MASSA]],tbl_de_massas[id_massa],tbl_de_massas[cartao_fisico_numero],"--",0,1)</f>
        <v>5442 7460 4949 4935</v>
      </c>
      <c r="F8" t="str">
        <f>_xlfn.XLOOKUP(TBL_USUARIOS[[#This Row],[ID_MASSA]],tbl_de_massas[id_massa],tbl_de_massas[nome_completo],"--",0,1)</f>
        <v>Camila Carvalho</v>
      </c>
      <c r="G8" s="47">
        <f>_xlfn.XLOOKUP(TBL_USUARIOS[[#This Row],[ID_MASSA]],tbl_de_massas[id_massa],tbl_de_massas[saldo_conta],"--",0,1)</f>
        <v>544.5</v>
      </c>
      <c r="H8" t="str">
        <f>_xlfn.XLOOKUP(TBL_USUARIOS[[#This Row],[ID_MASSA]],tbl_de_massas[id_massa],tbl_de_massas[nome_completo],"--",0,1)</f>
        <v>Camila Carvalho</v>
      </c>
    </row>
    <row r="9" spans="1:8" x14ac:dyDescent="0.25">
      <c r="A9" s="2" t="s">
        <v>2215</v>
      </c>
      <c r="B9" s="14" t="str">
        <f>_xlfn.XLOOKUP(TBL_USUARIOS[[#This Row],[ID_MASSA]],tbl_de_massas[id_massa],tbl_de_massas[cpf],"--",0,1)</f>
        <v>50058578501</v>
      </c>
      <c r="C9" t="s">
        <v>12</v>
      </c>
      <c r="D9" t="str">
        <f>_xlfn.XLOOKUP(TBL_USUARIOS[[#This Row],[ID_MASSA]],tbl_de_massas[id_massa],tbl_de_massas[nome_completo],"--",0,1)</f>
        <v>Minjun Kim</v>
      </c>
      <c r="E9" t="str">
        <f>_xlfn.XLOOKUP(TBL_USUARIOS[[#This Row],[ID_MASSA]],tbl_de_massas[id_massa],tbl_de_massas[cartao_fisico_numero],"--",0,1)</f>
        <v>6062 8200 3229 1653</v>
      </c>
      <c r="F9" t="str">
        <f>_xlfn.XLOOKUP(TBL_USUARIOS[[#This Row],[ID_MASSA]],tbl_de_massas[id_massa],tbl_de_massas[nome_completo],"--",0,1)</f>
        <v>Minjun Kim</v>
      </c>
      <c r="G9" s="47">
        <f>_xlfn.XLOOKUP(TBL_USUARIOS[[#This Row],[ID_MASSA]],tbl_de_massas[id_massa],tbl_de_massas[saldo_conta],"--",0,1)</f>
        <v>566.49</v>
      </c>
      <c r="H9" t="str">
        <f>_xlfn.XLOOKUP(TBL_USUARIOS[[#This Row],[ID_MASSA]],tbl_de_massas[id_massa],tbl_de_massas[nome_completo],"--",0,1)</f>
        <v>Minjun Kim</v>
      </c>
    </row>
    <row r="10" spans="1:8" x14ac:dyDescent="0.25">
      <c r="A10" s="2" t="s">
        <v>2437</v>
      </c>
      <c r="B10" s="14" t="str">
        <f>_xlfn.XLOOKUP(TBL_USUARIOS[[#This Row],[ID_MASSA]],tbl_de_massas[id_massa],tbl_de_massas[cpf],"--",0,1)</f>
        <v>59912891155</v>
      </c>
      <c r="C10" t="s">
        <v>12</v>
      </c>
      <c r="D10" t="str">
        <f>_xlfn.XLOOKUP(TBL_USUARIOS[[#This Row],[ID_MASSA]],tbl_de_massas[id_massa],tbl_de_massas[nome_completo],"--",0,1)</f>
        <v>Santiago Gomez</v>
      </c>
      <c r="E10" t="str">
        <f>_xlfn.XLOOKUP(TBL_USUARIOS[[#This Row],[ID_MASSA]],tbl_de_massas[id_massa],tbl_de_massas[cartao_fisico_numero],"--",0,1)</f>
        <v>6062 8200 6653 5701</v>
      </c>
      <c r="F10" t="str">
        <f>_xlfn.XLOOKUP(TBL_USUARIOS[[#This Row],[ID_MASSA]],tbl_de_massas[id_massa],tbl_de_massas[nome_completo],"--",0,1)</f>
        <v>Santiago Gomez</v>
      </c>
      <c r="G10" s="47">
        <f>_xlfn.XLOOKUP(TBL_USUARIOS[[#This Row],[ID_MASSA]],tbl_de_massas[id_massa],tbl_de_massas[saldo_conta],"--",0,1)</f>
        <v>567.29</v>
      </c>
      <c r="H10" t="str">
        <f>_xlfn.XLOOKUP(TBL_USUARIOS[[#This Row],[ID_MASSA]],tbl_de_massas[id_massa],tbl_de_massas[nome_completo],"--",0,1)</f>
        <v>Santiago Gomez</v>
      </c>
    </row>
    <row r="11" spans="1:8" x14ac:dyDescent="0.25">
      <c r="A11" s="2" t="s">
        <v>5914</v>
      </c>
      <c r="B11" t="str">
        <f>_xlfn.XLOOKUP(TBL_USUARIOS[[#This Row],[ID_MASSA]],tbl_de_massas[id_massa],tbl_de_massas[cpf],"--",0,1)</f>
        <v>45054771000</v>
      </c>
      <c r="C11" t="s">
        <v>12</v>
      </c>
      <c r="D11" t="str">
        <f>_xlfn.XLOOKUP(TBL_USUARIOS[[#This Row],[ID_MASSA]],tbl_de_massas[id_massa],tbl_de_massas[nome_completo],"--",0,1)</f>
        <v>Juliana Pereira Cavalcanti</v>
      </c>
      <c r="E11" t="str">
        <f>_xlfn.XLOOKUP(TBL_USUARIOS[[#This Row],[ID_MASSA]],tbl_de_massas[id_massa],tbl_de_massas[cartao_fisico_numero],"--",0,1)</f>
        <v/>
      </c>
      <c r="F11" t="str">
        <f>_xlfn.XLOOKUP(TBL_USUARIOS[[#This Row],[ID_MASSA]],tbl_de_massas[id_massa],tbl_de_massas[nome_completo],"--",0,1)</f>
        <v>Juliana Pereira Cavalcanti</v>
      </c>
      <c r="G11" s="47">
        <f>_xlfn.XLOOKUP(TBL_USUARIOS[[#This Row],[ID_MASSA]],tbl_de_massas[id_massa],tbl_de_massas[saldo_conta],"--",0,1)</f>
        <v>569.28</v>
      </c>
      <c r="H11" t="str">
        <f>_xlfn.XLOOKUP(TBL_USUARIOS[[#This Row],[ID_MASSA]],tbl_de_massas[id_massa],tbl_de_massas[nome_completo],"--",0,1)</f>
        <v>Juliana Pereira Cavalcanti</v>
      </c>
    </row>
    <row r="12" spans="1:8" x14ac:dyDescent="0.25">
      <c r="A12" s="2" t="s">
        <v>4028</v>
      </c>
      <c r="B12" t="str">
        <f>_xlfn.XLOOKUP(TBL_USUARIOS[[#This Row],[ID_MASSA]],tbl_de_massas[id_massa],tbl_de_massas[cpf],"--",0,1)</f>
        <v>77762889426</v>
      </c>
      <c r="C12" t="s">
        <v>12</v>
      </c>
      <c r="D12" t="str">
        <f>_xlfn.XLOOKUP(TBL_USUARIOS[[#This Row],[ID_MASSA]],tbl_de_massas[id_massa],tbl_de_massas[nome_completo],"--",0,1)</f>
        <v>Bruno Moura Cardoso</v>
      </c>
      <c r="E12" t="str">
        <f>_xlfn.XLOOKUP(TBL_USUARIOS[[#This Row],[ID_MASSA]],tbl_de_massas[id_massa],tbl_de_massas[cartao_fisico_numero],"--",0,1)</f>
        <v>3782 711684 7069</v>
      </c>
      <c r="F12" t="str">
        <f>_xlfn.XLOOKUP(TBL_USUARIOS[[#This Row],[ID_MASSA]],tbl_de_massas[id_massa],tbl_de_massas[nome_completo],"--",0,1)</f>
        <v>Bruno Moura Cardoso</v>
      </c>
      <c r="G12" s="47">
        <f>_xlfn.XLOOKUP(TBL_USUARIOS[[#This Row],[ID_MASSA]],tbl_de_massas[id_massa],tbl_de_massas[saldo_conta],"--",0,1)</f>
        <v>571.80999999999995</v>
      </c>
      <c r="H12" t="str">
        <f>_xlfn.XLOOKUP(TBL_USUARIOS[[#This Row],[ID_MASSA]],tbl_de_massas[id_massa],tbl_de_massas[nome_completo],"--",0,1)</f>
        <v>Bruno Moura Cardoso</v>
      </c>
    </row>
    <row r="13" spans="1:8" x14ac:dyDescent="0.25">
      <c r="A13" s="2" t="s">
        <v>4610</v>
      </c>
      <c r="B13" t="str">
        <f>_xlfn.XLOOKUP(TBL_USUARIOS[[#This Row],[ID_MASSA]],tbl_de_massas[id_massa],tbl_de_massas[cpf],"--",0,1)</f>
        <v>28376837605</v>
      </c>
      <c r="C13" t="s">
        <v>12</v>
      </c>
      <c r="D13" t="str">
        <f>_xlfn.XLOOKUP(TBL_USUARIOS[[#This Row],[ID_MASSA]],tbl_de_massas[id_massa],tbl_de_massas[nome_completo],"--",0,1)</f>
        <v>Carolina Teixeira Freitas</v>
      </c>
      <c r="E13" t="str">
        <f>_xlfn.XLOOKUP(TBL_USUARIOS[[#This Row],[ID_MASSA]],tbl_de_massas[id_massa],tbl_de_massas[cartao_fisico_numero],"--",0,1)</f>
        <v/>
      </c>
      <c r="F13" t="str">
        <f>_xlfn.XLOOKUP(TBL_USUARIOS[[#This Row],[ID_MASSA]],tbl_de_massas[id_massa],tbl_de_massas[nome_completo],"--",0,1)</f>
        <v>Carolina Teixeira Freitas</v>
      </c>
      <c r="G13" s="47">
        <f>_xlfn.XLOOKUP(TBL_USUARIOS[[#This Row],[ID_MASSA]],tbl_de_massas[id_massa],tbl_de_massas[saldo_conta],"--",0,1)</f>
        <v>572.65</v>
      </c>
      <c r="H13" t="str">
        <f>_xlfn.XLOOKUP(TBL_USUARIOS[[#This Row],[ID_MASSA]],tbl_de_massas[id_massa],tbl_de_massas[nome_completo],"--",0,1)</f>
        <v>Carolina Teixeira Freitas</v>
      </c>
    </row>
    <row r="14" spans="1:8" x14ac:dyDescent="0.25">
      <c r="A14" s="2" t="s">
        <v>6693</v>
      </c>
      <c r="B14" t="str">
        <f>_xlfn.XLOOKUP(TBL_USUARIOS[[#This Row],[ID_MASSA]],tbl_de_massas[id_massa],tbl_de_massas[cpf],"--",0,1)</f>
        <v>50285652605</v>
      </c>
      <c r="C14" t="s">
        <v>12</v>
      </c>
      <c r="D14" t="str">
        <f>_xlfn.XLOOKUP(TBL_USUARIOS[[#This Row],[ID_MASSA]],tbl_de_massas[id_massa],tbl_de_massas[nome_completo],"--",0,1)</f>
        <v>Seojun Kang</v>
      </c>
      <c r="E14" t="str">
        <f>_xlfn.XLOOKUP(TBL_USUARIOS[[#This Row],[ID_MASSA]],tbl_de_massas[id_massa],tbl_de_massas[cartao_fisico_numero],"--",0,1)</f>
        <v>5442 7460 8801 1977</v>
      </c>
      <c r="F14" t="str">
        <f>_xlfn.XLOOKUP(TBL_USUARIOS[[#This Row],[ID_MASSA]],tbl_de_massas[id_massa],tbl_de_massas[nome_completo],"--",0,1)</f>
        <v>Seojun Kang</v>
      </c>
      <c r="G14" s="47">
        <f>_xlfn.XLOOKUP(TBL_USUARIOS[[#This Row],[ID_MASSA]],tbl_de_massas[id_massa],tbl_de_massas[saldo_conta],"--",0,1)</f>
        <v>586.48</v>
      </c>
      <c r="H14" t="str">
        <f>_xlfn.XLOOKUP(TBL_USUARIOS[[#This Row],[ID_MASSA]],tbl_de_massas[id_massa],tbl_de_massas[nome_completo],"--",0,1)</f>
        <v>Seojun Kang</v>
      </c>
    </row>
    <row r="15" spans="1:8" x14ac:dyDescent="0.25">
      <c r="A15" s="2" t="s">
        <v>5347</v>
      </c>
      <c r="B15" t="str">
        <f>_xlfn.XLOOKUP(TBL_USUARIOS[[#This Row],[ID_MASSA]],tbl_de_massas[id_massa],tbl_de_massas[cpf],"--",0,1)</f>
        <v>12956513435</v>
      </c>
      <c r="C15" t="s">
        <v>12</v>
      </c>
      <c r="D15" t="str">
        <f>_xlfn.XLOOKUP(TBL_USUARIOS[[#This Row],[ID_MASSA]],tbl_de_massas[id_massa],tbl_de_massas[nome_completo],"--",0,1)</f>
        <v>Diego Souza Teixeira</v>
      </c>
      <c r="E15" t="str">
        <f>_xlfn.XLOOKUP(TBL_USUARIOS[[#This Row],[ID_MASSA]],tbl_de_massas[id_massa],tbl_de_massas[cartao_fisico_numero],"--",0,1)</f>
        <v>6062 8200 5989 8188</v>
      </c>
      <c r="F15" t="str">
        <f>_xlfn.XLOOKUP(TBL_USUARIOS[[#This Row],[ID_MASSA]],tbl_de_massas[id_massa],tbl_de_massas[nome_completo],"--",0,1)</f>
        <v>Diego Souza Teixeira</v>
      </c>
      <c r="G15" s="47">
        <f>_xlfn.XLOOKUP(TBL_USUARIOS[[#This Row],[ID_MASSA]],tbl_de_massas[id_massa],tbl_de_massas[saldo_conta],"--",0,1)</f>
        <v>594.73</v>
      </c>
      <c r="H15" t="str">
        <f>_xlfn.XLOOKUP(TBL_USUARIOS[[#This Row],[ID_MASSA]],tbl_de_massas[id_massa],tbl_de_massas[nome_completo],"--",0,1)</f>
        <v>Diego Souza Teixeira</v>
      </c>
    </row>
    <row r="16" spans="1:8" x14ac:dyDescent="0.25">
      <c r="A16" s="2" t="s">
        <v>3346</v>
      </c>
      <c r="B16" t="str">
        <f>_xlfn.XLOOKUP(TBL_USUARIOS[[#This Row],[ID_MASSA]],tbl_de_massas[id_massa],tbl_de_massas[cpf],"--",0,1)</f>
        <v>26383769650</v>
      </c>
      <c r="C16" t="s">
        <v>12</v>
      </c>
      <c r="D16" t="str">
        <f>_xlfn.XLOOKUP(TBL_USUARIOS[[#This Row],[ID_MASSA]],tbl_de_massas[id_massa],tbl_de_massas[nome_completo],"--",0,1)</f>
        <v>Vinicius Moura Ribeiro</v>
      </c>
      <c r="E16" t="str">
        <f>_xlfn.XLOOKUP(TBL_USUARIOS[[#This Row],[ID_MASSA]],tbl_de_massas[id_massa],tbl_de_massas[cartao_fisico_numero],"--",0,1)</f>
        <v/>
      </c>
      <c r="F16" t="str">
        <f>_xlfn.XLOOKUP(TBL_USUARIOS[[#This Row],[ID_MASSA]],tbl_de_massas[id_massa],tbl_de_massas[nome_completo],"--",0,1)</f>
        <v>Vinicius Moura Ribeiro</v>
      </c>
      <c r="G16" s="47">
        <f>_xlfn.XLOOKUP(TBL_USUARIOS[[#This Row],[ID_MASSA]],tbl_de_massas[id_massa],tbl_de_massas[saldo_conta],"--",0,1)</f>
        <v>600.05999999999995</v>
      </c>
      <c r="H16" t="str">
        <f>_xlfn.XLOOKUP(TBL_USUARIOS[[#This Row],[ID_MASSA]],tbl_de_massas[id_massa],tbl_de_massas[nome_completo],"--",0,1)</f>
        <v>Vinicius Moura Ribeiro</v>
      </c>
    </row>
    <row r="17" spans="1:8" x14ac:dyDescent="0.25">
      <c r="A17" s="2" t="s">
        <v>2140</v>
      </c>
      <c r="B17" s="14" t="str">
        <f>_xlfn.XLOOKUP(TBL_USUARIOS[[#This Row],[ID_MASSA]],tbl_de_massas[id_massa],tbl_de_massas[cpf],"--",0,1)</f>
        <v>89331225245</v>
      </c>
      <c r="C17" t="s">
        <v>12</v>
      </c>
      <c r="D17" t="str">
        <f>_xlfn.XLOOKUP(TBL_USUARIOS[[#This Row],[ID_MASSA]],tbl_de_massas[id_massa],tbl_de_massas[nome_completo],"--",0,1)</f>
        <v>Aoi Yamamoto</v>
      </c>
      <c r="E17" t="str">
        <f>_xlfn.XLOOKUP(TBL_USUARIOS[[#This Row],[ID_MASSA]],tbl_de_massas[id_massa],tbl_de_massas[cartao_fisico_numero],"--",0,1)</f>
        <v>6505 0666 4055 1682</v>
      </c>
      <c r="F17" t="str">
        <f>_xlfn.XLOOKUP(TBL_USUARIOS[[#This Row],[ID_MASSA]],tbl_de_massas[id_massa],tbl_de_massas[nome_completo],"--",0,1)</f>
        <v>Aoi Yamamoto</v>
      </c>
      <c r="G17" s="47">
        <f>_xlfn.XLOOKUP(TBL_USUARIOS[[#This Row],[ID_MASSA]],tbl_de_massas[id_massa],tbl_de_massas[saldo_conta],"--",0,1)</f>
        <v>639.69000000000005</v>
      </c>
      <c r="H17" t="str">
        <f>_xlfn.XLOOKUP(TBL_USUARIOS[[#This Row],[ID_MASSA]],tbl_de_massas[id_massa],tbl_de_massas[nome_completo],"--",0,1)</f>
        <v>Aoi Yamamoto</v>
      </c>
    </row>
    <row r="18" spans="1:8" x14ac:dyDescent="0.25">
      <c r="A18" s="2" t="s">
        <v>3495</v>
      </c>
      <c r="B18" t="str">
        <f>_xlfn.XLOOKUP(TBL_USUARIOS[[#This Row],[ID_MASSA]],tbl_de_massas[id_massa],tbl_de_massas[cpf],"--",0,1)</f>
        <v>94603422644</v>
      </c>
      <c r="C18" t="s">
        <v>12</v>
      </c>
      <c r="D18" t="str">
        <f>_xlfn.XLOOKUP(TBL_USUARIOS[[#This Row],[ID_MASSA]],tbl_de_massas[id_massa],tbl_de_massas[nome_completo],"--",0,1)</f>
        <v>Isabela Souza Vieira</v>
      </c>
      <c r="E18" t="str">
        <f>_xlfn.XLOOKUP(TBL_USUARIOS[[#This Row],[ID_MASSA]],tbl_de_massas[id_massa],tbl_de_massas[cartao_fisico_numero],"--",0,1)</f>
        <v>6062 8200 4115 8825</v>
      </c>
      <c r="F18" t="str">
        <f>_xlfn.XLOOKUP(TBL_USUARIOS[[#This Row],[ID_MASSA]],tbl_de_massas[id_massa],tbl_de_massas[nome_completo],"--",0,1)</f>
        <v>Isabela Souza Vieira</v>
      </c>
      <c r="G18" s="47">
        <f>_xlfn.XLOOKUP(TBL_USUARIOS[[#This Row],[ID_MASSA]],tbl_de_massas[id_massa],tbl_de_massas[saldo_conta],"--",0,1)</f>
        <v>641.58000000000004</v>
      </c>
      <c r="H18" t="str">
        <f>_xlfn.XLOOKUP(TBL_USUARIOS[[#This Row],[ID_MASSA]],tbl_de_massas[id_massa],tbl_de_massas[nome_completo],"--",0,1)</f>
        <v>Isabela Souza Vieira</v>
      </c>
    </row>
    <row r="19" spans="1:8" x14ac:dyDescent="0.25">
      <c r="A19" s="2" t="s">
        <v>3815</v>
      </c>
      <c r="B19" t="str">
        <f>_xlfn.XLOOKUP(TBL_USUARIOS[[#This Row],[ID_MASSA]],tbl_de_massas[id_massa],tbl_de_massas[cpf],"--",0,1)</f>
        <v>30369578040</v>
      </c>
      <c r="C19" t="s">
        <v>12</v>
      </c>
      <c r="D19" t="str">
        <f>_xlfn.XLOOKUP(TBL_USUARIOS[[#This Row],[ID_MASSA]],tbl_de_massas[id_massa],tbl_de_massas[nome_completo],"--",0,1)</f>
        <v>Juliana Cavalcanti</v>
      </c>
      <c r="E19" t="str">
        <f>_xlfn.XLOOKUP(TBL_USUARIOS[[#This Row],[ID_MASSA]],tbl_de_massas[id_massa],tbl_de_massas[cartao_fisico_numero],"--",0,1)</f>
        <v>6505 0666 3725 8391</v>
      </c>
      <c r="F19" t="str">
        <f>_xlfn.XLOOKUP(TBL_USUARIOS[[#This Row],[ID_MASSA]],tbl_de_massas[id_massa],tbl_de_massas[nome_completo],"--",0,1)</f>
        <v>Juliana Cavalcanti</v>
      </c>
      <c r="G19" s="47">
        <f>_xlfn.XLOOKUP(TBL_USUARIOS[[#This Row],[ID_MASSA]],tbl_de_massas[id_massa],tbl_de_massas[saldo_conta],"--",0,1)</f>
        <v>655.28</v>
      </c>
      <c r="H19" t="str">
        <f>_xlfn.XLOOKUP(TBL_USUARIOS[[#This Row],[ID_MASSA]],tbl_de_massas[id_massa],tbl_de_massas[nome_completo],"--",0,1)</f>
        <v>Juliana Cavalcanti</v>
      </c>
    </row>
    <row r="20" spans="1:8" x14ac:dyDescent="0.25">
      <c r="A20" s="2" t="s">
        <v>3544</v>
      </c>
      <c r="B20" t="str">
        <f>_xlfn.XLOOKUP(TBL_USUARIOS[[#This Row],[ID_MASSA]],tbl_de_massas[id_massa],tbl_de_massas[cpf],"--",0,1)</f>
        <v>40148252990</v>
      </c>
      <c r="C20" t="s">
        <v>12</v>
      </c>
      <c r="D20" t="str">
        <f>_xlfn.XLOOKUP(TBL_USUARIOS[[#This Row],[ID_MASSA]],tbl_de_massas[id_massa],tbl_de_massas[nome_completo],"--",0,1)</f>
        <v>Juliana Teixeira</v>
      </c>
      <c r="E20" t="str">
        <f>_xlfn.XLOOKUP(TBL_USUARIOS[[#This Row],[ID_MASSA]],tbl_de_massas[id_massa],tbl_de_massas[cartao_fisico_numero],"--",0,1)</f>
        <v>6062 8200 8781 2402</v>
      </c>
      <c r="F20" t="str">
        <f>_xlfn.XLOOKUP(TBL_USUARIOS[[#This Row],[ID_MASSA]],tbl_de_massas[id_massa],tbl_de_massas[nome_completo],"--",0,1)</f>
        <v>Juliana Teixeira</v>
      </c>
      <c r="G20" s="47">
        <f>_xlfn.XLOOKUP(TBL_USUARIOS[[#This Row],[ID_MASSA]],tbl_de_massas[id_massa],tbl_de_massas[saldo_conta],"--",0,1)</f>
        <v>658.16</v>
      </c>
      <c r="H20" t="str">
        <f>_xlfn.XLOOKUP(TBL_USUARIOS[[#This Row],[ID_MASSA]],tbl_de_massas[id_massa],tbl_de_massas[nome_completo],"--",0,1)</f>
        <v>Juliana Teixeira</v>
      </c>
    </row>
    <row r="21" spans="1:8" x14ac:dyDescent="0.25">
      <c r="A21" s="2" t="s">
        <v>5312</v>
      </c>
      <c r="B21" t="str">
        <f>_xlfn.XLOOKUP(TBL_USUARIOS[[#This Row],[ID_MASSA]],tbl_de_massas[id_massa],tbl_de_massas[cpf],"--",0,1)</f>
        <v>82595103750</v>
      </c>
      <c r="C21" t="s">
        <v>12</v>
      </c>
      <c r="D21" t="str">
        <f>_xlfn.XLOOKUP(TBL_USUARIOS[[#This Row],[ID_MASSA]],tbl_de_massas[id_massa],tbl_de_massas[nome_completo],"--",0,1)</f>
        <v>Eduardo Fernandes Mendes</v>
      </c>
      <c r="E21" t="str">
        <f>_xlfn.XLOOKUP(TBL_USUARIOS[[#This Row],[ID_MASSA]],tbl_de_massas[id_massa],tbl_de_massas[cartao_fisico_numero],"--",0,1)</f>
        <v>3782 802014 1065</v>
      </c>
      <c r="F21" t="str">
        <f>_xlfn.XLOOKUP(TBL_USUARIOS[[#This Row],[ID_MASSA]],tbl_de_massas[id_massa],tbl_de_massas[nome_completo],"--",0,1)</f>
        <v>Eduardo Fernandes Mendes</v>
      </c>
      <c r="G21" s="47">
        <f>_xlfn.XLOOKUP(TBL_USUARIOS[[#This Row],[ID_MASSA]],tbl_de_massas[id_massa],tbl_de_massas[saldo_conta],"--",0,1)</f>
        <v>666.54</v>
      </c>
      <c r="H21" t="str">
        <f>_xlfn.XLOOKUP(TBL_USUARIOS[[#This Row],[ID_MASSA]],tbl_de_massas[id_massa],tbl_de_massas[nome_completo],"--",0,1)</f>
        <v>Eduardo Fernandes Mendes</v>
      </c>
    </row>
    <row r="22" spans="1:8" x14ac:dyDescent="0.25">
      <c r="A22" s="2" t="s">
        <v>2145</v>
      </c>
      <c r="B22" s="14" t="str">
        <f>_xlfn.XLOOKUP(TBL_USUARIOS[[#This Row],[ID_MASSA]],tbl_de_massas[id_massa],tbl_de_massas[cpf],"--",0,1)</f>
        <v>37107075012</v>
      </c>
      <c r="C22" t="s">
        <v>12</v>
      </c>
      <c r="D22" t="str">
        <f>_xlfn.XLOOKUP(TBL_USUARIOS[[#This Row],[ID_MASSA]],tbl_de_massas[id_massa],tbl_de_massas[nome_completo],"--",0,1)</f>
        <v>Minjun Kim</v>
      </c>
      <c r="E22" t="str">
        <f>_xlfn.XLOOKUP(TBL_USUARIOS[[#This Row],[ID_MASSA]],tbl_de_massas[id_massa],tbl_de_massas[cartao_fisico_numero],"--",0,1)</f>
        <v>6505 0666 2639 6273</v>
      </c>
      <c r="F22" t="str">
        <f>_xlfn.XLOOKUP(TBL_USUARIOS[[#This Row],[ID_MASSA]],tbl_de_massas[id_massa],tbl_de_massas[nome_completo],"--",0,1)</f>
        <v>Minjun Kim</v>
      </c>
      <c r="G22" s="47">
        <f>_xlfn.XLOOKUP(TBL_USUARIOS[[#This Row],[ID_MASSA]],tbl_de_massas[id_massa],tbl_de_massas[saldo_conta],"--",0,1)</f>
        <v>684.62</v>
      </c>
      <c r="H22" t="str">
        <f>_xlfn.XLOOKUP(TBL_USUARIOS[[#This Row],[ID_MASSA]],tbl_de_massas[id_massa],tbl_de_massas[nome_completo],"--",0,1)</f>
        <v>Minjun Kim</v>
      </c>
    </row>
    <row r="23" spans="1:8" x14ac:dyDescent="0.25">
      <c r="A23" s="2" t="s">
        <v>4241</v>
      </c>
      <c r="B23" t="str">
        <f>_xlfn.XLOOKUP(TBL_USUARIOS[[#This Row],[ID_MASSA]],tbl_de_massas[id_massa],tbl_de_massas[cpf],"--",0,1)</f>
        <v>54110995957</v>
      </c>
      <c r="C23" t="s">
        <v>12</v>
      </c>
      <c r="D23" t="str">
        <f>_xlfn.XLOOKUP(TBL_USUARIOS[[#This Row],[ID_MASSA]],tbl_de_massas[id_massa],tbl_de_massas[nome_completo],"--",0,1)</f>
        <v>Carolina Pinto Almeida</v>
      </c>
      <c r="E23" t="str">
        <f>_xlfn.XLOOKUP(TBL_USUARIOS[[#This Row],[ID_MASSA]],tbl_de_massas[id_massa],tbl_de_massas[cartao_fisico_numero],"--",0,1)</f>
        <v/>
      </c>
      <c r="F23" t="str">
        <f>_xlfn.XLOOKUP(TBL_USUARIOS[[#This Row],[ID_MASSA]],tbl_de_massas[id_massa],tbl_de_massas[nome_completo],"--",0,1)</f>
        <v>Carolina Pinto Almeida</v>
      </c>
      <c r="G23" s="47">
        <f>_xlfn.XLOOKUP(TBL_USUARIOS[[#This Row],[ID_MASSA]],tbl_de_massas[id_massa],tbl_de_massas[saldo_conta],"--",0,1)</f>
        <v>688.59</v>
      </c>
      <c r="H23" t="str">
        <f>_xlfn.XLOOKUP(TBL_USUARIOS[[#This Row],[ID_MASSA]],tbl_de_massas[id_massa],tbl_de_massas[nome_completo],"--",0,1)</f>
        <v>Carolina Pinto Almeida</v>
      </c>
    </row>
    <row r="24" spans="1:8" x14ac:dyDescent="0.25">
      <c r="A24" s="2" t="s">
        <v>5778</v>
      </c>
      <c r="B24" t="str">
        <f>_xlfn.XLOOKUP(TBL_USUARIOS[[#This Row],[ID_MASSA]],tbl_de_massas[id_massa],tbl_de_massas[cpf],"--",0,1)</f>
        <v>29341012902</v>
      </c>
      <c r="C24" t="s">
        <v>12</v>
      </c>
      <c r="D24" t="str">
        <f>_xlfn.XLOOKUP(TBL_USUARIOS[[#This Row],[ID_MASSA]],tbl_de_massas[id_massa],tbl_de_massas[nome_completo],"--",0,1)</f>
        <v>Marcelo Lima</v>
      </c>
      <c r="E24" t="str">
        <f>_xlfn.XLOOKUP(TBL_USUARIOS[[#This Row],[ID_MASSA]],tbl_de_massas[id_massa],tbl_de_massas[cartao_fisico_numero],"--",0,1)</f>
        <v/>
      </c>
      <c r="F24" t="str">
        <f>_xlfn.XLOOKUP(TBL_USUARIOS[[#This Row],[ID_MASSA]],tbl_de_massas[id_massa],tbl_de_massas[nome_completo],"--",0,1)</f>
        <v>Marcelo Lima</v>
      </c>
      <c r="G24" s="47">
        <f>_xlfn.XLOOKUP(TBL_USUARIOS[[#This Row],[ID_MASSA]],tbl_de_massas[id_massa],tbl_de_massas[saldo_conta],"--",0,1)</f>
        <v>691.67</v>
      </c>
      <c r="H24" t="str">
        <f>_xlfn.XLOOKUP(TBL_USUARIOS[[#This Row],[ID_MASSA]],tbl_de_massas[id_massa],tbl_de_massas[nome_completo],"--",0,1)</f>
        <v>Marcelo Lima</v>
      </c>
    </row>
    <row r="25" spans="1:8" x14ac:dyDescent="0.25">
      <c r="A25" s="2" t="s">
        <v>5855</v>
      </c>
      <c r="B25" t="str">
        <f>_xlfn.XLOOKUP(TBL_USUARIOS[[#This Row],[ID_MASSA]],tbl_de_massas[id_massa],tbl_de_massas[cpf],"--",0,1)</f>
        <v>89758146106</v>
      </c>
      <c r="C25" t="s">
        <v>12</v>
      </c>
      <c r="D25" t="str">
        <f>_xlfn.XLOOKUP(TBL_USUARIOS[[#This Row],[ID_MASSA]],tbl_de_massas[id_massa],tbl_de_massas[nome_completo],"--",0,1)</f>
        <v>Bianca Borges</v>
      </c>
      <c r="E25" t="str">
        <f>_xlfn.XLOOKUP(TBL_USUARIOS[[#This Row],[ID_MASSA]],tbl_de_massas[id_massa],tbl_de_massas[cartao_fisico_numero],"--",0,1)</f>
        <v/>
      </c>
      <c r="F25" t="str">
        <f>_xlfn.XLOOKUP(TBL_USUARIOS[[#This Row],[ID_MASSA]],tbl_de_massas[id_massa],tbl_de_massas[nome_completo],"--",0,1)</f>
        <v>Bianca Borges</v>
      </c>
      <c r="G25" s="47">
        <f>_xlfn.XLOOKUP(TBL_USUARIOS[[#This Row],[ID_MASSA]],tbl_de_massas[id_massa],tbl_de_massas[saldo_conta],"--",0,1)</f>
        <v>708.97</v>
      </c>
      <c r="H25" t="str">
        <f>_xlfn.XLOOKUP(TBL_USUARIOS[[#This Row],[ID_MASSA]],tbl_de_massas[id_massa],tbl_de_massas[nome_completo],"--",0,1)</f>
        <v>Bianca Borges</v>
      </c>
    </row>
    <row r="26" spans="1:8" x14ac:dyDescent="0.25">
      <c r="A26" s="2" t="s">
        <v>2505</v>
      </c>
      <c r="B26" s="14" t="str">
        <f>_xlfn.XLOOKUP(TBL_USUARIOS[[#This Row],[ID_MASSA]],tbl_de_massas[id_massa],tbl_de_massas[cpf],"--",0,1)</f>
        <v>64896650930</v>
      </c>
      <c r="C26" t="s">
        <v>12</v>
      </c>
      <c r="D26" t="str">
        <f>_xlfn.XLOOKUP(TBL_USUARIOS[[#This Row],[ID_MASSA]],tbl_de_massas[id_massa],tbl_de_massas[nome_completo],"--",0,1)</f>
        <v>Ming Zhang</v>
      </c>
      <c r="E26" t="str">
        <f>_xlfn.XLOOKUP(TBL_USUARIOS[[#This Row],[ID_MASSA]],tbl_de_massas[id_massa],tbl_de_massas[cartao_fisico_numero],"--",0,1)</f>
        <v>4576 7460 8061 6781</v>
      </c>
      <c r="F26" t="str">
        <f>_xlfn.XLOOKUP(TBL_USUARIOS[[#This Row],[ID_MASSA]],tbl_de_massas[id_massa],tbl_de_massas[nome_completo],"--",0,1)</f>
        <v>Ming Zhang</v>
      </c>
      <c r="G26" s="47">
        <f>_xlfn.XLOOKUP(TBL_USUARIOS[[#This Row],[ID_MASSA]],tbl_de_massas[id_massa],tbl_de_massas[saldo_conta],"--",0,1)</f>
        <v>724.44</v>
      </c>
      <c r="H26" t="str">
        <f>_xlfn.XLOOKUP(TBL_USUARIOS[[#This Row],[ID_MASSA]],tbl_de_massas[id_massa],tbl_de_massas[nome_completo],"--",0,1)</f>
        <v>Ming Zhang</v>
      </c>
    </row>
    <row r="27" spans="1:8" x14ac:dyDescent="0.25">
      <c r="A27" s="2" t="s">
        <v>4909</v>
      </c>
      <c r="B27" t="str">
        <f>_xlfn.XLOOKUP(TBL_USUARIOS[[#This Row],[ID_MASSA]],tbl_de_massas[id_massa],tbl_de_massas[cpf],"--",0,1)</f>
        <v>66449756071</v>
      </c>
      <c r="C27" t="s">
        <v>12</v>
      </c>
      <c r="D27" t="str">
        <f>_xlfn.XLOOKUP(TBL_USUARIOS[[#This Row],[ID_MASSA]],tbl_de_massas[id_massa],tbl_de_massas[nome_completo],"--",0,1)</f>
        <v>Carolina Nunes Lima</v>
      </c>
      <c r="E27" t="str">
        <f>_xlfn.XLOOKUP(TBL_USUARIOS[[#This Row],[ID_MASSA]],tbl_de_massas[id_massa],tbl_de_massas[cartao_fisico_numero],"--",0,1)</f>
        <v>6062 8200 8532 5004</v>
      </c>
      <c r="F27" t="str">
        <f>_xlfn.XLOOKUP(TBL_USUARIOS[[#This Row],[ID_MASSA]],tbl_de_massas[id_massa],tbl_de_massas[nome_completo],"--",0,1)</f>
        <v>Carolina Nunes Lima</v>
      </c>
      <c r="G27" s="47">
        <f>_xlfn.XLOOKUP(TBL_USUARIOS[[#This Row],[ID_MASSA]],tbl_de_massas[id_massa],tbl_de_massas[saldo_conta],"--",0,1)</f>
        <v>731.31</v>
      </c>
      <c r="H27" t="str">
        <f>_xlfn.XLOOKUP(TBL_USUARIOS[[#This Row],[ID_MASSA]],tbl_de_massas[id_massa],tbl_de_massas[nome_completo],"--",0,1)</f>
        <v>Carolina Nunes Lima</v>
      </c>
    </row>
    <row r="28" spans="1:8" x14ac:dyDescent="0.25">
      <c r="A28" s="2" t="s">
        <v>2189</v>
      </c>
      <c r="B28" s="14" t="str">
        <f>_xlfn.XLOOKUP(TBL_USUARIOS[[#This Row],[ID_MASSA]],tbl_de_massas[id_massa],tbl_de_massas[cpf],"--",0,1)</f>
        <v>16180339887</v>
      </c>
      <c r="C28" t="s">
        <v>12</v>
      </c>
      <c r="D28" t="str">
        <f>_xlfn.XLOOKUP(TBL_USUARIOS[[#This Row],[ID_MASSA]],tbl_de_massas[id_massa],tbl_de_massas[nome_completo],"--",0,1)</f>
        <v>Solda Final Teste</v>
      </c>
      <c r="E28" t="str">
        <f>_xlfn.XLOOKUP(TBL_USUARIOS[[#This Row],[ID_MASSA]],tbl_de_massas[id_massa],tbl_de_massas[cartao_fisico_numero],"--",0,1)</f>
        <v>3782 971602 1482</v>
      </c>
      <c r="F28" t="str">
        <f>_xlfn.XLOOKUP(TBL_USUARIOS[[#This Row],[ID_MASSA]],tbl_de_massas[id_massa],tbl_de_massas[nome_completo],"--",0,1)</f>
        <v>Solda Final Teste</v>
      </c>
      <c r="G28" s="47">
        <f>_xlfn.XLOOKUP(TBL_USUARIOS[[#This Row],[ID_MASSA]],tbl_de_massas[id_massa],tbl_de_massas[saldo_conta],"--",0,1)</f>
        <v>750</v>
      </c>
      <c r="H28" t="str">
        <f>_xlfn.XLOOKUP(TBL_USUARIOS[[#This Row],[ID_MASSA]],tbl_de_massas[id_massa],tbl_de_massas[nome_completo],"--",0,1)</f>
        <v>Solda Final Teste</v>
      </c>
    </row>
    <row r="29" spans="1:8" x14ac:dyDescent="0.25">
      <c r="A29" s="2" t="s">
        <v>5859</v>
      </c>
      <c r="B29" t="str">
        <f>_xlfn.XLOOKUP(TBL_USUARIOS[[#This Row],[ID_MASSA]],tbl_de_massas[id_massa],tbl_de_massas[cpf],"--",0,1)</f>
        <v>60462218546</v>
      </c>
      <c r="C29" t="s">
        <v>12</v>
      </c>
      <c r="D29" t="str">
        <f>_xlfn.XLOOKUP(TBL_USUARIOS[[#This Row],[ID_MASSA]],tbl_de_massas[id_massa],tbl_de_massas[nome_completo],"--",0,1)</f>
        <v>Guilherme Silva</v>
      </c>
      <c r="E29" t="str">
        <f>_xlfn.XLOOKUP(TBL_USUARIOS[[#This Row],[ID_MASSA]],tbl_de_massas[id_massa],tbl_de_massas[cartao_fisico_numero],"--",0,1)</f>
        <v>5442 7460 8805 5098</v>
      </c>
      <c r="F29" t="str">
        <f>_xlfn.XLOOKUP(TBL_USUARIOS[[#This Row],[ID_MASSA]],tbl_de_massas[id_massa],tbl_de_massas[nome_completo],"--",0,1)</f>
        <v>Guilherme Silva</v>
      </c>
      <c r="G29" s="47">
        <f>_xlfn.XLOOKUP(TBL_USUARIOS[[#This Row],[ID_MASSA]],tbl_de_massas[id_massa],tbl_de_massas[saldo_conta],"--",0,1)</f>
        <v>759.84</v>
      </c>
      <c r="H29" t="str">
        <f>_xlfn.XLOOKUP(TBL_USUARIOS[[#This Row],[ID_MASSA]],tbl_de_massas[id_massa],tbl_de_massas[nome_completo],"--",0,1)</f>
        <v>Guilherme Silva</v>
      </c>
    </row>
    <row r="30" spans="1:8" x14ac:dyDescent="0.25">
      <c r="A30" s="2" t="s">
        <v>3984</v>
      </c>
      <c r="B30" t="str">
        <f>_xlfn.XLOOKUP(TBL_USUARIOS[[#This Row],[ID_MASSA]],tbl_de_massas[id_massa],tbl_de_massas[cpf],"--",0,1)</f>
        <v>96616586766</v>
      </c>
      <c r="C30" t="s">
        <v>12</v>
      </c>
      <c r="D30" t="str">
        <f>_xlfn.XLOOKUP(TBL_USUARIOS[[#This Row],[ID_MASSA]],tbl_de_massas[id_massa],tbl_de_massas[nome_completo],"--",0,1)</f>
        <v>Bianca Mendes Rocha</v>
      </c>
      <c r="E30" t="str">
        <f>_xlfn.XLOOKUP(TBL_USUARIOS[[#This Row],[ID_MASSA]],tbl_de_massas[id_massa],tbl_de_massas[cartao_fisico_numero],"--",0,1)</f>
        <v>4576 7460 3411 5364</v>
      </c>
      <c r="F30" t="str">
        <f>_xlfn.XLOOKUP(TBL_USUARIOS[[#This Row],[ID_MASSA]],tbl_de_massas[id_massa],tbl_de_massas[nome_completo],"--",0,1)</f>
        <v>Bianca Mendes Rocha</v>
      </c>
      <c r="G30" s="47">
        <f>_xlfn.XLOOKUP(TBL_USUARIOS[[#This Row],[ID_MASSA]],tbl_de_massas[id_massa],tbl_de_massas[saldo_conta],"--",0,1)</f>
        <v>774.54</v>
      </c>
      <c r="H30" t="str">
        <f>_xlfn.XLOOKUP(TBL_USUARIOS[[#This Row],[ID_MASSA]],tbl_de_massas[id_massa],tbl_de_massas[nome_completo],"--",0,1)</f>
        <v>Bianca Mendes Rocha</v>
      </c>
    </row>
    <row r="31" spans="1:8" x14ac:dyDescent="0.25">
      <c r="A31" s="2" t="s">
        <v>4980</v>
      </c>
      <c r="B31" t="str">
        <f>_xlfn.XLOOKUP(TBL_USUARIOS[[#This Row],[ID_MASSA]],tbl_de_massas[id_massa],tbl_de_massas[cpf],"--",0,1)</f>
        <v>87655645884</v>
      </c>
      <c r="C31" t="s">
        <v>12</v>
      </c>
      <c r="D31" t="str">
        <f>_xlfn.XLOOKUP(TBL_USUARIOS[[#This Row],[ID_MASSA]],tbl_de_massas[id_massa],tbl_de_massas[nome_completo],"--",0,1)</f>
        <v>Bruno Dias Barbosa</v>
      </c>
      <c r="E31" t="str">
        <f>_xlfn.XLOOKUP(TBL_USUARIOS[[#This Row],[ID_MASSA]],tbl_de_massas[id_massa],tbl_de_massas[cartao_fisico_numero],"--",0,1)</f>
        <v/>
      </c>
      <c r="F31" t="str">
        <f>_xlfn.XLOOKUP(TBL_USUARIOS[[#This Row],[ID_MASSA]],tbl_de_massas[id_massa],tbl_de_massas[nome_completo],"--",0,1)</f>
        <v>Bruno Dias Barbosa</v>
      </c>
      <c r="G31" s="47">
        <f>_xlfn.XLOOKUP(TBL_USUARIOS[[#This Row],[ID_MASSA]],tbl_de_massas[id_massa],tbl_de_massas[saldo_conta],"--",0,1)</f>
        <v>784.94</v>
      </c>
      <c r="H31" t="str">
        <f>_xlfn.XLOOKUP(TBL_USUARIOS[[#This Row],[ID_MASSA]],tbl_de_massas[id_massa],tbl_de_massas[nome_completo],"--",0,1)</f>
        <v>Bruno Dias Barbosa</v>
      </c>
    </row>
    <row r="32" spans="1:8" x14ac:dyDescent="0.25">
      <c r="A32" s="2" t="s">
        <v>5437</v>
      </c>
      <c r="B32" t="str">
        <f>_xlfn.XLOOKUP(TBL_USUARIOS[[#This Row],[ID_MASSA]],tbl_de_massas[id_massa],tbl_de_massas[cpf],"--",0,1)</f>
        <v>38275771528</v>
      </c>
      <c r="C32" t="s">
        <v>12</v>
      </c>
      <c r="D32" t="str">
        <f>_xlfn.XLOOKUP(TBL_USUARIOS[[#This Row],[ID_MASSA]],tbl_de_massas[id_massa],tbl_de_massas[nome_completo],"--",0,1)</f>
        <v>Caio Silva Campos</v>
      </c>
      <c r="E32" t="str">
        <f>_xlfn.XLOOKUP(TBL_USUARIOS[[#This Row],[ID_MASSA]],tbl_de_massas[id_massa],tbl_de_massas[cartao_fisico_numero],"--",0,1)</f>
        <v/>
      </c>
      <c r="F32" t="str">
        <f>_xlfn.XLOOKUP(TBL_USUARIOS[[#This Row],[ID_MASSA]],tbl_de_massas[id_massa],tbl_de_massas[nome_completo],"--",0,1)</f>
        <v>Caio Silva Campos</v>
      </c>
      <c r="G32" s="47">
        <f>_xlfn.XLOOKUP(TBL_USUARIOS[[#This Row],[ID_MASSA]],tbl_de_massas[id_massa],tbl_de_massas[saldo_conta],"--",0,1)</f>
        <v>801.59</v>
      </c>
      <c r="H32" t="str">
        <f>_xlfn.XLOOKUP(TBL_USUARIOS[[#This Row],[ID_MASSA]],tbl_de_massas[id_massa],tbl_de_massas[nome_completo],"--",0,1)</f>
        <v>Caio Silva Campos</v>
      </c>
    </row>
    <row r="33" spans="1:8" x14ac:dyDescent="0.25">
      <c r="A33" s="2" t="s">
        <v>2511</v>
      </c>
      <c r="B33" s="14" t="str">
        <f>_xlfn.XLOOKUP(TBL_USUARIOS[[#This Row],[ID_MASSA]],tbl_de_massas[id_massa],tbl_de_massas[cpf],"--",0,1)</f>
        <v>14774436739</v>
      </c>
      <c r="C33" t="s">
        <v>12</v>
      </c>
      <c r="D33" t="str">
        <f>_xlfn.XLOOKUP(TBL_USUARIOS[[#This Row],[ID_MASSA]],tbl_de_massas[id_massa],tbl_de_massas[nome_completo],"--",0,1)</f>
        <v>Matteo Rossi</v>
      </c>
      <c r="E33" t="str">
        <f>_xlfn.XLOOKUP(TBL_USUARIOS[[#This Row],[ID_MASSA]],tbl_de_massas[id_massa],tbl_de_massas[cartao_fisico_numero],"--",0,1)</f>
        <v>6062 8200 2163 5716</v>
      </c>
      <c r="F33" t="str">
        <f>_xlfn.XLOOKUP(TBL_USUARIOS[[#This Row],[ID_MASSA]],tbl_de_massas[id_massa],tbl_de_massas[nome_completo],"--",0,1)</f>
        <v>Matteo Rossi</v>
      </c>
      <c r="G33" s="47">
        <f>_xlfn.XLOOKUP(TBL_USUARIOS[[#This Row],[ID_MASSA]],tbl_de_massas[id_massa],tbl_de_massas[saldo_conta],"--",0,1)</f>
        <v>847.97</v>
      </c>
      <c r="H33" t="str">
        <f>_xlfn.XLOOKUP(TBL_USUARIOS[[#This Row],[ID_MASSA]],tbl_de_massas[id_massa],tbl_de_massas[nome_completo],"--",0,1)</f>
        <v>Matteo Rossi</v>
      </c>
    </row>
    <row r="34" spans="1:8" x14ac:dyDescent="0.25">
      <c r="A34" s="2" t="s">
        <v>2965</v>
      </c>
      <c r="B34" t="str">
        <f>_xlfn.XLOOKUP(TBL_USUARIOS[[#This Row],[ID_MASSA]],tbl_de_massas[id_massa],tbl_de_massas[cpf],"--",0,1)</f>
        <v>24187681558</v>
      </c>
      <c r="C34" t="s">
        <v>12</v>
      </c>
      <c r="D34" t="str">
        <f>_xlfn.XLOOKUP(TBL_USUARIOS[[#This Row],[ID_MASSA]],tbl_de_massas[id_massa],tbl_de_massas[nome_completo],"--",0,1)</f>
        <v>Eduardo Campos Pinto</v>
      </c>
      <c r="E34" t="str">
        <f>_xlfn.XLOOKUP(TBL_USUARIOS[[#This Row],[ID_MASSA]],tbl_de_massas[id_massa],tbl_de_massas[cartao_fisico_numero],"--",0,1)</f>
        <v>5442 7460 1996 3805</v>
      </c>
      <c r="F34" t="str">
        <f>_xlfn.XLOOKUP(TBL_USUARIOS[[#This Row],[ID_MASSA]],tbl_de_massas[id_massa],tbl_de_massas[nome_completo],"--",0,1)</f>
        <v>Eduardo Campos Pinto</v>
      </c>
      <c r="G34" s="47">
        <f>_xlfn.XLOOKUP(TBL_USUARIOS[[#This Row],[ID_MASSA]],tbl_de_massas[id_massa],tbl_de_massas[saldo_conta],"--",0,1)</f>
        <v>864.69</v>
      </c>
      <c r="H34" t="str">
        <f>_xlfn.XLOOKUP(TBL_USUARIOS[[#This Row],[ID_MASSA]],tbl_de_massas[id_massa],tbl_de_massas[nome_completo],"--",0,1)</f>
        <v>Eduardo Campos Pinto</v>
      </c>
    </row>
    <row r="35" spans="1:8" x14ac:dyDescent="0.25">
      <c r="A35" s="2" t="s">
        <v>5922</v>
      </c>
      <c r="B35" t="str">
        <f>_xlfn.XLOOKUP(TBL_USUARIOS[[#This Row],[ID_MASSA]],tbl_de_massas[id_massa],tbl_de_massas[cpf],"--",0,1)</f>
        <v>67062962449</v>
      </c>
      <c r="C35" t="s">
        <v>12</v>
      </c>
      <c r="D35" t="str">
        <f>_xlfn.XLOOKUP(TBL_USUARIOS[[#This Row],[ID_MASSA]],tbl_de_massas[id_massa],tbl_de_massas[nome_completo],"--",0,1)</f>
        <v>Caio Cardoso Costa</v>
      </c>
      <c r="E35" t="str">
        <f>_xlfn.XLOOKUP(TBL_USUARIOS[[#This Row],[ID_MASSA]],tbl_de_massas[id_massa],tbl_de_massas[cartao_fisico_numero],"--",0,1)</f>
        <v>4576 7460 6077 5191</v>
      </c>
      <c r="F35" t="str">
        <f>_xlfn.XLOOKUP(TBL_USUARIOS[[#This Row],[ID_MASSA]],tbl_de_massas[id_massa],tbl_de_massas[nome_completo],"--",0,1)</f>
        <v>Caio Cardoso Costa</v>
      </c>
      <c r="G35" s="47">
        <f>_xlfn.XLOOKUP(TBL_USUARIOS[[#This Row],[ID_MASSA]],tbl_de_massas[id_massa],tbl_de_massas[saldo_conta],"--",0,1)</f>
        <v>888.27</v>
      </c>
      <c r="H35" t="str">
        <f>_xlfn.XLOOKUP(TBL_USUARIOS[[#This Row],[ID_MASSA]],tbl_de_massas[id_massa],tbl_de_massas[nome_completo],"--",0,1)</f>
        <v>Caio Cardoso Costa</v>
      </c>
    </row>
    <row r="36" spans="1:8" x14ac:dyDescent="0.25">
      <c r="A36" s="2" t="s">
        <v>4745</v>
      </c>
      <c r="B36" t="str">
        <f>_xlfn.XLOOKUP(TBL_USUARIOS[[#This Row],[ID_MASSA]],tbl_de_massas[id_massa],tbl_de_massas[cpf],"--",0,1)</f>
        <v>59474065438</v>
      </c>
      <c r="C36" t="s">
        <v>12</v>
      </c>
      <c r="D36" t="str">
        <f>_xlfn.XLOOKUP(TBL_USUARIOS[[#This Row],[ID_MASSA]],tbl_de_massas[id_massa],tbl_de_massas[nome_completo],"--",0,1)</f>
        <v>Sabrina Mendes</v>
      </c>
      <c r="E36" t="str">
        <f>_xlfn.XLOOKUP(TBL_USUARIOS[[#This Row],[ID_MASSA]],tbl_de_massas[id_massa],tbl_de_massas[cartao_fisico_numero],"--",0,1)</f>
        <v>5442 7460 3013 1735</v>
      </c>
      <c r="F36" t="str">
        <f>_xlfn.XLOOKUP(TBL_USUARIOS[[#This Row],[ID_MASSA]],tbl_de_massas[id_massa],tbl_de_massas[nome_completo],"--",0,1)</f>
        <v>Sabrina Mendes</v>
      </c>
      <c r="G36" s="47">
        <f>_xlfn.XLOOKUP(TBL_USUARIOS[[#This Row],[ID_MASSA]],tbl_de_massas[id_massa],tbl_de_massas[saldo_conta],"--",0,1)</f>
        <v>903.59</v>
      </c>
      <c r="H36" t="str">
        <f>_xlfn.XLOOKUP(TBL_USUARIOS[[#This Row],[ID_MASSA]],tbl_de_massas[id_massa],tbl_de_massas[nome_completo],"--",0,1)</f>
        <v>Sabrina Mendes</v>
      </c>
    </row>
    <row r="37" spans="1:8" x14ac:dyDescent="0.25">
      <c r="A37" s="2" t="s">
        <v>5034</v>
      </c>
      <c r="B37" t="str">
        <f>_xlfn.XLOOKUP(TBL_USUARIOS[[#This Row],[ID_MASSA]],tbl_de_massas[id_massa],tbl_de_massas[cpf],"--",0,1)</f>
        <v>21271633540</v>
      </c>
      <c r="C37" t="s">
        <v>12</v>
      </c>
      <c r="D37" t="str">
        <f>_xlfn.XLOOKUP(TBL_USUARIOS[[#This Row],[ID_MASSA]],tbl_de_massas[id_massa],tbl_de_massas[nome_completo],"--",0,1)</f>
        <v>Aline Gomes</v>
      </c>
      <c r="E37" t="str">
        <f>_xlfn.XLOOKUP(TBL_USUARIOS[[#This Row],[ID_MASSA]],tbl_de_massas[id_massa],tbl_de_massas[cartao_fisico_numero],"--",0,1)</f>
        <v/>
      </c>
      <c r="F37" t="str">
        <f>_xlfn.XLOOKUP(TBL_USUARIOS[[#This Row],[ID_MASSA]],tbl_de_massas[id_massa],tbl_de_massas[nome_completo],"--",0,1)</f>
        <v>Aline Gomes</v>
      </c>
      <c r="G37" s="47">
        <f>_xlfn.XLOOKUP(TBL_USUARIOS[[#This Row],[ID_MASSA]],tbl_de_massas[id_massa],tbl_de_massas[saldo_conta],"--",0,1)</f>
        <v>908.7</v>
      </c>
      <c r="H37" t="str">
        <f>_xlfn.XLOOKUP(TBL_USUARIOS[[#This Row],[ID_MASSA]],tbl_de_massas[id_massa],tbl_de_massas[nome_completo],"--",0,1)</f>
        <v>Aline Gomes</v>
      </c>
    </row>
    <row r="38" spans="1:8" x14ac:dyDescent="0.25">
      <c r="A38" s="2" t="s">
        <v>2940</v>
      </c>
      <c r="B38" t="str">
        <f>_xlfn.XLOOKUP(TBL_USUARIOS[[#This Row],[ID_MASSA]],tbl_de_massas[id_massa],tbl_de_massas[cpf],"--",0,1)</f>
        <v>51123841586</v>
      </c>
      <c r="C38" t="s">
        <v>12</v>
      </c>
      <c r="D38" t="str">
        <f>_xlfn.XLOOKUP(TBL_USUARIOS[[#This Row],[ID_MASSA]],tbl_de_massas[id_massa],tbl_de_massas[nome_completo],"--",0,1)</f>
        <v>Andre Oliveira</v>
      </c>
      <c r="E38" t="str">
        <f>_xlfn.XLOOKUP(TBL_USUARIOS[[#This Row],[ID_MASSA]],tbl_de_massas[id_massa],tbl_de_massas[cartao_fisico_numero],"--",0,1)</f>
        <v/>
      </c>
      <c r="F38" t="str">
        <f>_xlfn.XLOOKUP(TBL_USUARIOS[[#This Row],[ID_MASSA]],tbl_de_massas[id_massa],tbl_de_massas[nome_completo],"--",0,1)</f>
        <v>Andre Oliveira</v>
      </c>
      <c r="G38" s="47">
        <f>_xlfn.XLOOKUP(TBL_USUARIOS[[#This Row],[ID_MASSA]],tbl_de_massas[id_massa],tbl_de_massas[saldo_conta],"--",0,1)</f>
        <v>919.88</v>
      </c>
      <c r="H38" t="str">
        <f>_xlfn.XLOOKUP(TBL_USUARIOS[[#This Row],[ID_MASSA]],tbl_de_massas[id_massa],tbl_de_massas[nome_completo],"--",0,1)</f>
        <v>Andre Oliveira</v>
      </c>
    </row>
    <row r="39" spans="1:8" x14ac:dyDescent="0.25">
      <c r="A39" s="2" t="s">
        <v>5769</v>
      </c>
      <c r="B39" t="str">
        <f>_xlfn.XLOOKUP(TBL_USUARIOS[[#This Row],[ID_MASSA]],tbl_de_massas[id_massa],tbl_de_massas[cpf],"--",0,1)</f>
        <v>91441537910</v>
      </c>
      <c r="C39" t="s">
        <v>12</v>
      </c>
      <c r="D39" t="str">
        <f>_xlfn.XLOOKUP(TBL_USUARIOS[[#This Row],[ID_MASSA]],tbl_de_massas[id_massa],tbl_de_massas[nome_completo],"--",0,1)</f>
        <v>Leonardo Gomes Costa</v>
      </c>
      <c r="E39" t="str">
        <f>_xlfn.XLOOKUP(TBL_USUARIOS[[#This Row],[ID_MASSA]],tbl_de_massas[id_massa],tbl_de_massas[cartao_fisico_numero],"--",0,1)</f>
        <v>4576 7460 1182 3123</v>
      </c>
      <c r="F39" t="str">
        <f>_xlfn.XLOOKUP(TBL_USUARIOS[[#This Row],[ID_MASSA]],tbl_de_massas[id_massa],tbl_de_massas[nome_completo],"--",0,1)</f>
        <v>Leonardo Gomes Costa</v>
      </c>
      <c r="G39" s="47">
        <f>_xlfn.XLOOKUP(TBL_USUARIOS[[#This Row],[ID_MASSA]],tbl_de_massas[id_massa],tbl_de_massas[saldo_conta],"--",0,1)</f>
        <v>939.74</v>
      </c>
      <c r="H39" t="str">
        <f>_xlfn.XLOOKUP(TBL_USUARIOS[[#This Row],[ID_MASSA]],tbl_de_massas[id_massa],tbl_de_massas[nome_completo],"--",0,1)</f>
        <v>Leonardo Gomes Costa</v>
      </c>
    </row>
    <row r="40" spans="1:8" x14ac:dyDescent="0.25">
      <c r="A40" s="2" t="s">
        <v>2983</v>
      </c>
      <c r="B40" t="str">
        <f>_xlfn.XLOOKUP(TBL_USUARIOS[[#This Row],[ID_MASSA]],tbl_de_massas[id_massa],tbl_de_massas[cpf],"--",0,1)</f>
        <v>96075975594</v>
      </c>
      <c r="C40" t="s">
        <v>12</v>
      </c>
      <c r="D40" t="str">
        <f>_xlfn.XLOOKUP(TBL_USUARIOS[[#This Row],[ID_MASSA]],tbl_de_massas[id_massa],tbl_de_massas[nome_completo],"--",0,1)</f>
        <v>Tatiane Dias Nascimento</v>
      </c>
      <c r="E40" t="str">
        <f>_xlfn.XLOOKUP(TBL_USUARIOS[[#This Row],[ID_MASSA]],tbl_de_massas[id_massa],tbl_de_massas[cartao_fisico_numero],"--",0,1)</f>
        <v>4576 7460 6754 3163</v>
      </c>
      <c r="F40" t="str">
        <f>_xlfn.XLOOKUP(TBL_USUARIOS[[#This Row],[ID_MASSA]],tbl_de_massas[id_massa],tbl_de_massas[nome_completo],"--",0,1)</f>
        <v>Tatiane Dias Nascimento</v>
      </c>
      <c r="G40" s="47">
        <f>_xlfn.XLOOKUP(TBL_USUARIOS[[#This Row],[ID_MASSA]],tbl_de_massas[id_massa],tbl_de_massas[saldo_conta],"--",0,1)</f>
        <v>945.16</v>
      </c>
      <c r="H40" t="str">
        <f>_xlfn.XLOOKUP(TBL_USUARIOS[[#This Row],[ID_MASSA]],tbl_de_massas[id_massa],tbl_de_massas[nome_completo],"--",0,1)</f>
        <v>Tatiane Dias Nascimento</v>
      </c>
    </row>
    <row r="41" spans="1:8" x14ac:dyDescent="0.25">
      <c r="A41" s="2" t="s">
        <v>3713</v>
      </c>
      <c r="B41" t="str">
        <f>_xlfn.XLOOKUP(TBL_USUARIOS[[#This Row],[ID_MASSA]],tbl_de_massas[id_massa],tbl_de_massas[cpf],"--",0,1)</f>
        <v>64523742812</v>
      </c>
      <c r="C41" t="s">
        <v>12</v>
      </c>
      <c r="D41" t="str">
        <f>_xlfn.XLOOKUP(TBL_USUARIOS[[#This Row],[ID_MASSA]],tbl_de_massas[id_massa],tbl_de_massas[nome_completo],"--",0,1)</f>
        <v>Aline Cavalcanti Santos</v>
      </c>
      <c r="E41" t="str">
        <f>_xlfn.XLOOKUP(TBL_USUARIOS[[#This Row],[ID_MASSA]],tbl_de_massas[id_massa],tbl_de_massas[cartao_fisico_numero],"--",0,1)</f>
        <v>6062 8200 8930 7538</v>
      </c>
      <c r="F41" t="str">
        <f>_xlfn.XLOOKUP(TBL_USUARIOS[[#This Row],[ID_MASSA]],tbl_de_massas[id_massa],tbl_de_massas[nome_completo],"--",0,1)</f>
        <v>Aline Cavalcanti Santos</v>
      </c>
      <c r="G41" s="47">
        <f>_xlfn.XLOOKUP(TBL_USUARIOS[[#This Row],[ID_MASSA]],tbl_de_massas[id_massa],tbl_de_massas[saldo_conta],"--",0,1)</f>
        <v>950.76</v>
      </c>
      <c r="H41" t="str">
        <f>_xlfn.XLOOKUP(TBL_USUARIOS[[#This Row],[ID_MASSA]],tbl_de_massas[id_massa],tbl_de_massas[nome_completo],"--",0,1)</f>
        <v>Aline Cavalcanti Santos</v>
      </c>
    </row>
    <row r="42" spans="1:8" x14ac:dyDescent="0.25">
      <c r="A42" s="2" t="s">
        <v>6603</v>
      </c>
      <c r="B42" t="str">
        <f>_xlfn.XLOOKUP(TBL_USUARIOS[[#This Row],[ID_MASSA]],tbl_de_massas[id_massa],tbl_de_massas[cpf],"--",0,1)</f>
        <v>60231513291</v>
      </c>
      <c r="C42" t="s">
        <v>12</v>
      </c>
      <c r="D42" t="str">
        <f>_xlfn.XLOOKUP(TBL_USUARIOS[[#This Row],[ID_MASSA]],tbl_de_massas[id_massa],tbl_de_massas[nome_completo],"--",0,1)</f>
        <v>Taro Shimizu Yamamoto</v>
      </c>
      <c r="E42" t="str">
        <f>_xlfn.XLOOKUP(TBL_USUARIOS[[#This Row],[ID_MASSA]],tbl_de_massas[id_massa],tbl_de_massas[cartao_fisico_numero],"--",0,1)</f>
        <v/>
      </c>
      <c r="F42" t="str">
        <f>_xlfn.XLOOKUP(TBL_USUARIOS[[#This Row],[ID_MASSA]],tbl_de_massas[id_massa],tbl_de_massas[nome_completo],"--",0,1)</f>
        <v>Taro Shimizu Yamamoto</v>
      </c>
      <c r="G42" s="47">
        <f>_xlfn.XLOOKUP(TBL_USUARIOS[[#This Row],[ID_MASSA]],tbl_de_massas[id_massa],tbl_de_massas[saldo_conta],"--",0,1)</f>
        <v>960.57</v>
      </c>
      <c r="H42" t="str">
        <f>_xlfn.XLOOKUP(TBL_USUARIOS[[#This Row],[ID_MASSA]],tbl_de_massas[id_massa],tbl_de_massas[nome_completo],"--",0,1)</f>
        <v>Taro Shimizu Yamamoto</v>
      </c>
    </row>
    <row r="43" spans="1:8" x14ac:dyDescent="0.25">
      <c r="A43" s="2" t="s">
        <v>3997</v>
      </c>
      <c r="B43" t="str">
        <f>_xlfn.XLOOKUP(TBL_USUARIOS[[#This Row],[ID_MASSA]],tbl_de_massas[id_massa],tbl_de_massas[cpf],"--",0,1)</f>
        <v>91912151707</v>
      </c>
      <c r="C43" t="s">
        <v>12</v>
      </c>
      <c r="D43" t="str">
        <f>_xlfn.XLOOKUP(TBL_USUARIOS[[#This Row],[ID_MASSA]],tbl_de_massas[id_massa],tbl_de_massas[nome_completo],"--",0,1)</f>
        <v>Leonardo Almeida Oliveira</v>
      </c>
      <c r="E43" t="str">
        <f>_xlfn.XLOOKUP(TBL_USUARIOS[[#This Row],[ID_MASSA]],tbl_de_massas[id_massa],tbl_de_massas[cartao_fisico_numero],"--",0,1)</f>
        <v/>
      </c>
      <c r="F43" t="str">
        <f>_xlfn.XLOOKUP(TBL_USUARIOS[[#This Row],[ID_MASSA]],tbl_de_massas[id_massa],tbl_de_massas[nome_completo],"--",0,1)</f>
        <v>Leonardo Almeida Oliveira</v>
      </c>
      <c r="G43" s="47">
        <f>_xlfn.XLOOKUP(TBL_USUARIOS[[#This Row],[ID_MASSA]],tbl_de_massas[id_massa],tbl_de_massas[saldo_conta],"--",0,1)</f>
        <v>976.23</v>
      </c>
      <c r="H43" t="str">
        <f>_xlfn.XLOOKUP(TBL_USUARIOS[[#This Row],[ID_MASSA]],tbl_de_massas[id_massa],tbl_de_massas[nome_completo],"--",0,1)</f>
        <v>Leonardo Almeida Oliveira</v>
      </c>
    </row>
    <row r="44" spans="1:8" x14ac:dyDescent="0.25">
      <c r="A44" s="2" t="s">
        <v>2155</v>
      </c>
      <c r="B44" s="14" t="str">
        <f>_xlfn.XLOOKUP(TBL_USUARIOS[[#This Row],[ID_MASSA]],tbl_de_massas[id_massa],tbl_de_massas[cpf],"--",0,1)</f>
        <v>15803041416</v>
      </c>
      <c r="C44" t="s">
        <v>12</v>
      </c>
      <c r="D44" t="str">
        <f>_xlfn.XLOOKUP(TBL_USUARIOS[[#This Row],[ID_MASSA]],tbl_de_massas[id_massa],tbl_de_massas[nome_completo],"--",0,1)</f>
        <v>Sophie Schmidt</v>
      </c>
      <c r="E44" t="str">
        <f>_xlfn.XLOOKUP(TBL_USUARIOS[[#This Row],[ID_MASSA]],tbl_de_massas[id_massa],tbl_de_massas[cartao_fisico_numero],"--",0,1)</f>
        <v>6062 8200 8153 1556</v>
      </c>
      <c r="F44" t="str">
        <f>_xlfn.XLOOKUP(TBL_USUARIOS[[#This Row],[ID_MASSA]],tbl_de_massas[id_massa],tbl_de_massas[nome_completo],"--",0,1)</f>
        <v>Sophie Schmidt</v>
      </c>
      <c r="G44" s="47">
        <f>_xlfn.XLOOKUP(TBL_USUARIOS[[#This Row],[ID_MASSA]],tbl_de_massas[id_massa],tbl_de_massas[saldo_conta],"--",0,1)</f>
        <v>977.93</v>
      </c>
      <c r="H44" t="str">
        <f>_xlfn.XLOOKUP(TBL_USUARIOS[[#This Row],[ID_MASSA]],tbl_de_massas[id_massa],tbl_de_massas[nome_completo],"--",0,1)</f>
        <v>Sophie Schmidt</v>
      </c>
    </row>
    <row r="45" spans="1:8" x14ac:dyDescent="0.25">
      <c r="A45" s="2" t="s">
        <v>2187</v>
      </c>
      <c r="B45" s="14" t="str">
        <f>_xlfn.XLOOKUP(TBL_USUARIOS[[#This Row],[ID_MASSA]],tbl_de_massas[id_massa],tbl_de_massas[cpf],"--",0,1)</f>
        <v>31415926535</v>
      </c>
      <c r="C45" t="s">
        <v>12</v>
      </c>
      <c r="D45" t="str">
        <f>_xlfn.XLOOKUP(TBL_USUARIOS[[#This Row],[ID_MASSA]],tbl_de_massas[id_massa],tbl_de_massas[nome_completo],"--",0,1)</f>
        <v>Teste Solda Evento</v>
      </c>
      <c r="E45" t="str">
        <f>_xlfn.XLOOKUP(TBL_USUARIOS[[#This Row],[ID_MASSA]],tbl_de_massas[id_massa],tbl_de_massas[cartao_fisico_numero],"--",0,1)</f>
        <v>4576 7460 8954 9038</v>
      </c>
      <c r="F45" t="str">
        <f>_xlfn.XLOOKUP(TBL_USUARIOS[[#This Row],[ID_MASSA]],tbl_de_massas[id_massa],tbl_de_massas[nome_completo],"--",0,1)</f>
        <v>Teste Solda Evento</v>
      </c>
      <c r="G45" s="47">
        <f>_xlfn.XLOOKUP(TBL_USUARIOS[[#This Row],[ID_MASSA]],tbl_de_massas[id_massa],tbl_de_massas[saldo_conta],"--",0,1)</f>
        <v>1000</v>
      </c>
      <c r="H45" t="str">
        <f>_xlfn.XLOOKUP(TBL_USUARIOS[[#This Row],[ID_MASSA]],tbl_de_massas[id_massa],tbl_de_massas[nome_completo],"--",0,1)</f>
        <v>Teste Solda Evento</v>
      </c>
    </row>
    <row r="46" spans="1:8" x14ac:dyDescent="0.25">
      <c r="A46" s="2" t="s">
        <v>2142</v>
      </c>
      <c r="B46" s="14" t="str">
        <f>_xlfn.XLOOKUP(TBL_USUARIOS[[#This Row],[ID_MASSA]],tbl_de_massas[id_massa],tbl_de_massas[cpf],"--",0,1)</f>
        <v>74929424194</v>
      </c>
      <c r="C46" t="s">
        <v>12</v>
      </c>
      <c r="D46" t="str">
        <f>_xlfn.XLOOKUP(TBL_USUARIOS[[#This Row],[ID_MASSA]],tbl_de_massas[id_massa],tbl_de_massas[nome_completo],"--",0,1)</f>
        <v>Giulia Russo</v>
      </c>
      <c r="E46" t="str">
        <f>_xlfn.XLOOKUP(TBL_USUARIOS[[#This Row],[ID_MASSA]],tbl_de_massas[id_massa],tbl_de_massas[cartao_fisico_numero],"--",0,1)</f>
        <v>4576 7460 6011 1623</v>
      </c>
      <c r="F46" t="str">
        <f>_xlfn.XLOOKUP(TBL_USUARIOS[[#This Row],[ID_MASSA]],tbl_de_massas[id_massa],tbl_de_massas[nome_completo],"--",0,1)</f>
        <v>Giulia Russo</v>
      </c>
      <c r="G46" s="47">
        <f>_xlfn.XLOOKUP(TBL_USUARIOS[[#This Row],[ID_MASSA]],tbl_de_massas[id_massa],tbl_de_massas[saldo_conta],"--",0,1)</f>
        <v>1001.85</v>
      </c>
      <c r="H46" t="str">
        <f>_xlfn.XLOOKUP(TBL_USUARIOS[[#This Row],[ID_MASSA]],tbl_de_massas[id_massa],tbl_de_massas[nome_completo],"--",0,1)</f>
        <v>Giulia Russo</v>
      </c>
    </row>
    <row r="47" spans="1:8" x14ac:dyDescent="0.25">
      <c r="A47" s="2" t="s">
        <v>4136</v>
      </c>
      <c r="B47" t="str">
        <f>_xlfn.XLOOKUP(TBL_USUARIOS[[#This Row],[ID_MASSA]],tbl_de_massas[id_massa],tbl_de_massas[cpf],"--",0,1)</f>
        <v>87708235618</v>
      </c>
      <c r="C47" t="s">
        <v>12</v>
      </c>
      <c r="D47" t="str">
        <f>_xlfn.XLOOKUP(TBL_USUARIOS[[#This Row],[ID_MASSA]],tbl_de_massas[id_massa],tbl_de_massas[nome_completo],"--",0,1)</f>
        <v>Fabio Teixeira</v>
      </c>
      <c r="E47" t="str">
        <f>_xlfn.XLOOKUP(TBL_USUARIOS[[#This Row],[ID_MASSA]],tbl_de_massas[id_massa],tbl_de_massas[cartao_fisico_numero],"--",0,1)</f>
        <v/>
      </c>
      <c r="F47" t="str">
        <f>_xlfn.XLOOKUP(TBL_USUARIOS[[#This Row],[ID_MASSA]],tbl_de_massas[id_massa],tbl_de_massas[nome_completo],"--",0,1)</f>
        <v>Fabio Teixeira</v>
      </c>
      <c r="G47" s="47">
        <f>_xlfn.XLOOKUP(TBL_USUARIOS[[#This Row],[ID_MASSA]],tbl_de_massas[id_massa],tbl_de_massas[saldo_conta],"--",0,1)</f>
        <v>1001.85</v>
      </c>
      <c r="H47" t="str">
        <f>_xlfn.XLOOKUP(TBL_USUARIOS[[#This Row],[ID_MASSA]],tbl_de_massas[id_massa],tbl_de_massas[nome_completo],"--",0,1)</f>
        <v>Fabio Teixeira</v>
      </c>
    </row>
    <row r="48" spans="1:8" x14ac:dyDescent="0.25">
      <c r="A48" s="2" t="s">
        <v>5765</v>
      </c>
      <c r="B48" t="str">
        <f>_xlfn.XLOOKUP(TBL_USUARIOS[[#This Row],[ID_MASSA]],tbl_de_massas[id_massa],tbl_de_massas[cpf],"--",0,1)</f>
        <v>55719962859</v>
      </c>
      <c r="C48" t="s">
        <v>12</v>
      </c>
      <c r="D48" t="str">
        <f>_xlfn.XLOOKUP(TBL_USUARIOS[[#This Row],[ID_MASSA]],tbl_de_massas[id_massa],tbl_de_massas[nome_completo],"--",0,1)</f>
        <v>Alexandre Costa Ribeiro</v>
      </c>
      <c r="E48" t="str">
        <f>_xlfn.XLOOKUP(TBL_USUARIOS[[#This Row],[ID_MASSA]],tbl_de_massas[id_massa],tbl_de_massas[cartao_fisico_numero],"--",0,1)</f>
        <v/>
      </c>
      <c r="F48" t="str">
        <f>_xlfn.XLOOKUP(TBL_USUARIOS[[#This Row],[ID_MASSA]],tbl_de_massas[id_massa],tbl_de_massas[nome_completo],"--",0,1)</f>
        <v>Alexandre Costa Ribeiro</v>
      </c>
      <c r="G48" s="47">
        <f>_xlfn.XLOOKUP(TBL_USUARIOS[[#This Row],[ID_MASSA]],tbl_de_massas[id_massa],tbl_de_massas[saldo_conta],"--",0,1)</f>
        <v>1010.64</v>
      </c>
      <c r="H48" t="str">
        <f>_xlfn.XLOOKUP(TBL_USUARIOS[[#This Row],[ID_MASSA]],tbl_de_massas[id_massa],tbl_de_massas[nome_completo],"--",0,1)</f>
        <v>Alexandre Costa Ribeiro</v>
      </c>
    </row>
    <row r="49" spans="1:8" x14ac:dyDescent="0.25">
      <c r="A49" s="2" t="s">
        <v>3888</v>
      </c>
      <c r="B49" t="str">
        <f>_xlfn.XLOOKUP(TBL_USUARIOS[[#This Row],[ID_MASSA]],tbl_de_massas[id_massa],tbl_de_massas[cpf],"--",0,1)</f>
        <v>25390414268</v>
      </c>
      <c r="C49" t="s">
        <v>12</v>
      </c>
      <c r="D49" t="str">
        <f>_xlfn.XLOOKUP(TBL_USUARIOS[[#This Row],[ID_MASSA]],tbl_de_massas[id_massa],tbl_de_massas[nome_completo],"--",0,1)</f>
        <v>Priscila Castro Cardoso</v>
      </c>
      <c r="E49" t="str">
        <f>_xlfn.XLOOKUP(TBL_USUARIOS[[#This Row],[ID_MASSA]],tbl_de_massas[id_massa],tbl_de_massas[cartao_fisico_numero],"--",0,1)</f>
        <v>3782 232681 9645</v>
      </c>
      <c r="F49" t="str">
        <f>_xlfn.XLOOKUP(TBL_USUARIOS[[#This Row],[ID_MASSA]],tbl_de_massas[id_massa],tbl_de_massas[nome_completo],"--",0,1)</f>
        <v>Priscila Castro Cardoso</v>
      </c>
      <c r="G49" s="47">
        <f>_xlfn.XLOOKUP(TBL_USUARIOS[[#This Row],[ID_MASSA]],tbl_de_massas[id_massa],tbl_de_massas[saldo_conta],"--",0,1)</f>
        <v>1013.5</v>
      </c>
      <c r="H49" t="str">
        <f>_xlfn.XLOOKUP(TBL_USUARIOS[[#This Row],[ID_MASSA]],tbl_de_massas[id_massa],tbl_de_massas[nome_completo],"--",0,1)</f>
        <v>Priscila Castro Cardoso</v>
      </c>
    </row>
    <row r="50" spans="1:8" x14ac:dyDescent="0.25">
      <c r="A50" s="2" t="s">
        <v>4927</v>
      </c>
      <c r="B50" t="str">
        <f>_xlfn.XLOOKUP(TBL_USUARIOS[[#This Row],[ID_MASSA]],tbl_de_massas[id_massa],tbl_de_massas[cpf],"--",0,1)</f>
        <v>24202514580</v>
      </c>
      <c r="C50" t="s">
        <v>12</v>
      </c>
      <c r="D50" t="str">
        <f>_xlfn.XLOOKUP(TBL_USUARIOS[[#This Row],[ID_MASSA]],tbl_de_massas[id_massa],tbl_de_massas[nome_completo],"--",0,1)</f>
        <v>Eduardo Nascimento Costa</v>
      </c>
      <c r="E50" t="str">
        <f>_xlfn.XLOOKUP(TBL_USUARIOS[[#This Row],[ID_MASSA]],tbl_de_massas[id_massa],tbl_de_massas[cartao_fisico_numero],"--",0,1)</f>
        <v>5442 7460 5974 7045</v>
      </c>
      <c r="F50" t="str">
        <f>_xlfn.XLOOKUP(TBL_USUARIOS[[#This Row],[ID_MASSA]],tbl_de_massas[id_massa],tbl_de_massas[nome_completo],"--",0,1)</f>
        <v>Eduardo Nascimento Costa</v>
      </c>
      <c r="G50" s="47">
        <f>_xlfn.XLOOKUP(TBL_USUARIOS[[#This Row],[ID_MASSA]],tbl_de_massas[id_massa],tbl_de_massas[saldo_conta],"--",0,1)</f>
        <v>1023.52</v>
      </c>
      <c r="H50" t="str">
        <f>_xlfn.XLOOKUP(TBL_USUARIOS[[#This Row],[ID_MASSA]],tbl_de_massas[id_massa],tbl_de_massas[nome_completo],"--",0,1)</f>
        <v>Eduardo Nascimento Costa</v>
      </c>
    </row>
    <row r="51" spans="1:8" x14ac:dyDescent="0.25">
      <c r="A51" s="2" t="s">
        <v>5267</v>
      </c>
      <c r="B51" t="str">
        <f>_xlfn.XLOOKUP(TBL_USUARIOS[[#This Row],[ID_MASSA]],tbl_de_massas[id_massa],tbl_de_massas[cpf],"--",0,1)</f>
        <v>92712225040</v>
      </c>
      <c r="C51" t="s">
        <v>12</v>
      </c>
      <c r="D51" t="str">
        <f>_xlfn.XLOOKUP(TBL_USUARIOS[[#This Row],[ID_MASSA]],tbl_de_massas[id_massa],tbl_de_massas[nome_completo],"--",0,1)</f>
        <v>Vivian Castro</v>
      </c>
      <c r="E51" t="str">
        <f>_xlfn.XLOOKUP(TBL_USUARIOS[[#This Row],[ID_MASSA]],tbl_de_massas[id_massa],tbl_de_massas[cartao_fisico_numero],"--",0,1)</f>
        <v>6505 0666 4619 1171</v>
      </c>
      <c r="F51" t="str">
        <f>_xlfn.XLOOKUP(TBL_USUARIOS[[#This Row],[ID_MASSA]],tbl_de_massas[id_massa],tbl_de_massas[nome_completo],"--",0,1)</f>
        <v>Vivian Castro</v>
      </c>
      <c r="G51" s="47">
        <f>_xlfn.XLOOKUP(TBL_USUARIOS[[#This Row],[ID_MASSA]],tbl_de_massas[id_massa],tbl_de_massas[saldo_conta],"--",0,1)</f>
        <v>1034.3499999999999</v>
      </c>
      <c r="H51" t="str">
        <f>_xlfn.XLOOKUP(TBL_USUARIOS[[#This Row],[ID_MASSA]],tbl_de_massas[id_massa],tbl_de_massas[nome_completo],"--",0,1)</f>
        <v>Vivian Castro</v>
      </c>
    </row>
    <row r="52" spans="1:8" x14ac:dyDescent="0.25">
      <c r="A52" s="2" t="s">
        <v>5852</v>
      </c>
      <c r="B52" t="str">
        <f>_xlfn.XLOOKUP(TBL_USUARIOS[[#This Row],[ID_MASSA]],tbl_de_massas[id_massa],tbl_de_massas[cpf],"--",0,1)</f>
        <v>58492688475</v>
      </c>
      <c r="C52" t="s">
        <v>12</v>
      </c>
      <c r="D52" t="str">
        <f>_xlfn.XLOOKUP(TBL_USUARIOS[[#This Row],[ID_MASSA]],tbl_de_massas[id_massa],tbl_de_massas[nome_completo],"--",0,1)</f>
        <v>Vivian Teixeira</v>
      </c>
      <c r="E52" t="str">
        <f>_xlfn.XLOOKUP(TBL_USUARIOS[[#This Row],[ID_MASSA]],tbl_de_massas[id_massa],tbl_de_massas[cartao_fisico_numero],"--",0,1)</f>
        <v/>
      </c>
      <c r="F52" t="str">
        <f>_xlfn.XLOOKUP(TBL_USUARIOS[[#This Row],[ID_MASSA]],tbl_de_massas[id_massa],tbl_de_massas[nome_completo],"--",0,1)</f>
        <v>Vivian Teixeira</v>
      </c>
      <c r="G52" s="47">
        <f>_xlfn.XLOOKUP(TBL_USUARIOS[[#This Row],[ID_MASSA]],tbl_de_massas[id_massa],tbl_de_massas[saldo_conta],"--",0,1)</f>
        <v>1035.1300000000001</v>
      </c>
      <c r="H52" t="str">
        <f>_xlfn.XLOOKUP(TBL_USUARIOS[[#This Row],[ID_MASSA]],tbl_de_massas[id_massa],tbl_de_massas[nome_completo],"--",0,1)</f>
        <v>Vivian Teixeira</v>
      </c>
    </row>
    <row r="53" spans="1:8" x14ac:dyDescent="0.25">
      <c r="A53" s="2" t="s">
        <v>3902</v>
      </c>
      <c r="B53" t="str">
        <f>_xlfn.XLOOKUP(TBL_USUARIOS[[#This Row],[ID_MASSA]],tbl_de_massas[id_massa],tbl_de_massas[cpf],"--",0,1)</f>
        <v>31555690424</v>
      </c>
      <c r="C53" t="s">
        <v>12</v>
      </c>
      <c r="D53" t="str">
        <f>_xlfn.XLOOKUP(TBL_USUARIOS[[#This Row],[ID_MASSA]],tbl_de_massas[id_massa],tbl_de_massas[nome_completo],"--",0,1)</f>
        <v>Renato Carvalho</v>
      </c>
      <c r="E53" t="str">
        <f>_xlfn.XLOOKUP(TBL_USUARIOS[[#This Row],[ID_MASSA]],tbl_de_massas[id_massa],tbl_de_massas[cartao_fisico_numero],"--",0,1)</f>
        <v/>
      </c>
      <c r="F53" t="str">
        <f>_xlfn.XLOOKUP(TBL_USUARIOS[[#This Row],[ID_MASSA]],tbl_de_massas[id_massa],tbl_de_massas[nome_completo],"--",0,1)</f>
        <v>Renato Carvalho</v>
      </c>
      <c r="G53" s="47">
        <f>_xlfn.XLOOKUP(TBL_USUARIOS[[#This Row],[ID_MASSA]],tbl_de_massas[id_massa],tbl_de_massas[saldo_conta],"--",0,1)</f>
        <v>1036.69</v>
      </c>
      <c r="H53" t="str">
        <f>_xlfn.XLOOKUP(TBL_USUARIOS[[#This Row],[ID_MASSA]],tbl_de_massas[id_massa],tbl_de_massas[nome_completo],"--",0,1)</f>
        <v>Renato Carvalho</v>
      </c>
    </row>
    <row r="54" spans="1:8" x14ac:dyDescent="0.25">
      <c r="A54" s="2" t="s">
        <v>2798</v>
      </c>
      <c r="B54" t="str">
        <f>_xlfn.XLOOKUP(TBL_USUARIOS[[#This Row],[ID_MASSA]],tbl_de_massas[id_massa],tbl_de_massas[cpf],"--",0,1)</f>
        <v>43726884580</v>
      </c>
      <c r="C54" t="s">
        <v>12</v>
      </c>
      <c r="D54" t="str">
        <f>_xlfn.XLOOKUP(TBL_USUARIOS[[#This Row],[ID_MASSA]],tbl_de_massas[id_massa],tbl_de_massas[nome_completo],"--",0,1)</f>
        <v>Carolina Pereira Dias</v>
      </c>
      <c r="E54" t="str">
        <f>_xlfn.XLOOKUP(TBL_USUARIOS[[#This Row],[ID_MASSA]],tbl_de_massas[id_massa],tbl_de_massas[cartao_fisico_numero],"--",0,1)</f>
        <v/>
      </c>
      <c r="F54" t="str">
        <f>_xlfn.XLOOKUP(TBL_USUARIOS[[#This Row],[ID_MASSA]],tbl_de_massas[id_massa],tbl_de_massas[nome_completo],"--",0,1)</f>
        <v>Carolina Pereira Dias</v>
      </c>
      <c r="G54" s="47">
        <f>_xlfn.XLOOKUP(TBL_USUARIOS[[#This Row],[ID_MASSA]],tbl_de_massas[id_massa],tbl_de_massas[saldo_conta],"--",0,1)</f>
        <v>1050.55</v>
      </c>
      <c r="H54" t="str">
        <f>_xlfn.XLOOKUP(TBL_USUARIOS[[#This Row],[ID_MASSA]],tbl_de_massas[id_massa],tbl_de_massas[nome_completo],"--",0,1)</f>
        <v>Carolina Pereira Dias</v>
      </c>
    </row>
    <row r="55" spans="1:8" x14ac:dyDescent="0.25">
      <c r="A55" s="2" t="s">
        <v>5589</v>
      </c>
      <c r="B55" t="str">
        <f>_xlfn.XLOOKUP(TBL_USUARIOS[[#This Row],[ID_MASSA]],tbl_de_massas[id_massa],tbl_de_massas[cpf],"--",0,1)</f>
        <v>13981688317</v>
      </c>
      <c r="C55" t="s">
        <v>12</v>
      </c>
      <c r="D55" t="str">
        <f>_xlfn.XLOOKUP(TBL_USUARIOS[[#This Row],[ID_MASSA]],tbl_de_massas[id_massa],tbl_de_massas[nome_completo],"--",0,1)</f>
        <v>Amanda Nunes Alves</v>
      </c>
      <c r="E55" t="str">
        <f>_xlfn.XLOOKUP(TBL_USUARIOS[[#This Row],[ID_MASSA]],tbl_de_massas[id_massa],tbl_de_massas[cartao_fisico_numero],"--",0,1)</f>
        <v>6062 8200 1112 8806</v>
      </c>
      <c r="F55" t="str">
        <f>_xlfn.XLOOKUP(TBL_USUARIOS[[#This Row],[ID_MASSA]],tbl_de_massas[id_massa],tbl_de_massas[nome_completo],"--",0,1)</f>
        <v>Amanda Nunes Alves</v>
      </c>
      <c r="G55" s="47">
        <f>_xlfn.XLOOKUP(TBL_USUARIOS[[#This Row],[ID_MASSA]],tbl_de_massas[id_massa],tbl_de_massas[saldo_conta],"--",0,1)</f>
        <v>1050.58</v>
      </c>
      <c r="H55" t="str">
        <f>_xlfn.XLOOKUP(TBL_USUARIOS[[#This Row],[ID_MASSA]],tbl_de_massas[id_massa],tbl_de_massas[nome_completo],"--",0,1)</f>
        <v>Amanda Nunes Alves</v>
      </c>
    </row>
    <row r="56" spans="1:8" x14ac:dyDescent="0.25">
      <c r="A56" s="2" t="s">
        <v>4975</v>
      </c>
      <c r="B56" t="str">
        <f>_xlfn.XLOOKUP(TBL_USUARIOS[[#This Row],[ID_MASSA]],tbl_de_massas[id_massa],tbl_de_massas[cpf],"--",0,1)</f>
        <v>91584403489</v>
      </c>
      <c r="C56" t="s">
        <v>12</v>
      </c>
      <c r="D56" t="str">
        <f>_xlfn.XLOOKUP(TBL_USUARIOS[[#This Row],[ID_MASSA]],tbl_de_massas[id_massa],tbl_de_massas[nome_completo],"--",0,1)</f>
        <v>Alexandre Pinto Lima</v>
      </c>
      <c r="E56" t="str">
        <f>_xlfn.XLOOKUP(TBL_USUARIOS[[#This Row],[ID_MASSA]],tbl_de_massas[id_massa],tbl_de_massas[cartao_fisico_numero],"--",0,1)</f>
        <v>3782 364562 8271</v>
      </c>
      <c r="F56" t="str">
        <f>_xlfn.XLOOKUP(TBL_USUARIOS[[#This Row],[ID_MASSA]],tbl_de_massas[id_massa],tbl_de_massas[nome_completo],"--",0,1)</f>
        <v>Alexandre Pinto Lima</v>
      </c>
      <c r="G56" s="47">
        <f>_xlfn.XLOOKUP(TBL_USUARIOS[[#This Row],[ID_MASSA]],tbl_de_massas[id_massa],tbl_de_massas[saldo_conta],"--",0,1)</f>
        <v>1071.28</v>
      </c>
      <c r="H56" t="str">
        <f>_xlfn.XLOOKUP(TBL_USUARIOS[[#This Row],[ID_MASSA]],tbl_de_massas[id_massa],tbl_de_massas[nome_completo],"--",0,1)</f>
        <v>Alexandre Pinto Lima</v>
      </c>
    </row>
    <row r="57" spans="1:8" x14ac:dyDescent="0.25">
      <c r="A57" s="2" t="s">
        <v>4091</v>
      </c>
      <c r="B57" t="str">
        <f>_xlfn.XLOOKUP(TBL_USUARIOS[[#This Row],[ID_MASSA]],tbl_de_massas[id_massa],tbl_de_massas[cpf],"--",0,1)</f>
        <v>20987058916</v>
      </c>
      <c r="C57" t="s">
        <v>12</v>
      </c>
      <c r="D57" t="str">
        <f>_xlfn.XLOOKUP(TBL_USUARIOS[[#This Row],[ID_MASSA]],tbl_de_massas[id_massa],tbl_de_massas[nome_completo],"--",0,1)</f>
        <v>Aline Campos Freitas</v>
      </c>
      <c r="E57" t="str">
        <f>_xlfn.XLOOKUP(TBL_USUARIOS[[#This Row],[ID_MASSA]],tbl_de_massas[id_massa],tbl_de_massas[cartao_fisico_numero],"--",0,1)</f>
        <v/>
      </c>
      <c r="F57" t="str">
        <f>_xlfn.XLOOKUP(TBL_USUARIOS[[#This Row],[ID_MASSA]],tbl_de_massas[id_massa],tbl_de_massas[nome_completo],"--",0,1)</f>
        <v>Aline Campos Freitas</v>
      </c>
      <c r="G57" s="47">
        <f>_xlfn.XLOOKUP(TBL_USUARIOS[[#This Row],[ID_MASSA]],tbl_de_massas[id_massa],tbl_de_massas[saldo_conta],"--",0,1)</f>
        <v>1072.78</v>
      </c>
      <c r="H57" t="str">
        <f>_xlfn.XLOOKUP(TBL_USUARIOS[[#This Row],[ID_MASSA]],tbl_de_massas[id_massa],tbl_de_massas[nome_completo],"--",0,1)</f>
        <v>Aline Campos Freitas</v>
      </c>
    </row>
    <row r="58" spans="1:8" x14ac:dyDescent="0.25">
      <c r="A58" s="2" t="s">
        <v>3179</v>
      </c>
      <c r="B58" t="str">
        <f>_xlfn.XLOOKUP(TBL_USUARIOS[[#This Row],[ID_MASSA]],tbl_de_massas[id_massa],tbl_de_massas[cpf],"--",0,1)</f>
        <v>90228231647</v>
      </c>
      <c r="C58" t="s">
        <v>12</v>
      </c>
      <c r="D58" t="str">
        <f>_xlfn.XLOOKUP(TBL_USUARIOS[[#This Row],[ID_MASSA]],tbl_de_massas[id_massa],tbl_de_massas[nome_completo],"--",0,1)</f>
        <v>Lucas Almeida</v>
      </c>
      <c r="E58" t="str">
        <f>_xlfn.XLOOKUP(TBL_USUARIOS[[#This Row],[ID_MASSA]],tbl_de_massas[id_massa],tbl_de_massas[cartao_fisico_numero],"--",0,1)</f>
        <v/>
      </c>
      <c r="F58" t="str">
        <f>_xlfn.XLOOKUP(TBL_USUARIOS[[#This Row],[ID_MASSA]],tbl_de_massas[id_massa],tbl_de_massas[nome_completo],"--",0,1)</f>
        <v>Lucas Almeida</v>
      </c>
      <c r="G58" s="47">
        <f>_xlfn.XLOOKUP(TBL_USUARIOS[[#This Row],[ID_MASSA]],tbl_de_massas[id_massa],tbl_de_massas[saldo_conta],"--",0,1)</f>
        <v>1132.69</v>
      </c>
      <c r="H58" t="str">
        <f>_xlfn.XLOOKUP(TBL_USUARIOS[[#This Row],[ID_MASSA]],tbl_de_massas[id_massa],tbl_de_massas[nome_completo],"--",0,1)</f>
        <v>Lucas Almeida</v>
      </c>
    </row>
    <row r="59" spans="1:8" x14ac:dyDescent="0.25">
      <c r="A59" s="2" t="s">
        <v>5022</v>
      </c>
      <c r="B59" t="str">
        <f>_xlfn.XLOOKUP(TBL_USUARIOS[[#This Row],[ID_MASSA]],tbl_de_massas[id_massa],tbl_de_massas[cpf],"--",0,1)</f>
        <v>47405859100</v>
      </c>
      <c r="C59" t="s">
        <v>12</v>
      </c>
      <c r="D59" t="str">
        <f>_xlfn.XLOOKUP(TBL_USUARIOS[[#This Row],[ID_MASSA]],tbl_de_massas[id_massa],tbl_de_massas[nome_completo],"--",0,1)</f>
        <v>Felipe Gomes</v>
      </c>
      <c r="E59" t="str">
        <f>_xlfn.XLOOKUP(TBL_USUARIOS[[#This Row],[ID_MASSA]],tbl_de_massas[id_massa],tbl_de_massas[cartao_fisico_numero],"--",0,1)</f>
        <v/>
      </c>
      <c r="F59" t="str">
        <f>_xlfn.XLOOKUP(TBL_USUARIOS[[#This Row],[ID_MASSA]],tbl_de_massas[id_massa],tbl_de_massas[nome_completo],"--",0,1)</f>
        <v>Felipe Gomes</v>
      </c>
      <c r="G59" s="47">
        <f>_xlfn.XLOOKUP(TBL_USUARIOS[[#This Row],[ID_MASSA]],tbl_de_massas[id_massa],tbl_de_massas[saldo_conta],"--",0,1)</f>
        <v>1148.1500000000001</v>
      </c>
      <c r="H59" t="str">
        <f>_xlfn.XLOOKUP(TBL_USUARIOS[[#This Row],[ID_MASSA]],tbl_de_massas[id_massa],tbl_de_massas[nome_completo],"--",0,1)</f>
        <v>Felipe Gomes</v>
      </c>
    </row>
    <row r="60" spans="1:8" x14ac:dyDescent="0.25">
      <c r="A60" s="2" t="s">
        <v>3797</v>
      </c>
      <c r="B60" t="str">
        <f>_xlfn.XLOOKUP(TBL_USUARIOS[[#This Row],[ID_MASSA]],tbl_de_massas[id_massa],tbl_de_massas[cpf],"--",0,1)</f>
        <v>67200755940</v>
      </c>
      <c r="C60" t="s">
        <v>12</v>
      </c>
      <c r="D60" t="str">
        <f>_xlfn.XLOOKUP(TBL_USUARIOS[[#This Row],[ID_MASSA]],tbl_de_massas[id_massa],tbl_de_massas[nome_completo],"--",0,1)</f>
        <v>Priscila Almeida Freitas</v>
      </c>
      <c r="E60" t="str">
        <f>_xlfn.XLOOKUP(TBL_USUARIOS[[#This Row],[ID_MASSA]],tbl_de_massas[id_massa],tbl_de_massas[cartao_fisico_numero],"--",0,1)</f>
        <v>6505 0666 3525 7068</v>
      </c>
      <c r="F60" t="str">
        <f>_xlfn.XLOOKUP(TBL_USUARIOS[[#This Row],[ID_MASSA]],tbl_de_massas[id_massa],tbl_de_massas[nome_completo],"--",0,1)</f>
        <v>Priscila Almeida Freitas</v>
      </c>
      <c r="G60" s="47">
        <f>_xlfn.XLOOKUP(TBL_USUARIOS[[#This Row],[ID_MASSA]],tbl_de_massas[id_massa],tbl_de_massas[saldo_conta],"--",0,1)</f>
        <v>1154.99</v>
      </c>
      <c r="H60" t="str">
        <f>_xlfn.XLOOKUP(TBL_USUARIOS[[#This Row],[ID_MASSA]],tbl_de_massas[id_massa],tbl_de_massas[nome_completo],"--",0,1)</f>
        <v>Priscila Almeida Freitas</v>
      </c>
    </row>
    <row r="61" spans="1:8" x14ac:dyDescent="0.25">
      <c r="A61" s="2" t="s">
        <v>2856</v>
      </c>
      <c r="B61" t="str">
        <f>_xlfn.XLOOKUP(TBL_USUARIOS[[#This Row],[ID_MASSA]],tbl_de_massas[id_massa],tbl_de_massas[cpf],"--",0,1)</f>
        <v>31423586093</v>
      </c>
      <c r="C61" t="s">
        <v>12</v>
      </c>
      <c r="D61" t="str">
        <f>_xlfn.XLOOKUP(TBL_USUARIOS[[#This Row],[ID_MASSA]],tbl_de_massas[id_massa],tbl_de_massas[nome_completo],"--",0,1)</f>
        <v>Alexandre Borges Oliveira</v>
      </c>
      <c r="E61" t="str">
        <f>_xlfn.XLOOKUP(TBL_USUARIOS[[#This Row],[ID_MASSA]],tbl_de_massas[id_massa],tbl_de_massas[cartao_fisico_numero],"--",0,1)</f>
        <v>6505 0666 3160 0217</v>
      </c>
      <c r="F61" t="str">
        <f>_xlfn.XLOOKUP(TBL_USUARIOS[[#This Row],[ID_MASSA]],tbl_de_massas[id_massa],tbl_de_massas[nome_completo],"--",0,1)</f>
        <v>Alexandre Borges Oliveira</v>
      </c>
      <c r="G61" s="47">
        <f>_xlfn.XLOOKUP(TBL_USUARIOS[[#This Row],[ID_MASSA]],tbl_de_massas[id_massa],tbl_de_massas[saldo_conta],"--",0,1)</f>
        <v>1168.42</v>
      </c>
      <c r="H61" t="str">
        <f>_xlfn.XLOOKUP(TBL_USUARIOS[[#This Row],[ID_MASSA]],tbl_de_massas[id_massa],tbl_de_massas[nome_completo],"--",0,1)</f>
        <v>Alexandre Borges Oliveira</v>
      </c>
    </row>
    <row r="62" spans="1:8" x14ac:dyDescent="0.25">
      <c r="A62" s="2" t="s">
        <v>5247</v>
      </c>
      <c r="B62" t="str">
        <f>_xlfn.XLOOKUP(TBL_USUARIOS[[#This Row],[ID_MASSA]],tbl_de_massas[id_massa],tbl_de_massas[cpf],"--",0,1)</f>
        <v>69877541874</v>
      </c>
      <c r="C62" t="s">
        <v>12</v>
      </c>
      <c r="D62" t="str">
        <f>_xlfn.XLOOKUP(TBL_USUARIOS[[#This Row],[ID_MASSA]],tbl_de_massas[id_massa],tbl_de_massas[nome_completo],"--",0,1)</f>
        <v>Juliana Monteiro</v>
      </c>
      <c r="E62" t="str">
        <f>_xlfn.XLOOKUP(TBL_USUARIOS[[#This Row],[ID_MASSA]],tbl_de_massas[id_massa],tbl_de_massas[cartao_fisico_numero],"--",0,1)</f>
        <v/>
      </c>
      <c r="F62" t="str">
        <f>_xlfn.XLOOKUP(TBL_USUARIOS[[#This Row],[ID_MASSA]],tbl_de_massas[id_massa],tbl_de_massas[nome_completo],"--",0,1)</f>
        <v>Juliana Monteiro</v>
      </c>
      <c r="G62" s="47">
        <f>_xlfn.XLOOKUP(TBL_USUARIOS[[#This Row],[ID_MASSA]],tbl_de_massas[id_massa],tbl_de_massas[saldo_conta],"--",0,1)</f>
        <v>1176.3699999999999</v>
      </c>
      <c r="H62" t="str">
        <f>_xlfn.XLOOKUP(TBL_USUARIOS[[#This Row],[ID_MASSA]],tbl_de_massas[id_massa],tbl_de_massas[nome_completo],"--",0,1)</f>
        <v>Juliana Monteiro</v>
      </c>
    </row>
    <row r="63" spans="1:8" x14ac:dyDescent="0.25">
      <c r="A63" s="2" t="s">
        <v>5158</v>
      </c>
      <c r="B63" t="str">
        <f>_xlfn.XLOOKUP(TBL_USUARIOS[[#This Row],[ID_MASSA]],tbl_de_massas[id_massa],tbl_de_massas[cpf],"--",0,1)</f>
        <v>77287427109</v>
      </c>
      <c r="C63" t="s">
        <v>12</v>
      </c>
      <c r="D63" t="str">
        <f>_xlfn.XLOOKUP(TBL_USUARIOS[[#This Row],[ID_MASSA]],tbl_de_massas[id_massa],tbl_de_massas[nome_completo],"--",0,1)</f>
        <v>Vivian Borges</v>
      </c>
      <c r="E63" t="str">
        <f>_xlfn.XLOOKUP(TBL_USUARIOS[[#This Row],[ID_MASSA]],tbl_de_massas[id_massa],tbl_de_massas[cartao_fisico_numero],"--",0,1)</f>
        <v>6062 8200 6608 6265</v>
      </c>
      <c r="F63" t="str">
        <f>_xlfn.XLOOKUP(TBL_USUARIOS[[#This Row],[ID_MASSA]],tbl_de_massas[id_massa],tbl_de_massas[nome_completo],"--",0,1)</f>
        <v>Vivian Borges</v>
      </c>
      <c r="G63" s="47">
        <f>_xlfn.XLOOKUP(TBL_USUARIOS[[#This Row],[ID_MASSA]],tbl_de_massas[id_massa],tbl_de_massas[saldo_conta],"--",0,1)</f>
        <v>1183.1099999999999</v>
      </c>
      <c r="H63" t="str">
        <f>_xlfn.XLOOKUP(TBL_USUARIOS[[#This Row],[ID_MASSA]],tbl_de_massas[id_massa],tbl_de_massas[nome_completo],"--",0,1)</f>
        <v>Vivian Borges</v>
      </c>
    </row>
    <row r="64" spans="1:8" x14ac:dyDescent="0.25">
      <c r="A64" s="2" t="s">
        <v>3884</v>
      </c>
      <c r="B64" t="str">
        <f>_xlfn.XLOOKUP(TBL_USUARIOS[[#This Row],[ID_MASSA]],tbl_de_massas[id_massa],tbl_de_massas[cpf],"--",0,1)</f>
        <v>50051122600</v>
      </c>
      <c r="C64" t="s">
        <v>12</v>
      </c>
      <c r="D64" t="str">
        <f>_xlfn.XLOOKUP(TBL_USUARIOS[[#This Row],[ID_MASSA]],tbl_de_massas[id_massa],tbl_de_massas[nome_completo],"--",0,1)</f>
        <v>Matheus Barros Castro</v>
      </c>
      <c r="E64" t="str">
        <f>_xlfn.XLOOKUP(TBL_USUARIOS[[#This Row],[ID_MASSA]],tbl_de_massas[id_massa],tbl_de_massas[cartao_fisico_numero],"--",0,1)</f>
        <v>3782 295886 9182</v>
      </c>
      <c r="F64" t="str">
        <f>_xlfn.XLOOKUP(TBL_USUARIOS[[#This Row],[ID_MASSA]],tbl_de_massas[id_massa],tbl_de_massas[nome_completo],"--",0,1)</f>
        <v>Matheus Barros Castro</v>
      </c>
      <c r="G64" s="47">
        <f>_xlfn.XLOOKUP(TBL_USUARIOS[[#This Row],[ID_MASSA]],tbl_de_massas[id_massa],tbl_de_massas[saldo_conta],"--",0,1)</f>
        <v>1184.98</v>
      </c>
      <c r="H64" t="str">
        <f>_xlfn.XLOOKUP(TBL_USUARIOS[[#This Row],[ID_MASSA]],tbl_de_massas[id_massa],tbl_de_massas[nome_completo],"--",0,1)</f>
        <v>Matheus Barros Castro</v>
      </c>
    </row>
    <row r="65" spans="1:8" x14ac:dyDescent="0.25">
      <c r="A65" s="2" t="s">
        <v>5747</v>
      </c>
      <c r="B65" t="str">
        <f>_xlfn.XLOOKUP(TBL_USUARIOS[[#This Row],[ID_MASSA]],tbl_de_massas[id_massa],tbl_de_massas[cpf],"--",0,1)</f>
        <v>16819360703</v>
      </c>
      <c r="C65" t="s">
        <v>12</v>
      </c>
      <c r="D65" t="str">
        <f>_xlfn.XLOOKUP(TBL_USUARIOS[[#This Row],[ID_MASSA]],tbl_de_massas[id_massa],tbl_de_massas[nome_completo],"--",0,1)</f>
        <v>Gabriela Barbosa Lima</v>
      </c>
      <c r="E65" t="str">
        <f>_xlfn.XLOOKUP(TBL_USUARIOS[[#This Row],[ID_MASSA]],tbl_de_massas[id_massa],tbl_de_massas[cartao_fisico_numero],"--",0,1)</f>
        <v>5442 7460 4489 5962</v>
      </c>
      <c r="F65" t="str">
        <f>_xlfn.XLOOKUP(TBL_USUARIOS[[#This Row],[ID_MASSA]],tbl_de_massas[id_massa],tbl_de_massas[nome_completo],"--",0,1)</f>
        <v>Gabriela Barbosa Lima</v>
      </c>
      <c r="G65" s="47">
        <f>_xlfn.XLOOKUP(TBL_USUARIOS[[#This Row],[ID_MASSA]],tbl_de_massas[id_massa],tbl_de_massas[saldo_conta],"--",0,1)</f>
        <v>1215.48</v>
      </c>
      <c r="H65" t="str">
        <f>_xlfn.XLOOKUP(TBL_USUARIOS[[#This Row],[ID_MASSA]],tbl_de_massas[id_massa],tbl_de_massas[nome_completo],"--",0,1)</f>
        <v>Gabriela Barbosa Lima</v>
      </c>
    </row>
    <row r="66" spans="1:8" x14ac:dyDescent="0.25">
      <c r="A66" s="2" t="s">
        <v>2184</v>
      </c>
      <c r="B66" s="14" t="str">
        <f>_xlfn.XLOOKUP(TBL_USUARIOS[[#This Row],[ID_MASSA]],tbl_de_massas[id_massa],tbl_de_massas[cpf],"--",0,1)</f>
        <v>88712484814</v>
      </c>
      <c r="C66" t="s">
        <v>12</v>
      </c>
      <c r="D66" t="str">
        <f>_xlfn.XLOOKUP(TBL_USUARIOS[[#This Row],[ID_MASSA]],tbl_de_massas[id_massa],tbl_de_massas[nome_completo],"--",0,1)</f>
        <v>Camille Martin</v>
      </c>
      <c r="E66" t="str">
        <f>_xlfn.XLOOKUP(TBL_USUARIOS[[#This Row],[ID_MASSA]],tbl_de_massas[id_massa],tbl_de_massas[cartao_fisico_numero],"--",0,1)</f>
        <v>3782 720223 5276</v>
      </c>
      <c r="F66" t="str">
        <f>_xlfn.XLOOKUP(TBL_USUARIOS[[#This Row],[ID_MASSA]],tbl_de_massas[id_massa],tbl_de_massas[nome_completo],"--",0,1)</f>
        <v>Camille Martin</v>
      </c>
      <c r="G66" s="47">
        <f>_xlfn.XLOOKUP(TBL_USUARIOS[[#This Row],[ID_MASSA]],tbl_de_massas[id_massa],tbl_de_massas[saldo_conta],"--",0,1)</f>
        <v>1238.25</v>
      </c>
      <c r="H66" t="str">
        <f>_xlfn.XLOOKUP(TBL_USUARIOS[[#This Row],[ID_MASSA]],tbl_de_massas[id_massa],tbl_de_massas[nome_completo],"--",0,1)</f>
        <v>Camille Martin</v>
      </c>
    </row>
    <row r="67" spans="1:8" x14ac:dyDescent="0.25">
      <c r="A67" s="2" t="s">
        <v>4708</v>
      </c>
      <c r="B67" t="str">
        <f>_xlfn.XLOOKUP(TBL_USUARIOS[[#This Row],[ID_MASSA]],tbl_de_massas[id_massa],tbl_de_massas[cpf],"--",0,1)</f>
        <v>17144667106</v>
      </c>
      <c r="C67" t="s">
        <v>12</v>
      </c>
      <c r="D67" t="str">
        <f>_xlfn.XLOOKUP(TBL_USUARIOS[[#This Row],[ID_MASSA]],tbl_de_massas[id_massa],tbl_de_massas[nome_completo],"--",0,1)</f>
        <v>Priscila Rocha Araujo</v>
      </c>
      <c r="E67" t="str">
        <f>_xlfn.XLOOKUP(TBL_USUARIOS[[#This Row],[ID_MASSA]],tbl_de_massas[id_massa],tbl_de_massas[cartao_fisico_numero],"--",0,1)</f>
        <v>3782 231178 1491</v>
      </c>
      <c r="F67" t="str">
        <f>_xlfn.XLOOKUP(TBL_USUARIOS[[#This Row],[ID_MASSA]],tbl_de_massas[id_massa],tbl_de_massas[nome_completo],"--",0,1)</f>
        <v>Priscila Rocha Araujo</v>
      </c>
      <c r="G67" s="47">
        <f>_xlfn.XLOOKUP(TBL_USUARIOS[[#This Row],[ID_MASSA]],tbl_de_massas[id_massa],tbl_de_massas[saldo_conta],"--",0,1)</f>
        <v>1244.79</v>
      </c>
      <c r="H67" t="str">
        <f>_xlfn.XLOOKUP(TBL_USUARIOS[[#This Row],[ID_MASSA]],tbl_de_massas[id_massa],tbl_de_massas[nome_completo],"--",0,1)</f>
        <v>Priscila Rocha Araujo</v>
      </c>
    </row>
    <row r="68" spans="1:8" x14ac:dyDescent="0.25">
      <c r="A68" s="2" t="s">
        <v>3417</v>
      </c>
      <c r="B68" t="str">
        <f>_xlfn.XLOOKUP(TBL_USUARIOS[[#This Row],[ID_MASSA]],tbl_de_massas[id_massa],tbl_de_massas[cpf],"--",0,1)</f>
        <v>22060989540</v>
      </c>
      <c r="C68" t="s">
        <v>12</v>
      </c>
      <c r="D68" t="str">
        <f>_xlfn.XLOOKUP(TBL_USUARIOS[[#This Row],[ID_MASSA]],tbl_de_massas[id_massa],tbl_de_massas[nome_completo],"--",0,1)</f>
        <v>Mariana Almeida</v>
      </c>
      <c r="E68" t="str">
        <f>_xlfn.XLOOKUP(TBL_USUARIOS[[#This Row],[ID_MASSA]],tbl_de_massas[id_massa],tbl_de_massas[cartao_fisico_numero],"--",0,1)</f>
        <v>5442 7460 3392 0513</v>
      </c>
      <c r="F68" t="str">
        <f>_xlfn.XLOOKUP(TBL_USUARIOS[[#This Row],[ID_MASSA]],tbl_de_massas[id_massa],tbl_de_massas[nome_completo],"--",0,1)</f>
        <v>Mariana Almeida</v>
      </c>
      <c r="G68" s="47">
        <f>_xlfn.XLOOKUP(TBL_USUARIOS[[#This Row],[ID_MASSA]],tbl_de_massas[id_massa],tbl_de_massas[saldo_conta],"--",0,1)</f>
        <v>1253.3900000000001</v>
      </c>
      <c r="H68" t="str">
        <f>_xlfn.XLOOKUP(TBL_USUARIOS[[#This Row],[ID_MASSA]],tbl_de_massas[id_massa],tbl_de_massas[nome_completo],"--",0,1)</f>
        <v>Mariana Almeida</v>
      </c>
    </row>
    <row r="69" spans="1:8" x14ac:dyDescent="0.25">
      <c r="A69" s="2" t="s">
        <v>4661</v>
      </c>
      <c r="B69" t="str">
        <f>_xlfn.XLOOKUP(TBL_USUARIOS[[#This Row],[ID_MASSA]],tbl_de_massas[id_massa],tbl_de_massas[cpf],"--",0,1)</f>
        <v>65363085909</v>
      </c>
      <c r="C69" t="s">
        <v>12</v>
      </c>
      <c r="D69" t="str">
        <f>_xlfn.XLOOKUP(TBL_USUARIOS[[#This Row],[ID_MASSA]],tbl_de_massas[id_massa],tbl_de_massas[nome_completo],"--",0,1)</f>
        <v>Carolina Dias</v>
      </c>
      <c r="E69" t="str">
        <f>_xlfn.XLOOKUP(TBL_USUARIOS[[#This Row],[ID_MASSA]],tbl_de_massas[id_massa],tbl_de_massas[cartao_fisico_numero],"--",0,1)</f>
        <v>6062 8200 9422 6725</v>
      </c>
      <c r="F69" t="str">
        <f>_xlfn.XLOOKUP(TBL_USUARIOS[[#This Row],[ID_MASSA]],tbl_de_massas[id_massa],tbl_de_massas[nome_completo],"--",0,1)</f>
        <v>Carolina Dias</v>
      </c>
      <c r="G69" s="47">
        <f>_xlfn.XLOOKUP(TBL_USUARIOS[[#This Row],[ID_MASSA]],tbl_de_massas[id_massa],tbl_de_massas[saldo_conta],"--",0,1)</f>
        <v>1263.29</v>
      </c>
      <c r="H69" t="str">
        <f>_xlfn.XLOOKUP(TBL_USUARIOS[[#This Row],[ID_MASSA]],tbl_de_massas[id_massa],tbl_de_massas[nome_completo],"--",0,1)</f>
        <v>Carolina Dias</v>
      </c>
    </row>
    <row r="70" spans="1:8" x14ac:dyDescent="0.25">
      <c r="A70" s="2" t="s">
        <v>4583</v>
      </c>
      <c r="B70" t="str">
        <f>_xlfn.XLOOKUP(TBL_USUARIOS[[#This Row],[ID_MASSA]],tbl_de_massas[id_massa],tbl_de_massas[cpf],"--",0,1)</f>
        <v>49733368318</v>
      </c>
      <c r="C70" t="s">
        <v>12</v>
      </c>
      <c r="D70" t="str">
        <f>_xlfn.XLOOKUP(TBL_USUARIOS[[#This Row],[ID_MASSA]],tbl_de_massas[id_massa],tbl_de_massas[nome_completo],"--",0,1)</f>
        <v>Gustavo Carvalho</v>
      </c>
      <c r="E70" t="str">
        <f>_xlfn.XLOOKUP(TBL_USUARIOS[[#This Row],[ID_MASSA]],tbl_de_massas[id_massa],tbl_de_massas[cartao_fisico_numero],"--",0,1)</f>
        <v>5442 7460 1594 6274</v>
      </c>
      <c r="F70" t="str">
        <f>_xlfn.XLOOKUP(TBL_USUARIOS[[#This Row],[ID_MASSA]],tbl_de_massas[id_massa],tbl_de_massas[nome_completo],"--",0,1)</f>
        <v>Gustavo Carvalho</v>
      </c>
      <c r="G70" s="47">
        <f>_xlfn.XLOOKUP(TBL_USUARIOS[[#This Row],[ID_MASSA]],tbl_de_massas[id_massa],tbl_de_massas[saldo_conta],"--",0,1)</f>
        <v>1269.8499999999999</v>
      </c>
      <c r="H70" t="str">
        <f>_xlfn.XLOOKUP(TBL_USUARIOS[[#This Row],[ID_MASSA]],tbl_de_massas[id_massa],tbl_de_massas[nome_completo],"--",0,1)</f>
        <v>Gustavo Carvalho</v>
      </c>
    </row>
    <row r="71" spans="1:8" x14ac:dyDescent="0.25">
      <c r="A71" s="2" t="s">
        <v>3043</v>
      </c>
      <c r="B71" t="str">
        <f>_xlfn.XLOOKUP(TBL_USUARIOS[[#This Row],[ID_MASSA]],tbl_de_massas[id_massa],tbl_de_massas[cpf],"--",0,1)</f>
        <v>17699645766</v>
      </c>
      <c r="C71" t="s">
        <v>12</v>
      </c>
      <c r="D71" t="str">
        <f>_xlfn.XLOOKUP(TBL_USUARIOS[[#This Row],[ID_MASSA]],tbl_de_massas[id_massa],tbl_de_massas[nome_completo],"--",0,1)</f>
        <v>Gustavo Barros</v>
      </c>
      <c r="E71" t="str">
        <f>_xlfn.XLOOKUP(TBL_USUARIOS[[#This Row],[ID_MASSA]],tbl_de_massas[id_massa],tbl_de_massas[cartao_fisico_numero],"--",0,1)</f>
        <v>4576 7460 4938 4943</v>
      </c>
      <c r="F71" t="str">
        <f>_xlfn.XLOOKUP(TBL_USUARIOS[[#This Row],[ID_MASSA]],tbl_de_massas[id_massa],tbl_de_massas[nome_completo],"--",0,1)</f>
        <v>Gustavo Barros</v>
      </c>
      <c r="G71" s="47">
        <f>_xlfn.XLOOKUP(TBL_USUARIOS[[#This Row],[ID_MASSA]],tbl_de_massas[id_massa],tbl_de_massas[saldo_conta],"--",0,1)</f>
        <v>1280.1600000000001</v>
      </c>
      <c r="H71" t="str">
        <f>_xlfn.XLOOKUP(TBL_USUARIOS[[#This Row],[ID_MASSA]],tbl_de_massas[id_massa],tbl_de_massas[nome_completo],"--",0,1)</f>
        <v>Gustavo Barros</v>
      </c>
    </row>
    <row r="72" spans="1:8" x14ac:dyDescent="0.25">
      <c r="A72" s="2" t="s">
        <v>4522</v>
      </c>
      <c r="B72" t="str">
        <f>_xlfn.XLOOKUP(TBL_USUARIOS[[#This Row],[ID_MASSA]],tbl_de_massas[id_massa],tbl_de_massas[cpf],"--",0,1)</f>
        <v>51102917567</v>
      </c>
      <c r="C72" t="s">
        <v>12</v>
      </c>
      <c r="D72" t="str">
        <f>_xlfn.XLOOKUP(TBL_USUARIOS[[#This Row],[ID_MASSA]],tbl_de_massas[id_massa],tbl_de_massas[nome_completo],"--",0,1)</f>
        <v>Leonardo Alves Barbosa</v>
      </c>
      <c r="E72" t="str">
        <f>_xlfn.XLOOKUP(TBL_USUARIOS[[#This Row],[ID_MASSA]],tbl_de_massas[id_massa],tbl_de_massas[cartao_fisico_numero],"--",0,1)</f>
        <v>3782 314331 2867</v>
      </c>
      <c r="F72" t="str">
        <f>_xlfn.XLOOKUP(TBL_USUARIOS[[#This Row],[ID_MASSA]],tbl_de_massas[id_massa],tbl_de_massas[nome_completo],"--",0,1)</f>
        <v>Leonardo Alves Barbosa</v>
      </c>
      <c r="G72" s="47">
        <f>_xlfn.XLOOKUP(TBL_USUARIOS[[#This Row],[ID_MASSA]],tbl_de_massas[id_massa],tbl_de_massas[saldo_conta],"--",0,1)</f>
        <v>1286.97</v>
      </c>
      <c r="H72" t="str">
        <f>_xlfn.XLOOKUP(TBL_USUARIOS[[#This Row],[ID_MASSA]],tbl_de_massas[id_massa],tbl_de_massas[nome_completo],"--",0,1)</f>
        <v>Leonardo Alves Barbosa</v>
      </c>
    </row>
    <row r="73" spans="1:8" x14ac:dyDescent="0.25">
      <c r="A73" s="2" t="s">
        <v>2177</v>
      </c>
      <c r="B73" s="14" t="str">
        <f>_xlfn.XLOOKUP(TBL_USUARIOS[[#This Row],[ID_MASSA]],tbl_de_massas[id_massa],tbl_de_massas[cpf],"--",0,1)</f>
        <v>65921979198</v>
      </c>
      <c r="C73" t="s">
        <v>12</v>
      </c>
      <c r="D73" t="str">
        <f>_xlfn.XLOOKUP(TBL_USUARIOS[[#This Row],[ID_MASSA]],tbl_de_massas[id_massa],tbl_de_massas[nome_completo],"--",0,1)</f>
        <v>Olivia Elizabeth Davis</v>
      </c>
      <c r="E73" t="str">
        <f>_xlfn.XLOOKUP(TBL_USUARIOS[[#This Row],[ID_MASSA]],tbl_de_massas[id_massa],tbl_de_massas[cartao_fisico_numero],"--",0,1)</f>
        <v>3782 964484 9713</v>
      </c>
      <c r="F73" t="str">
        <f>_xlfn.XLOOKUP(TBL_USUARIOS[[#This Row],[ID_MASSA]],tbl_de_massas[id_massa],tbl_de_massas[nome_completo],"--",0,1)</f>
        <v>Olivia Elizabeth Davis</v>
      </c>
      <c r="G73" s="47">
        <f>_xlfn.XLOOKUP(TBL_USUARIOS[[#This Row],[ID_MASSA]],tbl_de_massas[id_massa],tbl_de_massas[saldo_conta],"--",0,1)</f>
        <v>1291.8900000000001</v>
      </c>
      <c r="H73" t="str">
        <f>_xlfn.XLOOKUP(TBL_USUARIOS[[#This Row],[ID_MASSA]],tbl_de_massas[id_massa],tbl_de_massas[nome_completo],"--",0,1)</f>
        <v>Olivia Elizabeth Davis</v>
      </c>
    </row>
    <row r="74" spans="1:8" x14ac:dyDescent="0.25">
      <c r="A74" s="2" t="s">
        <v>4430</v>
      </c>
      <c r="B74" t="str">
        <f>_xlfn.XLOOKUP(TBL_USUARIOS[[#This Row],[ID_MASSA]],tbl_de_massas[id_massa],tbl_de_massas[cpf],"--",0,1)</f>
        <v>10875742777</v>
      </c>
      <c r="C74" t="s">
        <v>12</v>
      </c>
      <c r="D74" t="str">
        <f>_xlfn.XLOOKUP(TBL_USUARIOS[[#This Row],[ID_MASSA]],tbl_de_massas[id_massa],tbl_de_massas[nome_completo],"--",0,1)</f>
        <v>Sabrina Ribeiro Moura</v>
      </c>
      <c r="E74" t="str">
        <f>_xlfn.XLOOKUP(TBL_USUARIOS[[#This Row],[ID_MASSA]],tbl_de_massas[id_massa],tbl_de_massas[cartao_fisico_numero],"--",0,1)</f>
        <v/>
      </c>
      <c r="F74" t="str">
        <f>_xlfn.XLOOKUP(TBL_USUARIOS[[#This Row],[ID_MASSA]],tbl_de_massas[id_massa],tbl_de_massas[nome_completo],"--",0,1)</f>
        <v>Sabrina Ribeiro Moura</v>
      </c>
      <c r="G74" s="47">
        <f>_xlfn.XLOOKUP(TBL_USUARIOS[[#This Row],[ID_MASSA]],tbl_de_massas[id_massa],tbl_de_massas[saldo_conta],"--",0,1)</f>
        <v>1297.6500000000001</v>
      </c>
      <c r="H74" t="str">
        <f>_xlfn.XLOOKUP(TBL_USUARIOS[[#This Row],[ID_MASSA]],tbl_de_massas[id_massa],tbl_de_massas[nome_completo],"--",0,1)</f>
        <v>Sabrina Ribeiro Moura</v>
      </c>
    </row>
    <row r="75" spans="1:8" x14ac:dyDescent="0.25">
      <c r="A75" s="2" t="s">
        <v>2394</v>
      </c>
      <c r="B75" s="14" t="str">
        <f>_xlfn.XLOOKUP(TBL_USUARIOS[[#This Row],[ID_MASSA]],tbl_de_massas[id_massa],tbl_de_massas[cpf],"--",0,1)</f>
        <v>12312312312</v>
      </c>
      <c r="C75" t="s">
        <v>12</v>
      </c>
      <c r="D75" t="str">
        <f>_xlfn.XLOOKUP(TBL_USUARIOS[[#This Row],[ID_MASSA]],tbl_de_massas[id_massa],tbl_de_massas[nome_completo],"--",0,1)</f>
        <v>Broder jonas</v>
      </c>
      <c r="E75" t="str">
        <f>_xlfn.XLOOKUP(TBL_USUARIOS[[#This Row],[ID_MASSA]],tbl_de_massas[id_massa],tbl_de_massas[cartao_fisico_numero],"--",0,1)</f>
        <v>5373 6360 9094 8588</v>
      </c>
      <c r="F75" t="str">
        <f>_xlfn.XLOOKUP(TBL_USUARIOS[[#This Row],[ID_MASSA]],tbl_de_massas[id_massa],tbl_de_massas[nome_completo],"--",0,1)</f>
        <v>Broder jonas</v>
      </c>
      <c r="G75" s="47">
        <f>_xlfn.XLOOKUP(TBL_USUARIOS[[#This Row],[ID_MASSA]],tbl_de_massas[id_massa],tbl_de_massas[saldo_conta],"--",0,1)</f>
        <v>1002</v>
      </c>
      <c r="H75" t="str">
        <f>_xlfn.XLOOKUP(TBL_USUARIOS[[#This Row],[ID_MASSA]],tbl_de_massas[id_massa],tbl_de_massas[nome_completo],"--",0,1)</f>
        <v>Broder jonas</v>
      </c>
    </row>
    <row r="76" spans="1:8" x14ac:dyDescent="0.25">
      <c r="A76" s="2" t="s">
        <v>3421</v>
      </c>
      <c r="B76" t="str">
        <f>_xlfn.XLOOKUP(TBL_USUARIOS[[#This Row],[ID_MASSA]],tbl_de_massas[id_massa],tbl_de_massas[cpf],"--",0,1)</f>
        <v>68687344414</v>
      </c>
      <c r="C76" t="s">
        <v>12</v>
      </c>
      <c r="D76" t="str">
        <f>_xlfn.XLOOKUP(TBL_USUARIOS[[#This Row],[ID_MASSA]],tbl_de_massas[id_massa],tbl_de_massas[nome_completo],"--",0,1)</f>
        <v>Gabriela Oliveira Cardoso</v>
      </c>
      <c r="E76" t="str">
        <f>_xlfn.XLOOKUP(TBL_USUARIOS[[#This Row],[ID_MASSA]],tbl_de_massas[id_massa],tbl_de_massas[cartao_fisico_numero],"--",0,1)</f>
        <v>5442 7460 9195 6352</v>
      </c>
      <c r="F76" t="str">
        <f>_xlfn.XLOOKUP(TBL_USUARIOS[[#This Row],[ID_MASSA]],tbl_de_massas[id_massa],tbl_de_massas[nome_completo],"--",0,1)</f>
        <v>Gabriela Oliveira Cardoso</v>
      </c>
      <c r="G76" s="47">
        <f>_xlfn.XLOOKUP(TBL_USUARIOS[[#This Row],[ID_MASSA]],tbl_de_massas[id_massa],tbl_de_massas[saldo_conta],"--",0,1)</f>
        <v>1322.4</v>
      </c>
      <c r="H76" t="str">
        <f>_xlfn.XLOOKUP(TBL_USUARIOS[[#This Row],[ID_MASSA]],tbl_de_massas[id_massa],tbl_de_massas[nome_completo],"--",0,1)</f>
        <v>Gabriela Oliveira Cardoso</v>
      </c>
    </row>
    <row r="77" spans="1:8" x14ac:dyDescent="0.25">
      <c r="A77" s="2" t="s">
        <v>6020</v>
      </c>
      <c r="B77" t="str">
        <f>_xlfn.XLOOKUP(TBL_USUARIOS[[#This Row],[ID_MASSA]],tbl_de_massas[id_massa],tbl_de_massas[cpf],"--",0,1)</f>
        <v>59451664130</v>
      </c>
      <c r="C77" t="s">
        <v>12</v>
      </c>
      <c r="D77" t="str">
        <f>_xlfn.XLOOKUP(TBL_USUARIOS[[#This Row],[ID_MASSA]],tbl_de_massas[id_massa],tbl_de_massas[nome_completo],"--",0,1)</f>
        <v>Vinicius Dias Rocha</v>
      </c>
      <c r="E77" t="str">
        <f>_xlfn.XLOOKUP(TBL_USUARIOS[[#This Row],[ID_MASSA]],tbl_de_massas[id_massa],tbl_de_massas[cartao_fisico_numero],"--",0,1)</f>
        <v>3782 880469 0814</v>
      </c>
      <c r="F77" t="str">
        <f>_xlfn.XLOOKUP(TBL_USUARIOS[[#This Row],[ID_MASSA]],tbl_de_massas[id_massa],tbl_de_massas[nome_completo],"--",0,1)</f>
        <v>Vinicius Dias Rocha</v>
      </c>
      <c r="G77" s="47">
        <f>_xlfn.XLOOKUP(TBL_USUARIOS[[#This Row],[ID_MASSA]],tbl_de_massas[id_massa],tbl_de_massas[saldo_conta],"--",0,1)</f>
        <v>1322.4</v>
      </c>
      <c r="H77" t="str">
        <f>_xlfn.XLOOKUP(TBL_USUARIOS[[#This Row],[ID_MASSA]],tbl_de_massas[id_massa],tbl_de_massas[nome_completo],"--",0,1)</f>
        <v>Vinicius Dias Rocha</v>
      </c>
    </row>
    <row r="78" spans="1:8" x14ac:dyDescent="0.25">
      <c r="A78" s="2" t="s">
        <v>5689</v>
      </c>
      <c r="B78" t="str">
        <f>_xlfn.XLOOKUP(TBL_USUARIOS[[#This Row],[ID_MASSA]],tbl_de_massas[id_massa],tbl_de_massas[cpf],"--",0,1)</f>
        <v>31541386094</v>
      </c>
      <c r="C78" t="s">
        <v>12</v>
      </c>
      <c r="D78" t="str">
        <f>_xlfn.XLOOKUP(TBL_USUARIOS[[#This Row],[ID_MASSA]],tbl_de_massas[id_massa],tbl_de_massas[nome_completo],"--",0,1)</f>
        <v>Leticia Dias Teixeira</v>
      </c>
      <c r="E78" t="str">
        <f>_xlfn.XLOOKUP(TBL_USUARIOS[[#This Row],[ID_MASSA]],tbl_de_massas[id_massa],tbl_de_massas[cartao_fisico_numero],"--",0,1)</f>
        <v/>
      </c>
      <c r="F78" t="str">
        <f>_xlfn.XLOOKUP(TBL_USUARIOS[[#This Row],[ID_MASSA]],tbl_de_massas[id_massa],tbl_de_massas[nome_completo],"--",0,1)</f>
        <v>Leticia Dias Teixeira</v>
      </c>
      <c r="G78" s="47">
        <f>_xlfn.XLOOKUP(TBL_USUARIOS[[#This Row],[ID_MASSA]],tbl_de_massas[id_massa],tbl_de_massas[saldo_conta],"--",0,1)</f>
        <v>1349.76</v>
      </c>
      <c r="H78" t="str">
        <f>_xlfn.XLOOKUP(TBL_USUARIOS[[#This Row],[ID_MASSA]],tbl_de_massas[id_massa],tbl_de_massas[nome_completo],"--",0,1)</f>
        <v>Leticia Dias Teixeira</v>
      </c>
    </row>
    <row r="79" spans="1:8" x14ac:dyDescent="0.25">
      <c r="A79" s="2" t="s">
        <v>5229</v>
      </c>
      <c r="B79" t="str">
        <f>_xlfn.XLOOKUP(TBL_USUARIOS[[#This Row],[ID_MASSA]],tbl_de_massas[id_massa],tbl_de_massas[cpf],"--",0,1)</f>
        <v>40706702972</v>
      </c>
      <c r="C79" t="s">
        <v>12</v>
      </c>
      <c r="D79" t="str">
        <f>_xlfn.XLOOKUP(TBL_USUARIOS[[#This Row],[ID_MASSA]],tbl_de_massas[id_massa],tbl_de_massas[nome_completo],"--",0,1)</f>
        <v>Renato Moura Mendes</v>
      </c>
      <c r="E79" t="str">
        <f>_xlfn.XLOOKUP(TBL_USUARIOS[[#This Row],[ID_MASSA]],tbl_de_massas[id_massa],tbl_de_massas[cartao_fisico_numero],"--",0,1)</f>
        <v>4576 7460 9161 7374</v>
      </c>
      <c r="F79" t="str">
        <f>_xlfn.XLOOKUP(TBL_USUARIOS[[#This Row],[ID_MASSA]],tbl_de_massas[id_massa],tbl_de_massas[nome_completo],"--",0,1)</f>
        <v>Renato Moura Mendes</v>
      </c>
      <c r="G79" s="47">
        <f>_xlfn.XLOOKUP(TBL_USUARIOS[[#This Row],[ID_MASSA]],tbl_de_massas[id_massa],tbl_de_massas[saldo_conta],"--",0,1)</f>
        <v>1356.33</v>
      </c>
      <c r="H79" t="str">
        <f>_xlfn.XLOOKUP(TBL_USUARIOS[[#This Row],[ID_MASSA]],tbl_de_massas[id_massa],tbl_de_massas[nome_completo],"--",0,1)</f>
        <v>Renato Moura Mendes</v>
      </c>
    </row>
    <row r="80" spans="1:8" x14ac:dyDescent="0.25">
      <c r="A80" s="2" t="s">
        <v>3509</v>
      </c>
      <c r="B80" t="str">
        <f>_xlfn.XLOOKUP(TBL_USUARIOS[[#This Row],[ID_MASSA]],tbl_de_massas[id_massa],tbl_de_massas[cpf],"--",0,1)</f>
        <v>25243338923</v>
      </c>
      <c r="C80" t="s">
        <v>12</v>
      </c>
      <c r="D80" t="str">
        <f>_xlfn.XLOOKUP(TBL_USUARIOS[[#This Row],[ID_MASSA]],tbl_de_massas[id_massa],tbl_de_massas[nome_completo],"--",0,1)</f>
        <v>Leonardo Martins Cavalcanti</v>
      </c>
      <c r="E80" t="str">
        <f>_xlfn.XLOOKUP(TBL_USUARIOS[[#This Row],[ID_MASSA]],tbl_de_massas[id_massa],tbl_de_massas[cartao_fisico_numero],"--",0,1)</f>
        <v>3782 828012 1686</v>
      </c>
      <c r="F80" t="str">
        <f>_xlfn.XLOOKUP(TBL_USUARIOS[[#This Row],[ID_MASSA]],tbl_de_massas[id_massa],tbl_de_massas[nome_completo],"--",0,1)</f>
        <v>Leonardo Martins Cavalcanti</v>
      </c>
      <c r="G80" s="47">
        <f>_xlfn.XLOOKUP(TBL_USUARIOS[[#This Row],[ID_MASSA]],tbl_de_massas[id_massa],tbl_de_massas[saldo_conta],"--",0,1)</f>
        <v>1369.86</v>
      </c>
      <c r="H80" t="str">
        <f>_xlfn.XLOOKUP(TBL_USUARIOS[[#This Row],[ID_MASSA]],tbl_de_massas[id_massa],tbl_de_massas[nome_completo],"--",0,1)</f>
        <v>Leonardo Martins Cavalcanti</v>
      </c>
    </row>
    <row r="81" spans="1:8" x14ac:dyDescent="0.25">
      <c r="A81" s="2" t="s">
        <v>2882</v>
      </c>
      <c r="B81" t="str">
        <f>_xlfn.XLOOKUP(TBL_USUARIOS[[#This Row],[ID_MASSA]],tbl_de_massas[id_massa],tbl_de_massas[cpf],"--",0,1)</f>
        <v>28729302056</v>
      </c>
      <c r="C81" t="s">
        <v>12</v>
      </c>
      <c r="D81" t="str">
        <f>_xlfn.XLOOKUP(TBL_USUARIOS[[#This Row],[ID_MASSA]],tbl_de_massas[id_massa],tbl_de_massas[nome_completo],"--",0,1)</f>
        <v>Renato Ribeiro Vieira</v>
      </c>
      <c r="E81" t="str">
        <f>_xlfn.XLOOKUP(TBL_USUARIOS[[#This Row],[ID_MASSA]],tbl_de_massas[id_massa],tbl_de_massas[cartao_fisico_numero],"--",0,1)</f>
        <v/>
      </c>
      <c r="F81" t="str">
        <f>_xlfn.XLOOKUP(TBL_USUARIOS[[#This Row],[ID_MASSA]],tbl_de_massas[id_massa],tbl_de_massas[nome_completo],"--",0,1)</f>
        <v>Renato Ribeiro Vieira</v>
      </c>
      <c r="G81" s="47">
        <f>_xlfn.XLOOKUP(TBL_USUARIOS[[#This Row],[ID_MASSA]],tbl_de_massas[id_massa],tbl_de_massas[saldo_conta],"--",0,1)</f>
        <v>1370.51</v>
      </c>
      <c r="H81" t="str">
        <f>_xlfn.XLOOKUP(TBL_USUARIOS[[#This Row],[ID_MASSA]],tbl_de_massas[id_massa],tbl_de_massas[nome_completo],"--",0,1)</f>
        <v>Renato Ribeiro Vieira</v>
      </c>
    </row>
    <row r="82" spans="1:8" x14ac:dyDescent="0.25">
      <c r="A82" s="2" t="s">
        <v>4225</v>
      </c>
      <c r="B82" t="str">
        <f>_xlfn.XLOOKUP(TBL_USUARIOS[[#This Row],[ID_MASSA]],tbl_de_massas[id_massa],tbl_de_massas[cpf],"--",0,1)</f>
        <v>85377706390</v>
      </c>
      <c r="C82" t="s">
        <v>12</v>
      </c>
      <c r="D82" t="str">
        <f>_xlfn.XLOOKUP(TBL_USUARIOS[[#This Row],[ID_MASSA]],tbl_de_massas[id_massa],tbl_de_massas[nome_completo],"--",0,1)</f>
        <v>Caio Pereira Oliveira</v>
      </c>
      <c r="E82" t="str">
        <f>_xlfn.XLOOKUP(TBL_USUARIOS[[#This Row],[ID_MASSA]],tbl_de_massas[id_massa],tbl_de_massas[cartao_fisico_numero],"--",0,1)</f>
        <v/>
      </c>
      <c r="F82" t="str">
        <f>_xlfn.XLOOKUP(TBL_USUARIOS[[#This Row],[ID_MASSA]],tbl_de_massas[id_massa],tbl_de_massas[nome_completo],"--",0,1)</f>
        <v>Caio Pereira Oliveira</v>
      </c>
      <c r="G82" s="47">
        <f>_xlfn.XLOOKUP(TBL_USUARIOS[[#This Row],[ID_MASSA]],tbl_de_massas[id_massa],tbl_de_massas[saldo_conta],"--",0,1)</f>
        <v>1379.19</v>
      </c>
      <c r="H82" t="str">
        <f>_xlfn.XLOOKUP(TBL_USUARIOS[[#This Row],[ID_MASSA]],tbl_de_massas[id_massa],tbl_de_massas[nome_completo],"--",0,1)</f>
        <v>Caio Pereira Oliveira</v>
      </c>
    </row>
    <row r="83" spans="1:8" x14ac:dyDescent="0.25">
      <c r="A83" s="2" t="s">
        <v>5697</v>
      </c>
      <c r="B83" t="str">
        <f>_xlfn.XLOOKUP(TBL_USUARIOS[[#This Row],[ID_MASSA]],tbl_de_massas[id_massa],tbl_de_massas[cpf],"--",0,1)</f>
        <v>16943119290</v>
      </c>
      <c r="C83" t="s">
        <v>12</v>
      </c>
      <c r="D83" t="str">
        <f>_xlfn.XLOOKUP(TBL_USUARIOS[[#This Row],[ID_MASSA]],tbl_de_massas[id_massa],tbl_de_massas[nome_completo],"--",0,1)</f>
        <v>Aline Oliveira Araujo</v>
      </c>
      <c r="E83" t="str">
        <f>_xlfn.XLOOKUP(TBL_USUARIOS[[#This Row],[ID_MASSA]],tbl_de_massas[id_massa],tbl_de_massas[cartao_fisico_numero],"--",0,1)</f>
        <v>3782 132737 7327</v>
      </c>
      <c r="F83" t="str">
        <f>_xlfn.XLOOKUP(TBL_USUARIOS[[#This Row],[ID_MASSA]],tbl_de_massas[id_massa],tbl_de_massas[nome_completo],"--",0,1)</f>
        <v>Aline Oliveira Araujo</v>
      </c>
      <c r="G83" s="47">
        <f>_xlfn.XLOOKUP(TBL_USUARIOS[[#This Row],[ID_MASSA]],tbl_de_massas[id_massa],tbl_de_massas[saldo_conta],"--",0,1)</f>
        <v>1380.79</v>
      </c>
      <c r="H83" t="str">
        <f>_xlfn.XLOOKUP(TBL_USUARIOS[[#This Row],[ID_MASSA]],tbl_de_massas[id_massa],tbl_de_massas[nome_completo],"--",0,1)</f>
        <v>Aline Oliveira Araujo</v>
      </c>
    </row>
    <row r="84" spans="1:8" x14ac:dyDescent="0.25">
      <c r="A84" s="2" t="s">
        <v>6651</v>
      </c>
      <c r="B84" t="str">
        <f>_xlfn.XLOOKUP(TBL_USUARIOS[[#This Row],[ID_MASSA]],tbl_de_massas[id_massa],tbl_de_massas[cpf],"--",0,1)</f>
        <v>63915229016</v>
      </c>
      <c r="C84" t="s">
        <v>12</v>
      </c>
      <c r="D84" t="str">
        <f>_xlfn.XLOOKUP(TBL_USUARIOS[[#This Row],[ID_MASSA]],tbl_de_massas[id_massa],tbl_de_massas[nome_completo],"--",0,1)</f>
        <v>Hina Inoue</v>
      </c>
      <c r="E84" t="str">
        <f>_xlfn.XLOOKUP(TBL_USUARIOS[[#This Row],[ID_MASSA]],tbl_de_massas[id_massa],tbl_de_massas[cartao_fisico_numero],"--",0,1)</f>
        <v>4576 7460 6457 8756</v>
      </c>
      <c r="F84" t="str">
        <f>_xlfn.XLOOKUP(TBL_USUARIOS[[#This Row],[ID_MASSA]],tbl_de_massas[id_massa],tbl_de_massas[nome_completo],"--",0,1)</f>
        <v>Hina Inoue</v>
      </c>
      <c r="G84" s="47">
        <f>_xlfn.XLOOKUP(TBL_USUARIOS[[#This Row],[ID_MASSA]],tbl_de_massas[id_massa],tbl_de_massas[saldo_conta],"--",0,1)</f>
        <v>1389.22</v>
      </c>
      <c r="H84" t="str">
        <f>_xlfn.XLOOKUP(TBL_USUARIOS[[#This Row],[ID_MASSA]],tbl_de_massas[id_massa],tbl_de_massas[nome_completo],"--",0,1)</f>
        <v>Hina Inoue</v>
      </c>
    </row>
    <row r="85" spans="1:8" x14ac:dyDescent="0.25">
      <c r="A85" s="2" t="s">
        <v>2395</v>
      </c>
      <c r="B85" s="14" t="str">
        <f>_xlfn.XLOOKUP(TBL_USUARIOS[[#This Row],[ID_MASSA]],tbl_de_massas[id_massa],tbl_de_massas[cpf],"--",0,1)</f>
        <v>12312312388</v>
      </c>
      <c r="C85" t="s">
        <v>12</v>
      </c>
      <c r="D85" t="str">
        <f>_xlfn.XLOOKUP(TBL_USUARIOS[[#This Row],[ID_MASSA]],tbl_de_massas[id_massa],tbl_de_massas[nome_completo],"--",0,1)</f>
        <v>Broder jonas</v>
      </c>
      <c r="E85" t="str">
        <f>_xlfn.XLOOKUP(TBL_USUARIOS[[#This Row],[ID_MASSA]],tbl_de_massas[id_massa],tbl_de_massas[cartao_fisico_numero],"--",0,1)</f>
        <v>5185 4460 2657 3346</v>
      </c>
      <c r="F85" t="str">
        <f>_xlfn.XLOOKUP(TBL_USUARIOS[[#This Row],[ID_MASSA]],tbl_de_massas[id_massa],tbl_de_massas[nome_completo],"--",0,1)</f>
        <v>Broder jonas</v>
      </c>
      <c r="G85" s="47">
        <f>_xlfn.XLOOKUP(TBL_USUARIOS[[#This Row],[ID_MASSA]],tbl_de_massas[id_massa],tbl_de_massas[saldo_conta],"--",0,1)</f>
        <v>1101.8</v>
      </c>
      <c r="H85" t="str">
        <f>_xlfn.XLOOKUP(TBL_USUARIOS[[#This Row],[ID_MASSA]],tbl_de_massas[id_massa],tbl_de_massas[nome_completo],"--",0,1)</f>
        <v>Broder jonas</v>
      </c>
    </row>
    <row r="86" spans="1:8" x14ac:dyDescent="0.25">
      <c r="A86" s="2" t="s">
        <v>2396</v>
      </c>
      <c r="B86" s="14" t="str">
        <f>_xlfn.XLOOKUP(TBL_USUARIOS[[#This Row],[ID_MASSA]],tbl_de_massas[id_massa],tbl_de_massas[cpf],"--",0,1)</f>
        <v>75632149875</v>
      </c>
      <c r="C86" t="s">
        <v>12</v>
      </c>
      <c r="D86" t="str">
        <f>_xlfn.XLOOKUP(TBL_USUARIOS[[#This Row],[ID_MASSA]],tbl_de_massas[id_massa],tbl_de_massas[nome_completo],"--",0,1)</f>
        <v>Broder jonas</v>
      </c>
      <c r="E86" t="str">
        <f>_xlfn.XLOOKUP(TBL_USUARIOS[[#This Row],[ID_MASSA]],tbl_de_massas[id_massa],tbl_de_massas[cartao_fisico_numero],"--",0,1)</f>
        <v>5373 6360 0033 6346</v>
      </c>
      <c r="F86" t="str">
        <f>_xlfn.XLOOKUP(TBL_USUARIOS[[#This Row],[ID_MASSA]],tbl_de_massas[id_massa],tbl_de_massas[nome_completo],"--",0,1)</f>
        <v>Broder jonas</v>
      </c>
      <c r="G86" s="47">
        <f>_xlfn.XLOOKUP(TBL_USUARIOS[[#This Row],[ID_MASSA]],tbl_de_massas[id_massa],tbl_de_massas[saldo_conta],"--",0,1)</f>
        <v>1151.7</v>
      </c>
      <c r="H86" t="str">
        <f>_xlfn.XLOOKUP(TBL_USUARIOS[[#This Row],[ID_MASSA]],tbl_de_massas[id_massa],tbl_de_massas[nome_completo],"--",0,1)</f>
        <v>Broder jonas</v>
      </c>
    </row>
    <row r="87" spans="1:8" x14ac:dyDescent="0.25">
      <c r="A87" s="2" t="s">
        <v>2403</v>
      </c>
      <c r="B87" s="14" t="str">
        <f>_xlfn.XLOOKUP(TBL_USUARIOS[[#This Row],[ID_MASSA]],tbl_de_massas[id_massa],tbl_de_massas[cpf],"--",0,1)</f>
        <v>05043431814</v>
      </c>
      <c r="C87" t="s">
        <v>12</v>
      </c>
      <c r="D87" t="str">
        <f>_xlfn.XLOOKUP(TBL_USUARIOS[[#This Row],[ID_MASSA]],tbl_de_massas[id_massa],tbl_de_massas[nome_completo],"--",0,1)</f>
        <v>Morgana Macedo</v>
      </c>
      <c r="E87" t="str">
        <f>_xlfn.XLOOKUP(TBL_USUARIOS[[#This Row],[ID_MASSA]],tbl_de_massas[id_massa],tbl_de_massas[cartao_fisico_numero],"--",0,1)</f>
        <v>4576 7460 3018 3424</v>
      </c>
      <c r="F87" t="str">
        <f>_xlfn.XLOOKUP(TBL_USUARIOS[[#This Row],[ID_MASSA]],tbl_de_massas[id_massa],tbl_de_massas[nome_completo],"--",0,1)</f>
        <v>Morgana Macedo</v>
      </c>
      <c r="G87" s="47">
        <f>_xlfn.XLOOKUP(TBL_USUARIOS[[#This Row],[ID_MASSA]],tbl_de_massas[id_massa],tbl_de_massas[saldo_conta],"--",0,1)</f>
        <v>1151.7</v>
      </c>
      <c r="H87" t="str">
        <f>_xlfn.XLOOKUP(TBL_USUARIOS[[#This Row],[ID_MASSA]],tbl_de_massas[id_massa],tbl_de_massas[nome_completo],"--",0,1)</f>
        <v>Morgana Macedo</v>
      </c>
    </row>
    <row r="88" spans="1:8" x14ac:dyDescent="0.25">
      <c r="A88" s="2" t="s">
        <v>6470</v>
      </c>
      <c r="B88" t="str">
        <f>_xlfn.XLOOKUP(TBL_USUARIOS[[#This Row],[ID_MASSA]],tbl_de_massas[id_massa],tbl_de_massas[cpf],"--",0,1)</f>
        <v>24937394266</v>
      </c>
      <c r="C88" t="s">
        <v>12</v>
      </c>
      <c r="D88" t="str">
        <f>_xlfn.XLOOKUP(TBL_USUARIOS[[#This Row],[ID_MASSA]],tbl_de_massas[id_massa],tbl_de_massas[nome_completo],"--",0,1)</f>
        <v>Min Li Zhu</v>
      </c>
      <c r="E88" t="str">
        <f>_xlfn.XLOOKUP(TBL_USUARIOS[[#This Row],[ID_MASSA]],tbl_de_massas[id_massa],tbl_de_massas[cartao_fisico_numero],"--",0,1)</f>
        <v>6062 8200 8783 3784</v>
      </c>
      <c r="F88" t="str">
        <f>_xlfn.XLOOKUP(TBL_USUARIOS[[#This Row],[ID_MASSA]],tbl_de_massas[id_massa],tbl_de_massas[nome_completo],"--",0,1)</f>
        <v>Min Li Zhu</v>
      </c>
      <c r="G88" s="47">
        <f>_xlfn.XLOOKUP(TBL_USUARIOS[[#This Row],[ID_MASSA]],tbl_de_massas[id_massa],tbl_de_massas[saldo_conta],"--",0,1)</f>
        <v>1431.12</v>
      </c>
      <c r="H88" t="str">
        <f>_xlfn.XLOOKUP(TBL_USUARIOS[[#This Row],[ID_MASSA]],tbl_de_massas[id_massa],tbl_de_massas[nome_completo],"--",0,1)</f>
        <v>Min Li Zhu</v>
      </c>
    </row>
    <row r="89" spans="1:8" x14ac:dyDescent="0.25">
      <c r="A89" s="2" t="s">
        <v>4207</v>
      </c>
      <c r="B89" t="str">
        <f>_xlfn.XLOOKUP(TBL_USUARIOS[[#This Row],[ID_MASSA]],tbl_de_massas[id_massa],tbl_de_massas[cpf],"--",0,1)</f>
        <v>40413138216</v>
      </c>
      <c r="C89" t="s">
        <v>12</v>
      </c>
      <c r="D89" t="str">
        <f>_xlfn.XLOOKUP(TBL_USUARIOS[[#This Row],[ID_MASSA]],tbl_de_massas[id_massa],tbl_de_massas[nome_completo],"--",0,1)</f>
        <v>Vivian Lima Barros</v>
      </c>
      <c r="E89" t="str">
        <f>_xlfn.XLOOKUP(TBL_USUARIOS[[#This Row],[ID_MASSA]],tbl_de_massas[id_massa],tbl_de_massas[cartao_fisico_numero],"--",0,1)</f>
        <v>3782 366403 7030</v>
      </c>
      <c r="F89" t="str">
        <f>_xlfn.XLOOKUP(TBL_USUARIOS[[#This Row],[ID_MASSA]],tbl_de_massas[id_massa],tbl_de_massas[nome_completo],"--",0,1)</f>
        <v>Vivian Lima Barros</v>
      </c>
      <c r="G89" s="47">
        <f>_xlfn.XLOOKUP(TBL_USUARIOS[[#This Row],[ID_MASSA]],tbl_de_massas[id_massa],tbl_de_massas[saldo_conta],"--",0,1)</f>
        <v>1436.12</v>
      </c>
      <c r="H89" t="str">
        <f>_xlfn.XLOOKUP(TBL_USUARIOS[[#This Row],[ID_MASSA]],tbl_de_massas[id_massa],tbl_de_massas[nome_completo],"--",0,1)</f>
        <v>Vivian Lima Barros</v>
      </c>
    </row>
    <row r="90" spans="1:8" x14ac:dyDescent="0.25">
      <c r="A90" s="2" t="s">
        <v>6446</v>
      </c>
      <c r="B90" t="str">
        <f>_xlfn.XLOOKUP(TBL_USUARIOS[[#This Row],[ID_MASSA]],tbl_de_massas[id_massa],tbl_de_massas[cpf],"--",0,1)</f>
        <v>02270529359</v>
      </c>
      <c r="C90" t="s">
        <v>12</v>
      </c>
      <c r="D90" t="str">
        <f>_xlfn.XLOOKUP(TBL_USUARIOS[[#This Row],[ID_MASSA]],tbl_de_massas[id_massa],tbl_de_massas[nome_completo],"--",0,1)</f>
        <v>Hui Xu</v>
      </c>
      <c r="E90" t="str">
        <f>_xlfn.XLOOKUP(TBL_USUARIOS[[#This Row],[ID_MASSA]],tbl_de_massas[id_massa],tbl_de_massas[cartao_fisico_numero],"--",0,1)</f>
        <v/>
      </c>
      <c r="F90" t="str">
        <f>_xlfn.XLOOKUP(TBL_USUARIOS[[#This Row],[ID_MASSA]],tbl_de_massas[id_massa],tbl_de_massas[nome_completo],"--",0,1)</f>
        <v>Hui Xu</v>
      </c>
      <c r="G90" s="47">
        <f>_xlfn.XLOOKUP(TBL_USUARIOS[[#This Row],[ID_MASSA]],tbl_de_massas[id_massa],tbl_de_massas[saldo_conta],"--",0,1)</f>
        <v>1450.74</v>
      </c>
      <c r="H90" t="str">
        <f>_xlfn.XLOOKUP(TBL_USUARIOS[[#This Row],[ID_MASSA]],tbl_de_massas[id_massa],tbl_de_massas[nome_completo],"--",0,1)</f>
        <v>Hui Xu</v>
      </c>
    </row>
    <row r="91" spans="1:8" x14ac:dyDescent="0.25">
      <c r="A91" s="2" t="s">
        <v>5756</v>
      </c>
      <c r="B91" t="str">
        <f>_xlfn.XLOOKUP(TBL_USUARIOS[[#This Row],[ID_MASSA]],tbl_de_massas[id_massa],tbl_de_massas[cpf],"--",0,1)</f>
        <v>98232113456</v>
      </c>
      <c r="C91" t="s">
        <v>12</v>
      </c>
      <c r="D91" t="str">
        <f>_xlfn.XLOOKUP(TBL_USUARIOS[[#This Row],[ID_MASSA]],tbl_de_massas[id_massa],tbl_de_massas[nome_completo],"--",0,1)</f>
        <v>Marcelo Costa</v>
      </c>
      <c r="E91" t="str">
        <f>_xlfn.XLOOKUP(TBL_USUARIOS[[#This Row],[ID_MASSA]],tbl_de_massas[id_massa],tbl_de_massas[cartao_fisico_numero],"--",0,1)</f>
        <v>5442 7460 4172 7647</v>
      </c>
      <c r="F91" t="str">
        <f>_xlfn.XLOOKUP(TBL_USUARIOS[[#This Row],[ID_MASSA]],tbl_de_massas[id_massa],tbl_de_massas[nome_completo],"--",0,1)</f>
        <v>Marcelo Costa</v>
      </c>
      <c r="G91" s="47">
        <f>_xlfn.XLOOKUP(TBL_USUARIOS[[#This Row],[ID_MASSA]],tbl_de_massas[id_massa],tbl_de_massas[saldo_conta],"--",0,1)</f>
        <v>1457.85</v>
      </c>
      <c r="H91" t="str">
        <f>_xlfn.XLOOKUP(TBL_USUARIOS[[#This Row],[ID_MASSA]],tbl_de_massas[id_massa],tbl_de_massas[nome_completo],"--",0,1)</f>
        <v>Marcelo Costa</v>
      </c>
    </row>
    <row r="92" spans="1:8" x14ac:dyDescent="0.25">
      <c r="A92" s="2" t="s">
        <v>5526</v>
      </c>
      <c r="B92" t="str">
        <f>_xlfn.XLOOKUP(TBL_USUARIOS[[#This Row],[ID_MASSA]],tbl_de_massas[id_massa],tbl_de_massas[cpf],"--",0,1)</f>
        <v>65336194115</v>
      </c>
      <c r="C92" t="s">
        <v>12</v>
      </c>
      <c r="D92" t="str">
        <f>_xlfn.XLOOKUP(TBL_USUARIOS[[#This Row],[ID_MASSA]],tbl_de_massas[id_massa],tbl_de_massas[nome_completo],"--",0,1)</f>
        <v>Jessica Cardoso Costa</v>
      </c>
      <c r="E92" t="str">
        <f>_xlfn.XLOOKUP(TBL_USUARIOS[[#This Row],[ID_MASSA]],tbl_de_massas[id_massa],tbl_de_massas[cartao_fisico_numero],"--",0,1)</f>
        <v/>
      </c>
      <c r="F92" t="str">
        <f>_xlfn.XLOOKUP(TBL_USUARIOS[[#This Row],[ID_MASSA]],tbl_de_massas[id_massa],tbl_de_massas[nome_completo],"--",0,1)</f>
        <v>Jessica Cardoso Costa</v>
      </c>
      <c r="G92" s="47">
        <f>_xlfn.XLOOKUP(TBL_USUARIOS[[#This Row],[ID_MASSA]],tbl_de_massas[id_massa],tbl_de_massas[saldo_conta],"--",0,1)</f>
        <v>1458.02</v>
      </c>
      <c r="H92" t="str">
        <f>_xlfn.XLOOKUP(TBL_USUARIOS[[#This Row],[ID_MASSA]],tbl_de_massas[id_massa],tbl_de_massas[nome_completo],"--",0,1)</f>
        <v>Jessica Cardoso Costa</v>
      </c>
    </row>
    <row r="93" spans="1:8" x14ac:dyDescent="0.25">
      <c r="A93" s="2" t="s">
        <v>4019</v>
      </c>
      <c r="B93" t="str">
        <f>_xlfn.XLOOKUP(TBL_USUARIOS[[#This Row],[ID_MASSA]],tbl_de_massas[id_massa],tbl_de_massas[cpf],"--",0,1)</f>
        <v>59013152350</v>
      </c>
      <c r="C93" t="s">
        <v>12</v>
      </c>
      <c r="D93" t="str">
        <f>_xlfn.XLOOKUP(TBL_USUARIOS[[#This Row],[ID_MASSA]],tbl_de_massas[id_massa],tbl_de_massas[nome_completo],"--",0,1)</f>
        <v>Felipe Dias</v>
      </c>
      <c r="E93" t="str">
        <f>_xlfn.XLOOKUP(TBL_USUARIOS[[#This Row],[ID_MASSA]],tbl_de_massas[id_massa],tbl_de_massas[cartao_fisico_numero],"--",0,1)</f>
        <v>3782 659927 9442</v>
      </c>
      <c r="F93" t="str">
        <f>_xlfn.XLOOKUP(TBL_USUARIOS[[#This Row],[ID_MASSA]],tbl_de_massas[id_massa],tbl_de_massas[nome_completo],"--",0,1)</f>
        <v>Felipe Dias</v>
      </c>
      <c r="G93" s="47">
        <f>_xlfn.XLOOKUP(TBL_USUARIOS[[#This Row],[ID_MASSA]],tbl_de_massas[id_massa],tbl_de_massas[saldo_conta],"--",0,1)</f>
        <v>1477.12</v>
      </c>
      <c r="H93" t="str">
        <f>_xlfn.XLOOKUP(TBL_USUARIOS[[#This Row],[ID_MASSA]],tbl_de_massas[id_massa],tbl_de_massas[nome_completo],"--",0,1)</f>
        <v>Felipe Dias</v>
      </c>
    </row>
    <row r="94" spans="1:8" x14ac:dyDescent="0.25">
      <c r="A94" s="2" t="s">
        <v>5980</v>
      </c>
      <c r="B94" t="str">
        <f>_xlfn.XLOOKUP(TBL_USUARIOS[[#This Row],[ID_MASSA]],tbl_de_massas[id_massa],tbl_de_massas[cpf],"--",0,1)</f>
        <v>23094193625</v>
      </c>
      <c r="C94" t="s">
        <v>12</v>
      </c>
      <c r="D94" t="str">
        <f>_xlfn.XLOOKUP(TBL_USUARIOS[[#This Row],[ID_MASSA]],tbl_de_massas[id_massa],tbl_de_massas[nome_completo],"--",0,1)</f>
        <v>Marcos Monteiro Rocha</v>
      </c>
      <c r="E94" t="str">
        <f>_xlfn.XLOOKUP(TBL_USUARIOS[[#This Row],[ID_MASSA]],tbl_de_massas[id_massa],tbl_de_massas[cartao_fisico_numero],"--",0,1)</f>
        <v>3782 632911 9108</v>
      </c>
      <c r="F94" t="str">
        <f>_xlfn.XLOOKUP(TBL_USUARIOS[[#This Row],[ID_MASSA]],tbl_de_massas[id_massa],tbl_de_massas[nome_completo],"--",0,1)</f>
        <v>Marcos Monteiro Rocha</v>
      </c>
      <c r="G94" s="47">
        <f>_xlfn.XLOOKUP(TBL_USUARIOS[[#This Row],[ID_MASSA]],tbl_de_massas[id_massa],tbl_de_massas[saldo_conta],"--",0,1)</f>
        <v>1493.01</v>
      </c>
      <c r="H94" t="str">
        <f>_xlfn.XLOOKUP(TBL_USUARIOS[[#This Row],[ID_MASSA]],tbl_de_massas[id_massa],tbl_de_massas[nome_completo],"--",0,1)</f>
        <v>Marcos Monteiro Rocha</v>
      </c>
    </row>
    <row r="95" spans="1:8" x14ac:dyDescent="0.25">
      <c r="A95" s="2" t="s">
        <v>3632</v>
      </c>
      <c r="B95" t="str">
        <f>_xlfn.XLOOKUP(TBL_USUARIOS[[#This Row],[ID_MASSA]],tbl_de_massas[id_massa],tbl_de_massas[cpf],"--",0,1)</f>
        <v>42136053965</v>
      </c>
      <c r="C95" t="s">
        <v>12</v>
      </c>
      <c r="D95" t="str">
        <f>_xlfn.XLOOKUP(TBL_USUARIOS[[#This Row],[ID_MASSA]],tbl_de_massas[id_massa],tbl_de_massas[nome_completo],"--",0,1)</f>
        <v>Marcelo Teixeira</v>
      </c>
      <c r="E95" t="str">
        <f>_xlfn.XLOOKUP(TBL_USUARIOS[[#This Row],[ID_MASSA]],tbl_de_massas[id_massa],tbl_de_massas[cartao_fisico_numero],"--",0,1)</f>
        <v>5442 7460 4194 0341</v>
      </c>
      <c r="F95" t="str">
        <f>_xlfn.XLOOKUP(TBL_USUARIOS[[#This Row],[ID_MASSA]],tbl_de_massas[id_massa],tbl_de_massas[nome_completo],"--",0,1)</f>
        <v>Marcelo Teixeira</v>
      </c>
      <c r="G95" s="47">
        <f>_xlfn.XLOOKUP(TBL_USUARIOS[[#This Row],[ID_MASSA]],tbl_de_massas[id_massa],tbl_de_massas[saldo_conta],"--",0,1)</f>
        <v>1496.2</v>
      </c>
      <c r="H95" t="str">
        <f>_xlfn.XLOOKUP(TBL_USUARIOS[[#This Row],[ID_MASSA]],tbl_de_massas[id_massa],tbl_de_massas[nome_completo],"--",0,1)</f>
        <v>Marcelo Teixeira</v>
      </c>
    </row>
    <row r="96" spans="1:8" x14ac:dyDescent="0.25">
      <c r="A96" s="2" t="s">
        <v>2420</v>
      </c>
      <c r="B96" s="14" t="str">
        <f>_xlfn.XLOOKUP(TBL_USUARIOS[[#This Row],[ID_MASSA]],tbl_de_massas[id_massa],tbl_de_massas[cpf],"--",0,1)</f>
        <v>87753560905</v>
      </c>
      <c r="C96" t="s">
        <v>12</v>
      </c>
      <c r="D96" t="str">
        <f>_xlfn.XLOOKUP(TBL_USUARIOS[[#This Row],[ID_MASSA]],tbl_de_massas[id_massa],tbl_de_massas[nome_completo],"--",0,1)</f>
        <v>Maite Melo</v>
      </c>
      <c r="E96" t="str">
        <f>_xlfn.XLOOKUP(TBL_USUARIOS[[#This Row],[ID_MASSA]],tbl_de_massas[id_massa],tbl_de_massas[cartao_fisico_numero],"--",0,1)</f>
        <v>5442 7460 4078 6645</v>
      </c>
      <c r="F96" t="str">
        <f>_xlfn.XLOOKUP(TBL_USUARIOS[[#This Row],[ID_MASSA]],tbl_de_massas[id_massa],tbl_de_massas[nome_completo],"--",0,1)</f>
        <v>Maite Melo</v>
      </c>
      <c r="G96" s="47">
        <f>_xlfn.XLOOKUP(TBL_USUARIOS[[#This Row],[ID_MASSA]],tbl_de_massas[id_massa],tbl_de_massas[saldo_conta],"--",0,1)</f>
        <v>1251.5</v>
      </c>
      <c r="H96" t="str">
        <f>_xlfn.XLOOKUP(TBL_USUARIOS[[#This Row],[ID_MASSA]],tbl_de_massas[id_massa],tbl_de_massas[nome_completo],"--",0,1)</f>
        <v>Maite Melo</v>
      </c>
    </row>
    <row r="97" spans="1:8" x14ac:dyDescent="0.25">
      <c r="A97" s="2" t="s">
        <v>5211</v>
      </c>
      <c r="B97" t="str">
        <f>_xlfn.XLOOKUP(TBL_USUARIOS[[#This Row],[ID_MASSA]],tbl_de_massas[id_massa],tbl_de_massas[cpf],"--",0,1)</f>
        <v>82791589791</v>
      </c>
      <c r="C97" t="s">
        <v>12</v>
      </c>
      <c r="D97" t="str">
        <f>_xlfn.XLOOKUP(TBL_USUARIOS[[#This Row],[ID_MASSA]],tbl_de_massas[id_massa],tbl_de_massas[nome_completo],"--",0,1)</f>
        <v>Bianca Vieira Nunes</v>
      </c>
      <c r="E97" t="str">
        <f>_xlfn.XLOOKUP(TBL_USUARIOS[[#This Row],[ID_MASSA]],tbl_de_massas[id_massa],tbl_de_massas[cartao_fisico_numero],"--",0,1)</f>
        <v>5442 7460 6248 6663</v>
      </c>
      <c r="F97" t="str">
        <f>_xlfn.XLOOKUP(TBL_USUARIOS[[#This Row],[ID_MASSA]],tbl_de_massas[id_massa],tbl_de_massas[nome_completo],"--",0,1)</f>
        <v>Bianca Vieira Nunes</v>
      </c>
      <c r="G97" s="47">
        <f>_xlfn.XLOOKUP(TBL_USUARIOS[[#This Row],[ID_MASSA]],tbl_de_massas[id_massa],tbl_de_massas[saldo_conta],"--",0,1)</f>
        <v>1511.95</v>
      </c>
      <c r="H97" t="str">
        <f>_xlfn.XLOOKUP(TBL_USUARIOS[[#This Row],[ID_MASSA]],tbl_de_massas[id_massa],tbl_de_massas[nome_completo],"--",0,1)</f>
        <v>Bianca Vieira Nunes</v>
      </c>
    </row>
    <row r="98" spans="1:8" x14ac:dyDescent="0.25">
      <c r="A98" s="2" t="s">
        <v>5337</v>
      </c>
      <c r="B98" t="str">
        <f>_xlfn.XLOOKUP(TBL_USUARIOS[[#This Row],[ID_MASSA]],tbl_de_massas[id_massa],tbl_de_massas[cpf],"--",0,1)</f>
        <v>73779166720</v>
      </c>
      <c r="C98" t="s">
        <v>12</v>
      </c>
      <c r="D98" t="str">
        <f>_xlfn.XLOOKUP(TBL_USUARIOS[[#This Row],[ID_MASSA]],tbl_de_massas[id_massa],tbl_de_massas[nome_completo],"--",0,1)</f>
        <v>Debora Gomes Martins</v>
      </c>
      <c r="E98" t="str">
        <f>_xlfn.XLOOKUP(TBL_USUARIOS[[#This Row],[ID_MASSA]],tbl_de_massas[id_massa],tbl_de_massas[cartao_fisico_numero],"--",0,1)</f>
        <v>6062 8200 8129 8019</v>
      </c>
      <c r="F98" t="str">
        <f>_xlfn.XLOOKUP(TBL_USUARIOS[[#This Row],[ID_MASSA]],tbl_de_massas[id_massa],tbl_de_massas[nome_completo],"--",0,1)</f>
        <v>Debora Gomes Martins</v>
      </c>
      <c r="G98" s="47">
        <f>_xlfn.XLOOKUP(TBL_USUARIOS[[#This Row],[ID_MASSA]],tbl_de_massas[id_massa],tbl_de_massas[saldo_conta],"--",0,1)</f>
        <v>1548.63</v>
      </c>
      <c r="H98" t="str">
        <f>_xlfn.XLOOKUP(TBL_USUARIOS[[#This Row],[ID_MASSA]],tbl_de_massas[id_massa],tbl_de_massas[nome_completo],"--",0,1)</f>
        <v>Debora Gomes Martins</v>
      </c>
    </row>
    <row r="99" spans="1:8" x14ac:dyDescent="0.25">
      <c r="A99" s="2" t="s">
        <v>3011</v>
      </c>
      <c r="B99" t="str">
        <f>_xlfn.XLOOKUP(TBL_USUARIOS[[#This Row],[ID_MASSA]],tbl_de_massas[id_massa],tbl_de_massas[cpf],"--",0,1)</f>
        <v>26247111398</v>
      </c>
      <c r="C99" t="s">
        <v>12</v>
      </c>
      <c r="D99" t="str">
        <f>_xlfn.XLOOKUP(TBL_USUARIOS[[#This Row],[ID_MASSA]],tbl_de_massas[id_massa],tbl_de_massas[nome_completo],"--",0,1)</f>
        <v>Danilo Souza</v>
      </c>
      <c r="E99" t="str">
        <f>_xlfn.XLOOKUP(TBL_USUARIOS[[#This Row],[ID_MASSA]],tbl_de_massas[id_massa],tbl_de_massas[cartao_fisico_numero],"--",0,1)</f>
        <v>6505 0666 1156 8767</v>
      </c>
      <c r="F99" t="str">
        <f>_xlfn.XLOOKUP(TBL_USUARIOS[[#This Row],[ID_MASSA]],tbl_de_massas[id_massa],tbl_de_massas[nome_completo],"--",0,1)</f>
        <v>Danilo Souza</v>
      </c>
      <c r="G99" s="47">
        <f>_xlfn.XLOOKUP(TBL_USUARIOS[[#This Row],[ID_MASSA]],tbl_de_massas[id_massa],tbl_de_massas[saldo_conta],"--",0,1)</f>
        <v>1558.41</v>
      </c>
      <c r="H99" t="str">
        <f>_xlfn.XLOOKUP(TBL_USUARIOS[[#This Row],[ID_MASSA]],tbl_de_massas[id_massa],tbl_de_massas[nome_completo],"--",0,1)</f>
        <v>Danilo Souza</v>
      </c>
    </row>
    <row r="100" spans="1:8" x14ac:dyDescent="0.25">
      <c r="A100" s="2" t="s">
        <v>5547</v>
      </c>
      <c r="B100" t="str">
        <f>_xlfn.XLOOKUP(TBL_USUARIOS[[#This Row],[ID_MASSA]],tbl_de_massas[id_massa],tbl_de_massas[cpf],"--",0,1)</f>
        <v>35618929228</v>
      </c>
      <c r="C100" t="s">
        <v>12</v>
      </c>
      <c r="D100" t="str">
        <f>_xlfn.XLOOKUP(TBL_USUARIOS[[#This Row],[ID_MASSA]],tbl_de_massas[id_massa],tbl_de_massas[nome_completo],"--",0,1)</f>
        <v>Leandro Pereira</v>
      </c>
      <c r="E100" t="str">
        <f>_xlfn.XLOOKUP(TBL_USUARIOS[[#This Row],[ID_MASSA]],tbl_de_massas[id_massa],tbl_de_massas[cartao_fisico_numero],"--",0,1)</f>
        <v>3782 845258 5032</v>
      </c>
      <c r="F100" t="str">
        <f>_xlfn.XLOOKUP(TBL_USUARIOS[[#This Row],[ID_MASSA]],tbl_de_massas[id_massa],tbl_de_massas[nome_completo],"--",0,1)</f>
        <v>Leandro Pereira</v>
      </c>
      <c r="G100" s="47">
        <f>_xlfn.XLOOKUP(TBL_USUARIOS[[#This Row],[ID_MASSA]],tbl_de_massas[id_massa],tbl_de_massas[saldo_conta],"--",0,1)</f>
        <v>1561.06</v>
      </c>
      <c r="H100" t="str">
        <f>_xlfn.XLOOKUP(TBL_USUARIOS[[#This Row],[ID_MASSA]],tbl_de_massas[id_massa],tbl_de_massas[nome_completo],"--",0,1)</f>
        <v>Leandro Pereira</v>
      </c>
    </row>
    <row r="101" spans="1:8" x14ac:dyDescent="0.25">
      <c r="A101" s="2" t="s">
        <v>5557</v>
      </c>
      <c r="B101" t="str">
        <f>_xlfn.XLOOKUP(TBL_USUARIOS[[#This Row],[ID_MASSA]],tbl_de_massas[id_massa],tbl_de_massas[cpf],"--",0,1)</f>
        <v>94951838630</v>
      </c>
      <c r="C101" t="s">
        <v>12</v>
      </c>
      <c r="D101" t="str">
        <f>_xlfn.XLOOKUP(TBL_USUARIOS[[#This Row],[ID_MASSA]],tbl_de_massas[id_massa],tbl_de_massas[nome_completo],"--",0,1)</f>
        <v>Gustavo Vieira Campos</v>
      </c>
      <c r="E101" t="str">
        <f>_xlfn.XLOOKUP(TBL_USUARIOS[[#This Row],[ID_MASSA]],tbl_de_massas[id_massa],tbl_de_massas[cartao_fisico_numero],"--",0,1)</f>
        <v>6062 8200 5212 0964</v>
      </c>
      <c r="F101" t="str">
        <f>_xlfn.XLOOKUP(TBL_USUARIOS[[#This Row],[ID_MASSA]],tbl_de_massas[id_massa],tbl_de_massas[nome_completo],"--",0,1)</f>
        <v>Gustavo Vieira Campos</v>
      </c>
      <c r="G101" s="47">
        <f>_xlfn.XLOOKUP(TBL_USUARIOS[[#This Row],[ID_MASSA]],tbl_de_massas[id_massa],tbl_de_massas[saldo_conta],"--",0,1)</f>
        <v>1630.76</v>
      </c>
      <c r="H101" t="str">
        <f>_xlfn.XLOOKUP(TBL_USUARIOS[[#This Row],[ID_MASSA]],tbl_de_massas[id_massa],tbl_de_massas[nome_completo],"--",0,1)</f>
        <v>Gustavo Vieira Campos</v>
      </c>
    </row>
    <row r="102" spans="1:8" x14ac:dyDescent="0.25">
      <c r="A102" s="2" t="s">
        <v>6183</v>
      </c>
      <c r="B102" t="str">
        <f>_xlfn.XLOOKUP(TBL_USUARIOS[[#This Row],[ID_MASSA]],tbl_de_massas[id_massa],tbl_de_massas[cpf],"--",0,1)</f>
        <v>20534628257</v>
      </c>
      <c r="C102" t="s">
        <v>12</v>
      </c>
      <c r="D102" t="str">
        <f>_xlfn.XLOOKUP(TBL_USUARIOS[[#This Row],[ID_MASSA]],tbl_de_massas[id_massa],tbl_de_massas[nome_completo],"--",0,1)</f>
        <v>Henry Wilson</v>
      </c>
      <c r="E102" t="str">
        <f>_xlfn.XLOOKUP(TBL_USUARIOS[[#This Row],[ID_MASSA]],tbl_de_massas[id_massa],tbl_de_massas[cartao_fisico_numero],"--",0,1)</f>
        <v>3782 968857 8858</v>
      </c>
      <c r="F102" t="str">
        <f>_xlfn.XLOOKUP(TBL_USUARIOS[[#This Row],[ID_MASSA]],tbl_de_massas[id_massa],tbl_de_massas[nome_completo],"--",0,1)</f>
        <v>Henry Wilson</v>
      </c>
      <c r="G102" s="47">
        <f>_xlfn.XLOOKUP(TBL_USUARIOS[[#This Row],[ID_MASSA]],tbl_de_massas[id_massa],tbl_de_massas[saldo_conta],"--",0,1)</f>
        <v>1639.73</v>
      </c>
      <c r="H102" t="str">
        <f>_xlfn.XLOOKUP(TBL_USUARIOS[[#This Row],[ID_MASSA]],tbl_de_massas[id_massa],tbl_de_massas[nome_completo],"--",0,1)</f>
        <v>Henry Wilson</v>
      </c>
    </row>
    <row r="103" spans="1:8" x14ac:dyDescent="0.25">
      <c r="A103" s="2" t="s">
        <v>5972</v>
      </c>
      <c r="B103" t="str">
        <f>_xlfn.XLOOKUP(TBL_USUARIOS[[#This Row],[ID_MASSA]],tbl_de_massas[id_massa],tbl_de_massas[cpf],"--",0,1)</f>
        <v>91623734711</v>
      </c>
      <c r="C103" t="s">
        <v>12</v>
      </c>
      <c r="D103" t="str">
        <f>_xlfn.XLOOKUP(TBL_USUARIOS[[#This Row],[ID_MASSA]],tbl_de_massas[id_massa],tbl_de_massas[nome_completo],"--",0,1)</f>
        <v>Vivian Barbosa Gomes</v>
      </c>
      <c r="E103" t="str">
        <f>_xlfn.XLOOKUP(TBL_USUARIOS[[#This Row],[ID_MASSA]],tbl_de_massas[id_massa],tbl_de_massas[cartao_fisico_numero],"--",0,1)</f>
        <v>6062 8200 3746 8538</v>
      </c>
      <c r="F103" t="str">
        <f>_xlfn.XLOOKUP(TBL_USUARIOS[[#This Row],[ID_MASSA]],tbl_de_massas[id_massa],tbl_de_massas[nome_completo],"--",0,1)</f>
        <v>Vivian Barbosa Gomes</v>
      </c>
      <c r="G103" s="47">
        <f>_xlfn.XLOOKUP(TBL_USUARIOS[[#This Row],[ID_MASSA]],tbl_de_massas[id_massa],tbl_de_massas[saldo_conta],"--",0,1)</f>
        <v>1674.16</v>
      </c>
      <c r="H103" t="str">
        <f>_xlfn.XLOOKUP(TBL_USUARIOS[[#This Row],[ID_MASSA]],tbl_de_massas[id_massa],tbl_de_massas[nome_completo],"--",0,1)</f>
        <v>Vivian Barbosa Gomes</v>
      </c>
    </row>
    <row r="104" spans="1:8" x14ac:dyDescent="0.25">
      <c r="A104" s="2" t="s">
        <v>2410</v>
      </c>
      <c r="B104" s="14" t="str">
        <f>_xlfn.XLOOKUP(TBL_USUARIOS[[#This Row],[ID_MASSA]],tbl_de_massas[id_massa],tbl_de_massas[cpf],"--",0,1)</f>
        <v>41998978958</v>
      </c>
      <c r="C104" t="s">
        <v>12</v>
      </c>
      <c r="D104" t="str">
        <f>_xlfn.XLOOKUP(TBL_USUARIOS[[#This Row],[ID_MASSA]],tbl_de_massas[id_massa],tbl_de_massas[nome_completo],"--",0,1)</f>
        <v>Alicia Batista</v>
      </c>
      <c r="E104" t="str">
        <f>_xlfn.XLOOKUP(TBL_USUARIOS[[#This Row],[ID_MASSA]],tbl_de_massas[id_massa],tbl_de_massas[cartao_fisico_numero],"--",0,1)</f>
        <v>6375 6800 6807 3116</v>
      </c>
      <c r="F104" t="str">
        <f>_xlfn.XLOOKUP(TBL_USUARIOS[[#This Row],[ID_MASSA]],tbl_de_massas[id_massa],tbl_de_massas[nome_completo],"--",0,1)</f>
        <v>Alicia Batista</v>
      </c>
      <c r="G104" s="47">
        <f>_xlfn.XLOOKUP(TBL_USUARIOS[[#This Row],[ID_MASSA]],tbl_de_massas[id_massa],tbl_de_massas[saldo_conta],"--",0,1)</f>
        <v>1678.16</v>
      </c>
      <c r="H104" t="str">
        <f>_xlfn.XLOOKUP(TBL_USUARIOS[[#This Row],[ID_MASSA]],tbl_de_massas[id_massa],tbl_de_massas[nome_completo],"--",0,1)</f>
        <v>Alicia Batista</v>
      </c>
    </row>
    <row r="105" spans="1:8" x14ac:dyDescent="0.25">
      <c r="A105" s="2" t="s">
        <v>2156</v>
      </c>
      <c r="B105" s="14" t="str">
        <f>_xlfn.XLOOKUP(TBL_USUARIOS[[#This Row],[ID_MASSA]],tbl_de_massas[id_massa],tbl_de_massas[cpf],"--",0,1)</f>
        <v>20092389589</v>
      </c>
      <c r="C105" t="s">
        <v>12</v>
      </c>
      <c r="D105" t="str">
        <f>_xlfn.XLOOKUP(TBL_USUARIOS[[#This Row],[ID_MASSA]],tbl_de_massas[id_massa],tbl_de_massas[nome_completo],"--",0,1)</f>
        <v>Joon Jeong</v>
      </c>
      <c r="E105" t="str">
        <f>_xlfn.XLOOKUP(TBL_USUARIOS[[#This Row],[ID_MASSA]],tbl_de_massas[id_massa],tbl_de_massas[cartao_fisico_numero],"--",0,1)</f>
        <v>6062 8200 7026 8413</v>
      </c>
      <c r="F105" t="str">
        <f>_xlfn.XLOOKUP(TBL_USUARIOS[[#This Row],[ID_MASSA]],tbl_de_massas[id_massa],tbl_de_massas[nome_completo],"--",0,1)</f>
        <v>Joon Jeong</v>
      </c>
      <c r="G105" s="47">
        <f>_xlfn.XLOOKUP(TBL_USUARIOS[[#This Row],[ID_MASSA]],tbl_de_massas[id_massa],tbl_de_massas[saldo_conta],"--",0,1)</f>
        <v>1680.44</v>
      </c>
      <c r="H105" t="str">
        <f>_xlfn.XLOOKUP(TBL_USUARIOS[[#This Row],[ID_MASSA]],tbl_de_massas[id_massa],tbl_de_massas[nome_completo],"--",0,1)</f>
        <v>Joon Jeong</v>
      </c>
    </row>
    <row r="106" spans="1:8" x14ac:dyDescent="0.25">
      <c r="A106" s="2" t="s">
        <v>2768</v>
      </c>
      <c r="B106" t="str">
        <f>_xlfn.XLOOKUP(TBL_USUARIOS[[#This Row],[ID_MASSA]],tbl_de_massas[id_massa],tbl_de_massas[cpf],"--",0,1)</f>
        <v>11883258502</v>
      </c>
      <c r="C106" t="s">
        <v>12</v>
      </c>
      <c r="D106" t="str">
        <f>_xlfn.XLOOKUP(TBL_USUARIOS[[#This Row],[ID_MASSA]],tbl_de_massas[id_massa],tbl_de_massas[nome_completo],"--",0,1)</f>
        <v>Patricia Pinto</v>
      </c>
      <c r="E106" t="str">
        <f>_xlfn.XLOOKUP(TBL_USUARIOS[[#This Row],[ID_MASSA]],tbl_de_massas[id_massa],tbl_de_massas[cartao_fisico_numero],"--",0,1)</f>
        <v/>
      </c>
      <c r="F106" t="str">
        <f>_xlfn.XLOOKUP(TBL_USUARIOS[[#This Row],[ID_MASSA]],tbl_de_massas[id_massa],tbl_de_massas[nome_completo],"--",0,1)</f>
        <v>Patricia Pinto</v>
      </c>
      <c r="G106" s="47">
        <f>_xlfn.XLOOKUP(TBL_USUARIOS[[#This Row],[ID_MASSA]],tbl_de_massas[id_massa],tbl_de_massas[saldo_conta],"--",0,1)</f>
        <v>1684.22</v>
      </c>
      <c r="H106" t="str">
        <f>_xlfn.XLOOKUP(TBL_USUARIOS[[#This Row],[ID_MASSA]],tbl_de_massas[id_massa],tbl_de_massas[nome_completo],"--",0,1)</f>
        <v>Patricia Pinto</v>
      </c>
    </row>
    <row r="107" spans="1:8" x14ac:dyDescent="0.25">
      <c r="A107" s="2" t="s">
        <v>2168</v>
      </c>
      <c r="B107" s="14" t="str">
        <f>_xlfn.XLOOKUP(TBL_USUARIOS[[#This Row],[ID_MASSA]],tbl_de_massas[id_massa],tbl_de_massas[cpf],"--",0,1)</f>
        <v>84979979998</v>
      </c>
      <c r="C107" t="s">
        <v>12</v>
      </c>
      <c r="D107" t="str">
        <f>_xlfn.XLOOKUP(TBL_USUARIOS[[#This Row],[ID_MASSA]],tbl_de_massas[id_massa],tbl_de_massas[nome_completo],"--",0,1)</f>
        <v>Camila Lopez</v>
      </c>
      <c r="E107" t="str">
        <f>_xlfn.XLOOKUP(TBL_USUARIOS[[#This Row],[ID_MASSA]],tbl_de_massas[id_massa],tbl_de_massas[cartao_fisico_numero],"--",0,1)</f>
        <v>3782 623285 4972</v>
      </c>
      <c r="F107" t="str">
        <f>_xlfn.XLOOKUP(TBL_USUARIOS[[#This Row],[ID_MASSA]],tbl_de_massas[id_massa],tbl_de_massas[nome_completo],"--",0,1)</f>
        <v>Camila Lopez</v>
      </c>
      <c r="G107" s="47">
        <f>_xlfn.XLOOKUP(TBL_USUARIOS[[#This Row],[ID_MASSA]],tbl_de_massas[id_massa],tbl_de_massas[saldo_conta],"--",0,1)</f>
        <v>1692.16</v>
      </c>
      <c r="H107" t="str">
        <f>_xlfn.XLOOKUP(TBL_USUARIOS[[#This Row],[ID_MASSA]],tbl_de_massas[id_massa],tbl_de_massas[nome_completo],"--",0,1)</f>
        <v>Camila Lopez</v>
      </c>
    </row>
    <row r="108" spans="1:8" x14ac:dyDescent="0.25">
      <c r="A108" s="2" t="s">
        <v>6253</v>
      </c>
      <c r="B108" t="str">
        <f>_xlfn.XLOOKUP(TBL_USUARIOS[[#This Row],[ID_MASSA]],tbl_de_massas[id_massa],tbl_de_massas[cpf],"--",0,1)</f>
        <v>31123420629</v>
      </c>
      <c r="C108" t="s">
        <v>12</v>
      </c>
      <c r="D108" t="str">
        <f>_xlfn.XLOOKUP(TBL_USUARIOS[[#This Row],[ID_MASSA]],tbl_de_massas[id_massa],tbl_de_massas[nome_completo],"--",0,1)</f>
        <v>Emily Rodriguez</v>
      </c>
      <c r="E108" t="str">
        <f>_xlfn.XLOOKUP(TBL_USUARIOS[[#This Row],[ID_MASSA]],tbl_de_massas[id_massa],tbl_de_massas[cartao_fisico_numero],"--",0,1)</f>
        <v>6505 0666 8297 7193</v>
      </c>
      <c r="F108" t="str">
        <f>_xlfn.XLOOKUP(TBL_USUARIOS[[#This Row],[ID_MASSA]],tbl_de_massas[id_massa],tbl_de_massas[nome_completo],"--",0,1)</f>
        <v>Emily Rodriguez</v>
      </c>
      <c r="G108" s="47">
        <f>_xlfn.XLOOKUP(TBL_USUARIOS[[#This Row],[ID_MASSA]],tbl_de_massas[id_massa],tbl_de_massas[saldo_conta],"--",0,1)</f>
        <v>1693.98</v>
      </c>
      <c r="H108" t="str">
        <f>_xlfn.XLOOKUP(TBL_USUARIOS[[#This Row],[ID_MASSA]],tbl_de_massas[id_massa],tbl_de_massas[nome_completo],"--",0,1)</f>
        <v>Emily Rodriguez</v>
      </c>
    </row>
    <row r="109" spans="1:8" x14ac:dyDescent="0.25">
      <c r="A109" s="2" t="s">
        <v>6563</v>
      </c>
      <c r="B109" t="str">
        <f>_xlfn.XLOOKUP(TBL_USUARIOS[[#This Row],[ID_MASSA]],tbl_de_massas[id_massa],tbl_de_massas[cpf],"--",0,1)</f>
        <v>32259420575</v>
      </c>
      <c r="C109" t="s">
        <v>12</v>
      </c>
      <c r="D109" t="str">
        <f>_xlfn.XLOOKUP(TBL_USUARIOS[[#This Row],[ID_MASSA]],tbl_de_massas[id_massa],tbl_de_massas[nome_completo],"--",0,1)</f>
        <v>Hui Chen Ma</v>
      </c>
      <c r="E109" t="str">
        <f>_xlfn.XLOOKUP(TBL_USUARIOS[[#This Row],[ID_MASSA]],tbl_de_massas[id_massa],tbl_de_massas[cartao_fisico_numero],"--",0,1)</f>
        <v>5442 7460 5836 4273</v>
      </c>
      <c r="F109" t="str">
        <f>_xlfn.XLOOKUP(TBL_USUARIOS[[#This Row],[ID_MASSA]],tbl_de_massas[id_massa],tbl_de_massas[nome_completo],"--",0,1)</f>
        <v>Hui Chen Ma</v>
      </c>
      <c r="G109" s="47">
        <f>_xlfn.XLOOKUP(TBL_USUARIOS[[#This Row],[ID_MASSA]],tbl_de_massas[id_massa],tbl_de_massas[saldo_conta],"--",0,1)</f>
        <v>1694.11</v>
      </c>
      <c r="H109" t="str">
        <f>_xlfn.XLOOKUP(TBL_USUARIOS[[#This Row],[ID_MASSA]],tbl_de_massas[id_massa],tbl_de_massas[nome_completo],"--",0,1)</f>
        <v>Hui Chen Ma</v>
      </c>
    </row>
    <row r="110" spans="1:8" x14ac:dyDescent="0.25">
      <c r="A110" s="2" t="s">
        <v>3670</v>
      </c>
      <c r="B110" t="str">
        <f>_xlfn.XLOOKUP(TBL_USUARIOS[[#This Row],[ID_MASSA]],tbl_de_massas[id_massa],tbl_de_massas[cpf],"--",0,1)</f>
        <v>49758458060</v>
      </c>
      <c r="C110" t="s">
        <v>12</v>
      </c>
      <c r="D110" t="str">
        <f>_xlfn.XLOOKUP(TBL_USUARIOS[[#This Row],[ID_MASSA]],tbl_de_massas[id_massa],tbl_de_massas[nome_completo],"--",0,1)</f>
        <v>Marcelo Pereira Araujo</v>
      </c>
      <c r="E110" t="str">
        <f>_xlfn.XLOOKUP(TBL_USUARIOS[[#This Row],[ID_MASSA]],tbl_de_massas[id_massa],tbl_de_massas[cartao_fisico_numero],"--",0,1)</f>
        <v/>
      </c>
      <c r="F110" t="str">
        <f>_xlfn.XLOOKUP(TBL_USUARIOS[[#This Row],[ID_MASSA]],tbl_de_massas[id_massa],tbl_de_massas[nome_completo],"--",0,1)</f>
        <v>Marcelo Pereira Araujo</v>
      </c>
      <c r="G110" s="47">
        <f>_xlfn.XLOOKUP(TBL_USUARIOS[[#This Row],[ID_MASSA]],tbl_de_massas[id_massa],tbl_de_massas[saldo_conta],"--",0,1)</f>
        <v>1698.79</v>
      </c>
      <c r="H110" t="str">
        <f>_xlfn.XLOOKUP(TBL_USUARIOS[[#This Row],[ID_MASSA]],tbl_de_massas[id_massa],tbl_de_massas[nome_completo],"--",0,1)</f>
        <v>Marcelo Pereira Araujo</v>
      </c>
    </row>
    <row r="111" spans="1:8" x14ac:dyDescent="0.25">
      <c r="A111" s="2" t="s">
        <v>4575</v>
      </c>
      <c r="B111" t="str">
        <f>_xlfn.XLOOKUP(TBL_USUARIOS[[#This Row],[ID_MASSA]],tbl_de_massas[id_massa],tbl_de_massas[cpf],"--",0,1)</f>
        <v>51523665505</v>
      </c>
      <c r="C111" t="s">
        <v>12</v>
      </c>
      <c r="D111" t="str">
        <f>_xlfn.XLOOKUP(TBL_USUARIOS[[#This Row],[ID_MASSA]],tbl_de_massas[id_massa],tbl_de_massas[nome_completo],"--",0,1)</f>
        <v>Leticia Pinto Alves</v>
      </c>
      <c r="E111" t="str">
        <f>_xlfn.XLOOKUP(TBL_USUARIOS[[#This Row],[ID_MASSA]],tbl_de_massas[id_massa],tbl_de_massas[cartao_fisico_numero],"--",0,1)</f>
        <v/>
      </c>
      <c r="F111" t="str">
        <f>_xlfn.XLOOKUP(TBL_USUARIOS[[#This Row],[ID_MASSA]],tbl_de_massas[id_massa],tbl_de_massas[nome_completo],"--",0,1)</f>
        <v>Leticia Pinto Alves</v>
      </c>
      <c r="G111" s="47">
        <f>_xlfn.XLOOKUP(TBL_USUARIOS[[#This Row],[ID_MASSA]],tbl_de_massas[id_massa],tbl_de_massas[saldo_conta],"--",0,1)</f>
        <v>1701.21</v>
      </c>
      <c r="H111" t="str">
        <f>_xlfn.XLOOKUP(TBL_USUARIOS[[#This Row],[ID_MASSA]],tbl_de_massas[id_massa],tbl_de_massas[nome_completo],"--",0,1)</f>
        <v>Leticia Pinto Alves</v>
      </c>
    </row>
    <row r="112" spans="1:8" x14ac:dyDescent="0.25">
      <c r="A112" s="2" t="s">
        <v>5276</v>
      </c>
      <c r="B112" t="str">
        <f>_xlfn.XLOOKUP(TBL_USUARIOS[[#This Row],[ID_MASSA]],tbl_de_massas[id_massa],tbl_de_massas[cpf],"--",0,1)</f>
        <v>46112322714</v>
      </c>
      <c r="C112" t="s">
        <v>12</v>
      </c>
      <c r="D112" t="str">
        <f>_xlfn.XLOOKUP(TBL_USUARIOS[[#This Row],[ID_MASSA]],tbl_de_massas[id_massa],tbl_de_massas[nome_completo],"--",0,1)</f>
        <v>Gustavo Pinto</v>
      </c>
      <c r="E112" t="str">
        <f>_xlfn.XLOOKUP(TBL_USUARIOS[[#This Row],[ID_MASSA]],tbl_de_massas[id_massa],tbl_de_massas[cartao_fisico_numero],"--",0,1)</f>
        <v>3782 180926 3912</v>
      </c>
      <c r="F112" t="str">
        <f>_xlfn.XLOOKUP(TBL_USUARIOS[[#This Row],[ID_MASSA]],tbl_de_massas[id_massa],tbl_de_massas[nome_completo],"--",0,1)</f>
        <v>Gustavo Pinto</v>
      </c>
      <c r="G112" s="47">
        <f>_xlfn.XLOOKUP(TBL_USUARIOS[[#This Row],[ID_MASSA]],tbl_de_massas[id_massa],tbl_de_massas[saldo_conta],"--",0,1)</f>
        <v>1738.84</v>
      </c>
      <c r="H112" t="str">
        <f>_xlfn.XLOOKUP(TBL_USUARIOS[[#This Row],[ID_MASSA]],tbl_de_massas[id_massa],tbl_de_massas[nome_completo],"--",0,1)</f>
        <v>Gustavo Pinto</v>
      </c>
    </row>
    <row r="113" spans="1:8" x14ac:dyDescent="0.25">
      <c r="A113" s="2" t="s">
        <v>2404</v>
      </c>
      <c r="B113" s="14" t="str">
        <f>_xlfn.XLOOKUP(TBL_USUARIOS[[#This Row],[ID_MASSA]],tbl_de_massas[id_massa],tbl_de_massas[cpf],"--",0,1)</f>
        <v>95962548205</v>
      </c>
      <c r="C113" t="s">
        <v>12</v>
      </c>
      <c r="D113" t="str">
        <f>_xlfn.XLOOKUP(TBL_USUARIOS[[#This Row],[ID_MASSA]],tbl_de_massas[id_massa],tbl_de_massas[nome_completo],"--",0,1)</f>
        <v>Tertuliano Silva</v>
      </c>
      <c r="E113" t="str">
        <f>_xlfn.XLOOKUP(TBL_USUARIOS[[#This Row],[ID_MASSA]],tbl_de_massas[id_massa],tbl_de_massas[cartao_fisico_numero],"--",0,1)</f>
        <v>6505 1960 7465 5476</v>
      </c>
      <c r="F113" t="str">
        <f>_xlfn.XLOOKUP(TBL_USUARIOS[[#This Row],[ID_MASSA]],tbl_de_massas[id_massa],tbl_de_massas[nome_completo],"--",0,1)</f>
        <v>Tertuliano Silva</v>
      </c>
      <c r="G113" s="47">
        <f>_xlfn.XLOOKUP(TBL_USUARIOS[[#This Row],[ID_MASSA]],tbl_de_massas[id_massa],tbl_de_massas[saldo_conta],"--",0,1)</f>
        <v>1661.7</v>
      </c>
      <c r="H113" t="str">
        <f>_xlfn.XLOOKUP(TBL_USUARIOS[[#This Row],[ID_MASSA]],tbl_de_massas[id_massa],tbl_de_massas[nome_completo],"--",0,1)</f>
        <v>Tertuliano Silva</v>
      </c>
    </row>
    <row r="114" spans="1:8" x14ac:dyDescent="0.25">
      <c r="A114" s="2" t="s">
        <v>2408</v>
      </c>
      <c r="B114" s="14" t="str">
        <f>_xlfn.XLOOKUP(TBL_USUARIOS[[#This Row],[ID_MASSA]],tbl_de_massas[id_massa],tbl_de_massas[cpf],"--",0,1)</f>
        <v>88816631805</v>
      </c>
      <c r="C114" t="s">
        <v>12</v>
      </c>
      <c r="D114" t="str">
        <f>_xlfn.XLOOKUP(TBL_USUARIOS[[#This Row],[ID_MASSA]],tbl_de_massas[id_massa],tbl_de_massas[nome_completo],"--",0,1)</f>
        <v>Salvador Batista</v>
      </c>
      <c r="E114" t="str">
        <f>_xlfn.XLOOKUP(TBL_USUARIOS[[#This Row],[ID_MASSA]],tbl_de_massas[id_massa],tbl_de_massas[cartao_fisico_numero],"--",0,1)</f>
        <v>4203 1060 1720 4159</v>
      </c>
      <c r="F114" t="str">
        <f>_xlfn.XLOOKUP(TBL_USUARIOS[[#This Row],[ID_MASSA]],tbl_de_massas[id_massa],tbl_de_massas[nome_completo],"--",0,1)</f>
        <v>Salvador Batista</v>
      </c>
      <c r="G114" s="47">
        <f>_xlfn.XLOOKUP(TBL_USUARIOS[[#This Row],[ID_MASSA]],tbl_de_massas[id_massa],tbl_de_massas[saldo_conta],"--",0,1)</f>
        <v>1661.7</v>
      </c>
      <c r="H114" t="str">
        <f>_xlfn.XLOOKUP(TBL_USUARIOS[[#This Row],[ID_MASSA]],tbl_de_massas[id_massa],tbl_de_massas[nome_completo],"--",0,1)</f>
        <v>Salvador Batista</v>
      </c>
    </row>
    <row r="115" spans="1:8" x14ac:dyDescent="0.25">
      <c r="A115" s="2" t="s">
        <v>6546</v>
      </c>
      <c r="B115" t="str">
        <f>_xlfn.XLOOKUP(TBL_USUARIOS[[#This Row],[ID_MASSA]],tbl_de_massas[id_massa],tbl_de_massas[cpf],"--",0,1)</f>
        <v>33362406386</v>
      </c>
      <c r="C115" t="s">
        <v>12</v>
      </c>
      <c r="D115" t="str">
        <f>_xlfn.XLOOKUP(TBL_USUARIOS[[#This Row],[ID_MASSA]],tbl_de_massas[id_massa],tbl_de_massas[nome_completo],"--",0,1)</f>
        <v>Xin Luo Zhu</v>
      </c>
      <c r="E115" t="str">
        <f>_xlfn.XLOOKUP(TBL_USUARIOS[[#This Row],[ID_MASSA]],tbl_de_massas[id_massa],tbl_de_massas[cartao_fisico_numero],"--",0,1)</f>
        <v/>
      </c>
      <c r="F115" t="str">
        <f>_xlfn.XLOOKUP(TBL_USUARIOS[[#This Row],[ID_MASSA]],tbl_de_massas[id_massa],tbl_de_massas[nome_completo],"--",0,1)</f>
        <v>Xin Luo Zhu</v>
      </c>
      <c r="G115" s="47">
        <f>_xlfn.XLOOKUP(TBL_USUARIOS[[#This Row],[ID_MASSA]],tbl_de_massas[id_massa],tbl_de_massas[saldo_conta],"--",0,1)</f>
        <v>1776.26</v>
      </c>
      <c r="H115" t="str">
        <f>_xlfn.XLOOKUP(TBL_USUARIOS[[#This Row],[ID_MASSA]],tbl_de_massas[id_massa],tbl_de_massas[nome_completo],"--",0,1)</f>
        <v>Xin Luo Zhu</v>
      </c>
    </row>
    <row r="116" spans="1:8" x14ac:dyDescent="0.25">
      <c r="A116" s="2" t="s">
        <v>3695</v>
      </c>
      <c r="B116" t="str">
        <f>_xlfn.XLOOKUP(TBL_USUARIOS[[#This Row],[ID_MASSA]],tbl_de_massas[id_massa],tbl_de_massas[cpf],"--",0,1)</f>
        <v>17010528900</v>
      </c>
      <c r="C116" t="s">
        <v>12</v>
      </c>
      <c r="D116" t="str">
        <f>_xlfn.XLOOKUP(TBL_USUARIOS[[#This Row],[ID_MASSA]],tbl_de_massas[id_massa],tbl_de_massas[nome_completo],"--",0,1)</f>
        <v>Fernanda Monteiro Dias</v>
      </c>
      <c r="E116" t="str">
        <f>_xlfn.XLOOKUP(TBL_USUARIOS[[#This Row],[ID_MASSA]],tbl_de_massas[id_massa],tbl_de_massas[cartao_fisico_numero],"--",0,1)</f>
        <v>3782 601442 1660</v>
      </c>
      <c r="F116" t="str">
        <f>_xlfn.XLOOKUP(TBL_USUARIOS[[#This Row],[ID_MASSA]],tbl_de_massas[id_massa],tbl_de_massas[nome_completo],"--",0,1)</f>
        <v>Fernanda Monteiro Dias</v>
      </c>
      <c r="G116" s="47">
        <f>_xlfn.XLOOKUP(TBL_USUARIOS[[#This Row],[ID_MASSA]],tbl_de_massas[id_massa],tbl_de_massas[saldo_conta],"--",0,1)</f>
        <v>1786.58</v>
      </c>
      <c r="H116" t="str">
        <f>_xlfn.XLOOKUP(TBL_USUARIOS[[#This Row],[ID_MASSA]],tbl_de_massas[id_massa],tbl_de_massas[nome_completo],"--",0,1)</f>
        <v>Fernanda Monteiro Dias</v>
      </c>
    </row>
    <row r="117" spans="1:8" x14ac:dyDescent="0.25">
      <c r="A117" s="2" t="s">
        <v>3691</v>
      </c>
      <c r="B117" t="str">
        <f>_xlfn.XLOOKUP(TBL_USUARIOS[[#This Row],[ID_MASSA]],tbl_de_massas[id_massa],tbl_de_massas[cpf],"--",0,1)</f>
        <v>06821843066</v>
      </c>
      <c r="C117" t="s">
        <v>12</v>
      </c>
      <c r="D117" t="str">
        <f>_xlfn.XLOOKUP(TBL_USUARIOS[[#This Row],[ID_MASSA]],tbl_de_massas[id_massa],tbl_de_massas[nome_completo],"--",0,1)</f>
        <v>Gabriel Castro Oliveira</v>
      </c>
      <c r="E117" t="str">
        <f>_xlfn.XLOOKUP(TBL_USUARIOS[[#This Row],[ID_MASSA]],tbl_de_massas[id_massa],tbl_de_massas[cartao_fisico_numero],"--",0,1)</f>
        <v>5442 7460 2155 2943</v>
      </c>
      <c r="F117" t="str">
        <f>_xlfn.XLOOKUP(TBL_USUARIOS[[#This Row],[ID_MASSA]],tbl_de_massas[id_massa],tbl_de_massas[nome_completo],"--",0,1)</f>
        <v>Gabriel Castro Oliveira</v>
      </c>
      <c r="G117" s="47">
        <f>_xlfn.XLOOKUP(TBL_USUARIOS[[#This Row],[ID_MASSA]],tbl_de_massas[id_massa],tbl_de_massas[saldo_conta],"--",0,1)</f>
        <v>1802.14</v>
      </c>
      <c r="H117" t="str">
        <f>_xlfn.XLOOKUP(TBL_USUARIOS[[#This Row],[ID_MASSA]],tbl_de_massas[id_massa],tbl_de_massas[nome_completo],"--",0,1)</f>
        <v>Gabriel Castro Oliveira</v>
      </c>
    </row>
    <row r="118" spans="1:8" x14ac:dyDescent="0.25">
      <c r="A118" s="2" t="s">
        <v>2399</v>
      </c>
      <c r="B118" s="14" t="str">
        <f>_xlfn.XLOOKUP(TBL_USUARIOS[[#This Row],[ID_MASSA]],tbl_de_massas[id_massa],tbl_de_massas[cpf],"--",0,1)</f>
        <v>00273860585</v>
      </c>
      <c r="C118" t="s">
        <v>12</v>
      </c>
      <c r="D118" t="str">
        <f>_xlfn.XLOOKUP(TBL_USUARIOS[[#This Row],[ID_MASSA]],tbl_de_massas[id_massa],tbl_de_massas[nome_completo],"--",0,1)</f>
        <v>Pedro Nogueira</v>
      </c>
      <c r="E118" t="str">
        <f>_xlfn.XLOOKUP(TBL_USUARIOS[[#This Row],[ID_MASSA]],tbl_de_massas[id_massa],tbl_de_massas[cartao_fisico_numero],"--",0,1)</f>
        <v>5442 7460 9732 0132</v>
      </c>
      <c r="F118" t="str">
        <f>_xlfn.XLOOKUP(TBL_USUARIOS[[#This Row],[ID_MASSA]],tbl_de_massas[id_massa],tbl_de_massas[nome_completo],"--",0,1)</f>
        <v>Pedro Nogueira</v>
      </c>
      <c r="G118" s="47">
        <f>_xlfn.XLOOKUP(TBL_USUARIOS[[#This Row],[ID_MASSA]],tbl_de_massas[id_massa],tbl_de_massas[saldo_conta],"--",0,1)</f>
        <v>1715.34</v>
      </c>
      <c r="H118" t="str">
        <f>_xlfn.XLOOKUP(TBL_USUARIOS[[#This Row],[ID_MASSA]],tbl_de_massas[id_massa],tbl_de_massas[nome_completo],"--",0,1)</f>
        <v>Pedro Nogueira</v>
      </c>
    </row>
    <row r="119" spans="1:8" x14ac:dyDescent="0.25">
      <c r="A119" s="2" t="s">
        <v>2211</v>
      </c>
      <c r="B119" s="14" t="str">
        <f>_xlfn.XLOOKUP(TBL_USUARIOS[[#This Row],[ID_MASSA]],tbl_de_massas[id_massa],tbl_de_massas[cpf],"--",0,1)</f>
        <v>70696409003</v>
      </c>
      <c r="C119" t="s">
        <v>12</v>
      </c>
      <c r="D119" t="str">
        <f>_xlfn.XLOOKUP(TBL_USUARIOS[[#This Row],[ID_MASSA]],tbl_de_massas[id_massa],tbl_de_massas[nome_completo],"--",0,1)</f>
        <v>Alexander James Smith</v>
      </c>
      <c r="E119" t="str">
        <f>_xlfn.XLOOKUP(TBL_USUARIOS[[#This Row],[ID_MASSA]],tbl_de_massas[id_massa],tbl_de_massas[cartao_fisico_numero],"--",0,1)</f>
        <v>3782 480351 3483</v>
      </c>
      <c r="F119" t="str">
        <f>_xlfn.XLOOKUP(TBL_USUARIOS[[#This Row],[ID_MASSA]],tbl_de_massas[id_massa],tbl_de_massas[nome_completo],"--",0,1)</f>
        <v>Alexander James Smith</v>
      </c>
      <c r="G119" s="47">
        <f>_xlfn.XLOOKUP(TBL_USUARIOS[[#This Row],[ID_MASSA]],tbl_de_massas[id_massa],tbl_de_massas[saldo_conta],"--",0,1)</f>
        <v>1839.67</v>
      </c>
      <c r="H119" t="str">
        <f>_xlfn.XLOOKUP(TBL_USUARIOS[[#This Row],[ID_MASSA]],tbl_de_massas[id_massa],tbl_de_massas[nome_completo],"--",0,1)</f>
        <v>Alexander James Smith</v>
      </c>
    </row>
    <row r="120" spans="1:8" x14ac:dyDescent="0.25">
      <c r="A120" s="2" t="s">
        <v>2213</v>
      </c>
      <c r="B120" s="14" t="str">
        <f>_xlfn.XLOOKUP(TBL_USUARIOS[[#This Row],[ID_MASSA]],tbl_de_massas[id_massa],tbl_de_massas[cpf],"--",0,1)</f>
        <v>80665429410</v>
      </c>
      <c r="C120" t="s">
        <v>12</v>
      </c>
      <c r="D120" t="str">
        <f>_xlfn.XLOOKUP(TBL_USUARIOS[[#This Row],[ID_MASSA]],tbl_de_massas[id_massa],tbl_de_massas[nome_completo],"--",0,1)</f>
        <v>Ren Ito</v>
      </c>
      <c r="E120" t="str">
        <f>_xlfn.XLOOKUP(TBL_USUARIOS[[#This Row],[ID_MASSA]],tbl_de_massas[id_massa],tbl_de_massas[cartao_fisico_numero],"--",0,1)</f>
        <v>3782 910865 8932</v>
      </c>
      <c r="F120" t="str">
        <f>_xlfn.XLOOKUP(TBL_USUARIOS[[#This Row],[ID_MASSA]],tbl_de_massas[id_massa],tbl_de_massas[nome_completo],"--",0,1)</f>
        <v>Ren Ito</v>
      </c>
      <c r="G120" s="47">
        <f>_xlfn.XLOOKUP(TBL_USUARIOS[[#This Row],[ID_MASSA]],tbl_de_massas[id_massa],tbl_de_massas[saldo_conta],"--",0,1)</f>
        <v>1868.22</v>
      </c>
      <c r="H120" t="str">
        <f>_xlfn.XLOOKUP(TBL_USUARIOS[[#This Row],[ID_MASSA]],tbl_de_massas[id_massa],tbl_de_massas[nome_completo],"--",0,1)</f>
        <v>Ren Ito</v>
      </c>
    </row>
    <row r="121" spans="1:8" x14ac:dyDescent="0.25">
      <c r="A121" s="2" t="s">
        <v>3654</v>
      </c>
      <c r="B121" t="str">
        <f>_xlfn.XLOOKUP(TBL_USUARIOS[[#This Row],[ID_MASSA]],tbl_de_massas[id_massa],tbl_de_massas[cpf],"--",0,1)</f>
        <v>62897585439</v>
      </c>
      <c r="C121" t="s">
        <v>12</v>
      </c>
      <c r="D121" t="str">
        <f>_xlfn.XLOOKUP(TBL_USUARIOS[[#This Row],[ID_MASSA]],tbl_de_massas[id_massa],tbl_de_massas[nome_completo],"--",0,1)</f>
        <v>Felipe Fernandes</v>
      </c>
      <c r="E121" t="str">
        <f>_xlfn.XLOOKUP(TBL_USUARIOS[[#This Row],[ID_MASSA]],tbl_de_massas[id_massa],tbl_de_massas[cartao_fisico_numero],"--",0,1)</f>
        <v>5442 7460 4420 2004</v>
      </c>
      <c r="F121" t="str">
        <f>_xlfn.XLOOKUP(TBL_USUARIOS[[#This Row],[ID_MASSA]],tbl_de_massas[id_massa],tbl_de_massas[nome_completo],"--",0,1)</f>
        <v>Felipe Fernandes</v>
      </c>
      <c r="G121" s="47">
        <f>_xlfn.XLOOKUP(TBL_USUARIOS[[#This Row],[ID_MASSA]],tbl_de_massas[id_massa],tbl_de_massas[saldo_conta],"--",0,1)</f>
        <v>1879.52</v>
      </c>
      <c r="H121" t="str">
        <f>_xlfn.XLOOKUP(TBL_USUARIOS[[#This Row],[ID_MASSA]],tbl_de_massas[id_massa],tbl_de_massas[nome_completo],"--",0,1)</f>
        <v>Felipe Fernandes</v>
      </c>
    </row>
    <row r="122" spans="1:8" x14ac:dyDescent="0.25">
      <c r="A122" s="2" t="s">
        <v>4527</v>
      </c>
      <c r="B122" t="str">
        <f>_xlfn.XLOOKUP(TBL_USUARIOS[[#This Row],[ID_MASSA]],tbl_de_massas[id_massa],tbl_de_massas[cpf],"--",0,1)</f>
        <v>00914250183</v>
      </c>
      <c r="C122" t="s">
        <v>12</v>
      </c>
      <c r="D122" t="str">
        <f>_xlfn.XLOOKUP(TBL_USUARIOS[[#This Row],[ID_MASSA]],tbl_de_massas[id_massa],tbl_de_massas[nome_completo],"--",0,1)</f>
        <v>Lucas Mendes Borges</v>
      </c>
      <c r="E122" t="str">
        <f>_xlfn.XLOOKUP(TBL_USUARIOS[[#This Row],[ID_MASSA]],tbl_de_massas[id_massa],tbl_de_massas[cartao_fisico_numero],"--",0,1)</f>
        <v/>
      </c>
      <c r="F122" t="str">
        <f>_xlfn.XLOOKUP(TBL_USUARIOS[[#This Row],[ID_MASSA]],tbl_de_massas[id_massa],tbl_de_massas[nome_completo],"--",0,1)</f>
        <v>Lucas Mendes Borges</v>
      </c>
      <c r="G122" s="47">
        <f>_xlfn.XLOOKUP(TBL_USUARIOS[[#This Row],[ID_MASSA]],tbl_de_massas[id_massa],tbl_de_massas[saldo_conta],"--",0,1)</f>
        <v>1880.43</v>
      </c>
      <c r="H122" t="str">
        <f>_xlfn.XLOOKUP(TBL_USUARIOS[[#This Row],[ID_MASSA]],tbl_de_massas[id_massa],tbl_de_massas[nome_completo],"--",0,1)</f>
        <v>Lucas Mendes Borges</v>
      </c>
    </row>
    <row r="123" spans="1:8" x14ac:dyDescent="0.25">
      <c r="A123" s="2" t="s">
        <v>2398</v>
      </c>
      <c r="B123" s="14" t="str">
        <f>_xlfn.XLOOKUP(TBL_USUARIOS[[#This Row],[ID_MASSA]],tbl_de_massas[id_massa],tbl_de_massas[cpf],"--",0,1)</f>
        <v>34830475226</v>
      </c>
      <c r="C123" t="s">
        <v>12</v>
      </c>
      <c r="D123" t="str">
        <f>_xlfn.XLOOKUP(TBL_USUARIOS[[#This Row],[ID_MASSA]],tbl_de_massas[id_massa],tbl_de_massas[nome_completo],"--",0,1)</f>
        <v>Dalila Pereira</v>
      </c>
      <c r="E123" t="str">
        <f>_xlfn.XLOOKUP(TBL_USUARIOS[[#This Row],[ID_MASSA]],tbl_de_massas[id_massa],tbl_de_massas[cartao_fisico_numero],"--",0,1)</f>
        <v>5185 4460 4080 9494</v>
      </c>
      <c r="F123" t="str">
        <f>_xlfn.XLOOKUP(TBL_USUARIOS[[#This Row],[ID_MASSA]],tbl_de_massas[id_massa],tbl_de_massas[nome_completo],"--",0,1)</f>
        <v>Dalila Pereira</v>
      </c>
      <c r="G123" s="47">
        <f>_xlfn.XLOOKUP(TBL_USUARIOS[[#This Row],[ID_MASSA]],tbl_de_massas[id_massa],tbl_de_massas[saldo_conta],"--",0,1)</f>
        <v>1898.39</v>
      </c>
      <c r="H123" t="str">
        <f>_xlfn.XLOOKUP(TBL_USUARIOS[[#This Row],[ID_MASSA]],tbl_de_massas[id_massa],tbl_de_massas[nome_completo],"--",0,1)</f>
        <v>Dalila Pereira</v>
      </c>
    </row>
    <row r="124" spans="1:8" x14ac:dyDescent="0.25">
      <c r="A124" s="2" t="s">
        <v>4128</v>
      </c>
      <c r="B124" t="str">
        <f>_xlfn.XLOOKUP(TBL_USUARIOS[[#This Row],[ID_MASSA]],tbl_de_massas[id_massa],tbl_de_massas[cpf],"--",0,1)</f>
        <v>72685841725</v>
      </c>
      <c r="C124" t="s">
        <v>12</v>
      </c>
      <c r="D124" t="str">
        <f>_xlfn.XLOOKUP(TBL_USUARIOS[[#This Row],[ID_MASSA]],tbl_de_massas[id_massa],tbl_de_massas[nome_completo],"--",0,1)</f>
        <v>Marcos Cavalcanti</v>
      </c>
      <c r="E124" t="str">
        <f>_xlfn.XLOOKUP(TBL_USUARIOS[[#This Row],[ID_MASSA]],tbl_de_massas[id_massa],tbl_de_massas[cartao_fisico_numero],"--",0,1)</f>
        <v/>
      </c>
      <c r="F124" t="str">
        <f>_xlfn.XLOOKUP(TBL_USUARIOS[[#This Row],[ID_MASSA]],tbl_de_massas[id_massa],tbl_de_massas[nome_completo],"--",0,1)</f>
        <v>Marcos Cavalcanti</v>
      </c>
      <c r="G124" s="47">
        <f>_xlfn.XLOOKUP(TBL_USUARIOS[[#This Row],[ID_MASSA]],tbl_de_massas[id_massa],tbl_de_massas[saldo_conta],"--",0,1)</f>
        <v>1912.51</v>
      </c>
      <c r="H124" t="str">
        <f>_xlfn.XLOOKUP(TBL_USUARIOS[[#This Row],[ID_MASSA]],tbl_de_massas[id_massa],tbl_de_massas[nome_completo],"--",0,1)</f>
        <v>Marcos Cavalcanti</v>
      </c>
    </row>
    <row r="125" spans="1:8" x14ac:dyDescent="0.25">
      <c r="A125" s="2" t="s">
        <v>6016</v>
      </c>
      <c r="B125" t="str">
        <f>_xlfn.XLOOKUP(TBL_USUARIOS[[#This Row],[ID_MASSA]],tbl_de_massas[id_massa],tbl_de_massas[cpf],"--",0,1)</f>
        <v>57788360902</v>
      </c>
      <c r="C125" t="s">
        <v>12</v>
      </c>
      <c r="D125" t="str">
        <f>_xlfn.XLOOKUP(TBL_USUARIOS[[#This Row],[ID_MASSA]],tbl_de_massas[id_massa],tbl_de_massas[nome_completo],"--",0,1)</f>
        <v>Gabriela Pereira Santos</v>
      </c>
      <c r="E125" t="str">
        <f>_xlfn.XLOOKUP(TBL_USUARIOS[[#This Row],[ID_MASSA]],tbl_de_massas[id_massa],tbl_de_massas[cartao_fisico_numero],"--",0,1)</f>
        <v>3782 182422 2018</v>
      </c>
      <c r="F125" t="str">
        <f>_xlfn.XLOOKUP(TBL_USUARIOS[[#This Row],[ID_MASSA]],tbl_de_massas[id_massa],tbl_de_massas[nome_completo],"--",0,1)</f>
        <v>Gabriela Pereira Santos</v>
      </c>
      <c r="G125" s="47">
        <f>_xlfn.XLOOKUP(TBL_USUARIOS[[#This Row],[ID_MASSA]],tbl_de_massas[id_massa],tbl_de_massas[saldo_conta],"--",0,1)</f>
        <v>1927.61</v>
      </c>
      <c r="H125" t="str">
        <f>_xlfn.XLOOKUP(TBL_USUARIOS[[#This Row],[ID_MASSA]],tbl_de_massas[id_massa],tbl_de_massas[nome_completo],"--",0,1)</f>
        <v>Gabriela Pereira Santos</v>
      </c>
    </row>
    <row r="126" spans="1:8" x14ac:dyDescent="0.25">
      <c r="A126" s="2" t="s">
        <v>4918</v>
      </c>
      <c r="B126" t="str">
        <f>_xlfn.XLOOKUP(TBL_USUARIOS[[#This Row],[ID_MASSA]],tbl_de_massas[id_massa],tbl_de_massas[cpf],"--",0,1)</f>
        <v>02383658677</v>
      </c>
      <c r="C126" t="s">
        <v>12</v>
      </c>
      <c r="D126" t="str">
        <f>_xlfn.XLOOKUP(TBL_USUARIOS[[#This Row],[ID_MASSA]],tbl_de_massas[id_massa],tbl_de_massas[nome_completo],"--",0,1)</f>
        <v>Tatiane Pinto Nunes</v>
      </c>
      <c r="E126" t="str">
        <f>_xlfn.XLOOKUP(TBL_USUARIOS[[#This Row],[ID_MASSA]],tbl_de_massas[id_massa],tbl_de_massas[cartao_fisico_numero],"--",0,1)</f>
        <v>6062 8200 2462 1374</v>
      </c>
      <c r="F126" t="str">
        <f>_xlfn.XLOOKUP(TBL_USUARIOS[[#This Row],[ID_MASSA]],tbl_de_massas[id_massa],tbl_de_massas[nome_completo],"--",0,1)</f>
        <v>Tatiane Pinto Nunes</v>
      </c>
      <c r="G126" s="47">
        <f>_xlfn.XLOOKUP(TBL_USUARIOS[[#This Row],[ID_MASSA]],tbl_de_massas[id_massa],tbl_de_massas[saldo_conta],"--",0,1)</f>
        <v>1949.01</v>
      </c>
      <c r="H126" t="str">
        <f>_xlfn.XLOOKUP(TBL_USUARIOS[[#This Row],[ID_MASSA]],tbl_de_massas[id_massa],tbl_de_massas[nome_completo],"--",0,1)</f>
        <v>Tatiane Pinto Nunes</v>
      </c>
    </row>
    <row r="127" spans="1:8" x14ac:dyDescent="0.25">
      <c r="A127" s="2" t="s">
        <v>2179</v>
      </c>
      <c r="B127" s="14" t="str">
        <f>_xlfn.XLOOKUP(TBL_USUARIOS[[#This Row],[ID_MASSA]],tbl_de_massas[id_massa],tbl_de_massas[cpf],"--",0,1)</f>
        <v>16618184630</v>
      </c>
      <c r="C127" t="s">
        <v>12</v>
      </c>
      <c r="D127" t="str">
        <f>_xlfn.XLOOKUP(TBL_USUARIOS[[#This Row],[ID_MASSA]],tbl_de_massas[id_massa],tbl_de_massas[nome_completo],"--",0,1)</f>
        <v>Kenji Sato</v>
      </c>
      <c r="E127" t="str">
        <f>_xlfn.XLOOKUP(TBL_USUARIOS[[#This Row],[ID_MASSA]],tbl_de_massas[id_massa],tbl_de_massas[cartao_fisico_numero],"--",0,1)</f>
        <v>6062 8200 1410 7804</v>
      </c>
      <c r="F127" t="str">
        <f>_xlfn.XLOOKUP(TBL_USUARIOS[[#This Row],[ID_MASSA]],tbl_de_massas[id_massa],tbl_de_massas[nome_completo],"--",0,1)</f>
        <v>Kenji Sato</v>
      </c>
      <c r="G127" s="47">
        <f>_xlfn.XLOOKUP(TBL_USUARIOS[[#This Row],[ID_MASSA]],tbl_de_massas[id_massa],tbl_de_massas[saldo_conta],"--",0,1)</f>
        <v>1951.23</v>
      </c>
      <c r="H127" t="str">
        <f>_xlfn.XLOOKUP(TBL_USUARIOS[[#This Row],[ID_MASSA]],tbl_de_massas[id_massa],tbl_de_massas[nome_completo],"--",0,1)</f>
        <v>Kenji Sato</v>
      </c>
    </row>
    <row r="128" spans="1:8" x14ac:dyDescent="0.25">
      <c r="A128" s="2" t="s">
        <v>6222</v>
      </c>
      <c r="B128" t="str">
        <f>_xlfn.XLOOKUP(TBL_USUARIOS[[#This Row],[ID_MASSA]],tbl_de_massas[id_massa],tbl_de_massas[cpf],"--",0,1)</f>
        <v>76572487423</v>
      </c>
      <c r="C128" t="s">
        <v>12</v>
      </c>
      <c r="D128" t="str">
        <f>_xlfn.XLOOKUP(TBL_USUARIOS[[#This Row],[ID_MASSA]],tbl_de_massas[id_massa],tbl_de_massas[nome_completo],"--",0,1)</f>
        <v>Daniel Anderson</v>
      </c>
      <c r="E128" t="str">
        <f>_xlfn.XLOOKUP(TBL_USUARIOS[[#This Row],[ID_MASSA]],tbl_de_massas[id_massa],tbl_de_massas[cartao_fisico_numero],"--",0,1)</f>
        <v>4576 7460 4241 0620</v>
      </c>
      <c r="F128" t="str">
        <f>_xlfn.XLOOKUP(TBL_USUARIOS[[#This Row],[ID_MASSA]],tbl_de_massas[id_massa],tbl_de_massas[nome_completo],"--",0,1)</f>
        <v>Daniel Anderson</v>
      </c>
      <c r="G128" s="47">
        <f>_xlfn.XLOOKUP(TBL_USUARIOS[[#This Row],[ID_MASSA]],tbl_de_massas[id_massa],tbl_de_massas[saldo_conta],"--",0,1)</f>
        <v>1958.58</v>
      </c>
      <c r="H128" t="str">
        <f>_xlfn.XLOOKUP(TBL_USUARIOS[[#This Row],[ID_MASSA]],tbl_de_massas[id_massa],tbl_de_massas[nome_completo],"--",0,1)</f>
        <v>Daniel Anderson</v>
      </c>
    </row>
    <row r="129" spans="1:8" x14ac:dyDescent="0.25">
      <c r="A129" s="2" t="s">
        <v>2159</v>
      </c>
      <c r="B129" s="14" t="str">
        <f>_xlfn.XLOOKUP(TBL_USUARIOS[[#This Row],[ID_MASSA]],tbl_de_massas[id_massa],tbl_de_massas[cpf],"--",0,1)</f>
        <v>89287038082</v>
      </c>
      <c r="C129" t="s">
        <v>12</v>
      </c>
      <c r="D129" t="str">
        <f>_xlfn.XLOOKUP(TBL_USUARIOS[[#This Row],[ID_MASSA]],tbl_de_massas[id_massa],tbl_de_massas[nome_completo],"--",0,1)</f>
        <v>Leonardo Bianchi</v>
      </c>
      <c r="E129" t="str">
        <f>_xlfn.XLOOKUP(TBL_USUARIOS[[#This Row],[ID_MASSA]],tbl_de_massas[id_massa],tbl_de_massas[cartao_fisico_numero],"--",0,1)</f>
        <v>5442 7460 4389 5317</v>
      </c>
      <c r="F129" t="str">
        <f>_xlfn.XLOOKUP(TBL_USUARIOS[[#This Row],[ID_MASSA]],tbl_de_massas[id_massa],tbl_de_massas[nome_completo],"--",0,1)</f>
        <v>Leonardo Bianchi</v>
      </c>
      <c r="G129" s="47">
        <f>_xlfn.XLOOKUP(TBL_USUARIOS[[#This Row],[ID_MASSA]],tbl_de_massas[id_massa],tbl_de_massas[saldo_conta],"--",0,1)</f>
        <v>1960.12</v>
      </c>
      <c r="H129" t="str">
        <f>_xlfn.XLOOKUP(TBL_USUARIOS[[#This Row],[ID_MASSA]],tbl_de_massas[id_massa],tbl_de_massas[nome_completo],"--",0,1)</f>
        <v>Leonardo Bianchi</v>
      </c>
    </row>
    <row r="130" spans="1:8" x14ac:dyDescent="0.25">
      <c r="A130" s="2" t="s">
        <v>3771</v>
      </c>
      <c r="B130" t="str">
        <f>_xlfn.XLOOKUP(TBL_USUARIOS[[#This Row],[ID_MASSA]],tbl_de_massas[id_massa],tbl_de_massas[cpf],"--",0,1)</f>
        <v>93835054007</v>
      </c>
      <c r="C130" t="s">
        <v>12</v>
      </c>
      <c r="D130" t="str">
        <f>_xlfn.XLOOKUP(TBL_USUARIOS[[#This Row],[ID_MASSA]],tbl_de_massas[id_massa],tbl_de_massas[nome_completo],"--",0,1)</f>
        <v>Marcelo Nunes Oliveira</v>
      </c>
      <c r="E130" t="str">
        <f>_xlfn.XLOOKUP(TBL_USUARIOS[[#This Row],[ID_MASSA]],tbl_de_massas[id_massa],tbl_de_massas[cartao_fisico_numero],"--",0,1)</f>
        <v>6062 8200 9749 1335</v>
      </c>
      <c r="F130" t="str">
        <f>_xlfn.XLOOKUP(TBL_USUARIOS[[#This Row],[ID_MASSA]],tbl_de_massas[id_massa],tbl_de_massas[nome_completo],"--",0,1)</f>
        <v>Marcelo Nunes Oliveira</v>
      </c>
      <c r="G130" s="47">
        <f>_xlfn.XLOOKUP(TBL_USUARIOS[[#This Row],[ID_MASSA]],tbl_de_massas[id_massa],tbl_de_massas[saldo_conta],"--",0,1)</f>
        <v>1963.15</v>
      </c>
      <c r="H130" t="str">
        <f>_xlfn.XLOOKUP(TBL_USUARIOS[[#This Row],[ID_MASSA]],tbl_de_massas[id_massa],tbl_de_massas[nome_completo],"--",0,1)</f>
        <v>Marcelo Nunes Oliveira</v>
      </c>
    </row>
    <row r="131" spans="1:8" x14ac:dyDescent="0.25">
      <c r="A131" s="2" t="s">
        <v>2793</v>
      </c>
      <c r="B131" t="str">
        <f>_xlfn.XLOOKUP(TBL_USUARIOS[[#This Row],[ID_MASSA]],tbl_de_massas[id_massa],tbl_de_massas[cpf],"--",0,1)</f>
        <v>31500414301</v>
      </c>
      <c r="C131" t="s">
        <v>12</v>
      </c>
      <c r="D131" t="str">
        <f>_xlfn.XLOOKUP(TBL_USUARIOS[[#This Row],[ID_MASSA]],tbl_de_massas[id_massa],tbl_de_massas[nome_completo],"--",0,1)</f>
        <v>Debora Vieira</v>
      </c>
      <c r="E131" t="str">
        <f>_xlfn.XLOOKUP(TBL_USUARIOS[[#This Row],[ID_MASSA]],tbl_de_massas[id_massa],tbl_de_massas[cartao_fisico_numero],"--",0,1)</f>
        <v>6062 8200 9285 9710</v>
      </c>
      <c r="F131" t="str">
        <f>_xlfn.XLOOKUP(TBL_USUARIOS[[#This Row],[ID_MASSA]],tbl_de_massas[id_massa],tbl_de_massas[nome_completo],"--",0,1)</f>
        <v>Debora Vieira</v>
      </c>
      <c r="G131" s="47">
        <f>_xlfn.XLOOKUP(TBL_USUARIOS[[#This Row],[ID_MASSA]],tbl_de_massas[id_massa],tbl_de_massas[saldo_conta],"--",0,1)</f>
        <v>1970.15</v>
      </c>
      <c r="H131" t="str">
        <f>_xlfn.XLOOKUP(TBL_USUARIOS[[#This Row],[ID_MASSA]],tbl_de_massas[id_massa],tbl_de_massas[nome_completo],"--",0,1)</f>
        <v>Debora Vieira</v>
      </c>
    </row>
    <row r="132" spans="1:8" x14ac:dyDescent="0.25">
      <c r="A132" s="2" t="s">
        <v>2285</v>
      </c>
      <c r="B132" s="14" t="str">
        <f>_xlfn.XLOOKUP(TBL_USUARIOS[[#This Row],[ID_MASSA]],tbl_de_massas[id_massa],tbl_de_massas[cpf],"--",0,1)</f>
        <v>12424713839</v>
      </c>
      <c r="C132" t="s">
        <v>12</v>
      </c>
      <c r="D132" t="str">
        <f>_xlfn.XLOOKUP(TBL_USUARIOS[[#This Row],[ID_MASSA]],tbl_de_massas[id_massa],tbl_de_massas[nome_completo],"--",0,1)</f>
        <v>Abigaelle Michel</v>
      </c>
      <c r="E132" t="str">
        <f>_xlfn.XLOOKUP(TBL_USUARIOS[[#This Row],[ID_MASSA]],tbl_de_massas[id_massa],tbl_de_massas[cartao_fisico_numero],"--",0,1)</f>
        <v>5442 7460 9903 2410</v>
      </c>
      <c r="F132" t="str">
        <f>_xlfn.XLOOKUP(TBL_USUARIOS[[#This Row],[ID_MASSA]],tbl_de_massas[id_massa],tbl_de_massas[nome_completo],"--",0,1)</f>
        <v>Abigaelle Michel</v>
      </c>
      <c r="G132" s="47">
        <f>_xlfn.XLOOKUP(TBL_USUARIOS[[#This Row],[ID_MASSA]],tbl_de_massas[id_massa],tbl_de_massas[saldo_conta],"--",0,1)</f>
        <v>1985</v>
      </c>
      <c r="H132" t="str">
        <f>_xlfn.XLOOKUP(TBL_USUARIOS[[#This Row],[ID_MASSA]],tbl_de_massas[id_massa],tbl_de_massas[nome_completo],"--",0,1)</f>
        <v>Abigaelle Michel</v>
      </c>
    </row>
    <row r="133" spans="1:8" x14ac:dyDescent="0.25">
      <c r="A133" s="2" t="s">
        <v>3662</v>
      </c>
      <c r="B133" t="str">
        <f>_xlfn.XLOOKUP(TBL_USUARIOS[[#This Row],[ID_MASSA]],tbl_de_massas[id_massa],tbl_de_massas[cpf],"--",0,1)</f>
        <v>29281452065</v>
      </c>
      <c r="C133" t="s">
        <v>12</v>
      </c>
      <c r="D133" t="str">
        <f>_xlfn.XLOOKUP(TBL_USUARIOS[[#This Row],[ID_MASSA]],tbl_de_massas[id_massa],tbl_de_massas[nome_completo],"--",0,1)</f>
        <v>Renato Pinto Dias</v>
      </c>
      <c r="E133" t="str">
        <f>_xlfn.XLOOKUP(TBL_USUARIOS[[#This Row],[ID_MASSA]],tbl_de_massas[id_massa],tbl_de_massas[cartao_fisico_numero],"--",0,1)</f>
        <v>5442 7460 2945 1438</v>
      </c>
      <c r="F133" t="str">
        <f>_xlfn.XLOOKUP(TBL_USUARIOS[[#This Row],[ID_MASSA]],tbl_de_massas[id_massa],tbl_de_massas[nome_completo],"--",0,1)</f>
        <v>Renato Pinto Dias</v>
      </c>
      <c r="G133" s="47">
        <f>_xlfn.XLOOKUP(TBL_USUARIOS[[#This Row],[ID_MASSA]],tbl_de_massas[id_massa],tbl_de_massas[saldo_conta],"--",0,1)</f>
        <v>1995.94</v>
      </c>
      <c r="H133" t="str">
        <f>_xlfn.XLOOKUP(TBL_USUARIOS[[#This Row],[ID_MASSA]],tbl_de_massas[id_massa],tbl_de_massas[nome_completo],"--",0,1)</f>
        <v>Renato Pinto Dias</v>
      </c>
    </row>
    <row r="134" spans="1:8" x14ac:dyDescent="0.25">
      <c r="A134" s="2" t="s">
        <v>18</v>
      </c>
      <c r="B134" s="14" t="str">
        <f>_xlfn.XLOOKUP(TBL_USUARIOS[[#This Row],[ID_MASSA]],tbl_de_massas[id_massa],tbl_de_massas[cpf],"--",0,1)</f>
        <v>53281863159</v>
      </c>
      <c r="C134" t="s">
        <v>12</v>
      </c>
      <c r="D134" t="str">
        <f>_xlfn.XLOOKUP(TBL_USUARIOS[[#This Row],[ID_MASSA]],tbl_de_massas[id_massa],tbl_de_massas[nome_completo],"--",0,1)</f>
        <v>Angel Rempel</v>
      </c>
      <c r="E134" t="str">
        <f>_xlfn.XLOOKUP(TBL_USUARIOS[[#This Row],[ID_MASSA]],tbl_de_massas[id_massa],tbl_de_massas[cartao_fisico_numero],"--",0,1)</f>
        <v>5442 7460 5945 2322</v>
      </c>
      <c r="F134" t="str">
        <f>_xlfn.XLOOKUP(TBL_USUARIOS[[#This Row],[ID_MASSA]],tbl_de_massas[id_massa],tbl_de_massas[nome_completo],"--",0,1)</f>
        <v>Angel Rempel</v>
      </c>
      <c r="G134" s="47">
        <f>_xlfn.XLOOKUP(TBL_USUARIOS[[#This Row],[ID_MASSA]],tbl_de_massas[id_massa],tbl_de_massas[saldo_conta],"--",0,1)</f>
        <v>1946.36</v>
      </c>
      <c r="H134" t="str">
        <f>_xlfn.XLOOKUP(TBL_USUARIOS[[#This Row],[ID_MASSA]],tbl_de_massas[id_massa],tbl_de_massas[nome_completo],"--",0,1)</f>
        <v>Angel Rempel</v>
      </c>
    </row>
    <row r="135" spans="1:8" x14ac:dyDescent="0.25">
      <c r="A135" s="2" t="s">
        <v>27</v>
      </c>
      <c r="B135" s="14" t="str">
        <f>_xlfn.XLOOKUP(TBL_USUARIOS[[#This Row],[ID_MASSA]],tbl_de_massas[id_massa],tbl_de_massas[cpf],"--",0,1)</f>
        <v>80417045181</v>
      </c>
      <c r="C135" t="s">
        <v>12</v>
      </c>
      <c r="D135" t="str">
        <f>_xlfn.XLOOKUP(TBL_USUARIOS[[#This Row],[ID_MASSA]],tbl_de_massas[id_massa],tbl_de_massas[nome_completo],"--",0,1)</f>
        <v>Marli Carvalho</v>
      </c>
      <c r="E135" t="str">
        <f>_xlfn.XLOOKUP(TBL_USUARIOS[[#This Row],[ID_MASSA]],tbl_de_massas[id_massa],tbl_de_massas[cartao_fisico_numero],"--",0,1)</f>
        <v>5442 7460 5473 5974</v>
      </c>
      <c r="F135" t="str">
        <f>_xlfn.XLOOKUP(TBL_USUARIOS[[#This Row],[ID_MASSA]],tbl_de_massas[id_massa],tbl_de_massas[nome_completo],"--",0,1)</f>
        <v>Marli Carvalho</v>
      </c>
      <c r="G135" s="47">
        <f>_xlfn.XLOOKUP(TBL_USUARIOS[[#This Row],[ID_MASSA]],tbl_de_massas[id_massa],tbl_de_massas[saldo_conta],"--",0,1)</f>
        <v>10000</v>
      </c>
      <c r="H135" t="str">
        <f>_xlfn.XLOOKUP(TBL_USUARIOS[[#This Row],[ID_MASSA]],tbl_de_massas[id_massa],tbl_de_massas[nome_completo],"--",0,1)</f>
        <v>Marli Carvalho</v>
      </c>
    </row>
    <row r="136" spans="1:8" x14ac:dyDescent="0.25">
      <c r="A136" s="2" t="s">
        <v>609</v>
      </c>
      <c r="B136" s="14" t="str">
        <f>_xlfn.XLOOKUP(TBL_USUARIOS[[#This Row],[ID_MASSA]],tbl_de_massas[id_massa],tbl_de_massas[cpf],"--",0,1)</f>
        <v>51243235758</v>
      </c>
      <c r="C136" t="s">
        <v>12</v>
      </c>
      <c r="D136" t="str">
        <f>_xlfn.XLOOKUP(TBL_USUARIOS[[#This Row],[ID_MASSA]],tbl_de_massas[id_massa],tbl_de_massas[nome_completo],"--",0,1)</f>
        <v>Rebeca Moreira</v>
      </c>
      <c r="E136" t="str">
        <f>_xlfn.XLOOKUP(TBL_USUARIOS[[#This Row],[ID_MASSA]],tbl_de_massas[id_massa],tbl_de_massas[cartao_fisico_numero],"--",0,1)</f>
        <v>5442 7460 9444 2887</v>
      </c>
      <c r="F136" t="str">
        <f>_xlfn.XLOOKUP(TBL_USUARIOS[[#This Row],[ID_MASSA]],tbl_de_massas[id_massa],tbl_de_massas[nome_completo],"--",0,1)</f>
        <v>Rebeca Moreira</v>
      </c>
      <c r="G136" s="47">
        <f>_xlfn.XLOOKUP(TBL_USUARIOS[[#This Row],[ID_MASSA]],tbl_de_massas[id_massa],tbl_de_massas[saldo_conta],"--",0,1)</f>
        <v>10000</v>
      </c>
      <c r="H136" t="str">
        <f>_xlfn.XLOOKUP(TBL_USUARIOS[[#This Row],[ID_MASSA]],tbl_de_massas[id_massa],tbl_de_massas[nome_completo],"--",0,1)</f>
        <v>Rebeca Moreira</v>
      </c>
    </row>
    <row r="137" spans="1:8" x14ac:dyDescent="0.25">
      <c r="A137" s="2" t="s">
        <v>610</v>
      </c>
      <c r="B137" s="14" t="str">
        <f>_xlfn.XLOOKUP(TBL_USUARIOS[[#This Row],[ID_MASSA]],tbl_de_massas[id_massa],tbl_de_massas[cpf],"--",0,1)</f>
        <v>42975897884</v>
      </c>
      <c r="C137" t="s">
        <v>12</v>
      </c>
      <c r="D137" t="str">
        <f>_xlfn.XLOOKUP(TBL_USUARIOS[[#This Row],[ID_MASSA]],tbl_de_massas[id_massa],tbl_de_massas[nome_completo],"--",0,1)</f>
        <v>Rafael Moreira</v>
      </c>
      <c r="E137" t="str">
        <f>_xlfn.XLOOKUP(TBL_USUARIOS[[#This Row],[ID_MASSA]],tbl_de_massas[id_massa],tbl_de_massas[cartao_fisico_numero],"--",0,1)</f>
        <v>5442 7460 6663 2979</v>
      </c>
      <c r="F137" t="str">
        <f>_xlfn.XLOOKUP(TBL_USUARIOS[[#This Row],[ID_MASSA]],tbl_de_massas[id_massa],tbl_de_massas[nome_completo],"--",0,1)</f>
        <v>Rafael Moreira</v>
      </c>
      <c r="G137" s="47">
        <f>_xlfn.XLOOKUP(TBL_USUARIOS[[#This Row],[ID_MASSA]],tbl_de_massas[id_massa],tbl_de_massas[saldo_conta],"--",0,1)</f>
        <v>8546.7099999999991</v>
      </c>
      <c r="H137" t="str">
        <f>_xlfn.XLOOKUP(TBL_USUARIOS[[#This Row],[ID_MASSA]],tbl_de_massas[id_massa],tbl_de_massas[nome_completo],"--",0,1)</f>
        <v>Rafael Moreira</v>
      </c>
    </row>
    <row r="138" spans="1:8" x14ac:dyDescent="0.25">
      <c r="A138" s="2" t="s">
        <v>612</v>
      </c>
      <c r="B138" s="14" t="str">
        <f>_xlfn.XLOOKUP(TBL_USUARIOS[[#This Row],[ID_MASSA]],tbl_de_massas[id_massa],tbl_de_massas[cpf],"--",0,1)</f>
        <v>33522298364</v>
      </c>
      <c r="C138" t="s">
        <v>12</v>
      </c>
      <c r="D138" t="str">
        <f>_xlfn.XLOOKUP(TBL_USUARIOS[[#This Row],[ID_MASSA]],tbl_de_massas[id_massa],tbl_de_massas[nome_completo],"--",0,1)</f>
        <v>Paula Barros</v>
      </c>
      <c r="E138" t="str">
        <f>_xlfn.XLOOKUP(TBL_USUARIOS[[#This Row],[ID_MASSA]],tbl_de_massas[id_massa],tbl_de_massas[cartao_fisico_numero],"--",0,1)</f>
        <v>5442 7460 8142 6976</v>
      </c>
      <c r="F138" t="str">
        <f>_xlfn.XLOOKUP(TBL_USUARIOS[[#This Row],[ID_MASSA]],tbl_de_massas[id_massa],tbl_de_massas[nome_completo],"--",0,1)</f>
        <v>Paula Barros</v>
      </c>
      <c r="G138" s="47">
        <f>_xlfn.XLOOKUP(TBL_USUARIOS[[#This Row],[ID_MASSA]],tbl_de_massas[id_massa],tbl_de_massas[saldo_conta],"--",0,1)</f>
        <v>9829.6200000000008</v>
      </c>
      <c r="H138" t="str">
        <f>_xlfn.XLOOKUP(TBL_USUARIOS[[#This Row],[ID_MASSA]],tbl_de_massas[id_massa],tbl_de_massas[nome_completo],"--",0,1)</f>
        <v>Paula Barros</v>
      </c>
    </row>
    <row r="139" spans="1:8" x14ac:dyDescent="0.25">
      <c r="A139" s="2" t="s">
        <v>614</v>
      </c>
      <c r="B139" s="14" t="str">
        <f>_xlfn.XLOOKUP(TBL_USUARIOS[[#This Row],[ID_MASSA]],tbl_de_massas[id_massa],tbl_de_massas[cpf],"--",0,1)</f>
        <v>65451936372</v>
      </c>
      <c r="C139" t="s">
        <v>12</v>
      </c>
      <c r="D139" t="str">
        <f>_xlfn.XLOOKUP(TBL_USUARIOS[[#This Row],[ID_MASSA]],tbl_de_massas[id_massa],tbl_de_massas[nome_completo],"--",0,1)</f>
        <v>Dalila Batista</v>
      </c>
      <c r="E139" t="str">
        <f>_xlfn.XLOOKUP(TBL_USUARIOS[[#This Row],[ID_MASSA]],tbl_de_massas[id_massa],tbl_de_massas[cartao_fisico_numero],"--",0,1)</f>
        <v>5442 7460 4485 1604</v>
      </c>
      <c r="F139" t="str">
        <f>_xlfn.XLOOKUP(TBL_USUARIOS[[#This Row],[ID_MASSA]],tbl_de_massas[id_massa],tbl_de_massas[nome_completo],"--",0,1)</f>
        <v>Dalila Batista</v>
      </c>
      <c r="G139" s="47">
        <f>_xlfn.XLOOKUP(TBL_USUARIOS[[#This Row],[ID_MASSA]],tbl_de_massas[id_massa],tbl_de_massas[saldo_conta],"--",0,1)</f>
        <v>9371.7800000000007</v>
      </c>
      <c r="H139" t="str">
        <f>_xlfn.XLOOKUP(TBL_USUARIOS[[#This Row],[ID_MASSA]],tbl_de_massas[id_massa],tbl_de_massas[nome_completo],"--",0,1)</f>
        <v>Dalila Batista</v>
      </c>
    </row>
    <row r="140" spans="1:8" x14ac:dyDescent="0.25">
      <c r="A140" s="2" t="s">
        <v>613</v>
      </c>
      <c r="B140" s="14" t="str">
        <f>_xlfn.XLOOKUP(TBL_USUARIOS[[#This Row],[ID_MASSA]],tbl_de_massas[id_massa],tbl_de_massas[cpf],"--",0,1)</f>
        <v>48431018434</v>
      </c>
      <c r="C140" t="s">
        <v>12</v>
      </c>
      <c r="D140" t="str">
        <f>_xlfn.XLOOKUP(TBL_USUARIOS[[#This Row],[ID_MASSA]],tbl_de_massas[id_massa],tbl_de_massas[nome_completo],"--",0,1)</f>
        <v>Opal King</v>
      </c>
      <c r="E140" t="str">
        <f>_xlfn.XLOOKUP(TBL_USUARIOS[[#This Row],[ID_MASSA]],tbl_de_massas[id_massa],tbl_de_massas[cartao_fisico_numero],"--",0,1)</f>
        <v>5442 7460 2097 3752</v>
      </c>
      <c r="F140" t="str">
        <f>_xlfn.XLOOKUP(TBL_USUARIOS[[#This Row],[ID_MASSA]],tbl_de_massas[id_massa],tbl_de_massas[nome_completo],"--",0,1)</f>
        <v>Opal King</v>
      </c>
      <c r="G140" s="47">
        <f>_xlfn.XLOOKUP(TBL_USUARIOS[[#This Row],[ID_MASSA]],tbl_de_massas[id_massa],tbl_de_massas[saldo_conta],"--",0,1)</f>
        <v>10000</v>
      </c>
      <c r="H140" t="str">
        <f>_xlfn.XLOOKUP(TBL_USUARIOS[[#This Row],[ID_MASSA]],tbl_de_massas[id_massa],tbl_de_massas[nome_completo],"--",0,1)</f>
        <v>Opal King</v>
      </c>
    </row>
    <row r="141" spans="1:8" x14ac:dyDescent="0.25">
      <c r="A141" s="2" t="s">
        <v>615</v>
      </c>
      <c r="B141" s="14" t="str">
        <f>_xlfn.XLOOKUP(TBL_USUARIOS[[#This Row],[ID_MASSA]],tbl_de_massas[id_massa],tbl_de_massas[cpf],"--",0,1)</f>
        <v>57673944623</v>
      </c>
      <c r="C141" t="s">
        <v>12</v>
      </c>
      <c r="D141" t="str">
        <f>_xlfn.XLOOKUP(TBL_USUARIOS[[#This Row],[ID_MASSA]],tbl_de_massas[id_massa],tbl_de_massas[nome_completo],"--",0,1)</f>
        <v>Ira Morar</v>
      </c>
      <c r="E141" t="str">
        <f>_xlfn.XLOOKUP(TBL_USUARIOS[[#This Row],[ID_MASSA]],tbl_de_massas[id_massa],tbl_de_massas[cartao_fisico_numero],"--",0,1)</f>
        <v>5442 7460 5075 1068</v>
      </c>
      <c r="F141" t="str">
        <f>_xlfn.XLOOKUP(TBL_USUARIOS[[#This Row],[ID_MASSA]],tbl_de_massas[id_massa],tbl_de_massas[nome_completo],"--",0,1)</f>
        <v>Ira Morar</v>
      </c>
      <c r="G141" s="47">
        <f>_xlfn.XLOOKUP(TBL_USUARIOS[[#This Row],[ID_MASSA]],tbl_de_massas[id_massa],tbl_de_massas[saldo_conta],"--",0,1)</f>
        <v>1702.49</v>
      </c>
      <c r="H141" t="str">
        <f>_xlfn.XLOOKUP(TBL_USUARIOS[[#This Row],[ID_MASSA]],tbl_de_massas[id_massa],tbl_de_massas[nome_completo],"--",0,1)</f>
        <v>Ira Morar</v>
      </c>
    </row>
    <row r="142" spans="1:8" x14ac:dyDescent="0.25">
      <c r="A142" s="2" t="s">
        <v>618</v>
      </c>
      <c r="B142" s="14" t="str">
        <f>_xlfn.XLOOKUP(TBL_USUARIOS[[#This Row],[ID_MASSA]],tbl_de_massas[id_massa],tbl_de_massas[cpf],"--",0,1)</f>
        <v>72856446096</v>
      </c>
      <c r="C142" t="s">
        <v>12</v>
      </c>
      <c r="D142" t="str">
        <f>_xlfn.XLOOKUP(TBL_USUARIOS[[#This Row],[ID_MASSA]],tbl_de_massas[id_massa],tbl_de_massas[nome_completo],"--",0,1)</f>
        <v>Marvin Dietrich</v>
      </c>
      <c r="E142" t="str">
        <f>_xlfn.XLOOKUP(TBL_USUARIOS[[#This Row],[ID_MASSA]],tbl_de_massas[id_massa],tbl_de_massas[cartao_fisico_numero],"--",0,1)</f>
        <v>5442 7460 1716 7924</v>
      </c>
      <c r="F142" t="str">
        <f>_xlfn.XLOOKUP(TBL_USUARIOS[[#This Row],[ID_MASSA]],tbl_de_massas[id_massa],tbl_de_massas[nome_completo],"--",0,1)</f>
        <v>Marvin Dietrich</v>
      </c>
      <c r="G142" s="47">
        <f>_xlfn.XLOOKUP(TBL_USUARIOS[[#This Row],[ID_MASSA]],tbl_de_massas[id_massa],tbl_de_massas[saldo_conta],"--",0,1)</f>
        <v>4744</v>
      </c>
      <c r="H142" t="str">
        <f>_xlfn.XLOOKUP(TBL_USUARIOS[[#This Row],[ID_MASSA]],tbl_de_massas[id_massa],tbl_de_massas[nome_completo],"--",0,1)</f>
        <v>Marvin Dietrich</v>
      </c>
    </row>
    <row r="143" spans="1:8" x14ac:dyDescent="0.25">
      <c r="A143" s="2" t="s">
        <v>1291</v>
      </c>
      <c r="B143" s="14" t="str">
        <f>_xlfn.XLOOKUP(TBL_USUARIOS[[#This Row],[ID_MASSA]],tbl_de_massas[id_massa],tbl_de_massas[cpf],"--",0,1)</f>
        <v>25713468361</v>
      </c>
      <c r="C143" t="s">
        <v>12</v>
      </c>
      <c r="D143" t="str">
        <f>_xlfn.XLOOKUP(TBL_USUARIOS[[#This Row],[ID_MASSA]],tbl_de_massas[id_massa],tbl_de_massas[nome_completo],"--",0,1)</f>
        <v>Alícia Barros</v>
      </c>
      <c r="E143" t="str">
        <f>_xlfn.XLOOKUP(TBL_USUARIOS[[#This Row],[ID_MASSA]],tbl_de_massas[id_massa],tbl_de_massas[cartao_fisico_numero],"--",0,1)</f>
        <v>5442 7460 6629 7624</v>
      </c>
      <c r="F143" t="str">
        <f>_xlfn.XLOOKUP(TBL_USUARIOS[[#This Row],[ID_MASSA]],tbl_de_massas[id_massa],tbl_de_massas[nome_completo],"--",0,1)</f>
        <v>Alícia Barros</v>
      </c>
      <c r="G143" s="47">
        <f>_xlfn.XLOOKUP(TBL_USUARIOS[[#This Row],[ID_MASSA]],tbl_de_massas[id_massa],tbl_de_massas[saldo_conta],"--",0,1)</f>
        <v>9866.82</v>
      </c>
      <c r="H143" t="str">
        <f>_xlfn.XLOOKUP(TBL_USUARIOS[[#This Row],[ID_MASSA]],tbl_de_massas[id_massa],tbl_de_massas[nome_completo],"--",0,1)</f>
        <v>Alícia Barros</v>
      </c>
    </row>
    <row r="144" spans="1:8" x14ac:dyDescent="0.25">
      <c r="A144" s="2" t="s">
        <v>2262</v>
      </c>
      <c r="B144" s="14" t="str">
        <f>_xlfn.XLOOKUP(TBL_USUARIOS[[#This Row],[ID_MASSA]],tbl_de_massas[id_massa],tbl_de_massas[cpf],"--",0,1)</f>
        <v>73012176728</v>
      </c>
      <c r="C144" t="s">
        <v>12</v>
      </c>
      <c r="D144" t="str">
        <f>_xlfn.XLOOKUP(TBL_USUARIOS[[#This Row],[ID_MASSA]],tbl_de_massas[id_massa],tbl_de_massas[nome_completo],"--",0,1)</f>
        <v>Elísio Souza</v>
      </c>
      <c r="E144" t="str">
        <f>_xlfn.XLOOKUP(TBL_USUARIOS[[#This Row],[ID_MASSA]],tbl_de_massas[id_massa],tbl_de_massas[cartao_fisico_numero],"--",0,1)</f>
        <v>5442 7460 8105 6141</v>
      </c>
      <c r="F144" t="str">
        <f>_xlfn.XLOOKUP(TBL_USUARIOS[[#This Row],[ID_MASSA]],tbl_de_massas[id_massa],tbl_de_massas[nome_completo],"--",0,1)</f>
        <v>Elísio Souza</v>
      </c>
      <c r="G144" s="47">
        <f>_xlfn.XLOOKUP(TBL_USUARIOS[[#This Row],[ID_MASSA]],tbl_de_massas[id_massa],tbl_de_massas[saldo_conta],"--",0,1)</f>
        <v>1938.02</v>
      </c>
      <c r="H144" t="str">
        <f>_xlfn.XLOOKUP(TBL_USUARIOS[[#This Row],[ID_MASSA]],tbl_de_massas[id_massa],tbl_de_massas[nome_completo],"--",0,1)</f>
        <v>Elísio Souza</v>
      </c>
    </row>
    <row r="145" spans="1:8" x14ac:dyDescent="0.25">
      <c r="A145" s="2" t="s">
        <v>1292</v>
      </c>
      <c r="B145" s="14" t="str">
        <f>_xlfn.XLOOKUP(TBL_USUARIOS[[#This Row],[ID_MASSA]],tbl_de_massas[id_massa],tbl_de_massas[cpf],"--",0,1)</f>
        <v>18011225638</v>
      </c>
      <c r="C145" t="s">
        <v>12</v>
      </c>
      <c r="D145" t="str">
        <f>_xlfn.XLOOKUP(TBL_USUARIOS[[#This Row],[ID_MASSA]],tbl_de_massas[id_massa],tbl_de_massas[nome_completo],"--",0,1)</f>
        <v>Alice Albuquerque</v>
      </c>
      <c r="E145" t="str">
        <f>_xlfn.XLOOKUP(TBL_USUARIOS[[#This Row],[ID_MASSA]],tbl_de_massas[id_massa],tbl_de_massas[cartao_fisico_numero],"--",0,1)</f>
        <v>5442 7460 2184 6661</v>
      </c>
      <c r="F145" t="str">
        <f>_xlfn.XLOOKUP(TBL_USUARIOS[[#This Row],[ID_MASSA]],tbl_de_massas[id_massa],tbl_de_massas[nome_completo],"--",0,1)</f>
        <v>Alice Albuquerque</v>
      </c>
      <c r="G145" s="47">
        <f>_xlfn.XLOOKUP(TBL_USUARIOS[[#This Row],[ID_MASSA]],tbl_de_massas[id_massa],tbl_de_massas[saldo_conta],"--",0,1)</f>
        <v>10000</v>
      </c>
      <c r="H145" t="str">
        <f>_xlfn.XLOOKUP(TBL_USUARIOS[[#This Row],[ID_MASSA]],tbl_de_massas[id_massa],tbl_de_massas[nome_completo],"--",0,1)</f>
        <v>Alice Albuquerque</v>
      </c>
    </row>
    <row r="146" spans="1:8" x14ac:dyDescent="0.25">
      <c r="A146" s="2" t="s">
        <v>2263</v>
      </c>
      <c r="B146" s="14" t="str">
        <f>_xlfn.XLOOKUP(TBL_USUARIOS[[#This Row],[ID_MASSA]],tbl_de_massas[id_massa],tbl_de_massas[cpf],"--",0,1)</f>
        <v>76726514039</v>
      </c>
      <c r="C146" t="s">
        <v>12</v>
      </c>
      <c r="D146" t="str">
        <f>_xlfn.XLOOKUP(TBL_USUARIOS[[#This Row],[ID_MASSA]],tbl_de_massas[id_massa],tbl_de_massas[nome_completo],"--",0,1)</f>
        <v>Rafael Xavier</v>
      </c>
      <c r="E146" t="str">
        <f>_xlfn.XLOOKUP(TBL_USUARIOS[[#This Row],[ID_MASSA]],tbl_de_massas[id_massa],tbl_de_massas[cartao_fisico_numero],"--",0,1)</f>
        <v>5442 7460 2091 1845</v>
      </c>
      <c r="F146" t="str">
        <f>_xlfn.XLOOKUP(TBL_USUARIOS[[#This Row],[ID_MASSA]],tbl_de_massas[id_massa],tbl_de_massas[nome_completo],"--",0,1)</f>
        <v>Rafael Xavier</v>
      </c>
      <c r="G146" s="47">
        <f>_xlfn.XLOOKUP(TBL_USUARIOS[[#This Row],[ID_MASSA]],tbl_de_massas[id_massa],tbl_de_massas[saldo_conta],"--",0,1)</f>
        <v>9498.17</v>
      </c>
      <c r="H146" t="str">
        <f>_xlfn.XLOOKUP(TBL_USUARIOS[[#This Row],[ID_MASSA]],tbl_de_massas[id_massa],tbl_de_massas[nome_completo],"--",0,1)</f>
        <v>Rafael Xavier</v>
      </c>
    </row>
    <row r="147" spans="1:8" x14ac:dyDescent="0.25">
      <c r="A147" s="2" t="s">
        <v>2264</v>
      </c>
      <c r="B147" s="14" t="str">
        <f>_xlfn.XLOOKUP(TBL_USUARIOS[[#This Row],[ID_MASSA]],tbl_de_massas[id_massa],tbl_de_massas[cpf],"--",0,1)</f>
        <v>34272175349</v>
      </c>
      <c r="C147" t="s">
        <v>12</v>
      </c>
      <c r="D147" t="str">
        <f>_xlfn.XLOOKUP(TBL_USUARIOS[[#This Row],[ID_MASSA]],tbl_de_massas[id_massa],tbl_de_massas[nome_completo],"--",0,1)</f>
        <v>César Braga</v>
      </c>
      <c r="E147" t="str">
        <f>_xlfn.XLOOKUP(TBL_USUARIOS[[#This Row],[ID_MASSA]],tbl_de_massas[id_massa],tbl_de_massas[cartao_fisico_numero],"--",0,1)</f>
        <v>5442 7460 4625 0111</v>
      </c>
      <c r="F147" t="str">
        <f>_xlfn.XLOOKUP(TBL_USUARIOS[[#This Row],[ID_MASSA]],tbl_de_massas[id_massa],tbl_de_massas[nome_completo],"--",0,1)</f>
        <v>César Braga</v>
      </c>
      <c r="G147" s="47">
        <f>_xlfn.XLOOKUP(TBL_USUARIOS[[#This Row],[ID_MASSA]],tbl_de_massas[id_massa],tbl_de_massas[saldo_conta],"--",0,1)</f>
        <v>10000</v>
      </c>
      <c r="H147" t="str">
        <f>_xlfn.XLOOKUP(TBL_USUARIOS[[#This Row],[ID_MASSA]],tbl_de_massas[id_massa],tbl_de_massas[nome_completo],"--",0,1)</f>
        <v>César Braga</v>
      </c>
    </row>
    <row r="148" spans="1:8" x14ac:dyDescent="0.25">
      <c r="A148" s="2" t="s">
        <v>2265</v>
      </c>
      <c r="B148" s="14" t="str">
        <f>_xlfn.XLOOKUP(TBL_USUARIOS[[#This Row],[ID_MASSA]],tbl_de_massas[id_massa],tbl_de_massas[cpf],"--",0,1)</f>
        <v>18956389652</v>
      </c>
      <c r="C148" t="s">
        <v>12</v>
      </c>
      <c r="D148" t="str">
        <f>_xlfn.XLOOKUP(TBL_USUARIOS[[#This Row],[ID_MASSA]],tbl_de_massas[id_massa],tbl_de_massas[nome_completo],"--",0,1)</f>
        <v>João Miguel Silva</v>
      </c>
      <c r="E148" t="str">
        <f>_xlfn.XLOOKUP(TBL_USUARIOS[[#This Row],[ID_MASSA]],tbl_de_massas[id_massa],tbl_de_massas[cartao_fisico_numero],"--",0,1)</f>
        <v>5442 7460 8520 0590</v>
      </c>
      <c r="F148" t="str">
        <f>_xlfn.XLOOKUP(TBL_USUARIOS[[#This Row],[ID_MASSA]],tbl_de_massas[id_massa],tbl_de_massas[nome_completo],"--",0,1)</f>
        <v>João Miguel Silva</v>
      </c>
      <c r="G148" s="47">
        <f>_xlfn.XLOOKUP(TBL_USUARIOS[[#This Row],[ID_MASSA]],tbl_de_massas[id_massa],tbl_de_massas[saldo_conta],"--",0,1)</f>
        <v>9220.0300000000007</v>
      </c>
      <c r="H148" t="str">
        <f>_xlfn.XLOOKUP(TBL_USUARIOS[[#This Row],[ID_MASSA]],tbl_de_massas[id_massa],tbl_de_massas[nome_completo],"--",0,1)</f>
        <v>João Miguel Silva</v>
      </c>
    </row>
    <row r="149" spans="1:8" x14ac:dyDescent="0.25">
      <c r="A149" s="2" t="s">
        <v>2266</v>
      </c>
      <c r="B149" s="14" t="str">
        <f>_xlfn.XLOOKUP(TBL_USUARIOS[[#This Row],[ID_MASSA]],tbl_de_massas[id_massa],tbl_de_massas[cpf],"--",0,1)</f>
        <v>90917191782</v>
      </c>
      <c r="C149" t="s">
        <v>12</v>
      </c>
      <c r="D149" t="str">
        <f>_xlfn.XLOOKUP(TBL_USUARIOS[[#This Row],[ID_MASSA]],tbl_de_massas[id_massa],tbl_de_massas[nome_completo],"--",0,1)</f>
        <v>Beatriz Franco</v>
      </c>
      <c r="E149" t="str">
        <f>_xlfn.XLOOKUP(TBL_USUARIOS[[#This Row],[ID_MASSA]],tbl_de_massas[id_massa],tbl_de_massas[cartao_fisico_numero],"--",0,1)</f>
        <v>5442 7460 1171 2107</v>
      </c>
      <c r="F149" t="str">
        <f>_xlfn.XLOOKUP(TBL_USUARIOS[[#This Row],[ID_MASSA]],tbl_de_massas[id_massa],tbl_de_massas[nome_completo],"--",0,1)</f>
        <v>Beatriz Franco</v>
      </c>
      <c r="G149" s="47">
        <f>_xlfn.XLOOKUP(TBL_USUARIOS[[#This Row],[ID_MASSA]],tbl_de_massas[id_massa],tbl_de_massas[saldo_conta],"--",0,1)</f>
        <v>8533.01</v>
      </c>
      <c r="H149" t="str">
        <f>_xlfn.XLOOKUP(TBL_USUARIOS[[#This Row],[ID_MASSA]],tbl_de_massas[id_massa],tbl_de_massas[nome_completo],"--",0,1)</f>
        <v>Beatriz Franco</v>
      </c>
    </row>
    <row r="150" spans="1:8" x14ac:dyDescent="0.25">
      <c r="A150" s="2" t="s">
        <v>2267</v>
      </c>
      <c r="B150" s="14" t="str">
        <f>_xlfn.XLOOKUP(TBL_USUARIOS[[#This Row],[ID_MASSA]],tbl_de_massas[id_massa],tbl_de_massas[cpf],"--",0,1)</f>
        <v>42718533218</v>
      </c>
      <c r="C150" t="s">
        <v>12</v>
      </c>
      <c r="D150" t="str">
        <f>_xlfn.XLOOKUP(TBL_USUARIOS[[#This Row],[ID_MASSA]],tbl_de_massas[id_massa],tbl_de_massas[nome_completo],"--",0,1)</f>
        <v>Angilran Morin</v>
      </c>
      <c r="E150" t="str">
        <f>_xlfn.XLOOKUP(TBL_USUARIOS[[#This Row],[ID_MASSA]],tbl_de_massas[id_massa],tbl_de_massas[cartao_fisico_numero],"--",0,1)</f>
        <v>5442 7460 7965 5007</v>
      </c>
      <c r="F150" t="str">
        <f>_xlfn.XLOOKUP(TBL_USUARIOS[[#This Row],[ID_MASSA]],tbl_de_massas[id_massa],tbl_de_massas[nome_completo],"--",0,1)</f>
        <v>Angilran Morin</v>
      </c>
      <c r="G150" s="47">
        <f>_xlfn.XLOOKUP(TBL_USUARIOS[[#This Row],[ID_MASSA]],tbl_de_massas[id_massa],tbl_de_massas[saldo_conta],"--",0,1)</f>
        <v>9878.16</v>
      </c>
      <c r="H150" t="str">
        <f>_xlfn.XLOOKUP(TBL_USUARIOS[[#This Row],[ID_MASSA]],tbl_de_massas[id_massa],tbl_de_massas[nome_completo],"--",0,1)</f>
        <v>Angilran Morin</v>
      </c>
    </row>
    <row r="151" spans="1:8" x14ac:dyDescent="0.25">
      <c r="A151" s="2" t="s">
        <v>619</v>
      </c>
      <c r="B151" s="14" t="str">
        <f>_xlfn.XLOOKUP(TBL_USUARIOS[[#This Row],[ID_MASSA]],tbl_de_massas[id_massa],tbl_de_massas[cpf],"--",0,1)</f>
        <v>98765432100</v>
      </c>
      <c r="C151" t="s">
        <v>12</v>
      </c>
      <c r="D151" t="str">
        <f>_xlfn.XLOOKUP(TBL_USUARIOS[[#This Row],[ID_MASSA]],tbl_de_massas[id_massa],tbl_de_massas[nome_completo],"--",0,1)</f>
        <v>User Teste</v>
      </c>
      <c r="E151" t="str">
        <f>_xlfn.XLOOKUP(TBL_USUARIOS[[#This Row],[ID_MASSA]],tbl_de_massas[id_massa],tbl_de_massas[cartao_fisico_numero],"--",0,1)</f>
        <v>5442 7460 8915 7058</v>
      </c>
      <c r="F151" t="str">
        <f>_xlfn.XLOOKUP(TBL_USUARIOS[[#This Row],[ID_MASSA]],tbl_de_massas[id_massa],tbl_de_massas[nome_completo],"--",0,1)</f>
        <v>User Teste</v>
      </c>
      <c r="G151" s="47">
        <f>_xlfn.XLOOKUP(TBL_USUARIOS[[#This Row],[ID_MASSA]],tbl_de_massas[id_massa],tbl_de_massas[saldo_conta],"--",0,1)</f>
        <v>7285.36</v>
      </c>
      <c r="H151" t="str">
        <f>_xlfn.XLOOKUP(TBL_USUARIOS[[#This Row],[ID_MASSA]],tbl_de_massas[id_massa],tbl_de_massas[nome_completo],"--",0,1)</f>
        <v>User Teste</v>
      </c>
    </row>
    <row r="152" spans="1:8" x14ac:dyDescent="0.25">
      <c r="A152" s="2" t="s">
        <v>2270</v>
      </c>
      <c r="B152" s="14" t="str">
        <f>_xlfn.XLOOKUP(TBL_USUARIOS[[#This Row],[ID_MASSA]],tbl_de_massas[id_massa],tbl_de_massas[cpf],"--",0,1)</f>
        <v>17334727380</v>
      </c>
      <c r="C152" t="s">
        <v>12</v>
      </c>
      <c r="D152" t="str">
        <f>_xlfn.XLOOKUP(TBL_USUARIOS[[#This Row],[ID_MASSA]],tbl_de_massas[id_massa],tbl_de_massas[nome_completo],"--",0,1)</f>
        <v>Odile Meunier</v>
      </c>
      <c r="E152" t="str">
        <f>_xlfn.XLOOKUP(TBL_USUARIOS[[#This Row],[ID_MASSA]],tbl_de_massas[id_massa],tbl_de_massas[cartao_fisico_numero],"--",0,1)</f>
        <v>5442 7460 6457 6600</v>
      </c>
      <c r="F152" t="str">
        <f>_xlfn.XLOOKUP(TBL_USUARIOS[[#This Row],[ID_MASSA]],tbl_de_massas[id_massa],tbl_de_massas[nome_completo],"--",0,1)</f>
        <v>Odile Meunier</v>
      </c>
      <c r="G152" s="47">
        <f>_xlfn.XLOOKUP(TBL_USUARIOS[[#This Row],[ID_MASSA]],tbl_de_massas[id_massa],tbl_de_massas[saldo_conta],"--",0,1)</f>
        <v>8805.19</v>
      </c>
      <c r="H152" t="str">
        <f>_xlfn.XLOOKUP(TBL_USUARIOS[[#This Row],[ID_MASSA]],tbl_de_massas[id_massa],tbl_de_massas[nome_completo],"--",0,1)</f>
        <v>Odile Meunier</v>
      </c>
    </row>
    <row r="153" spans="1:8" x14ac:dyDescent="0.25">
      <c r="A153" s="2" t="s">
        <v>2272</v>
      </c>
      <c r="B153" s="14" t="str">
        <f>_xlfn.XLOOKUP(TBL_USUARIOS[[#This Row],[ID_MASSA]],tbl_de_massas[id_massa],tbl_de_massas[cpf],"--",0,1)</f>
        <v>95654548522</v>
      </c>
      <c r="C153" t="s">
        <v>12</v>
      </c>
      <c r="D153" t="str">
        <f>_xlfn.XLOOKUP(TBL_USUARIOS[[#This Row],[ID_MASSA]],tbl_de_massas[id_massa],tbl_de_massas[nome_completo],"--",0,1)</f>
        <v>Assomption Sanchez</v>
      </c>
      <c r="E153" t="str">
        <f>_xlfn.XLOOKUP(TBL_USUARIOS[[#This Row],[ID_MASSA]],tbl_de_massas[id_massa],tbl_de_massas[cartao_fisico_numero],"--",0,1)</f>
        <v>5442 7460 9555 7352</v>
      </c>
      <c r="F153" t="str">
        <f>_xlfn.XLOOKUP(TBL_USUARIOS[[#This Row],[ID_MASSA]],tbl_de_massas[id_massa],tbl_de_massas[nome_completo],"--",0,1)</f>
        <v>Assomption Sanchez</v>
      </c>
      <c r="G153" s="47">
        <f>_xlfn.XLOOKUP(TBL_USUARIOS[[#This Row],[ID_MASSA]],tbl_de_massas[id_massa],tbl_de_massas[saldo_conta],"--",0,1)</f>
        <v>9909.65</v>
      </c>
      <c r="H153" t="str">
        <f>_xlfn.XLOOKUP(TBL_USUARIOS[[#This Row],[ID_MASSA]],tbl_de_massas[id_massa],tbl_de_massas[nome_completo],"--",0,1)</f>
        <v>Assomption Sanchez</v>
      </c>
    </row>
    <row r="154" spans="1:8" x14ac:dyDescent="0.25">
      <c r="A154" s="2" t="s">
        <v>2273</v>
      </c>
      <c r="B154" s="14" t="str">
        <f>_xlfn.XLOOKUP(TBL_USUARIOS[[#This Row],[ID_MASSA]],tbl_de_massas[id_massa],tbl_de_massas[cpf],"--",0,1)</f>
        <v>77777777777</v>
      </c>
      <c r="C154" t="s">
        <v>12</v>
      </c>
      <c r="D154" t="str">
        <f>_xlfn.XLOOKUP(TBL_USUARIOS[[#This Row],[ID_MASSA]],tbl_de_massas[id_massa],tbl_de_massas[nome_completo],"--",0,1)</f>
        <v>Test User</v>
      </c>
      <c r="E154" t="str">
        <f>_xlfn.XLOOKUP(TBL_USUARIOS[[#This Row],[ID_MASSA]],tbl_de_massas[id_massa],tbl_de_massas[cartao_fisico_numero],"--",0,1)</f>
        <v>5442 7460 6378 1888</v>
      </c>
      <c r="F154" t="str">
        <f>_xlfn.XLOOKUP(TBL_USUARIOS[[#This Row],[ID_MASSA]],tbl_de_massas[id_massa],tbl_de_massas[nome_completo],"--",0,1)</f>
        <v>Test User</v>
      </c>
      <c r="G154" s="47">
        <f>_xlfn.XLOOKUP(TBL_USUARIOS[[#This Row],[ID_MASSA]],tbl_de_massas[id_massa],tbl_de_massas[saldo_conta],"--",0,1)</f>
        <v>4871.1499999999996</v>
      </c>
      <c r="H154" t="str">
        <f>_xlfn.XLOOKUP(TBL_USUARIOS[[#This Row],[ID_MASSA]],tbl_de_massas[id_massa],tbl_de_massas[nome_completo],"--",0,1)</f>
        <v>Test User</v>
      </c>
    </row>
    <row r="155" spans="1:8" x14ac:dyDescent="0.25">
      <c r="A155" s="2" t="s">
        <v>2274</v>
      </c>
      <c r="B155" s="14" t="str">
        <f>_xlfn.XLOOKUP(TBL_USUARIOS[[#This Row],[ID_MASSA]],tbl_de_massas[id_massa],tbl_de_massas[cpf],"--",0,1)</f>
        <v>88888888888</v>
      </c>
      <c r="C155" t="s">
        <v>12</v>
      </c>
      <c r="D155" t="str">
        <f>_xlfn.XLOOKUP(TBL_USUARIOS[[#This Row],[ID_MASSA]],tbl_de_massas[id_massa],tbl_de_massas[nome_completo],"--",0,1)</f>
        <v>Integration Test User</v>
      </c>
      <c r="E155" t="str">
        <f>_xlfn.XLOOKUP(TBL_USUARIOS[[#This Row],[ID_MASSA]],tbl_de_massas[id_massa],tbl_de_massas[cartao_fisico_numero],"--",0,1)</f>
        <v>5442 7460 9459 2389</v>
      </c>
      <c r="F155" t="str">
        <f>_xlfn.XLOOKUP(TBL_USUARIOS[[#This Row],[ID_MASSA]],tbl_de_massas[id_massa],tbl_de_massas[nome_completo],"--",0,1)</f>
        <v>Integration Test User</v>
      </c>
      <c r="G155" s="47">
        <f>_xlfn.XLOOKUP(TBL_USUARIOS[[#This Row],[ID_MASSA]],tbl_de_massas[id_massa],tbl_de_massas[saldo_conta],"--",0,1)</f>
        <v>9186.25</v>
      </c>
      <c r="H155" t="str">
        <f>_xlfn.XLOOKUP(TBL_USUARIOS[[#This Row],[ID_MASSA]],tbl_de_massas[id_massa],tbl_de_massas[nome_completo],"--",0,1)</f>
        <v>Integration Test User</v>
      </c>
    </row>
    <row r="156" spans="1:8" x14ac:dyDescent="0.25">
      <c r="A156" s="2" t="s">
        <v>2275</v>
      </c>
      <c r="B156" s="14" t="str">
        <f>_xlfn.XLOOKUP(TBL_USUARIOS[[#This Row],[ID_MASSA]],tbl_de_massas[id_massa],tbl_de_massas[cpf],"--",0,1)</f>
        <v>19983621512</v>
      </c>
      <c r="C156" t="s">
        <v>12</v>
      </c>
      <c r="D156" t="str">
        <f>_xlfn.XLOOKUP(TBL_USUARIOS[[#This Row],[ID_MASSA]],tbl_de_massas[id_massa],tbl_de_massas[nome_completo],"--",0,1)</f>
        <v>Integration Test User</v>
      </c>
      <c r="E156" t="str">
        <f>_xlfn.XLOOKUP(TBL_USUARIOS[[#This Row],[ID_MASSA]],tbl_de_massas[id_massa],tbl_de_massas[cartao_fisico_numero],"--",0,1)</f>
        <v>5981 0121 1654 6893</v>
      </c>
      <c r="F156" t="str">
        <f>_xlfn.XLOOKUP(TBL_USUARIOS[[#This Row],[ID_MASSA]],tbl_de_massas[id_massa],tbl_de_massas[nome_completo],"--",0,1)</f>
        <v>Integration Test User</v>
      </c>
      <c r="G156" s="47">
        <f>_xlfn.XLOOKUP(TBL_USUARIOS[[#This Row],[ID_MASSA]],tbl_de_massas[id_massa],tbl_de_massas[saldo_conta],"--",0,1)</f>
        <v>9924.2800000000007</v>
      </c>
      <c r="H156" t="str">
        <f>_xlfn.XLOOKUP(TBL_USUARIOS[[#This Row],[ID_MASSA]],tbl_de_massas[id_massa],tbl_de_massas[nome_completo],"--",0,1)</f>
        <v>Integration Test User</v>
      </c>
    </row>
    <row r="157" spans="1:8" x14ac:dyDescent="0.25">
      <c r="A157" s="2" t="s">
        <v>2276</v>
      </c>
      <c r="B157" s="14" t="str">
        <f>_xlfn.XLOOKUP(TBL_USUARIOS[[#This Row],[ID_MASSA]],tbl_de_massas[id_massa],tbl_de_massas[cpf],"--",0,1)</f>
        <v>87588846615</v>
      </c>
      <c r="C157" t="s">
        <v>12</v>
      </c>
      <c r="D157" t="str">
        <f>_xlfn.XLOOKUP(TBL_USUARIOS[[#This Row],[ID_MASSA]],tbl_de_massas[id_massa],tbl_de_massas[nome_completo],"--",0,1)</f>
        <v>Hermine Duval</v>
      </c>
      <c r="E157" t="str">
        <f>_xlfn.XLOOKUP(TBL_USUARIOS[[#This Row],[ID_MASSA]],tbl_de_massas[id_massa],tbl_de_massas[cartao_fisico_numero],"--",0,1)</f>
        <v>5442 7460 2039 8322</v>
      </c>
      <c r="F157" t="str">
        <f>_xlfn.XLOOKUP(TBL_USUARIOS[[#This Row],[ID_MASSA]],tbl_de_massas[id_massa],tbl_de_massas[nome_completo],"--",0,1)</f>
        <v>Hermine Duval</v>
      </c>
      <c r="G157" s="47">
        <f>_xlfn.XLOOKUP(TBL_USUARIOS[[#This Row],[ID_MASSA]],tbl_de_massas[id_massa],tbl_de_massas[saldo_conta],"--",0,1)</f>
        <v>9356.61</v>
      </c>
      <c r="H157" t="str">
        <f>_xlfn.XLOOKUP(TBL_USUARIOS[[#This Row],[ID_MASSA]],tbl_de_massas[id_massa],tbl_de_massas[nome_completo],"--",0,1)</f>
        <v>Hermine Duval</v>
      </c>
    </row>
    <row r="158" spans="1:8" x14ac:dyDescent="0.25">
      <c r="A158" s="2" t="s">
        <v>2277</v>
      </c>
      <c r="B158" s="14" t="str">
        <f>_xlfn.XLOOKUP(TBL_USUARIOS[[#This Row],[ID_MASSA]],tbl_de_massas[id_massa],tbl_de_massas[cpf],"--",0,1)</f>
        <v>45116448614</v>
      </c>
      <c r="C158" t="s">
        <v>12</v>
      </c>
      <c r="D158" t="str">
        <f>_xlfn.XLOOKUP(TBL_USUARIOS[[#This Row],[ID_MASSA]],tbl_de_massas[id_massa],tbl_de_massas[nome_completo],"--",0,1)</f>
        <v>Ernest Dumont</v>
      </c>
      <c r="E158" t="str">
        <f>_xlfn.XLOOKUP(TBL_USUARIOS[[#This Row],[ID_MASSA]],tbl_de_massas[id_massa],tbl_de_massas[cartao_fisico_numero],"--",0,1)</f>
        <v>5442 7460 9373 8248</v>
      </c>
      <c r="F158" t="str">
        <f>_xlfn.XLOOKUP(TBL_USUARIOS[[#This Row],[ID_MASSA]],tbl_de_massas[id_massa],tbl_de_massas[nome_completo],"--",0,1)</f>
        <v>Ernest Dumont</v>
      </c>
      <c r="G158" s="47">
        <f>_xlfn.XLOOKUP(TBL_USUARIOS[[#This Row],[ID_MASSA]],tbl_de_massas[id_massa],tbl_de_massas[saldo_conta],"--",0,1)</f>
        <v>8170.89</v>
      </c>
      <c r="H158" t="str">
        <f>_xlfn.XLOOKUP(TBL_USUARIOS[[#This Row],[ID_MASSA]],tbl_de_massas[id_massa],tbl_de_massas[nome_completo],"--",0,1)</f>
        <v>Ernest Dumont</v>
      </c>
    </row>
    <row r="159" spans="1:8" x14ac:dyDescent="0.25">
      <c r="A159" s="2" t="s">
        <v>2278</v>
      </c>
      <c r="B159" s="14" t="str">
        <f>_xlfn.XLOOKUP(TBL_USUARIOS[[#This Row],[ID_MASSA]],tbl_de_massas[id_massa],tbl_de_massas[cpf],"--",0,1)</f>
        <v>71078566429</v>
      </c>
      <c r="C159" t="s">
        <v>12</v>
      </c>
      <c r="D159" t="str">
        <f>_xlfn.XLOOKUP(TBL_USUARIOS[[#This Row],[ID_MASSA]],tbl_de_massas[id_massa],tbl_de_massas[nome_completo],"--",0,1)</f>
        <v>Alban Royer</v>
      </c>
      <c r="E159" t="str">
        <f>_xlfn.XLOOKUP(TBL_USUARIOS[[#This Row],[ID_MASSA]],tbl_de_massas[id_massa],tbl_de_massas[cartao_fisico_numero],"--",0,1)</f>
        <v>5442 7460 3074 5480</v>
      </c>
      <c r="F159" t="str">
        <f>_xlfn.XLOOKUP(TBL_USUARIOS[[#This Row],[ID_MASSA]],tbl_de_massas[id_massa],tbl_de_massas[nome_completo],"--",0,1)</f>
        <v>Alban Royer</v>
      </c>
      <c r="G159" s="47">
        <f>_xlfn.XLOOKUP(TBL_USUARIOS[[#This Row],[ID_MASSA]],tbl_de_massas[id_massa],tbl_de_massas[saldo_conta],"--",0,1)</f>
        <v>9810.92</v>
      </c>
      <c r="H159" t="str">
        <f>_xlfn.XLOOKUP(TBL_USUARIOS[[#This Row],[ID_MASSA]],tbl_de_massas[id_massa],tbl_de_massas[nome_completo],"--",0,1)</f>
        <v>Alban Royer</v>
      </c>
    </row>
    <row r="160" spans="1:8" x14ac:dyDescent="0.25">
      <c r="A160" s="2" t="s">
        <v>2279</v>
      </c>
      <c r="B160" s="14" t="str">
        <f>_xlfn.XLOOKUP(TBL_USUARIOS[[#This Row],[ID_MASSA]],tbl_de_massas[id_massa],tbl_de_massas[cpf],"--",0,1)</f>
        <v>34715548313</v>
      </c>
      <c r="C160" t="s">
        <v>12</v>
      </c>
      <c r="D160" t="str">
        <f>_xlfn.XLOOKUP(TBL_USUARIOS[[#This Row],[ID_MASSA]],tbl_de_massas[id_massa],tbl_de_massas[nome_completo],"--",0,1)</f>
        <v>Maurice Meyer</v>
      </c>
      <c r="E160" t="str">
        <f>_xlfn.XLOOKUP(TBL_USUARIOS[[#This Row],[ID_MASSA]],tbl_de_massas[id_massa],tbl_de_massas[cartao_fisico_numero],"--",0,1)</f>
        <v>5442 7460 5940 3931</v>
      </c>
      <c r="F160" t="str">
        <f>_xlfn.XLOOKUP(TBL_USUARIOS[[#This Row],[ID_MASSA]],tbl_de_massas[id_massa],tbl_de_massas[nome_completo],"--",0,1)</f>
        <v>Maurice Meyer</v>
      </c>
      <c r="G160" s="47">
        <f>_xlfn.XLOOKUP(TBL_USUARIOS[[#This Row],[ID_MASSA]],tbl_de_massas[id_massa],tbl_de_massas[saldo_conta],"--",0,1)</f>
        <v>8692.9699999999993</v>
      </c>
      <c r="H160" t="str">
        <f>_xlfn.XLOOKUP(TBL_USUARIOS[[#This Row],[ID_MASSA]],tbl_de_massas[id_massa],tbl_de_massas[nome_completo],"--",0,1)</f>
        <v>Maurice Meyer</v>
      </c>
    </row>
    <row r="161" spans="1:8" x14ac:dyDescent="0.25">
      <c r="A161" s="2" t="s">
        <v>2280</v>
      </c>
      <c r="B161" s="14" t="str">
        <f>_xlfn.XLOOKUP(TBL_USUARIOS[[#This Row],[ID_MASSA]],tbl_de_massas[id_massa],tbl_de_massas[cpf],"--",0,1)</f>
        <v>38882777448</v>
      </c>
      <c r="C161" t="s">
        <v>12</v>
      </c>
      <c r="D161" t="str">
        <f>_xlfn.XLOOKUP(TBL_USUARIOS[[#This Row],[ID_MASSA]],tbl_de_massas[id_massa],tbl_de_massas[nome_completo],"--",0,1)</f>
        <v>Annonciade Poirier</v>
      </c>
      <c r="E161" t="str">
        <f>_xlfn.XLOOKUP(TBL_USUARIOS[[#This Row],[ID_MASSA]],tbl_de_massas[id_massa],tbl_de_massas[cartao_fisico_numero],"--",0,1)</f>
        <v>5442 7460 7026 1006</v>
      </c>
      <c r="F161" t="str">
        <f>_xlfn.XLOOKUP(TBL_USUARIOS[[#This Row],[ID_MASSA]],tbl_de_massas[id_massa],tbl_de_massas[nome_completo],"--",0,1)</f>
        <v>Annonciade Poirier</v>
      </c>
      <c r="G161" s="47">
        <f>_xlfn.XLOOKUP(TBL_USUARIOS[[#This Row],[ID_MASSA]],tbl_de_massas[id_massa],tbl_de_massas[saldo_conta],"--",0,1)</f>
        <v>9895.16</v>
      </c>
      <c r="H161" t="str">
        <f>_xlfn.XLOOKUP(TBL_USUARIOS[[#This Row],[ID_MASSA]],tbl_de_massas[id_massa],tbl_de_massas[nome_completo],"--",0,1)</f>
        <v>Annonciade Poirier</v>
      </c>
    </row>
    <row r="162" spans="1:8" x14ac:dyDescent="0.25">
      <c r="A162" s="2" t="s">
        <v>2281</v>
      </c>
      <c r="B162" s="14" t="str">
        <f>_xlfn.XLOOKUP(TBL_USUARIOS[[#This Row],[ID_MASSA]],tbl_de_massas[id_massa],tbl_de_massas[cpf],"--",0,1)</f>
        <v>76925831102</v>
      </c>
      <c r="C162" t="s">
        <v>12</v>
      </c>
      <c r="D162" t="str">
        <f>_xlfn.XLOOKUP(TBL_USUARIOS[[#This Row],[ID_MASSA]],tbl_de_massas[id_massa],tbl_de_massas[nome_completo],"--",0,1)</f>
        <v>Clarisse Dufour</v>
      </c>
      <c r="E162" t="str">
        <f>_xlfn.XLOOKUP(TBL_USUARIOS[[#This Row],[ID_MASSA]],tbl_de_massas[id_massa],tbl_de_massas[cartao_fisico_numero],"--",0,1)</f>
        <v>5442 7460 7177 0889</v>
      </c>
      <c r="F162" t="str">
        <f>_xlfn.XLOOKUP(TBL_USUARIOS[[#This Row],[ID_MASSA]],tbl_de_massas[id_massa],tbl_de_massas[nome_completo],"--",0,1)</f>
        <v>Clarisse Dufour</v>
      </c>
      <c r="G162" s="47">
        <f>_xlfn.XLOOKUP(TBL_USUARIOS[[#This Row],[ID_MASSA]],tbl_de_massas[id_massa],tbl_de_massas[saldo_conta],"--",0,1)</f>
        <v>9200.58</v>
      </c>
      <c r="H162" t="str">
        <f>_xlfn.XLOOKUP(TBL_USUARIOS[[#This Row],[ID_MASSA]],tbl_de_massas[id_massa],tbl_de_massas[nome_completo],"--",0,1)</f>
        <v>Clarisse Dufour</v>
      </c>
    </row>
    <row r="163" spans="1:8" x14ac:dyDescent="0.25">
      <c r="A163" s="2" t="s">
        <v>2282</v>
      </c>
      <c r="B163" s="14" t="str">
        <f>_xlfn.XLOOKUP(TBL_USUARIOS[[#This Row],[ID_MASSA]],tbl_de_massas[id_massa],tbl_de_massas[cpf],"--",0,1)</f>
        <v>97504636177</v>
      </c>
      <c r="C163" t="s">
        <v>12</v>
      </c>
      <c r="D163" t="str">
        <f>_xlfn.XLOOKUP(TBL_USUARIOS[[#This Row],[ID_MASSA]],tbl_de_massas[id_massa],tbl_de_massas[nome_completo],"--",0,1)</f>
        <v>Charline Rodriguez</v>
      </c>
      <c r="E163" t="str">
        <f>_xlfn.XLOOKUP(TBL_USUARIOS[[#This Row],[ID_MASSA]],tbl_de_massas[id_massa],tbl_de_massas[cartao_fisico_numero],"--",0,1)</f>
        <v>5442 7460 5470 6527</v>
      </c>
      <c r="F163" t="str">
        <f>_xlfn.XLOOKUP(TBL_USUARIOS[[#This Row],[ID_MASSA]],tbl_de_massas[id_massa],tbl_de_massas[nome_completo],"--",0,1)</f>
        <v>Charline Rodriguez</v>
      </c>
      <c r="G163" s="47">
        <f>_xlfn.XLOOKUP(TBL_USUARIOS[[#This Row],[ID_MASSA]],tbl_de_massas[id_massa],tbl_de_massas[saldo_conta],"--",0,1)</f>
        <v>10000</v>
      </c>
      <c r="H163" t="str">
        <f>_xlfn.XLOOKUP(TBL_USUARIOS[[#This Row],[ID_MASSA]],tbl_de_massas[id_massa],tbl_de_massas[nome_completo],"--",0,1)</f>
        <v>Charline Rodriguez</v>
      </c>
    </row>
    <row r="164" spans="1:8" x14ac:dyDescent="0.25">
      <c r="A164" s="2" t="s">
        <v>2284</v>
      </c>
      <c r="B164" s="14" t="str">
        <f>_xlfn.XLOOKUP(TBL_USUARIOS[[#This Row],[ID_MASSA]],tbl_de_massas[id_massa],tbl_de_massas[cpf],"--",0,1)</f>
        <v>27888186700</v>
      </c>
      <c r="C164" t="s">
        <v>12</v>
      </c>
      <c r="D164" t="str">
        <f>_xlfn.XLOOKUP(TBL_USUARIOS[[#This Row],[ID_MASSA]],tbl_de_massas[id_massa],tbl_de_massas[nome_completo],"--",0,1)</f>
        <v>René Gautier</v>
      </c>
      <c r="E164" t="str">
        <f>_xlfn.XLOOKUP(TBL_USUARIOS[[#This Row],[ID_MASSA]],tbl_de_massas[id_massa],tbl_de_massas[cartao_fisico_numero],"--",0,1)</f>
        <v>5442 7460 2688 1150</v>
      </c>
      <c r="F164" t="str">
        <f>_xlfn.XLOOKUP(TBL_USUARIOS[[#This Row],[ID_MASSA]],tbl_de_massas[id_massa],tbl_de_massas[nome_completo],"--",0,1)</f>
        <v>René Gautier</v>
      </c>
      <c r="G164" s="47">
        <f>_xlfn.XLOOKUP(TBL_USUARIOS[[#This Row],[ID_MASSA]],tbl_de_massas[id_massa],tbl_de_massas[saldo_conta],"--",0,1)</f>
        <v>4527.3100000000004</v>
      </c>
      <c r="H164" t="str">
        <f>_xlfn.XLOOKUP(TBL_USUARIOS[[#This Row],[ID_MASSA]],tbl_de_massas[id_massa],tbl_de_massas[nome_completo],"--",0,1)</f>
        <v>René Gautier</v>
      </c>
    </row>
    <row r="165" spans="1:8" x14ac:dyDescent="0.25">
      <c r="A165" s="2" t="s">
        <v>2286</v>
      </c>
      <c r="B165" s="14" t="str">
        <f>_xlfn.XLOOKUP(TBL_USUARIOS[[#This Row],[ID_MASSA]],tbl_de_massas[id_massa],tbl_de_massas[cpf],"--",0,1)</f>
        <v>17693911189</v>
      </c>
      <c r="C165" t="s">
        <v>12</v>
      </c>
      <c r="D165" t="str">
        <f>_xlfn.XLOOKUP(TBL_USUARIOS[[#This Row],[ID_MASSA]],tbl_de_massas[id_massa],tbl_de_massas[nome_completo],"--",0,1)</f>
        <v>Blandine Fabre</v>
      </c>
      <c r="E165" t="str">
        <f>_xlfn.XLOOKUP(TBL_USUARIOS[[#This Row],[ID_MASSA]],tbl_de_massas[id_massa],tbl_de_massas[cartao_fisico_numero],"--",0,1)</f>
        <v>5442 7460 3108 7574</v>
      </c>
      <c r="F165" t="str">
        <f>_xlfn.XLOOKUP(TBL_USUARIOS[[#This Row],[ID_MASSA]],tbl_de_massas[id_massa],tbl_de_massas[nome_completo],"--",0,1)</f>
        <v>Blandine Fabre</v>
      </c>
      <c r="G165" s="47">
        <f>_xlfn.XLOOKUP(TBL_USUARIOS[[#This Row],[ID_MASSA]],tbl_de_massas[id_massa],tbl_de_massas[saldo_conta],"--",0,1)</f>
        <v>10000</v>
      </c>
      <c r="H165" t="str">
        <f>_xlfn.XLOOKUP(TBL_USUARIOS[[#This Row],[ID_MASSA]],tbl_de_massas[id_massa],tbl_de_massas[nome_completo],"--",0,1)</f>
        <v>Blandine Fabre</v>
      </c>
    </row>
    <row r="166" spans="1:8" x14ac:dyDescent="0.25">
      <c r="A166" s="2" t="s">
        <v>2287</v>
      </c>
      <c r="B166" s="14" t="str">
        <f>_xlfn.XLOOKUP(TBL_USUARIOS[[#This Row],[ID_MASSA]],tbl_de_massas[id_massa],tbl_de_massas[cpf],"--",0,1)</f>
        <v>81698023189</v>
      </c>
      <c r="C166" t="s">
        <v>12</v>
      </c>
      <c r="D166" t="str">
        <f>_xlfn.XLOOKUP(TBL_USUARIOS[[#This Row],[ID_MASSA]],tbl_de_massas[id_massa],tbl_de_massas[nome_completo],"--",0,1)</f>
        <v>Oury Roche</v>
      </c>
      <c r="E166" t="str">
        <f>_xlfn.XLOOKUP(TBL_USUARIOS[[#This Row],[ID_MASSA]],tbl_de_massas[id_massa],tbl_de_massas[cartao_fisico_numero],"--",0,1)</f>
        <v>5442 7460 6843 4377</v>
      </c>
      <c r="F166" t="str">
        <f>_xlfn.XLOOKUP(TBL_USUARIOS[[#This Row],[ID_MASSA]],tbl_de_massas[id_massa],tbl_de_massas[nome_completo],"--",0,1)</f>
        <v>Oury Roche</v>
      </c>
      <c r="G166" s="47">
        <f>_xlfn.XLOOKUP(TBL_USUARIOS[[#This Row],[ID_MASSA]],tbl_de_massas[id_massa],tbl_de_massas[saldo_conta],"--",0,1)</f>
        <v>10000</v>
      </c>
      <c r="H166" t="str">
        <f>_xlfn.XLOOKUP(TBL_USUARIOS[[#This Row],[ID_MASSA]],tbl_de_massas[id_massa],tbl_de_massas[nome_completo],"--",0,1)</f>
        <v>Oury Roche</v>
      </c>
    </row>
    <row r="167" spans="1:8" x14ac:dyDescent="0.25">
      <c r="A167" s="2" t="s">
        <v>2288</v>
      </c>
      <c r="B167" s="14" t="str">
        <f>_xlfn.XLOOKUP(TBL_USUARIOS[[#This Row],[ID_MASSA]],tbl_de_massas[id_massa],tbl_de_massas[cpf],"--",0,1)</f>
        <v>24662236606</v>
      </c>
      <c r="C167" t="s">
        <v>12</v>
      </c>
      <c r="D167" t="str">
        <f>_xlfn.XLOOKUP(TBL_USUARIOS[[#This Row],[ID_MASSA]],tbl_de_massas[id_massa],tbl_de_massas[nome_completo],"--",0,1)</f>
        <v>Flavien Rodriguez</v>
      </c>
      <c r="E167" t="str">
        <f>_xlfn.XLOOKUP(TBL_USUARIOS[[#This Row],[ID_MASSA]],tbl_de_massas[id_massa],tbl_de_massas[cartao_fisico_numero],"--",0,1)</f>
        <v>5442 7460 4563 6437</v>
      </c>
      <c r="F167" t="str">
        <f>_xlfn.XLOOKUP(TBL_USUARIOS[[#This Row],[ID_MASSA]],tbl_de_massas[id_massa],tbl_de_massas[nome_completo],"--",0,1)</f>
        <v>Flavien Rodriguez</v>
      </c>
      <c r="G167" s="47">
        <f>_xlfn.XLOOKUP(TBL_USUARIOS[[#This Row],[ID_MASSA]],tbl_de_massas[id_massa],tbl_de_massas[saldo_conta],"--",0,1)</f>
        <v>4708.42</v>
      </c>
      <c r="H167" t="str">
        <f>_xlfn.XLOOKUP(TBL_USUARIOS[[#This Row],[ID_MASSA]],tbl_de_massas[id_massa],tbl_de_massas[nome_completo],"--",0,1)</f>
        <v>Flavien Rodriguez</v>
      </c>
    </row>
    <row r="168" spans="1:8" x14ac:dyDescent="0.25">
      <c r="A168" s="2" t="s">
        <v>2290</v>
      </c>
      <c r="B168" s="14" t="str">
        <f>_xlfn.XLOOKUP(TBL_USUARIOS[[#This Row],[ID_MASSA]],tbl_de_massas[id_massa],tbl_de_massas[cpf],"--",0,1)</f>
        <v>77529588591</v>
      </c>
      <c r="C168" t="s">
        <v>12</v>
      </c>
      <c r="D168" t="str">
        <f>_xlfn.XLOOKUP(TBL_USUARIOS[[#This Row],[ID_MASSA]],tbl_de_massas[id_massa],tbl_de_massas[nome_completo],"--",0,1)</f>
        <v>Nathalie Fournier</v>
      </c>
      <c r="E168" t="str">
        <f>_xlfn.XLOOKUP(TBL_USUARIOS[[#This Row],[ID_MASSA]],tbl_de_massas[id_massa],tbl_de_massas[cartao_fisico_numero],"--",0,1)</f>
        <v>5442 7460 9991 0293</v>
      </c>
      <c r="F168" t="str">
        <f>_xlfn.XLOOKUP(TBL_USUARIOS[[#This Row],[ID_MASSA]],tbl_de_massas[id_massa],tbl_de_massas[nome_completo],"--",0,1)</f>
        <v>Nathalie Fournier</v>
      </c>
      <c r="G168" s="47">
        <f>_xlfn.XLOOKUP(TBL_USUARIOS[[#This Row],[ID_MASSA]],tbl_de_massas[id_massa],tbl_de_massas[saldo_conta],"--",0,1)</f>
        <v>9513.7800000000007</v>
      </c>
      <c r="H168" t="str">
        <f>_xlfn.XLOOKUP(TBL_USUARIOS[[#This Row],[ID_MASSA]],tbl_de_massas[id_massa],tbl_de_massas[nome_completo],"--",0,1)</f>
        <v>Nathalie Fournier</v>
      </c>
    </row>
    <row r="169" spans="1:8" x14ac:dyDescent="0.25">
      <c r="A169" s="2" t="s">
        <v>2294</v>
      </c>
      <c r="B169" s="14" t="str">
        <f>_xlfn.XLOOKUP(TBL_USUARIOS[[#This Row],[ID_MASSA]],tbl_de_massas[id_massa],tbl_de_massas[cpf],"--",0,1)</f>
        <v>67154864257</v>
      </c>
      <c r="C169" t="s">
        <v>12</v>
      </c>
      <c r="D169" t="str">
        <f>_xlfn.XLOOKUP(TBL_USUARIOS[[#This Row],[ID_MASSA]],tbl_de_massas[id_massa],tbl_de_massas[nome_completo],"--",0,1)</f>
        <v>Prosper Julien</v>
      </c>
      <c r="E169" t="str">
        <f>_xlfn.XLOOKUP(TBL_USUARIOS[[#This Row],[ID_MASSA]],tbl_de_massas[id_massa],tbl_de_massas[cartao_fisico_numero],"--",0,1)</f>
        <v>5442 7460 3333 2884</v>
      </c>
      <c r="F169" t="str">
        <f>_xlfn.XLOOKUP(TBL_USUARIOS[[#This Row],[ID_MASSA]],tbl_de_massas[id_massa],tbl_de_massas[nome_completo],"--",0,1)</f>
        <v>Prosper Julien</v>
      </c>
      <c r="G169" s="47">
        <f>_xlfn.XLOOKUP(TBL_USUARIOS[[#This Row],[ID_MASSA]],tbl_de_massas[id_massa],tbl_de_massas[saldo_conta],"--",0,1)</f>
        <v>7414.6</v>
      </c>
      <c r="H169" t="str">
        <f>_xlfn.XLOOKUP(TBL_USUARIOS[[#This Row],[ID_MASSA]],tbl_de_massas[id_massa],tbl_de_massas[nome_completo],"--",0,1)</f>
        <v>Prosper Julien</v>
      </c>
    </row>
    <row r="170" spans="1:8" x14ac:dyDescent="0.25">
      <c r="A170" s="2" t="s">
        <v>2295</v>
      </c>
      <c r="B170" s="14" t="str">
        <f>_xlfn.XLOOKUP(TBL_USUARIOS[[#This Row],[ID_MASSA]],tbl_de_massas[id_massa],tbl_de_massas[cpf],"--",0,1)</f>
        <v>16165143539</v>
      </c>
      <c r="C170" t="s">
        <v>12</v>
      </c>
      <c r="D170" t="str">
        <f>_xlfn.XLOOKUP(TBL_USUARIOS[[#This Row],[ID_MASSA]],tbl_de_massas[id_massa],tbl_de_massas[nome_completo],"--",0,1)</f>
        <v>Moïsette Maillard</v>
      </c>
      <c r="E170" t="str">
        <f>_xlfn.XLOOKUP(TBL_USUARIOS[[#This Row],[ID_MASSA]],tbl_de_massas[id_massa],tbl_de_massas[cartao_fisico_numero],"--",0,1)</f>
        <v>5442 7460 5909 1739</v>
      </c>
      <c r="F170" t="str">
        <f>_xlfn.XLOOKUP(TBL_USUARIOS[[#This Row],[ID_MASSA]],tbl_de_massas[id_massa],tbl_de_massas[nome_completo],"--",0,1)</f>
        <v>Moïsette Maillard</v>
      </c>
      <c r="G170" s="47">
        <f>_xlfn.XLOOKUP(TBL_USUARIOS[[#This Row],[ID_MASSA]],tbl_de_massas[id_massa],tbl_de_massas[saldo_conta],"--",0,1)</f>
        <v>10000</v>
      </c>
      <c r="H170" t="str">
        <f>_xlfn.XLOOKUP(TBL_USUARIOS[[#This Row],[ID_MASSA]],tbl_de_massas[id_massa],tbl_de_massas[nome_completo],"--",0,1)</f>
        <v>Moïsette Maillard</v>
      </c>
    </row>
    <row r="171" spans="1:8" x14ac:dyDescent="0.25">
      <c r="A171" s="2" t="s">
        <v>2296</v>
      </c>
      <c r="B171" s="14" t="str">
        <f>_xlfn.XLOOKUP(TBL_USUARIOS[[#This Row],[ID_MASSA]],tbl_de_massas[id_massa],tbl_de_massas[cpf],"--",0,1)</f>
        <v>26775244657</v>
      </c>
      <c r="C171" t="s">
        <v>12</v>
      </c>
      <c r="D171" t="str">
        <f>_xlfn.XLOOKUP(TBL_USUARIOS[[#This Row],[ID_MASSA]],tbl_de_massas[id_massa],tbl_de_massas[nome_completo],"--",0,1)</f>
        <v>Isidore Morin</v>
      </c>
      <c r="E171" t="str">
        <f>_xlfn.XLOOKUP(TBL_USUARIOS[[#This Row],[ID_MASSA]],tbl_de_massas[id_massa],tbl_de_massas[cartao_fisico_numero],"--",0,1)</f>
        <v>5442 7460 9242 0200</v>
      </c>
      <c r="F171" t="str">
        <f>_xlfn.XLOOKUP(TBL_USUARIOS[[#This Row],[ID_MASSA]],tbl_de_massas[id_massa],tbl_de_massas[nome_completo],"--",0,1)</f>
        <v>Isidore Morin</v>
      </c>
      <c r="G171" s="47">
        <f>_xlfn.XLOOKUP(TBL_USUARIOS[[#This Row],[ID_MASSA]],tbl_de_massas[id_massa],tbl_de_massas[saldo_conta],"--",0,1)</f>
        <v>9559.07</v>
      </c>
      <c r="H171" t="str">
        <f>_xlfn.XLOOKUP(TBL_USUARIOS[[#This Row],[ID_MASSA]],tbl_de_massas[id_massa],tbl_de_massas[nome_completo],"--",0,1)</f>
        <v>Isidore Morin</v>
      </c>
    </row>
    <row r="172" spans="1:8" x14ac:dyDescent="0.25">
      <c r="A172" s="2" t="s">
        <v>2297</v>
      </c>
      <c r="B172" s="14" t="str">
        <f>_xlfn.XLOOKUP(TBL_USUARIOS[[#This Row],[ID_MASSA]],tbl_de_massas[id_massa],tbl_de_massas[cpf],"--",0,1)</f>
        <v>43204282856</v>
      </c>
      <c r="C172" t="s">
        <v>12</v>
      </c>
      <c r="D172" t="str">
        <f>_xlfn.XLOOKUP(TBL_USUARIOS[[#This Row],[ID_MASSA]],tbl_de_massas[id_massa],tbl_de_massas[nome_completo],"--",0,1)</f>
        <v>Absalon Olivier</v>
      </c>
      <c r="E172" t="str">
        <f>_xlfn.XLOOKUP(TBL_USUARIOS[[#This Row],[ID_MASSA]],tbl_de_massas[id_massa],tbl_de_massas[cartao_fisico_numero],"--",0,1)</f>
        <v>5442 7460 6216 3719</v>
      </c>
      <c r="F172" t="str">
        <f>_xlfn.XLOOKUP(TBL_USUARIOS[[#This Row],[ID_MASSA]],tbl_de_massas[id_massa],tbl_de_massas[nome_completo],"--",0,1)</f>
        <v>Absalon Olivier</v>
      </c>
      <c r="G172" s="47">
        <f>_xlfn.XLOOKUP(TBL_USUARIOS[[#This Row],[ID_MASSA]],tbl_de_massas[id_massa],tbl_de_massas[saldo_conta],"--",0,1)</f>
        <v>10000</v>
      </c>
      <c r="H172" t="str">
        <f>_xlfn.XLOOKUP(TBL_USUARIOS[[#This Row],[ID_MASSA]],tbl_de_massas[id_massa],tbl_de_massas[nome_completo],"--",0,1)</f>
        <v>Absalon Olivier</v>
      </c>
    </row>
    <row r="173" spans="1:8" x14ac:dyDescent="0.25">
      <c r="A173" s="2" t="s">
        <v>2298</v>
      </c>
      <c r="B173" s="14" t="str">
        <f>_xlfn.XLOOKUP(TBL_USUARIOS[[#This Row],[ID_MASSA]],tbl_de_massas[id_massa],tbl_de_massas[cpf],"--",0,1)</f>
        <v>41689983639</v>
      </c>
      <c r="C173" t="s">
        <v>12</v>
      </c>
      <c r="D173" t="str">
        <f>_xlfn.XLOOKUP(TBL_USUARIOS[[#This Row],[ID_MASSA]],tbl_de_massas[id_massa],tbl_de_massas[nome_completo],"--",0,1)</f>
        <v>Armandine Joly</v>
      </c>
      <c r="E173" t="str">
        <f>_xlfn.XLOOKUP(TBL_USUARIOS[[#This Row],[ID_MASSA]],tbl_de_massas[id_massa],tbl_de_massas[cartao_fisico_numero],"--",0,1)</f>
        <v>5442 7460 2232 1307</v>
      </c>
      <c r="F173" t="str">
        <f>_xlfn.XLOOKUP(TBL_USUARIOS[[#This Row],[ID_MASSA]],tbl_de_massas[id_massa],tbl_de_massas[nome_completo],"--",0,1)</f>
        <v>Armandine Joly</v>
      </c>
      <c r="G173" s="47">
        <f>_xlfn.XLOOKUP(TBL_USUARIOS[[#This Row],[ID_MASSA]],tbl_de_massas[id_massa],tbl_de_massas[saldo_conta],"--",0,1)</f>
        <v>10000</v>
      </c>
      <c r="H173" t="str">
        <f>_xlfn.XLOOKUP(TBL_USUARIOS[[#This Row],[ID_MASSA]],tbl_de_massas[id_massa],tbl_de_massas[nome_completo],"--",0,1)</f>
        <v>Armandine Joly</v>
      </c>
    </row>
    <row r="174" spans="1:8" x14ac:dyDescent="0.25">
      <c r="A174" s="2" t="s">
        <v>2299</v>
      </c>
      <c r="B174" s="14" t="str">
        <f>_xlfn.XLOOKUP(TBL_USUARIOS[[#This Row],[ID_MASSA]],tbl_de_massas[id_massa],tbl_de_massas[cpf],"--",0,1)</f>
        <v>12345678909</v>
      </c>
      <c r="C174" t="s">
        <v>12</v>
      </c>
      <c r="D174" t="str">
        <f>_xlfn.XLOOKUP(TBL_USUARIOS[[#This Row],[ID_MASSA]],tbl_de_massas[id_massa],tbl_de_massas[nome_completo],"--",0,1)</f>
        <v>Test User</v>
      </c>
      <c r="E174" t="str">
        <f>_xlfn.XLOOKUP(TBL_USUARIOS[[#This Row],[ID_MASSA]],tbl_de_massas[id_massa],tbl_de_massas[cartao_fisico_numero],"--",0,1)</f>
        <v>5442 7460 0887 2353</v>
      </c>
      <c r="F174" t="str">
        <f>_xlfn.XLOOKUP(TBL_USUARIOS[[#This Row],[ID_MASSA]],tbl_de_massas[id_massa],tbl_de_massas[nome_completo],"--",0,1)</f>
        <v>Test User</v>
      </c>
      <c r="G174" s="47">
        <f>_xlfn.XLOOKUP(TBL_USUARIOS[[#This Row],[ID_MASSA]],tbl_de_massas[id_massa],tbl_de_massas[saldo_conta],"--",0,1)</f>
        <v>10000</v>
      </c>
      <c r="H174" t="str">
        <f>_xlfn.XLOOKUP(TBL_USUARIOS[[#This Row],[ID_MASSA]],tbl_de_massas[id_massa],tbl_de_massas[nome_completo],"--",0,1)</f>
        <v>Test User</v>
      </c>
    </row>
    <row r="175" spans="1:8" x14ac:dyDescent="0.25">
      <c r="A175" s="2" t="s">
        <v>2300</v>
      </c>
      <c r="B175" s="14" t="str">
        <f>_xlfn.XLOOKUP(TBL_USUARIOS[[#This Row],[ID_MASSA]],tbl_de_massas[id_massa],tbl_de_massas[cpf],"--",0,1)</f>
        <v>64866656883</v>
      </c>
      <c r="C175" t="s">
        <v>12</v>
      </c>
      <c r="D175" t="str">
        <f>_xlfn.XLOOKUP(TBL_USUARIOS[[#This Row],[ID_MASSA]],tbl_de_massas[id_massa],tbl_de_massas[nome_completo],"--",0,1)</f>
        <v>Archambaud Remy</v>
      </c>
      <c r="E175" t="str">
        <f>_xlfn.XLOOKUP(TBL_USUARIOS[[#This Row],[ID_MASSA]],tbl_de_massas[id_massa],tbl_de_massas[cartao_fisico_numero],"--",0,1)</f>
        <v>5442 7460 5774 1894</v>
      </c>
      <c r="F175" t="str">
        <f>_xlfn.XLOOKUP(TBL_USUARIOS[[#This Row],[ID_MASSA]],tbl_de_massas[id_massa],tbl_de_massas[nome_completo],"--",0,1)</f>
        <v>Archambaud Remy</v>
      </c>
      <c r="G175" s="47">
        <f>_xlfn.XLOOKUP(TBL_USUARIOS[[#This Row],[ID_MASSA]],tbl_de_massas[id_massa],tbl_de_massas[saldo_conta],"--",0,1)</f>
        <v>7198.13</v>
      </c>
      <c r="H175" t="str">
        <f>_xlfn.XLOOKUP(TBL_USUARIOS[[#This Row],[ID_MASSA]],tbl_de_massas[id_massa],tbl_de_massas[nome_completo],"--",0,1)</f>
        <v>Archambaud Remy</v>
      </c>
    </row>
    <row r="176" spans="1:8" x14ac:dyDescent="0.25">
      <c r="A176" s="2" t="s">
        <v>2301</v>
      </c>
      <c r="B176" s="14" t="str">
        <f>_xlfn.XLOOKUP(TBL_USUARIOS[[#This Row],[ID_MASSA]],tbl_de_massas[id_massa],tbl_de_massas[cpf],"--",0,1)</f>
        <v>24719788947</v>
      </c>
      <c r="C176" t="s">
        <v>12</v>
      </c>
      <c r="D176" t="str">
        <f>_xlfn.XLOOKUP(TBL_USUARIOS[[#This Row],[ID_MASSA]],tbl_de_massas[id_massa],tbl_de_massas[nome_completo],"--",0,1)</f>
        <v>Philothée Charles</v>
      </c>
      <c r="E176" t="str">
        <f>_xlfn.XLOOKUP(TBL_USUARIOS[[#This Row],[ID_MASSA]],tbl_de_massas[id_massa],tbl_de_massas[cartao_fisico_numero],"--",0,1)</f>
        <v>5442 7460 6080 0554</v>
      </c>
      <c r="F176" t="str">
        <f>_xlfn.XLOOKUP(TBL_USUARIOS[[#This Row],[ID_MASSA]],tbl_de_massas[id_massa],tbl_de_massas[nome_completo],"--",0,1)</f>
        <v>Philothée Charles</v>
      </c>
      <c r="G176" s="47">
        <f>_xlfn.XLOOKUP(TBL_USUARIOS[[#This Row],[ID_MASSA]],tbl_de_massas[id_massa],tbl_de_massas[saldo_conta],"--",0,1)</f>
        <v>10000</v>
      </c>
      <c r="H176" t="str">
        <f>_xlfn.XLOOKUP(TBL_USUARIOS[[#This Row],[ID_MASSA]],tbl_de_massas[id_massa],tbl_de_massas[nome_completo],"--",0,1)</f>
        <v>Philothée Charles</v>
      </c>
    </row>
    <row r="177" spans="1:8" x14ac:dyDescent="0.25">
      <c r="A177" s="2" t="s">
        <v>2304</v>
      </c>
      <c r="B177" s="14" t="str">
        <f>_xlfn.XLOOKUP(TBL_USUARIOS[[#This Row],[ID_MASSA]],tbl_de_massas[id_massa],tbl_de_massas[cpf],"--",0,1)</f>
        <v>64332859618</v>
      </c>
      <c r="C177" t="s">
        <v>12</v>
      </c>
      <c r="D177" t="str">
        <f>_xlfn.XLOOKUP(TBL_USUARIOS[[#This Row],[ID_MASSA]],tbl_de_massas[id_massa],tbl_de_massas[nome_completo],"--",0,1)</f>
        <v>Xavier Thomas</v>
      </c>
      <c r="E177" t="str">
        <f>_xlfn.XLOOKUP(TBL_USUARIOS[[#This Row],[ID_MASSA]],tbl_de_massas[id_massa],tbl_de_massas[cartao_fisico_numero],"--",0,1)</f>
        <v>5442 7460 5170 1435</v>
      </c>
      <c r="F177" t="str">
        <f>_xlfn.XLOOKUP(TBL_USUARIOS[[#This Row],[ID_MASSA]],tbl_de_massas[id_massa],tbl_de_massas[nome_completo],"--",0,1)</f>
        <v>Xavier Thomas</v>
      </c>
      <c r="G177" s="47">
        <f>_xlfn.XLOOKUP(TBL_USUARIOS[[#This Row],[ID_MASSA]],tbl_de_massas[id_massa],tbl_de_massas[saldo_conta],"--",0,1)</f>
        <v>10000</v>
      </c>
      <c r="H177" t="str">
        <f>_xlfn.XLOOKUP(TBL_USUARIOS[[#This Row],[ID_MASSA]],tbl_de_massas[id_massa],tbl_de_massas[nome_completo],"--",0,1)</f>
        <v>Xavier Thomas</v>
      </c>
    </row>
    <row r="178" spans="1:8" x14ac:dyDescent="0.25">
      <c r="A178" s="2" t="s">
        <v>2305</v>
      </c>
      <c r="B178" s="14" t="str">
        <f>_xlfn.XLOOKUP(TBL_USUARIOS[[#This Row],[ID_MASSA]],tbl_de_massas[id_massa],tbl_de_massas[cpf],"--",0,1)</f>
        <v>60107482754</v>
      </c>
      <c r="C178" t="s">
        <v>12</v>
      </c>
      <c r="D178" t="str">
        <f>_xlfn.XLOOKUP(TBL_USUARIOS[[#This Row],[ID_MASSA]],tbl_de_massas[id_massa],tbl_de_massas[nome_completo],"--",0,1)</f>
        <v>Eudoxie Pons</v>
      </c>
      <c r="E178" t="str">
        <f>_xlfn.XLOOKUP(TBL_USUARIOS[[#This Row],[ID_MASSA]],tbl_de_massas[id_massa],tbl_de_massas[cartao_fisico_numero],"--",0,1)</f>
        <v>5442 7460 2404 4469</v>
      </c>
      <c r="F178" t="str">
        <f>_xlfn.XLOOKUP(TBL_USUARIOS[[#This Row],[ID_MASSA]],tbl_de_massas[id_massa],tbl_de_massas[nome_completo],"--",0,1)</f>
        <v>Eudoxie Pons</v>
      </c>
      <c r="G178" s="47">
        <f>_xlfn.XLOOKUP(TBL_USUARIOS[[#This Row],[ID_MASSA]],tbl_de_massas[id_massa],tbl_de_massas[saldo_conta],"--",0,1)</f>
        <v>10000</v>
      </c>
      <c r="H178" t="str">
        <f>_xlfn.XLOOKUP(TBL_USUARIOS[[#This Row],[ID_MASSA]],tbl_de_massas[id_massa],tbl_de_massas[nome_completo],"--",0,1)</f>
        <v>Eudoxie Pons</v>
      </c>
    </row>
    <row r="179" spans="1:8" x14ac:dyDescent="0.25">
      <c r="A179" s="2" t="s">
        <v>2306</v>
      </c>
      <c r="B179" s="14" t="str">
        <f>_xlfn.XLOOKUP(TBL_USUARIOS[[#This Row],[ID_MASSA]],tbl_de_massas[id_massa],tbl_de_massas[cpf],"--",0,1)</f>
        <v>27646660477</v>
      </c>
      <c r="C179" t="s">
        <v>12</v>
      </c>
      <c r="D179" t="str">
        <f>_xlfn.XLOOKUP(TBL_USUARIOS[[#This Row],[ID_MASSA]],tbl_de_massas[id_massa],tbl_de_massas[nome_completo],"--",0,1)</f>
        <v>Brunehilde Gaillard</v>
      </c>
      <c r="E179" t="str">
        <f>_xlfn.XLOOKUP(TBL_USUARIOS[[#This Row],[ID_MASSA]],tbl_de_massas[id_massa],tbl_de_massas[cartao_fisico_numero],"--",0,1)</f>
        <v>5442 7460 2776 5268</v>
      </c>
      <c r="F179" t="str">
        <f>_xlfn.XLOOKUP(TBL_USUARIOS[[#This Row],[ID_MASSA]],tbl_de_massas[id_massa],tbl_de_massas[nome_completo],"--",0,1)</f>
        <v>Brunehilde Gaillard</v>
      </c>
      <c r="G179" s="47">
        <f>_xlfn.XLOOKUP(TBL_USUARIOS[[#This Row],[ID_MASSA]],tbl_de_massas[id_massa],tbl_de_massas[saldo_conta],"--",0,1)</f>
        <v>4859.6499999999996</v>
      </c>
      <c r="H179" t="str">
        <f>_xlfn.XLOOKUP(TBL_USUARIOS[[#This Row],[ID_MASSA]],tbl_de_massas[id_massa],tbl_de_massas[nome_completo],"--",0,1)</f>
        <v>Brunehilde Gaillard</v>
      </c>
    </row>
    <row r="180" spans="1:8" x14ac:dyDescent="0.25">
      <c r="A180" s="2" t="s">
        <v>2308</v>
      </c>
      <c r="B180" s="14" t="str">
        <f>_xlfn.XLOOKUP(TBL_USUARIOS[[#This Row],[ID_MASSA]],tbl_de_massas[id_massa],tbl_de_massas[cpf],"--",0,1)</f>
        <v>84823321987</v>
      </c>
      <c r="C180" t="s">
        <v>12</v>
      </c>
      <c r="D180" t="str">
        <f>_xlfn.XLOOKUP(TBL_USUARIOS[[#This Row],[ID_MASSA]],tbl_de_massas[id_massa],tbl_de_massas[nome_completo],"--",0,1)</f>
        <v>Marcel Breton</v>
      </c>
      <c r="E180" t="str">
        <f>_xlfn.XLOOKUP(TBL_USUARIOS[[#This Row],[ID_MASSA]],tbl_de_massas[id_massa],tbl_de_massas[cartao_fisico_numero],"--",0,1)</f>
        <v>5442 7460 1766 7750</v>
      </c>
      <c r="F180" t="str">
        <f>_xlfn.XLOOKUP(TBL_USUARIOS[[#This Row],[ID_MASSA]],tbl_de_massas[id_massa],tbl_de_massas[nome_completo],"--",0,1)</f>
        <v>Marcel Breton</v>
      </c>
      <c r="G180" s="47">
        <f>_xlfn.XLOOKUP(TBL_USUARIOS[[#This Row],[ID_MASSA]],tbl_de_massas[id_massa],tbl_de_massas[saldo_conta],"--",0,1)</f>
        <v>10000</v>
      </c>
      <c r="H180" t="str">
        <f>_xlfn.XLOOKUP(TBL_USUARIOS[[#This Row],[ID_MASSA]],tbl_de_massas[id_massa],tbl_de_massas[nome_completo],"--",0,1)</f>
        <v>Marcel Breton</v>
      </c>
    </row>
    <row r="181" spans="1:8" x14ac:dyDescent="0.25">
      <c r="A181" s="2" t="s">
        <v>2309</v>
      </c>
      <c r="B181" s="14" t="str">
        <f>_xlfn.XLOOKUP(TBL_USUARIOS[[#This Row],[ID_MASSA]],tbl_de_massas[id_massa],tbl_de_massas[cpf],"--",0,1)</f>
        <v>26986473966</v>
      </c>
      <c r="C181" t="s">
        <v>12</v>
      </c>
      <c r="D181" t="str">
        <f>_xlfn.XLOOKUP(TBL_USUARIOS[[#This Row],[ID_MASSA]],tbl_de_massas[id_massa],tbl_de_massas[nome_completo],"--",0,1)</f>
        <v>Jacinthe Vidal</v>
      </c>
      <c r="E181" t="str">
        <f>_xlfn.XLOOKUP(TBL_USUARIOS[[#This Row],[ID_MASSA]],tbl_de_massas[id_massa],tbl_de_massas[cartao_fisico_numero],"--",0,1)</f>
        <v>5442 7460 8748 9625</v>
      </c>
      <c r="F181" t="str">
        <f>_xlfn.XLOOKUP(TBL_USUARIOS[[#This Row],[ID_MASSA]],tbl_de_massas[id_massa],tbl_de_massas[nome_completo],"--",0,1)</f>
        <v>Jacinthe Vidal</v>
      </c>
      <c r="G181" s="47">
        <f>_xlfn.XLOOKUP(TBL_USUARIOS[[#This Row],[ID_MASSA]],tbl_de_massas[id_massa],tbl_de_massas[saldo_conta],"--",0,1)</f>
        <v>5132.5</v>
      </c>
      <c r="H181" t="str">
        <f>_xlfn.XLOOKUP(TBL_USUARIOS[[#This Row],[ID_MASSA]],tbl_de_massas[id_massa],tbl_de_massas[nome_completo],"--",0,1)</f>
        <v>Jacinthe Vidal</v>
      </c>
    </row>
    <row r="182" spans="1:8" x14ac:dyDescent="0.25">
      <c r="A182" s="2" t="s">
        <v>2312</v>
      </c>
      <c r="B182" s="14" t="str">
        <f>_xlfn.XLOOKUP(TBL_USUARIOS[[#This Row],[ID_MASSA]],tbl_de_massas[id_massa],tbl_de_massas[cpf],"--",0,1)</f>
        <v>43838315910</v>
      </c>
      <c r="C182" t="s">
        <v>12</v>
      </c>
      <c r="D182" t="str">
        <f>_xlfn.XLOOKUP(TBL_USUARIOS[[#This Row],[ID_MASSA]],tbl_de_massas[id_massa],tbl_de_massas[nome_completo],"--",0,1)</f>
        <v>Christian Simon</v>
      </c>
      <c r="E182" t="str">
        <f>_xlfn.XLOOKUP(TBL_USUARIOS[[#This Row],[ID_MASSA]],tbl_de_massas[id_massa],tbl_de_massas[cartao_fisico_numero],"--",0,1)</f>
        <v>5442 7460 7036 5189</v>
      </c>
      <c r="F182" t="str">
        <f>_xlfn.XLOOKUP(TBL_USUARIOS[[#This Row],[ID_MASSA]],tbl_de_massas[id_massa],tbl_de_massas[nome_completo],"--",0,1)</f>
        <v>Christian Simon</v>
      </c>
      <c r="G182" s="47">
        <f>_xlfn.XLOOKUP(TBL_USUARIOS[[#This Row],[ID_MASSA]],tbl_de_massas[id_massa],tbl_de_massas[saldo_conta],"--",0,1)</f>
        <v>10000</v>
      </c>
      <c r="H182" t="str">
        <f>_xlfn.XLOOKUP(TBL_USUARIOS[[#This Row],[ID_MASSA]],tbl_de_massas[id_massa],tbl_de_massas[nome_completo],"--",0,1)</f>
        <v>Christian Simon</v>
      </c>
    </row>
    <row r="183" spans="1:8" x14ac:dyDescent="0.25">
      <c r="A183" s="2" t="s">
        <v>2314</v>
      </c>
      <c r="B183" s="14" t="str">
        <f>_xlfn.XLOOKUP(TBL_USUARIOS[[#This Row],[ID_MASSA]],tbl_de_massas[id_massa],tbl_de_massas[cpf],"--",0,1)</f>
        <v>61369613180</v>
      </c>
      <c r="C183" t="s">
        <v>12</v>
      </c>
      <c r="D183" t="str">
        <f>_xlfn.XLOOKUP(TBL_USUARIOS[[#This Row],[ID_MASSA]],tbl_de_massas[id_massa],tbl_de_massas[nome_completo],"--",0,1)</f>
        <v>Paulette Jean</v>
      </c>
      <c r="E183" t="str">
        <f>_xlfn.XLOOKUP(TBL_USUARIOS[[#This Row],[ID_MASSA]],tbl_de_massas[id_massa],tbl_de_massas[cartao_fisico_numero],"--",0,1)</f>
        <v>5442 7460 5165 4834</v>
      </c>
      <c r="F183" t="str">
        <f>_xlfn.XLOOKUP(TBL_USUARIOS[[#This Row],[ID_MASSA]],tbl_de_massas[id_massa],tbl_de_massas[nome_completo],"--",0,1)</f>
        <v>Paulette Jean</v>
      </c>
      <c r="G183" s="47">
        <f>_xlfn.XLOOKUP(TBL_USUARIOS[[#This Row],[ID_MASSA]],tbl_de_massas[id_massa],tbl_de_massas[saldo_conta],"--",0,1)</f>
        <v>10000</v>
      </c>
      <c r="H183" t="str">
        <f>_xlfn.XLOOKUP(TBL_USUARIOS[[#This Row],[ID_MASSA]],tbl_de_massas[id_massa],tbl_de_massas[nome_completo],"--",0,1)</f>
        <v>Paulette Jean</v>
      </c>
    </row>
    <row r="184" spans="1:8" x14ac:dyDescent="0.25">
      <c r="A184" s="2" t="s">
        <v>2324</v>
      </c>
      <c r="B184" s="14" t="str">
        <f>_xlfn.XLOOKUP(TBL_USUARIOS[[#This Row],[ID_MASSA]],tbl_de_massas[id_massa],tbl_de_massas[cpf],"--",0,1)</f>
        <v>92454501635</v>
      </c>
      <c r="C184" t="s">
        <v>12</v>
      </c>
      <c r="D184" t="str">
        <f>_xlfn.XLOOKUP(TBL_USUARIOS[[#This Row],[ID_MASSA]],tbl_de_massas[id_massa],tbl_de_massas[nome_completo],"--",0,1)</f>
        <v>Laurine Maillard</v>
      </c>
      <c r="E184" t="str">
        <f>_xlfn.XLOOKUP(TBL_USUARIOS[[#This Row],[ID_MASSA]],tbl_de_massas[id_massa],tbl_de_massas[cartao_fisico_numero],"--",0,1)</f>
        <v>5442 7460 4528 6363</v>
      </c>
      <c r="F184" t="str">
        <f>_xlfn.XLOOKUP(TBL_USUARIOS[[#This Row],[ID_MASSA]],tbl_de_massas[id_massa],tbl_de_massas[nome_completo],"--",0,1)</f>
        <v>Laurine Maillard</v>
      </c>
      <c r="G184" s="47">
        <f>_xlfn.XLOOKUP(TBL_USUARIOS[[#This Row],[ID_MASSA]],tbl_de_massas[id_massa],tbl_de_massas[saldo_conta],"--",0,1)</f>
        <v>9512.33</v>
      </c>
      <c r="H184" t="str">
        <f>_xlfn.XLOOKUP(TBL_USUARIOS[[#This Row],[ID_MASSA]],tbl_de_massas[id_massa],tbl_de_massas[nome_completo],"--",0,1)</f>
        <v>Laurine Maillard</v>
      </c>
    </row>
    <row r="185" spans="1:8" x14ac:dyDescent="0.25">
      <c r="A185" s="2" t="s">
        <v>2328</v>
      </c>
      <c r="B185" s="14" t="str">
        <f>_xlfn.XLOOKUP(TBL_USUARIOS[[#This Row],[ID_MASSA]],tbl_de_massas[id_massa],tbl_de_massas[cpf],"--",0,1)</f>
        <v>05458223608</v>
      </c>
      <c r="C185" t="s">
        <v>12</v>
      </c>
      <c r="D185" t="str">
        <f>_xlfn.XLOOKUP(TBL_USUARIOS[[#This Row],[ID_MASSA]],tbl_de_massas[id_massa],tbl_de_massas[nome_completo],"--",0,1)</f>
        <v>Gustave Jacquet</v>
      </c>
      <c r="E185" t="str">
        <f>_xlfn.XLOOKUP(TBL_USUARIOS[[#This Row],[ID_MASSA]],tbl_de_massas[id_massa],tbl_de_massas[cartao_fisico_numero],"--",0,1)</f>
        <v>5442 7460 1587 4139</v>
      </c>
      <c r="F185" t="str">
        <f>_xlfn.XLOOKUP(TBL_USUARIOS[[#This Row],[ID_MASSA]],tbl_de_massas[id_massa],tbl_de_massas[nome_completo],"--",0,1)</f>
        <v>Gustave Jacquet</v>
      </c>
      <c r="G185" s="47">
        <f>_xlfn.XLOOKUP(TBL_USUARIOS[[#This Row],[ID_MASSA]],tbl_de_massas[id_massa],tbl_de_massas[saldo_conta],"--",0,1)</f>
        <v>10000</v>
      </c>
      <c r="H185" t="str">
        <f>_xlfn.XLOOKUP(TBL_USUARIOS[[#This Row],[ID_MASSA]],tbl_de_massas[id_massa],tbl_de_massas[nome_completo],"--",0,1)</f>
        <v>Gustave Jacquet</v>
      </c>
    </row>
    <row r="186" spans="1:8" x14ac:dyDescent="0.25">
      <c r="A186" s="2" t="s">
        <v>2334</v>
      </c>
      <c r="B186" s="14" t="str">
        <f>_xlfn.XLOOKUP(TBL_USUARIOS[[#This Row],[ID_MASSA]],tbl_de_massas[id_massa],tbl_de_massas[cpf],"--",0,1)</f>
        <v>86236132526</v>
      </c>
      <c r="C186" t="s">
        <v>12</v>
      </c>
      <c r="D186" t="str">
        <f>_xlfn.XLOOKUP(TBL_USUARIOS[[#This Row],[ID_MASSA]],tbl_de_massas[id_massa],tbl_de_massas[nome_completo],"--",0,1)</f>
        <v>Albérade Chevalier</v>
      </c>
      <c r="E186" t="str">
        <f>_xlfn.XLOOKUP(TBL_USUARIOS[[#This Row],[ID_MASSA]],tbl_de_massas[id_massa],tbl_de_massas[cartao_fisico_numero],"--",0,1)</f>
        <v>5185 4460 8680 7410</v>
      </c>
      <c r="F186" t="str">
        <f>_xlfn.XLOOKUP(TBL_USUARIOS[[#This Row],[ID_MASSA]],tbl_de_massas[id_massa],tbl_de_massas[nome_completo],"--",0,1)</f>
        <v>Albérade Chevalier</v>
      </c>
      <c r="G186" s="47">
        <f>_xlfn.XLOOKUP(TBL_USUARIOS[[#This Row],[ID_MASSA]],tbl_de_massas[id_massa],tbl_de_massas[saldo_conta],"--",0,1)</f>
        <v>10000</v>
      </c>
      <c r="H186" t="str">
        <f>_xlfn.XLOOKUP(TBL_USUARIOS[[#This Row],[ID_MASSA]],tbl_de_massas[id_massa],tbl_de_massas[nome_completo],"--",0,1)</f>
        <v>Albérade Chevalier</v>
      </c>
    </row>
    <row r="187" spans="1:8" x14ac:dyDescent="0.25">
      <c r="A187" s="2" t="s">
        <v>2137</v>
      </c>
      <c r="B187" s="14" t="str">
        <f>_xlfn.XLOOKUP(TBL_USUARIOS[[#This Row],[ID_MASSA]],tbl_de_massas[id_massa],tbl_de_massas[cpf],"--",0,1)</f>
        <v>21005484686</v>
      </c>
      <c r="C187" t="s">
        <v>12</v>
      </c>
      <c r="D187" t="str">
        <f>_xlfn.XLOOKUP(TBL_USUARIOS[[#This Row],[ID_MASSA]],tbl_de_massas[id_massa],tbl_de_massas[nome_completo],"--",0,1)</f>
        <v>Boniface Gauthier</v>
      </c>
      <c r="E187" t="str">
        <f>_xlfn.XLOOKUP(TBL_USUARIOS[[#This Row],[ID_MASSA]],tbl_de_massas[id_massa],tbl_de_massas[cartao_fisico_numero],"--",0,1)</f>
        <v>5364 2660 6627 9262</v>
      </c>
      <c r="F187" t="str">
        <f>_xlfn.XLOOKUP(TBL_USUARIOS[[#This Row],[ID_MASSA]],tbl_de_massas[id_massa],tbl_de_massas[nome_completo],"--",0,1)</f>
        <v>Boniface Gauthier</v>
      </c>
      <c r="G187" s="47">
        <f>_xlfn.XLOOKUP(TBL_USUARIOS[[#This Row],[ID_MASSA]],tbl_de_massas[id_massa],tbl_de_massas[saldo_conta],"--",0,1)</f>
        <v>10000</v>
      </c>
      <c r="H187" t="str">
        <f>_xlfn.XLOOKUP(TBL_USUARIOS[[#This Row],[ID_MASSA]],tbl_de_massas[id_massa],tbl_de_massas[nome_completo],"--",0,1)</f>
        <v>Boniface Gauthier</v>
      </c>
    </row>
    <row r="188" spans="1:8" x14ac:dyDescent="0.25">
      <c r="A188" s="2" t="s">
        <v>2138</v>
      </c>
      <c r="B188" s="14" t="str">
        <f>_xlfn.XLOOKUP(TBL_USUARIOS[[#This Row],[ID_MASSA]],tbl_de_massas[id_massa],tbl_de_massas[cpf],"--",0,1)</f>
        <v>58628880208</v>
      </c>
      <c r="C188" t="s">
        <v>12</v>
      </c>
      <c r="D188" t="str">
        <f>_xlfn.XLOOKUP(TBL_USUARIOS[[#This Row],[ID_MASSA]],tbl_de_massas[id_massa],tbl_de_massas[nome_completo],"--",0,1)</f>
        <v>Morgan Poirier</v>
      </c>
      <c r="E188" t="str">
        <f>_xlfn.XLOOKUP(TBL_USUARIOS[[#This Row],[ID_MASSA]],tbl_de_massas[id_massa],tbl_de_massas[cartao_fisico_numero],"--",0,1)</f>
        <v>5442 7460 3696 2770</v>
      </c>
      <c r="F188" t="str">
        <f>_xlfn.XLOOKUP(TBL_USUARIOS[[#This Row],[ID_MASSA]],tbl_de_massas[id_massa],tbl_de_massas[nome_completo],"--",0,1)</f>
        <v>Morgan Poirier</v>
      </c>
      <c r="G188" s="47">
        <f>_xlfn.XLOOKUP(TBL_USUARIOS[[#This Row],[ID_MASSA]],tbl_de_massas[id_massa],tbl_de_massas[saldo_conta],"--",0,1)</f>
        <v>10000</v>
      </c>
      <c r="H188" t="str">
        <f>_xlfn.XLOOKUP(TBL_USUARIOS[[#This Row],[ID_MASSA]],tbl_de_massas[id_massa],tbl_de_massas[nome_completo],"--",0,1)</f>
        <v>Morgan Poirier</v>
      </c>
    </row>
    <row r="189" spans="1:8" x14ac:dyDescent="0.25">
      <c r="A189" s="2" t="s">
        <v>2139</v>
      </c>
      <c r="B189" s="14" t="str">
        <f>_xlfn.XLOOKUP(TBL_USUARIOS[[#This Row],[ID_MASSA]],tbl_de_massas[id_massa],tbl_de_massas[cpf],"--",0,1)</f>
        <v>83052128400</v>
      </c>
      <c r="C189" t="s">
        <v>12</v>
      </c>
      <c r="D189" t="str">
        <f>_xlfn.XLOOKUP(TBL_USUARIOS[[#This Row],[ID_MASSA]],tbl_de_massas[id_massa],tbl_de_massas[nome_completo],"--",0,1)</f>
        <v>Adalard Rodriguez</v>
      </c>
      <c r="E189" t="str">
        <f>_xlfn.XLOOKUP(TBL_USUARIOS[[#This Row],[ID_MASSA]],tbl_de_massas[id_massa],tbl_de_massas[cartao_fisico_numero],"--",0,1)</f>
        <v>5442 7460 0864 4232</v>
      </c>
      <c r="F189" t="str">
        <f>_xlfn.XLOOKUP(TBL_USUARIOS[[#This Row],[ID_MASSA]],tbl_de_massas[id_massa],tbl_de_massas[nome_completo],"--",0,1)</f>
        <v>Adalard Rodriguez</v>
      </c>
      <c r="G189" s="47">
        <f>_xlfn.XLOOKUP(TBL_USUARIOS[[#This Row],[ID_MASSA]],tbl_de_massas[id_massa],tbl_de_massas[saldo_conta],"--",0,1)</f>
        <v>10000</v>
      </c>
      <c r="H189" t="str">
        <f>_xlfn.XLOOKUP(TBL_USUARIOS[[#This Row],[ID_MASSA]],tbl_de_massas[id_massa],tbl_de_massas[nome_completo],"--",0,1)</f>
        <v>Adalard Rodriguez</v>
      </c>
    </row>
    <row r="190" spans="1:8" x14ac:dyDescent="0.25">
      <c r="A190" s="2" t="s">
        <v>2192</v>
      </c>
      <c r="B190" s="14" t="str">
        <f>_xlfn.XLOOKUP(TBL_USUARIOS[[#This Row],[ID_MASSA]],tbl_de_massas[id_massa],tbl_de_massas[cpf],"--",0,1)</f>
        <v>30113512287</v>
      </c>
      <c r="C190" t="s">
        <v>12</v>
      </c>
      <c r="D190" t="str">
        <f>_xlfn.XLOOKUP(TBL_USUARIOS[[#This Row],[ID_MASSA]],tbl_de_massas[id_massa],tbl_de_massas[nome_completo],"--",0,1)</f>
        <v>Armel Michel</v>
      </c>
      <c r="E190" t="str">
        <f>_xlfn.XLOOKUP(TBL_USUARIOS[[#This Row],[ID_MASSA]],tbl_de_massas[id_massa],tbl_de_massas[cartao_fisico_numero],"--",0,1)</f>
        <v>5185 4460 8337 0511</v>
      </c>
      <c r="F190" t="str">
        <f>_xlfn.XLOOKUP(TBL_USUARIOS[[#This Row],[ID_MASSA]],tbl_de_massas[id_massa],tbl_de_massas[nome_completo],"--",0,1)</f>
        <v>Armel Michel</v>
      </c>
      <c r="G190" s="47">
        <f>_xlfn.XLOOKUP(TBL_USUARIOS[[#This Row],[ID_MASSA]],tbl_de_massas[id_massa],tbl_de_massas[saldo_conta],"--",0,1)</f>
        <v>10000</v>
      </c>
      <c r="H190" t="str">
        <f>_xlfn.XLOOKUP(TBL_USUARIOS[[#This Row],[ID_MASSA]],tbl_de_massas[id_massa],tbl_de_massas[nome_completo],"--",0,1)</f>
        <v>Armel Michel</v>
      </c>
    </row>
    <row r="191" spans="1:8" x14ac:dyDescent="0.25">
      <c r="A191" s="2" t="s">
        <v>2202</v>
      </c>
      <c r="B191" s="14" t="str">
        <f>_xlfn.XLOOKUP(TBL_USUARIOS[[#This Row],[ID_MASSA]],tbl_de_massas[id_massa],tbl_de_massas[cpf],"--",0,1)</f>
        <v>51172415331</v>
      </c>
      <c r="C191" t="s">
        <v>12</v>
      </c>
      <c r="D191" t="str">
        <f>_xlfn.XLOOKUP(TBL_USUARIOS[[#This Row],[ID_MASSA]],tbl_de_massas[id_massa],tbl_de_massas[nome_completo],"--",0,1)</f>
        <v>Audrey Benoit</v>
      </c>
      <c r="E191" t="str">
        <f>_xlfn.XLOOKUP(TBL_USUARIOS[[#This Row],[ID_MASSA]],tbl_de_massas[id_massa],tbl_de_massas[cartao_fisico_numero],"--",0,1)</f>
        <v>5442 7460 3460 7138</v>
      </c>
      <c r="F191" t="str">
        <f>_xlfn.XLOOKUP(TBL_USUARIOS[[#This Row],[ID_MASSA]],tbl_de_massas[id_massa],tbl_de_massas[nome_completo],"--",0,1)</f>
        <v>Audrey Benoit</v>
      </c>
      <c r="G191" s="47">
        <f>_xlfn.XLOOKUP(TBL_USUARIOS[[#This Row],[ID_MASSA]],tbl_de_massas[id_massa],tbl_de_massas[saldo_conta],"--",0,1)</f>
        <v>10000</v>
      </c>
      <c r="H191" t="str">
        <f>_xlfn.XLOOKUP(TBL_USUARIOS[[#This Row],[ID_MASSA]],tbl_de_massas[id_massa],tbl_de_massas[nome_completo],"--",0,1)</f>
        <v>Audrey Benoit</v>
      </c>
    </row>
    <row r="192" spans="1:8" x14ac:dyDescent="0.25">
      <c r="A192" s="2" t="s">
        <v>2203</v>
      </c>
      <c r="B192" s="14" t="str">
        <f>_xlfn.XLOOKUP(TBL_USUARIOS[[#This Row],[ID_MASSA]],tbl_de_massas[id_massa],tbl_de_massas[cpf],"--",0,1)</f>
        <v>08813546270</v>
      </c>
      <c r="C192" t="s">
        <v>12</v>
      </c>
      <c r="D192" t="str">
        <f>_xlfn.XLOOKUP(TBL_USUARIOS[[#This Row],[ID_MASSA]],tbl_de_massas[id_massa],tbl_de_massas[nome_completo],"--",0,1)</f>
        <v>Gaëlle Joly</v>
      </c>
      <c r="E192" t="str">
        <f>_xlfn.XLOOKUP(TBL_USUARIOS[[#This Row],[ID_MASSA]],tbl_de_massas[id_massa],tbl_de_massas[cartao_fisico_numero],"--",0,1)</f>
        <v>5373 6360 2204 3292</v>
      </c>
      <c r="F192" t="str">
        <f>_xlfn.XLOOKUP(TBL_USUARIOS[[#This Row],[ID_MASSA]],tbl_de_massas[id_massa],tbl_de_massas[nome_completo],"--",0,1)</f>
        <v>Gaëlle Joly</v>
      </c>
      <c r="G192" s="47">
        <f>_xlfn.XLOOKUP(TBL_USUARIOS[[#This Row],[ID_MASSA]],tbl_de_massas[id_massa],tbl_de_massas[saldo_conta],"--",0,1)</f>
        <v>10000</v>
      </c>
      <c r="H192" t="str">
        <f>_xlfn.XLOOKUP(TBL_USUARIOS[[#This Row],[ID_MASSA]],tbl_de_massas[id_massa],tbl_de_massas[nome_completo],"--",0,1)</f>
        <v>Gaëlle Joly</v>
      </c>
    </row>
    <row r="193" spans="1:8" x14ac:dyDescent="0.25">
      <c r="A193" s="2" t="s">
        <v>2204</v>
      </c>
      <c r="B193" s="14" t="str">
        <f>_xlfn.XLOOKUP(TBL_USUARIOS[[#This Row],[ID_MASSA]],tbl_de_massas[id_massa],tbl_de_massas[cpf],"--",0,1)</f>
        <v>85764469015</v>
      </c>
      <c r="C193" t="s">
        <v>12</v>
      </c>
      <c r="D193" t="str">
        <f>_xlfn.XLOOKUP(TBL_USUARIOS[[#This Row],[ID_MASSA]],tbl_de_massas[id_massa],tbl_de_massas[nome_completo],"--",0,1)</f>
        <v>Hilaire Breton</v>
      </c>
      <c r="E193" t="str">
        <f>_xlfn.XLOOKUP(TBL_USUARIOS[[#This Row],[ID_MASSA]],tbl_de_massas[id_massa],tbl_de_massas[cartao_fisico_numero],"--",0,1)</f>
        <v>5373 6360 4219 1477</v>
      </c>
      <c r="F193" t="str">
        <f>_xlfn.XLOOKUP(TBL_USUARIOS[[#This Row],[ID_MASSA]],tbl_de_massas[id_massa],tbl_de_massas[nome_completo],"--",0,1)</f>
        <v>Hilaire Breton</v>
      </c>
      <c r="G193" s="47">
        <f>_xlfn.XLOOKUP(TBL_USUARIOS[[#This Row],[ID_MASSA]],tbl_de_massas[id_massa],tbl_de_massas[saldo_conta],"--",0,1)</f>
        <v>10000</v>
      </c>
      <c r="H193" t="str">
        <f>_xlfn.XLOOKUP(TBL_USUARIOS[[#This Row],[ID_MASSA]],tbl_de_massas[id_massa],tbl_de_massas[nome_completo],"--",0,1)</f>
        <v>Hilaire Breton</v>
      </c>
    </row>
    <row r="194" spans="1:8" x14ac:dyDescent="0.25">
      <c r="A194" s="2" t="s">
        <v>2205</v>
      </c>
      <c r="B194" s="14" t="str">
        <f>_xlfn.XLOOKUP(TBL_USUARIOS[[#This Row],[ID_MASSA]],tbl_de_massas[id_massa],tbl_de_massas[cpf],"--",0,1)</f>
        <v>23317643366</v>
      </c>
      <c r="C194" t="s">
        <v>12</v>
      </c>
      <c r="D194" t="str">
        <f>_xlfn.XLOOKUP(TBL_USUARIOS[[#This Row],[ID_MASSA]],tbl_de_massas[id_massa],tbl_de_massas[nome_completo],"--",0,1)</f>
        <v>Élzéar Marie</v>
      </c>
      <c r="E194" t="str">
        <f>_xlfn.XLOOKUP(TBL_USUARIOS[[#This Row],[ID_MASSA]],tbl_de_massas[id_massa],tbl_de_massas[cartao_fisico_numero],"--",0,1)</f>
        <v>5185 4460 3642 5230</v>
      </c>
      <c r="F194" t="str">
        <f>_xlfn.XLOOKUP(TBL_USUARIOS[[#This Row],[ID_MASSA]],tbl_de_massas[id_massa],tbl_de_massas[nome_completo],"--",0,1)</f>
        <v>Élzéar Marie</v>
      </c>
      <c r="G194" s="47">
        <f>_xlfn.XLOOKUP(TBL_USUARIOS[[#This Row],[ID_MASSA]],tbl_de_massas[id_massa],tbl_de_massas[saldo_conta],"--",0,1)</f>
        <v>10000</v>
      </c>
      <c r="H194" t="str">
        <f>_xlfn.XLOOKUP(TBL_USUARIOS[[#This Row],[ID_MASSA]],tbl_de_massas[id_massa],tbl_de_massas[nome_completo],"--",0,1)</f>
        <v>Élzéar Marie</v>
      </c>
    </row>
    <row r="195" spans="1:8" x14ac:dyDescent="0.25">
      <c r="A195" s="2" t="s">
        <v>2206</v>
      </c>
      <c r="B195" s="14" t="str">
        <f>_xlfn.XLOOKUP(TBL_USUARIOS[[#This Row],[ID_MASSA]],tbl_de_massas[id_massa],tbl_de_massas[cpf],"--",0,1)</f>
        <v>42074143630</v>
      </c>
      <c r="C195" t="s">
        <v>12</v>
      </c>
      <c r="D195" t="str">
        <f>_xlfn.XLOOKUP(TBL_USUARIOS[[#This Row],[ID_MASSA]],tbl_de_massas[id_massa],tbl_de_massas[nome_completo],"--",0,1)</f>
        <v>Roselin Arnaud</v>
      </c>
      <c r="E195" t="str">
        <f>_xlfn.XLOOKUP(TBL_USUARIOS[[#This Row],[ID_MASSA]],tbl_de_massas[id_massa],tbl_de_massas[cartao_fisico_numero],"--",0,1)</f>
        <v>5364 2660 9470 1600</v>
      </c>
      <c r="F195" t="str">
        <f>_xlfn.XLOOKUP(TBL_USUARIOS[[#This Row],[ID_MASSA]],tbl_de_massas[id_massa],tbl_de_massas[nome_completo],"--",0,1)</f>
        <v>Roselin Arnaud</v>
      </c>
      <c r="G195" s="47">
        <f>_xlfn.XLOOKUP(TBL_USUARIOS[[#This Row],[ID_MASSA]],tbl_de_massas[id_massa],tbl_de_massas[saldo_conta],"--",0,1)</f>
        <v>10000</v>
      </c>
      <c r="H195" t="str">
        <f>_xlfn.XLOOKUP(TBL_USUARIOS[[#This Row],[ID_MASSA]],tbl_de_massas[id_massa],tbl_de_massas[nome_completo],"--",0,1)</f>
        <v>Roselin Arnaud</v>
      </c>
    </row>
    <row r="196" spans="1:8" x14ac:dyDescent="0.25">
      <c r="A196" s="2" t="s">
        <v>2207</v>
      </c>
      <c r="B196" s="14" t="str">
        <f>_xlfn.XLOOKUP(TBL_USUARIOS[[#This Row],[ID_MASSA]],tbl_de_massas[id_massa],tbl_de_massas[cpf],"--",0,1)</f>
        <v>82676153420</v>
      </c>
      <c r="C196" t="s">
        <v>12</v>
      </c>
      <c r="D196" t="str">
        <f>_xlfn.XLOOKUP(TBL_USUARIOS[[#This Row],[ID_MASSA]],tbl_de_massas[id_massa],tbl_de_massas[nome_completo],"--",0,1)</f>
        <v>Firmin Renard</v>
      </c>
      <c r="E196" t="str">
        <f>_xlfn.XLOOKUP(TBL_USUARIOS[[#This Row],[ID_MASSA]],tbl_de_massas[id_massa],tbl_de_massas[cartao_fisico_numero],"--",0,1)</f>
        <v>5185 4460 3568 4779</v>
      </c>
      <c r="F196" t="str">
        <f>_xlfn.XLOOKUP(TBL_USUARIOS[[#This Row],[ID_MASSA]],tbl_de_massas[id_massa],tbl_de_massas[nome_completo],"--",0,1)</f>
        <v>Firmin Renard</v>
      </c>
      <c r="G196" s="47">
        <f>_xlfn.XLOOKUP(TBL_USUARIOS[[#This Row],[ID_MASSA]],tbl_de_massas[id_massa],tbl_de_massas[saldo_conta],"--",0,1)</f>
        <v>10000</v>
      </c>
      <c r="H196" t="str">
        <f>_xlfn.XLOOKUP(TBL_USUARIOS[[#This Row],[ID_MASSA]],tbl_de_massas[id_massa],tbl_de_massas[nome_completo],"--",0,1)</f>
        <v>Firmin Renard</v>
      </c>
    </row>
    <row r="197" spans="1:8" x14ac:dyDescent="0.25">
      <c r="A197" s="2" t="s">
        <v>2208</v>
      </c>
      <c r="B197" s="14" t="str">
        <f>_xlfn.XLOOKUP(TBL_USUARIOS[[#This Row],[ID_MASSA]],tbl_de_massas[id_massa],tbl_de_massas[cpf],"--",0,1)</f>
        <v>32749568803</v>
      </c>
      <c r="C197" t="s">
        <v>12</v>
      </c>
      <c r="D197" t="str">
        <f>_xlfn.XLOOKUP(TBL_USUARIOS[[#This Row],[ID_MASSA]],tbl_de_massas[id_massa],tbl_de_massas[nome_completo],"--",0,1)</f>
        <v>Odile Bernard</v>
      </c>
      <c r="E197" t="str">
        <f>_xlfn.XLOOKUP(TBL_USUARIOS[[#This Row],[ID_MASSA]],tbl_de_massas[id_massa],tbl_de_massas[cartao_fisico_numero],"--",0,1)</f>
        <v>5373 6360 4888 5791</v>
      </c>
      <c r="F197" t="str">
        <f>_xlfn.XLOOKUP(TBL_USUARIOS[[#This Row],[ID_MASSA]],tbl_de_massas[id_massa],tbl_de_massas[nome_completo],"--",0,1)</f>
        <v>Odile Bernard</v>
      </c>
      <c r="G197" s="47">
        <f>_xlfn.XLOOKUP(TBL_USUARIOS[[#This Row],[ID_MASSA]],tbl_de_massas[id_massa],tbl_de_massas[saldo_conta],"--",0,1)</f>
        <v>10000</v>
      </c>
      <c r="H197" t="str">
        <f>_xlfn.XLOOKUP(TBL_USUARIOS[[#This Row],[ID_MASSA]],tbl_de_massas[id_massa],tbl_de_massas[nome_completo],"--",0,1)</f>
        <v>Odile Bernard</v>
      </c>
    </row>
    <row r="198" spans="1:8" x14ac:dyDescent="0.25">
      <c r="A198" s="2" t="s">
        <v>2218</v>
      </c>
      <c r="B198" s="14" t="str">
        <f>_xlfn.XLOOKUP(TBL_USUARIOS[[#This Row],[ID_MASSA]],tbl_de_massas[id_massa],tbl_de_massas[cpf],"--",0,1)</f>
        <v>65461467385</v>
      </c>
      <c r="C198" t="s">
        <v>12</v>
      </c>
      <c r="D198" t="str">
        <f>_xlfn.XLOOKUP(TBL_USUARIOS[[#This Row],[ID_MASSA]],tbl_de_massas[id_massa],tbl_de_massas[nome_completo],"--",0,1)</f>
        <v>Daniel Dupuis</v>
      </c>
      <c r="E198" t="str">
        <f>_xlfn.XLOOKUP(TBL_USUARIOS[[#This Row],[ID_MASSA]],tbl_de_massas[id_massa],tbl_de_massas[cartao_fisico_numero],"--",0,1)</f>
        <v>5364 2660 2219 1882</v>
      </c>
      <c r="F198" t="str">
        <f>_xlfn.XLOOKUP(TBL_USUARIOS[[#This Row],[ID_MASSA]],tbl_de_massas[id_massa],tbl_de_massas[nome_completo],"--",0,1)</f>
        <v>Daniel Dupuis</v>
      </c>
      <c r="G198" s="47">
        <f>_xlfn.XLOOKUP(TBL_USUARIOS[[#This Row],[ID_MASSA]],tbl_de_massas[id_massa],tbl_de_massas[saldo_conta],"--",0,1)</f>
        <v>10000</v>
      </c>
      <c r="H198" t="str">
        <f>_xlfn.XLOOKUP(TBL_USUARIOS[[#This Row],[ID_MASSA]],tbl_de_massas[id_massa],tbl_de_massas[nome_completo],"--",0,1)</f>
        <v>Daniel Dupuis</v>
      </c>
    </row>
    <row r="199" spans="1:8" x14ac:dyDescent="0.25">
      <c r="A199" s="2" t="s">
        <v>2219</v>
      </c>
      <c r="B199" s="14" t="str">
        <f>_xlfn.XLOOKUP(TBL_USUARIOS[[#This Row],[ID_MASSA]],tbl_de_massas[id_massa],tbl_de_massas[cpf],"--",0,1)</f>
        <v>37877781016</v>
      </c>
      <c r="C199" t="s">
        <v>12</v>
      </c>
      <c r="D199" t="str">
        <f>_xlfn.XLOOKUP(TBL_USUARIOS[[#This Row],[ID_MASSA]],tbl_de_massas[id_massa],tbl_de_massas[nome_completo],"--",0,1)</f>
        <v>Helio Reis</v>
      </c>
      <c r="E199" t="str">
        <f>_xlfn.XLOOKUP(TBL_USUARIOS[[#This Row],[ID_MASSA]],tbl_de_massas[id_massa],tbl_de_massas[cartao_fisico_numero],"--",0,1)</f>
        <v>5442 7460 0099 4593</v>
      </c>
      <c r="F199" t="str">
        <f>_xlfn.XLOOKUP(TBL_USUARIOS[[#This Row],[ID_MASSA]],tbl_de_massas[id_massa],tbl_de_massas[nome_completo],"--",0,1)</f>
        <v>Helio Reis</v>
      </c>
      <c r="G199" s="47">
        <f>_xlfn.XLOOKUP(TBL_USUARIOS[[#This Row],[ID_MASSA]],tbl_de_massas[id_massa],tbl_de_massas[saldo_conta],"--",0,1)</f>
        <v>10000</v>
      </c>
      <c r="H199" t="str">
        <f>_xlfn.XLOOKUP(TBL_USUARIOS[[#This Row],[ID_MASSA]],tbl_de_massas[id_massa],tbl_de_massas[nome_completo],"--",0,1)</f>
        <v>Helio Reis</v>
      </c>
    </row>
    <row r="200" spans="1:8" x14ac:dyDescent="0.25">
      <c r="A200" s="2" t="s">
        <v>2220</v>
      </c>
      <c r="B200" s="14" t="str">
        <f>_xlfn.XLOOKUP(TBL_USUARIOS[[#This Row],[ID_MASSA]],tbl_de_massas[id_massa],tbl_de_massas[cpf],"--",0,1)</f>
        <v>40207277168</v>
      </c>
      <c r="C200" t="s">
        <v>12</v>
      </c>
      <c r="D200" t="str">
        <f>_xlfn.XLOOKUP(TBL_USUARIOS[[#This Row],[ID_MASSA]],tbl_de_massas[id_massa],tbl_de_massas[nome_completo],"--",0,1)</f>
        <v>Mercia Oliveira</v>
      </c>
      <c r="E200" t="str">
        <f>_xlfn.XLOOKUP(TBL_USUARIOS[[#This Row],[ID_MASSA]],tbl_de_massas[id_massa],tbl_de_massas[cartao_fisico_numero],"--",0,1)</f>
        <v>5185 4460 6676 7873</v>
      </c>
      <c r="F200" t="str">
        <f>_xlfn.XLOOKUP(TBL_USUARIOS[[#This Row],[ID_MASSA]],tbl_de_massas[id_massa],tbl_de_massas[nome_completo],"--",0,1)</f>
        <v>Mercia Oliveira</v>
      </c>
      <c r="G200" s="47">
        <f>_xlfn.XLOOKUP(TBL_USUARIOS[[#This Row],[ID_MASSA]],tbl_de_massas[id_massa],tbl_de_massas[saldo_conta],"--",0,1)</f>
        <v>10000</v>
      </c>
      <c r="H200" t="str">
        <f>_xlfn.XLOOKUP(TBL_USUARIOS[[#This Row],[ID_MASSA]],tbl_de_massas[id_massa],tbl_de_massas[nome_completo],"--",0,1)</f>
        <v>Mercia Oliveira</v>
      </c>
    </row>
    <row r="201" spans="1:8" x14ac:dyDescent="0.25">
      <c r="A201" s="2" t="s">
        <v>2221</v>
      </c>
      <c r="B201" s="14" t="str">
        <f>_xlfn.XLOOKUP(TBL_USUARIOS[[#This Row],[ID_MASSA]],tbl_de_massas[id_massa],tbl_de_massas[cpf],"--",0,1)</f>
        <v>09657598818</v>
      </c>
      <c r="C201" t="s">
        <v>12</v>
      </c>
      <c r="D201" t="str">
        <f>_xlfn.XLOOKUP(TBL_USUARIOS[[#This Row],[ID_MASSA]],tbl_de_massas[id_massa],tbl_de_massas[nome_completo],"--",0,1)</f>
        <v>Enzo Gabriel Santos</v>
      </c>
      <c r="E201" t="str">
        <f>_xlfn.XLOOKUP(TBL_USUARIOS[[#This Row],[ID_MASSA]],tbl_de_massas[id_massa],tbl_de_massas[cartao_fisico_numero],"--",0,1)</f>
        <v>5185 4460 9536 7737</v>
      </c>
      <c r="F201" t="str">
        <f>_xlfn.XLOOKUP(TBL_USUARIOS[[#This Row],[ID_MASSA]],tbl_de_massas[id_massa],tbl_de_massas[nome_completo],"--",0,1)</f>
        <v>Enzo Gabriel Santos</v>
      </c>
      <c r="G201" s="47">
        <f>_xlfn.XLOOKUP(TBL_USUARIOS[[#This Row],[ID_MASSA]],tbl_de_massas[id_massa],tbl_de_massas[saldo_conta],"--",0,1)</f>
        <v>10000</v>
      </c>
      <c r="H201" t="str">
        <f>_xlfn.XLOOKUP(TBL_USUARIOS[[#This Row],[ID_MASSA]],tbl_de_massas[id_massa],tbl_de_massas[nome_completo],"--",0,1)</f>
        <v>Enzo Gabriel Santos</v>
      </c>
    </row>
    <row r="202" spans="1:8" x14ac:dyDescent="0.25">
      <c r="A202" s="2" t="s">
        <v>2222</v>
      </c>
      <c r="B202" s="14" t="str">
        <f>_xlfn.XLOOKUP(TBL_USUARIOS[[#This Row],[ID_MASSA]],tbl_de_massas[id_massa],tbl_de_massas[cpf],"--",0,1)</f>
        <v>41356720862</v>
      </c>
      <c r="C202" t="s">
        <v>12</v>
      </c>
      <c r="D202" t="str">
        <f>_xlfn.XLOOKUP(TBL_USUARIOS[[#This Row],[ID_MASSA]],tbl_de_massas[id_massa],tbl_de_massas[nome_completo],"--",0,1)</f>
        <v>Eduarda Melo</v>
      </c>
      <c r="E202" t="str">
        <f>_xlfn.XLOOKUP(TBL_USUARIOS[[#This Row],[ID_MASSA]],tbl_de_massas[id_massa],tbl_de_massas[cartao_fisico_numero],"--",0,1)</f>
        <v>5373 6360 1346 3202</v>
      </c>
      <c r="F202" t="str">
        <f>_xlfn.XLOOKUP(TBL_USUARIOS[[#This Row],[ID_MASSA]],tbl_de_massas[id_massa],tbl_de_massas[nome_completo],"--",0,1)</f>
        <v>Eduarda Melo</v>
      </c>
      <c r="G202" s="47">
        <f>_xlfn.XLOOKUP(TBL_USUARIOS[[#This Row],[ID_MASSA]],tbl_de_massas[id_massa],tbl_de_massas[saldo_conta],"--",0,1)</f>
        <v>10000</v>
      </c>
      <c r="H202" t="str">
        <f>_xlfn.XLOOKUP(TBL_USUARIOS[[#This Row],[ID_MASSA]],tbl_de_massas[id_massa],tbl_de_massas[nome_completo],"--",0,1)</f>
        <v>Eduarda Melo</v>
      </c>
    </row>
    <row r="203" spans="1:8" x14ac:dyDescent="0.25">
      <c r="A203" s="2" t="s">
        <v>2223</v>
      </c>
      <c r="B203" s="14" t="str">
        <f>_xlfn.XLOOKUP(TBL_USUARIOS[[#This Row],[ID_MASSA]],tbl_de_massas[id_massa],tbl_de_massas[cpf],"--",0,1)</f>
        <v>23201979902</v>
      </c>
      <c r="C203" t="s">
        <v>12</v>
      </c>
      <c r="D203" t="str">
        <f>_xlfn.XLOOKUP(TBL_USUARIOS[[#This Row],[ID_MASSA]],tbl_de_massas[id_massa],tbl_de_massas[nome_completo],"--",0,1)</f>
        <v>Vitor Albuquerque</v>
      </c>
      <c r="E203" t="str">
        <f>_xlfn.XLOOKUP(TBL_USUARIOS[[#This Row],[ID_MASSA]],tbl_de_massas[id_massa],tbl_de_massas[cartao_fisico_numero],"--",0,1)</f>
        <v>5442 7460 2829 3788</v>
      </c>
      <c r="F203" t="str">
        <f>_xlfn.XLOOKUP(TBL_USUARIOS[[#This Row],[ID_MASSA]],tbl_de_massas[id_massa],tbl_de_massas[nome_completo],"--",0,1)</f>
        <v>Vitor Albuquerque</v>
      </c>
      <c r="G203" s="47">
        <f>_xlfn.XLOOKUP(TBL_USUARIOS[[#This Row],[ID_MASSA]],tbl_de_massas[id_massa],tbl_de_massas[saldo_conta],"--",0,1)</f>
        <v>10000</v>
      </c>
      <c r="H203" t="str">
        <f>_xlfn.XLOOKUP(TBL_USUARIOS[[#This Row],[ID_MASSA]],tbl_de_massas[id_massa],tbl_de_massas[nome_completo],"--",0,1)</f>
        <v>Vitor Albuquerque</v>
      </c>
    </row>
    <row r="204" spans="1:8" x14ac:dyDescent="0.25">
      <c r="A204" s="2" t="s">
        <v>2224</v>
      </c>
      <c r="B204" s="14" t="str">
        <f>_xlfn.XLOOKUP(TBL_USUARIOS[[#This Row],[ID_MASSA]],tbl_de_massas[id_massa],tbl_de_massas[cpf],"--",0,1)</f>
        <v>42755630345</v>
      </c>
      <c r="C204" t="s">
        <v>12</v>
      </c>
      <c r="D204" t="str">
        <f>_xlfn.XLOOKUP(TBL_USUARIOS[[#This Row],[ID_MASSA]],tbl_de_massas[id_massa],tbl_de_massas[nome_completo],"--",0,1)</f>
        <v>Isis Silva</v>
      </c>
      <c r="E204" t="str">
        <f>_xlfn.XLOOKUP(TBL_USUARIOS[[#This Row],[ID_MASSA]],tbl_de_massas[id_massa],tbl_de_massas[cartao_fisico_numero],"--",0,1)</f>
        <v>5185 4460 0402 8636</v>
      </c>
      <c r="F204" t="str">
        <f>_xlfn.XLOOKUP(TBL_USUARIOS[[#This Row],[ID_MASSA]],tbl_de_massas[id_massa],tbl_de_massas[nome_completo],"--",0,1)</f>
        <v>Isis Silva</v>
      </c>
      <c r="G204" s="47">
        <f>_xlfn.XLOOKUP(TBL_USUARIOS[[#This Row],[ID_MASSA]],tbl_de_massas[id_massa],tbl_de_massas[saldo_conta],"--",0,1)</f>
        <v>10000</v>
      </c>
      <c r="H204" t="str">
        <f>_xlfn.XLOOKUP(TBL_USUARIOS[[#This Row],[ID_MASSA]],tbl_de_massas[id_massa],tbl_de_massas[nome_completo],"--",0,1)</f>
        <v>Isis Silva</v>
      </c>
    </row>
    <row r="205" spans="1:8" x14ac:dyDescent="0.25">
      <c r="A205" s="2" t="s">
        <v>2225</v>
      </c>
      <c r="B205" s="14" t="str">
        <f>_xlfn.XLOOKUP(TBL_USUARIOS[[#This Row],[ID_MASSA]],tbl_de_massas[id_massa],tbl_de_massas[cpf],"--",0,1)</f>
        <v>54879306193</v>
      </c>
      <c r="C205" t="s">
        <v>12</v>
      </c>
      <c r="D205" t="str">
        <f>_xlfn.XLOOKUP(TBL_USUARIOS[[#This Row],[ID_MASSA]],tbl_de_massas[id_massa],tbl_de_massas[nome_completo],"--",0,1)</f>
        <v>Fabricia Carvalho</v>
      </c>
      <c r="E205" t="str">
        <f>_xlfn.XLOOKUP(TBL_USUARIOS[[#This Row],[ID_MASSA]],tbl_de_massas[id_massa],tbl_de_massas[cartao_fisico_numero],"--",0,1)</f>
        <v>5442 7460 7728 6659</v>
      </c>
      <c r="F205" t="str">
        <f>_xlfn.XLOOKUP(TBL_USUARIOS[[#This Row],[ID_MASSA]],tbl_de_massas[id_massa],tbl_de_massas[nome_completo],"--",0,1)</f>
        <v>Fabricia Carvalho</v>
      </c>
      <c r="G205" s="47">
        <f>_xlfn.XLOOKUP(TBL_USUARIOS[[#This Row],[ID_MASSA]],tbl_de_massas[id_massa],tbl_de_massas[saldo_conta],"--",0,1)</f>
        <v>10000</v>
      </c>
      <c r="H205" t="str">
        <f>_xlfn.XLOOKUP(TBL_USUARIOS[[#This Row],[ID_MASSA]],tbl_de_massas[id_massa],tbl_de_massas[nome_completo],"--",0,1)</f>
        <v>Fabricia Carvalho</v>
      </c>
    </row>
    <row r="206" spans="1:8" x14ac:dyDescent="0.25">
      <c r="A206" s="2" t="s">
        <v>2226</v>
      </c>
      <c r="B206" s="14" t="str">
        <f>_xlfn.XLOOKUP(TBL_USUARIOS[[#This Row],[ID_MASSA]],tbl_de_massas[id_massa],tbl_de_massas[cpf],"--",0,1)</f>
        <v>81122222742</v>
      </c>
      <c r="C206" t="s">
        <v>12</v>
      </c>
      <c r="D206" t="str">
        <f>_xlfn.XLOOKUP(TBL_USUARIOS[[#This Row],[ID_MASSA]],tbl_de_massas[id_massa],tbl_de_massas[nome_completo],"--",0,1)</f>
        <v>Bryan Barros</v>
      </c>
      <c r="E206" t="str">
        <f>_xlfn.XLOOKUP(TBL_USUARIOS[[#This Row],[ID_MASSA]],tbl_de_massas[id_massa],tbl_de_massas[cartao_fisico_numero],"--",0,1)</f>
        <v>5373 6360 4562 4789</v>
      </c>
      <c r="F206" t="str">
        <f>_xlfn.XLOOKUP(TBL_USUARIOS[[#This Row],[ID_MASSA]],tbl_de_massas[id_massa],tbl_de_massas[nome_completo],"--",0,1)</f>
        <v>Bryan Barros</v>
      </c>
      <c r="G206" s="47">
        <f>_xlfn.XLOOKUP(TBL_USUARIOS[[#This Row],[ID_MASSA]],tbl_de_massas[id_massa],tbl_de_massas[saldo_conta],"--",0,1)</f>
        <v>10000</v>
      </c>
      <c r="H206" t="str">
        <f>_xlfn.XLOOKUP(TBL_USUARIOS[[#This Row],[ID_MASSA]],tbl_de_massas[id_massa],tbl_de_massas[nome_completo],"--",0,1)</f>
        <v>Bryan Barros</v>
      </c>
    </row>
    <row r="207" spans="1:8" x14ac:dyDescent="0.25">
      <c r="A207" s="2" t="s">
        <v>2227</v>
      </c>
      <c r="B207" s="14" t="str">
        <f>_xlfn.XLOOKUP(TBL_USUARIOS[[#This Row],[ID_MASSA]],tbl_de_massas[id_massa],tbl_de_massas[cpf],"--",0,1)</f>
        <v>87437767600</v>
      </c>
      <c r="C207" t="s">
        <v>12</v>
      </c>
      <c r="D207" t="str">
        <f>_xlfn.XLOOKUP(TBL_USUARIOS[[#This Row],[ID_MASSA]],tbl_de_massas[id_massa],tbl_de_massas[nome_completo],"--",0,1)</f>
        <v>Dalila Saraiva</v>
      </c>
      <c r="E207" t="str">
        <f>_xlfn.XLOOKUP(TBL_USUARIOS[[#This Row],[ID_MASSA]],tbl_de_massas[id_massa],tbl_de_massas[cartao_fisico_numero],"--",0,1)</f>
        <v>5364 2660 2813 8234</v>
      </c>
      <c r="F207" t="str">
        <f>_xlfn.XLOOKUP(TBL_USUARIOS[[#This Row],[ID_MASSA]],tbl_de_massas[id_massa],tbl_de_massas[nome_completo],"--",0,1)</f>
        <v>Dalila Saraiva</v>
      </c>
      <c r="G207" s="47">
        <f>_xlfn.XLOOKUP(TBL_USUARIOS[[#This Row],[ID_MASSA]],tbl_de_massas[id_massa],tbl_de_massas[saldo_conta],"--",0,1)</f>
        <v>10000</v>
      </c>
      <c r="H207" t="str">
        <f>_xlfn.XLOOKUP(TBL_USUARIOS[[#This Row],[ID_MASSA]],tbl_de_massas[id_massa],tbl_de_massas[nome_completo],"--",0,1)</f>
        <v>Dalila Saraiva</v>
      </c>
    </row>
    <row r="208" spans="1:8" x14ac:dyDescent="0.25">
      <c r="A208" s="2" t="s">
        <v>2228</v>
      </c>
      <c r="B208" s="14" t="str">
        <f>_xlfn.XLOOKUP(TBL_USUARIOS[[#This Row],[ID_MASSA]],tbl_de_massas[id_massa],tbl_de_massas[cpf],"--",0,1)</f>
        <v>43128363455</v>
      </c>
      <c r="C208" t="s">
        <v>12</v>
      </c>
      <c r="D208" t="str">
        <f>_xlfn.XLOOKUP(TBL_USUARIOS[[#This Row],[ID_MASSA]],tbl_de_massas[id_massa],tbl_de_massas[nome_completo],"--",0,1)</f>
        <v>Leonardo Braga</v>
      </c>
      <c r="E208" t="str">
        <f>_xlfn.XLOOKUP(TBL_USUARIOS[[#This Row],[ID_MASSA]],tbl_de_massas[id_massa],tbl_de_massas[cartao_fisico_numero],"--",0,1)</f>
        <v>5185 4460 7495 1691</v>
      </c>
      <c r="F208" t="str">
        <f>_xlfn.XLOOKUP(TBL_USUARIOS[[#This Row],[ID_MASSA]],tbl_de_massas[id_massa],tbl_de_massas[nome_completo],"--",0,1)</f>
        <v>Leonardo Braga</v>
      </c>
      <c r="G208" s="47">
        <f>_xlfn.XLOOKUP(TBL_USUARIOS[[#This Row],[ID_MASSA]],tbl_de_massas[id_massa],tbl_de_massas[saldo_conta],"--",0,1)</f>
        <v>10000</v>
      </c>
      <c r="H208" t="str">
        <f>_xlfn.XLOOKUP(TBL_USUARIOS[[#This Row],[ID_MASSA]],tbl_de_massas[id_massa],tbl_de_massas[nome_completo],"--",0,1)</f>
        <v>Leonardo Braga</v>
      </c>
    </row>
    <row r="209" spans="1:8" x14ac:dyDescent="0.25">
      <c r="A209" s="2" t="s">
        <v>2229</v>
      </c>
      <c r="B209" s="14" t="str">
        <f>_xlfn.XLOOKUP(TBL_USUARIOS[[#This Row],[ID_MASSA]],tbl_de_massas[id_massa],tbl_de_massas[cpf],"--",0,1)</f>
        <v>13440024202</v>
      </c>
      <c r="C209" t="s">
        <v>12</v>
      </c>
      <c r="D209" t="str">
        <f>_xlfn.XLOOKUP(TBL_USUARIOS[[#This Row],[ID_MASSA]],tbl_de_massas[id_massa],tbl_de_massas[nome_completo],"--",0,1)</f>
        <v>Ana Julia Santos</v>
      </c>
      <c r="E209" t="str">
        <f>_xlfn.XLOOKUP(TBL_USUARIOS[[#This Row],[ID_MASSA]],tbl_de_massas[id_massa],tbl_de_massas[cartao_fisico_numero],"--",0,1)</f>
        <v>5364 2660 5357 3420</v>
      </c>
      <c r="F209" t="str">
        <f>_xlfn.XLOOKUP(TBL_USUARIOS[[#This Row],[ID_MASSA]],tbl_de_massas[id_massa],tbl_de_massas[nome_completo],"--",0,1)</f>
        <v>Ana Julia Santos</v>
      </c>
      <c r="G209" s="47">
        <f>_xlfn.XLOOKUP(TBL_USUARIOS[[#This Row],[ID_MASSA]],tbl_de_massas[id_massa],tbl_de_massas[saldo_conta],"--",0,1)</f>
        <v>10000</v>
      </c>
      <c r="H209" t="str">
        <f>_xlfn.XLOOKUP(TBL_USUARIOS[[#This Row],[ID_MASSA]],tbl_de_massas[id_massa],tbl_de_massas[nome_completo],"--",0,1)</f>
        <v>Ana Julia Santos</v>
      </c>
    </row>
    <row r="210" spans="1:8" x14ac:dyDescent="0.25">
      <c r="A210" s="2" t="s">
        <v>2230</v>
      </c>
      <c r="B210" s="14" t="str">
        <f>_xlfn.XLOOKUP(TBL_USUARIOS[[#This Row],[ID_MASSA]],tbl_de_massas[id_massa],tbl_de_massas[cpf],"--",0,1)</f>
        <v>81123471746</v>
      </c>
      <c r="C210" t="s">
        <v>12</v>
      </c>
      <c r="D210" t="str">
        <f>_xlfn.XLOOKUP(TBL_USUARIOS[[#This Row],[ID_MASSA]],tbl_de_massas[id_massa],tbl_de_massas[nome_completo],"--",0,1)</f>
        <v>Marcela Moreira</v>
      </c>
      <c r="E210" t="str">
        <f>_xlfn.XLOOKUP(TBL_USUARIOS[[#This Row],[ID_MASSA]],tbl_de_massas[id_massa],tbl_de_massas[cartao_fisico_numero],"--",0,1)</f>
        <v>5364 2660 6467 4217</v>
      </c>
      <c r="F210" t="str">
        <f>_xlfn.XLOOKUP(TBL_USUARIOS[[#This Row],[ID_MASSA]],tbl_de_massas[id_massa],tbl_de_massas[nome_completo],"--",0,1)</f>
        <v>Marcela Moreira</v>
      </c>
      <c r="G210" s="47">
        <f>_xlfn.XLOOKUP(TBL_USUARIOS[[#This Row],[ID_MASSA]],tbl_de_massas[id_massa],tbl_de_massas[saldo_conta],"--",0,1)</f>
        <v>10000</v>
      </c>
      <c r="H210" t="str">
        <f>_xlfn.XLOOKUP(TBL_USUARIOS[[#This Row],[ID_MASSA]],tbl_de_massas[id_massa],tbl_de_massas[nome_completo],"--",0,1)</f>
        <v>Marcela Moreira</v>
      </c>
    </row>
    <row r="211" spans="1:8" x14ac:dyDescent="0.25">
      <c r="A211" s="2" t="s">
        <v>2231</v>
      </c>
      <c r="B211" s="14" t="str">
        <f>_xlfn.XLOOKUP(TBL_USUARIOS[[#This Row],[ID_MASSA]],tbl_de_massas[id_massa],tbl_de_massas[cpf],"--",0,1)</f>
        <v>15980864210</v>
      </c>
      <c r="C211" t="s">
        <v>12</v>
      </c>
      <c r="D211" t="str">
        <f>_xlfn.XLOOKUP(TBL_USUARIOS[[#This Row],[ID_MASSA]],tbl_de_massas[id_massa],tbl_de_massas[nome_completo],"--",0,1)</f>
        <v>Joao Lucas Santos</v>
      </c>
      <c r="E211" t="str">
        <f>_xlfn.XLOOKUP(TBL_USUARIOS[[#This Row],[ID_MASSA]],tbl_de_massas[id_massa],tbl_de_massas[cartao_fisico_numero],"--",0,1)</f>
        <v>5185 4460 5023 3908</v>
      </c>
      <c r="F211" t="str">
        <f>_xlfn.XLOOKUP(TBL_USUARIOS[[#This Row],[ID_MASSA]],tbl_de_massas[id_massa],tbl_de_massas[nome_completo],"--",0,1)</f>
        <v>Joao Lucas Santos</v>
      </c>
      <c r="G211" s="47">
        <f>_xlfn.XLOOKUP(TBL_USUARIOS[[#This Row],[ID_MASSA]],tbl_de_massas[id_massa],tbl_de_massas[saldo_conta],"--",0,1)</f>
        <v>10000</v>
      </c>
      <c r="H211" t="str">
        <f>_xlfn.XLOOKUP(TBL_USUARIOS[[#This Row],[ID_MASSA]],tbl_de_massas[id_massa],tbl_de_massas[nome_completo],"--",0,1)</f>
        <v>Joao Lucas Santos</v>
      </c>
    </row>
    <row r="212" spans="1:8" x14ac:dyDescent="0.25">
      <c r="A212" s="2" t="s">
        <v>2232</v>
      </c>
      <c r="B212" s="14" t="str">
        <f>_xlfn.XLOOKUP(TBL_USUARIOS[[#This Row],[ID_MASSA]],tbl_de_massas[id_massa],tbl_de_massas[cpf],"--",0,1)</f>
        <v>85900332608</v>
      </c>
      <c r="C212" t="s">
        <v>12</v>
      </c>
      <c r="D212" t="str">
        <f>_xlfn.XLOOKUP(TBL_USUARIOS[[#This Row],[ID_MASSA]],tbl_de_massas[id_massa],tbl_de_massas[nome_completo],"--",0,1)</f>
        <v>Isaac Albuquerque</v>
      </c>
      <c r="E212" t="str">
        <f>_xlfn.XLOOKUP(TBL_USUARIOS[[#This Row],[ID_MASSA]],tbl_de_massas[id_massa],tbl_de_massas[cartao_fisico_numero],"--",0,1)</f>
        <v>5442 7460 7587 3581</v>
      </c>
      <c r="F212" t="str">
        <f>_xlfn.XLOOKUP(TBL_USUARIOS[[#This Row],[ID_MASSA]],tbl_de_massas[id_massa],tbl_de_massas[nome_completo],"--",0,1)</f>
        <v>Isaac Albuquerque</v>
      </c>
      <c r="G212" s="47">
        <f>_xlfn.XLOOKUP(TBL_USUARIOS[[#This Row],[ID_MASSA]],tbl_de_massas[id_massa],tbl_de_massas[saldo_conta],"--",0,1)</f>
        <v>10000</v>
      </c>
      <c r="H212" t="str">
        <f>_xlfn.XLOOKUP(TBL_USUARIOS[[#This Row],[ID_MASSA]],tbl_de_massas[id_massa],tbl_de_massas[nome_completo],"--",0,1)</f>
        <v>Isaac Albuquerque</v>
      </c>
    </row>
    <row r="213" spans="1:8" x14ac:dyDescent="0.25">
      <c r="A213" s="2" t="s">
        <v>2233</v>
      </c>
      <c r="B213" s="14" t="str">
        <f>_xlfn.XLOOKUP(TBL_USUARIOS[[#This Row],[ID_MASSA]],tbl_de_massas[id_massa],tbl_de_massas[cpf],"--",0,1)</f>
        <v>66069157834</v>
      </c>
      <c r="C213" t="s">
        <v>12</v>
      </c>
      <c r="D213" t="str">
        <f>_xlfn.XLOOKUP(TBL_USUARIOS[[#This Row],[ID_MASSA]],tbl_de_massas[id_massa],tbl_de_massas[nome_completo],"--",0,1)</f>
        <v>Sophia Macedo</v>
      </c>
      <c r="E213" t="str">
        <f>_xlfn.XLOOKUP(TBL_USUARIOS[[#This Row],[ID_MASSA]],tbl_de_massas[id_massa],tbl_de_massas[cartao_fisico_numero],"--",0,1)</f>
        <v>5373 6360 0487 1231</v>
      </c>
      <c r="F213" t="str">
        <f>_xlfn.XLOOKUP(TBL_USUARIOS[[#This Row],[ID_MASSA]],tbl_de_massas[id_massa],tbl_de_massas[nome_completo],"--",0,1)</f>
        <v>Sophia Macedo</v>
      </c>
      <c r="G213" s="47">
        <f>_xlfn.XLOOKUP(TBL_USUARIOS[[#This Row],[ID_MASSA]],tbl_de_massas[id_massa],tbl_de_massas[saldo_conta],"--",0,1)</f>
        <v>10000</v>
      </c>
      <c r="H213" t="str">
        <f>_xlfn.XLOOKUP(TBL_USUARIOS[[#This Row],[ID_MASSA]],tbl_de_massas[id_massa],tbl_de_massas[nome_completo],"--",0,1)</f>
        <v>Sophia Macedo</v>
      </c>
    </row>
    <row r="214" spans="1:8" x14ac:dyDescent="0.25">
      <c r="A214" s="2" t="s">
        <v>2234</v>
      </c>
      <c r="B214" s="14" t="str">
        <f>_xlfn.XLOOKUP(TBL_USUARIOS[[#This Row],[ID_MASSA]],tbl_de_massas[id_massa],tbl_de_massas[cpf],"--",0,1)</f>
        <v>99721176699</v>
      </c>
      <c r="C214" t="s">
        <v>12</v>
      </c>
      <c r="D214" t="str">
        <f>_xlfn.XLOOKUP(TBL_USUARIOS[[#This Row],[ID_MASSA]],tbl_de_massas[id_massa],tbl_de_massas[nome_completo],"--",0,1)</f>
        <v>Laura Oliveira</v>
      </c>
      <c r="E214" t="str">
        <f>_xlfn.XLOOKUP(TBL_USUARIOS[[#This Row],[ID_MASSA]],tbl_de_massas[id_massa],tbl_de_massas[cartao_fisico_numero],"--",0,1)</f>
        <v>5442 7460 7842 0893</v>
      </c>
      <c r="F214" t="str">
        <f>_xlfn.XLOOKUP(TBL_USUARIOS[[#This Row],[ID_MASSA]],tbl_de_massas[id_massa],tbl_de_massas[nome_completo],"--",0,1)</f>
        <v>Laura Oliveira</v>
      </c>
      <c r="G214" s="47">
        <f>_xlfn.XLOOKUP(TBL_USUARIOS[[#This Row],[ID_MASSA]],tbl_de_massas[id_massa],tbl_de_massas[saldo_conta],"--",0,1)</f>
        <v>10000</v>
      </c>
      <c r="H214" t="str">
        <f>_xlfn.XLOOKUP(TBL_USUARIOS[[#This Row],[ID_MASSA]],tbl_de_massas[id_massa],tbl_de_massas[nome_completo],"--",0,1)</f>
        <v>Laura Oliveira</v>
      </c>
    </row>
    <row r="215" spans="1:8" x14ac:dyDescent="0.25">
      <c r="A215" s="2" t="s">
        <v>2235</v>
      </c>
      <c r="B215" s="14" t="str">
        <f>_xlfn.XLOOKUP(TBL_USUARIOS[[#This Row],[ID_MASSA]],tbl_de_massas[id_massa],tbl_de_massas[cpf],"--",0,1)</f>
        <v>57137689370</v>
      </c>
      <c r="C215" t="s">
        <v>12</v>
      </c>
      <c r="D215" t="str">
        <f>_xlfn.XLOOKUP(TBL_USUARIOS[[#This Row],[ID_MASSA]],tbl_de_massas[id_massa],tbl_de_massas[nome_completo],"--",0,1)</f>
        <v>Marcela Xavier</v>
      </c>
      <c r="E215" t="str">
        <f>_xlfn.XLOOKUP(TBL_USUARIOS[[#This Row],[ID_MASSA]],tbl_de_massas[id_massa],tbl_de_massas[cartao_fisico_numero],"--",0,1)</f>
        <v>5185 4460 5982 5787</v>
      </c>
      <c r="F215" t="str">
        <f>_xlfn.XLOOKUP(TBL_USUARIOS[[#This Row],[ID_MASSA]],tbl_de_massas[id_massa],tbl_de_massas[nome_completo],"--",0,1)</f>
        <v>Marcela Xavier</v>
      </c>
      <c r="G215" s="47">
        <f>_xlfn.XLOOKUP(TBL_USUARIOS[[#This Row],[ID_MASSA]],tbl_de_massas[id_massa],tbl_de_massas[saldo_conta],"--",0,1)</f>
        <v>10000</v>
      </c>
      <c r="H215" t="str">
        <f>_xlfn.XLOOKUP(TBL_USUARIOS[[#This Row],[ID_MASSA]],tbl_de_massas[id_massa],tbl_de_massas[nome_completo],"--",0,1)</f>
        <v>Marcela Xavier</v>
      </c>
    </row>
    <row r="216" spans="1:8" x14ac:dyDescent="0.25">
      <c r="A216" s="2" t="s">
        <v>2236</v>
      </c>
      <c r="B216" s="14" t="str">
        <f>_xlfn.XLOOKUP(TBL_USUARIOS[[#This Row],[ID_MASSA]],tbl_de_massas[id_massa],tbl_de_massas[cpf],"--",0,1)</f>
        <v>15879566323</v>
      </c>
      <c r="C216" t="s">
        <v>12</v>
      </c>
      <c r="D216" t="str">
        <f>_xlfn.XLOOKUP(TBL_USUARIOS[[#This Row],[ID_MASSA]],tbl_de_massas[id_massa],tbl_de_massas[nome_completo],"--",0,1)</f>
        <v>Helena Saraiva</v>
      </c>
      <c r="E216" t="str">
        <f>_xlfn.XLOOKUP(TBL_USUARIOS[[#This Row],[ID_MASSA]],tbl_de_massas[id_massa],tbl_de_massas[cartao_fisico_numero],"--",0,1)</f>
        <v>5442 7460 6349 9696</v>
      </c>
      <c r="F216" t="str">
        <f>_xlfn.XLOOKUP(TBL_USUARIOS[[#This Row],[ID_MASSA]],tbl_de_massas[id_massa],tbl_de_massas[nome_completo],"--",0,1)</f>
        <v>Helena Saraiva</v>
      </c>
      <c r="G216" s="47">
        <f>_xlfn.XLOOKUP(TBL_USUARIOS[[#This Row],[ID_MASSA]],tbl_de_massas[id_massa],tbl_de_massas[saldo_conta],"--",0,1)</f>
        <v>10000</v>
      </c>
      <c r="H216" t="str">
        <f>_xlfn.XLOOKUP(TBL_USUARIOS[[#This Row],[ID_MASSA]],tbl_de_massas[id_massa],tbl_de_massas[nome_completo],"--",0,1)</f>
        <v>Helena Saraiva</v>
      </c>
    </row>
    <row r="217" spans="1:8" x14ac:dyDescent="0.25">
      <c r="A217" s="2" t="s">
        <v>2237</v>
      </c>
      <c r="B217" s="14" t="str">
        <f>_xlfn.XLOOKUP(TBL_USUARIOS[[#This Row],[ID_MASSA]],tbl_de_massas[id_massa],tbl_de_massas[cpf],"--",0,1)</f>
        <v>27788134384</v>
      </c>
      <c r="C217" t="s">
        <v>12</v>
      </c>
      <c r="D217" t="str">
        <f>_xlfn.XLOOKUP(TBL_USUARIOS[[#This Row],[ID_MASSA]],tbl_de_massas[id_massa],tbl_de_massas[nome_completo],"--",0,1)</f>
        <v>Rafaela Nogueira</v>
      </c>
      <c r="E217" t="str">
        <f>_xlfn.XLOOKUP(TBL_USUARIOS[[#This Row],[ID_MASSA]],tbl_de_massas[id_massa],tbl_de_massas[cartao_fisico_numero],"--",0,1)</f>
        <v>5185 4460 1236 3660</v>
      </c>
      <c r="F217" t="str">
        <f>_xlfn.XLOOKUP(TBL_USUARIOS[[#This Row],[ID_MASSA]],tbl_de_massas[id_massa],tbl_de_massas[nome_completo],"--",0,1)</f>
        <v>Rafaela Nogueira</v>
      </c>
      <c r="G217" s="47">
        <f>_xlfn.XLOOKUP(TBL_USUARIOS[[#This Row],[ID_MASSA]],tbl_de_massas[id_massa],tbl_de_massas[saldo_conta],"--",0,1)</f>
        <v>10000</v>
      </c>
      <c r="H217" t="str">
        <f>_xlfn.XLOOKUP(TBL_USUARIOS[[#This Row],[ID_MASSA]],tbl_de_massas[id_massa],tbl_de_massas[nome_completo],"--",0,1)</f>
        <v>Rafaela Nogueira</v>
      </c>
    </row>
    <row r="218" spans="1:8" x14ac:dyDescent="0.25">
      <c r="A218" s="2" t="s">
        <v>2238</v>
      </c>
      <c r="B218" s="14" t="str">
        <f>_xlfn.XLOOKUP(TBL_USUARIOS[[#This Row],[ID_MASSA]],tbl_de_massas[id_massa],tbl_de_massas[cpf],"--",0,1)</f>
        <v>95970102598</v>
      </c>
      <c r="C218" t="s">
        <v>12</v>
      </c>
      <c r="D218" t="str">
        <f>_xlfn.XLOOKUP(TBL_USUARIOS[[#This Row],[ID_MASSA]],tbl_de_massas[id_massa],tbl_de_massas[nome_completo],"--",0,1)</f>
        <v>Pietro Carvalho</v>
      </c>
      <c r="E218" t="str">
        <f>_xlfn.XLOOKUP(TBL_USUARIOS[[#This Row],[ID_MASSA]],tbl_de_massas[id_massa],tbl_de_massas[cartao_fisico_numero],"--",0,1)</f>
        <v>5373 6360 2570 9865</v>
      </c>
      <c r="F218" t="str">
        <f>_xlfn.XLOOKUP(TBL_USUARIOS[[#This Row],[ID_MASSA]],tbl_de_massas[id_massa],tbl_de_massas[nome_completo],"--",0,1)</f>
        <v>Pietro Carvalho</v>
      </c>
      <c r="G218" s="47">
        <f>_xlfn.XLOOKUP(TBL_USUARIOS[[#This Row],[ID_MASSA]],tbl_de_massas[id_massa],tbl_de_massas[saldo_conta],"--",0,1)</f>
        <v>10000</v>
      </c>
      <c r="H218" t="str">
        <f>_xlfn.XLOOKUP(TBL_USUARIOS[[#This Row],[ID_MASSA]],tbl_de_massas[id_massa],tbl_de_massas[nome_completo],"--",0,1)</f>
        <v>Pietro Carvalho</v>
      </c>
    </row>
    <row r="219" spans="1:8" x14ac:dyDescent="0.25">
      <c r="A219" s="2" t="s">
        <v>2239</v>
      </c>
      <c r="B219" s="14" t="str">
        <f>_xlfn.XLOOKUP(TBL_USUARIOS[[#This Row],[ID_MASSA]],tbl_de_massas[id_massa],tbl_de_massas[cpf],"--",0,1)</f>
        <v>92134441682</v>
      </c>
      <c r="C219" t="s">
        <v>12</v>
      </c>
      <c r="D219" t="str">
        <f>_xlfn.XLOOKUP(TBL_USUARIOS[[#This Row],[ID_MASSA]],tbl_de_massas[id_massa],tbl_de_massas[nome_completo],"--",0,1)</f>
        <v>Rafael Nogueira</v>
      </c>
      <c r="E219" t="str">
        <f>_xlfn.XLOOKUP(TBL_USUARIOS[[#This Row],[ID_MASSA]],tbl_de_massas[id_massa],tbl_de_massas[cartao_fisico_numero],"--",0,1)</f>
        <v>5442 7460 0100 0259</v>
      </c>
      <c r="F219" t="str">
        <f>_xlfn.XLOOKUP(TBL_USUARIOS[[#This Row],[ID_MASSA]],tbl_de_massas[id_massa],tbl_de_massas[nome_completo],"--",0,1)</f>
        <v>Rafael Nogueira</v>
      </c>
      <c r="G219" s="47">
        <f>_xlfn.XLOOKUP(TBL_USUARIOS[[#This Row],[ID_MASSA]],tbl_de_massas[id_massa],tbl_de_massas[saldo_conta],"--",0,1)</f>
        <v>10000</v>
      </c>
      <c r="H219" t="str">
        <f>_xlfn.XLOOKUP(TBL_USUARIOS[[#This Row],[ID_MASSA]],tbl_de_massas[id_massa],tbl_de_massas[nome_completo],"--",0,1)</f>
        <v>Rafael Nogueira</v>
      </c>
    </row>
    <row r="220" spans="1:8" x14ac:dyDescent="0.25">
      <c r="A220" s="2" t="s">
        <v>2240</v>
      </c>
      <c r="B220" s="14" t="str">
        <f>_xlfn.XLOOKUP(TBL_USUARIOS[[#This Row],[ID_MASSA]],tbl_de_massas[id_massa],tbl_de_massas[cpf],"--",0,1)</f>
        <v>48184183070</v>
      </c>
      <c r="C220" t="s">
        <v>12</v>
      </c>
      <c r="D220" t="str">
        <f>_xlfn.XLOOKUP(TBL_USUARIOS[[#This Row],[ID_MASSA]],tbl_de_massas[id_massa],tbl_de_massas[nome_completo],"--",0,1)</f>
        <v>Elisa Moraes</v>
      </c>
      <c r="E220" t="str">
        <f>_xlfn.XLOOKUP(TBL_USUARIOS[[#This Row],[ID_MASSA]],tbl_de_massas[id_massa],tbl_de_massas[cartao_fisico_numero],"--",0,1)</f>
        <v>5373 6360 5864 8006</v>
      </c>
      <c r="F220" t="str">
        <f>_xlfn.XLOOKUP(TBL_USUARIOS[[#This Row],[ID_MASSA]],tbl_de_massas[id_massa],tbl_de_massas[nome_completo],"--",0,1)</f>
        <v>Elisa Moraes</v>
      </c>
      <c r="G220" s="47">
        <f>_xlfn.XLOOKUP(TBL_USUARIOS[[#This Row],[ID_MASSA]],tbl_de_massas[id_massa],tbl_de_massas[saldo_conta],"--",0,1)</f>
        <v>10000</v>
      </c>
      <c r="H220" t="str">
        <f>_xlfn.XLOOKUP(TBL_USUARIOS[[#This Row],[ID_MASSA]],tbl_de_massas[id_massa],tbl_de_massas[nome_completo],"--",0,1)</f>
        <v>Elisa Moraes</v>
      </c>
    </row>
    <row r="221" spans="1:8" x14ac:dyDescent="0.25">
      <c r="A221" s="2" t="s">
        <v>2241</v>
      </c>
      <c r="B221" s="14" t="str">
        <f>_xlfn.XLOOKUP(TBL_USUARIOS[[#This Row],[ID_MASSA]],tbl_de_massas[id_massa],tbl_de_massas[cpf],"--",0,1)</f>
        <v>54313729046</v>
      </c>
      <c r="C221" t="s">
        <v>12</v>
      </c>
      <c r="D221" t="str">
        <f>_xlfn.XLOOKUP(TBL_USUARIOS[[#This Row],[ID_MASSA]],tbl_de_massas[id_massa],tbl_de_massas[nome_completo],"--",0,1)</f>
        <v>Ana Luiza Nogueira</v>
      </c>
      <c r="E221" t="str">
        <f>_xlfn.XLOOKUP(TBL_USUARIOS[[#This Row],[ID_MASSA]],tbl_de_massas[id_massa],tbl_de_massas[cartao_fisico_numero],"--",0,1)</f>
        <v>5442 7460 9003 0217</v>
      </c>
      <c r="F221" t="str">
        <f>_xlfn.XLOOKUP(TBL_USUARIOS[[#This Row],[ID_MASSA]],tbl_de_massas[id_massa],tbl_de_massas[nome_completo],"--",0,1)</f>
        <v>Ana Luiza Nogueira</v>
      </c>
      <c r="G221" s="47">
        <f>_xlfn.XLOOKUP(TBL_USUARIOS[[#This Row],[ID_MASSA]],tbl_de_massas[id_massa],tbl_de_massas[saldo_conta],"--",0,1)</f>
        <v>10000</v>
      </c>
      <c r="H221" t="str">
        <f>_xlfn.XLOOKUP(TBL_USUARIOS[[#This Row],[ID_MASSA]],tbl_de_massas[id_massa],tbl_de_massas[nome_completo],"--",0,1)</f>
        <v>Ana Luiza Nogueira</v>
      </c>
    </row>
    <row r="222" spans="1:8" x14ac:dyDescent="0.25">
      <c r="A222" s="2" t="s">
        <v>2242</v>
      </c>
      <c r="B222" s="14" t="str">
        <f>_xlfn.XLOOKUP(TBL_USUARIOS[[#This Row],[ID_MASSA]],tbl_de_massas[id_massa],tbl_de_massas[cpf],"--",0,1)</f>
        <v>34814029705</v>
      </c>
      <c r="C222" t="s">
        <v>12</v>
      </c>
      <c r="D222" t="str">
        <f>_xlfn.XLOOKUP(TBL_USUARIOS[[#This Row],[ID_MASSA]],tbl_de_massas[id_massa],tbl_de_massas[nome_completo],"--",0,1)</f>
        <v>Enzo Costa</v>
      </c>
      <c r="E222" t="str">
        <f>_xlfn.XLOOKUP(TBL_USUARIOS[[#This Row],[ID_MASSA]],tbl_de_massas[id_massa],tbl_de_massas[cartao_fisico_numero],"--",0,1)</f>
        <v>5185 4460 6531 8322</v>
      </c>
      <c r="F222" t="str">
        <f>_xlfn.XLOOKUP(TBL_USUARIOS[[#This Row],[ID_MASSA]],tbl_de_massas[id_massa],tbl_de_massas[nome_completo],"--",0,1)</f>
        <v>Enzo Costa</v>
      </c>
      <c r="G222" s="47">
        <f>_xlfn.XLOOKUP(TBL_USUARIOS[[#This Row],[ID_MASSA]],tbl_de_massas[id_massa],tbl_de_massas[saldo_conta],"--",0,1)</f>
        <v>10000</v>
      </c>
      <c r="H222" t="str">
        <f>_xlfn.XLOOKUP(TBL_USUARIOS[[#This Row],[ID_MASSA]],tbl_de_massas[id_massa],tbl_de_massas[nome_completo],"--",0,1)</f>
        <v>Enzo Costa</v>
      </c>
    </row>
    <row r="223" spans="1:8" x14ac:dyDescent="0.25">
      <c r="A223" s="2" t="s">
        <v>2243</v>
      </c>
      <c r="B223" s="14" t="str">
        <f>_xlfn.XLOOKUP(TBL_USUARIOS[[#This Row],[ID_MASSA]],tbl_de_massas[id_massa],tbl_de_massas[cpf],"--",0,1)</f>
        <v>43316626409</v>
      </c>
      <c r="C223" t="s">
        <v>12</v>
      </c>
      <c r="D223" t="str">
        <f>_xlfn.XLOOKUP(TBL_USUARIOS[[#This Row],[ID_MASSA]],tbl_de_massas[id_massa],tbl_de_massas[nome_completo],"--",0,1)</f>
        <v>Samuel Carvalho</v>
      </c>
      <c r="E223" t="str">
        <f>_xlfn.XLOOKUP(TBL_USUARIOS[[#This Row],[ID_MASSA]],tbl_de_massas[id_massa],tbl_de_massas[cartao_fisico_numero],"--",0,1)</f>
        <v>5442 7460 3547 2177</v>
      </c>
      <c r="F223" t="str">
        <f>_xlfn.XLOOKUP(TBL_USUARIOS[[#This Row],[ID_MASSA]],tbl_de_massas[id_massa],tbl_de_massas[nome_completo],"--",0,1)</f>
        <v>Samuel Carvalho</v>
      </c>
      <c r="G223" s="47">
        <f>_xlfn.XLOOKUP(TBL_USUARIOS[[#This Row],[ID_MASSA]],tbl_de_massas[id_massa],tbl_de_massas[saldo_conta],"--",0,1)</f>
        <v>10000</v>
      </c>
      <c r="H223" t="str">
        <f>_xlfn.XLOOKUP(TBL_USUARIOS[[#This Row],[ID_MASSA]],tbl_de_massas[id_massa],tbl_de_massas[nome_completo],"--",0,1)</f>
        <v>Samuel Carvalho</v>
      </c>
    </row>
    <row r="224" spans="1:8" x14ac:dyDescent="0.25">
      <c r="A224" s="2" t="s">
        <v>2244</v>
      </c>
      <c r="B224" s="14" t="str">
        <f>_xlfn.XLOOKUP(TBL_USUARIOS[[#This Row],[ID_MASSA]],tbl_de_massas[id_massa],tbl_de_massas[cpf],"--",0,1)</f>
        <v>63566545708</v>
      </c>
      <c r="C224" t="s">
        <v>12</v>
      </c>
      <c r="D224" t="str">
        <f>_xlfn.XLOOKUP(TBL_USUARIOS[[#This Row],[ID_MASSA]],tbl_de_massas[id_massa],tbl_de_massas[nome_completo],"--",0,1)</f>
        <v>Marcia Santos</v>
      </c>
      <c r="E224" t="str">
        <f>_xlfn.XLOOKUP(TBL_USUARIOS[[#This Row],[ID_MASSA]],tbl_de_massas[id_massa],tbl_de_massas[cartao_fisico_numero],"--",0,1)</f>
        <v>5364 2660 5531 3197</v>
      </c>
      <c r="F224" t="str">
        <f>_xlfn.XLOOKUP(TBL_USUARIOS[[#This Row],[ID_MASSA]],tbl_de_massas[id_massa],tbl_de_massas[nome_completo],"--",0,1)</f>
        <v>Marcia Santos</v>
      </c>
      <c r="G224" s="47">
        <f>_xlfn.XLOOKUP(TBL_USUARIOS[[#This Row],[ID_MASSA]],tbl_de_massas[id_massa],tbl_de_massas[saldo_conta],"--",0,1)</f>
        <v>10000</v>
      </c>
      <c r="H224" t="str">
        <f>_xlfn.XLOOKUP(TBL_USUARIOS[[#This Row],[ID_MASSA]],tbl_de_massas[id_massa],tbl_de_massas[nome_completo],"--",0,1)</f>
        <v>Marcia Santos</v>
      </c>
    </row>
    <row r="225" spans="1:8" x14ac:dyDescent="0.25">
      <c r="A225" s="2" t="s">
        <v>2245</v>
      </c>
      <c r="B225" s="14" t="str">
        <f>_xlfn.XLOOKUP(TBL_USUARIOS[[#This Row],[ID_MASSA]],tbl_de_massas[id_massa],tbl_de_massas[cpf],"--",0,1)</f>
        <v>73511641500</v>
      </c>
      <c r="C225" t="s">
        <v>12</v>
      </c>
      <c r="D225" t="str">
        <f>_xlfn.XLOOKUP(TBL_USUARIOS[[#This Row],[ID_MASSA]],tbl_de_massas[id_massa],tbl_de_massas[nome_completo],"--",0,1)</f>
        <v>Lucca Macedo</v>
      </c>
      <c r="E225" t="str">
        <f>_xlfn.XLOOKUP(TBL_USUARIOS[[#This Row],[ID_MASSA]],tbl_de_massas[id_massa],tbl_de_massas[cartao_fisico_numero],"--",0,1)</f>
        <v>5185 4460 2551 9506</v>
      </c>
      <c r="F225" t="str">
        <f>_xlfn.XLOOKUP(TBL_USUARIOS[[#This Row],[ID_MASSA]],tbl_de_massas[id_massa],tbl_de_massas[nome_completo],"--",0,1)</f>
        <v>Lucca Macedo</v>
      </c>
      <c r="G225" s="47">
        <f>_xlfn.XLOOKUP(TBL_USUARIOS[[#This Row],[ID_MASSA]],tbl_de_massas[id_massa],tbl_de_massas[saldo_conta],"--",0,1)</f>
        <v>10000</v>
      </c>
      <c r="H225" t="str">
        <f>_xlfn.XLOOKUP(TBL_USUARIOS[[#This Row],[ID_MASSA]],tbl_de_massas[id_massa],tbl_de_massas[nome_completo],"--",0,1)</f>
        <v>Lucca Macedo</v>
      </c>
    </row>
    <row r="226" spans="1:8" x14ac:dyDescent="0.25">
      <c r="A226" s="2" t="s">
        <v>2246</v>
      </c>
      <c r="B226" s="14" t="str">
        <f>_xlfn.XLOOKUP(TBL_USUARIOS[[#This Row],[ID_MASSA]],tbl_de_massas[id_massa],tbl_de_massas[cpf],"--",0,1)</f>
        <v>93784945015</v>
      </c>
      <c r="C226" t="s">
        <v>12</v>
      </c>
      <c r="D226" t="str">
        <f>_xlfn.XLOOKUP(TBL_USUARIOS[[#This Row],[ID_MASSA]],tbl_de_massas[id_massa],tbl_de_massas[nome_completo],"--",0,1)</f>
        <v>Margarida Martins</v>
      </c>
      <c r="E226" t="str">
        <f>_xlfn.XLOOKUP(TBL_USUARIOS[[#This Row],[ID_MASSA]],tbl_de_massas[id_massa],tbl_de_massas[cartao_fisico_numero],"--",0,1)</f>
        <v>5442 7460 5748 2658</v>
      </c>
      <c r="F226" t="str">
        <f>_xlfn.XLOOKUP(TBL_USUARIOS[[#This Row],[ID_MASSA]],tbl_de_massas[id_massa],tbl_de_massas[nome_completo],"--",0,1)</f>
        <v>Margarida Martins</v>
      </c>
      <c r="G226" s="47">
        <f>_xlfn.XLOOKUP(TBL_USUARIOS[[#This Row],[ID_MASSA]],tbl_de_massas[id_massa],tbl_de_massas[saldo_conta],"--",0,1)</f>
        <v>10000</v>
      </c>
      <c r="H226" t="str">
        <f>_xlfn.XLOOKUP(TBL_USUARIOS[[#This Row],[ID_MASSA]],tbl_de_massas[id_massa],tbl_de_massas[nome_completo],"--",0,1)</f>
        <v>Margarida Martins</v>
      </c>
    </row>
    <row r="227" spans="1:8" x14ac:dyDescent="0.25">
      <c r="A227" s="2" t="s">
        <v>2247</v>
      </c>
      <c r="B227" s="14" t="str">
        <f>_xlfn.XLOOKUP(TBL_USUARIOS[[#This Row],[ID_MASSA]],tbl_de_massas[id_massa],tbl_de_massas[cpf],"--",0,1)</f>
        <v>25433185508</v>
      </c>
      <c r="C227" t="s">
        <v>12</v>
      </c>
      <c r="D227" t="str">
        <f>_xlfn.XLOOKUP(TBL_USUARIOS[[#This Row],[ID_MASSA]],tbl_de_massas[id_massa],tbl_de_massas[nome_completo],"--",0,1)</f>
        <v>Benjamin Macedo</v>
      </c>
      <c r="E227" t="str">
        <f>_xlfn.XLOOKUP(TBL_USUARIOS[[#This Row],[ID_MASSA]],tbl_de_massas[id_massa],tbl_de_massas[cartao_fisico_numero],"--",0,1)</f>
        <v>5442 7460 4207 9262</v>
      </c>
      <c r="F227" t="str">
        <f>_xlfn.XLOOKUP(TBL_USUARIOS[[#This Row],[ID_MASSA]],tbl_de_massas[id_massa],tbl_de_massas[nome_completo],"--",0,1)</f>
        <v>Benjamin Macedo</v>
      </c>
      <c r="G227" s="47">
        <f>_xlfn.XLOOKUP(TBL_USUARIOS[[#This Row],[ID_MASSA]],tbl_de_massas[id_massa],tbl_de_massas[saldo_conta],"--",0,1)</f>
        <v>10000</v>
      </c>
      <c r="H227" t="str">
        <f>_xlfn.XLOOKUP(TBL_USUARIOS[[#This Row],[ID_MASSA]],tbl_de_massas[id_massa],tbl_de_massas[nome_completo],"--",0,1)</f>
        <v>Benjamin Macedo</v>
      </c>
    </row>
    <row r="228" spans="1:8" x14ac:dyDescent="0.25">
      <c r="A228" s="2" t="s">
        <v>2248</v>
      </c>
      <c r="B228" s="14" t="str">
        <f>_xlfn.XLOOKUP(TBL_USUARIOS[[#This Row],[ID_MASSA]],tbl_de_massas[id_massa],tbl_de_massas[cpf],"--",0,1)</f>
        <v>89602248718</v>
      </c>
      <c r="C228" t="s">
        <v>12</v>
      </c>
      <c r="D228" t="str">
        <f>_xlfn.XLOOKUP(TBL_USUARIOS[[#This Row],[ID_MASSA]],tbl_de_massas[id_massa],tbl_de_massas[nome_completo],"--",0,1)</f>
        <v>Isabel Silva</v>
      </c>
      <c r="E228" t="str">
        <f>_xlfn.XLOOKUP(TBL_USUARIOS[[#This Row],[ID_MASSA]],tbl_de_massas[id_massa],tbl_de_massas[cartao_fisico_numero],"--",0,1)</f>
        <v>5364 2660 8793 9167</v>
      </c>
      <c r="F228" t="str">
        <f>_xlfn.XLOOKUP(TBL_USUARIOS[[#This Row],[ID_MASSA]],tbl_de_massas[id_massa],tbl_de_massas[nome_completo],"--",0,1)</f>
        <v>Isabel Silva</v>
      </c>
      <c r="G228" s="47">
        <f>_xlfn.XLOOKUP(TBL_USUARIOS[[#This Row],[ID_MASSA]],tbl_de_massas[id_massa],tbl_de_massas[saldo_conta],"--",0,1)</f>
        <v>10000</v>
      </c>
      <c r="H228" t="str">
        <f>_xlfn.XLOOKUP(TBL_USUARIOS[[#This Row],[ID_MASSA]],tbl_de_massas[id_massa],tbl_de_massas[nome_completo],"--",0,1)</f>
        <v>Isabel Silva</v>
      </c>
    </row>
    <row r="229" spans="1:8" x14ac:dyDescent="0.25">
      <c r="A229" s="2" t="s">
        <v>2249</v>
      </c>
      <c r="B229" s="14" t="str">
        <f>_xlfn.XLOOKUP(TBL_USUARIOS[[#This Row],[ID_MASSA]],tbl_de_massas[id_massa],tbl_de_massas[cpf],"--",0,1)</f>
        <v>57070650914</v>
      </c>
      <c r="C229" t="s">
        <v>12</v>
      </c>
      <c r="D229" t="str">
        <f>_xlfn.XLOOKUP(TBL_USUARIOS[[#This Row],[ID_MASSA]],tbl_de_massas[id_massa],tbl_de_massas[nome_completo],"--",0,1)</f>
        <v>Felicia Costa</v>
      </c>
      <c r="E229" t="str">
        <f>_xlfn.XLOOKUP(TBL_USUARIOS[[#This Row],[ID_MASSA]],tbl_de_massas[id_massa],tbl_de_massas[cartao_fisico_numero],"--",0,1)</f>
        <v>5185 4460 8124 4130</v>
      </c>
      <c r="F229" t="str">
        <f>_xlfn.XLOOKUP(TBL_USUARIOS[[#This Row],[ID_MASSA]],tbl_de_massas[id_massa],tbl_de_massas[nome_completo],"--",0,1)</f>
        <v>Felicia Costa</v>
      </c>
      <c r="G229" s="47">
        <f>_xlfn.XLOOKUP(TBL_USUARIOS[[#This Row],[ID_MASSA]],tbl_de_massas[id_massa],tbl_de_massas[saldo_conta],"--",0,1)</f>
        <v>10000</v>
      </c>
      <c r="H229" t="str">
        <f>_xlfn.XLOOKUP(TBL_USUARIOS[[#This Row],[ID_MASSA]],tbl_de_massas[id_massa],tbl_de_massas[nome_completo],"--",0,1)</f>
        <v>Felicia Costa</v>
      </c>
    </row>
    <row r="230" spans="1:8" x14ac:dyDescent="0.25">
      <c r="A230" s="2" t="s">
        <v>2250</v>
      </c>
      <c r="B230" s="14" t="str">
        <f>_xlfn.XLOOKUP(TBL_USUARIOS[[#This Row],[ID_MASSA]],tbl_de_massas[id_massa],tbl_de_massas[cpf],"--",0,1)</f>
        <v>84688882300</v>
      </c>
      <c r="C230" t="s">
        <v>12</v>
      </c>
      <c r="D230" t="str">
        <f>_xlfn.XLOOKUP(TBL_USUARIOS[[#This Row],[ID_MASSA]],tbl_de_massas[id_massa],tbl_de_massas[nome_completo],"--",0,1)</f>
        <v>Lucca Martins</v>
      </c>
      <c r="E230" t="str">
        <f>_xlfn.XLOOKUP(TBL_USUARIOS[[#This Row],[ID_MASSA]],tbl_de_massas[id_massa],tbl_de_massas[cartao_fisico_numero],"--",0,1)</f>
        <v>5442 7460 0195 2657</v>
      </c>
      <c r="F230" t="str">
        <f>_xlfn.XLOOKUP(TBL_USUARIOS[[#This Row],[ID_MASSA]],tbl_de_massas[id_massa],tbl_de_massas[nome_completo],"--",0,1)</f>
        <v>Lucca Martins</v>
      </c>
      <c r="G230" s="47">
        <f>_xlfn.XLOOKUP(TBL_USUARIOS[[#This Row],[ID_MASSA]],tbl_de_massas[id_massa],tbl_de_massas[saldo_conta],"--",0,1)</f>
        <v>10000</v>
      </c>
      <c r="H230" t="str">
        <f>_xlfn.XLOOKUP(TBL_USUARIOS[[#This Row],[ID_MASSA]],tbl_de_massas[id_massa],tbl_de_massas[nome_completo],"--",0,1)</f>
        <v>Lucca Martins</v>
      </c>
    </row>
    <row r="231" spans="1:8" x14ac:dyDescent="0.25">
      <c r="A231" s="2" t="s">
        <v>2251</v>
      </c>
      <c r="B231" s="14" t="str">
        <f>_xlfn.XLOOKUP(TBL_USUARIOS[[#This Row],[ID_MASSA]],tbl_de_massas[id_massa],tbl_de_massas[cpf],"--",0,1)</f>
        <v>54451216311</v>
      </c>
      <c r="C231" t="s">
        <v>12</v>
      </c>
      <c r="D231" t="str">
        <f>_xlfn.XLOOKUP(TBL_USUARIOS[[#This Row],[ID_MASSA]],tbl_de_massas[id_massa],tbl_de_massas[nome_completo],"--",0,1)</f>
        <v>Joao Miguel Franco</v>
      </c>
      <c r="E231" t="str">
        <f>_xlfn.XLOOKUP(TBL_USUARIOS[[#This Row],[ID_MASSA]],tbl_de_massas[id_massa],tbl_de_massas[cartao_fisico_numero],"--",0,1)</f>
        <v>5364 2660 0630 5144</v>
      </c>
      <c r="F231" t="str">
        <f>_xlfn.XLOOKUP(TBL_USUARIOS[[#This Row],[ID_MASSA]],tbl_de_massas[id_massa],tbl_de_massas[nome_completo],"--",0,1)</f>
        <v>Joao Miguel Franco</v>
      </c>
      <c r="G231" s="47">
        <f>_xlfn.XLOOKUP(TBL_USUARIOS[[#This Row],[ID_MASSA]],tbl_de_massas[id_massa],tbl_de_massas[saldo_conta],"--",0,1)</f>
        <v>10000</v>
      </c>
      <c r="H231" t="str">
        <f>_xlfn.XLOOKUP(TBL_USUARIOS[[#This Row],[ID_MASSA]],tbl_de_massas[id_massa],tbl_de_massas[nome_completo],"--",0,1)</f>
        <v>Joao Miguel Franco</v>
      </c>
    </row>
    <row r="232" spans="1:8" x14ac:dyDescent="0.25">
      <c r="A232" s="2" t="s">
        <v>2252</v>
      </c>
      <c r="B232" s="14" t="str">
        <f>_xlfn.XLOOKUP(TBL_USUARIOS[[#This Row],[ID_MASSA]],tbl_de_massas[id_massa],tbl_de_massas[cpf],"--",0,1)</f>
        <v>23915031801</v>
      </c>
      <c r="C232" t="s">
        <v>12</v>
      </c>
      <c r="D232" t="str">
        <f>_xlfn.XLOOKUP(TBL_USUARIOS[[#This Row],[ID_MASSA]],tbl_de_massas[id_massa],tbl_de_massas[nome_completo],"--",0,1)</f>
        <v>Liz Batista</v>
      </c>
      <c r="E232" t="str">
        <f>_xlfn.XLOOKUP(TBL_USUARIOS[[#This Row],[ID_MASSA]],tbl_de_massas[id_massa],tbl_de_massas[cartao_fisico_numero],"--",0,1)</f>
        <v>5364 2660 3743 2404</v>
      </c>
      <c r="F232" t="str">
        <f>_xlfn.XLOOKUP(TBL_USUARIOS[[#This Row],[ID_MASSA]],tbl_de_massas[id_massa],tbl_de_massas[nome_completo],"--",0,1)</f>
        <v>Liz Batista</v>
      </c>
      <c r="G232" s="47">
        <f>_xlfn.XLOOKUP(TBL_USUARIOS[[#This Row],[ID_MASSA]],tbl_de_massas[id_massa],tbl_de_massas[saldo_conta],"--",0,1)</f>
        <v>10000</v>
      </c>
      <c r="H232" t="str">
        <f>_xlfn.XLOOKUP(TBL_USUARIOS[[#This Row],[ID_MASSA]],tbl_de_massas[id_massa],tbl_de_massas[nome_completo],"--",0,1)</f>
        <v>Liz Batista</v>
      </c>
    </row>
    <row r="233" spans="1:8" x14ac:dyDescent="0.25">
      <c r="A233" s="2" t="s">
        <v>2359</v>
      </c>
      <c r="B233" s="14" t="str">
        <f>_xlfn.XLOOKUP(TBL_USUARIOS[[#This Row],[ID_MASSA]],tbl_de_massas[id_massa],tbl_de_massas[cpf],"--",0,1)</f>
        <v>38780699103</v>
      </c>
      <c r="C233" t="s">
        <v>12</v>
      </c>
      <c r="D233" t="str">
        <f>_xlfn.XLOOKUP(TBL_USUARIOS[[#This Row],[ID_MASSA]],tbl_de_massas[id_massa],tbl_de_massas[nome_completo],"--",0,1)</f>
        <v>Fabricia Souza</v>
      </c>
      <c r="E233" t="str">
        <f>_xlfn.XLOOKUP(TBL_USUARIOS[[#This Row],[ID_MASSA]],tbl_de_massas[id_massa],tbl_de_massas[cartao_fisico_numero],"--",0,1)</f>
        <v>5442 7460 6561 9937</v>
      </c>
      <c r="F233" t="str">
        <f>_xlfn.XLOOKUP(TBL_USUARIOS[[#This Row],[ID_MASSA]],tbl_de_massas[id_massa],tbl_de_massas[nome_completo],"--",0,1)</f>
        <v>Fabricia Souza</v>
      </c>
      <c r="G233" s="47">
        <f>_xlfn.XLOOKUP(TBL_USUARIOS[[#This Row],[ID_MASSA]],tbl_de_massas[id_massa],tbl_de_massas[saldo_conta],"--",0,1)</f>
        <v>10000</v>
      </c>
      <c r="H233" t="str">
        <f>_xlfn.XLOOKUP(TBL_USUARIOS[[#This Row],[ID_MASSA]],tbl_de_massas[id_massa],tbl_de_massas[nome_completo],"--",0,1)</f>
        <v>Fabricia Souza</v>
      </c>
    </row>
    <row r="234" spans="1:8" x14ac:dyDescent="0.25">
      <c r="A234" s="2" t="s">
        <v>2360</v>
      </c>
      <c r="B234" s="14" t="str">
        <f>_xlfn.XLOOKUP(TBL_USUARIOS[[#This Row],[ID_MASSA]],tbl_de_massas[id_massa],tbl_de_massas[cpf],"--",0,1)</f>
        <v>27146712338</v>
      </c>
      <c r="C234" t="s">
        <v>12</v>
      </c>
      <c r="D234" t="str">
        <f>_xlfn.XLOOKUP(TBL_USUARIOS[[#This Row],[ID_MASSA]],tbl_de_massas[id_massa],tbl_de_massas[nome_completo],"--",0,1)</f>
        <v>Lucas Oliveira</v>
      </c>
      <c r="E234" t="str">
        <f>_xlfn.XLOOKUP(TBL_USUARIOS[[#This Row],[ID_MASSA]],tbl_de_massas[id_massa],tbl_de_massas[cartao_fisico_numero],"--",0,1)</f>
        <v>5442 7460 0832 9024</v>
      </c>
      <c r="F234" t="str">
        <f>_xlfn.XLOOKUP(TBL_USUARIOS[[#This Row],[ID_MASSA]],tbl_de_massas[id_massa],tbl_de_massas[nome_completo],"--",0,1)</f>
        <v>Lucas Oliveira</v>
      </c>
      <c r="G234" s="47">
        <f>_xlfn.XLOOKUP(TBL_USUARIOS[[#This Row],[ID_MASSA]],tbl_de_massas[id_massa],tbl_de_massas[saldo_conta],"--",0,1)</f>
        <v>10000</v>
      </c>
      <c r="H234" t="str">
        <f>_xlfn.XLOOKUP(TBL_USUARIOS[[#This Row],[ID_MASSA]],tbl_de_massas[id_massa],tbl_de_massas[nome_completo],"--",0,1)</f>
        <v>Lucas Oliveira</v>
      </c>
    </row>
    <row r="235" spans="1:8" x14ac:dyDescent="0.25">
      <c r="A235" s="2" t="s">
        <v>2361</v>
      </c>
      <c r="B235" s="14" t="str">
        <f>_xlfn.XLOOKUP(TBL_USUARIOS[[#This Row],[ID_MASSA]],tbl_de_massas[id_massa],tbl_de_massas[cpf],"--",0,1)</f>
        <v>12388853222</v>
      </c>
      <c r="C235" t="s">
        <v>12</v>
      </c>
      <c r="D235" t="str">
        <f>_xlfn.XLOOKUP(TBL_USUARIOS[[#This Row],[ID_MASSA]],tbl_de_massas[id_massa],tbl_de_massas[nome_completo],"--",0,1)</f>
        <v>Daniel Costa</v>
      </c>
      <c r="E235" t="str">
        <f>_xlfn.XLOOKUP(TBL_USUARIOS[[#This Row],[ID_MASSA]],tbl_de_massas[id_massa],tbl_de_massas[cartao_fisico_numero],"--",0,1)</f>
        <v>5185 4460 0766 9386</v>
      </c>
      <c r="F235" t="str">
        <f>_xlfn.XLOOKUP(TBL_USUARIOS[[#This Row],[ID_MASSA]],tbl_de_massas[id_massa],tbl_de_massas[nome_completo],"--",0,1)</f>
        <v>Daniel Costa</v>
      </c>
      <c r="G235" s="47">
        <f>_xlfn.XLOOKUP(TBL_USUARIOS[[#This Row],[ID_MASSA]],tbl_de_massas[id_massa],tbl_de_massas[saldo_conta],"--",0,1)</f>
        <v>10000</v>
      </c>
      <c r="H235" t="str">
        <f>_xlfn.XLOOKUP(TBL_USUARIOS[[#This Row],[ID_MASSA]],tbl_de_massas[id_massa],tbl_de_massas[nome_completo],"--",0,1)</f>
        <v>Daniel Costa</v>
      </c>
    </row>
    <row r="236" spans="1:8" x14ac:dyDescent="0.25">
      <c r="A236" s="2" t="s">
        <v>2385</v>
      </c>
      <c r="B236" s="14" t="str">
        <f>_xlfn.XLOOKUP(TBL_USUARIOS[[#This Row],[ID_MASSA]],tbl_de_massas[id_massa],tbl_de_massas[cpf],"--",0,1)</f>
        <v>03665706173</v>
      </c>
      <c r="C236" t="s">
        <v>12</v>
      </c>
      <c r="D236" t="str">
        <f>_xlfn.XLOOKUP(TBL_USUARIOS[[#This Row],[ID_MASSA]],tbl_de_massas[id_massa],tbl_de_massas[nome_completo],"--",0,1)</f>
        <v>Suelen Oliveira</v>
      </c>
      <c r="E236" t="str">
        <f>_xlfn.XLOOKUP(TBL_USUARIOS[[#This Row],[ID_MASSA]],tbl_de_massas[id_massa],tbl_de_massas[cartao_fisico_numero],"--",0,1)</f>
        <v>5185 4460 5544 6257</v>
      </c>
      <c r="F236" t="str">
        <f>_xlfn.XLOOKUP(TBL_USUARIOS[[#This Row],[ID_MASSA]],tbl_de_massas[id_massa],tbl_de_massas[nome_completo],"--",0,1)</f>
        <v>Suelen Oliveira</v>
      </c>
      <c r="G236" s="47">
        <f>_xlfn.XLOOKUP(TBL_USUARIOS[[#This Row],[ID_MASSA]],tbl_de_massas[id_massa],tbl_de_massas[saldo_conta],"--",0,1)</f>
        <v>10000</v>
      </c>
      <c r="H236" t="str">
        <f>_xlfn.XLOOKUP(TBL_USUARIOS[[#This Row],[ID_MASSA]],tbl_de_massas[id_massa],tbl_de_massas[nome_completo],"--",0,1)</f>
        <v>Suelen Oliveira</v>
      </c>
    </row>
    <row r="237" spans="1:8" x14ac:dyDescent="0.25">
      <c r="A237" s="2" t="s">
        <v>2386</v>
      </c>
      <c r="B237" s="14" t="str">
        <f>_xlfn.XLOOKUP(TBL_USUARIOS[[#This Row],[ID_MASSA]],tbl_de_massas[id_massa],tbl_de_massas[cpf],"--",0,1)</f>
        <v>92226402250</v>
      </c>
      <c r="C237" t="s">
        <v>12</v>
      </c>
      <c r="D237" t="str">
        <f>_xlfn.XLOOKUP(TBL_USUARIOS[[#This Row],[ID_MASSA]],tbl_de_massas[id_massa],tbl_de_massas[nome_completo],"--",0,1)</f>
        <v>Marina Carvalho</v>
      </c>
      <c r="E237" t="str">
        <f>_xlfn.XLOOKUP(TBL_USUARIOS[[#This Row],[ID_MASSA]],tbl_de_massas[id_massa],tbl_de_massas[cartao_fisico_numero],"--",0,1)</f>
        <v>5364 2660 1905 5884</v>
      </c>
      <c r="F237" t="str">
        <f>_xlfn.XLOOKUP(TBL_USUARIOS[[#This Row],[ID_MASSA]],tbl_de_massas[id_massa],tbl_de_massas[nome_completo],"--",0,1)</f>
        <v>Marina Carvalho</v>
      </c>
      <c r="G237" s="47">
        <f>_xlfn.XLOOKUP(TBL_USUARIOS[[#This Row],[ID_MASSA]],tbl_de_massas[id_massa],tbl_de_massas[saldo_conta],"--",0,1)</f>
        <v>10000</v>
      </c>
      <c r="H237" t="str">
        <f>_xlfn.XLOOKUP(TBL_USUARIOS[[#This Row],[ID_MASSA]],tbl_de_massas[id_massa],tbl_de_massas[nome_completo],"--",0,1)</f>
        <v>Marina Carvalho</v>
      </c>
    </row>
    <row r="238" spans="1:8" x14ac:dyDescent="0.25">
      <c r="A238" s="2" t="s">
        <v>2387</v>
      </c>
      <c r="B238" s="14" t="str">
        <f>_xlfn.XLOOKUP(TBL_USUARIOS[[#This Row],[ID_MASSA]],tbl_de_massas[id_massa],tbl_de_massas[cpf],"--",0,1)</f>
        <v>98362511206</v>
      </c>
      <c r="C238" t="s">
        <v>12</v>
      </c>
      <c r="D238" t="str">
        <f>_xlfn.XLOOKUP(TBL_USUARIOS[[#This Row],[ID_MASSA]],tbl_de_massas[id_massa],tbl_de_massas[nome_completo],"--",0,1)</f>
        <v>Maria Santos</v>
      </c>
      <c r="E238" t="str">
        <f>_xlfn.XLOOKUP(TBL_USUARIOS[[#This Row],[ID_MASSA]],tbl_de_massas[id_massa],tbl_de_massas[cartao_fisico_numero],"--",0,1)</f>
        <v>5364 2660 1540 4490</v>
      </c>
      <c r="F238" t="str">
        <f>_xlfn.XLOOKUP(TBL_USUARIOS[[#This Row],[ID_MASSA]],tbl_de_massas[id_massa],tbl_de_massas[nome_completo],"--",0,1)</f>
        <v>Maria Santos</v>
      </c>
      <c r="G238" s="47">
        <f>_xlfn.XLOOKUP(TBL_USUARIOS[[#This Row],[ID_MASSA]],tbl_de_massas[id_massa],tbl_de_massas[saldo_conta],"--",0,1)</f>
        <v>10000</v>
      </c>
      <c r="H238" t="str">
        <f>_xlfn.XLOOKUP(TBL_USUARIOS[[#This Row],[ID_MASSA]],tbl_de_massas[id_massa],tbl_de_massas[nome_completo],"--",0,1)</f>
        <v>Maria Santos</v>
      </c>
    </row>
    <row r="239" spans="1:8" x14ac:dyDescent="0.25">
      <c r="A239" s="2" t="s">
        <v>2388</v>
      </c>
      <c r="B239" s="14" t="str">
        <f>_xlfn.XLOOKUP(TBL_USUARIOS[[#This Row],[ID_MASSA]],tbl_de_massas[id_massa],tbl_de_massas[cpf],"--",0,1)</f>
        <v>01424679958</v>
      </c>
      <c r="C239" t="s">
        <v>12</v>
      </c>
      <c r="D239" t="str">
        <f>_xlfn.XLOOKUP(TBL_USUARIOS[[#This Row],[ID_MASSA]],tbl_de_massas[id_massa],tbl_de_massas[nome_completo],"--",0,1)</f>
        <v>Henrique Moraes</v>
      </c>
      <c r="E239" t="str">
        <f>_xlfn.XLOOKUP(TBL_USUARIOS[[#This Row],[ID_MASSA]],tbl_de_massas[id_massa],tbl_de_massas[cartao_fisico_numero],"--",0,1)</f>
        <v>5373 6360 3167 0911</v>
      </c>
      <c r="F239" t="str">
        <f>_xlfn.XLOOKUP(TBL_USUARIOS[[#This Row],[ID_MASSA]],tbl_de_massas[id_massa],tbl_de_massas[nome_completo],"--",0,1)</f>
        <v>Henrique Moraes</v>
      </c>
      <c r="G239" s="47">
        <f>_xlfn.XLOOKUP(TBL_USUARIOS[[#This Row],[ID_MASSA]],tbl_de_massas[id_massa],tbl_de_massas[saldo_conta],"--",0,1)</f>
        <v>10000</v>
      </c>
      <c r="H239" t="str">
        <f>_xlfn.XLOOKUP(TBL_USUARIOS[[#This Row],[ID_MASSA]],tbl_de_massas[id_massa],tbl_de_massas[nome_completo],"--",0,1)</f>
        <v>Henrique Moraes</v>
      </c>
    </row>
    <row r="240" spans="1:8" x14ac:dyDescent="0.25">
      <c r="A240" s="2" t="s">
        <v>2389</v>
      </c>
      <c r="B240" s="14" t="str">
        <f>_xlfn.XLOOKUP(TBL_USUARIOS[[#This Row],[ID_MASSA]],tbl_de_massas[id_massa],tbl_de_massas[cpf],"--",0,1)</f>
        <v>56457538797</v>
      </c>
      <c r="C240" t="s">
        <v>12</v>
      </c>
      <c r="D240" t="str">
        <f>_xlfn.XLOOKUP(TBL_USUARIOS[[#This Row],[ID_MASSA]],tbl_de_massas[id_massa],tbl_de_massas[nome_completo],"--",0,1)</f>
        <v>Alexandre Costa</v>
      </c>
      <c r="E240" t="str">
        <f>_xlfn.XLOOKUP(TBL_USUARIOS[[#This Row],[ID_MASSA]],tbl_de_massas[id_massa],tbl_de_massas[cartao_fisico_numero],"--",0,1)</f>
        <v>5373 6360 3965 4669</v>
      </c>
      <c r="F240" t="str">
        <f>_xlfn.XLOOKUP(TBL_USUARIOS[[#This Row],[ID_MASSA]],tbl_de_massas[id_massa],tbl_de_massas[nome_completo],"--",0,1)</f>
        <v>Alexandre Costa</v>
      </c>
      <c r="G240" s="47">
        <f>_xlfn.XLOOKUP(TBL_USUARIOS[[#This Row],[ID_MASSA]],tbl_de_massas[id_massa],tbl_de_massas[saldo_conta],"--",0,1)</f>
        <v>10000</v>
      </c>
      <c r="H240" t="str">
        <f>_xlfn.XLOOKUP(TBL_USUARIOS[[#This Row],[ID_MASSA]],tbl_de_massas[id_massa],tbl_de_massas[nome_completo],"--",0,1)</f>
        <v>Alexandre Costa</v>
      </c>
    </row>
    <row r="241" spans="1:8" x14ac:dyDescent="0.25">
      <c r="A241" s="2" t="s">
        <v>2390</v>
      </c>
      <c r="B241" s="14" t="str">
        <f>_xlfn.XLOOKUP(TBL_USUARIOS[[#This Row],[ID_MASSA]],tbl_de_massas[id_massa],tbl_de_massas[cpf],"--",0,1)</f>
        <v>79772936330</v>
      </c>
      <c r="C241" t="s">
        <v>12</v>
      </c>
      <c r="D241" t="str">
        <f>_xlfn.XLOOKUP(TBL_USUARIOS[[#This Row],[ID_MASSA]],tbl_de_massas[id_massa],tbl_de_massas[nome_completo],"--",0,1)</f>
        <v>Ana Clara Barros</v>
      </c>
      <c r="E241" t="str">
        <f>_xlfn.XLOOKUP(TBL_USUARIOS[[#This Row],[ID_MASSA]],tbl_de_massas[id_massa],tbl_de_massas[cartao_fisico_numero],"--",0,1)</f>
        <v>5373 6360 3461 7570</v>
      </c>
      <c r="F241" t="str">
        <f>_xlfn.XLOOKUP(TBL_USUARIOS[[#This Row],[ID_MASSA]],tbl_de_massas[id_massa],tbl_de_massas[nome_completo],"--",0,1)</f>
        <v>Ana Clara Barros</v>
      </c>
      <c r="G241" s="47">
        <f>_xlfn.XLOOKUP(TBL_USUARIOS[[#This Row],[ID_MASSA]],tbl_de_massas[id_massa],tbl_de_massas[saldo_conta],"--",0,1)</f>
        <v>10000</v>
      </c>
      <c r="H241" t="str">
        <f>_xlfn.XLOOKUP(TBL_USUARIOS[[#This Row],[ID_MASSA]],tbl_de_massas[id_massa],tbl_de_massas[nome_completo],"--",0,1)</f>
        <v>Ana Clara Barros</v>
      </c>
    </row>
    <row r="242" spans="1:8" x14ac:dyDescent="0.25">
      <c r="A242" s="2" t="s">
        <v>2391</v>
      </c>
      <c r="B242" s="14" t="str">
        <f>_xlfn.XLOOKUP(TBL_USUARIOS[[#This Row],[ID_MASSA]],tbl_de_massas[id_massa],tbl_de_massas[cpf],"--",0,1)</f>
        <v>77485258974</v>
      </c>
      <c r="C242" t="s">
        <v>12</v>
      </c>
      <c r="D242" t="str">
        <f>_xlfn.XLOOKUP(TBL_USUARIOS[[#This Row],[ID_MASSA]],tbl_de_massas[id_massa],tbl_de_massas[nome_completo],"--",0,1)</f>
        <v>Nicolas Reis</v>
      </c>
      <c r="E242" t="str">
        <f>_xlfn.XLOOKUP(TBL_USUARIOS[[#This Row],[ID_MASSA]],tbl_de_massas[id_massa],tbl_de_massas[cartao_fisico_numero],"--",0,1)</f>
        <v>5185 4460 3712 0103</v>
      </c>
      <c r="F242" t="str">
        <f>_xlfn.XLOOKUP(TBL_USUARIOS[[#This Row],[ID_MASSA]],tbl_de_massas[id_massa],tbl_de_massas[nome_completo],"--",0,1)</f>
        <v>Nicolas Reis</v>
      </c>
      <c r="G242" s="47">
        <f>_xlfn.XLOOKUP(TBL_USUARIOS[[#This Row],[ID_MASSA]],tbl_de_massas[id_massa],tbl_de_massas[saldo_conta],"--",0,1)</f>
        <v>10000</v>
      </c>
      <c r="H242" t="str">
        <f>_xlfn.XLOOKUP(TBL_USUARIOS[[#This Row],[ID_MASSA]],tbl_de_massas[id_massa],tbl_de_massas[nome_completo],"--",0,1)</f>
        <v>Nicolas Reis</v>
      </c>
    </row>
    <row r="243" spans="1:8" x14ac:dyDescent="0.25">
      <c r="A243" s="2" t="s">
        <v>2392</v>
      </c>
      <c r="B243" s="14" t="str">
        <f>_xlfn.XLOOKUP(TBL_USUARIOS[[#This Row],[ID_MASSA]],tbl_de_massas[id_massa],tbl_de_massas[cpf],"--",0,1)</f>
        <v>65487063583</v>
      </c>
      <c r="C243" t="s">
        <v>12</v>
      </c>
      <c r="D243" t="str">
        <f>_xlfn.XLOOKUP(TBL_USUARIOS[[#This Row],[ID_MASSA]],tbl_de_massas[id_massa],tbl_de_massas[nome_completo],"--",0,1)</f>
        <v>Julio Xavier</v>
      </c>
      <c r="E243" t="str">
        <f>_xlfn.XLOOKUP(TBL_USUARIOS[[#This Row],[ID_MASSA]],tbl_de_massas[id_massa],tbl_de_massas[cartao_fisico_numero],"--",0,1)</f>
        <v>5373 6360 1646 7101</v>
      </c>
      <c r="F243" t="str">
        <f>_xlfn.XLOOKUP(TBL_USUARIOS[[#This Row],[ID_MASSA]],tbl_de_massas[id_massa],tbl_de_massas[nome_completo],"--",0,1)</f>
        <v>Julio Xavier</v>
      </c>
      <c r="G243" s="47">
        <f>_xlfn.XLOOKUP(TBL_USUARIOS[[#This Row],[ID_MASSA]],tbl_de_massas[id_massa],tbl_de_massas[saldo_conta],"--",0,1)</f>
        <v>10000</v>
      </c>
      <c r="H243" t="str">
        <f>_xlfn.XLOOKUP(TBL_USUARIOS[[#This Row],[ID_MASSA]],tbl_de_massas[id_massa],tbl_de_massas[nome_completo],"--",0,1)</f>
        <v>Julio Xavier</v>
      </c>
    </row>
    <row r="244" spans="1:8" x14ac:dyDescent="0.25">
      <c r="A244" s="2" t="s">
        <v>2393</v>
      </c>
      <c r="B244" s="14" t="str">
        <f>_xlfn.XLOOKUP(TBL_USUARIOS[[#This Row],[ID_MASSA]],tbl_de_massas[id_massa],tbl_de_massas[cpf],"--",0,1)</f>
        <v>88888888889</v>
      </c>
      <c r="C244" t="s">
        <v>12</v>
      </c>
      <c r="D244" t="str">
        <f>_xlfn.XLOOKUP(TBL_USUARIOS[[#This Row],[ID_MASSA]],tbl_de_massas[id_massa],tbl_de_massas[nome_completo],"--",0,1)</f>
        <v>teste teste</v>
      </c>
      <c r="E244" t="str">
        <f>_xlfn.XLOOKUP(TBL_USUARIOS[[#This Row],[ID_MASSA]],tbl_de_massas[id_massa],tbl_de_massas[cartao_fisico_numero],"--",0,1)</f>
        <v>5442 7460 6181 1207</v>
      </c>
      <c r="F244" t="str">
        <f>_xlfn.XLOOKUP(TBL_USUARIOS[[#This Row],[ID_MASSA]],tbl_de_massas[id_massa],tbl_de_massas[nome_completo],"--",0,1)</f>
        <v>teste teste</v>
      </c>
      <c r="G244" s="47">
        <f>_xlfn.XLOOKUP(TBL_USUARIOS[[#This Row],[ID_MASSA]],tbl_de_massas[id_massa],tbl_de_massas[saldo_conta],"--",0,1)</f>
        <v>10000</v>
      </c>
      <c r="H244" t="str">
        <f>_xlfn.XLOOKUP(TBL_USUARIOS[[#This Row],[ID_MASSA]],tbl_de_massas[id_massa],tbl_de_massas[nome_completo],"--",0,1)</f>
        <v>teste teste</v>
      </c>
    </row>
    <row r="245" spans="1:8" x14ac:dyDescent="0.25">
      <c r="A245" s="2" t="s">
        <v>2397</v>
      </c>
      <c r="B245" s="14" t="str">
        <f>_xlfn.XLOOKUP(TBL_USUARIOS[[#This Row],[ID_MASSA]],tbl_de_massas[id_massa],tbl_de_massas[cpf],"--",0,1)</f>
        <v>87533086465</v>
      </c>
      <c r="C245" t="s">
        <v>12</v>
      </c>
      <c r="D245" t="str">
        <f>_xlfn.XLOOKUP(TBL_USUARIOS[[#This Row],[ID_MASSA]],tbl_de_massas[id_massa],tbl_de_massas[nome_completo],"--",0,1)</f>
        <v>Heitor Martins</v>
      </c>
      <c r="E245" t="str">
        <f>_xlfn.XLOOKUP(TBL_USUARIOS[[#This Row],[ID_MASSA]],tbl_de_massas[id_massa],tbl_de_massas[cartao_fisico_numero],"--",0,1)</f>
        <v>3400 800082 82627</v>
      </c>
      <c r="F245" t="str">
        <f>_xlfn.XLOOKUP(TBL_USUARIOS[[#This Row],[ID_MASSA]],tbl_de_massas[id_massa],tbl_de_massas[nome_completo],"--",0,1)</f>
        <v>Heitor Martins</v>
      </c>
      <c r="G245" s="47">
        <f>_xlfn.XLOOKUP(TBL_USUARIOS[[#This Row],[ID_MASSA]],tbl_de_massas[id_massa],tbl_de_massas[saldo_conta],"--",0,1)</f>
        <v>10000</v>
      </c>
      <c r="H245" t="str">
        <f>_xlfn.XLOOKUP(TBL_USUARIOS[[#This Row],[ID_MASSA]],tbl_de_massas[id_massa],tbl_de_massas[nome_completo],"--",0,1)</f>
        <v>Heitor Martins</v>
      </c>
    </row>
    <row r="246" spans="1:8" x14ac:dyDescent="0.25">
      <c r="A246" s="2" t="s">
        <v>2400</v>
      </c>
      <c r="B246" s="14" t="str">
        <f>_xlfn.XLOOKUP(TBL_USUARIOS[[#This Row],[ID_MASSA]],tbl_de_massas[id_massa],tbl_de_massas[cpf],"--",0,1)</f>
        <v>37044231578</v>
      </c>
      <c r="C246" t="s">
        <v>12</v>
      </c>
      <c r="D246" t="str">
        <f>_xlfn.XLOOKUP(TBL_USUARIOS[[#This Row],[ID_MASSA]],tbl_de_massas[id_massa],tbl_de_massas[nome_completo],"--",0,1)</f>
        <v>Fabricio Braga</v>
      </c>
      <c r="E246" t="str">
        <f>_xlfn.XLOOKUP(TBL_USUARIOS[[#This Row],[ID_MASSA]],tbl_de_massas[id_massa],tbl_de_massas[cartao_fisico_numero],"--",0,1)</f>
        <v>3714 800030 22204</v>
      </c>
      <c r="F246" t="str">
        <f>_xlfn.XLOOKUP(TBL_USUARIOS[[#This Row],[ID_MASSA]],tbl_de_massas[id_massa],tbl_de_massas[nome_completo],"--",0,1)</f>
        <v>Fabricio Braga</v>
      </c>
      <c r="G246" s="47">
        <f>_xlfn.XLOOKUP(TBL_USUARIOS[[#This Row],[ID_MASSA]],tbl_de_massas[id_massa],tbl_de_massas[saldo_conta],"--",0,1)</f>
        <v>10000</v>
      </c>
      <c r="H246" t="str">
        <f>_xlfn.XLOOKUP(TBL_USUARIOS[[#This Row],[ID_MASSA]],tbl_de_massas[id_massa],tbl_de_massas[nome_completo],"--",0,1)</f>
        <v>Fabricio Braga</v>
      </c>
    </row>
    <row r="247" spans="1:8" x14ac:dyDescent="0.25">
      <c r="A247" s="2" t="s">
        <v>2401</v>
      </c>
      <c r="B247" s="14" t="str">
        <f>_xlfn.XLOOKUP(TBL_USUARIOS[[#This Row],[ID_MASSA]],tbl_de_massas[id_massa],tbl_de_massas[cpf],"--",0,1)</f>
        <v>95860922590</v>
      </c>
      <c r="C247" t="s">
        <v>12</v>
      </c>
      <c r="D247" t="str">
        <f>_xlfn.XLOOKUP(TBL_USUARIOS[[#This Row],[ID_MASSA]],tbl_de_massas[id_massa],tbl_de_massas[nome_completo],"--",0,1)</f>
        <v>Washington Oliveira</v>
      </c>
      <c r="E247" t="str">
        <f>_xlfn.XLOOKUP(TBL_USUARIOS[[#This Row],[ID_MASSA]],tbl_de_massas[id_massa],tbl_de_massas[cartao_fisico_numero],"--",0,1)</f>
        <v>6062 8200 3828 9636</v>
      </c>
      <c r="F247" t="str">
        <f>_xlfn.XLOOKUP(TBL_USUARIOS[[#This Row],[ID_MASSA]],tbl_de_massas[id_massa],tbl_de_massas[nome_completo],"--",0,1)</f>
        <v>Washington Oliveira</v>
      </c>
      <c r="G247" s="47">
        <f>_xlfn.XLOOKUP(TBL_USUARIOS[[#This Row],[ID_MASSA]],tbl_de_massas[id_massa],tbl_de_massas[saldo_conta],"--",0,1)</f>
        <v>10000</v>
      </c>
      <c r="H247" t="str">
        <f>_xlfn.XLOOKUP(TBL_USUARIOS[[#This Row],[ID_MASSA]],tbl_de_massas[id_massa],tbl_de_massas[nome_completo],"--",0,1)</f>
        <v>Washington Oliveira</v>
      </c>
    </row>
    <row r="248" spans="1:8" x14ac:dyDescent="0.25">
      <c r="A248" s="2" t="s">
        <v>2402</v>
      </c>
      <c r="B248" s="14" t="str">
        <f>_xlfn.XLOOKUP(TBL_USUARIOS[[#This Row],[ID_MASSA]],tbl_de_massas[id_massa],tbl_de_massas[cpf],"--",0,1)</f>
        <v>53043536762</v>
      </c>
      <c r="C248" t="s">
        <v>12</v>
      </c>
      <c r="D248" t="str">
        <f>_xlfn.XLOOKUP(TBL_USUARIOS[[#This Row],[ID_MASSA]],tbl_de_massas[id_massa],tbl_de_massas[nome_completo],"--",0,1)</f>
        <v>Julia Reis</v>
      </c>
      <c r="E248" t="str">
        <f>_xlfn.XLOOKUP(TBL_USUARIOS[[#This Row],[ID_MASSA]],tbl_de_massas[id_massa],tbl_de_massas[cartao_fisico_numero],"--",0,1)</f>
        <v>4576 7460 1411 7539</v>
      </c>
      <c r="F248" t="str">
        <f>_xlfn.XLOOKUP(TBL_USUARIOS[[#This Row],[ID_MASSA]],tbl_de_massas[id_massa],tbl_de_massas[nome_completo],"--",0,1)</f>
        <v>Julia Reis</v>
      </c>
      <c r="G248" s="47">
        <f>_xlfn.XLOOKUP(TBL_USUARIOS[[#This Row],[ID_MASSA]],tbl_de_massas[id_massa],tbl_de_massas[saldo_conta],"--",0,1)</f>
        <v>10000</v>
      </c>
      <c r="H248" t="str">
        <f>_xlfn.XLOOKUP(TBL_USUARIOS[[#This Row],[ID_MASSA]],tbl_de_massas[id_massa],tbl_de_massas[nome_completo],"--",0,1)</f>
        <v>Julia Reis</v>
      </c>
    </row>
    <row r="249" spans="1:8" x14ac:dyDescent="0.25">
      <c r="A249" s="2" t="s">
        <v>2407</v>
      </c>
      <c r="B249" s="14" t="str">
        <f>_xlfn.XLOOKUP(TBL_USUARIOS[[#This Row],[ID_MASSA]],tbl_de_massas[id_massa],tbl_de_massas[cpf],"--",0,1)</f>
        <v>52337380742</v>
      </c>
      <c r="C249" t="s">
        <v>12</v>
      </c>
      <c r="D249" t="str">
        <f>_xlfn.XLOOKUP(TBL_USUARIOS[[#This Row],[ID_MASSA]],tbl_de_massas[id_massa],tbl_de_massas[nome_completo],"--",0,1)</f>
        <v>Marcelo Pereira</v>
      </c>
      <c r="E249" t="str">
        <f>_xlfn.XLOOKUP(TBL_USUARIOS[[#This Row],[ID_MASSA]],tbl_de_massas[id_massa],tbl_de_massas[cartao_fisico_numero],"--",0,1)</f>
        <v>4766 0760 5262 6492</v>
      </c>
      <c r="F249" t="str">
        <f>_xlfn.XLOOKUP(TBL_USUARIOS[[#This Row],[ID_MASSA]],tbl_de_massas[id_massa],tbl_de_massas[nome_completo],"--",0,1)</f>
        <v>Marcelo Pereira</v>
      </c>
      <c r="G249" s="47">
        <f>_xlfn.XLOOKUP(TBL_USUARIOS[[#This Row],[ID_MASSA]],tbl_de_massas[id_massa],tbl_de_massas[saldo_conta],"--",0,1)</f>
        <v>10000</v>
      </c>
      <c r="H249" t="str">
        <f>_xlfn.XLOOKUP(TBL_USUARIOS[[#This Row],[ID_MASSA]],tbl_de_massas[id_massa],tbl_de_massas[nome_completo],"--",0,1)</f>
        <v>Marcelo Pereira</v>
      </c>
    </row>
    <row r="250" spans="1:8" x14ac:dyDescent="0.25">
      <c r="A250" s="2" t="s">
        <v>2409</v>
      </c>
      <c r="B250" s="14" t="str">
        <f>_xlfn.XLOOKUP(TBL_USUARIOS[[#This Row],[ID_MASSA]],tbl_de_massas[id_massa],tbl_de_massas[cpf],"--",0,1)</f>
        <v>04828847626</v>
      </c>
      <c r="C250" t="s">
        <v>12</v>
      </c>
      <c r="D250" t="str">
        <f>_xlfn.XLOOKUP(TBL_USUARIOS[[#This Row],[ID_MASSA]],tbl_de_massas[id_massa],tbl_de_massas[nome_completo],"--",0,1)</f>
        <v>Nubia Santos</v>
      </c>
      <c r="E250" t="str">
        <f>_xlfn.XLOOKUP(TBL_USUARIOS[[#This Row],[ID_MASSA]],tbl_de_massas[id_massa],tbl_de_massas[cartao_fisico_numero],"--",0,1)</f>
        <v>3787 800063 66588</v>
      </c>
      <c r="F250" t="str">
        <f>_xlfn.XLOOKUP(TBL_USUARIOS[[#This Row],[ID_MASSA]],tbl_de_massas[id_massa],tbl_de_massas[nome_completo],"--",0,1)</f>
        <v>Nubia Santos</v>
      </c>
      <c r="G250" s="47">
        <f>_xlfn.XLOOKUP(TBL_USUARIOS[[#This Row],[ID_MASSA]],tbl_de_massas[id_massa],tbl_de_massas[saldo_conta],"--",0,1)</f>
        <v>10000</v>
      </c>
      <c r="H250" t="str">
        <f>_xlfn.XLOOKUP(TBL_USUARIOS[[#This Row],[ID_MASSA]],tbl_de_massas[id_massa],tbl_de_massas[nome_completo],"--",0,1)</f>
        <v>Nubia Santos</v>
      </c>
    </row>
    <row r="251" spans="1:8" x14ac:dyDescent="0.25">
      <c r="A251" s="2" t="s">
        <v>2411</v>
      </c>
      <c r="B251" s="14" t="str">
        <f>_xlfn.XLOOKUP(TBL_USUARIOS[[#This Row],[ID_MASSA]],tbl_de_massas[id_massa],tbl_de_massas[cpf],"--",0,1)</f>
        <v>26231878783</v>
      </c>
      <c r="C251" t="s">
        <v>12</v>
      </c>
      <c r="D251" t="str">
        <f>_xlfn.XLOOKUP(TBL_USUARIOS[[#This Row],[ID_MASSA]],tbl_de_massas[id_massa],tbl_de_massas[nome_completo],"--",0,1)</f>
        <v>Rafael Saraiva</v>
      </c>
      <c r="E251" t="str">
        <f>_xlfn.XLOOKUP(TBL_USUARIOS[[#This Row],[ID_MASSA]],tbl_de_massas[id_massa],tbl_de_massas[cartao_fisico_numero],"--",0,1)</f>
        <v>6505 0666 4090 4551</v>
      </c>
      <c r="F251" t="str">
        <f>_xlfn.XLOOKUP(TBL_USUARIOS[[#This Row],[ID_MASSA]],tbl_de_massas[id_massa],tbl_de_massas[nome_completo],"--",0,1)</f>
        <v>Rafael Saraiva</v>
      </c>
      <c r="G251" s="47">
        <f>_xlfn.XLOOKUP(TBL_USUARIOS[[#This Row],[ID_MASSA]],tbl_de_massas[id_massa],tbl_de_massas[saldo_conta],"--",0,1)</f>
        <v>10000</v>
      </c>
      <c r="H251" t="str">
        <f>_xlfn.XLOOKUP(TBL_USUARIOS[[#This Row],[ID_MASSA]],tbl_de_massas[id_massa],tbl_de_massas[nome_completo],"--",0,1)</f>
        <v>Rafael Saraiva</v>
      </c>
    </row>
    <row r="252" spans="1:8" x14ac:dyDescent="0.25">
      <c r="A252" s="2" t="s">
        <v>2412</v>
      </c>
      <c r="B252" s="14" t="str">
        <f>_xlfn.XLOOKUP(TBL_USUARIOS[[#This Row],[ID_MASSA]],tbl_de_massas[id_massa],tbl_de_massas[cpf],"--",0,1)</f>
        <v>74459209438</v>
      </c>
      <c r="C252" t="s">
        <v>12</v>
      </c>
      <c r="D252" t="str">
        <f>_xlfn.XLOOKUP(TBL_USUARIOS[[#This Row],[ID_MASSA]],tbl_de_massas[id_massa],tbl_de_massas[nome_completo],"--",0,1)</f>
        <v>Isadora Moraes</v>
      </c>
      <c r="E252" t="str">
        <f>_xlfn.XLOOKUP(TBL_USUARIOS[[#This Row],[ID_MASSA]],tbl_de_massas[id_massa],tbl_de_massas[cartao_fisico_numero],"--",0,1)</f>
        <v>6370 9500 4517 7859</v>
      </c>
      <c r="F252" t="str">
        <f>_xlfn.XLOOKUP(TBL_USUARIOS[[#This Row],[ID_MASSA]],tbl_de_massas[id_massa],tbl_de_massas[nome_completo],"--",0,1)</f>
        <v>Isadora Moraes</v>
      </c>
      <c r="G252" s="47">
        <f>_xlfn.XLOOKUP(TBL_USUARIOS[[#This Row],[ID_MASSA]],tbl_de_massas[id_massa],tbl_de_massas[saldo_conta],"--",0,1)</f>
        <v>10000</v>
      </c>
      <c r="H252" t="str">
        <f>_xlfn.XLOOKUP(TBL_USUARIOS[[#This Row],[ID_MASSA]],tbl_de_massas[id_massa],tbl_de_massas[nome_completo],"--",0,1)</f>
        <v>Isadora Moraes</v>
      </c>
    </row>
    <row r="253" spans="1:8" x14ac:dyDescent="0.25">
      <c r="A253" s="2" t="s">
        <v>2413</v>
      </c>
      <c r="B253" s="14" t="str">
        <f>_xlfn.XLOOKUP(TBL_USUARIOS[[#This Row],[ID_MASSA]],tbl_de_massas[id_massa],tbl_de_massas[cpf],"--",0,1)</f>
        <v>84291097735</v>
      </c>
      <c r="C253" t="s">
        <v>12</v>
      </c>
      <c r="D253" t="str">
        <f>_xlfn.XLOOKUP(TBL_USUARIOS[[#This Row],[ID_MASSA]],tbl_de_massas[id_massa],tbl_de_massas[nome_completo],"--",0,1)</f>
        <v>Marcela Franco</v>
      </c>
      <c r="E253" t="str">
        <f>_xlfn.XLOOKUP(TBL_USUARIOS[[#This Row],[ID_MASSA]],tbl_de_massas[id_massa],tbl_de_massas[cartao_fisico_numero],"--",0,1)</f>
        <v>3714 800007 66662</v>
      </c>
      <c r="F253" t="str">
        <f>_xlfn.XLOOKUP(TBL_USUARIOS[[#This Row],[ID_MASSA]],tbl_de_massas[id_massa],tbl_de_massas[nome_completo],"--",0,1)</f>
        <v>Marcela Franco</v>
      </c>
      <c r="G253" s="47">
        <f>_xlfn.XLOOKUP(TBL_USUARIOS[[#This Row],[ID_MASSA]],tbl_de_massas[id_massa],tbl_de_massas[saldo_conta],"--",0,1)</f>
        <v>10000</v>
      </c>
      <c r="H253" t="str">
        <f>_xlfn.XLOOKUP(TBL_USUARIOS[[#This Row],[ID_MASSA]],tbl_de_massas[id_massa],tbl_de_massas[nome_completo],"--",0,1)</f>
        <v>Marcela Franco</v>
      </c>
    </row>
    <row r="254" spans="1:8" x14ac:dyDescent="0.25">
      <c r="A254" s="2" t="s">
        <v>2416</v>
      </c>
      <c r="B254" s="14" t="str">
        <f>_xlfn.XLOOKUP(TBL_USUARIOS[[#This Row],[ID_MASSA]],tbl_de_massas[id_massa],tbl_de_massas[cpf],"--",0,1)</f>
        <v>08774055496</v>
      </c>
      <c r="C254" t="s">
        <v>12</v>
      </c>
      <c r="D254" t="str">
        <f>_xlfn.XLOOKUP(TBL_USUARIOS[[#This Row],[ID_MASSA]],tbl_de_massas[id_massa],tbl_de_massas[nome_completo],"--",0,1)</f>
        <v>Elisa Silva</v>
      </c>
      <c r="E254" t="str">
        <f>_xlfn.XLOOKUP(TBL_USUARIOS[[#This Row],[ID_MASSA]],tbl_de_massas[id_massa],tbl_de_massas[cartao_fisico_numero],"--",0,1)</f>
        <v>5185 4460 6097 8021</v>
      </c>
      <c r="F254" t="str">
        <f>_xlfn.XLOOKUP(TBL_USUARIOS[[#This Row],[ID_MASSA]],tbl_de_massas[id_massa],tbl_de_massas[nome_completo],"--",0,1)</f>
        <v>Elisa Silva</v>
      </c>
      <c r="G254" s="47">
        <f>_xlfn.XLOOKUP(TBL_USUARIOS[[#This Row],[ID_MASSA]],tbl_de_massas[id_massa],tbl_de_massas[saldo_conta],"--",0,1)</f>
        <v>10000</v>
      </c>
      <c r="H254" t="str">
        <f>_xlfn.XLOOKUP(TBL_USUARIOS[[#This Row],[ID_MASSA]],tbl_de_massas[id_massa],tbl_de_massas[nome_completo],"--",0,1)</f>
        <v>Elisa Silva</v>
      </c>
    </row>
    <row r="255" spans="1:8" x14ac:dyDescent="0.25">
      <c r="A255" s="2" t="s">
        <v>2419</v>
      </c>
      <c r="B255" s="14" t="str">
        <f>_xlfn.XLOOKUP(TBL_USUARIOS[[#This Row],[ID_MASSA]],tbl_de_massas[id_massa],tbl_de_massas[cpf],"--",0,1)</f>
        <v>77962452706</v>
      </c>
      <c r="C255" t="s">
        <v>12</v>
      </c>
      <c r="D255" t="str">
        <f>_xlfn.XLOOKUP(TBL_USUARIOS[[#This Row],[ID_MASSA]],tbl_de_massas[id_massa],tbl_de_massas[nome_completo],"--",0,1)</f>
        <v>Livia Reis</v>
      </c>
      <c r="E255" t="str">
        <f>_xlfn.XLOOKUP(TBL_USUARIOS[[#This Row],[ID_MASSA]],tbl_de_massas[id_massa],tbl_de_massas[cartao_fisico_numero],"--",0,1)</f>
        <v>6505 1860 6582 0767</v>
      </c>
      <c r="F255" t="str">
        <f>_xlfn.XLOOKUP(TBL_USUARIOS[[#This Row],[ID_MASSA]],tbl_de_massas[id_massa],tbl_de_massas[nome_completo],"--",0,1)</f>
        <v>Livia Reis</v>
      </c>
      <c r="G255" s="47">
        <f>_xlfn.XLOOKUP(TBL_USUARIOS[[#This Row],[ID_MASSA]],tbl_de_massas[id_massa],tbl_de_massas[saldo_conta],"--",0,1)</f>
        <v>10000</v>
      </c>
      <c r="H255" t="str">
        <f>_xlfn.XLOOKUP(TBL_USUARIOS[[#This Row],[ID_MASSA]],tbl_de_massas[id_massa],tbl_de_massas[nome_completo],"--",0,1)</f>
        <v>Livia Reis</v>
      </c>
    </row>
    <row r="256" spans="1:8" x14ac:dyDescent="0.25">
      <c r="A256" s="2" t="s">
        <v>2421</v>
      </c>
      <c r="B256" s="14" t="str">
        <f>_xlfn.XLOOKUP(TBL_USUARIOS[[#This Row],[ID_MASSA]],tbl_de_massas[id_massa],tbl_de_massas[cpf],"--",0,1)</f>
        <v>70080586597</v>
      </c>
      <c r="C256" t="s">
        <v>12</v>
      </c>
      <c r="D256" t="str">
        <f>_xlfn.XLOOKUP(TBL_USUARIOS[[#This Row],[ID_MASSA]],tbl_de_massas[id_massa],tbl_de_massas[nome_completo],"--",0,1)</f>
        <v>Teste Verificacao Pin</v>
      </c>
      <c r="E256" t="str">
        <f>_xlfn.XLOOKUP(TBL_USUARIOS[[#This Row],[ID_MASSA]],tbl_de_massas[id_massa],tbl_de_massas[cartao_fisico_numero],"--",0,1)</f>
        <v>5442 7460 9819 2000</v>
      </c>
      <c r="F256" t="str">
        <f>_xlfn.XLOOKUP(TBL_USUARIOS[[#This Row],[ID_MASSA]],tbl_de_massas[id_massa],tbl_de_massas[nome_completo],"--",0,1)</f>
        <v>Teste Verificacao Pin</v>
      </c>
      <c r="G256" s="47">
        <f>_xlfn.XLOOKUP(TBL_USUARIOS[[#This Row],[ID_MASSA]],tbl_de_massas[id_massa],tbl_de_massas[saldo_conta],"--",0,1)</f>
        <v>6129.14</v>
      </c>
      <c r="H256" t="str">
        <f>_xlfn.XLOOKUP(TBL_USUARIOS[[#This Row],[ID_MASSA]],tbl_de_massas[id_massa],tbl_de_massas[nome_completo],"--",0,1)</f>
        <v>Teste Verificacao Pin</v>
      </c>
    </row>
    <row r="257" spans="1:8" x14ac:dyDescent="0.25">
      <c r="A257" s="2" t="s">
        <v>6073</v>
      </c>
      <c r="B257" t="str">
        <f>_xlfn.XLOOKUP(TBL_USUARIOS[[#This Row],[ID_MASSA]],tbl_de_massas[id_massa],tbl_de_massas[cpf],"--",0,1)</f>
        <v>99390644704</v>
      </c>
      <c r="C257" t="s">
        <v>12</v>
      </c>
      <c r="D257" t="str">
        <f>_xlfn.XLOOKUP(TBL_USUARIOS[[#This Row],[ID_MASSA]],tbl_de_massas[id_massa],tbl_de_massas[nome_completo],"--",0,1)</f>
        <v>Fernanda Souza Alves</v>
      </c>
      <c r="E257" t="str">
        <f>_xlfn.XLOOKUP(TBL_USUARIOS[[#This Row],[ID_MASSA]],tbl_de_massas[id_massa],tbl_de_massas[cartao_fisico_numero],"--",0,1)</f>
        <v>4576 7460 8814 0538</v>
      </c>
      <c r="F257" t="str">
        <f>_xlfn.XLOOKUP(TBL_USUARIOS[[#This Row],[ID_MASSA]],tbl_de_massas[id_massa],tbl_de_massas[nome_completo],"--",0,1)</f>
        <v>Fernanda Souza Alves</v>
      </c>
      <c r="G257" s="47">
        <f>_xlfn.XLOOKUP(TBL_USUARIOS[[#This Row],[ID_MASSA]],tbl_de_massas[id_massa],tbl_de_massas[saldo_conta],"--",0,1)</f>
        <v>2005.82</v>
      </c>
      <c r="H257" t="str">
        <f>_xlfn.XLOOKUP(TBL_USUARIOS[[#This Row],[ID_MASSA]],tbl_de_massas[id_massa],tbl_de_massas[nome_completo],"--",0,1)</f>
        <v>Fernanda Souza Alves</v>
      </c>
    </row>
    <row r="258" spans="1:8" x14ac:dyDescent="0.25">
      <c r="A258" s="2" t="s">
        <v>4434</v>
      </c>
      <c r="B258" t="str">
        <f>_xlfn.XLOOKUP(TBL_USUARIOS[[#This Row],[ID_MASSA]],tbl_de_massas[id_massa],tbl_de_massas[cpf],"--",0,1)</f>
        <v>51836968612</v>
      </c>
      <c r="C258" t="s">
        <v>12</v>
      </c>
      <c r="D258" t="str">
        <f>_xlfn.XLOOKUP(TBL_USUARIOS[[#This Row],[ID_MASSA]],tbl_de_massas[id_massa],tbl_de_massas[nome_completo],"--",0,1)</f>
        <v>Guilherme Pinto Costa</v>
      </c>
      <c r="E258" t="str">
        <f>_xlfn.XLOOKUP(TBL_USUARIOS[[#This Row],[ID_MASSA]],tbl_de_massas[id_massa],tbl_de_massas[cartao_fisico_numero],"--",0,1)</f>
        <v>6062 8200 4380 9512</v>
      </c>
      <c r="F258" t="str">
        <f>_xlfn.XLOOKUP(TBL_USUARIOS[[#This Row],[ID_MASSA]],tbl_de_massas[id_massa],tbl_de_massas[nome_completo],"--",0,1)</f>
        <v>Guilherme Pinto Costa</v>
      </c>
      <c r="G258" s="47">
        <f>_xlfn.XLOOKUP(TBL_USUARIOS[[#This Row],[ID_MASSA]],tbl_de_massas[id_massa],tbl_de_massas[saldo_conta],"--",0,1)</f>
        <v>2024.12</v>
      </c>
      <c r="H258" t="str">
        <f>_xlfn.XLOOKUP(TBL_USUARIOS[[#This Row],[ID_MASSA]],tbl_de_massas[id_massa],tbl_de_massas[nome_completo],"--",0,1)</f>
        <v>Guilherme Pinto Costa</v>
      </c>
    </row>
    <row r="259" spans="1:8" x14ac:dyDescent="0.25">
      <c r="A259" s="2" t="s">
        <v>6331</v>
      </c>
      <c r="B259" t="str">
        <f>_xlfn.XLOOKUP(TBL_USUARIOS[[#This Row],[ID_MASSA]],tbl_de_massas[id_massa],tbl_de_massas[cpf],"--",0,1)</f>
        <v>80567416402</v>
      </c>
      <c r="C259" t="s">
        <v>12</v>
      </c>
      <c r="D259" t="str">
        <f>_xlfn.XLOOKUP(TBL_USUARIOS[[#This Row],[ID_MASSA]],tbl_de_massas[id_massa],tbl_de_massas[nome_completo],"--",0,1)</f>
        <v>Alexander Young Rodriguez</v>
      </c>
      <c r="E259" t="str">
        <f>_xlfn.XLOOKUP(TBL_USUARIOS[[#This Row],[ID_MASSA]],tbl_de_massas[id_massa],tbl_de_massas[cartao_fisico_numero],"--",0,1)</f>
        <v>4576 7460 6990 5965</v>
      </c>
      <c r="F259" t="str">
        <f>_xlfn.XLOOKUP(TBL_USUARIOS[[#This Row],[ID_MASSA]],tbl_de_massas[id_massa],tbl_de_massas[nome_completo],"--",0,1)</f>
        <v>Alexander Young Rodriguez</v>
      </c>
      <c r="G259" s="47">
        <f>_xlfn.XLOOKUP(TBL_USUARIOS[[#This Row],[ID_MASSA]],tbl_de_massas[id_massa],tbl_de_massas[saldo_conta],"--",0,1)</f>
        <v>2032.41</v>
      </c>
      <c r="H259" t="str">
        <f>_xlfn.XLOOKUP(TBL_USUARIOS[[#This Row],[ID_MASSA]],tbl_de_massas[id_massa],tbl_de_massas[nome_completo],"--",0,1)</f>
        <v>Alexander Young Rodriguez</v>
      </c>
    </row>
    <row r="260" spans="1:8" x14ac:dyDescent="0.25">
      <c r="A260" s="2" t="s">
        <v>6525</v>
      </c>
      <c r="B260" t="str">
        <f>_xlfn.XLOOKUP(TBL_USUARIOS[[#This Row],[ID_MASSA]],tbl_de_massas[id_massa],tbl_de_massas[cpf],"--",0,1)</f>
        <v>99938797709</v>
      </c>
      <c r="C260" t="s">
        <v>12</v>
      </c>
      <c r="D260" t="str">
        <f>_xlfn.XLOOKUP(TBL_USUARIOS[[#This Row],[ID_MASSA]],tbl_de_massas[id_massa],tbl_de_massas[nome_completo],"--",0,1)</f>
        <v>Na Luo</v>
      </c>
      <c r="E260" t="str">
        <f>_xlfn.XLOOKUP(TBL_USUARIOS[[#This Row],[ID_MASSA]],tbl_de_massas[id_massa],tbl_de_massas[cartao_fisico_numero],"--",0,1)</f>
        <v/>
      </c>
      <c r="F260" t="str">
        <f>_xlfn.XLOOKUP(TBL_USUARIOS[[#This Row],[ID_MASSA]],tbl_de_massas[id_massa],tbl_de_massas[nome_completo],"--",0,1)</f>
        <v>Na Luo</v>
      </c>
      <c r="G260" s="47">
        <f>_xlfn.XLOOKUP(TBL_USUARIOS[[#This Row],[ID_MASSA]],tbl_de_massas[id_massa],tbl_de_massas[saldo_conta],"--",0,1)</f>
        <v>2034.52</v>
      </c>
      <c r="H260" t="str">
        <f>_xlfn.XLOOKUP(TBL_USUARIOS[[#This Row],[ID_MASSA]],tbl_de_massas[id_massa],tbl_de_massas[nome_completo],"--",0,1)</f>
        <v>Na Luo</v>
      </c>
    </row>
    <row r="261" spans="1:8" x14ac:dyDescent="0.25">
      <c r="A261" s="2" t="s">
        <v>4886</v>
      </c>
      <c r="B261" t="str">
        <f>_xlfn.XLOOKUP(TBL_USUARIOS[[#This Row],[ID_MASSA]],tbl_de_massas[id_massa],tbl_de_massas[cpf],"--",0,1)</f>
        <v>66301486145</v>
      </c>
      <c r="C261" t="s">
        <v>12</v>
      </c>
      <c r="D261" t="str">
        <f>_xlfn.XLOOKUP(TBL_USUARIOS[[#This Row],[ID_MASSA]],tbl_de_massas[id_massa],tbl_de_massas[nome_completo],"--",0,1)</f>
        <v>Felipe Costa Cardoso</v>
      </c>
      <c r="E261" t="str">
        <f>_xlfn.XLOOKUP(TBL_USUARIOS[[#This Row],[ID_MASSA]],tbl_de_massas[id_massa],tbl_de_massas[cartao_fisico_numero],"--",0,1)</f>
        <v>5442 7460 5420 4620</v>
      </c>
      <c r="F261" t="str">
        <f>_xlfn.XLOOKUP(TBL_USUARIOS[[#This Row],[ID_MASSA]],tbl_de_massas[id_massa],tbl_de_massas[nome_completo],"--",0,1)</f>
        <v>Felipe Costa Cardoso</v>
      </c>
      <c r="G261" s="47">
        <f>_xlfn.XLOOKUP(TBL_USUARIOS[[#This Row],[ID_MASSA]],tbl_de_massas[id_massa],tbl_de_massas[saldo_conta],"--",0,1)</f>
        <v>2042.77</v>
      </c>
      <c r="H261" t="str">
        <f>_xlfn.XLOOKUP(TBL_USUARIOS[[#This Row],[ID_MASSA]],tbl_de_massas[id_massa],tbl_de_massas[nome_completo],"--",0,1)</f>
        <v>Felipe Costa Cardoso</v>
      </c>
    </row>
    <row r="262" spans="1:8" x14ac:dyDescent="0.25">
      <c r="A262" s="2" t="s">
        <v>2405</v>
      </c>
      <c r="B262" s="14" t="str">
        <f>_xlfn.XLOOKUP(TBL_USUARIOS[[#This Row],[ID_MASSA]],tbl_de_massas[id_massa],tbl_de_massas[cpf],"--",0,1)</f>
        <v>38839254897</v>
      </c>
      <c r="C262" t="s">
        <v>12</v>
      </c>
      <c r="D262" t="str">
        <f>_xlfn.XLOOKUP(TBL_USUARIOS[[#This Row],[ID_MASSA]],tbl_de_massas[id_massa],tbl_de_massas[nome_completo],"--",0,1)</f>
        <v>Sarah Reis</v>
      </c>
      <c r="E262" t="str">
        <f>_xlfn.XLOOKUP(TBL_USUARIOS[[#This Row],[ID_MASSA]],tbl_de_massas[id_massa],tbl_de_massas[cartao_fisico_numero],"--",0,1)</f>
        <v>6062 8200 7050 9297</v>
      </c>
      <c r="F262" t="str">
        <f>_xlfn.XLOOKUP(TBL_USUARIOS[[#This Row],[ID_MASSA]],tbl_de_massas[id_massa],tbl_de_massas[nome_completo],"--",0,1)</f>
        <v>Sarah Reis</v>
      </c>
      <c r="G262" s="47">
        <f>_xlfn.XLOOKUP(TBL_USUARIOS[[#This Row],[ID_MASSA]],tbl_de_massas[id_massa],tbl_de_massas[saldo_conta],"--",0,1)</f>
        <v>2047.97</v>
      </c>
      <c r="H262" t="str">
        <f>_xlfn.XLOOKUP(TBL_USUARIOS[[#This Row],[ID_MASSA]],tbl_de_massas[id_massa],tbl_de_massas[nome_completo],"--",0,1)</f>
        <v>Sarah Reis</v>
      </c>
    </row>
    <row r="263" spans="1:8" x14ac:dyDescent="0.25">
      <c r="A263" s="2" t="s">
        <v>3016</v>
      </c>
      <c r="B263" t="str">
        <f>_xlfn.XLOOKUP(TBL_USUARIOS[[#This Row],[ID_MASSA]],tbl_de_massas[id_massa],tbl_de_massas[cpf],"--",0,1)</f>
        <v>91949140440</v>
      </c>
      <c r="C263" t="s">
        <v>12</v>
      </c>
      <c r="D263" t="str">
        <f>_xlfn.XLOOKUP(TBL_USUARIOS[[#This Row],[ID_MASSA]],tbl_de_massas[id_massa],tbl_de_massas[nome_completo],"--",0,1)</f>
        <v>Danilo Moreira</v>
      </c>
      <c r="E263" t="str">
        <f>_xlfn.XLOOKUP(TBL_USUARIOS[[#This Row],[ID_MASSA]],tbl_de_massas[id_massa],tbl_de_massas[cartao_fisico_numero],"--",0,1)</f>
        <v>4576 7460 9004 4824</v>
      </c>
      <c r="F263" t="str">
        <f>_xlfn.XLOOKUP(TBL_USUARIOS[[#This Row],[ID_MASSA]],tbl_de_massas[id_massa],tbl_de_massas[nome_completo],"--",0,1)</f>
        <v>Danilo Moreira</v>
      </c>
      <c r="G263" s="47">
        <f>_xlfn.XLOOKUP(TBL_USUARIOS[[#This Row],[ID_MASSA]],tbl_de_massas[id_massa],tbl_de_massas[saldo_conta],"--",0,1)</f>
        <v>2062.94</v>
      </c>
      <c r="H263" t="str">
        <f>_xlfn.XLOOKUP(TBL_USUARIOS[[#This Row],[ID_MASSA]],tbl_de_massas[id_massa],tbl_de_massas[nome_completo],"--",0,1)</f>
        <v>Danilo Moreira</v>
      </c>
    </row>
    <row r="264" spans="1:8" x14ac:dyDescent="0.25">
      <c r="A264" s="2" t="s">
        <v>3291</v>
      </c>
      <c r="B264" t="str">
        <f>_xlfn.XLOOKUP(TBL_USUARIOS[[#This Row],[ID_MASSA]],tbl_de_massas[id_massa],tbl_de_massas[cpf],"--",0,1)</f>
        <v>38275457904</v>
      </c>
      <c r="C264" t="s">
        <v>12</v>
      </c>
      <c r="D264" t="str">
        <f>_xlfn.XLOOKUP(TBL_USUARIOS[[#This Row],[ID_MASSA]],tbl_de_massas[id_massa],tbl_de_massas[nome_completo],"--",0,1)</f>
        <v>Fabio Pereira</v>
      </c>
      <c r="E264" t="str">
        <f>_xlfn.XLOOKUP(TBL_USUARIOS[[#This Row],[ID_MASSA]],tbl_de_massas[id_massa],tbl_de_massas[cartao_fisico_numero],"--",0,1)</f>
        <v>6505 0666 7493 8256</v>
      </c>
      <c r="F264" t="str">
        <f>_xlfn.XLOOKUP(TBL_USUARIOS[[#This Row],[ID_MASSA]],tbl_de_massas[id_massa],tbl_de_massas[nome_completo],"--",0,1)</f>
        <v>Fabio Pereira</v>
      </c>
      <c r="G264" s="47">
        <f>_xlfn.XLOOKUP(TBL_USUARIOS[[#This Row],[ID_MASSA]],tbl_de_massas[id_massa],tbl_de_massas[saldo_conta],"--",0,1)</f>
        <v>2097.19</v>
      </c>
      <c r="H264" t="str">
        <f>_xlfn.XLOOKUP(TBL_USUARIOS[[#This Row],[ID_MASSA]],tbl_de_massas[id_massa],tbl_de_massas[nome_completo],"--",0,1)</f>
        <v>Fabio Pereira</v>
      </c>
    </row>
    <row r="265" spans="1:8" x14ac:dyDescent="0.25">
      <c r="A265" s="2" t="s">
        <v>2162</v>
      </c>
      <c r="B265" s="14" t="str">
        <f>_xlfn.XLOOKUP(TBL_USUARIOS[[#This Row],[ID_MASSA]],tbl_de_massas[id_massa],tbl_de_massas[cpf],"--",0,1)</f>
        <v>35417211460</v>
      </c>
      <c r="C265" t="s">
        <v>12</v>
      </c>
      <c r="D265" t="str">
        <f>_xlfn.XLOOKUP(TBL_USUARIOS[[#This Row],[ID_MASSA]],tbl_de_massas[id_massa],tbl_de_massas[nome_completo],"--",0,1)</f>
        <v>Pierre Bernard</v>
      </c>
      <c r="E265" t="str">
        <f>_xlfn.XLOOKUP(TBL_USUARIOS[[#This Row],[ID_MASSA]],tbl_de_massas[id_massa],tbl_de_massas[cartao_fisico_numero],"--",0,1)</f>
        <v>5442 7460 6905 0790</v>
      </c>
      <c r="F265" t="str">
        <f>_xlfn.XLOOKUP(TBL_USUARIOS[[#This Row],[ID_MASSA]],tbl_de_massas[id_massa],tbl_de_massas[nome_completo],"--",0,1)</f>
        <v>Pierre Bernard</v>
      </c>
      <c r="G265" s="47">
        <f>_xlfn.XLOOKUP(TBL_USUARIOS[[#This Row],[ID_MASSA]],tbl_de_massas[id_massa],tbl_de_massas[saldo_conta],"--",0,1)</f>
        <v>2101.79</v>
      </c>
      <c r="H265" t="str">
        <f>_xlfn.XLOOKUP(TBL_USUARIOS[[#This Row],[ID_MASSA]],tbl_de_massas[id_massa],tbl_de_massas[nome_completo],"--",0,1)</f>
        <v>Pierre Bernard</v>
      </c>
    </row>
    <row r="266" spans="1:8" x14ac:dyDescent="0.25">
      <c r="A266" s="2" t="s">
        <v>6292</v>
      </c>
      <c r="B266" t="str">
        <f>_xlfn.XLOOKUP(TBL_USUARIOS[[#This Row],[ID_MASSA]],tbl_de_massas[id_massa],tbl_de_massas[cpf],"--",0,1)</f>
        <v>44425670183</v>
      </c>
      <c r="C266" t="s">
        <v>12</v>
      </c>
      <c r="D266" t="str">
        <f>_xlfn.XLOOKUP(TBL_USUARIOS[[#This Row],[ID_MASSA]],tbl_de_massas[id_massa],tbl_de_massas[nome_completo],"--",0,1)</f>
        <v>Victoria White Johnson</v>
      </c>
      <c r="E266" t="str">
        <f>_xlfn.XLOOKUP(TBL_USUARIOS[[#This Row],[ID_MASSA]],tbl_de_massas[id_massa],tbl_de_massas[cartao_fisico_numero],"--",0,1)</f>
        <v>4576 7460 1041 6266</v>
      </c>
      <c r="F266" t="str">
        <f>_xlfn.XLOOKUP(TBL_USUARIOS[[#This Row],[ID_MASSA]],tbl_de_massas[id_massa],tbl_de_massas[nome_completo],"--",0,1)</f>
        <v>Victoria White Johnson</v>
      </c>
      <c r="G266" s="47">
        <f>_xlfn.XLOOKUP(TBL_USUARIOS[[#This Row],[ID_MASSA]],tbl_de_massas[id_massa],tbl_de_massas[saldo_conta],"--",0,1)</f>
        <v>2108.23</v>
      </c>
      <c r="H266" t="str">
        <f>_xlfn.XLOOKUP(TBL_USUARIOS[[#This Row],[ID_MASSA]],tbl_de_massas[id_massa],tbl_de_massas[nome_completo],"--",0,1)</f>
        <v>Victoria White Johnson</v>
      </c>
    </row>
    <row r="267" spans="1:8" x14ac:dyDescent="0.25">
      <c r="A267" s="2" t="s">
        <v>5702</v>
      </c>
      <c r="B267" t="str">
        <f>_xlfn.XLOOKUP(TBL_USUARIOS[[#This Row],[ID_MASSA]],tbl_de_massas[id_massa],tbl_de_massas[cpf],"--",0,1)</f>
        <v>57904419041</v>
      </c>
      <c r="C267" t="s">
        <v>12</v>
      </c>
      <c r="D267" t="str">
        <f>_xlfn.XLOOKUP(TBL_USUARIOS[[#This Row],[ID_MASSA]],tbl_de_massas[id_massa],tbl_de_massas[nome_completo],"--",0,1)</f>
        <v>Fabio Oliveira</v>
      </c>
      <c r="E267" t="str">
        <f>_xlfn.XLOOKUP(TBL_USUARIOS[[#This Row],[ID_MASSA]],tbl_de_massas[id_massa],tbl_de_massas[cartao_fisico_numero],"--",0,1)</f>
        <v>5442 7460 6038 3411</v>
      </c>
      <c r="F267" t="str">
        <f>_xlfn.XLOOKUP(TBL_USUARIOS[[#This Row],[ID_MASSA]],tbl_de_massas[id_massa],tbl_de_massas[nome_completo],"--",0,1)</f>
        <v>Fabio Oliveira</v>
      </c>
      <c r="G267" s="47">
        <f>_xlfn.XLOOKUP(TBL_USUARIOS[[#This Row],[ID_MASSA]],tbl_de_massas[id_massa],tbl_de_massas[saldo_conta],"--",0,1)</f>
        <v>2110.19</v>
      </c>
      <c r="H267" t="str">
        <f>_xlfn.XLOOKUP(TBL_USUARIOS[[#This Row],[ID_MASSA]],tbl_de_massas[id_massa],tbl_de_massas[nome_completo],"--",0,1)</f>
        <v>Fabio Oliveira</v>
      </c>
    </row>
    <row r="268" spans="1:8" x14ac:dyDescent="0.25">
      <c r="A268" s="2" t="s">
        <v>4469</v>
      </c>
      <c r="B268" t="str">
        <f>_xlfn.XLOOKUP(TBL_USUARIOS[[#This Row],[ID_MASSA]],tbl_de_massas[id_massa],tbl_de_massas[cpf],"--",0,1)</f>
        <v>84562141166</v>
      </c>
      <c r="C268" t="s">
        <v>12</v>
      </c>
      <c r="D268" t="str">
        <f>_xlfn.XLOOKUP(TBL_USUARIOS[[#This Row],[ID_MASSA]],tbl_de_massas[id_massa],tbl_de_massas[nome_completo],"--",0,1)</f>
        <v>Thiago Vieira</v>
      </c>
      <c r="E268" t="str">
        <f>_xlfn.XLOOKUP(TBL_USUARIOS[[#This Row],[ID_MASSA]],tbl_de_massas[id_massa],tbl_de_massas[cartao_fisico_numero],"--",0,1)</f>
        <v>6062 8200 7597 1807</v>
      </c>
      <c r="F268" t="str">
        <f>_xlfn.XLOOKUP(TBL_USUARIOS[[#This Row],[ID_MASSA]],tbl_de_massas[id_massa],tbl_de_massas[nome_completo],"--",0,1)</f>
        <v>Thiago Vieira</v>
      </c>
      <c r="G268" s="47">
        <f>_xlfn.XLOOKUP(TBL_USUARIOS[[#This Row],[ID_MASSA]],tbl_de_massas[id_massa],tbl_de_massas[saldo_conta],"--",0,1)</f>
        <v>2111.02</v>
      </c>
      <c r="H268" t="str">
        <f>_xlfn.XLOOKUP(TBL_USUARIOS[[#This Row],[ID_MASSA]],tbl_de_massas[id_massa],tbl_de_massas[nome_completo],"--",0,1)</f>
        <v>Thiago Vieira</v>
      </c>
    </row>
    <row r="269" spans="1:8" x14ac:dyDescent="0.25">
      <c r="A269" s="2" t="s">
        <v>5711</v>
      </c>
      <c r="B269" t="str">
        <f>_xlfn.XLOOKUP(TBL_USUARIOS[[#This Row],[ID_MASSA]],tbl_de_massas[id_massa],tbl_de_massas[cpf],"--",0,1)</f>
        <v>80282684123</v>
      </c>
      <c r="C269" t="s">
        <v>12</v>
      </c>
      <c r="D269" t="str">
        <f>_xlfn.XLOOKUP(TBL_USUARIOS[[#This Row],[ID_MASSA]],tbl_de_massas[id_massa],tbl_de_massas[nome_completo],"--",0,1)</f>
        <v>Marcelo Alves Cavalcanti</v>
      </c>
      <c r="E269" t="str">
        <f>_xlfn.XLOOKUP(TBL_USUARIOS[[#This Row],[ID_MASSA]],tbl_de_massas[id_massa],tbl_de_massas[cartao_fisico_numero],"--",0,1)</f>
        <v>6062 8200 3661 0749</v>
      </c>
      <c r="F269" t="str">
        <f>_xlfn.XLOOKUP(TBL_USUARIOS[[#This Row],[ID_MASSA]],tbl_de_massas[id_massa],tbl_de_massas[nome_completo],"--",0,1)</f>
        <v>Marcelo Alves Cavalcanti</v>
      </c>
      <c r="G269" s="47">
        <f>_xlfn.XLOOKUP(TBL_USUARIOS[[#This Row],[ID_MASSA]],tbl_de_massas[id_massa],tbl_de_massas[saldo_conta],"--",0,1)</f>
        <v>2115.98</v>
      </c>
      <c r="H269" t="str">
        <f>_xlfn.XLOOKUP(TBL_USUARIOS[[#This Row],[ID_MASSA]],tbl_de_massas[id_massa],tbl_de_massas[nome_completo],"--",0,1)</f>
        <v>Marcelo Alves Cavalcanti</v>
      </c>
    </row>
    <row r="270" spans="1:8" x14ac:dyDescent="0.25">
      <c r="A270" s="2" t="s">
        <v>5943</v>
      </c>
      <c r="B270" t="str">
        <f>_xlfn.XLOOKUP(TBL_USUARIOS[[#This Row],[ID_MASSA]],tbl_de_massas[id_massa],tbl_de_massas[cpf],"--",0,1)</f>
        <v>44833643081</v>
      </c>
      <c r="C270" t="s">
        <v>12</v>
      </c>
      <c r="D270" t="str">
        <f>_xlfn.XLOOKUP(TBL_USUARIOS[[#This Row],[ID_MASSA]],tbl_de_massas[id_massa],tbl_de_massas[nome_completo],"--",0,1)</f>
        <v>Vinicius Nascimento Cardoso</v>
      </c>
      <c r="E270" t="str">
        <f>_xlfn.XLOOKUP(TBL_USUARIOS[[#This Row],[ID_MASSA]],tbl_de_massas[id_massa],tbl_de_massas[cartao_fisico_numero],"--",0,1)</f>
        <v/>
      </c>
      <c r="F270" t="str">
        <f>_xlfn.XLOOKUP(TBL_USUARIOS[[#This Row],[ID_MASSA]],tbl_de_massas[id_massa],tbl_de_massas[nome_completo],"--",0,1)</f>
        <v>Vinicius Nascimento Cardoso</v>
      </c>
      <c r="G270" s="47">
        <f>_xlfn.XLOOKUP(TBL_USUARIOS[[#This Row],[ID_MASSA]],tbl_de_massas[id_massa],tbl_de_massas[saldo_conta],"--",0,1)</f>
        <v>2136.65</v>
      </c>
      <c r="H270" t="str">
        <f>_xlfn.XLOOKUP(TBL_USUARIOS[[#This Row],[ID_MASSA]],tbl_de_massas[id_massa],tbl_de_massas[nome_completo],"--",0,1)</f>
        <v>Vinicius Nascimento Cardoso</v>
      </c>
    </row>
    <row r="271" spans="1:8" x14ac:dyDescent="0.25">
      <c r="A271" s="2" t="s">
        <v>5570</v>
      </c>
      <c r="B271" t="str">
        <f>_xlfn.XLOOKUP(TBL_USUARIOS[[#This Row],[ID_MASSA]],tbl_de_massas[id_massa],tbl_de_massas[cpf],"--",0,1)</f>
        <v>93593303965</v>
      </c>
      <c r="C271" t="s">
        <v>12</v>
      </c>
      <c r="D271" t="str">
        <f>_xlfn.XLOOKUP(TBL_USUARIOS[[#This Row],[ID_MASSA]],tbl_de_massas[id_massa],tbl_de_massas[nome_completo],"--",0,1)</f>
        <v>Aline Pinto</v>
      </c>
      <c r="E271" t="str">
        <f>_xlfn.XLOOKUP(TBL_USUARIOS[[#This Row],[ID_MASSA]],tbl_de_massas[id_massa],tbl_de_massas[cartao_fisico_numero],"--",0,1)</f>
        <v>4576 7460 1300 1232</v>
      </c>
      <c r="F271" t="str">
        <f>_xlfn.XLOOKUP(TBL_USUARIOS[[#This Row],[ID_MASSA]],tbl_de_massas[id_massa],tbl_de_massas[nome_completo],"--",0,1)</f>
        <v>Aline Pinto</v>
      </c>
      <c r="G271" s="47">
        <f>_xlfn.XLOOKUP(TBL_USUARIOS[[#This Row],[ID_MASSA]],tbl_de_massas[id_massa],tbl_de_massas[saldo_conta],"--",0,1)</f>
        <v>2148.9899999999998</v>
      </c>
      <c r="H271" t="str">
        <f>_xlfn.XLOOKUP(TBL_USUARIOS[[#This Row],[ID_MASSA]],tbl_de_massas[id_massa],tbl_de_massas[nome_completo],"--",0,1)</f>
        <v>Aline Pinto</v>
      </c>
    </row>
    <row r="272" spans="1:8" x14ac:dyDescent="0.25">
      <c r="A272" s="2" t="s">
        <v>2890</v>
      </c>
      <c r="B272" t="str">
        <f>_xlfn.XLOOKUP(TBL_USUARIOS[[#This Row],[ID_MASSA]],tbl_de_massas[id_massa],tbl_de_massas[cpf],"--",0,1)</f>
        <v>72231855704</v>
      </c>
      <c r="C272" t="s">
        <v>12</v>
      </c>
      <c r="D272" t="str">
        <f>_xlfn.XLOOKUP(TBL_USUARIOS[[#This Row],[ID_MASSA]],tbl_de_massas[id_massa],tbl_de_massas[nome_completo],"--",0,1)</f>
        <v>Marcos Mendes</v>
      </c>
      <c r="E272" t="str">
        <f>_xlfn.XLOOKUP(TBL_USUARIOS[[#This Row],[ID_MASSA]],tbl_de_massas[id_massa],tbl_de_massas[cartao_fisico_numero],"--",0,1)</f>
        <v/>
      </c>
      <c r="F272" t="str">
        <f>_xlfn.XLOOKUP(TBL_USUARIOS[[#This Row],[ID_MASSA]],tbl_de_massas[id_massa],tbl_de_massas[nome_completo],"--",0,1)</f>
        <v>Marcos Mendes</v>
      </c>
      <c r="G272" s="47">
        <f>_xlfn.XLOOKUP(TBL_USUARIOS[[#This Row],[ID_MASSA]],tbl_de_massas[id_massa],tbl_de_massas[saldo_conta],"--",0,1)</f>
        <v>2149.0300000000002</v>
      </c>
      <c r="H272" t="str">
        <f>_xlfn.XLOOKUP(TBL_USUARIOS[[#This Row],[ID_MASSA]],tbl_de_massas[id_massa],tbl_de_massas[nome_completo],"--",0,1)</f>
        <v>Marcos Mendes</v>
      </c>
    </row>
    <row r="273" spans="1:8" x14ac:dyDescent="0.25">
      <c r="A273" s="2" t="s">
        <v>6024</v>
      </c>
      <c r="B273" t="str">
        <f>_xlfn.XLOOKUP(TBL_USUARIOS[[#This Row],[ID_MASSA]],tbl_de_massas[id_massa],tbl_de_massas[cpf],"--",0,1)</f>
        <v>40872191354</v>
      </c>
      <c r="C273" t="s">
        <v>12</v>
      </c>
      <c r="D273" t="str">
        <f>_xlfn.XLOOKUP(TBL_USUARIOS[[#This Row],[ID_MASSA]],tbl_de_massas[id_massa],tbl_de_massas[nome_completo],"--",0,1)</f>
        <v>Rodrigo Santos</v>
      </c>
      <c r="E273" t="str">
        <f>_xlfn.XLOOKUP(TBL_USUARIOS[[#This Row],[ID_MASSA]],tbl_de_massas[id_massa],tbl_de_massas[cartao_fisico_numero],"--",0,1)</f>
        <v>4576 7460 2453 3901</v>
      </c>
      <c r="F273" t="str">
        <f>_xlfn.XLOOKUP(TBL_USUARIOS[[#This Row],[ID_MASSA]],tbl_de_massas[id_massa],tbl_de_massas[nome_completo],"--",0,1)</f>
        <v>Rodrigo Santos</v>
      </c>
      <c r="G273" s="47">
        <f>_xlfn.XLOOKUP(TBL_USUARIOS[[#This Row],[ID_MASSA]],tbl_de_massas[id_massa],tbl_de_massas[saldo_conta],"--",0,1)</f>
        <v>2162.35</v>
      </c>
      <c r="H273" t="str">
        <f>_xlfn.XLOOKUP(TBL_USUARIOS[[#This Row],[ID_MASSA]],tbl_de_massas[id_massa],tbl_de_massas[nome_completo],"--",0,1)</f>
        <v>Rodrigo Santos</v>
      </c>
    </row>
    <row r="274" spans="1:8" x14ac:dyDescent="0.25">
      <c r="A274" s="2" t="s">
        <v>6497</v>
      </c>
      <c r="B274" t="str">
        <f>_xlfn.XLOOKUP(TBL_USUARIOS[[#This Row],[ID_MASSA]],tbl_de_massas[id_massa],tbl_de_massas[cpf],"--",0,1)</f>
        <v>65137026409</v>
      </c>
      <c r="C274" t="s">
        <v>12</v>
      </c>
      <c r="D274" t="str">
        <f>_xlfn.XLOOKUP(TBL_USUARIOS[[#This Row],[ID_MASSA]],tbl_de_massas[id_massa],tbl_de_massas[nome_completo],"--",0,1)</f>
        <v>Jian Zhao</v>
      </c>
      <c r="E274" t="str">
        <f>_xlfn.XLOOKUP(TBL_USUARIOS[[#This Row],[ID_MASSA]],tbl_de_massas[id_massa],tbl_de_massas[cartao_fisico_numero],"--",0,1)</f>
        <v>4576 7460 2700 8407</v>
      </c>
      <c r="F274" t="str">
        <f>_xlfn.XLOOKUP(TBL_USUARIOS[[#This Row],[ID_MASSA]],tbl_de_massas[id_massa],tbl_de_massas[nome_completo],"--",0,1)</f>
        <v>Jian Zhao</v>
      </c>
      <c r="G274" s="47">
        <f>_xlfn.XLOOKUP(TBL_USUARIOS[[#This Row],[ID_MASSA]],tbl_de_massas[id_massa],tbl_de_massas[saldo_conta],"--",0,1)</f>
        <v>2187.75</v>
      </c>
      <c r="H274" t="str">
        <f>_xlfn.XLOOKUP(TBL_USUARIOS[[#This Row],[ID_MASSA]],tbl_de_massas[id_massa],tbl_de_massas[nome_completo],"--",0,1)</f>
        <v>Jian Zhao</v>
      </c>
    </row>
    <row r="275" spans="1:8" x14ac:dyDescent="0.25">
      <c r="A275" s="2" t="s">
        <v>3767</v>
      </c>
      <c r="B275" t="str">
        <f>_xlfn.XLOOKUP(TBL_USUARIOS[[#This Row],[ID_MASSA]],tbl_de_massas[id_massa],tbl_de_massas[cpf],"--",0,1)</f>
        <v>36913953330</v>
      </c>
      <c r="C275" t="s">
        <v>12</v>
      </c>
      <c r="D275" t="str">
        <f>_xlfn.XLOOKUP(TBL_USUARIOS[[#This Row],[ID_MASSA]],tbl_de_massas[id_massa],tbl_de_massas[nome_completo],"--",0,1)</f>
        <v>Felipe Almeida</v>
      </c>
      <c r="E275" t="str">
        <f>_xlfn.XLOOKUP(TBL_USUARIOS[[#This Row],[ID_MASSA]],tbl_de_massas[id_massa],tbl_de_massas[cartao_fisico_numero],"--",0,1)</f>
        <v/>
      </c>
      <c r="F275" t="str">
        <f>_xlfn.XLOOKUP(TBL_USUARIOS[[#This Row],[ID_MASSA]],tbl_de_massas[id_massa],tbl_de_massas[nome_completo],"--",0,1)</f>
        <v>Felipe Almeida</v>
      </c>
      <c r="G275" s="47">
        <f>_xlfn.XLOOKUP(TBL_USUARIOS[[#This Row],[ID_MASSA]],tbl_de_massas[id_massa],tbl_de_massas[saldo_conta],"--",0,1)</f>
        <v>2217.42</v>
      </c>
      <c r="H275" t="str">
        <f>_xlfn.XLOOKUP(TBL_USUARIOS[[#This Row],[ID_MASSA]],tbl_de_massas[id_massa],tbl_de_massas[nome_completo],"--",0,1)</f>
        <v>Felipe Almeida</v>
      </c>
    </row>
    <row r="276" spans="1:8" x14ac:dyDescent="0.25">
      <c r="A276" s="2" t="s">
        <v>4373</v>
      </c>
      <c r="B276" t="str">
        <f>_xlfn.XLOOKUP(TBL_USUARIOS[[#This Row],[ID_MASSA]],tbl_de_massas[id_massa],tbl_de_massas[cpf],"--",0,1)</f>
        <v>33616947367</v>
      </c>
      <c r="C276" t="s">
        <v>12</v>
      </c>
      <c r="D276" t="str">
        <f>_xlfn.XLOOKUP(TBL_USUARIOS[[#This Row],[ID_MASSA]],tbl_de_massas[id_massa],tbl_de_massas[nome_completo],"--",0,1)</f>
        <v>Caio Almeida</v>
      </c>
      <c r="E276" t="str">
        <f>_xlfn.XLOOKUP(TBL_USUARIOS[[#This Row],[ID_MASSA]],tbl_de_massas[id_massa],tbl_de_massas[cartao_fisico_numero],"--",0,1)</f>
        <v>5442 7460 6019 3471</v>
      </c>
      <c r="F276" t="str">
        <f>_xlfn.XLOOKUP(TBL_USUARIOS[[#This Row],[ID_MASSA]],tbl_de_massas[id_massa],tbl_de_massas[nome_completo],"--",0,1)</f>
        <v>Caio Almeida</v>
      </c>
      <c r="G276" s="47">
        <f>_xlfn.XLOOKUP(TBL_USUARIOS[[#This Row],[ID_MASSA]],tbl_de_massas[id_massa],tbl_de_massas[saldo_conta],"--",0,1)</f>
        <v>2250.08</v>
      </c>
      <c r="H276" t="str">
        <f>_xlfn.XLOOKUP(TBL_USUARIOS[[#This Row],[ID_MASSA]],tbl_de_massas[id_massa],tbl_de_massas[nome_completo],"--",0,1)</f>
        <v>Caio Almeida</v>
      </c>
    </row>
    <row r="277" spans="1:8" x14ac:dyDescent="0.25">
      <c r="A277" s="2" t="s">
        <v>6357</v>
      </c>
      <c r="B277" t="str">
        <f>_xlfn.XLOOKUP(TBL_USUARIOS[[#This Row],[ID_MASSA]],tbl_de_massas[id_massa],tbl_de_massas[cpf],"--",0,1)</f>
        <v>39586802400</v>
      </c>
      <c r="C277" t="s">
        <v>12</v>
      </c>
      <c r="D277" t="str">
        <f>_xlfn.XLOOKUP(TBL_USUARIOS[[#This Row],[ID_MASSA]],tbl_de_massas[id_massa],tbl_de_massas[nome_completo],"--",0,1)</f>
        <v>Olivia Rodriguez Martin</v>
      </c>
      <c r="E277" t="str">
        <f>_xlfn.XLOOKUP(TBL_USUARIOS[[#This Row],[ID_MASSA]],tbl_de_massas[id_massa],tbl_de_massas[cartao_fisico_numero],"--",0,1)</f>
        <v>5442 7460 8861 9990</v>
      </c>
      <c r="F277" t="str">
        <f>_xlfn.XLOOKUP(TBL_USUARIOS[[#This Row],[ID_MASSA]],tbl_de_massas[id_massa],tbl_de_massas[nome_completo],"--",0,1)</f>
        <v>Olivia Rodriguez Martin</v>
      </c>
      <c r="G277" s="47">
        <f>_xlfn.XLOOKUP(TBL_USUARIOS[[#This Row],[ID_MASSA]],tbl_de_massas[id_massa],tbl_de_massas[saldo_conta],"--",0,1)</f>
        <v>2267.48</v>
      </c>
      <c r="H277" t="str">
        <f>_xlfn.XLOOKUP(TBL_USUARIOS[[#This Row],[ID_MASSA]],tbl_de_massas[id_massa],tbl_de_massas[nome_completo],"--",0,1)</f>
        <v>Olivia Rodriguez Martin</v>
      </c>
    </row>
    <row r="278" spans="1:8" x14ac:dyDescent="0.25">
      <c r="A278" s="2" t="s">
        <v>4579</v>
      </c>
      <c r="B278" t="str">
        <f>_xlfn.XLOOKUP(TBL_USUARIOS[[#This Row],[ID_MASSA]],tbl_de_massas[id_massa],tbl_de_massas[cpf],"--",0,1)</f>
        <v>62256618595</v>
      </c>
      <c r="C278" t="s">
        <v>12</v>
      </c>
      <c r="D278" t="str">
        <f>_xlfn.XLOOKUP(TBL_USUARIOS[[#This Row],[ID_MASSA]],tbl_de_massas[id_massa],tbl_de_massas[nome_completo],"--",0,1)</f>
        <v>Gabriel Campos Barros</v>
      </c>
      <c r="E278" t="str">
        <f>_xlfn.XLOOKUP(TBL_USUARIOS[[#This Row],[ID_MASSA]],tbl_de_massas[id_massa],tbl_de_massas[cartao_fisico_numero],"--",0,1)</f>
        <v>3782 294093 1387</v>
      </c>
      <c r="F278" t="str">
        <f>_xlfn.XLOOKUP(TBL_USUARIOS[[#This Row],[ID_MASSA]],tbl_de_massas[id_massa],tbl_de_massas[nome_completo],"--",0,1)</f>
        <v>Gabriel Campos Barros</v>
      </c>
      <c r="G278" s="47">
        <f>_xlfn.XLOOKUP(TBL_USUARIOS[[#This Row],[ID_MASSA]],tbl_de_massas[id_massa],tbl_de_massas[saldo_conta],"--",0,1)</f>
        <v>2269.0300000000002</v>
      </c>
      <c r="H278" t="str">
        <f>_xlfn.XLOOKUP(TBL_USUARIOS[[#This Row],[ID_MASSA]],tbl_de_massas[id_massa],tbl_de_massas[nome_completo],"--",0,1)</f>
        <v>Gabriel Campos Barros</v>
      </c>
    </row>
    <row r="279" spans="1:8" x14ac:dyDescent="0.25">
      <c r="A279" s="2" t="s">
        <v>3157</v>
      </c>
      <c r="B279" t="str">
        <f>_xlfn.XLOOKUP(TBL_USUARIOS[[#This Row],[ID_MASSA]],tbl_de_massas[id_massa],tbl_de_massas[cpf],"--",0,1)</f>
        <v>19849103701</v>
      </c>
      <c r="C279" t="s">
        <v>12</v>
      </c>
      <c r="D279" t="str">
        <f>_xlfn.XLOOKUP(TBL_USUARIOS[[#This Row],[ID_MASSA]],tbl_de_massas[id_massa],tbl_de_massas[nome_completo],"--",0,1)</f>
        <v>Rafael Cavalcanti</v>
      </c>
      <c r="E279" t="str">
        <f>_xlfn.XLOOKUP(TBL_USUARIOS[[#This Row],[ID_MASSA]],tbl_de_massas[id_massa],tbl_de_massas[cartao_fisico_numero],"--",0,1)</f>
        <v>6062 8200 2799 8781</v>
      </c>
      <c r="F279" t="str">
        <f>_xlfn.XLOOKUP(TBL_USUARIOS[[#This Row],[ID_MASSA]],tbl_de_massas[id_massa],tbl_de_massas[nome_completo],"--",0,1)</f>
        <v>Rafael Cavalcanti</v>
      </c>
      <c r="G279" s="47">
        <f>_xlfn.XLOOKUP(TBL_USUARIOS[[#This Row],[ID_MASSA]],tbl_de_massas[id_massa],tbl_de_massas[saldo_conta],"--",0,1)</f>
        <v>2284.9499999999998</v>
      </c>
      <c r="H279" t="str">
        <f>_xlfn.XLOOKUP(TBL_USUARIOS[[#This Row],[ID_MASSA]],tbl_de_massas[id_massa],tbl_de_massas[nome_completo],"--",0,1)</f>
        <v>Rafael Cavalcanti</v>
      </c>
    </row>
    <row r="280" spans="1:8" x14ac:dyDescent="0.25">
      <c r="A280" s="2" t="s">
        <v>3636</v>
      </c>
      <c r="B280" t="str">
        <f>_xlfn.XLOOKUP(TBL_USUARIOS[[#This Row],[ID_MASSA]],tbl_de_massas[id_massa],tbl_de_massas[cpf],"--",0,1)</f>
        <v>36507272698</v>
      </c>
      <c r="C280" t="s">
        <v>12</v>
      </c>
      <c r="D280" t="str">
        <f>_xlfn.XLOOKUP(TBL_USUARIOS[[#This Row],[ID_MASSA]],tbl_de_massas[id_massa],tbl_de_massas[nome_completo],"--",0,1)</f>
        <v>Gabriel Monteiro Castro</v>
      </c>
      <c r="E280" t="str">
        <f>_xlfn.XLOOKUP(TBL_USUARIOS[[#This Row],[ID_MASSA]],tbl_de_massas[id_massa],tbl_de_massas[cartao_fisico_numero],"--",0,1)</f>
        <v>6505 0666 6055 2962</v>
      </c>
      <c r="F280" t="str">
        <f>_xlfn.XLOOKUP(TBL_USUARIOS[[#This Row],[ID_MASSA]],tbl_de_massas[id_massa],tbl_de_massas[nome_completo],"--",0,1)</f>
        <v>Gabriel Monteiro Castro</v>
      </c>
      <c r="G280" s="47">
        <f>_xlfn.XLOOKUP(TBL_USUARIOS[[#This Row],[ID_MASSA]],tbl_de_massas[id_massa],tbl_de_massas[saldo_conta],"--",0,1)</f>
        <v>2293.02</v>
      </c>
      <c r="H280" t="str">
        <f>_xlfn.XLOOKUP(TBL_USUARIOS[[#This Row],[ID_MASSA]],tbl_de_massas[id_massa],tbl_de_massas[nome_completo],"--",0,1)</f>
        <v>Gabriel Monteiro Castro</v>
      </c>
    </row>
    <row r="281" spans="1:8" x14ac:dyDescent="0.25">
      <c r="A281" s="2" t="s">
        <v>2406</v>
      </c>
      <c r="B281" s="14" t="str">
        <f>_xlfn.XLOOKUP(TBL_USUARIOS[[#This Row],[ID_MASSA]],tbl_de_massas[id_massa],tbl_de_massas[cpf],"--",0,1)</f>
        <v>17763275197</v>
      </c>
      <c r="C281" t="s">
        <v>12</v>
      </c>
      <c r="D281" t="str">
        <f>_xlfn.XLOOKUP(TBL_USUARIOS[[#This Row],[ID_MASSA]],tbl_de_massas[id_massa],tbl_de_massas[nome_completo],"--",0,1)</f>
        <v>Alicia Moraes</v>
      </c>
      <c r="E281" t="str">
        <f>_xlfn.XLOOKUP(TBL_USUARIOS[[#This Row],[ID_MASSA]],tbl_de_massas[id_massa],tbl_de_massas[cartao_fisico_numero],"--",0,1)</f>
        <v>5442 7460 0745 5341</v>
      </c>
      <c r="F281" t="str">
        <f>_xlfn.XLOOKUP(TBL_USUARIOS[[#This Row],[ID_MASSA]],tbl_de_massas[id_massa],tbl_de_massas[nome_completo],"--",0,1)</f>
        <v>Alicia Moraes</v>
      </c>
      <c r="G281" s="47">
        <f>_xlfn.XLOOKUP(TBL_USUARIOS[[#This Row],[ID_MASSA]],tbl_de_massas[id_massa],tbl_de_massas[saldo_conta],"--",0,1)</f>
        <v>2321.84</v>
      </c>
      <c r="H281" t="str">
        <f>_xlfn.XLOOKUP(TBL_USUARIOS[[#This Row],[ID_MASSA]],tbl_de_massas[id_massa],tbl_de_massas[nome_completo],"--",0,1)</f>
        <v>Alicia Moraes</v>
      </c>
    </row>
    <row r="282" spans="1:8" x14ac:dyDescent="0.25">
      <c r="A282" s="2" t="s">
        <v>2190</v>
      </c>
      <c r="B282" s="14" t="str">
        <f>_xlfn.XLOOKUP(TBL_USUARIOS[[#This Row],[ID_MASSA]],tbl_de_massas[id_massa],tbl_de_massas[cpf],"--",0,1)</f>
        <v>70000129979</v>
      </c>
      <c r="C282" t="s">
        <v>12</v>
      </c>
      <c r="D282" t="str">
        <f>_xlfn.XLOOKUP(TBL_USUARIOS[[#This Row],[ID_MASSA]],tbl_de_massas[id_massa],tbl_de_massas[nome_completo],"--",0,1)</f>
        <v>Comprador Monitor</v>
      </c>
      <c r="E282" t="str">
        <f>_xlfn.XLOOKUP(TBL_USUARIOS[[#This Row],[ID_MASSA]],tbl_de_massas[id_massa],tbl_de_massas[cartao_fisico_numero],"--",0,1)</f>
        <v>4576 7460 6058 7283</v>
      </c>
      <c r="F282" t="str">
        <f>_xlfn.XLOOKUP(TBL_USUARIOS[[#This Row],[ID_MASSA]],tbl_de_massas[id_massa],tbl_de_massas[nome_completo],"--",0,1)</f>
        <v>Comprador Monitor</v>
      </c>
      <c r="G282" s="47">
        <f>_xlfn.XLOOKUP(TBL_USUARIOS[[#This Row],[ID_MASSA]],tbl_de_massas[id_massa],tbl_de_massas[saldo_conta],"--",0,1)</f>
        <v>2353</v>
      </c>
      <c r="H282" t="str">
        <f>_xlfn.XLOOKUP(TBL_USUARIOS[[#This Row],[ID_MASSA]],tbl_de_massas[id_massa],tbl_de_massas[nome_completo],"--",0,1)</f>
        <v>Comprador Monitor</v>
      </c>
    </row>
    <row r="283" spans="1:8" x14ac:dyDescent="0.25">
      <c r="A283" s="2" t="s">
        <v>6241</v>
      </c>
      <c r="B283" t="str">
        <f>_xlfn.XLOOKUP(TBL_USUARIOS[[#This Row],[ID_MASSA]],tbl_de_massas[id_massa],tbl_de_massas[cpf],"--",0,1)</f>
        <v>66351633281</v>
      </c>
      <c r="C283" t="s">
        <v>12</v>
      </c>
      <c r="D283" t="str">
        <f>_xlfn.XLOOKUP(TBL_USUARIOS[[#This Row],[ID_MASSA]],tbl_de_massas[id_massa],tbl_de_massas[nome_completo],"--",0,1)</f>
        <v>Daniel Scott</v>
      </c>
      <c r="E283" t="str">
        <f>_xlfn.XLOOKUP(TBL_USUARIOS[[#This Row],[ID_MASSA]],tbl_de_massas[id_massa],tbl_de_massas[cartao_fisico_numero],"--",0,1)</f>
        <v>5442 7460 2948 5430</v>
      </c>
      <c r="F283" t="str">
        <f>_xlfn.XLOOKUP(TBL_USUARIOS[[#This Row],[ID_MASSA]],tbl_de_massas[id_massa],tbl_de_massas[nome_completo],"--",0,1)</f>
        <v>Daniel Scott</v>
      </c>
      <c r="G283" s="47">
        <f>_xlfn.XLOOKUP(TBL_USUARIOS[[#This Row],[ID_MASSA]],tbl_de_massas[id_massa],tbl_de_massas[saldo_conta],"--",0,1)</f>
        <v>2364.13</v>
      </c>
      <c r="H283" t="str">
        <f>_xlfn.XLOOKUP(TBL_USUARIOS[[#This Row],[ID_MASSA]],tbl_de_massas[id_massa],tbl_de_massas[nome_completo],"--",0,1)</f>
        <v>Daniel Scott</v>
      </c>
    </row>
    <row r="284" spans="1:8" x14ac:dyDescent="0.25">
      <c r="A284" s="2" t="s">
        <v>2268</v>
      </c>
      <c r="B284" s="14" t="str">
        <f>_xlfn.XLOOKUP(TBL_USUARIOS[[#This Row],[ID_MASSA]],tbl_de_massas[id_massa],tbl_de_massas[cpf],"--",0,1)</f>
        <v>07817267197</v>
      </c>
      <c r="C284" t="s">
        <v>12</v>
      </c>
      <c r="D284" t="str">
        <f>_xlfn.XLOOKUP(TBL_USUARIOS[[#This Row],[ID_MASSA]],tbl_de_massas[id_massa],tbl_de_massas[nome_completo],"--",0,1)</f>
        <v>Adrienne Giraud</v>
      </c>
      <c r="E284" t="str">
        <f>_xlfn.XLOOKUP(TBL_USUARIOS[[#This Row],[ID_MASSA]],tbl_de_massas[id_massa],tbl_de_massas[cartao_fisico_numero],"--",0,1)</f>
        <v>4203 1060 2877 0990</v>
      </c>
      <c r="F284" t="str">
        <f>_xlfn.XLOOKUP(TBL_USUARIOS[[#This Row],[ID_MASSA]],tbl_de_massas[id_massa],tbl_de_massas[nome_completo],"--",0,1)</f>
        <v>Adrienne Giraud</v>
      </c>
      <c r="G284" s="47">
        <f>_xlfn.XLOOKUP(TBL_USUARIOS[[#This Row],[ID_MASSA]],tbl_de_massas[id_massa],tbl_de_massas[saldo_conta],"--",0,1)</f>
        <v>2402.96</v>
      </c>
      <c r="H284" t="str">
        <f>_xlfn.XLOOKUP(TBL_USUARIOS[[#This Row],[ID_MASSA]],tbl_de_massas[id_massa],tbl_de_massas[nome_completo],"--",0,1)</f>
        <v>Adrienne Giraud</v>
      </c>
    </row>
    <row r="285" spans="1:8" x14ac:dyDescent="0.25">
      <c r="A285" s="2" t="s">
        <v>3456</v>
      </c>
      <c r="B285" t="str">
        <f>_xlfn.XLOOKUP(TBL_USUARIOS[[#This Row],[ID_MASSA]],tbl_de_massas[id_massa],tbl_de_massas[cpf],"--",0,1)</f>
        <v>10085157015</v>
      </c>
      <c r="C285" t="s">
        <v>12</v>
      </c>
      <c r="D285" t="str">
        <f>_xlfn.XLOOKUP(TBL_USUARIOS[[#This Row],[ID_MASSA]],tbl_de_massas[id_massa],tbl_de_massas[nome_completo],"--",0,1)</f>
        <v>Bianca Lima</v>
      </c>
      <c r="E285" t="str">
        <f>_xlfn.XLOOKUP(TBL_USUARIOS[[#This Row],[ID_MASSA]],tbl_de_massas[id_massa],tbl_de_massas[cartao_fisico_numero],"--",0,1)</f>
        <v>6505 0666 4436 7507</v>
      </c>
      <c r="F285" t="str">
        <f>_xlfn.XLOOKUP(TBL_USUARIOS[[#This Row],[ID_MASSA]],tbl_de_massas[id_massa],tbl_de_massas[nome_completo],"--",0,1)</f>
        <v>Bianca Lima</v>
      </c>
      <c r="G285" s="47">
        <f>_xlfn.XLOOKUP(TBL_USUARIOS[[#This Row],[ID_MASSA]],tbl_de_massas[id_massa],tbl_de_massas[saldo_conta],"--",0,1)</f>
        <v>2421.09</v>
      </c>
      <c r="H285" t="str">
        <f>_xlfn.XLOOKUP(TBL_USUARIOS[[#This Row],[ID_MASSA]],tbl_de_massas[id_massa],tbl_de_massas[nome_completo],"--",0,1)</f>
        <v>Bianca Lima</v>
      </c>
    </row>
    <row r="286" spans="1:8" x14ac:dyDescent="0.25">
      <c r="A286" s="2" t="s">
        <v>3613</v>
      </c>
      <c r="B286" t="str">
        <f>_xlfn.XLOOKUP(TBL_USUARIOS[[#This Row],[ID_MASSA]],tbl_de_massas[id_massa],tbl_de_massas[cpf],"--",0,1)</f>
        <v>40199175314</v>
      </c>
      <c r="C286" t="s">
        <v>12</v>
      </c>
      <c r="D286" t="str">
        <f>_xlfn.XLOOKUP(TBL_USUARIOS[[#This Row],[ID_MASSA]],tbl_de_massas[id_massa],tbl_de_massas[nome_completo],"--",0,1)</f>
        <v>Diego Carvalho</v>
      </c>
      <c r="E286" t="str">
        <f>_xlfn.XLOOKUP(TBL_USUARIOS[[#This Row],[ID_MASSA]],tbl_de_massas[id_massa],tbl_de_massas[cartao_fisico_numero],"--",0,1)</f>
        <v>4576 7460 4823 2011</v>
      </c>
      <c r="F286" t="str">
        <f>_xlfn.XLOOKUP(TBL_USUARIOS[[#This Row],[ID_MASSA]],tbl_de_massas[id_massa],tbl_de_massas[nome_completo],"--",0,1)</f>
        <v>Diego Carvalho</v>
      </c>
      <c r="G286" s="47">
        <f>_xlfn.XLOOKUP(TBL_USUARIOS[[#This Row],[ID_MASSA]],tbl_de_massas[id_massa],tbl_de_massas[saldo_conta],"--",0,1)</f>
        <v>296.51</v>
      </c>
      <c r="H286" t="str">
        <f>_xlfn.XLOOKUP(TBL_USUARIOS[[#This Row],[ID_MASSA]],tbl_de_massas[id_massa],tbl_de_massas[nome_completo],"--",0,1)</f>
        <v>Diego Carvalho</v>
      </c>
    </row>
    <row r="287" spans="1:8" x14ac:dyDescent="0.25">
      <c r="A287" s="2" t="s">
        <v>5534</v>
      </c>
      <c r="B287" t="str">
        <f>_xlfn.XLOOKUP(TBL_USUARIOS[[#This Row],[ID_MASSA]],tbl_de_massas[id_massa],tbl_de_massas[cpf],"--",0,1)</f>
        <v>08126383798</v>
      </c>
      <c r="C287" t="s">
        <v>12</v>
      </c>
      <c r="D287" t="str">
        <f>_xlfn.XLOOKUP(TBL_USUARIOS[[#This Row],[ID_MASSA]],tbl_de_massas[id_massa],tbl_de_massas[nome_completo],"--",0,1)</f>
        <v>Carolina Freitas</v>
      </c>
      <c r="E287" t="str">
        <f>_xlfn.XLOOKUP(TBL_USUARIOS[[#This Row],[ID_MASSA]],tbl_de_massas[id_massa],tbl_de_massas[cartao_fisico_numero],"--",0,1)</f>
        <v/>
      </c>
      <c r="F287" t="str">
        <f>_xlfn.XLOOKUP(TBL_USUARIOS[[#This Row],[ID_MASSA]],tbl_de_massas[id_massa],tbl_de_massas[nome_completo],"--",0,1)</f>
        <v>Carolina Freitas</v>
      </c>
      <c r="G287" s="47">
        <f>_xlfn.XLOOKUP(TBL_USUARIOS[[#This Row],[ID_MASSA]],tbl_de_massas[id_massa],tbl_de_massas[saldo_conta],"--",0,1)</f>
        <v>2444.27</v>
      </c>
      <c r="H287" t="str">
        <f>_xlfn.XLOOKUP(TBL_USUARIOS[[#This Row],[ID_MASSA]],tbl_de_massas[id_massa],tbl_de_massas[nome_completo],"--",0,1)</f>
        <v>Carolina Freitas</v>
      </c>
    </row>
    <row r="288" spans="1:8" x14ac:dyDescent="0.25">
      <c r="A288" s="2" t="s">
        <v>5058</v>
      </c>
      <c r="B288" t="str">
        <f>_xlfn.XLOOKUP(TBL_USUARIOS[[#This Row],[ID_MASSA]],tbl_de_massas[id_massa],tbl_de_massas[cpf],"--",0,1)</f>
        <v>83600860607</v>
      </c>
      <c r="C288" t="s">
        <v>12</v>
      </c>
      <c r="D288" t="str">
        <f>_xlfn.XLOOKUP(TBL_USUARIOS[[#This Row],[ID_MASSA]],tbl_de_massas[id_massa],tbl_de_massas[nome_completo],"--",0,1)</f>
        <v>Gabriel Fernandes</v>
      </c>
      <c r="E288" t="str">
        <f>_xlfn.XLOOKUP(TBL_USUARIOS[[#This Row],[ID_MASSA]],tbl_de_massas[id_massa],tbl_de_massas[cartao_fisico_numero],"--",0,1)</f>
        <v>6505 0666 5685 2262</v>
      </c>
      <c r="F288" t="str">
        <f>_xlfn.XLOOKUP(TBL_USUARIOS[[#This Row],[ID_MASSA]],tbl_de_massas[id_massa],tbl_de_massas[nome_completo],"--",0,1)</f>
        <v>Gabriel Fernandes</v>
      </c>
      <c r="G288" s="47">
        <f>_xlfn.XLOOKUP(TBL_USUARIOS[[#This Row],[ID_MASSA]],tbl_de_massas[id_massa],tbl_de_massas[saldo_conta],"--",0,1)</f>
        <v>2454.9</v>
      </c>
      <c r="H288" t="str">
        <f>_xlfn.XLOOKUP(TBL_USUARIOS[[#This Row],[ID_MASSA]],tbl_de_massas[id_massa],tbl_de_massas[nome_completo],"--",0,1)</f>
        <v>Gabriel Fernandes</v>
      </c>
    </row>
    <row r="289" spans="1:8" x14ac:dyDescent="0.25">
      <c r="A289" s="2" t="s">
        <v>4644</v>
      </c>
      <c r="B289" t="str">
        <f>_xlfn.XLOOKUP(TBL_USUARIOS[[#This Row],[ID_MASSA]],tbl_de_massas[id_massa],tbl_de_massas[cpf],"--",0,1)</f>
        <v>79640889393</v>
      </c>
      <c r="C289" t="s">
        <v>12</v>
      </c>
      <c r="D289" t="str">
        <f>_xlfn.XLOOKUP(TBL_USUARIOS[[#This Row],[ID_MASSA]],tbl_de_massas[id_massa],tbl_de_massas[nome_completo],"--",0,1)</f>
        <v>Danilo Cavalcanti Nunes</v>
      </c>
      <c r="E289" t="str">
        <f>_xlfn.XLOOKUP(TBL_USUARIOS[[#This Row],[ID_MASSA]],tbl_de_massas[id_massa],tbl_de_massas[cartao_fisico_numero],"--",0,1)</f>
        <v>4576 7460 1478 2945</v>
      </c>
      <c r="F289" t="str">
        <f>_xlfn.XLOOKUP(TBL_USUARIOS[[#This Row],[ID_MASSA]],tbl_de_massas[id_massa],tbl_de_massas[nome_completo],"--",0,1)</f>
        <v>Danilo Cavalcanti Nunes</v>
      </c>
      <c r="G289" s="47">
        <f>_xlfn.XLOOKUP(TBL_USUARIOS[[#This Row],[ID_MASSA]],tbl_de_massas[id_massa],tbl_de_massas[saldo_conta],"--",0,1)</f>
        <v>2476.92</v>
      </c>
      <c r="H289" t="str">
        <f>_xlfn.XLOOKUP(TBL_USUARIOS[[#This Row],[ID_MASSA]],tbl_de_massas[id_massa],tbl_de_massas[nome_completo],"--",0,1)</f>
        <v>Danilo Cavalcanti Nunes</v>
      </c>
    </row>
    <row r="290" spans="1:8" x14ac:dyDescent="0.25">
      <c r="A290" s="2" t="s">
        <v>2135</v>
      </c>
      <c r="B290" s="14" t="str">
        <f>_xlfn.XLOOKUP(TBL_USUARIOS[[#This Row],[ID_MASSA]],tbl_de_massas[id_massa],tbl_de_massas[cpf],"--",0,1)</f>
        <v>15351515369</v>
      </c>
      <c r="C290" t="s">
        <v>12</v>
      </c>
      <c r="D290" t="str">
        <f>_xlfn.XLOOKUP(TBL_USUARIOS[[#This Row],[ID_MASSA]],tbl_de_massas[id_massa],tbl_de_massas[nome_completo],"--",0,1)</f>
        <v>Fatima Al-Harbi</v>
      </c>
      <c r="E290" t="str">
        <f>_xlfn.XLOOKUP(TBL_USUARIOS[[#This Row],[ID_MASSA]],tbl_de_massas[id_massa],tbl_de_massas[cartao_fisico_numero],"--",0,1)</f>
        <v>6505 0666 9490 5042</v>
      </c>
      <c r="F290" t="str">
        <f>_xlfn.XLOOKUP(TBL_USUARIOS[[#This Row],[ID_MASSA]],tbl_de_massas[id_massa],tbl_de_massas[nome_completo],"--",0,1)</f>
        <v>Fatima Al-Harbi</v>
      </c>
      <c r="G290" s="47">
        <f>_xlfn.XLOOKUP(TBL_USUARIOS[[#This Row],[ID_MASSA]],tbl_de_massas[id_massa],tbl_de_massas[saldo_conta],"--",0,1)</f>
        <v>2477.81</v>
      </c>
      <c r="H290" t="str">
        <f>_xlfn.XLOOKUP(TBL_USUARIOS[[#This Row],[ID_MASSA]],tbl_de_massas[id_massa],tbl_de_massas[nome_completo],"--",0,1)</f>
        <v>Fatima Al-Harbi</v>
      </c>
    </row>
    <row r="291" spans="1:8" x14ac:dyDescent="0.25">
      <c r="A291" s="2" t="s">
        <v>6257</v>
      </c>
      <c r="B291" t="str">
        <f>_xlfn.XLOOKUP(TBL_USUARIOS[[#This Row],[ID_MASSA]],tbl_de_massas[id_massa],tbl_de_massas[cpf],"--",0,1)</f>
        <v>61427748853</v>
      </c>
      <c r="C291" t="s">
        <v>12</v>
      </c>
      <c r="D291" t="str">
        <f>_xlfn.XLOOKUP(TBL_USUARIOS[[#This Row],[ID_MASSA]],tbl_de_massas[id_massa],tbl_de_massas[nome_completo],"--",0,1)</f>
        <v>William Hernandez</v>
      </c>
      <c r="E291" t="str">
        <f>_xlfn.XLOOKUP(TBL_USUARIOS[[#This Row],[ID_MASSA]],tbl_de_massas[id_massa],tbl_de_massas[cartao_fisico_numero],"--",0,1)</f>
        <v/>
      </c>
      <c r="F291" t="str">
        <f>_xlfn.XLOOKUP(TBL_USUARIOS[[#This Row],[ID_MASSA]],tbl_de_massas[id_massa],tbl_de_massas[nome_completo],"--",0,1)</f>
        <v>William Hernandez</v>
      </c>
      <c r="G291" s="47">
        <f>_xlfn.XLOOKUP(TBL_USUARIOS[[#This Row],[ID_MASSA]],tbl_de_massas[id_massa],tbl_de_massas[saldo_conta],"--",0,1)</f>
        <v>2489.21</v>
      </c>
      <c r="H291" t="str">
        <f>_xlfn.XLOOKUP(TBL_USUARIOS[[#This Row],[ID_MASSA]],tbl_de_massas[id_massa],tbl_de_massas[nome_completo],"--",0,1)</f>
        <v>William Hernandez</v>
      </c>
    </row>
    <row r="292" spans="1:8" x14ac:dyDescent="0.25">
      <c r="A292" s="2" t="s">
        <v>4963</v>
      </c>
      <c r="B292" t="str">
        <f>_xlfn.XLOOKUP(TBL_USUARIOS[[#This Row],[ID_MASSA]],tbl_de_massas[id_massa],tbl_de_massas[cpf],"--",0,1)</f>
        <v>17847895188</v>
      </c>
      <c r="C292" t="s">
        <v>12</v>
      </c>
      <c r="D292" t="str">
        <f>_xlfn.XLOOKUP(TBL_USUARIOS[[#This Row],[ID_MASSA]],tbl_de_massas[id_massa],tbl_de_massas[nome_completo],"--",0,1)</f>
        <v>Eduardo Vieira Castro</v>
      </c>
      <c r="E292" t="str">
        <f>_xlfn.XLOOKUP(TBL_USUARIOS[[#This Row],[ID_MASSA]],tbl_de_massas[id_massa],tbl_de_massas[cartao_fisico_numero],"--",0,1)</f>
        <v>6505 0666 9971 2563</v>
      </c>
      <c r="F292" t="str">
        <f>_xlfn.XLOOKUP(TBL_USUARIOS[[#This Row],[ID_MASSA]],tbl_de_massas[id_massa],tbl_de_massas[nome_completo],"--",0,1)</f>
        <v>Eduardo Vieira Castro</v>
      </c>
      <c r="G292" s="47">
        <f>_xlfn.XLOOKUP(TBL_USUARIOS[[#This Row],[ID_MASSA]],tbl_de_massas[id_massa],tbl_de_massas[saldo_conta],"--",0,1)</f>
        <v>2496.0100000000002</v>
      </c>
      <c r="H292" t="str">
        <f>_xlfn.XLOOKUP(TBL_USUARIOS[[#This Row],[ID_MASSA]],tbl_de_massas[id_massa],tbl_de_massas[nome_completo],"--",0,1)</f>
        <v>Eduardo Vieira Castro</v>
      </c>
    </row>
    <row r="293" spans="1:8" x14ac:dyDescent="0.25">
      <c r="A293" s="2" t="s">
        <v>2425</v>
      </c>
      <c r="B293" s="14" t="str">
        <f>_xlfn.XLOOKUP(TBL_USUARIOS[[#This Row],[ID_MASSA]],tbl_de_massas[id_massa],tbl_de_massas[cpf],"--",0,1)</f>
        <v>77671688088</v>
      </c>
      <c r="C293" t="s">
        <v>12</v>
      </c>
      <c r="D293" t="str">
        <f>_xlfn.XLOOKUP(TBL_USUARIOS[[#This Row],[ID_MASSA]],tbl_de_massas[id_massa],tbl_de_massas[nome_completo],"--",0,1)</f>
        <v>Emily Rose Johnson</v>
      </c>
      <c r="E293" t="str">
        <f>_xlfn.XLOOKUP(TBL_USUARIOS[[#This Row],[ID_MASSA]],tbl_de_massas[id_massa],tbl_de_massas[cartao_fisico_numero],"--",0,1)</f>
        <v>3782 792990 4076</v>
      </c>
      <c r="F293" t="str">
        <f>_xlfn.XLOOKUP(TBL_USUARIOS[[#This Row],[ID_MASSA]],tbl_de_massas[id_massa],tbl_de_massas[nome_completo],"--",0,1)</f>
        <v>Emily Rose Johnson</v>
      </c>
      <c r="G293" s="47">
        <f>_xlfn.XLOOKUP(TBL_USUARIOS[[#This Row],[ID_MASSA]],tbl_de_massas[id_massa],tbl_de_massas[saldo_conta],"--",0,1)</f>
        <v>2502.21</v>
      </c>
      <c r="H293" t="str">
        <f>_xlfn.XLOOKUP(TBL_USUARIOS[[#This Row],[ID_MASSA]],tbl_de_massas[id_massa],tbl_de_massas[nome_completo],"--",0,1)</f>
        <v>Emily Rose Johnson</v>
      </c>
    </row>
    <row r="294" spans="1:8" x14ac:dyDescent="0.25">
      <c r="A294" s="2" t="s">
        <v>4099</v>
      </c>
      <c r="B294" t="str">
        <f>_xlfn.XLOOKUP(TBL_USUARIOS[[#This Row],[ID_MASSA]],tbl_de_massas[id_massa],tbl_de_massas[cpf],"--",0,1)</f>
        <v>57874112857</v>
      </c>
      <c r="C294" t="s">
        <v>12</v>
      </c>
      <c r="D294" t="str">
        <f>_xlfn.XLOOKUP(TBL_USUARIOS[[#This Row],[ID_MASSA]],tbl_de_massas[id_massa],tbl_de_massas[nome_completo],"--",0,1)</f>
        <v>Gabriela Lima</v>
      </c>
      <c r="E294" t="str">
        <f>_xlfn.XLOOKUP(TBL_USUARIOS[[#This Row],[ID_MASSA]],tbl_de_massas[id_massa],tbl_de_massas[cartao_fisico_numero],"--",0,1)</f>
        <v/>
      </c>
      <c r="F294" t="str">
        <f>_xlfn.XLOOKUP(TBL_USUARIOS[[#This Row],[ID_MASSA]],tbl_de_massas[id_massa],tbl_de_massas[nome_completo],"--",0,1)</f>
        <v>Gabriela Lima</v>
      </c>
      <c r="G294" s="47">
        <f>_xlfn.XLOOKUP(TBL_USUARIOS[[#This Row],[ID_MASSA]],tbl_de_massas[id_massa],tbl_de_massas[saldo_conta],"--",0,1)</f>
        <v>2512.58</v>
      </c>
      <c r="H294" t="str">
        <f>_xlfn.XLOOKUP(TBL_USUARIOS[[#This Row],[ID_MASSA]],tbl_de_massas[id_massa],tbl_de_massas[nome_completo],"--",0,1)</f>
        <v>Gabriela Lima</v>
      </c>
    </row>
    <row r="295" spans="1:8" x14ac:dyDescent="0.25">
      <c r="A295" s="2" t="s">
        <v>5382</v>
      </c>
      <c r="B295" t="str">
        <f>_xlfn.XLOOKUP(TBL_USUARIOS[[#This Row],[ID_MASSA]],tbl_de_massas[id_massa],tbl_de_massas[cpf],"--",0,1)</f>
        <v>38294813141</v>
      </c>
      <c r="C295" t="s">
        <v>12</v>
      </c>
      <c r="D295" t="str">
        <f>_xlfn.XLOOKUP(TBL_USUARIOS[[#This Row],[ID_MASSA]],tbl_de_massas[id_massa],tbl_de_massas[nome_completo],"--",0,1)</f>
        <v>Diego Fernandes</v>
      </c>
      <c r="E295" t="str">
        <f>_xlfn.XLOOKUP(TBL_USUARIOS[[#This Row],[ID_MASSA]],tbl_de_massas[id_massa],tbl_de_massas[cartao_fisico_numero],"--",0,1)</f>
        <v>4576 7460 9002 0784</v>
      </c>
      <c r="F295" t="str">
        <f>_xlfn.XLOOKUP(TBL_USUARIOS[[#This Row],[ID_MASSA]],tbl_de_massas[id_massa],tbl_de_massas[nome_completo],"--",0,1)</f>
        <v>Diego Fernandes</v>
      </c>
      <c r="G295" s="47">
        <f>_xlfn.XLOOKUP(TBL_USUARIOS[[#This Row],[ID_MASSA]],tbl_de_massas[id_massa],tbl_de_massas[saldo_conta],"--",0,1)</f>
        <v>2514.62</v>
      </c>
      <c r="H295" t="str">
        <f>_xlfn.XLOOKUP(TBL_USUARIOS[[#This Row],[ID_MASSA]],tbl_de_massas[id_massa],tbl_de_massas[nome_completo],"--",0,1)</f>
        <v>Diego Fernandes</v>
      </c>
    </row>
    <row r="296" spans="1:8" x14ac:dyDescent="0.25">
      <c r="A296" s="2" t="s">
        <v>4404</v>
      </c>
      <c r="B296" t="str">
        <f>_xlfn.XLOOKUP(TBL_USUARIOS[[#This Row],[ID_MASSA]],tbl_de_massas[id_massa],tbl_de_massas[cpf],"--",0,1)</f>
        <v>94618280476</v>
      </c>
      <c r="C296" t="s">
        <v>12</v>
      </c>
      <c r="D296" t="str">
        <f>_xlfn.XLOOKUP(TBL_USUARIOS[[#This Row],[ID_MASSA]],tbl_de_massas[id_massa],tbl_de_massas[nome_completo],"--",0,1)</f>
        <v>Rafael Nunes</v>
      </c>
      <c r="E296" t="str">
        <f>_xlfn.XLOOKUP(TBL_USUARIOS[[#This Row],[ID_MASSA]],tbl_de_massas[id_massa],tbl_de_massas[cartao_fisico_numero],"--",0,1)</f>
        <v>3782 186310 6676</v>
      </c>
      <c r="F296" t="str">
        <f>_xlfn.XLOOKUP(TBL_USUARIOS[[#This Row],[ID_MASSA]],tbl_de_massas[id_massa],tbl_de_massas[nome_completo],"--",0,1)</f>
        <v>Rafael Nunes</v>
      </c>
      <c r="G296" s="47">
        <f>_xlfn.XLOOKUP(TBL_USUARIOS[[#This Row],[ID_MASSA]],tbl_de_massas[id_massa],tbl_de_massas[saldo_conta],"--",0,1)</f>
        <v>2524.37</v>
      </c>
      <c r="H296" t="str">
        <f>_xlfn.XLOOKUP(TBL_USUARIOS[[#This Row],[ID_MASSA]],tbl_de_massas[id_massa],tbl_de_massas[nome_completo],"--",0,1)</f>
        <v>Rafael Nunes</v>
      </c>
    </row>
    <row r="297" spans="1:8" x14ac:dyDescent="0.25">
      <c r="A297" s="2" t="s">
        <v>5964</v>
      </c>
      <c r="B297" t="str">
        <f>_xlfn.XLOOKUP(TBL_USUARIOS[[#This Row],[ID_MASSA]],tbl_de_massas[id_massa],tbl_de_massas[cpf],"--",0,1)</f>
        <v>15320529791</v>
      </c>
      <c r="C297" t="s">
        <v>12</v>
      </c>
      <c r="D297" t="str">
        <f>_xlfn.XLOOKUP(TBL_USUARIOS[[#This Row],[ID_MASSA]],tbl_de_massas[id_massa],tbl_de_massas[nome_completo],"--",0,1)</f>
        <v>Vinicius Pinto Almeida</v>
      </c>
      <c r="E297" t="str">
        <f>_xlfn.XLOOKUP(TBL_USUARIOS[[#This Row],[ID_MASSA]],tbl_de_massas[id_massa],tbl_de_massas[cartao_fisico_numero],"--",0,1)</f>
        <v/>
      </c>
      <c r="F297" t="str">
        <f>_xlfn.XLOOKUP(TBL_USUARIOS[[#This Row],[ID_MASSA]],tbl_de_massas[id_massa],tbl_de_massas[nome_completo],"--",0,1)</f>
        <v>Vinicius Pinto Almeida</v>
      </c>
      <c r="G297" s="47">
        <f>_xlfn.XLOOKUP(TBL_USUARIOS[[#This Row],[ID_MASSA]],tbl_de_massas[id_massa],tbl_de_massas[saldo_conta],"--",0,1)</f>
        <v>2524.4</v>
      </c>
      <c r="H297" t="str">
        <f>_xlfn.XLOOKUP(TBL_USUARIOS[[#This Row],[ID_MASSA]],tbl_de_massas[id_massa],tbl_de_massas[nome_completo],"--",0,1)</f>
        <v>Vinicius Pinto Almeida</v>
      </c>
    </row>
    <row r="298" spans="1:8" x14ac:dyDescent="0.25">
      <c r="A298" s="2" t="s">
        <v>5842</v>
      </c>
      <c r="B298" t="str">
        <f>_xlfn.XLOOKUP(TBL_USUARIOS[[#This Row],[ID_MASSA]],tbl_de_massas[id_massa],tbl_de_massas[cpf],"--",0,1)</f>
        <v>37799131004</v>
      </c>
      <c r="C298" t="s">
        <v>12</v>
      </c>
      <c r="D298" t="str">
        <f>_xlfn.XLOOKUP(TBL_USUARIOS[[#This Row],[ID_MASSA]],tbl_de_massas[id_massa],tbl_de_massas[nome_completo],"--",0,1)</f>
        <v>Fernanda Campos</v>
      </c>
      <c r="E298" t="str">
        <f>_xlfn.XLOOKUP(TBL_USUARIOS[[#This Row],[ID_MASSA]],tbl_de_massas[id_massa],tbl_de_massas[cartao_fisico_numero],"--",0,1)</f>
        <v>4576 7460 4100 4804</v>
      </c>
      <c r="F298" t="str">
        <f>_xlfn.XLOOKUP(TBL_USUARIOS[[#This Row],[ID_MASSA]],tbl_de_massas[id_massa],tbl_de_massas[nome_completo],"--",0,1)</f>
        <v>Fernanda Campos</v>
      </c>
      <c r="G298" s="47">
        <f>_xlfn.XLOOKUP(TBL_USUARIOS[[#This Row],[ID_MASSA]],tbl_de_massas[id_massa],tbl_de_massas[saldo_conta],"--",0,1)</f>
        <v>2534.75</v>
      </c>
      <c r="H298" t="str">
        <f>_xlfn.XLOOKUP(TBL_USUARIOS[[#This Row],[ID_MASSA]],tbl_de_massas[id_massa],tbl_de_massas[nome_completo],"--",0,1)</f>
        <v>Fernanda Campos</v>
      </c>
    </row>
    <row r="299" spans="1:8" x14ac:dyDescent="0.25">
      <c r="A299" s="2" t="s">
        <v>4536</v>
      </c>
      <c r="B299" t="str">
        <f>_xlfn.XLOOKUP(TBL_USUARIOS[[#This Row],[ID_MASSA]],tbl_de_massas[id_massa],tbl_de_massas[cpf],"--",0,1)</f>
        <v>99303514262</v>
      </c>
      <c r="C299" t="s">
        <v>12</v>
      </c>
      <c r="D299" t="str">
        <f>_xlfn.XLOOKUP(TBL_USUARIOS[[#This Row],[ID_MASSA]],tbl_de_massas[id_massa],tbl_de_massas[nome_completo],"--",0,1)</f>
        <v>Mariana Lima Dias</v>
      </c>
      <c r="E299" t="str">
        <f>_xlfn.XLOOKUP(TBL_USUARIOS[[#This Row],[ID_MASSA]],tbl_de_massas[id_massa],tbl_de_massas[cartao_fisico_numero],"--",0,1)</f>
        <v/>
      </c>
      <c r="F299" t="str">
        <f>_xlfn.XLOOKUP(TBL_USUARIOS[[#This Row],[ID_MASSA]],tbl_de_massas[id_massa],tbl_de_massas[nome_completo],"--",0,1)</f>
        <v>Mariana Lima Dias</v>
      </c>
      <c r="G299" s="47">
        <f>_xlfn.XLOOKUP(TBL_USUARIOS[[#This Row],[ID_MASSA]],tbl_de_massas[id_massa],tbl_de_massas[saldo_conta],"--",0,1)</f>
        <v>2558.67</v>
      </c>
      <c r="H299" t="str">
        <f>_xlfn.XLOOKUP(TBL_USUARIOS[[#This Row],[ID_MASSA]],tbl_de_massas[id_massa],tbl_de_massas[nome_completo],"--",0,1)</f>
        <v>Mariana Lima Dias</v>
      </c>
    </row>
    <row r="300" spans="1:8" x14ac:dyDescent="0.25">
      <c r="A300" s="2" t="s">
        <v>2178</v>
      </c>
      <c r="B300" s="14" t="str">
        <f>_xlfn.XLOOKUP(TBL_USUARIOS[[#This Row],[ID_MASSA]],tbl_de_massas[id_massa],tbl_de_massas[cpf],"--",0,1)</f>
        <v>13912221138</v>
      </c>
      <c r="C300" t="s">
        <v>12</v>
      </c>
      <c r="D300" t="str">
        <f>_xlfn.XLOOKUP(TBL_USUARIOS[[#This Row],[ID_MASSA]],tbl_de_massas[id_massa],tbl_de_massas[nome_completo],"--",0,1)</f>
        <v>Lukas Schneider</v>
      </c>
      <c r="E300" t="str">
        <f>_xlfn.XLOOKUP(TBL_USUARIOS[[#This Row],[ID_MASSA]],tbl_de_massas[id_massa],tbl_de_massas[cartao_fisico_numero],"--",0,1)</f>
        <v>3782 760745 3409</v>
      </c>
      <c r="F300" t="str">
        <f>_xlfn.XLOOKUP(TBL_USUARIOS[[#This Row],[ID_MASSA]],tbl_de_massas[id_massa],tbl_de_massas[nome_completo],"--",0,1)</f>
        <v>Lukas Schneider</v>
      </c>
      <c r="G300" s="47">
        <f>_xlfn.XLOOKUP(TBL_USUARIOS[[#This Row],[ID_MASSA]],tbl_de_massas[id_massa],tbl_de_massas[saldo_conta],"--",0,1)</f>
        <v>2559.06</v>
      </c>
      <c r="H300" t="str">
        <f>_xlfn.XLOOKUP(TBL_USUARIOS[[#This Row],[ID_MASSA]],tbl_de_massas[id_massa],tbl_de_massas[nome_completo],"--",0,1)</f>
        <v>Lukas Schneider</v>
      </c>
    </row>
    <row r="301" spans="1:8" x14ac:dyDescent="0.25">
      <c r="A301" s="2" t="s">
        <v>6590</v>
      </c>
      <c r="B301" t="str">
        <f>_xlfn.XLOOKUP(TBL_USUARIOS[[#This Row],[ID_MASSA]],tbl_de_massas[id_massa],tbl_de_massas[cpf],"--",0,1)</f>
        <v>60395856680</v>
      </c>
      <c r="C301" t="s">
        <v>12</v>
      </c>
      <c r="D301" t="str">
        <f>_xlfn.XLOOKUP(TBL_USUARIOS[[#This Row],[ID_MASSA]],tbl_de_massas[id_massa],tbl_de_massas[nome_completo],"--",0,1)</f>
        <v>Na Hu</v>
      </c>
      <c r="E301" t="str">
        <f>_xlfn.XLOOKUP(TBL_USUARIOS[[#This Row],[ID_MASSA]],tbl_de_massas[id_massa],tbl_de_massas[cartao_fisico_numero],"--",0,1)</f>
        <v/>
      </c>
      <c r="F301" t="str">
        <f>_xlfn.XLOOKUP(TBL_USUARIOS[[#This Row],[ID_MASSA]],tbl_de_massas[id_massa],tbl_de_massas[nome_completo],"--",0,1)</f>
        <v>Na Hu</v>
      </c>
      <c r="G301" s="47">
        <f>_xlfn.XLOOKUP(TBL_USUARIOS[[#This Row],[ID_MASSA]],tbl_de_massas[id_massa],tbl_de_massas[saldo_conta],"--",0,1)</f>
        <v>2629.15</v>
      </c>
      <c r="H301" t="str">
        <f>_xlfn.XLOOKUP(TBL_USUARIOS[[#This Row],[ID_MASSA]],tbl_de_massas[id_massa],tbl_de_massas[nome_completo],"--",0,1)</f>
        <v>Na Hu</v>
      </c>
    </row>
    <row r="302" spans="1:8" x14ac:dyDescent="0.25">
      <c r="A302" s="2" t="s">
        <v>2975</v>
      </c>
      <c r="B302" t="str">
        <f>_xlfn.XLOOKUP(TBL_USUARIOS[[#This Row],[ID_MASSA]],tbl_de_massas[id_massa],tbl_de_massas[cpf],"--",0,1)</f>
        <v>30898966566</v>
      </c>
      <c r="C302" t="s">
        <v>12</v>
      </c>
      <c r="D302" t="str">
        <f>_xlfn.XLOOKUP(TBL_USUARIOS[[#This Row],[ID_MASSA]],tbl_de_massas[id_massa],tbl_de_massas[nome_completo],"--",0,1)</f>
        <v>Jessica Moreira</v>
      </c>
      <c r="E302" t="str">
        <f>_xlfn.XLOOKUP(TBL_USUARIOS[[#This Row],[ID_MASSA]],tbl_de_massas[id_massa],tbl_de_massas[cartao_fisico_numero],"--",0,1)</f>
        <v>6062 8200 3314 5018</v>
      </c>
      <c r="F302" t="str">
        <f>_xlfn.XLOOKUP(TBL_USUARIOS[[#This Row],[ID_MASSA]],tbl_de_massas[id_massa],tbl_de_massas[nome_completo],"--",0,1)</f>
        <v>Jessica Moreira</v>
      </c>
      <c r="G302" s="47">
        <f>_xlfn.XLOOKUP(TBL_USUARIOS[[#This Row],[ID_MASSA]],tbl_de_massas[id_massa],tbl_de_massas[saldo_conta],"--",0,1)</f>
        <v>2597.8200000000002</v>
      </c>
      <c r="H302" t="str">
        <f>_xlfn.XLOOKUP(TBL_USUARIOS[[#This Row],[ID_MASSA]],tbl_de_massas[id_massa],tbl_de_massas[nome_completo],"--",0,1)</f>
        <v>Jessica Moreira</v>
      </c>
    </row>
    <row r="303" spans="1:8" x14ac:dyDescent="0.25">
      <c r="A303" s="2" t="s">
        <v>3500</v>
      </c>
      <c r="B303" t="str">
        <f>_xlfn.XLOOKUP(TBL_USUARIOS[[#This Row],[ID_MASSA]],tbl_de_massas[id_massa],tbl_de_massas[cpf],"--",0,1)</f>
        <v>88483031108</v>
      </c>
      <c r="C303" t="s">
        <v>12</v>
      </c>
      <c r="D303" t="str">
        <f>_xlfn.XLOOKUP(TBL_USUARIOS[[#This Row],[ID_MASSA]],tbl_de_massas[id_massa],tbl_de_massas[nome_completo],"--",0,1)</f>
        <v>Diego Teixeira Vieira</v>
      </c>
      <c r="E303" t="str">
        <f>_xlfn.XLOOKUP(TBL_USUARIOS[[#This Row],[ID_MASSA]],tbl_de_massas[id_massa],tbl_de_massas[cartao_fisico_numero],"--",0,1)</f>
        <v>4576 7460 9299 7832</v>
      </c>
      <c r="F303" t="str">
        <f>_xlfn.XLOOKUP(TBL_USUARIOS[[#This Row],[ID_MASSA]],tbl_de_massas[id_massa],tbl_de_massas[nome_completo],"--",0,1)</f>
        <v>Diego Teixeira Vieira</v>
      </c>
      <c r="G303" s="47">
        <f>_xlfn.XLOOKUP(TBL_USUARIOS[[#This Row],[ID_MASSA]],tbl_de_massas[id_massa],tbl_de_massas[saldo_conta],"--",0,1)</f>
        <v>2614.85</v>
      </c>
      <c r="H303" t="str">
        <f>_xlfn.XLOOKUP(TBL_USUARIOS[[#This Row],[ID_MASSA]],tbl_de_massas[id_massa],tbl_de_massas[nome_completo],"--",0,1)</f>
        <v>Diego Teixeira Vieira</v>
      </c>
    </row>
    <row r="304" spans="1:8" x14ac:dyDescent="0.25">
      <c r="A304" s="2" t="s">
        <v>5395</v>
      </c>
      <c r="B304" t="str">
        <f>_xlfn.XLOOKUP(TBL_USUARIOS[[#This Row],[ID_MASSA]],tbl_de_massas[id_massa],tbl_de_massas[cpf],"--",0,1)</f>
        <v>00153487259</v>
      </c>
      <c r="C304" t="s">
        <v>12</v>
      </c>
      <c r="D304" t="str">
        <f>_xlfn.XLOOKUP(TBL_USUARIOS[[#This Row],[ID_MASSA]],tbl_de_massas[id_massa],tbl_de_massas[nome_completo],"--",0,1)</f>
        <v>Camila Campos</v>
      </c>
      <c r="E304" t="str">
        <f>_xlfn.XLOOKUP(TBL_USUARIOS[[#This Row],[ID_MASSA]],tbl_de_massas[id_massa],tbl_de_massas[cartao_fisico_numero],"--",0,1)</f>
        <v/>
      </c>
      <c r="F304" t="str">
        <f>_xlfn.XLOOKUP(TBL_USUARIOS[[#This Row],[ID_MASSA]],tbl_de_massas[id_massa],tbl_de_massas[nome_completo],"--",0,1)</f>
        <v>Camila Campos</v>
      </c>
      <c r="G304" s="47">
        <f>_xlfn.XLOOKUP(TBL_USUARIOS[[#This Row],[ID_MASSA]],tbl_de_massas[id_massa],tbl_de_massas[saldo_conta],"--",0,1)</f>
        <v>2621.16</v>
      </c>
      <c r="H304" t="str">
        <f>_xlfn.XLOOKUP(TBL_USUARIOS[[#This Row],[ID_MASSA]],tbl_de_massas[id_massa],tbl_de_massas[nome_completo],"--",0,1)</f>
        <v>Camila Campos</v>
      </c>
    </row>
    <row r="305" spans="1:8" x14ac:dyDescent="0.25">
      <c r="A305" s="2" t="s">
        <v>3333</v>
      </c>
      <c r="B305" t="str">
        <f>_xlfn.XLOOKUP(TBL_USUARIOS[[#This Row],[ID_MASSA]],tbl_de_massas[id_massa],tbl_de_massas[cpf],"--",0,1)</f>
        <v>61404049835</v>
      </c>
      <c r="C305" t="s">
        <v>12</v>
      </c>
      <c r="D305" t="str">
        <f>_xlfn.XLOOKUP(TBL_USUARIOS[[#This Row],[ID_MASSA]],tbl_de_massas[id_massa],tbl_de_massas[nome_completo],"--",0,1)</f>
        <v>Vanessa Oliveira Souza</v>
      </c>
      <c r="E305" t="str">
        <f>_xlfn.XLOOKUP(TBL_USUARIOS[[#This Row],[ID_MASSA]],tbl_de_massas[id_massa],tbl_de_massas[cartao_fisico_numero],"--",0,1)</f>
        <v>6062 8200 3690 9148</v>
      </c>
      <c r="F305" t="str">
        <f>_xlfn.XLOOKUP(TBL_USUARIOS[[#This Row],[ID_MASSA]],tbl_de_massas[id_massa],tbl_de_massas[nome_completo],"--",0,1)</f>
        <v>Vanessa Oliveira Souza</v>
      </c>
      <c r="G305" s="47">
        <f>_xlfn.XLOOKUP(TBL_USUARIOS[[#This Row],[ID_MASSA]],tbl_de_massas[id_massa],tbl_de_massas[saldo_conta],"--",0,1)</f>
        <v>2649.31</v>
      </c>
      <c r="H305" t="str">
        <f>_xlfn.XLOOKUP(TBL_USUARIOS[[#This Row],[ID_MASSA]],tbl_de_massas[id_massa],tbl_de_massas[nome_completo],"--",0,1)</f>
        <v>Vanessa Oliveira Souza</v>
      </c>
    </row>
    <row r="306" spans="1:8" x14ac:dyDescent="0.25">
      <c r="A306" s="2" t="s">
        <v>2195</v>
      </c>
      <c r="B306" s="14" t="str">
        <f>_xlfn.XLOOKUP(TBL_USUARIOS[[#This Row],[ID_MASSA]],tbl_de_massas[id_massa],tbl_de_massas[cpf],"--",0,1)</f>
        <v>72605753522</v>
      </c>
      <c r="C306" t="s">
        <v>12</v>
      </c>
      <c r="D306" t="str">
        <f>_xlfn.XLOOKUP(TBL_USUARIOS[[#This Row],[ID_MASSA]],tbl_de_massas[id_massa],tbl_de_massas[nome_completo],"--",0,1)</f>
        <v>Dohyun Choi</v>
      </c>
      <c r="E306" t="str">
        <f>_xlfn.XLOOKUP(TBL_USUARIOS[[#This Row],[ID_MASSA]],tbl_de_massas[id_massa],tbl_de_massas[cartao_fisico_numero],"--",0,1)</f>
        <v>4576 7460 9685 6188</v>
      </c>
      <c r="F306" t="str">
        <f>_xlfn.XLOOKUP(TBL_USUARIOS[[#This Row],[ID_MASSA]],tbl_de_massas[id_massa],tbl_de_massas[nome_completo],"--",0,1)</f>
        <v>Dohyun Choi</v>
      </c>
      <c r="G306" s="47">
        <f>_xlfn.XLOOKUP(TBL_USUARIOS[[#This Row],[ID_MASSA]],tbl_de_massas[id_massa],tbl_de_massas[saldo_conta],"--",0,1)</f>
        <v>2650.74</v>
      </c>
      <c r="H306" t="str">
        <f>_xlfn.XLOOKUP(TBL_USUARIOS[[#This Row],[ID_MASSA]],tbl_de_massas[id_massa],tbl_de_massas[nome_completo],"--",0,1)</f>
        <v>Dohyun Choi</v>
      </c>
    </row>
    <row r="307" spans="1:8" x14ac:dyDescent="0.25">
      <c r="A307" s="2" t="s">
        <v>4695</v>
      </c>
      <c r="B307" t="str">
        <f>_xlfn.XLOOKUP(TBL_USUARIOS[[#This Row],[ID_MASSA]],tbl_de_massas[id_massa],tbl_de_massas[cpf],"--",0,1)</f>
        <v>12906207845</v>
      </c>
      <c r="C307" t="s">
        <v>12</v>
      </c>
      <c r="D307" t="str">
        <f>_xlfn.XLOOKUP(TBL_USUARIOS[[#This Row],[ID_MASSA]],tbl_de_massas[id_massa],tbl_de_massas[nome_completo],"--",0,1)</f>
        <v>Amanda Lima Monteiro</v>
      </c>
      <c r="E307" t="str">
        <f>_xlfn.XLOOKUP(TBL_USUARIOS[[#This Row],[ID_MASSA]],tbl_de_massas[id_massa],tbl_de_massas[cartao_fisico_numero],"--",0,1)</f>
        <v>6505 0666 8104 7752</v>
      </c>
      <c r="F307" t="str">
        <f>_xlfn.XLOOKUP(TBL_USUARIOS[[#This Row],[ID_MASSA]],tbl_de_massas[id_massa],tbl_de_massas[nome_completo],"--",0,1)</f>
        <v>Amanda Lima Monteiro</v>
      </c>
      <c r="G307" s="47">
        <f>_xlfn.XLOOKUP(TBL_USUARIOS[[#This Row],[ID_MASSA]],tbl_de_massas[id_massa],tbl_de_massas[saldo_conta],"--",0,1)</f>
        <v>2654.42</v>
      </c>
      <c r="H307" t="str">
        <f>_xlfn.XLOOKUP(TBL_USUARIOS[[#This Row],[ID_MASSA]],tbl_de_massas[id_massa],tbl_de_massas[nome_completo],"--",0,1)</f>
        <v>Amanda Lima Monteiro</v>
      </c>
    </row>
    <row r="308" spans="1:8" x14ac:dyDescent="0.25">
      <c r="A308" s="2" t="s">
        <v>5931</v>
      </c>
      <c r="B308" t="str">
        <f>_xlfn.XLOOKUP(TBL_USUARIOS[[#This Row],[ID_MASSA]],tbl_de_massas[id_massa],tbl_de_massas[cpf],"--",0,1)</f>
        <v>98139952702</v>
      </c>
      <c r="C308" t="s">
        <v>12</v>
      </c>
      <c r="D308" t="str">
        <f>_xlfn.XLOOKUP(TBL_USUARIOS[[#This Row],[ID_MASSA]],tbl_de_massas[id_massa],tbl_de_massas[nome_completo],"--",0,1)</f>
        <v>Matheus Vieira Cardoso</v>
      </c>
      <c r="E308" t="str">
        <f>_xlfn.XLOOKUP(TBL_USUARIOS[[#This Row],[ID_MASSA]],tbl_de_massas[id_massa],tbl_de_massas[cartao_fisico_numero],"--",0,1)</f>
        <v>5442 7460 6652 4784</v>
      </c>
      <c r="F308" t="str">
        <f>_xlfn.XLOOKUP(TBL_USUARIOS[[#This Row],[ID_MASSA]],tbl_de_massas[id_massa],tbl_de_massas[nome_completo],"--",0,1)</f>
        <v>Matheus Vieira Cardoso</v>
      </c>
      <c r="G308" s="47">
        <f>_xlfn.XLOOKUP(TBL_USUARIOS[[#This Row],[ID_MASSA]],tbl_de_massas[id_massa],tbl_de_massas[saldo_conta],"--",0,1)</f>
        <v>2664.09</v>
      </c>
      <c r="H308" t="str">
        <f>_xlfn.XLOOKUP(TBL_USUARIOS[[#This Row],[ID_MASSA]],tbl_de_massas[id_massa],tbl_de_massas[nome_completo],"--",0,1)</f>
        <v>Matheus Vieira Cardoso</v>
      </c>
    </row>
    <row r="309" spans="1:8" x14ac:dyDescent="0.25">
      <c r="A309" s="2" t="s">
        <v>5355</v>
      </c>
      <c r="B309" t="str">
        <f>_xlfn.XLOOKUP(TBL_USUARIOS[[#This Row],[ID_MASSA]],tbl_de_massas[id_massa],tbl_de_massas[cpf],"--",0,1)</f>
        <v>39130617030</v>
      </c>
      <c r="C309" t="s">
        <v>12</v>
      </c>
      <c r="D309" t="str">
        <f>_xlfn.XLOOKUP(TBL_USUARIOS[[#This Row],[ID_MASSA]],tbl_de_massas[id_massa],tbl_de_massas[nome_completo],"--",0,1)</f>
        <v>Marcos Lima Nascimento</v>
      </c>
      <c r="E309" t="str">
        <f>_xlfn.XLOOKUP(TBL_USUARIOS[[#This Row],[ID_MASSA]],tbl_de_massas[id_massa],tbl_de_massas[cartao_fisico_numero],"--",0,1)</f>
        <v>4576 7460 5326 5085</v>
      </c>
      <c r="F309" t="str">
        <f>_xlfn.XLOOKUP(TBL_USUARIOS[[#This Row],[ID_MASSA]],tbl_de_massas[id_massa],tbl_de_massas[nome_completo],"--",0,1)</f>
        <v>Marcos Lima Nascimento</v>
      </c>
      <c r="G309" s="47">
        <f>_xlfn.XLOOKUP(TBL_USUARIOS[[#This Row],[ID_MASSA]],tbl_de_massas[id_massa],tbl_de_massas[saldo_conta],"--",0,1)</f>
        <v>2694.7</v>
      </c>
      <c r="H309" t="str">
        <f>_xlfn.XLOOKUP(TBL_USUARIOS[[#This Row],[ID_MASSA]],tbl_de_massas[id_massa],tbl_de_massas[nome_completo],"--",0,1)</f>
        <v>Marcos Lima Nascimento</v>
      </c>
    </row>
    <row r="310" spans="1:8" x14ac:dyDescent="0.25">
      <c r="A310" s="2" t="s">
        <v>3953</v>
      </c>
      <c r="B310" t="str">
        <f>_xlfn.XLOOKUP(TBL_USUARIOS[[#This Row],[ID_MASSA]],tbl_de_massas[id_massa],tbl_de_massas[cpf],"--",0,1)</f>
        <v>00150685360</v>
      </c>
      <c r="C310" t="s">
        <v>12</v>
      </c>
      <c r="D310" t="str">
        <f>_xlfn.XLOOKUP(TBL_USUARIOS[[#This Row],[ID_MASSA]],tbl_de_massas[id_massa],tbl_de_massas[nome_completo],"--",0,1)</f>
        <v>Diego Moura Fernandes</v>
      </c>
      <c r="E310" t="str">
        <f>_xlfn.XLOOKUP(TBL_USUARIOS[[#This Row],[ID_MASSA]],tbl_de_massas[id_massa],tbl_de_massas[cartao_fisico_numero],"--",0,1)</f>
        <v>4576 7460 1135 9931</v>
      </c>
      <c r="F310" t="str">
        <f>_xlfn.XLOOKUP(TBL_USUARIOS[[#This Row],[ID_MASSA]],tbl_de_massas[id_massa],tbl_de_massas[nome_completo],"--",0,1)</f>
        <v>Diego Moura Fernandes</v>
      </c>
      <c r="G310" s="47">
        <f>_xlfn.XLOOKUP(TBL_USUARIOS[[#This Row],[ID_MASSA]],tbl_de_massas[id_massa],tbl_de_massas[saldo_conta],"--",0,1)</f>
        <v>2695.4</v>
      </c>
      <c r="H310" t="str">
        <f>_xlfn.XLOOKUP(TBL_USUARIOS[[#This Row],[ID_MASSA]],tbl_de_massas[id_massa],tbl_de_massas[nome_completo],"--",0,1)</f>
        <v>Diego Moura Fernandes</v>
      </c>
    </row>
    <row r="311" spans="1:8" x14ac:dyDescent="0.25">
      <c r="A311" s="2" t="s">
        <v>2522</v>
      </c>
      <c r="B311" s="14" t="str">
        <f>_xlfn.XLOOKUP(TBL_USUARIOS[[#This Row],[ID_MASSA]],tbl_de_massas[id_massa],tbl_de_massas[cpf],"--",0,1)</f>
        <v>19841659174</v>
      </c>
      <c r="C311" t="s">
        <v>12</v>
      </c>
      <c r="D311" t="str">
        <f>_xlfn.XLOOKUP(TBL_USUARIOS[[#This Row],[ID_MASSA]],tbl_de_massas[id_massa],tbl_de_massas[nome_completo],"--",0,1)</f>
        <v>Gabriel Vinicius Souza</v>
      </c>
      <c r="E311" t="str">
        <f>_xlfn.XLOOKUP(TBL_USUARIOS[[#This Row],[ID_MASSA]],tbl_de_massas[id_massa],tbl_de_massas[cartao_fisico_numero],"--",0,1)</f>
        <v>5442 7460 7383 3835</v>
      </c>
      <c r="F311" t="str">
        <f>_xlfn.XLOOKUP(TBL_USUARIOS[[#This Row],[ID_MASSA]],tbl_de_massas[id_massa],tbl_de_massas[nome_completo],"--",0,1)</f>
        <v>Gabriel Vinicius Souza</v>
      </c>
      <c r="G311" s="47">
        <f>_xlfn.XLOOKUP(TBL_USUARIOS[[#This Row],[ID_MASSA]],tbl_de_massas[id_massa],tbl_de_massas[saldo_conta],"--",0,1)</f>
        <v>2715.54</v>
      </c>
      <c r="H311" t="str">
        <f>_xlfn.XLOOKUP(TBL_USUARIOS[[#This Row],[ID_MASSA]],tbl_de_massas[id_massa],tbl_de_massas[nome_completo],"--",0,1)</f>
        <v>Gabriel Vinicius Souza</v>
      </c>
    </row>
    <row r="312" spans="1:8" x14ac:dyDescent="0.25">
      <c r="A312" s="2" t="s">
        <v>4347</v>
      </c>
      <c r="B312" t="str">
        <f>_xlfn.XLOOKUP(TBL_USUARIOS[[#This Row],[ID_MASSA]],tbl_de_massas[id_massa],tbl_de_massas[cpf],"--",0,1)</f>
        <v>74656084735</v>
      </c>
      <c r="C312" t="s">
        <v>12</v>
      </c>
      <c r="D312" t="str">
        <f>_xlfn.XLOOKUP(TBL_USUARIOS[[#This Row],[ID_MASSA]],tbl_de_massas[id_massa],tbl_de_massas[nome_completo],"--",0,1)</f>
        <v>Beatriz Santos</v>
      </c>
      <c r="E312" t="str">
        <f>_xlfn.XLOOKUP(TBL_USUARIOS[[#This Row],[ID_MASSA]],tbl_de_massas[id_massa],tbl_de_massas[cartao_fisico_numero],"--",0,1)</f>
        <v>6062 8200 8034 2562</v>
      </c>
      <c r="F312" t="str">
        <f>_xlfn.XLOOKUP(TBL_USUARIOS[[#This Row],[ID_MASSA]],tbl_de_massas[id_massa],tbl_de_massas[nome_completo],"--",0,1)</f>
        <v>Beatriz Santos</v>
      </c>
      <c r="G312" s="47">
        <f>_xlfn.XLOOKUP(TBL_USUARIOS[[#This Row],[ID_MASSA]],tbl_de_massas[id_massa],tbl_de_massas[saldo_conta],"--",0,1)</f>
        <v>2724.23</v>
      </c>
      <c r="H312" t="str">
        <f>_xlfn.XLOOKUP(TBL_USUARIOS[[#This Row],[ID_MASSA]],tbl_de_massas[id_massa],tbl_de_massas[nome_completo],"--",0,1)</f>
        <v>Beatriz Santos</v>
      </c>
    </row>
    <row r="313" spans="1:8" x14ac:dyDescent="0.25">
      <c r="A313" s="2" t="s">
        <v>4544</v>
      </c>
      <c r="B313" t="str">
        <f>_xlfn.XLOOKUP(TBL_USUARIOS[[#This Row],[ID_MASSA]],tbl_de_massas[id_massa],tbl_de_massas[cpf],"--",0,1)</f>
        <v>55502699706</v>
      </c>
      <c r="C313" t="s">
        <v>12</v>
      </c>
      <c r="D313" t="str">
        <f>_xlfn.XLOOKUP(TBL_USUARIOS[[#This Row],[ID_MASSA]],tbl_de_massas[id_massa],tbl_de_massas[nome_completo],"--",0,1)</f>
        <v>Priscila Cardoso Oliveira</v>
      </c>
      <c r="E313" t="str">
        <f>_xlfn.XLOOKUP(TBL_USUARIOS[[#This Row],[ID_MASSA]],tbl_de_massas[id_massa],tbl_de_massas[cartao_fisico_numero],"--",0,1)</f>
        <v/>
      </c>
      <c r="F313" t="str">
        <f>_xlfn.XLOOKUP(TBL_USUARIOS[[#This Row],[ID_MASSA]],tbl_de_massas[id_massa],tbl_de_massas[nome_completo],"--",0,1)</f>
        <v>Priscila Cardoso Oliveira</v>
      </c>
      <c r="G313" s="47">
        <f>_xlfn.XLOOKUP(TBL_USUARIOS[[#This Row],[ID_MASSA]],tbl_de_massas[id_massa],tbl_de_massas[saldo_conta],"--",0,1)</f>
        <v>2740.03</v>
      </c>
      <c r="H313" t="str">
        <f>_xlfn.XLOOKUP(TBL_USUARIOS[[#This Row],[ID_MASSA]],tbl_de_massas[id_massa],tbl_de_massas[nome_completo],"--",0,1)</f>
        <v>Priscila Cardoso Oliveira</v>
      </c>
    </row>
    <row r="314" spans="1:8" x14ac:dyDescent="0.25">
      <c r="A314" s="2" t="s">
        <v>5071</v>
      </c>
      <c r="B314" t="str">
        <f>_xlfn.XLOOKUP(TBL_USUARIOS[[#This Row],[ID_MASSA]],tbl_de_massas[id_massa],tbl_de_massas[cpf],"--",0,1)</f>
        <v>93083350309</v>
      </c>
      <c r="C314" t="s">
        <v>12</v>
      </c>
      <c r="D314" t="str">
        <f>_xlfn.XLOOKUP(TBL_USUARIOS[[#This Row],[ID_MASSA]],tbl_de_massas[id_massa],tbl_de_massas[nome_completo],"--",0,1)</f>
        <v>Matheus Lima Vieira</v>
      </c>
      <c r="E314" t="str">
        <f>_xlfn.XLOOKUP(TBL_USUARIOS[[#This Row],[ID_MASSA]],tbl_de_massas[id_massa],tbl_de_massas[cartao_fisico_numero],"--",0,1)</f>
        <v>6505 0666 9932 2301</v>
      </c>
      <c r="F314" t="str">
        <f>_xlfn.XLOOKUP(TBL_USUARIOS[[#This Row],[ID_MASSA]],tbl_de_massas[id_massa],tbl_de_massas[nome_completo],"--",0,1)</f>
        <v>Matheus Lima Vieira</v>
      </c>
      <c r="G314" s="47">
        <f>_xlfn.XLOOKUP(TBL_USUARIOS[[#This Row],[ID_MASSA]],tbl_de_massas[id_massa],tbl_de_massas[saldo_conta],"--",0,1)</f>
        <v>2759.18</v>
      </c>
      <c r="H314" t="str">
        <f>_xlfn.XLOOKUP(TBL_USUARIOS[[#This Row],[ID_MASSA]],tbl_de_massas[id_massa],tbl_de_massas[nome_completo],"--",0,1)</f>
        <v>Matheus Lima Vieira</v>
      </c>
    </row>
    <row r="315" spans="1:8" x14ac:dyDescent="0.25">
      <c r="A315" s="2" t="s">
        <v>3390</v>
      </c>
      <c r="B315" t="str">
        <f>_xlfn.XLOOKUP(TBL_USUARIOS[[#This Row],[ID_MASSA]],tbl_de_massas[id_massa],tbl_de_massas[cpf],"--",0,1)</f>
        <v>10361732678</v>
      </c>
      <c r="C315" t="s">
        <v>12</v>
      </c>
      <c r="D315" t="str">
        <f>_xlfn.XLOOKUP(TBL_USUARIOS[[#This Row],[ID_MASSA]],tbl_de_massas[id_massa],tbl_de_massas[nome_completo],"--",0,1)</f>
        <v>Tatiane Cardoso</v>
      </c>
      <c r="E315" t="str">
        <f>_xlfn.XLOOKUP(TBL_USUARIOS[[#This Row],[ID_MASSA]],tbl_de_massas[id_massa],tbl_de_massas[cartao_fisico_numero],"--",0,1)</f>
        <v/>
      </c>
      <c r="F315" t="str">
        <f>_xlfn.XLOOKUP(TBL_USUARIOS[[#This Row],[ID_MASSA]],tbl_de_massas[id_massa],tbl_de_massas[nome_completo],"--",0,1)</f>
        <v>Tatiane Cardoso</v>
      </c>
      <c r="G315" s="47">
        <f>_xlfn.XLOOKUP(TBL_USUARIOS[[#This Row],[ID_MASSA]],tbl_de_massas[id_massa],tbl_de_massas[saldo_conta],"--",0,1)</f>
        <v>2764.18</v>
      </c>
      <c r="H315" t="str">
        <f>_xlfn.XLOOKUP(TBL_USUARIOS[[#This Row],[ID_MASSA]],tbl_de_massas[id_massa],tbl_de_massas[nome_completo],"--",0,1)</f>
        <v>Tatiane Cardoso</v>
      </c>
    </row>
    <row r="316" spans="1:8" x14ac:dyDescent="0.25">
      <c r="A316" s="2" t="s">
        <v>3535</v>
      </c>
      <c r="B316" t="str">
        <f>_xlfn.XLOOKUP(TBL_USUARIOS[[#This Row],[ID_MASSA]],tbl_de_massas[id_massa],tbl_de_massas[cpf],"--",0,1)</f>
        <v>59855723317</v>
      </c>
      <c r="C316" t="s">
        <v>12</v>
      </c>
      <c r="D316" t="str">
        <f>_xlfn.XLOOKUP(TBL_USUARIOS[[#This Row],[ID_MASSA]],tbl_de_massas[id_massa],tbl_de_massas[nome_completo],"--",0,1)</f>
        <v>Matheus Carvalho</v>
      </c>
      <c r="E316" t="str">
        <f>_xlfn.XLOOKUP(TBL_USUARIOS[[#This Row],[ID_MASSA]],tbl_de_massas[id_massa],tbl_de_massas[cartao_fisico_numero],"--",0,1)</f>
        <v>5442 7460 3052 4600</v>
      </c>
      <c r="F316" t="str">
        <f>_xlfn.XLOOKUP(TBL_USUARIOS[[#This Row],[ID_MASSA]],tbl_de_massas[id_massa],tbl_de_massas[nome_completo],"--",0,1)</f>
        <v>Matheus Carvalho</v>
      </c>
      <c r="G316" s="47">
        <f>_xlfn.XLOOKUP(TBL_USUARIOS[[#This Row],[ID_MASSA]],tbl_de_massas[id_massa],tbl_de_massas[saldo_conta],"--",0,1)</f>
        <v>2791.7</v>
      </c>
      <c r="H316" t="str">
        <f>_xlfn.XLOOKUP(TBL_USUARIOS[[#This Row],[ID_MASSA]],tbl_de_massas[id_massa],tbl_de_massas[nome_completo],"--",0,1)</f>
        <v>Matheus Carvalho</v>
      </c>
    </row>
    <row r="317" spans="1:8" x14ac:dyDescent="0.25">
      <c r="A317" s="2" t="s">
        <v>5725</v>
      </c>
      <c r="B317" t="str">
        <f>_xlfn.XLOOKUP(TBL_USUARIOS[[#This Row],[ID_MASSA]],tbl_de_massas[id_massa],tbl_de_massas[cpf],"--",0,1)</f>
        <v>47691077068</v>
      </c>
      <c r="C317" t="s">
        <v>12</v>
      </c>
      <c r="D317" t="str">
        <f>_xlfn.XLOOKUP(TBL_USUARIOS[[#This Row],[ID_MASSA]],tbl_de_massas[id_massa],tbl_de_massas[nome_completo],"--",0,1)</f>
        <v>Vivian Carvalho Nascimento</v>
      </c>
      <c r="E317" t="str">
        <f>_xlfn.XLOOKUP(TBL_USUARIOS[[#This Row],[ID_MASSA]],tbl_de_massas[id_massa],tbl_de_massas[cartao_fisico_numero],"--",0,1)</f>
        <v>5442 7460 9857 9877</v>
      </c>
      <c r="F317" t="str">
        <f>_xlfn.XLOOKUP(TBL_USUARIOS[[#This Row],[ID_MASSA]],tbl_de_massas[id_massa],tbl_de_massas[nome_completo],"--",0,1)</f>
        <v>Vivian Carvalho Nascimento</v>
      </c>
      <c r="G317" s="47">
        <f>_xlfn.XLOOKUP(TBL_USUARIOS[[#This Row],[ID_MASSA]],tbl_de_massas[id_massa],tbl_de_massas[saldo_conta],"--",0,1)</f>
        <v>2795.29</v>
      </c>
      <c r="H317" t="str">
        <f>_xlfn.XLOOKUP(TBL_USUARIOS[[#This Row],[ID_MASSA]],tbl_de_massas[id_massa],tbl_de_massas[nome_completo],"--",0,1)</f>
        <v>Vivian Carvalho Nascimento</v>
      </c>
    </row>
    <row r="318" spans="1:8" x14ac:dyDescent="0.25">
      <c r="A318" s="2" t="s">
        <v>2679</v>
      </c>
      <c r="B318" t="str">
        <f>_xlfn.XLOOKUP(TBL_USUARIOS[[#This Row],[ID_MASSA]],tbl_de_massas[id_massa],tbl_de_massas[cpf],"--",0,1)</f>
        <v>44328330500</v>
      </c>
      <c r="C318" t="s">
        <v>12</v>
      </c>
      <c r="D318" t="str">
        <f>_xlfn.XLOOKUP(TBL_USUARIOS[[#This Row],[ID_MASSA]],tbl_de_massas[id_massa],tbl_de_massas[nome_completo],"--",0,1)</f>
        <v>Martim Costa</v>
      </c>
      <c r="E318" t="str">
        <f>_xlfn.XLOOKUP(TBL_USUARIOS[[#This Row],[ID_MASSA]],tbl_de_massas[id_massa],tbl_de_massas[cartao_fisico_numero],"--",0,1)</f>
        <v/>
      </c>
      <c r="F318" t="str">
        <f>_xlfn.XLOOKUP(TBL_USUARIOS[[#This Row],[ID_MASSA]],tbl_de_massas[id_massa],tbl_de_massas[nome_completo],"--",0,1)</f>
        <v>Martim Costa</v>
      </c>
      <c r="G318" s="47">
        <f>_xlfn.XLOOKUP(TBL_USUARIOS[[#This Row],[ID_MASSA]],tbl_de_massas[id_massa],tbl_de_massas[saldo_conta],"--",0,1)</f>
        <v>2825.07</v>
      </c>
      <c r="H318" t="str">
        <f>_xlfn.XLOOKUP(TBL_USUARIOS[[#This Row],[ID_MASSA]],tbl_de_massas[id_massa],tbl_de_massas[nome_completo],"--",0,1)</f>
        <v>Martim Costa</v>
      </c>
    </row>
    <row r="319" spans="1:8" x14ac:dyDescent="0.25">
      <c r="A319" s="2" t="s">
        <v>2733</v>
      </c>
      <c r="B319" t="str">
        <f>_xlfn.XLOOKUP(TBL_USUARIOS[[#This Row],[ID_MASSA]],tbl_de_massas[id_massa],tbl_de_massas[cpf],"--",0,1)</f>
        <v>36920426129</v>
      </c>
      <c r="C319" t="s">
        <v>12</v>
      </c>
      <c r="D319" t="str">
        <f>_xlfn.XLOOKUP(TBL_USUARIOS[[#This Row],[ID_MASSA]],tbl_de_massas[id_massa],tbl_de_massas[nome_completo],"--",0,1)</f>
        <v>Camila Lima</v>
      </c>
      <c r="E319" t="str">
        <f>_xlfn.XLOOKUP(TBL_USUARIOS[[#This Row],[ID_MASSA]],tbl_de_massas[id_massa],tbl_de_massas[cartao_fisico_numero],"--",0,1)</f>
        <v>6505 0666 4863 3280</v>
      </c>
      <c r="F319" t="str">
        <f>_xlfn.XLOOKUP(TBL_USUARIOS[[#This Row],[ID_MASSA]],tbl_de_massas[id_massa],tbl_de_massas[nome_completo],"--",0,1)</f>
        <v>Camila Lima</v>
      </c>
      <c r="G319" s="47">
        <f>_xlfn.XLOOKUP(TBL_USUARIOS[[#This Row],[ID_MASSA]],tbl_de_massas[id_massa],tbl_de_massas[saldo_conta],"--",0,1)</f>
        <v>2825.43</v>
      </c>
      <c r="H319" t="str">
        <f>_xlfn.XLOOKUP(TBL_USUARIOS[[#This Row],[ID_MASSA]],tbl_de_massas[id_massa],tbl_de_massas[nome_completo],"--",0,1)</f>
        <v>Camila Lima</v>
      </c>
    </row>
    <row r="320" spans="1:8" x14ac:dyDescent="0.25">
      <c r="A320" s="2" t="s">
        <v>5373</v>
      </c>
      <c r="B320" t="str">
        <f>_xlfn.XLOOKUP(TBL_USUARIOS[[#This Row],[ID_MASSA]],tbl_de_massas[id_massa],tbl_de_massas[cpf],"--",0,1)</f>
        <v>09553513751</v>
      </c>
      <c r="C320" t="s">
        <v>12</v>
      </c>
      <c r="D320" t="str">
        <f>_xlfn.XLOOKUP(TBL_USUARIOS[[#This Row],[ID_MASSA]],tbl_de_massas[id_massa],tbl_de_massas[nome_completo],"--",0,1)</f>
        <v>Patricia Rocha Lima</v>
      </c>
      <c r="E320" t="str">
        <f>_xlfn.XLOOKUP(TBL_USUARIOS[[#This Row],[ID_MASSA]],tbl_de_massas[id_massa],tbl_de_massas[cartao_fisico_numero],"--",0,1)</f>
        <v>3782 666305 7579</v>
      </c>
      <c r="F320" t="str">
        <f>_xlfn.XLOOKUP(TBL_USUARIOS[[#This Row],[ID_MASSA]],tbl_de_massas[id_massa],tbl_de_massas[nome_completo],"--",0,1)</f>
        <v>Patricia Rocha Lima</v>
      </c>
      <c r="G320" s="47">
        <f>_xlfn.XLOOKUP(TBL_USUARIOS[[#This Row],[ID_MASSA]],tbl_de_massas[id_massa],tbl_de_massas[saldo_conta],"--",0,1)</f>
        <v>2855.28</v>
      </c>
      <c r="H320" t="str">
        <f>_xlfn.XLOOKUP(TBL_USUARIOS[[#This Row],[ID_MASSA]],tbl_de_massas[id_massa],tbl_de_massas[nome_completo],"--",0,1)</f>
        <v>Patricia Rocha Lima</v>
      </c>
    </row>
    <row r="321" spans="1:8" x14ac:dyDescent="0.25">
      <c r="A321" s="2" t="s">
        <v>4570</v>
      </c>
      <c r="B321" t="str">
        <f>_xlfn.XLOOKUP(TBL_USUARIOS[[#This Row],[ID_MASSA]],tbl_de_massas[id_massa],tbl_de_massas[cpf],"--",0,1)</f>
        <v>26993139553</v>
      </c>
      <c r="C321" t="s">
        <v>12</v>
      </c>
      <c r="D321" t="str">
        <f>_xlfn.XLOOKUP(TBL_USUARIOS[[#This Row],[ID_MASSA]],tbl_de_massas[id_massa],tbl_de_massas[nome_completo],"--",0,1)</f>
        <v>Isabela Carvalho</v>
      </c>
      <c r="E321" t="str">
        <f>_xlfn.XLOOKUP(TBL_USUARIOS[[#This Row],[ID_MASSA]],tbl_de_massas[id_massa],tbl_de_massas[cartao_fisico_numero],"--",0,1)</f>
        <v>6062 8200 4631 6028</v>
      </c>
      <c r="F321" t="str">
        <f>_xlfn.XLOOKUP(TBL_USUARIOS[[#This Row],[ID_MASSA]],tbl_de_massas[id_massa],tbl_de_massas[nome_completo],"--",0,1)</f>
        <v>Isabela Carvalho</v>
      </c>
      <c r="G321" s="47">
        <f>_xlfn.XLOOKUP(TBL_USUARIOS[[#This Row],[ID_MASSA]],tbl_de_massas[id_massa],tbl_de_massas[saldo_conta],"--",0,1)</f>
        <v>2873.91</v>
      </c>
      <c r="H321" t="str">
        <f>_xlfn.XLOOKUP(TBL_USUARIOS[[#This Row],[ID_MASSA]],tbl_de_massas[id_massa],tbl_de_massas[nome_completo],"--",0,1)</f>
        <v>Isabela Carvalho</v>
      </c>
    </row>
    <row r="322" spans="1:8" x14ac:dyDescent="0.25">
      <c r="A322" s="2" t="s">
        <v>6424</v>
      </c>
      <c r="B322" t="str">
        <f>_xlfn.XLOOKUP(TBL_USUARIOS[[#This Row],[ID_MASSA]],tbl_de_massas[id_massa],tbl_de_massas[cpf],"--",0,1)</f>
        <v>33637229153</v>
      </c>
      <c r="C322" t="s">
        <v>12</v>
      </c>
      <c r="D322" t="str">
        <f>_xlfn.XLOOKUP(TBL_USUARIOS[[#This Row],[ID_MASSA]],tbl_de_massas[id_massa],tbl_de_massas[nome_completo],"--",0,1)</f>
        <v>Fang Liu Zhang</v>
      </c>
      <c r="E322" t="str">
        <f>_xlfn.XLOOKUP(TBL_USUARIOS[[#This Row],[ID_MASSA]],tbl_de_massas[id_massa],tbl_de_massas[cartao_fisico_numero],"--",0,1)</f>
        <v>5442 7460 4712 2280</v>
      </c>
      <c r="F322" t="str">
        <f>_xlfn.XLOOKUP(TBL_USUARIOS[[#This Row],[ID_MASSA]],tbl_de_massas[id_massa],tbl_de_massas[nome_completo],"--",0,1)</f>
        <v>Fang Liu Zhang</v>
      </c>
      <c r="G322" s="47">
        <f>_xlfn.XLOOKUP(TBL_USUARIOS[[#This Row],[ID_MASSA]],tbl_de_massas[id_massa],tbl_de_massas[saldo_conta],"--",0,1)</f>
        <v>2895.32</v>
      </c>
      <c r="H322" t="str">
        <f>_xlfn.XLOOKUP(TBL_USUARIOS[[#This Row],[ID_MASSA]],tbl_de_massas[id_massa],tbl_de_massas[nome_completo],"--",0,1)</f>
        <v>Fang Liu Zhang</v>
      </c>
    </row>
    <row r="323" spans="1:8" x14ac:dyDescent="0.25">
      <c r="A323" s="2" t="s">
        <v>5893</v>
      </c>
      <c r="B323" t="str">
        <f>_xlfn.XLOOKUP(TBL_USUARIOS[[#This Row],[ID_MASSA]],tbl_de_massas[id_massa],tbl_de_massas[cpf],"--",0,1)</f>
        <v>65487243565</v>
      </c>
      <c r="C323" t="s">
        <v>12</v>
      </c>
      <c r="D323" t="str">
        <f>_xlfn.XLOOKUP(TBL_USUARIOS[[#This Row],[ID_MASSA]],tbl_de_massas[id_massa],tbl_de_massas[nome_completo],"--",0,1)</f>
        <v>Leonardo Souza Barbosa</v>
      </c>
      <c r="E323" t="str">
        <f>_xlfn.XLOOKUP(TBL_USUARIOS[[#This Row],[ID_MASSA]],tbl_de_massas[id_massa],tbl_de_massas[cartao_fisico_numero],"--",0,1)</f>
        <v/>
      </c>
      <c r="F323" t="str">
        <f>_xlfn.XLOOKUP(TBL_USUARIOS[[#This Row],[ID_MASSA]],tbl_de_massas[id_massa],tbl_de_massas[nome_completo],"--",0,1)</f>
        <v>Leonardo Souza Barbosa</v>
      </c>
      <c r="G323" s="47">
        <f>_xlfn.XLOOKUP(TBL_USUARIOS[[#This Row],[ID_MASSA]],tbl_de_massas[id_massa],tbl_de_massas[saldo_conta],"--",0,1)</f>
        <v>2895.8</v>
      </c>
      <c r="H323" t="str">
        <f>_xlfn.XLOOKUP(TBL_USUARIOS[[#This Row],[ID_MASSA]],tbl_de_massas[id_massa],tbl_de_massas[nome_completo],"--",0,1)</f>
        <v>Leonardo Souza Barbosa</v>
      </c>
    </row>
    <row r="324" spans="1:8" x14ac:dyDescent="0.25">
      <c r="A324" s="2" t="s">
        <v>6642</v>
      </c>
      <c r="B324" t="str">
        <f>_xlfn.XLOOKUP(TBL_USUARIOS[[#This Row],[ID_MASSA]],tbl_de_massas[id_massa],tbl_de_massas[cpf],"--",0,1)</f>
        <v>43590811625</v>
      </c>
      <c r="C324" t="s">
        <v>12</v>
      </c>
      <c r="D324" t="str">
        <f>_xlfn.XLOOKUP(TBL_USUARIOS[[#This Row],[ID_MASSA]],tbl_de_massas[id_massa],tbl_de_massas[nome_completo],"--",0,1)</f>
        <v>Hina Saito</v>
      </c>
      <c r="E324" t="str">
        <f>_xlfn.XLOOKUP(TBL_USUARIOS[[#This Row],[ID_MASSA]],tbl_de_massas[id_massa],tbl_de_massas[cartao_fisico_numero],"--",0,1)</f>
        <v>3782 326358 3909</v>
      </c>
      <c r="F324" t="str">
        <f>_xlfn.XLOOKUP(TBL_USUARIOS[[#This Row],[ID_MASSA]],tbl_de_massas[id_massa],tbl_de_massas[nome_completo],"--",0,1)</f>
        <v>Hina Saito</v>
      </c>
      <c r="G324" s="47">
        <f>_xlfn.XLOOKUP(TBL_USUARIOS[[#This Row],[ID_MASSA]],tbl_de_massas[id_massa],tbl_de_massas[saldo_conta],"--",0,1)</f>
        <v>2901.44</v>
      </c>
      <c r="H324" t="str">
        <f>_xlfn.XLOOKUP(TBL_USUARIOS[[#This Row],[ID_MASSA]],tbl_de_massas[id_massa],tbl_de_massas[nome_completo],"--",0,1)</f>
        <v>Hina Saito</v>
      </c>
    </row>
    <row r="325" spans="1:8" x14ac:dyDescent="0.25">
      <c r="A325" s="2" t="s">
        <v>5377</v>
      </c>
      <c r="B325" t="str">
        <f>_xlfn.XLOOKUP(TBL_USUARIOS[[#This Row],[ID_MASSA]],tbl_de_massas[id_massa],tbl_de_massas[cpf],"--",0,1)</f>
        <v>29439606916</v>
      </c>
      <c r="C325" t="s">
        <v>12</v>
      </c>
      <c r="D325" t="str">
        <f>_xlfn.XLOOKUP(TBL_USUARIOS[[#This Row],[ID_MASSA]],tbl_de_massas[id_massa],tbl_de_massas[nome_completo],"--",0,1)</f>
        <v>Priscila Moura</v>
      </c>
      <c r="E325" t="str">
        <f>_xlfn.XLOOKUP(TBL_USUARIOS[[#This Row],[ID_MASSA]],tbl_de_massas[id_massa],tbl_de_massas[cartao_fisico_numero],"--",0,1)</f>
        <v>4576 7460 6652 5576</v>
      </c>
      <c r="F325" t="str">
        <f>_xlfn.XLOOKUP(TBL_USUARIOS[[#This Row],[ID_MASSA]],tbl_de_massas[id_massa],tbl_de_massas[nome_completo],"--",0,1)</f>
        <v>Priscila Moura</v>
      </c>
      <c r="G325" s="47">
        <f>_xlfn.XLOOKUP(TBL_USUARIOS[[#This Row],[ID_MASSA]],tbl_de_massas[id_massa],tbl_de_massas[saldo_conta],"--",0,1)</f>
        <v>2907.37</v>
      </c>
      <c r="H325" t="str">
        <f>_xlfn.XLOOKUP(TBL_USUARIOS[[#This Row],[ID_MASSA]],tbl_de_massas[id_massa],tbl_de_massas[nome_completo],"--",0,1)</f>
        <v>Priscila Moura</v>
      </c>
    </row>
    <row r="326" spans="1:8" x14ac:dyDescent="0.25">
      <c r="A326" s="2" t="s">
        <v>2339</v>
      </c>
      <c r="B326" s="14" t="str">
        <f>_xlfn.XLOOKUP(TBL_USUARIOS[[#This Row],[ID_MASSA]],tbl_de_massas[id_massa],tbl_de_massas[cpf],"--",0,1)</f>
        <v>02915062919</v>
      </c>
      <c r="C326" t="s">
        <v>12</v>
      </c>
      <c r="D326" t="str">
        <f>_xlfn.XLOOKUP(TBL_USUARIOS[[#This Row],[ID_MASSA]],tbl_de_massas[id_massa],tbl_de_massas[nome_completo],"--",0,1)</f>
        <v>Martim Costa</v>
      </c>
      <c r="E326" t="str">
        <f>_xlfn.XLOOKUP(TBL_USUARIOS[[#This Row],[ID_MASSA]],tbl_de_massas[id_massa],tbl_de_massas[cartao_fisico_numero],"--",0,1)</f>
        <v>6505 0666 7166 3754</v>
      </c>
      <c r="F326" t="str">
        <f>_xlfn.XLOOKUP(TBL_USUARIOS[[#This Row],[ID_MASSA]],tbl_de_massas[id_massa],tbl_de_massas[nome_completo],"--",0,1)</f>
        <v>Martim Costa</v>
      </c>
      <c r="G326" s="47">
        <f>_xlfn.XLOOKUP(TBL_USUARIOS[[#This Row],[ID_MASSA]],tbl_de_massas[id_massa],tbl_de_massas[saldo_conta],"--",0,1)</f>
        <v>2913.49</v>
      </c>
      <c r="H326" t="str">
        <f>_xlfn.XLOOKUP(TBL_USUARIOS[[#This Row],[ID_MASSA]],tbl_de_massas[id_massa],tbl_de_massas[nome_completo],"--",0,1)</f>
        <v>Martim Costa</v>
      </c>
    </row>
    <row r="327" spans="1:8" x14ac:dyDescent="0.25">
      <c r="A327" s="2" t="s">
        <v>4716</v>
      </c>
      <c r="B327" t="str">
        <f>_xlfn.XLOOKUP(TBL_USUARIOS[[#This Row],[ID_MASSA]],tbl_de_massas[id_massa],tbl_de_massas[cpf],"--",0,1)</f>
        <v>51044043156</v>
      </c>
      <c r="C327" t="s">
        <v>12</v>
      </c>
      <c r="D327" t="str">
        <f>_xlfn.XLOOKUP(TBL_USUARIOS[[#This Row],[ID_MASSA]],tbl_de_massas[id_massa],tbl_de_massas[nome_completo],"--",0,1)</f>
        <v>Leticia Pinto Pereira</v>
      </c>
      <c r="E327" t="str">
        <f>_xlfn.XLOOKUP(TBL_USUARIOS[[#This Row],[ID_MASSA]],tbl_de_massas[id_massa],tbl_de_massas[cartao_fisico_numero],"--",0,1)</f>
        <v>3782 308444 3441</v>
      </c>
      <c r="F327" t="str">
        <f>_xlfn.XLOOKUP(TBL_USUARIOS[[#This Row],[ID_MASSA]],tbl_de_massas[id_massa],tbl_de_massas[nome_completo],"--",0,1)</f>
        <v>Leticia Pinto Pereira</v>
      </c>
      <c r="G327" s="47">
        <f>_xlfn.XLOOKUP(TBL_USUARIOS[[#This Row],[ID_MASSA]],tbl_de_massas[id_massa],tbl_de_massas[saldo_conta],"--",0,1)</f>
        <v>2922.63</v>
      </c>
      <c r="H327" t="str">
        <f>_xlfn.XLOOKUP(TBL_USUARIOS[[#This Row],[ID_MASSA]],tbl_de_massas[id_massa],tbl_de_massas[nome_completo],"--",0,1)</f>
        <v>Leticia Pinto Pereira</v>
      </c>
    </row>
    <row r="328" spans="1:8" x14ac:dyDescent="0.25">
      <c r="A328" s="2" t="s">
        <v>4005</v>
      </c>
      <c r="B328" t="str">
        <f>_xlfn.XLOOKUP(TBL_USUARIOS[[#This Row],[ID_MASSA]],tbl_de_massas[id_massa],tbl_de_massas[cpf],"--",0,1)</f>
        <v>25545318208</v>
      </c>
      <c r="C328" t="s">
        <v>12</v>
      </c>
      <c r="D328" t="str">
        <f>_xlfn.XLOOKUP(TBL_USUARIOS[[#This Row],[ID_MASSA]],tbl_de_massas[id_massa],tbl_de_massas[nome_completo],"--",0,1)</f>
        <v>Matheus Araujo Pinto</v>
      </c>
      <c r="E328" t="str">
        <f>_xlfn.XLOOKUP(TBL_USUARIOS[[#This Row],[ID_MASSA]],tbl_de_massas[id_massa],tbl_de_massas[cartao_fisico_numero],"--",0,1)</f>
        <v>5442 7460 5754 0958</v>
      </c>
      <c r="F328" t="str">
        <f>_xlfn.XLOOKUP(TBL_USUARIOS[[#This Row],[ID_MASSA]],tbl_de_massas[id_massa],tbl_de_massas[nome_completo],"--",0,1)</f>
        <v>Matheus Araujo Pinto</v>
      </c>
      <c r="G328" s="47">
        <f>_xlfn.XLOOKUP(TBL_USUARIOS[[#This Row],[ID_MASSA]],tbl_de_massas[id_massa],tbl_de_massas[saldo_conta],"--",0,1)</f>
        <v>2965.91</v>
      </c>
      <c r="H328" t="str">
        <f>_xlfn.XLOOKUP(TBL_USUARIOS[[#This Row],[ID_MASSA]],tbl_de_massas[id_massa],tbl_de_massas[nome_completo],"--",0,1)</f>
        <v>Matheus Araujo Pinto</v>
      </c>
    </row>
    <row r="329" spans="1:8" x14ac:dyDescent="0.25">
      <c r="A329" s="2" t="s">
        <v>2698</v>
      </c>
      <c r="B329" t="str">
        <f>_xlfn.XLOOKUP(TBL_USUARIOS[[#This Row],[ID_MASSA]],tbl_de_massas[id_massa],tbl_de_massas[cpf],"--",0,1)</f>
        <v>43040626973</v>
      </c>
      <c r="C329" t="s">
        <v>12</v>
      </c>
      <c r="D329" t="str">
        <f>_xlfn.XLOOKUP(TBL_USUARIOS[[#This Row],[ID_MASSA]],tbl_de_massas[id_massa],tbl_de_massas[nome_completo],"--",0,1)</f>
        <v>Beatriz Ferreira</v>
      </c>
      <c r="E329" t="str">
        <f>_xlfn.XLOOKUP(TBL_USUARIOS[[#This Row],[ID_MASSA]],tbl_de_massas[id_massa],tbl_de_massas[cartao_fisico_numero],"--",0,1)</f>
        <v/>
      </c>
      <c r="F329" t="str">
        <f>_xlfn.XLOOKUP(TBL_USUARIOS[[#This Row],[ID_MASSA]],tbl_de_massas[id_massa],tbl_de_massas[nome_completo],"--",0,1)</f>
        <v>Beatriz Ferreira</v>
      </c>
      <c r="G329" s="47">
        <f>_xlfn.XLOOKUP(TBL_USUARIOS[[#This Row],[ID_MASSA]],tbl_de_massas[id_massa],tbl_de_massas[saldo_conta],"--",0,1)</f>
        <v>2966.43</v>
      </c>
      <c r="H329" t="str">
        <f>_xlfn.XLOOKUP(TBL_USUARIOS[[#This Row],[ID_MASSA]],tbl_de_massas[id_massa],tbl_de_massas[nome_completo],"--",0,1)</f>
        <v>Beatriz Ferreira</v>
      </c>
    </row>
    <row r="330" spans="1:8" x14ac:dyDescent="0.25">
      <c r="A330" s="2" t="s">
        <v>4199</v>
      </c>
      <c r="B330" t="str">
        <f>_xlfn.XLOOKUP(TBL_USUARIOS[[#This Row],[ID_MASSA]],tbl_de_massas[id_massa],tbl_de_massas[cpf],"--",0,1)</f>
        <v>60142789402</v>
      </c>
      <c r="C330" t="s">
        <v>12</v>
      </c>
      <c r="D330" t="str">
        <f>_xlfn.XLOOKUP(TBL_USUARIOS[[#This Row],[ID_MASSA]],tbl_de_massas[id_massa],tbl_de_massas[nome_completo],"--",0,1)</f>
        <v>Gustavo Monteiro Gomes</v>
      </c>
      <c r="E330" t="str">
        <f>_xlfn.XLOOKUP(TBL_USUARIOS[[#This Row],[ID_MASSA]],tbl_de_massas[id_massa],tbl_de_massas[cartao_fisico_numero],"--",0,1)</f>
        <v/>
      </c>
      <c r="F330" t="str">
        <f>_xlfn.XLOOKUP(TBL_USUARIOS[[#This Row],[ID_MASSA]],tbl_de_massas[id_massa],tbl_de_massas[nome_completo],"--",0,1)</f>
        <v>Gustavo Monteiro Gomes</v>
      </c>
      <c r="G330" s="47">
        <f>_xlfn.XLOOKUP(TBL_USUARIOS[[#This Row],[ID_MASSA]],tbl_de_massas[id_massa],tbl_de_massas[saldo_conta],"--",0,1)</f>
        <v>2978.23</v>
      </c>
      <c r="H330" t="str">
        <f>_xlfn.XLOOKUP(TBL_USUARIOS[[#This Row],[ID_MASSA]],tbl_de_massas[id_massa],tbl_de_massas[nome_completo],"--",0,1)</f>
        <v>Gustavo Monteiro Gomes</v>
      </c>
    </row>
    <row r="331" spans="1:8" x14ac:dyDescent="0.25">
      <c r="A331" s="2" t="s">
        <v>5989</v>
      </c>
      <c r="B331" t="str">
        <f>_xlfn.XLOOKUP(TBL_USUARIOS[[#This Row],[ID_MASSA]],tbl_de_massas[id_massa],tbl_de_massas[cpf],"--",0,1)</f>
        <v>58595409579</v>
      </c>
      <c r="C331" t="s">
        <v>12</v>
      </c>
      <c r="D331" t="str">
        <f>_xlfn.XLOOKUP(TBL_USUARIOS[[#This Row],[ID_MASSA]],tbl_de_massas[id_massa],tbl_de_massas[nome_completo],"--",0,1)</f>
        <v>Carolina Costa Moura</v>
      </c>
      <c r="E331" t="str">
        <f>_xlfn.XLOOKUP(TBL_USUARIOS[[#This Row],[ID_MASSA]],tbl_de_massas[id_massa],tbl_de_massas[cartao_fisico_numero],"--",0,1)</f>
        <v>6505 0666 6403 3232</v>
      </c>
      <c r="F331" t="str">
        <f>_xlfn.XLOOKUP(TBL_USUARIOS[[#This Row],[ID_MASSA]],tbl_de_massas[id_massa],tbl_de_massas[nome_completo],"--",0,1)</f>
        <v>Carolina Costa Moura</v>
      </c>
      <c r="G331" s="47">
        <f>_xlfn.XLOOKUP(TBL_USUARIOS[[#This Row],[ID_MASSA]],tbl_de_massas[id_massa],tbl_de_massas[saldo_conta],"--",0,1)</f>
        <v>3007.3</v>
      </c>
      <c r="H331" t="str">
        <f>_xlfn.XLOOKUP(TBL_USUARIOS[[#This Row],[ID_MASSA]],tbl_de_massas[id_massa],tbl_de_massas[nome_completo],"--",0,1)</f>
        <v>Carolina Costa Moura</v>
      </c>
    </row>
    <row r="332" spans="1:8" x14ac:dyDescent="0.25">
      <c r="A332" s="2" t="s">
        <v>29</v>
      </c>
      <c r="B332" s="14" t="str">
        <f>_xlfn.XLOOKUP(TBL_USUARIOS[[#This Row],[ID_MASSA]],tbl_de_massas[id_massa],tbl_de_massas[cpf],"--",0,1)</f>
        <v>27234768980</v>
      </c>
      <c r="C332" t="s">
        <v>12</v>
      </c>
      <c r="D332" t="str">
        <f>_xlfn.XLOOKUP(TBL_USUARIOS[[#This Row],[ID_MASSA]],tbl_de_massas[id_massa],tbl_de_massas[nome_completo],"--",0,1)</f>
        <v>Acanthe Vidal</v>
      </c>
      <c r="E332" t="str">
        <f>_xlfn.XLOOKUP(TBL_USUARIOS[[#This Row],[ID_MASSA]],tbl_de_massas[id_massa],tbl_de_massas[cartao_fisico_numero],"--",0,1)</f>
        <v>5442 7460 4352 2381</v>
      </c>
      <c r="F332" t="str">
        <f>_xlfn.XLOOKUP(TBL_USUARIOS[[#This Row],[ID_MASSA]],tbl_de_massas[id_massa],tbl_de_massas[nome_completo],"--",0,1)</f>
        <v>Acanthe Vidal</v>
      </c>
      <c r="G332" s="47">
        <f>_xlfn.XLOOKUP(TBL_USUARIOS[[#This Row],[ID_MASSA]],tbl_de_massas[id_massa],tbl_de_massas[saldo_conta],"--",0,1)</f>
        <v>3010.27</v>
      </c>
      <c r="H332" t="str">
        <f>_xlfn.XLOOKUP(TBL_USUARIOS[[#This Row],[ID_MASSA]],tbl_de_massas[id_massa],tbl_de_massas[nome_completo],"--",0,1)</f>
        <v>Acanthe Vidal</v>
      </c>
    </row>
    <row r="333" spans="1:8" x14ac:dyDescent="0.25">
      <c r="A333" s="2" t="s">
        <v>616</v>
      </c>
      <c r="B333" s="14" t="str">
        <f>_xlfn.XLOOKUP(TBL_USUARIOS[[#This Row],[ID_MASSA]],tbl_de_massas[id_massa],tbl_de_massas[cpf],"--",0,1)</f>
        <v>66414169091</v>
      </c>
      <c r="C333" t="s">
        <v>12</v>
      </c>
      <c r="D333" t="str">
        <f>_xlfn.XLOOKUP(TBL_USUARIOS[[#This Row],[ID_MASSA]],tbl_de_massas[id_massa],tbl_de_massas[nome_completo],"--",0,1)</f>
        <v>Coy Schmeler</v>
      </c>
      <c r="E333" t="str">
        <f>_xlfn.XLOOKUP(TBL_USUARIOS[[#This Row],[ID_MASSA]],tbl_de_massas[id_massa],tbl_de_massas[cartao_fisico_numero],"--",0,1)</f>
        <v>5442 7460 4969 9232</v>
      </c>
      <c r="F333" t="str">
        <f>_xlfn.XLOOKUP(TBL_USUARIOS[[#This Row],[ID_MASSA]],tbl_de_massas[id_massa],tbl_de_massas[nome_completo],"--",0,1)</f>
        <v>Coy Schmeler</v>
      </c>
      <c r="G333" s="47">
        <f>_xlfn.XLOOKUP(TBL_USUARIOS[[#This Row],[ID_MASSA]],tbl_de_massas[id_massa],tbl_de_massas[saldo_conta],"--",0,1)</f>
        <v>3021.83</v>
      </c>
      <c r="H333" t="str">
        <f>_xlfn.XLOOKUP(TBL_USUARIOS[[#This Row],[ID_MASSA]],tbl_de_massas[id_massa],tbl_de_massas[nome_completo],"--",0,1)</f>
        <v>Coy Schmeler</v>
      </c>
    </row>
    <row r="334" spans="1:8" x14ac:dyDescent="0.25">
      <c r="A334" s="2" t="s">
        <v>3034</v>
      </c>
      <c r="B334" t="str">
        <f>_xlfn.XLOOKUP(TBL_USUARIOS[[#This Row],[ID_MASSA]],tbl_de_massas[id_massa],tbl_de_massas[cpf],"--",0,1)</f>
        <v>35915509304</v>
      </c>
      <c r="C334" t="s">
        <v>12</v>
      </c>
      <c r="D334" t="str">
        <f>_xlfn.XLOOKUP(TBL_USUARIOS[[#This Row],[ID_MASSA]],tbl_de_massas[id_massa],tbl_de_massas[nome_completo],"--",0,1)</f>
        <v>Caio Souza Fernandes</v>
      </c>
      <c r="E334" t="str">
        <f>_xlfn.XLOOKUP(TBL_USUARIOS[[#This Row],[ID_MASSA]],tbl_de_massas[id_massa],tbl_de_massas[cartao_fisico_numero],"--",0,1)</f>
        <v>4576 7460 4024 8632</v>
      </c>
      <c r="F334" t="str">
        <f>_xlfn.XLOOKUP(TBL_USUARIOS[[#This Row],[ID_MASSA]],tbl_de_massas[id_massa],tbl_de_massas[nome_completo],"--",0,1)</f>
        <v>Caio Souza Fernandes</v>
      </c>
      <c r="G334" s="47">
        <f>_xlfn.XLOOKUP(TBL_USUARIOS[[#This Row],[ID_MASSA]],tbl_de_massas[id_massa],tbl_de_massas[saldo_conta],"--",0,1)</f>
        <v>3028.07</v>
      </c>
      <c r="H334" t="str">
        <f>_xlfn.XLOOKUP(TBL_USUARIOS[[#This Row],[ID_MASSA]],tbl_de_massas[id_massa],tbl_de_massas[nome_completo],"--",0,1)</f>
        <v>Caio Souza Fernandes</v>
      </c>
    </row>
    <row r="335" spans="1:8" x14ac:dyDescent="0.25">
      <c r="A335" s="2" t="s">
        <v>4078</v>
      </c>
      <c r="B335" t="str">
        <f>_xlfn.XLOOKUP(TBL_USUARIOS[[#This Row],[ID_MASSA]],tbl_de_massas[id_massa],tbl_de_massas[cpf],"--",0,1)</f>
        <v>37393915375</v>
      </c>
      <c r="C335" t="s">
        <v>12</v>
      </c>
      <c r="D335" t="str">
        <f>_xlfn.XLOOKUP(TBL_USUARIOS[[#This Row],[ID_MASSA]],tbl_de_massas[id_massa],tbl_de_massas[nome_completo],"--",0,1)</f>
        <v>Vinicius Cavalcanti Ribeiro</v>
      </c>
      <c r="E335" t="str">
        <f>_xlfn.XLOOKUP(TBL_USUARIOS[[#This Row],[ID_MASSA]],tbl_de_massas[id_massa],tbl_de_massas[cartao_fisico_numero],"--",0,1)</f>
        <v/>
      </c>
      <c r="F335" t="str">
        <f>_xlfn.XLOOKUP(TBL_USUARIOS[[#This Row],[ID_MASSA]],tbl_de_massas[id_massa],tbl_de_massas[nome_completo],"--",0,1)</f>
        <v>Vinicius Cavalcanti Ribeiro</v>
      </c>
      <c r="G335" s="47">
        <f>_xlfn.XLOOKUP(TBL_USUARIOS[[#This Row],[ID_MASSA]],tbl_de_massas[id_massa],tbl_de_massas[saldo_conta],"--",0,1)</f>
        <v>3034.84</v>
      </c>
      <c r="H335" t="str">
        <f>_xlfn.XLOOKUP(TBL_USUARIOS[[#This Row],[ID_MASSA]],tbl_de_massas[id_massa],tbl_de_massas[nome_completo],"--",0,1)</f>
        <v>Vinicius Cavalcanti Ribeiro</v>
      </c>
    </row>
    <row r="336" spans="1:8" x14ac:dyDescent="0.25">
      <c r="A336" s="2" t="s">
        <v>2172</v>
      </c>
      <c r="B336" s="14" t="str">
        <f>_xlfn.XLOOKUP(TBL_USUARIOS[[#This Row],[ID_MASSA]],tbl_de_massas[id_massa],tbl_de_massas[cpf],"--",0,1)</f>
        <v>18642038977</v>
      </c>
      <c r="C336" t="s">
        <v>12</v>
      </c>
      <c r="D336" t="str">
        <f>_xlfn.XLOOKUP(TBL_USUARIOS[[#This Row],[ID_MASSA]],tbl_de_massas[id_massa],tbl_de_massas[nome_completo],"--",0,1)</f>
        <v>Joaquin Gonzalez</v>
      </c>
      <c r="E336" t="str">
        <f>_xlfn.XLOOKUP(TBL_USUARIOS[[#This Row],[ID_MASSA]],tbl_de_massas[id_massa],tbl_de_massas[cartao_fisico_numero],"--",0,1)</f>
        <v>5442 7460 2626 2988</v>
      </c>
      <c r="F336" t="str">
        <f>_xlfn.XLOOKUP(TBL_USUARIOS[[#This Row],[ID_MASSA]],tbl_de_massas[id_massa],tbl_de_massas[nome_completo],"--",0,1)</f>
        <v>Joaquin Gonzalez</v>
      </c>
      <c r="G336" s="47">
        <f>_xlfn.XLOOKUP(TBL_USUARIOS[[#This Row],[ID_MASSA]],tbl_de_massas[id_massa],tbl_de_massas[saldo_conta],"--",0,1)</f>
        <v>3035.55</v>
      </c>
      <c r="H336" t="str">
        <f>_xlfn.XLOOKUP(TBL_USUARIOS[[#This Row],[ID_MASSA]],tbl_de_massas[id_massa],tbl_de_massas[nome_completo],"--",0,1)</f>
        <v>Joaquin Gonzalez</v>
      </c>
    </row>
    <row r="337" spans="1:8" x14ac:dyDescent="0.25">
      <c r="A337" s="2" t="s">
        <v>2325</v>
      </c>
      <c r="B337" s="14" t="str">
        <f>_xlfn.XLOOKUP(TBL_USUARIOS[[#This Row],[ID_MASSA]],tbl_de_massas[id_massa],tbl_de_massas[cpf],"--",0,1)</f>
        <v>88339779788</v>
      </c>
      <c r="C337" t="s">
        <v>12</v>
      </c>
      <c r="D337" t="str">
        <f>_xlfn.XLOOKUP(TBL_USUARIOS[[#This Row],[ID_MASSA]],tbl_de_massas[id_massa],tbl_de_massas[nome_completo],"--",0,1)</f>
        <v>Mathilde Le gall</v>
      </c>
      <c r="E337" t="str">
        <f>_xlfn.XLOOKUP(TBL_USUARIOS[[#This Row],[ID_MASSA]],tbl_de_massas[id_massa],tbl_de_massas[cartao_fisico_numero],"--",0,1)</f>
        <v>5442 7460 7512 2955</v>
      </c>
      <c r="F337" t="str">
        <f>_xlfn.XLOOKUP(TBL_USUARIOS[[#This Row],[ID_MASSA]],tbl_de_massas[id_massa],tbl_de_massas[nome_completo],"--",0,1)</f>
        <v>Mathilde Le gall</v>
      </c>
      <c r="G337" s="47">
        <f>_xlfn.XLOOKUP(TBL_USUARIOS[[#This Row],[ID_MASSA]],tbl_de_massas[id_massa],tbl_de_massas[saldo_conta],"--",0,1)</f>
        <v>3053.33</v>
      </c>
      <c r="H337" t="str">
        <f>_xlfn.XLOOKUP(TBL_USUARIOS[[#This Row],[ID_MASSA]],tbl_de_massas[id_massa],tbl_de_massas[nome_completo],"--",0,1)</f>
        <v>Mathilde Le gall</v>
      </c>
    </row>
    <row r="338" spans="1:8" x14ac:dyDescent="0.25">
      <c r="A338" s="2" t="s">
        <v>2313</v>
      </c>
      <c r="B338" s="14" t="str">
        <f>_xlfn.XLOOKUP(TBL_USUARIOS[[#This Row],[ID_MASSA]],tbl_de_massas[id_massa],tbl_de_massas[cpf],"--",0,1)</f>
        <v>77355277308</v>
      </c>
      <c r="C338" t="s">
        <v>12</v>
      </c>
      <c r="D338" t="str">
        <f>_xlfn.XLOOKUP(TBL_USUARIOS[[#This Row],[ID_MASSA]],tbl_de_massas[id_massa],tbl_de_massas[nome_completo],"--",0,1)</f>
        <v>Christian Bertrand</v>
      </c>
      <c r="E338" t="str">
        <f>_xlfn.XLOOKUP(TBL_USUARIOS[[#This Row],[ID_MASSA]],tbl_de_massas[id_massa],tbl_de_massas[cartao_fisico_numero],"--",0,1)</f>
        <v>5442 7460 3070 4884</v>
      </c>
      <c r="F338" t="str">
        <f>_xlfn.XLOOKUP(TBL_USUARIOS[[#This Row],[ID_MASSA]],tbl_de_massas[id_massa],tbl_de_massas[nome_completo],"--",0,1)</f>
        <v>Christian Bertrand</v>
      </c>
      <c r="G338" s="47">
        <f>_xlfn.XLOOKUP(TBL_USUARIOS[[#This Row],[ID_MASSA]],tbl_de_massas[id_massa],tbl_de_massas[saldo_conta],"--",0,1)</f>
        <v>3080.25</v>
      </c>
      <c r="H338" t="str">
        <f>_xlfn.XLOOKUP(TBL_USUARIOS[[#This Row],[ID_MASSA]],tbl_de_massas[id_massa],tbl_de_massas[nome_completo],"--",0,1)</f>
        <v>Christian Bertrand</v>
      </c>
    </row>
    <row r="339" spans="1:8" x14ac:dyDescent="0.25">
      <c r="A339" s="2" t="s">
        <v>2293</v>
      </c>
      <c r="B339" s="14" t="str">
        <f>_xlfn.XLOOKUP(TBL_USUARIOS[[#This Row],[ID_MASSA]],tbl_de_massas[id_massa],tbl_de_massas[cpf],"--",0,1)</f>
        <v>81722521295</v>
      </c>
      <c r="C339" t="s">
        <v>12</v>
      </c>
      <c r="D339" t="str">
        <f>_xlfn.XLOOKUP(TBL_USUARIOS[[#This Row],[ID_MASSA]],tbl_de_massas[id_massa],tbl_de_massas[nome_completo],"--",0,1)</f>
        <v>Hector Paris</v>
      </c>
      <c r="E339" t="str">
        <f>_xlfn.XLOOKUP(TBL_USUARIOS[[#This Row],[ID_MASSA]],tbl_de_massas[id_massa],tbl_de_massas[cartao_fisico_numero],"--",0,1)</f>
        <v>5442 7460 9108 3526</v>
      </c>
      <c r="F339" t="str">
        <f>_xlfn.XLOOKUP(TBL_USUARIOS[[#This Row],[ID_MASSA]],tbl_de_massas[id_massa],tbl_de_massas[nome_completo],"--",0,1)</f>
        <v>Hector Paris</v>
      </c>
      <c r="G339" s="47">
        <f>_xlfn.XLOOKUP(TBL_USUARIOS[[#This Row],[ID_MASSA]],tbl_de_massas[id_massa],tbl_de_massas[saldo_conta],"--",0,1)</f>
        <v>3086.71</v>
      </c>
      <c r="H339" t="str">
        <f>_xlfn.XLOOKUP(TBL_USUARIOS[[#This Row],[ID_MASSA]],tbl_de_massas[id_massa],tbl_de_massas[nome_completo],"--",0,1)</f>
        <v>Hector Paris</v>
      </c>
    </row>
    <row r="340" spans="1:8" x14ac:dyDescent="0.25">
      <c r="A340" s="2" t="s">
        <v>2988</v>
      </c>
      <c r="B340" t="str">
        <f>_xlfn.XLOOKUP(TBL_USUARIOS[[#This Row],[ID_MASSA]],tbl_de_massas[id_massa],tbl_de_massas[cpf],"--",0,1)</f>
        <v>37394538508</v>
      </c>
      <c r="C340" t="s">
        <v>12</v>
      </c>
      <c r="D340" t="str">
        <f>_xlfn.XLOOKUP(TBL_USUARIOS[[#This Row],[ID_MASSA]],tbl_de_massas[id_massa],tbl_de_massas[nome_completo],"--",0,1)</f>
        <v>Andre Moreira</v>
      </c>
      <c r="E340" t="str">
        <f>_xlfn.XLOOKUP(TBL_USUARIOS[[#This Row],[ID_MASSA]],tbl_de_massas[id_massa],tbl_de_massas[cartao_fisico_numero],"--",0,1)</f>
        <v>3782 878556 8560</v>
      </c>
      <c r="F340" t="str">
        <f>_xlfn.XLOOKUP(TBL_USUARIOS[[#This Row],[ID_MASSA]],tbl_de_massas[id_massa],tbl_de_massas[nome_completo],"--",0,1)</f>
        <v>Andre Moreira</v>
      </c>
      <c r="G340" s="47">
        <f>_xlfn.XLOOKUP(TBL_USUARIOS[[#This Row],[ID_MASSA]],tbl_de_massas[id_massa],tbl_de_massas[saldo_conta],"--",0,1)</f>
        <v>3098.96</v>
      </c>
      <c r="H340" t="str">
        <f>_xlfn.XLOOKUP(TBL_USUARIOS[[#This Row],[ID_MASSA]],tbl_de_massas[id_massa],tbl_de_massas[nome_completo],"--",0,1)</f>
        <v>Andre Moreira</v>
      </c>
    </row>
    <row r="341" spans="1:8" x14ac:dyDescent="0.25">
      <c r="A341" s="2" t="s">
        <v>3257</v>
      </c>
      <c r="B341" t="str">
        <f>_xlfn.XLOOKUP(TBL_USUARIOS[[#This Row],[ID_MASSA]],tbl_de_massas[id_massa],tbl_de_massas[cpf],"--",0,1)</f>
        <v>90790403200</v>
      </c>
      <c r="C341" t="s">
        <v>12</v>
      </c>
      <c r="D341" t="str">
        <f>_xlfn.XLOOKUP(TBL_USUARIOS[[#This Row],[ID_MASSA]],tbl_de_massas[id_massa],tbl_de_massas[nome_completo],"--",0,1)</f>
        <v>Renata Dias Pinto</v>
      </c>
      <c r="E341" t="str">
        <f>_xlfn.XLOOKUP(TBL_USUARIOS[[#This Row],[ID_MASSA]],tbl_de_massas[id_massa],tbl_de_massas[cartao_fisico_numero],"--",0,1)</f>
        <v/>
      </c>
      <c r="F341" t="str">
        <f>_xlfn.XLOOKUP(TBL_USUARIOS[[#This Row],[ID_MASSA]],tbl_de_massas[id_massa],tbl_de_massas[nome_completo],"--",0,1)</f>
        <v>Renata Dias Pinto</v>
      </c>
      <c r="G341" s="47">
        <f>_xlfn.XLOOKUP(TBL_USUARIOS[[#This Row],[ID_MASSA]],tbl_de_massas[id_massa],tbl_de_massas[saldo_conta],"--",0,1)</f>
        <v>3103.29</v>
      </c>
      <c r="H341" t="str">
        <f>_xlfn.XLOOKUP(TBL_USUARIOS[[#This Row],[ID_MASSA]],tbl_de_massas[id_massa],tbl_de_massas[nome_completo],"--",0,1)</f>
        <v>Renata Dias Pinto</v>
      </c>
    </row>
    <row r="342" spans="1:8" x14ac:dyDescent="0.25">
      <c r="A342" s="2" t="s">
        <v>6059</v>
      </c>
      <c r="B342" t="str">
        <f>_xlfn.XLOOKUP(TBL_USUARIOS[[#This Row],[ID_MASSA]],tbl_de_massas[id_massa],tbl_de_massas[cpf],"--",0,1)</f>
        <v>32697253882</v>
      </c>
      <c r="C342" t="s">
        <v>12</v>
      </c>
      <c r="D342" t="str">
        <f>_xlfn.XLOOKUP(TBL_USUARIOS[[#This Row],[ID_MASSA]],tbl_de_massas[id_massa],tbl_de_massas[nome_completo],"--",0,1)</f>
        <v>Bianca Santos Barbosa</v>
      </c>
      <c r="E342" t="str">
        <f>_xlfn.XLOOKUP(TBL_USUARIOS[[#This Row],[ID_MASSA]],tbl_de_massas[id_massa],tbl_de_massas[cartao_fisico_numero],"--",0,1)</f>
        <v>3782 984785 2747</v>
      </c>
      <c r="F342" t="str">
        <f>_xlfn.XLOOKUP(TBL_USUARIOS[[#This Row],[ID_MASSA]],tbl_de_massas[id_massa],tbl_de_massas[nome_completo],"--",0,1)</f>
        <v>Bianca Santos Barbosa</v>
      </c>
      <c r="G342" s="47">
        <f>_xlfn.XLOOKUP(TBL_USUARIOS[[#This Row],[ID_MASSA]],tbl_de_massas[id_massa],tbl_de_massas[saldo_conta],"--",0,1)</f>
        <v>3121.48</v>
      </c>
      <c r="H342" t="str">
        <f>_xlfn.XLOOKUP(TBL_USUARIOS[[#This Row],[ID_MASSA]],tbl_de_massas[id_massa],tbl_de_massas[nome_completo],"--",0,1)</f>
        <v>Bianca Santos Barbosa</v>
      </c>
    </row>
    <row r="343" spans="1:8" x14ac:dyDescent="0.25">
      <c r="A343" s="2" t="s">
        <v>4061</v>
      </c>
      <c r="B343" t="str">
        <f>_xlfn.XLOOKUP(TBL_USUARIOS[[#This Row],[ID_MASSA]],tbl_de_massas[id_massa],tbl_de_massas[cpf],"--",0,1)</f>
        <v>55333551707</v>
      </c>
      <c r="C343" t="s">
        <v>12</v>
      </c>
      <c r="D343" t="str">
        <f>_xlfn.XLOOKUP(TBL_USUARIOS[[#This Row],[ID_MASSA]],tbl_de_massas[id_massa],tbl_de_massas[nome_completo],"--",0,1)</f>
        <v>Camila Carvalho Araujo</v>
      </c>
      <c r="E343" t="str">
        <f>_xlfn.XLOOKUP(TBL_USUARIOS[[#This Row],[ID_MASSA]],tbl_de_massas[id_massa],tbl_de_massas[cartao_fisico_numero],"--",0,1)</f>
        <v>6505 0666 2131 4831</v>
      </c>
      <c r="F343" t="str">
        <f>_xlfn.XLOOKUP(TBL_USUARIOS[[#This Row],[ID_MASSA]],tbl_de_massas[id_massa],tbl_de_massas[nome_completo],"--",0,1)</f>
        <v>Camila Carvalho Araujo</v>
      </c>
      <c r="G343" s="47">
        <f>_xlfn.XLOOKUP(TBL_USUARIOS[[#This Row],[ID_MASSA]],tbl_de_massas[id_massa],tbl_de_massas[saldo_conta],"--",0,1)</f>
        <v>3136.07</v>
      </c>
      <c r="H343" t="str">
        <f>_xlfn.XLOOKUP(TBL_USUARIOS[[#This Row],[ID_MASSA]],tbl_de_massas[id_massa],tbl_de_massas[nome_completo],"--",0,1)</f>
        <v>Camila Carvalho Araujo</v>
      </c>
    </row>
    <row r="344" spans="1:8" x14ac:dyDescent="0.25">
      <c r="A344" s="2" t="s">
        <v>4607</v>
      </c>
      <c r="B344" t="str">
        <f>_xlfn.XLOOKUP(TBL_USUARIOS[[#This Row],[ID_MASSA]],tbl_de_massas[id_massa],tbl_de_massas[cpf],"--",0,1)</f>
        <v>07744253507</v>
      </c>
      <c r="C344" t="s">
        <v>12</v>
      </c>
      <c r="D344" t="str">
        <f>_xlfn.XLOOKUP(TBL_USUARIOS[[#This Row],[ID_MASSA]],tbl_de_massas[id_massa],tbl_de_massas[nome_completo],"--",0,1)</f>
        <v>Marcos Cavalcanti</v>
      </c>
      <c r="E344" t="str">
        <f>_xlfn.XLOOKUP(TBL_USUARIOS[[#This Row],[ID_MASSA]],tbl_de_massas[id_massa],tbl_de_massas[cartao_fisico_numero],"--",0,1)</f>
        <v>3782 929293 5840</v>
      </c>
      <c r="F344" t="str">
        <f>_xlfn.XLOOKUP(TBL_USUARIOS[[#This Row],[ID_MASSA]],tbl_de_massas[id_massa],tbl_de_massas[nome_completo],"--",0,1)</f>
        <v>Marcos Cavalcanti</v>
      </c>
      <c r="G344" s="47">
        <f>_xlfn.XLOOKUP(TBL_USUARIOS[[#This Row],[ID_MASSA]],tbl_de_massas[id_massa],tbl_de_massas[saldo_conta],"--",0,1)</f>
        <v>3194.1</v>
      </c>
      <c r="H344" t="str">
        <f>_xlfn.XLOOKUP(TBL_USUARIOS[[#This Row],[ID_MASSA]],tbl_de_massas[id_massa],tbl_de_massas[nome_completo],"--",0,1)</f>
        <v>Marcos Cavalcanti</v>
      </c>
    </row>
    <row r="345" spans="1:8" x14ac:dyDescent="0.25">
      <c r="A345" s="2" t="s">
        <v>3989</v>
      </c>
      <c r="B345" t="str">
        <f>_xlfn.XLOOKUP(TBL_USUARIOS[[#This Row],[ID_MASSA]],tbl_de_massas[id_massa],tbl_de_massas[cpf],"--",0,1)</f>
        <v>97493442436</v>
      </c>
      <c r="C345" t="s">
        <v>12</v>
      </c>
      <c r="D345" t="str">
        <f>_xlfn.XLOOKUP(TBL_USUARIOS[[#This Row],[ID_MASSA]],tbl_de_massas[id_massa],tbl_de_massas[nome_completo],"--",0,1)</f>
        <v>Carolina Barros</v>
      </c>
      <c r="E345" t="str">
        <f>_xlfn.XLOOKUP(TBL_USUARIOS[[#This Row],[ID_MASSA]],tbl_de_massas[id_massa],tbl_de_massas[cartao_fisico_numero],"--",0,1)</f>
        <v>4576 7460 4124 3143</v>
      </c>
      <c r="F345" t="str">
        <f>_xlfn.XLOOKUP(TBL_USUARIOS[[#This Row],[ID_MASSA]],tbl_de_massas[id_massa],tbl_de_massas[nome_completo],"--",0,1)</f>
        <v>Carolina Barros</v>
      </c>
      <c r="G345" s="47">
        <f>_xlfn.XLOOKUP(TBL_USUARIOS[[#This Row],[ID_MASSA]],tbl_de_massas[id_massa],tbl_de_massas[saldo_conta],"--",0,1)</f>
        <v>3215.68</v>
      </c>
      <c r="H345" t="str">
        <f>_xlfn.XLOOKUP(TBL_USUARIOS[[#This Row],[ID_MASSA]],tbl_de_massas[id_massa],tbl_de_massas[nome_completo],"--",0,1)</f>
        <v>Carolina Barros</v>
      </c>
    </row>
    <row r="346" spans="1:8" x14ac:dyDescent="0.25">
      <c r="A346" s="2" t="s">
        <v>2515</v>
      </c>
      <c r="B346" s="14" t="str">
        <f>_xlfn.XLOOKUP(TBL_USUARIOS[[#This Row],[ID_MASSA]],tbl_de_massas[id_massa],tbl_de_massas[cpf],"--",0,1)</f>
        <v>32660006920</v>
      </c>
      <c r="C346" t="s">
        <v>12</v>
      </c>
      <c r="D346" t="str">
        <f>_xlfn.XLOOKUP(TBL_USUARIOS[[#This Row],[ID_MASSA]],tbl_de_massas[id_massa],tbl_de_massas[nome_completo],"--",0,1)</f>
        <v>Leonardo Bianchi</v>
      </c>
      <c r="E346" t="str">
        <f>_xlfn.XLOOKUP(TBL_USUARIOS[[#This Row],[ID_MASSA]],tbl_de_massas[id_massa],tbl_de_massas[cartao_fisico_numero],"--",0,1)</f>
        <v/>
      </c>
      <c r="F346" t="str">
        <f>_xlfn.XLOOKUP(TBL_USUARIOS[[#This Row],[ID_MASSA]],tbl_de_massas[id_massa],tbl_de_massas[nome_completo],"--",0,1)</f>
        <v>Leonardo Bianchi</v>
      </c>
      <c r="G346" s="47">
        <f>_xlfn.XLOOKUP(TBL_USUARIOS[[#This Row],[ID_MASSA]],tbl_de_massas[id_massa],tbl_de_massas[saldo_conta],"--",0,1)</f>
        <v>3221.58</v>
      </c>
      <c r="H346" t="str">
        <f>_xlfn.XLOOKUP(TBL_USUARIOS[[#This Row],[ID_MASSA]],tbl_de_massas[id_massa],tbl_de_massas[nome_completo],"--",0,1)</f>
        <v>Leonardo Bianchi</v>
      </c>
    </row>
    <row r="347" spans="1:8" x14ac:dyDescent="0.25">
      <c r="A347" s="2" t="s">
        <v>2271</v>
      </c>
      <c r="B347" s="14" t="str">
        <f>_xlfn.XLOOKUP(TBL_USUARIOS[[#This Row],[ID_MASSA]],tbl_de_massas[id_massa],tbl_de_massas[cpf],"--",0,1)</f>
        <v>77017682203</v>
      </c>
      <c r="C347" t="s">
        <v>12</v>
      </c>
      <c r="D347" t="str">
        <f>_xlfn.XLOOKUP(TBL_USUARIOS[[#This Row],[ID_MASSA]],tbl_de_massas[id_massa],tbl_de_massas[nome_completo],"--",0,1)</f>
        <v>Albéric Prevost</v>
      </c>
      <c r="E347" t="str">
        <f>_xlfn.XLOOKUP(TBL_USUARIOS[[#This Row],[ID_MASSA]],tbl_de_massas[id_massa],tbl_de_massas[cartao_fisico_numero],"--",0,1)</f>
        <v>5442 7460 3341 8160</v>
      </c>
      <c r="F347" t="str">
        <f>_xlfn.XLOOKUP(TBL_USUARIOS[[#This Row],[ID_MASSA]],tbl_de_massas[id_massa],tbl_de_massas[nome_completo],"--",0,1)</f>
        <v>Albéric Prevost</v>
      </c>
      <c r="G347" s="47">
        <f>_xlfn.XLOOKUP(TBL_USUARIOS[[#This Row],[ID_MASSA]],tbl_de_massas[id_massa],tbl_de_massas[saldo_conta],"--",0,1)</f>
        <v>3257.75</v>
      </c>
      <c r="H347" t="str">
        <f>_xlfn.XLOOKUP(TBL_USUARIOS[[#This Row],[ID_MASSA]],tbl_de_massas[id_massa],tbl_de_massas[nome_completo],"--",0,1)</f>
        <v>Albéric Prevost</v>
      </c>
    </row>
    <row r="348" spans="1:8" x14ac:dyDescent="0.25">
      <c r="A348" s="2" t="s">
        <v>6323</v>
      </c>
      <c r="B348" t="str">
        <f>_xlfn.XLOOKUP(TBL_USUARIOS[[#This Row],[ID_MASSA]],tbl_de_massas[id_massa],tbl_de_massas[cpf],"--",0,1)</f>
        <v>40053549040</v>
      </c>
      <c r="C348" t="s">
        <v>12</v>
      </c>
      <c r="D348" t="str">
        <f>_xlfn.XLOOKUP(TBL_USUARIOS[[#This Row],[ID_MASSA]],tbl_de_massas[id_massa],tbl_de_massas[nome_completo],"--",0,1)</f>
        <v>Alexander King</v>
      </c>
      <c r="E348" t="str">
        <f>_xlfn.XLOOKUP(TBL_USUARIOS[[#This Row],[ID_MASSA]],tbl_de_massas[id_massa],tbl_de_massas[cartao_fisico_numero],"--",0,1)</f>
        <v>3782 539904 2047</v>
      </c>
      <c r="F348" t="str">
        <f>_xlfn.XLOOKUP(TBL_USUARIOS[[#This Row],[ID_MASSA]],tbl_de_massas[id_massa],tbl_de_massas[nome_completo],"--",0,1)</f>
        <v>Alexander King</v>
      </c>
      <c r="G348" s="47">
        <f>_xlfn.XLOOKUP(TBL_USUARIOS[[#This Row],[ID_MASSA]],tbl_de_massas[id_massa],tbl_de_massas[saldo_conta],"--",0,1)</f>
        <v>3266.73</v>
      </c>
      <c r="H348" t="str">
        <f>_xlfn.XLOOKUP(TBL_USUARIOS[[#This Row],[ID_MASSA]],tbl_de_massas[id_massa],tbl_de_massas[nome_completo],"--",0,1)</f>
        <v>Alexander King</v>
      </c>
    </row>
    <row r="349" spans="1:8" x14ac:dyDescent="0.25">
      <c r="A349" s="2" t="s">
        <v>3287</v>
      </c>
      <c r="B349" t="str">
        <f>_xlfn.XLOOKUP(TBL_USUARIOS[[#This Row],[ID_MASSA]],tbl_de_massas[id_massa],tbl_de_massas[cpf],"--",0,1)</f>
        <v>56340819800</v>
      </c>
      <c r="C349" t="s">
        <v>12</v>
      </c>
      <c r="D349" t="str">
        <f>_xlfn.XLOOKUP(TBL_USUARIOS[[#This Row],[ID_MASSA]],tbl_de_massas[id_massa],tbl_de_massas[nome_completo],"--",0,1)</f>
        <v>Juliana Fernandes</v>
      </c>
      <c r="E349" t="str">
        <f>_xlfn.XLOOKUP(TBL_USUARIOS[[#This Row],[ID_MASSA]],tbl_de_massas[id_massa],tbl_de_massas[cartao_fisico_numero],"--",0,1)</f>
        <v>6505 0666 7483 9850</v>
      </c>
      <c r="F349" t="str">
        <f>_xlfn.XLOOKUP(TBL_USUARIOS[[#This Row],[ID_MASSA]],tbl_de_massas[id_massa],tbl_de_massas[nome_completo],"--",0,1)</f>
        <v>Juliana Fernandes</v>
      </c>
      <c r="G349" s="47">
        <f>_xlfn.XLOOKUP(TBL_USUARIOS[[#This Row],[ID_MASSA]],tbl_de_massas[id_massa],tbl_de_massas[saldo_conta],"--",0,1)</f>
        <v>3267.47</v>
      </c>
      <c r="H349" t="str">
        <f>_xlfn.XLOOKUP(TBL_USUARIOS[[#This Row],[ID_MASSA]],tbl_de_massas[id_massa],tbl_de_massas[nome_completo],"--",0,1)</f>
        <v>Juliana Fernandes</v>
      </c>
    </row>
    <row r="350" spans="1:8" x14ac:dyDescent="0.25">
      <c r="A350" s="2" t="s">
        <v>6313</v>
      </c>
      <c r="B350" t="str">
        <f>_xlfn.XLOOKUP(TBL_USUARIOS[[#This Row],[ID_MASSA]],tbl_de_massas[id_massa],tbl_de_massas[cpf],"--",0,1)</f>
        <v>88346469080</v>
      </c>
      <c r="C350" t="s">
        <v>12</v>
      </c>
      <c r="D350" t="str">
        <f>_xlfn.XLOOKUP(TBL_USUARIOS[[#This Row],[ID_MASSA]],tbl_de_massas[id_massa],tbl_de_massas[nome_completo],"--",0,1)</f>
        <v>Mia Jackson</v>
      </c>
      <c r="E350" t="str">
        <f>_xlfn.XLOOKUP(TBL_USUARIOS[[#This Row],[ID_MASSA]],tbl_de_massas[id_massa],tbl_de_massas[cartao_fisico_numero],"--",0,1)</f>
        <v>4576 7460 8312 4602</v>
      </c>
      <c r="F350" t="str">
        <f>_xlfn.XLOOKUP(TBL_USUARIOS[[#This Row],[ID_MASSA]],tbl_de_massas[id_massa],tbl_de_massas[nome_completo],"--",0,1)</f>
        <v>Mia Jackson</v>
      </c>
      <c r="G350" s="47">
        <f>_xlfn.XLOOKUP(TBL_USUARIOS[[#This Row],[ID_MASSA]],tbl_de_massas[id_massa],tbl_de_massas[saldo_conta],"--",0,1)</f>
        <v>3283.63</v>
      </c>
      <c r="H350" t="str">
        <f>_xlfn.XLOOKUP(TBL_USUARIOS[[#This Row],[ID_MASSA]],tbl_de_massas[id_massa],tbl_de_massas[nome_completo],"--",0,1)</f>
        <v>Mia Jackson</v>
      </c>
    </row>
    <row r="351" spans="1:8" x14ac:dyDescent="0.25">
      <c r="A351" s="2" t="s">
        <v>6055</v>
      </c>
      <c r="B351" t="str">
        <f>_xlfn.XLOOKUP(TBL_USUARIOS[[#This Row],[ID_MASSA]],tbl_de_massas[id_massa],tbl_de_massas[cpf],"--",0,1)</f>
        <v>37633580801</v>
      </c>
      <c r="C351" t="s">
        <v>12</v>
      </c>
      <c r="D351" t="str">
        <f>_xlfn.XLOOKUP(TBL_USUARIOS[[#This Row],[ID_MASSA]],tbl_de_massas[id_massa],tbl_de_massas[nome_completo],"--",0,1)</f>
        <v>Caio Borges Almeida</v>
      </c>
      <c r="E351" t="str">
        <f>_xlfn.XLOOKUP(TBL_USUARIOS[[#This Row],[ID_MASSA]],tbl_de_massas[id_massa],tbl_de_massas[cartao_fisico_numero],"--",0,1)</f>
        <v>6505 0666 1903 2093</v>
      </c>
      <c r="F351" t="str">
        <f>_xlfn.XLOOKUP(TBL_USUARIOS[[#This Row],[ID_MASSA]],tbl_de_massas[id_massa],tbl_de_massas[nome_completo],"--",0,1)</f>
        <v>Caio Borges Almeida</v>
      </c>
      <c r="G351" s="47">
        <f>_xlfn.XLOOKUP(TBL_USUARIOS[[#This Row],[ID_MASSA]],tbl_de_massas[id_massa],tbl_de_massas[saldo_conta],"--",0,1)</f>
        <v>3303.72</v>
      </c>
      <c r="H351" t="str">
        <f>_xlfn.XLOOKUP(TBL_USUARIOS[[#This Row],[ID_MASSA]],tbl_de_massas[id_massa],tbl_de_massas[nome_completo],"--",0,1)</f>
        <v>Caio Borges Almeida</v>
      </c>
    </row>
    <row r="352" spans="1:8" x14ac:dyDescent="0.25">
      <c r="A352" s="2" t="s">
        <v>5166</v>
      </c>
      <c r="B352" t="str">
        <f>_xlfn.XLOOKUP(TBL_USUARIOS[[#This Row],[ID_MASSA]],tbl_de_massas[id_massa],tbl_de_massas[cpf],"--",0,1)</f>
        <v>83473257311</v>
      </c>
      <c r="C352" t="s">
        <v>12</v>
      </c>
      <c r="D352" t="str">
        <f>_xlfn.XLOOKUP(TBL_USUARIOS[[#This Row],[ID_MASSA]],tbl_de_massas[id_massa],tbl_de_massas[nome_completo],"--",0,1)</f>
        <v>Guilherme Araujo Barros</v>
      </c>
      <c r="E352" t="str">
        <f>_xlfn.XLOOKUP(TBL_USUARIOS[[#This Row],[ID_MASSA]],tbl_de_massas[id_massa],tbl_de_massas[cartao_fisico_numero],"--",0,1)</f>
        <v/>
      </c>
      <c r="F352" t="str">
        <f>_xlfn.XLOOKUP(TBL_USUARIOS[[#This Row],[ID_MASSA]],tbl_de_massas[id_massa],tbl_de_massas[nome_completo],"--",0,1)</f>
        <v>Guilherme Araujo Barros</v>
      </c>
      <c r="G352" s="47">
        <f>_xlfn.XLOOKUP(TBL_USUARIOS[[#This Row],[ID_MASSA]],tbl_de_massas[id_massa],tbl_de_massas[saldo_conta],"--",0,1)</f>
        <v>3328.04</v>
      </c>
      <c r="H352" t="str">
        <f>_xlfn.XLOOKUP(TBL_USUARIOS[[#This Row],[ID_MASSA]],tbl_de_massas[id_massa],tbl_de_massas[nome_completo],"--",0,1)</f>
        <v>Guilherme Araujo Barros</v>
      </c>
    </row>
    <row r="353" spans="1:8" x14ac:dyDescent="0.25">
      <c r="A353" s="2" t="s">
        <v>6336</v>
      </c>
      <c r="B353" t="str">
        <f>_xlfn.XLOOKUP(TBL_USUARIOS[[#This Row],[ID_MASSA]],tbl_de_massas[id_massa],tbl_de_massas[cpf],"--",0,1)</f>
        <v>85164909049</v>
      </c>
      <c r="C353" t="s">
        <v>12</v>
      </c>
      <c r="D353" t="str">
        <f>_xlfn.XLOOKUP(TBL_USUARIOS[[#This Row],[ID_MASSA]],tbl_de_massas[id_massa],tbl_de_massas[nome_completo],"--",0,1)</f>
        <v>Harper Lewis</v>
      </c>
      <c r="E353" t="str">
        <f>_xlfn.XLOOKUP(TBL_USUARIOS[[#This Row],[ID_MASSA]],tbl_de_massas[id_massa],tbl_de_massas[cartao_fisico_numero],"--",0,1)</f>
        <v/>
      </c>
      <c r="F353" t="str">
        <f>_xlfn.XLOOKUP(TBL_USUARIOS[[#This Row],[ID_MASSA]],tbl_de_massas[id_massa],tbl_de_massas[nome_completo],"--",0,1)</f>
        <v>Harper Lewis</v>
      </c>
      <c r="G353" s="47">
        <f>_xlfn.XLOOKUP(TBL_USUARIOS[[#This Row],[ID_MASSA]],tbl_de_massas[id_massa],tbl_de_massas[saldo_conta],"--",0,1)</f>
        <v>3359.7</v>
      </c>
      <c r="H353" t="str">
        <f>_xlfn.XLOOKUP(TBL_USUARIOS[[#This Row],[ID_MASSA]],tbl_de_massas[id_massa],tbl_de_massas[nome_completo],"--",0,1)</f>
        <v>Harper Lewis</v>
      </c>
    </row>
    <row r="354" spans="1:8" x14ac:dyDescent="0.25">
      <c r="A354" s="2" t="s">
        <v>2811</v>
      </c>
      <c r="B354" t="str">
        <f>_xlfn.XLOOKUP(TBL_USUARIOS[[#This Row],[ID_MASSA]],tbl_de_massas[id_massa],tbl_de_massas[cpf],"--",0,1)</f>
        <v>68821327558</v>
      </c>
      <c r="C354" t="s">
        <v>12</v>
      </c>
      <c r="D354" t="str">
        <f>_xlfn.XLOOKUP(TBL_USUARIOS[[#This Row],[ID_MASSA]],tbl_de_massas[id_massa],tbl_de_massas[nome_completo],"--",0,1)</f>
        <v>Felipe Monteiro</v>
      </c>
      <c r="E354" t="str">
        <f>_xlfn.XLOOKUP(TBL_USUARIOS[[#This Row],[ID_MASSA]],tbl_de_massas[id_massa],tbl_de_massas[cartao_fisico_numero],"--",0,1)</f>
        <v>5442 7460 8046 6530</v>
      </c>
      <c r="F354" t="str">
        <f>_xlfn.XLOOKUP(TBL_USUARIOS[[#This Row],[ID_MASSA]],tbl_de_massas[id_massa],tbl_de_massas[nome_completo],"--",0,1)</f>
        <v>Felipe Monteiro</v>
      </c>
      <c r="G354" s="47">
        <f>_xlfn.XLOOKUP(TBL_USUARIOS[[#This Row],[ID_MASSA]],tbl_de_massas[id_massa],tbl_de_massas[saldo_conta],"--",0,1)</f>
        <v>3376.9</v>
      </c>
      <c r="H354" t="str">
        <f>_xlfn.XLOOKUP(TBL_USUARIOS[[#This Row],[ID_MASSA]],tbl_de_massas[id_massa],tbl_de_massas[nome_completo],"--",0,1)</f>
        <v>Felipe Monteiro</v>
      </c>
    </row>
    <row r="355" spans="1:8" x14ac:dyDescent="0.25">
      <c r="A355" s="2" t="s">
        <v>5781</v>
      </c>
      <c r="B355" t="str">
        <f>_xlfn.XLOOKUP(TBL_USUARIOS[[#This Row],[ID_MASSA]],tbl_de_massas[id_massa],tbl_de_massas[cpf],"--",0,1)</f>
        <v>51059491451</v>
      </c>
      <c r="C355" t="s">
        <v>12</v>
      </c>
      <c r="D355" t="str">
        <f>_xlfn.XLOOKUP(TBL_USUARIOS[[#This Row],[ID_MASSA]],tbl_de_massas[id_massa],tbl_de_massas[nome_completo],"--",0,1)</f>
        <v>Fernanda Moura</v>
      </c>
      <c r="E355" t="str">
        <f>_xlfn.XLOOKUP(TBL_USUARIOS[[#This Row],[ID_MASSA]],tbl_de_massas[id_massa],tbl_de_massas[cartao_fisico_numero],"--",0,1)</f>
        <v>4576 7460 6260 8653</v>
      </c>
      <c r="F355" t="str">
        <f>_xlfn.XLOOKUP(TBL_USUARIOS[[#This Row],[ID_MASSA]],tbl_de_massas[id_massa],tbl_de_massas[nome_completo],"--",0,1)</f>
        <v>Fernanda Moura</v>
      </c>
      <c r="G355" s="47">
        <f>_xlfn.XLOOKUP(TBL_USUARIOS[[#This Row],[ID_MASSA]],tbl_de_massas[id_massa],tbl_de_massas[saldo_conta],"--",0,1)</f>
        <v>3380.44</v>
      </c>
      <c r="H355" t="str">
        <f>_xlfn.XLOOKUP(TBL_USUARIOS[[#This Row],[ID_MASSA]],tbl_de_massas[id_massa],tbl_de_massas[nome_completo],"--",0,1)</f>
        <v>Fernanda Moura</v>
      </c>
    </row>
    <row r="356" spans="1:8" x14ac:dyDescent="0.25">
      <c r="A356" s="2" t="s">
        <v>4482</v>
      </c>
      <c r="B356" t="str">
        <f>_xlfn.XLOOKUP(TBL_USUARIOS[[#This Row],[ID_MASSA]],tbl_de_massas[id_massa],tbl_de_massas[cpf],"--",0,1)</f>
        <v>97879465499</v>
      </c>
      <c r="C356" t="s">
        <v>12</v>
      </c>
      <c r="D356" t="str">
        <f>_xlfn.XLOOKUP(TBL_USUARIOS[[#This Row],[ID_MASSA]],tbl_de_massas[id_massa],tbl_de_massas[nome_completo],"--",0,1)</f>
        <v>Mariana Campos</v>
      </c>
      <c r="E356" t="str">
        <f>_xlfn.XLOOKUP(TBL_USUARIOS[[#This Row],[ID_MASSA]],tbl_de_massas[id_massa],tbl_de_massas[cartao_fisico_numero],"--",0,1)</f>
        <v/>
      </c>
      <c r="F356" t="str">
        <f>_xlfn.XLOOKUP(TBL_USUARIOS[[#This Row],[ID_MASSA]],tbl_de_massas[id_massa],tbl_de_massas[nome_completo],"--",0,1)</f>
        <v>Mariana Campos</v>
      </c>
      <c r="G356" s="47">
        <f>_xlfn.XLOOKUP(TBL_USUARIOS[[#This Row],[ID_MASSA]],tbl_de_massas[id_massa],tbl_de_massas[saldo_conta],"--",0,1)</f>
        <v>3381.83</v>
      </c>
      <c r="H356" t="str">
        <f>_xlfn.XLOOKUP(TBL_USUARIOS[[#This Row],[ID_MASSA]],tbl_de_massas[id_massa],tbl_de_massas[nome_completo],"--",0,1)</f>
        <v>Mariana Campos</v>
      </c>
    </row>
    <row r="357" spans="1:8" x14ac:dyDescent="0.25">
      <c r="A357" s="2" t="s">
        <v>5552</v>
      </c>
      <c r="B357" t="str">
        <f>_xlfn.XLOOKUP(TBL_USUARIOS[[#This Row],[ID_MASSA]],tbl_de_massas[id_massa],tbl_de_massas[cpf],"--",0,1)</f>
        <v>79443255529</v>
      </c>
      <c r="C357" t="s">
        <v>12</v>
      </c>
      <c r="D357" t="str">
        <f>_xlfn.XLOOKUP(TBL_USUARIOS[[#This Row],[ID_MASSA]],tbl_de_massas[id_massa],tbl_de_massas[nome_completo],"--",0,1)</f>
        <v>Vivian Teixeira</v>
      </c>
      <c r="E357" t="str">
        <f>_xlfn.XLOOKUP(TBL_USUARIOS[[#This Row],[ID_MASSA]],tbl_de_massas[id_massa],tbl_de_massas[cartao_fisico_numero],"--",0,1)</f>
        <v>6062 8200 4112 7642</v>
      </c>
      <c r="F357" t="str">
        <f>_xlfn.XLOOKUP(TBL_USUARIOS[[#This Row],[ID_MASSA]],tbl_de_massas[id_massa],tbl_de_massas[nome_completo],"--",0,1)</f>
        <v>Vivian Teixeira</v>
      </c>
      <c r="G357" s="47">
        <f>_xlfn.XLOOKUP(TBL_USUARIOS[[#This Row],[ID_MASSA]],tbl_de_massas[id_massa],tbl_de_massas[saldo_conta],"--",0,1)</f>
        <v>3404.38</v>
      </c>
      <c r="H357" t="str">
        <f>_xlfn.XLOOKUP(TBL_USUARIOS[[#This Row],[ID_MASSA]],tbl_de_massas[id_massa],tbl_de_massas[nome_completo],"--",0,1)</f>
        <v>Vivian Teixeira</v>
      </c>
    </row>
    <row r="358" spans="1:8" x14ac:dyDescent="0.25">
      <c r="A358" s="2" t="s">
        <v>4261</v>
      </c>
      <c r="B358" t="str">
        <f>_xlfn.XLOOKUP(TBL_USUARIOS[[#This Row],[ID_MASSA]],tbl_de_massas[id_massa],tbl_de_massas[cpf],"--",0,1)</f>
        <v>52366020848</v>
      </c>
      <c r="C358" t="s">
        <v>12</v>
      </c>
      <c r="D358" t="str">
        <f>_xlfn.XLOOKUP(TBL_USUARIOS[[#This Row],[ID_MASSA]],tbl_de_massas[id_massa],tbl_de_massas[nome_completo],"--",0,1)</f>
        <v>Carolina Castro</v>
      </c>
      <c r="E358" t="str">
        <f>_xlfn.XLOOKUP(TBL_USUARIOS[[#This Row],[ID_MASSA]],tbl_de_massas[id_massa],tbl_de_massas[cartao_fisico_numero],"--",0,1)</f>
        <v/>
      </c>
      <c r="F358" t="str">
        <f>_xlfn.XLOOKUP(TBL_USUARIOS[[#This Row],[ID_MASSA]],tbl_de_massas[id_massa],tbl_de_massas[nome_completo],"--",0,1)</f>
        <v>Carolina Castro</v>
      </c>
      <c r="G358" s="47">
        <f>_xlfn.XLOOKUP(TBL_USUARIOS[[#This Row],[ID_MASSA]],tbl_de_massas[id_massa],tbl_de_massas[saldo_conta],"--",0,1)</f>
        <v>3411.35</v>
      </c>
      <c r="H358" t="str">
        <f>_xlfn.XLOOKUP(TBL_USUARIOS[[#This Row],[ID_MASSA]],tbl_de_massas[id_massa],tbl_de_massas[nome_completo],"--",0,1)</f>
        <v>Carolina Castro</v>
      </c>
    </row>
    <row r="359" spans="1:8" x14ac:dyDescent="0.25">
      <c r="A359" s="2" t="s">
        <v>2175</v>
      </c>
      <c r="B359" s="14" t="str">
        <f>_xlfn.XLOOKUP(TBL_USUARIOS[[#This Row],[ID_MASSA]],tbl_de_massas[id_massa],tbl_de_massas[cpf],"--",0,1)</f>
        <v>74478435715</v>
      </c>
      <c r="C359" t="s">
        <v>12</v>
      </c>
      <c r="D359" t="str">
        <f>_xlfn.XLOOKUP(TBL_USUARIOS[[#This Row],[ID_MASSA]],tbl_de_massas[id_massa],tbl_de_massas[nome_completo],"--",0,1)</f>
        <v>Maximilian Mueller</v>
      </c>
      <c r="E359" t="str">
        <f>_xlfn.XLOOKUP(TBL_USUARIOS[[#This Row],[ID_MASSA]],tbl_de_massas[id_massa],tbl_de_massas[cartao_fisico_numero],"--",0,1)</f>
        <v>6505 0666 6916 0630</v>
      </c>
      <c r="F359" t="str">
        <f>_xlfn.XLOOKUP(TBL_USUARIOS[[#This Row],[ID_MASSA]],tbl_de_massas[id_massa],tbl_de_massas[nome_completo],"--",0,1)</f>
        <v>Maximilian Mueller</v>
      </c>
      <c r="G359" s="47">
        <f>_xlfn.XLOOKUP(TBL_USUARIOS[[#This Row],[ID_MASSA]],tbl_de_massas[id_massa],tbl_de_massas[saldo_conta],"--",0,1)</f>
        <v>3412.12</v>
      </c>
      <c r="H359" t="str">
        <f>_xlfn.XLOOKUP(TBL_USUARIOS[[#This Row],[ID_MASSA]],tbl_de_massas[id_massa],tbl_de_massas[nome_completo],"--",0,1)</f>
        <v>Maximilian Mueller</v>
      </c>
    </row>
    <row r="360" spans="1:8" x14ac:dyDescent="0.25">
      <c r="A360" s="2" t="s">
        <v>4107</v>
      </c>
      <c r="B360" t="str">
        <f>_xlfn.XLOOKUP(TBL_USUARIOS[[#This Row],[ID_MASSA]],tbl_de_massas[id_massa],tbl_de_massas[cpf],"--",0,1)</f>
        <v>42801524468</v>
      </c>
      <c r="C360" t="s">
        <v>12</v>
      </c>
      <c r="D360" t="str">
        <f>_xlfn.XLOOKUP(TBL_USUARIOS[[#This Row],[ID_MASSA]],tbl_de_massas[id_massa],tbl_de_massas[nome_completo],"--",0,1)</f>
        <v>Larissa Lima Souza</v>
      </c>
      <c r="E360" t="str">
        <f>_xlfn.XLOOKUP(TBL_USUARIOS[[#This Row],[ID_MASSA]],tbl_de_massas[id_massa],tbl_de_massas[cartao_fisico_numero],"--",0,1)</f>
        <v>6505 0666 2116 3195</v>
      </c>
      <c r="F360" t="str">
        <f>_xlfn.XLOOKUP(TBL_USUARIOS[[#This Row],[ID_MASSA]],tbl_de_massas[id_massa],tbl_de_massas[nome_completo],"--",0,1)</f>
        <v>Larissa Lima Souza</v>
      </c>
      <c r="G360" s="47">
        <f>_xlfn.XLOOKUP(TBL_USUARIOS[[#This Row],[ID_MASSA]],tbl_de_massas[id_massa],tbl_de_massas[saldo_conta],"--",0,1)</f>
        <v>3414.44</v>
      </c>
      <c r="H360" t="str">
        <f>_xlfn.XLOOKUP(TBL_USUARIOS[[#This Row],[ID_MASSA]],tbl_de_massas[id_massa],tbl_de_massas[nome_completo],"--",0,1)</f>
        <v>Larissa Lima Souza</v>
      </c>
    </row>
    <row r="361" spans="1:8" x14ac:dyDescent="0.25">
      <c r="A361" s="2" t="s">
        <v>5905</v>
      </c>
      <c r="B361" t="str">
        <f>_xlfn.XLOOKUP(TBL_USUARIOS[[#This Row],[ID_MASSA]],tbl_de_massas[id_massa],tbl_de_massas[cpf],"--",0,1)</f>
        <v>00569350565</v>
      </c>
      <c r="C361" t="s">
        <v>12</v>
      </c>
      <c r="D361" t="str">
        <f>_xlfn.XLOOKUP(TBL_USUARIOS[[#This Row],[ID_MASSA]],tbl_de_massas[id_massa],tbl_de_massas[nome_completo],"--",0,1)</f>
        <v>Eduardo Rodrigues Oliveira</v>
      </c>
      <c r="E361" t="str">
        <f>_xlfn.XLOOKUP(TBL_USUARIOS[[#This Row],[ID_MASSA]],tbl_de_massas[id_massa],tbl_de_massas[cartao_fisico_numero],"--",0,1)</f>
        <v>6505 0666 7353 6963</v>
      </c>
      <c r="F361" t="str">
        <f>_xlfn.XLOOKUP(TBL_USUARIOS[[#This Row],[ID_MASSA]],tbl_de_massas[id_massa],tbl_de_massas[nome_completo],"--",0,1)</f>
        <v>Eduardo Rodrigues Oliveira</v>
      </c>
      <c r="G361" s="47">
        <f>_xlfn.XLOOKUP(TBL_USUARIOS[[#This Row],[ID_MASSA]],tbl_de_massas[id_massa],tbl_de_massas[saldo_conta],"--",0,1)</f>
        <v>3452.66</v>
      </c>
      <c r="H361" t="str">
        <f>_xlfn.XLOOKUP(TBL_USUARIOS[[#This Row],[ID_MASSA]],tbl_de_massas[id_massa],tbl_de_massas[nome_completo],"--",0,1)</f>
        <v>Eduardo Rodrigues Oliveira</v>
      </c>
    </row>
    <row r="362" spans="1:8" x14ac:dyDescent="0.25">
      <c r="A362" s="2" t="s">
        <v>4784</v>
      </c>
      <c r="B362" t="str">
        <f>_xlfn.XLOOKUP(TBL_USUARIOS[[#This Row],[ID_MASSA]],tbl_de_massas[id_massa],tbl_de_massas[cpf],"--",0,1)</f>
        <v>11904659810</v>
      </c>
      <c r="C362" t="s">
        <v>12</v>
      </c>
      <c r="D362" t="str">
        <f>_xlfn.XLOOKUP(TBL_USUARIOS[[#This Row],[ID_MASSA]],tbl_de_massas[id_massa],tbl_de_massas[nome_completo],"--",0,1)</f>
        <v>Matheus Barros</v>
      </c>
      <c r="E362" t="str">
        <f>_xlfn.XLOOKUP(TBL_USUARIOS[[#This Row],[ID_MASSA]],tbl_de_massas[id_massa],tbl_de_massas[cartao_fisico_numero],"--",0,1)</f>
        <v>5442 7460 1800 0691</v>
      </c>
      <c r="F362" t="str">
        <f>_xlfn.XLOOKUP(TBL_USUARIOS[[#This Row],[ID_MASSA]],tbl_de_massas[id_massa],tbl_de_massas[nome_completo],"--",0,1)</f>
        <v>Matheus Barros</v>
      </c>
      <c r="G362" s="47">
        <f>_xlfn.XLOOKUP(TBL_USUARIOS[[#This Row],[ID_MASSA]],tbl_de_massas[id_massa],tbl_de_massas[saldo_conta],"--",0,1)</f>
        <v>3459.4</v>
      </c>
      <c r="H362" t="str">
        <f>_xlfn.XLOOKUP(TBL_USUARIOS[[#This Row],[ID_MASSA]],tbl_de_massas[id_massa],tbl_de_massas[nome_completo],"--",0,1)</f>
        <v>Matheus Barros</v>
      </c>
    </row>
    <row r="363" spans="1:8" x14ac:dyDescent="0.25">
      <c r="A363" s="2" t="s">
        <v>6689</v>
      </c>
      <c r="B363" t="str">
        <f>_xlfn.XLOOKUP(TBL_USUARIOS[[#This Row],[ID_MASSA]],tbl_de_massas[id_massa],tbl_de_massas[cpf],"--",0,1)</f>
        <v>84459322765</v>
      </c>
      <c r="C363" t="s">
        <v>12</v>
      </c>
      <c r="D363" t="str">
        <f>_xlfn.XLOOKUP(TBL_USUARIOS[[#This Row],[ID_MASSA]],tbl_de_massas[id_massa],tbl_de_massas[nome_completo],"--",0,1)</f>
        <v>Jiho Shin Han</v>
      </c>
      <c r="E363" t="str">
        <f>_xlfn.XLOOKUP(TBL_USUARIOS[[#This Row],[ID_MASSA]],tbl_de_massas[id_massa],tbl_de_massas[cartao_fisico_numero],"--",0,1)</f>
        <v/>
      </c>
      <c r="F363" t="str">
        <f>_xlfn.XLOOKUP(TBL_USUARIOS[[#This Row],[ID_MASSA]],tbl_de_massas[id_massa],tbl_de_massas[nome_completo],"--",0,1)</f>
        <v>Jiho Shin Han</v>
      </c>
      <c r="G363" s="47">
        <f>_xlfn.XLOOKUP(TBL_USUARIOS[[#This Row],[ID_MASSA]],tbl_de_massas[id_massa],tbl_de_massas[saldo_conta],"--",0,1)</f>
        <v>3464.62</v>
      </c>
      <c r="H363" t="str">
        <f>_xlfn.XLOOKUP(TBL_USUARIOS[[#This Row],[ID_MASSA]],tbl_de_massas[id_massa],tbl_de_massas[nome_completo],"--",0,1)</f>
        <v>Jiho Shin Han</v>
      </c>
    </row>
    <row r="364" spans="1:8" x14ac:dyDescent="0.25">
      <c r="A364" s="2" t="s">
        <v>6149</v>
      </c>
      <c r="B364" t="str">
        <f>_xlfn.XLOOKUP(TBL_USUARIOS[[#This Row],[ID_MASSA]],tbl_de_massas[id_massa],tbl_de_massas[cpf],"--",0,1)</f>
        <v>12475215674</v>
      </c>
      <c r="C364" t="s">
        <v>12</v>
      </c>
      <c r="D364" t="str">
        <f>_xlfn.XLOOKUP(TBL_USUARIOS[[#This Row],[ID_MASSA]],tbl_de_massas[id_massa],tbl_de_massas[nome_completo],"--",0,1)</f>
        <v>Paula Lopez Martinez</v>
      </c>
      <c r="E364" t="str">
        <f>_xlfn.XLOOKUP(TBL_USUARIOS[[#This Row],[ID_MASSA]],tbl_de_massas[id_massa],tbl_de_massas[cartao_fisico_numero],"--",0,1)</f>
        <v/>
      </c>
      <c r="F364" t="str">
        <f>_xlfn.XLOOKUP(TBL_USUARIOS[[#This Row],[ID_MASSA]],tbl_de_massas[id_massa],tbl_de_massas[nome_completo],"--",0,1)</f>
        <v>Paula Lopez Martinez</v>
      </c>
      <c r="G364" s="47">
        <f>_xlfn.XLOOKUP(TBL_USUARIOS[[#This Row],[ID_MASSA]],tbl_de_massas[id_massa],tbl_de_massas[saldo_conta],"--",0,1)</f>
        <v>3492.24</v>
      </c>
      <c r="H364" t="str">
        <f>_xlfn.XLOOKUP(TBL_USUARIOS[[#This Row],[ID_MASSA]],tbl_de_massas[id_massa],tbl_de_massas[nome_completo],"--",0,1)</f>
        <v>Paula Lopez Martinez</v>
      </c>
    </row>
    <row r="365" spans="1:8" x14ac:dyDescent="0.25">
      <c r="A365" s="2" t="s">
        <v>4553</v>
      </c>
      <c r="B365" t="str">
        <f>_xlfn.XLOOKUP(TBL_USUARIOS[[#This Row],[ID_MASSA]],tbl_de_massas[id_massa],tbl_de_massas[cpf],"--",0,1)</f>
        <v>01254572007</v>
      </c>
      <c r="C365" t="s">
        <v>12</v>
      </c>
      <c r="D365" t="str">
        <f>_xlfn.XLOOKUP(TBL_USUARIOS[[#This Row],[ID_MASSA]],tbl_de_massas[id_massa],tbl_de_massas[nome_completo],"--",0,1)</f>
        <v>Guilherme Moreira Costa</v>
      </c>
      <c r="E365" t="str">
        <f>_xlfn.XLOOKUP(TBL_USUARIOS[[#This Row],[ID_MASSA]],tbl_de_massas[id_massa],tbl_de_massas[cartao_fisico_numero],"--",0,1)</f>
        <v/>
      </c>
      <c r="F365" t="str">
        <f>_xlfn.XLOOKUP(TBL_USUARIOS[[#This Row],[ID_MASSA]],tbl_de_massas[id_massa],tbl_de_massas[nome_completo],"--",0,1)</f>
        <v>Guilherme Moreira Costa</v>
      </c>
      <c r="G365" s="47">
        <f>_xlfn.XLOOKUP(TBL_USUARIOS[[#This Row],[ID_MASSA]],tbl_de_massas[id_massa],tbl_de_massas[saldo_conta],"--",0,1)</f>
        <v>3537.91</v>
      </c>
      <c r="H365" t="str">
        <f>_xlfn.XLOOKUP(TBL_USUARIOS[[#This Row],[ID_MASSA]],tbl_de_massas[id_massa],tbl_de_massas[nome_completo],"--",0,1)</f>
        <v>Guilherme Moreira Costa</v>
      </c>
    </row>
    <row r="366" spans="1:8" x14ac:dyDescent="0.25">
      <c r="A366" s="2" t="s">
        <v>5103</v>
      </c>
      <c r="B366" t="str">
        <f>_xlfn.XLOOKUP(TBL_USUARIOS[[#This Row],[ID_MASSA]],tbl_de_massas[id_massa],tbl_de_massas[cpf],"--",0,1)</f>
        <v>34668666181</v>
      </c>
      <c r="C366" t="s">
        <v>12</v>
      </c>
      <c r="D366" t="str">
        <f>_xlfn.XLOOKUP(TBL_USUARIOS[[#This Row],[ID_MASSA]],tbl_de_massas[id_massa],tbl_de_massas[nome_completo],"--",0,1)</f>
        <v>Sabrina Borges</v>
      </c>
      <c r="E366" t="str">
        <f>_xlfn.XLOOKUP(TBL_USUARIOS[[#This Row],[ID_MASSA]],tbl_de_massas[id_massa],tbl_de_massas[cartao_fisico_numero],"--",0,1)</f>
        <v>3782 184431 6028</v>
      </c>
      <c r="F366" t="str">
        <f>_xlfn.XLOOKUP(TBL_USUARIOS[[#This Row],[ID_MASSA]],tbl_de_massas[id_massa],tbl_de_massas[nome_completo],"--",0,1)</f>
        <v>Sabrina Borges</v>
      </c>
      <c r="G366" s="47">
        <f>_xlfn.XLOOKUP(TBL_USUARIOS[[#This Row],[ID_MASSA]],tbl_de_massas[id_massa],tbl_de_massas[saldo_conta],"--",0,1)</f>
        <v>3547.93</v>
      </c>
      <c r="H366" t="str">
        <f>_xlfn.XLOOKUP(TBL_USUARIOS[[#This Row],[ID_MASSA]],tbl_de_massas[id_massa],tbl_de_massas[nome_completo],"--",0,1)</f>
        <v>Sabrina Borges</v>
      </c>
    </row>
    <row r="367" spans="1:8" x14ac:dyDescent="0.25">
      <c r="A367" s="2" t="s">
        <v>5111</v>
      </c>
      <c r="B367" t="str">
        <f>_xlfn.XLOOKUP(TBL_USUARIOS[[#This Row],[ID_MASSA]],tbl_de_massas[id_massa],tbl_de_massas[cpf],"--",0,1)</f>
        <v>49970344102</v>
      </c>
      <c r="C367" t="s">
        <v>12</v>
      </c>
      <c r="D367" t="str">
        <f>_xlfn.XLOOKUP(TBL_USUARIOS[[#This Row],[ID_MASSA]],tbl_de_massas[id_massa],tbl_de_massas[nome_completo],"--",0,1)</f>
        <v>Matheus Barbosa</v>
      </c>
      <c r="E367" t="str">
        <f>_xlfn.XLOOKUP(TBL_USUARIOS[[#This Row],[ID_MASSA]],tbl_de_massas[id_massa],tbl_de_massas[cartao_fisico_numero],"--",0,1)</f>
        <v>3782 764201 4694</v>
      </c>
      <c r="F367" t="str">
        <f>_xlfn.XLOOKUP(TBL_USUARIOS[[#This Row],[ID_MASSA]],tbl_de_massas[id_massa],tbl_de_massas[nome_completo],"--",0,1)</f>
        <v>Matheus Barbosa</v>
      </c>
      <c r="G367" s="47">
        <f>_xlfn.XLOOKUP(TBL_USUARIOS[[#This Row],[ID_MASSA]],tbl_de_massas[id_massa],tbl_de_massas[saldo_conta],"--",0,1)</f>
        <v>3556.79</v>
      </c>
      <c r="H367" t="str">
        <f>_xlfn.XLOOKUP(TBL_USUARIOS[[#This Row],[ID_MASSA]],tbl_de_massas[id_massa],tbl_de_massas[nome_completo],"--",0,1)</f>
        <v>Matheus Barbosa</v>
      </c>
    </row>
    <row r="368" spans="1:8" x14ac:dyDescent="0.25">
      <c r="A368" s="2" t="s">
        <v>4635</v>
      </c>
      <c r="B368" t="str">
        <f>_xlfn.XLOOKUP(TBL_USUARIOS[[#This Row],[ID_MASSA]],tbl_de_massas[id_massa],tbl_de_massas[cpf],"--",0,1)</f>
        <v>04122522609</v>
      </c>
      <c r="C368" t="s">
        <v>12</v>
      </c>
      <c r="D368" t="str">
        <f>_xlfn.XLOOKUP(TBL_USUARIOS[[#This Row],[ID_MASSA]],tbl_de_massas[id_massa],tbl_de_massas[nome_completo],"--",0,1)</f>
        <v>Marcelo Pinto</v>
      </c>
      <c r="E368" t="str">
        <f>_xlfn.XLOOKUP(TBL_USUARIOS[[#This Row],[ID_MASSA]],tbl_de_massas[id_massa],tbl_de_massas[cartao_fisico_numero],"--",0,1)</f>
        <v/>
      </c>
      <c r="F368" t="str">
        <f>_xlfn.XLOOKUP(TBL_USUARIOS[[#This Row],[ID_MASSA]],tbl_de_massas[id_massa],tbl_de_massas[nome_completo],"--",0,1)</f>
        <v>Marcelo Pinto</v>
      </c>
      <c r="G368" s="47">
        <f>_xlfn.XLOOKUP(TBL_USUARIOS[[#This Row],[ID_MASSA]],tbl_de_massas[id_massa],tbl_de_massas[saldo_conta],"--",0,1)</f>
        <v>3569.26</v>
      </c>
      <c r="H368" t="str">
        <f>_xlfn.XLOOKUP(TBL_USUARIOS[[#This Row],[ID_MASSA]],tbl_de_massas[id_massa],tbl_de_massas[nome_completo],"--",0,1)</f>
        <v>Marcelo Pinto</v>
      </c>
    </row>
    <row r="369" spans="1:8" x14ac:dyDescent="0.25">
      <c r="A369" s="2" t="s">
        <v>3686</v>
      </c>
      <c r="B369" t="str">
        <f>_xlfn.XLOOKUP(TBL_USUARIOS[[#This Row],[ID_MASSA]],tbl_de_massas[id_massa],tbl_de_massas[cpf],"--",0,1)</f>
        <v>58725893289</v>
      </c>
      <c r="C369" t="s">
        <v>12</v>
      </c>
      <c r="D369" t="str">
        <f>_xlfn.XLOOKUP(TBL_USUARIOS[[#This Row],[ID_MASSA]],tbl_de_massas[id_massa],tbl_de_massas[nome_completo],"--",0,1)</f>
        <v>Jessica Silva Gomes</v>
      </c>
      <c r="E369" t="str">
        <f>_xlfn.XLOOKUP(TBL_USUARIOS[[#This Row],[ID_MASSA]],tbl_de_massas[id_massa],tbl_de_massas[cartao_fisico_numero],"--",0,1)</f>
        <v>4576 7460 7782 0298</v>
      </c>
      <c r="F369" t="str">
        <f>_xlfn.XLOOKUP(TBL_USUARIOS[[#This Row],[ID_MASSA]],tbl_de_massas[id_massa],tbl_de_massas[nome_completo],"--",0,1)</f>
        <v>Jessica Silva Gomes</v>
      </c>
      <c r="G369" s="47">
        <f>_xlfn.XLOOKUP(TBL_USUARIOS[[#This Row],[ID_MASSA]],tbl_de_massas[id_massa],tbl_de_massas[saldo_conta],"--",0,1)</f>
        <v>3571.83</v>
      </c>
      <c r="H369" t="str">
        <f>_xlfn.XLOOKUP(TBL_USUARIOS[[#This Row],[ID_MASSA]],tbl_de_massas[id_massa],tbl_de_massas[nome_completo],"--",0,1)</f>
        <v>Jessica Silva Gomes</v>
      </c>
    </row>
    <row r="370" spans="1:8" x14ac:dyDescent="0.25">
      <c r="A370" s="2" t="s">
        <v>2961</v>
      </c>
      <c r="B370" t="str">
        <f>_xlfn.XLOOKUP(TBL_USUARIOS[[#This Row],[ID_MASSA]],tbl_de_massas[id_massa],tbl_de_massas[cpf],"--",0,1)</f>
        <v>61524727920</v>
      </c>
      <c r="C370" t="s">
        <v>12</v>
      </c>
      <c r="D370" t="str">
        <f>_xlfn.XLOOKUP(TBL_USUARIOS[[#This Row],[ID_MASSA]],tbl_de_massas[id_massa],tbl_de_massas[nome_completo],"--",0,1)</f>
        <v>Vinicius Oliveira Souza</v>
      </c>
      <c r="E370" t="str">
        <f>_xlfn.XLOOKUP(TBL_USUARIOS[[#This Row],[ID_MASSA]],tbl_de_massas[id_massa],tbl_de_massas[cartao_fisico_numero],"--",0,1)</f>
        <v>5442 7460 3776 2942</v>
      </c>
      <c r="F370" t="str">
        <f>_xlfn.XLOOKUP(TBL_USUARIOS[[#This Row],[ID_MASSA]],tbl_de_massas[id_massa],tbl_de_massas[nome_completo],"--",0,1)</f>
        <v>Vinicius Oliveira Souza</v>
      </c>
      <c r="G370" s="47">
        <f>_xlfn.XLOOKUP(TBL_USUARIOS[[#This Row],[ID_MASSA]],tbl_de_massas[id_massa],tbl_de_massas[saldo_conta],"--",0,1)</f>
        <v>3571.91</v>
      </c>
      <c r="H370" t="str">
        <f>_xlfn.XLOOKUP(TBL_USUARIOS[[#This Row],[ID_MASSA]],tbl_de_massas[id_massa],tbl_de_massas[nome_completo],"--",0,1)</f>
        <v>Vinicius Oliveira Souza</v>
      </c>
    </row>
    <row r="371" spans="1:8" x14ac:dyDescent="0.25">
      <c r="A371" s="2" t="s">
        <v>6528</v>
      </c>
      <c r="B371" t="str">
        <f>_xlfn.XLOOKUP(TBL_USUARIOS[[#This Row],[ID_MASSA]],tbl_de_massas[id_massa],tbl_de_massas[cpf],"--",0,1)</f>
        <v>92105933750</v>
      </c>
      <c r="C371" t="s">
        <v>12</v>
      </c>
      <c r="D371" t="str">
        <f>_xlfn.XLOOKUP(TBL_USUARIOS[[#This Row],[ID_MASSA]],tbl_de_massas[id_massa],tbl_de_massas[nome_completo],"--",0,1)</f>
        <v>Feng Lin</v>
      </c>
      <c r="E371" t="str">
        <f>_xlfn.XLOOKUP(TBL_USUARIOS[[#This Row],[ID_MASSA]],tbl_de_massas[id_massa],tbl_de_massas[cartao_fisico_numero],"--",0,1)</f>
        <v/>
      </c>
      <c r="F371" t="str">
        <f>_xlfn.XLOOKUP(TBL_USUARIOS[[#This Row],[ID_MASSA]],tbl_de_massas[id_massa],tbl_de_massas[nome_completo],"--",0,1)</f>
        <v>Feng Lin</v>
      </c>
      <c r="G371" s="47">
        <f>_xlfn.XLOOKUP(TBL_USUARIOS[[#This Row],[ID_MASSA]],tbl_de_massas[id_massa],tbl_de_massas[saldo_conta],"--",0,1)</f>
        <v>3576.29</v>
      </c>
      <c r="H371" t="str">
        <f>_xlfn.XLOOKUP(TBL_USUARIOS[[#This Row],[ID_MASSA]],tbl_de_massas[id_massa],tbl_de_massas[nome_completo],"--",0,1)</f>
        <v>Feng Lin</v>
      </c>
    </row>
    <row r="372" spans="1:8" x14ac:dyDescent="0.25">
      <c r="A372" s="2" t="s">
        <v>6436</v>
      </c>
      <c r="B372" t="str">
        <f>_xlfn.XLOOKUP(TBL_USUARIOS[[#This Row],[ID_MASSA]],tbl_de_massas[id_massa],tbl_de_massas[cpf],"--",0,1)</f>
        <v>24469655120</v>
      </c>
      <c r="C372" t="s">
        <v>12</v>
      </c>
      <c r="D372" t="str">
        <f>_xlfn.XLOOKUP(TBL_USUARIOS[[#This Row],[ID_MASSA]],tbl_de_massas[id_massa],tbl_de_massas[nome_completo],"--",0,1)</f>
        <v>Wei Zhou</v>
      </c>
      <c r="E372" t="str">
        <f>_xlfn.XLOOKUP(TBL_USUARIOS[[#This Row],[ID_MASSA]],tbl_de_massas[id_massa],tbl_de_massas[cartao_fisico_numero],"--",0,1)</f>
        <v>4576 7460 6546 2409</v>
      </c>
      <c r="F372" t="str">
        <f>_xlfn.XLOOKUP(TBL_USUARIOS[[#This Row],[ID_MASSA]],tbl_de_massas[id_massa],tbl_de_massas[nome_completo],"--",0,1)</f>
        <v>Wei Zhou</v>
      </c>
      <c r="G372" s="47">
        <f>_xlfn.XLOOKUP(TBL_USUARIOS[[#This Row],[ID_MASSA]],tbl_de_massas[id_massa],tbl_de_massas[saldo_conta],"--",0,1)</f>
        <v>3581.67</v>
      </c>
      <c r="H372" t="str">
        <f>_xlfn.XLOOKUP(TBL_USUARIOS[[#This Row],[ID_MASSA]],tbl_de_massas[id_massa],tbl_de_massas[nome_completo],"--",0,1)</f>
        <v>Wei Zhou</v>
      </c>
    </row>
    <row r="373" spans="1:8" x14ac:dyDescent="0.25">
      <c r="A373" s="2" t="s">
        <v>3477</v>
      </c>
      <c r="B373" t="str">
        <f>_xlfn.XLOOKUP(TBL_USUARIOS[[#This Row],[ID_MASSA]],tbl_de_massas[id_massa],tbl_de_massas[cpf],"--",0,1)</f>
        <v>69737030702</v>
      </c>
      <c r="C373" t="s">
        <v>12</v>
      </c>
      <c r="D373" t="str">
        <f>_xlfn.XLOOKUP(TBL_USUARIOS[[#This Row],[ID_MASSA]],tbl_de_massas[id_massa],tbl_de_massas[nome_completo],"--",0,1)</f>
        <v>Marcelo Mendes</v>
      </c>
      <c r="E373" t="str">
        <f>_xlfn.XLOOKUP(TBL_USUARIOS[[#This Row],[ID_MASSA]],tbl_de_massas[id_massa],tbl_de_massas[cartao_fisico_numero],"--",0,1)</f>
        <v>6505 0666 1741 7723</v>
      </c>
      <c r="F373" t="str">
        <f>_xlfn.XLOOKUP(TBL_USUARIOS[[#This Row],[ID_MASSA]],tbl_de_massas[id_massa],tbl_de_massas[nome_completo],"--",0,1)</f>
        <v>Marcelo Mendes</v>
      </c>
      <c r="G373" s="47">
        <f>_xlfn.XLOOKUP(TBL_USUARIOS[[#This Row],[ID_MASSA]],tbl_de_massas[id_massa],tbl_de_massas[saldo_conta],"--",0,1)</f>
        <v>3585.6</v>
      </c>
      <c r="H373" t="str">
        <f>_xlfn.XLOOKUP(TBL_USUARIOS[[#This Row],[ID_MASSA]],tbl_de_massas[id_massa],tbl_de_massas[nome_completo],"--",0,1)</f>
        <v>Marcelo Mendes</v>
      </c>
    </row>
    <row r="374" spans="1:8" x14ac:dyDescent="0.25">
      <c r="A374" s="2" t="s">
        <v>4959</v>
      </c>
      <c r="B374" t="str">
        <f>_xlfn.XLOOKUP(TBL_USUARIOS[[#This Row],[ID_MASSA]],tbl_de_massas[id_massa],tbl_de_massas[cpf],"--",0,1)</f>
        <v>46518451505</v>
      </c>
      <c r="C374" t="s">
        <v>12</v>
      </c>
      <c r="D374" t="str">
        <f>_xlfn.XLOOKUP(TBL_USUARIOS[[#This Row],[ID_MASSA]],tbl_de_massas[id_massa],tbl_de_massas[nome_completo],"--",0,1)</f>
        <v>Rodrigo Silva Souza</v>
      </c>
      <c r="E374" t="str">
        <f>_xlfn.XLOOKUP(TBL_USUARIOS[[#This Row],[ID_MASSA]],tbl_de_massas[id_massa],tbl_de_massas[cartao_fisico_numero],"--",0,1)</f>
        <v>5442 7460 3000 3560</v>
      </c>
      <c r="F374" t="str">
        <f>_xlfn.XLOOKUP(TBL_USUARIOS[[#This Row],[ID_MASSA]],tbl_de_massas[id_massa],tbl_de_massas[nome_completo],"--",0,1)</f>
        <v>Rodrigo Silva Souza</v>
      </c>
      <c r="G374" s="47">
        <f>_xlfn.XLOOKUP(TBL_USUARIOS[[#This Row],[ID_MASSA]],tbl_de_massas[id_massa],tbl_de_massas[saldo_conta],"--",0,1)</f>
        <v>3590.3</v>
      </c>
      <c r="H374" t="str">
        <f>_xlfn.XLOOKUP(TBL_USUARIOS[[#This Row],[ID_MASSA]],tbl_de_massas[id_massa],tbl_de_massas[nome_completo],"--",0,1)</f>
        <v>Rodrigo Silva Souza</v>
      </c>
    </row>
    <row r="375" spans="1:8" x14ac:dyDescent="0.25">
      <c r="A375" s="2" t="s">
        <v>5085</v>
      </c>
      <c r="B375" t="str">
        <f>_xlfn.XLOOKUP(TBL_USUARIOS[[#This Row],[ID_MASSA]],tbl_de_massas[id_massa],tbl_de_massas[cpf],"--",0,1)</f>
        <v>46021037669</v>
      </c>
      <c r="C375" t="s">
        <v>12</v>
      </c>
      <c r="D375" t="str">
        <f>_xlfn.XLOOKUP(TBL_USUARIOS[[#This Row],[ID_MASSA]],tbl_de_massas[id_massa],tbl_de_massas[nome_completo],"--",0,1)</f>
        <v>Gabriela Castro Freitas</v>
      </c>
      <c r="E375" t="str">
        <f>_xlfn.XLOOKUP(TBL_USUARIOS[[#This Row],[ID_MASSA]],tbl_de_massas[id_massa],tbl_de_massas[cartao_fisico_numero],"--",0,1)</f>
        <v/>
      </c>
      <c r="F375" t="str">
        <f>_xlfn.XLOOKUP(TBL_USUARIOS[[#This Row],[ID_MASSA]],tbl_de_massas[id_massa],tbl_de_massas[nome_completo],"--",0,1)</f>
        <v>Gabriela Castro Freitas</v>
      </c>
      <c r="G375" s="47">
        <f>_xlfn.XLOOKUP(TBL_USUARIOS[[#This Row],[ID_MASSA]],tbl_de_massas[id_massa],tbl_de_massas[saldo_conta],"--",0,1)</f>
        <v>3599.15</v>
      </c>
      <c r="H375" t="str">
        <f>_xlfn.XLOOKUP(TBL_USUARIOS[[#This Row],[ID_MASSA]],tbl_de_massas[id_massa],tbl_de_massas[nome_completo],"--",0,1)</f>
        <v>Gabriela Castro Freitas</v>
      </c>
    </row>
    <row r="376" spans="1:8" x14ac:dyDescent="0.25">
      <c r="A376" s="2" t="s">
        <v>2751</v>
      </c>
      <c r="B376" t="str">
        <f>_xlfn.XLOOKUP(TBL_USUARIOS[[#This Row],[ID_MASSA]],tbl_de_massas[id_massa],tbl_de_massas[cpf],"--",0,1)</f>
        <v>68117721236</v>
      </c>
      <c r="C376" t="s">
        <v>12</v>
      </c>
      <c r="D376" t="str">
        <f>_xlfn.XLOOKUP(TBL_USUARIOS[[#This Row],[ID_MASSA]],tbl_de_massas[id_massa],tbl_de_massas[nome_completo],"--",0,1)</f>
        <v>Gustavo Rocha Alves</v>
      </c>
      <c r="E376" t="str">
        <f>_xlfn.XLOOKUP(TBL_USUARIOS[[#This Row],[ID_MASSA]],tbl_de_massas[id_massa],tbl_de_massas[cartao_fisico_numero],"--",0,1)</f>
        <v>6062 8200 7501 3413</v>
      </c>
      <c r="F376" t="str">
        <f>_xlfn.XLOOKUP(TBL_USUARIOS[[#This Row],[ID_MASSA]],tbl_de_massas[id_massa],tbl_de_massas[nome_completo],"--",0,1)</f>
        <v>Gustavo Rocha Alves</v>
      </c>
      <c r="G376" s="47">
        <f>_xlfn.XLOOKUP(TBL_USUARIOS[[#This Row],[ID_MASSA]],tbl_de_massas[id_massa],tbl_de_massas[saldo_conta],"--",0,1)</f>
        <v>3613.91</v>
      </c>
      <c r="H376" t="str">
        <f>_xlfn.XLOOKUP(TBL_USUARIOS[[#This Row],[ID_MASSA]],tbl_de_massas[id_massa],tbl_de_massas[nome_completo],"--",0,1)</f>
        <v>Gustavo Rocha Alves</v>
      </c>
    </row>
    <row r="377" spans="1:8" x14ac:dyDescent="0.25">
      <c r="A377" s="2" t="s">
        <v>4237</v>
      </c>
      <c r="B377" t="str">
        <f>_xlfn.XLOOKUP(TBL_USUARIOS[[#This Row],[ID_MASSA]],tbl_de_massas[id_massa],tbl_de_massas[cpf],"--",0,1)</f>
        <v>96610717303</v>
      </c>
      <c r="C377" t="s">
        <v>12</v>
      </c>
      <c r="D377" t="str">
        <f>_xlfn.XLOOKUP(TBL_USUARIOS[[#This Row],[ID_MASSA]],tbl_de_massas[id_massa],tbl_de_massas[nome_completo],"--",0,1)</f>
        <v>Amanda Ribeiro Oliveira</v>
      </c>
      <c r="E377" t="str">
        <f>_xlfn.XLOOKUP(TBL_USUARIOS[[#This Row],[ID_MASSA]],tbl_de_massas[id_massa],tbl_de_massas[cartao_fisico_numero],"--",0,1)</f>
        <v/>
      </c>
      <c r="F377" t="str">
        <f>_xlfn.XLOOKUP(TBL_USUARIOS[[#This Row],[ID_MASSA]],tbl_de_massas[id_massa],tbl_de_massas[nome_completo],"--",0,1)</f>
        <v>Amanda Ribeiro Oliveira</v>
      </c>
      <c r="G377" s="47">
        <f>_xlfn.XLOOKUP(TBL_USUARIOS[[#This Row],[ID_MASSA]],tbl_de_massas[id_massa],tbl_de_massas[saldo_conta],"--",0,1)</f>
        <v>3620.57</v>
      </c>
      <c r="H377" t="str">
        <f>_xlfn.XLOOKUP(TBL_USUARIOS[[#This Row],[ID_MASSA]],tbl_de_massas[id_massa],tbl_de_massas[nome_completo],"--",0,1)</f>
        <v>Amanda Ribeiro Oliveira</v>
      </c>
    </row>
    <row r="378" spans="1:8" x14ac:dyDescent="0.25">
      <c r="A378" s="2" t="s">
        <v>5813</v>
      </c>
      <c r="B378" t="str">
        <f>_xlfn.XLOOKUP(TBL_USUARIOS[[#This Row],[ID_MASSA]],tbl_de_massas[id_massa],tbl_de_massas[cpf],"--",0,1)</f>
        <v>14374912355</v>
      </c>
      <c r="C378" t="s">
        <v>12</v>
      </c>
      <c r="D378" t="str">
        <f>_xlfn.XLOOKUP(TBL_USUARIOS[[#This Row],[ID_MASSA]],tbl_de_massas[id_massa],tbl_de_massas[nome_completo],"--",0,1)</f>
        <v>Gustavo Costa Silva</v>
      </c>
      <c r="E378" t="str">
        <f>_xlfn.XLOOKUP(TBL_USUARIOS[[#This Row],[ID_MASSA]],tbl_de_massas[id_massa],tbl_de_massas[cartao_fisico_numero],"--",0,1)</f>
        <v/>
      </c>
      <c r="F378" t="str">
        <f>_xlfn.XLOOKUP(TBL_USUARIOS[[#This Row],[ID_MASSA]],tbl_de_massas[id_massa],tbl_de_massas[nome_completo],"--",0,1)</f>
        <v>Gustavo Costa Silva</v>
      </c>
      <c r="G378" s="47">
        <f>_xlfn.XLOOKUP(TBL_USUARIOS[[#This Row],[ID_MASSA]],tbl_de_massas[id_massa],tbl_de_massas[saldo_conta],"--",0,1)</f>
        <v>3639.61</v>
      </c>
      <c r="H378" t="str">
        <f>_xlfn.XLOOKUP(TBL_USUARIOS[[#This Row],[ID_MASSA]],tbl_de_massas[id_massa],tbl_de_massas[nome_completo],"--",0,1)</f>
        <v>Gustavo Costa Silva</v>
      </c>
    </row>
    <row r="379" spans="1:8" x14ac:dyDescent="0.25">
      <c r="A379" s="2" t="s">
        <v>3320</v>
      </c>
      <c r="B379" t="str">
        <f>_xlfn.XLOOKUP(TBL_USUARIOS[[#This Row],[ID_MASSA]],tbl_de_massas[id_massa],tbl_de_massas[cpf],"--",0,1)</f>
        <v>11386654795</v>
      </c>
      <c r="C379" t="s">
        <v>12</v>
      </c>
      <c r="D379" t="str">
        <f>_xlfn.XLOOKUP(TBL_USUARIOS[[#This Row],[ID_MASSA]],tbl_de_massas[id_massa],tbl_de_massas[nome_completo],"--",0,1)</f>
        <v>Eduardo Carvalho</v>
      </c>
      <c r="E379" t="str">
        <f>_xlfn.XLOOKUP(TBL_USUARIOS[[#This Row],[ID_MASSA]],tbl_de_massas[id_massa],tbl_de_massas[cartao_fisico_numero],"--",0,1)</f>
        <v/>
      </c>
      <c r="F379" t="str">
        <f>_xlfn.XLOOKUP(TBL_USUARIOS[[#This Row],[ID_MASSA]],tbl_de_massas[id_massa],tbl_de_massas[nome_completo],"--",0,1)</f>
        <v>Eduardo Carvalho</v>
      </c>
      <c r="G379" s="47">
        <f>_xlfn.XLOOKUP(TBL_USUARIOS[[#This Row],[ID_MASSA]],tbl_de_massas[id_massa],tbl_de_massas[saldo_conta],"--",0,1)</f>
        <v>3646.2</v>
      </c>
      <c r="H379" t="str">
        <f>_xlfn.XLOOKUP(TBL_USUARIOS[[#This Row],[ID_MASSA]],tbl_de_massas[id_massa],tbl_de_massas[nome_completo],"--",0,1)</f>
        <v>Eduardo Carvalho</v>
      </c>
    </row>
    <row r="380" spans="1:8" x14ac:dyDescent="0.25">
      <c r="A380" s="2" t="s">
        <v>2674</v>
      </c>
      <c r="B380" t="str">
        <f>_xlfn.XLOOKUP(TBL_USUARIOS[[#This Row],[ID_MASSA]],tbl_de_massas[id_massa],tbl_de_massas[cpf],"--",0,1)</f>
        <v>22177886040</v>
      </c>
      <c r="C380" t="s">
        <v>12</v>
      </c>
      <c r="D380" t="str">
        <f>_xlfn.XLOOKUP(TBL_USUARIOS[[#This Row],[ID_MASSA]],tbl_de_massas[id_massa],tbl_de_massas[nome_completo],"--",0,1)</f>
        <v>Fatimad Al-Harbi</v>
      </c>
      <c r="E380" t="str">
        <f>_xlfn.XLOOKUP(TBL_USUARIOS[[#This Row],[ID_MASSA]],tbl_de_massas[id_massa],tbl_de_massas[cartao_fisico_numero],"--",0,1)</f>
        <v>6505 0666 7970 6562</v>
      </c>
      <c r="F380" t="str">
        <f>_xlfn.XLOOKUP(TBL_USUARIOS[[#This Row],[ID_MASSA]],tbl_de_massas[id_massa],tbl_de_massas[nome_completo],"--",0,1)</f>
        <v>Fatimad Al-Harbi</v>
      </c>
      <c r="G380" s="47">
        <f>_xlfn.XLOOKUP(TBL_USUARIOS[[#This Row],[ID_MASSA]],tbl_de_massas[id_massa],tbl_de_massas[saldo_conta],"--",0,1)</f>
        <v>3105.2</v>
      </c>
      <c r="H380" t="str">
        <f>_xlfn.XLOOKUP(TBL_USUARIOS[[#This Row],[ID_MASSA]],tbl_de_massas[id_massa],tbl_de_massas[nome_completo],"--",0,1)</f>
        <v>Fatimad Al-Harbi</v>
      </c>
    </row>
    <row r="381" spans="1:8" x14ac:dyDescent="0.25">
      <c r="A381" s="2" t="s">
        <v>3717</v>
      </c>
      <c r="B381" t="str">
        <f>_xlfn.XLOOKUP(TBL_USUARIOS[[#This Row],[ID_MASSA]],tbl_de_massas[id_massa],tbl_de_massas[cpf],"--",0,1)</f>
        <v>68095072214</v>
      </c>
      <c r="C381" t="s">
        <v>12</v>
      </c>
      <c r="D381" t="str">
        <f>_xlfn.XLOOKUP(TBL_USUARIOS[[#This Row],[ID_MASSA]],tbl_de_massas[id_massa],tbl_de_massas[nome_completo],"--",0,1)</f>
        <v>Beatriz Nunes</v>
      </c>
      <c r="E381" t="str">
        <f>_xlfn.XLOOKUP(TBL_USUARIOS[[#This Row],[ID_MASSA]],tbl_de_massas[id_massa],tbl_de_massas[cartao_fisico_numero],"--",0,1)</f>
        <v>6505 0666 7786 7863</v>
      </c>
      <c r="F381" t="str">
        <f>_xlfn.XLOOKUP(TBL_USUARIOS[[#This Row],[ID_MASSA]],tbl_de_massas[id_massa],tbl_de_massas[nome_completo],"--",0,1)</f>
        <v>Beatriz Nunes</v>
      </c>
      <c r="G381" s="47">
        <f>_xlfn.XLOOKUP(TBL_USUARIOS[[#This Row],[ID_MASSA]],tbl_de_massas[id_massa],tbl_de_massas[saldo_conta],"--",0,1)</f>
        <v>3684.28</v>
      </c>
      <c r="H381" t="str">
        <f>_xlfn.XLOOKUP(TBL_USUARIOS[[#This Row],[ID_MASSA]],tbl_de_massas[id_massa],tbl_de_massas[nome_completo],"--",0,1)</f>
        <v>Beatriz Nunes</v>
      </c>
    </row>
    <row r="382" spans="1:8" x14ac:dyDescent="0.25">
      <c r="A382" s="2" t="s">
        <v>5649</v>
      </c>
      <c r="B382" t="str">
        <f>_xlfn.XLOOKUP(TBL_USUARIOS[[#This Row],[ID_MASSA]],tbl_de_massas[id_massa],tbl_de_massas[cpf],"--",0,1)</f>
        <v>90544937635</v>
      </c>
      <c r="C382" t="s">
        <v>12</v>
      </c>
      <c r="D382" t="str">
        <f>_xlfn.XLOOKUP(TBL_USUARIOS[[#This Row],[ID_MASSA]],tbl_de_massas[id_massa],tbl_de_massas[nome_completo],"--",0,1)</f>
        <v>Taro Shimizu Sato</v>
      </c>
      <c r="E382" t="str">
        <f>_xlfn.XLOOKUP(TBL_USUARIOS[[#This Row],[ID_MASSA]],tbl_de_massas[id_massa],tbl_de_massas[cartao_fisico_numero],"--",0,1)</f>
        <v>6062 8200 9612 7995</v>
      </c>
      <c r="F382" t="str">
        <f>_xlfn.XLOOKUP(TBL_USUARIOS[[#This Row],[ID_MASSA]],tbl_de_massas[id_massa],tbl_de_massas[nome_completo],"--",0,1)</f>
        <v>Taro Shimizu Sato</v>
      </c>
      <c r="G382" s="47">
        <f>_xlfn.XLOOKUP(TBL_USUARIOS[[#This Row],[ID_MASSA]],tbl_de_massas[id_massa],tbl_de_massas[saldo_conta],"--",0,1)</f>
        <v>3689.24</v>
      </c>
      <c r="H382" t="str">
        <f>_xlfn.XLOOKUP(TBL_USUARIOS[[#This Row],[ID_MASSA]],tbl_de_massas[id_massa],tbl_de_massas[nome_completo],"--",0,1)</f>
        <v>Taro Shimizu Sato</v>
      </c>
    </row>
    <row r="383" spans="1:8" x14ac:dyDescent="0.25">
      <c r="A383" s="2" t="s">
        <v>2176</v>
      </c>
      <c r="B383" s="14" t="str">
        <f>_xlfn.XLOOKUP(TBL_USUARIOS[[#This Row],[ID_MASSA]],tbl_de_massas[id_massa],tbl_de_massas[cpf],"--",0,1)</f>
        <v>79990005907</v>
      </c>
      <c r="C383" t="s">
        <v>12</v>
      </c>
      <c r="D383" t="str">
        <f>_xlfn.XLOOKUP(TBL_USUARIOS[[#This Row],[ID_MASSA]],tbl_de_massas[id_massa],tbl_de_massas[nome_completo],"--",0,1)</f>
        <v>Fahad Al-Ghamdi</v>
      </c>
      <c r="E383" t="str">
        <f>_xlfn.XLOOKUP(TBL_USUARIOS[[#This Row],[ID_MASSA]],tbl_de_massas[id_massa],tbl_de_massas[cartao_fisico_numero],"--",0,1)</f>
        <v>4576 7460 4996 3843</v>
      </c>
      <c r="F383" t="str">
        <f>_xlfn.XLOOKUP(TBL_USUARIOS[[#This Row],[ID_MASSA]],tbl_de_massas[id_massa],tbl_de_massas[nome_completo],"--",0,1)</f>
        <v>Fahad Al-Ghamdi</v>
      </c>
      <c r="G383" s="47">
        <f>_xlfn.XLOOKUP(TBL_USUARIOS[[#This Row],[ID_MASSA]],tbl_de_massas[id_massa],tbl_de_massas[saldo_conta],"--",0,1)</f>
        <v>3690.43</v>
      </c>
      <c r="H383" t="str">
        <f>_xlfn.XLOOKUP(TBL_USUARIOS[[#This Row],[ID_MASSA]],tbl_de_massas[id_massa],tbl_de_massas[nome_completo],"--",0,1)</f>
        <v>Fahad Al-Ghamdi</v>
      </c>
    </row>
    <row r="384" spans="1:8" x14ac:dyDescent="0.25">
      <c r="A384" s="2" t="s">
        <v>2820</v>
      </c>
      <c r="B384" t="str">
        <f>_xlfn.XLOOKUP(TBL_USUARIOS[[#This Row],[ID_MASSA]],tbl_de_massas[id_massa],tbl_de_massas[cpf],"--",0,1)</f>
        <v>24582991807</v>
      </c>
      <c r="C384" t="s">
        <v>12</v>
      </c>
      <c r="D384" t="str">
        <f>_xlfn.XLOOKUP(TBL_USUARIOS[[#This Row],[ID_MASSA]],tbl_de_massas[id_massa],tbl_de_massas[nome_completo],"--",0,1)</f>
        <v>Aline Moreira Santos</v>
      </c>
      <c r="E384" t="str">
        <f>_xlfn.XLOOKUP(TBL_USUARIOS[[#This Row],[ID_MASSA]],tbl_de_massas[id_massa],tbl_de_massas[cartao_fisico_numero],"--",0,1)</f>
        <v>6062 8200 9363 1180</v>
      </c>
      <c r="F384" t="str">
        <f>_xlfn.XLOOKUP(TBL_USUARIOS[[#This Row],[ID_MASSA]],tbl_de_massas[id_massa],tbl_de_massas[nome_completo],"--",0,1)</f>
        <v>Aline Moreira Santos</v>
      </c>
      <c r="G384" s="47">
        <f>_xlfn.XLOOKUP(TBL_USUARIOS[[#This Row],[ID_MASSA]],tbl_de_massas[id_massa],tbl_de_massas[saldo_conta],"--",0,1)</f>
        <v>3728.18</v>
      </c>
      <c r="H384" t="str">
        <f>_xlfn.XLOOKUP(TBL_USUARIOS[[#This Row],[ID_MASSA]],tbl_de_massas[id_massa],tbl_de_massas[nome_completo],"--",0,1)</f>
        <v>Aline Moreira Santos</v>
      </c>
    </row>
    <row r="385" spans="1:8" x14ac:dyDescent="0.25">
      <c r="A385" s="2" t="s">
        <v>5497</v>
      </c>
      <c r="B385" t="str">
        <f>_xlfn.XLOOKUP(TBL_USUARIOS[[#This Row],[ID_MASSA]],tbl_de_massas[id_massa],tbl_de_massas[cpf],"--",0,1)</f>
        <v>91167572203</v>
      </c>
      <c r="C385" t="s">
        <v>12</v>
      </c>
      <c r="D385" t="str">
        <f>_xlfn.XLOOKUP(TBL_USUARIOS[[#This Row],[ID_MASSA]],tbl_de_massas[id_massa],tbl_de_massas[nome_completo],"--",0,1)</f>
        <v>Rafael Santos</v>
      </c>
      <c r="E385" t="str">
        <f>_xlfn.XLOOKUP(TBL_USUARIOS[[#This Row],[ID_MASSA]],tbl_de_massas[id_massa],tbl_de_massas[cartao_fisico_numero],"--",0,1)</f>
        <v/>
      </c>
      <c r="F385" t="str">
        <f>_xlfn.XLOOKUP(TBL_USUARIOS[[#This Row],[ID_MASSA]],tbl_de_massas[id_massa],tbl_de_massas[nome_completo],"--",0,1)</f>
        <v>Rafael Santos</v>
      </c>
      <c r="G385" s="47">
        <f>_xlfn.XLOOKUP(TBL_USUARIOS[[#This Row],[ID_MASSA]],tbl_de_massas[id_massa],tbl_de_massas[saldo_conta],"--",0,1)</f>
        <v>3731.47</v>
      </c>
      <c r="H385" t="str">
        <f>_xlfn.XLOOKUP(TBL_USUARIOS[[#This Row],[ID_MASSA]],tbl_de_massas[id_massa],tbl_de_massas[nome_completo],"--",0,1)</f>
        <v>Rafael Santos</v>
      </c>
    </row>
    <row r="386" spans="1:8" x14ac:dyDescent="0.25">
      <c r="A386" s="2" t="s">
        <v>6582</v>
      </c>
      <c r="B386" t="str">
        <f>_xlfn.XLOOKUP(TBL_USUARIOS[[#This Row],[ID_MASSA]],tbl_de_massas[id_massa],tbl_de_massas[cpf],"--",0,1)</f>
        <v>36901029284</v>
      </c>
      <c r="C386" t="s">
        <v>12</v>
      </c>
      <c r="D386" t="str">
        <f>_xlfn.XLOOKUP(TBL_USUARIOS[[#This Row],[ID_MASSA]],tbl_de_massas[id_massa],tbl_de_massas[nome_completo],"--",0,1)</f>
        <v>Yan Zhu</v>
      </c>
      <c r="E386" t="str">
        <f>_xlfn.XLOOKUP(TBL_USUARIOS[[#This Row],[ID_MASSA]],tbl_de_massas[id_massa],tbl_de_massas[cartao_fisico_numero],"--",0,1)</f>
        <v>6505 0666 6158 8066</v>
      </c>
      <c r="F386" t="str">
        <f>_xlfn.XLOOKUP(TBL_USUARIOS[[#This Row],[ID_MASSA]],tbl_de_massas[id_massa],tbl_de_massas[nome_completo],"--",0,1)</f>
        <v>Yan Zhu</v>
      </c>
      <c r="G386" s="47">
        <f>_xlfn.XLOOKUP(TBL_USUARIOS[[#This Row],[ID_MASSA]],tbl_de_massas[id_massa],tbl_de_massas[saldo_conta],"--",0,1)</f>
        <v>3738.91</v>
      </c>
      <c r="H386" t="str">
        <f>_xlfn.XLOOKUP(TBL_USUARIOS[[#This Row],[ID_MASSA]],tbl_de_massas[id_massa],tbl_de_massas[nome_completo],"--",0,1)</f>
        <v>Yan Zhu</v>
      </c>
    </row>
    <row r="387" spans="1:8" x14ac:dyDescent="0.25">
      <c r="A387" s="2" t="s">
        <v>2874</v>
      </c>
      <c r="B387" t="str">
        <f>_xlfn.XLOOKUP(TBL_USUARIOS[[#This Row],[ID_MASSA]],tbl_de_massas[id_massa],tbl_de_massas[cpf],"--",0,1)</f>
        <v>97654945485</v>
      </c>
      <c r="C387" t="s">
        <v>12</v>
      </c>
      <c r="D387" t="str">
        <f>_xlfn.XLOOKUP(TBL_USUARIOS[[#This Row],[ID_MASSA]],tbl_de_massas[id_massa],tbl_de_massas[nome_completo],"--",0,1)</f>
        <v>Leticia Lima Araujo</v>
      </c>
      <c r="E387" t="str">
        <f>_xlfn.XLOOKUP(TBL_USUARIOS[[#This Row],[ID_MASSA]],tbl_de_massas[id_massa],tbl_de_massas[cartao_fisico_numero],"--",0,1)</f>
        <v/>
      </c>
      <c r="F387" t="str">
        <f>_xlfn.XLOOKUP(TBL_USUARIOS[[#This Row],[ID_MASSA]],tbl_de_massas[id_massa],tbl_de_massas[nome_completo],"--",0,1)</f>
        <v>Leticia Lima Araujo</v>
      </c>
      <c r="G387" s="47">
        <f>_xlfn.XLOOKUP(TBL_USUARIOS[[#This Row],[ID_MASSA]],tbl_de_massas[id_massa],tbl_de_massas[saldo_conta],"--",0,1)</f>
        <v>3753.76</v>
      </c>
      <c r="H387" t="str">
        <f>_xlfn.XLOOKUP(TBL_USUARIOS[[#This Row],[ID_MASSA]],tbl_de_massas[id_massa],tbl_de_massas[nome_completo],"--",0,1)</f>
        <v>Leticia Lima Araujo</v>
      </c>
    </row>
    <row r="388" spans="1:8" x14ac:dyDescent="0.25">
      <c r="A388" s="2" t="s">
        <v>2695</v>
      </c>
      <c r="B388" t="str">
        <f>_xlfn.XLOOKUP(TBL_USUARIOS[[#This Row],[ID_MASSA]],tbl_de_massas[id_massa],tbl_de_massas[cpf],"--",0,1)</f>
        <v>07577665606</v>
      </c>
      <c r="C388" t="s">
        <v>12</v>
      </c>
      <c r="D388" t="str">
        <f>_xlfn.XLOOKUP(TBL_USUARIOS[[#This Row],[ID_MASSA]],tbl_de_massas[id_massa],tbl_de_massas[nome_completo],"--",0,1)</f>
        <v>Mateo Fernandez</v>
      </c>
      <c r="E388" t="str">
        <f>_xlfn.XLOOKUP(TBL_USUARIOS[[#This Row],[ID_MASSA]],tbl_de_massas[id_massa],tbl_de_massas[cartao_fisico_numero],"--",0,1)</f>
        <v/>
      </c>
      <c r="F388" t="str">
        <f>_xlfn.XLOOKUP(TBL_USUARIOS[[#This Row],[ID_MASSA]],tbl_de_massas[id_massa],tbl_de_massas[nome_completo],"--",0,1)</f>
        <v>Mateo Fernandez</v>
      </c>
      <c r="G388" s="47">
        <f>_xlfn.XLOOKUP(TBL_USUARIOS[[#This Row],[ID_MASSA]],tbl_de_massas[id_massa],tbl_de_massas[saldo_conta],"--",0,1)</f>
        <v>3788.95</v>
      </c>
      <c r="H388" t="str">
        <f>_xlfn.XLOOKUP(TBL_USUARIOS[[#This Row],[ID_MASSA]],tbl_de_massas[id_massa],tbl_de_massas[nome_completo],"--",0,1)</f>
        <v>Mateo Fernandez</v>
      </c>
    </row>
    <row r="389" spans="1:8" x14ac:dyDescent="0.25">
      <c r="A389" s="2" t="s">
        <v>6474</v>
      </c>
      <c r="B389" t="str">
        <f>_xlfn.XLOOKUP(TBL_USUARIOS[[#This Row],[ID_MASSA]],tbl_de_massas[id_massa],tbl_de_massas[cpf],"--",0,1)</f>
        <v>26644662323</v>
      </c>
      <c r="C389" t="s">
        <v>12</v>
      </c>
      <c r="D389" t="str">
        <f>_xlfn.XLOOKUP(TBL_USUARIOS[[#This Row],[ID_MASSA]],tbl_de_massas[id_massa],tbl_de_massas[nome_completo],"--",0,1)</f>
        <v>Hao Luo Xu</v>
      </c>
      <c r="E389" t="str">
        <f>_xlfn.XLOOKUP(TBL_USUARIOS[[#This Row],[ID_MASSA]],tbl_de_massas[id_massa],tbl_de_massas[cartao_fisico_numero],"--",0,1)</f>
        <v>6505 0666 7702 0141</v>
      </c>
      <c r="F389" t="str">
        <f>_xlfn.XLOOKUP(TBL_USUARIOS[[#This Row],[ID_MASSA]],tbl_de_massas[id_massa],tbl_de_massas[nome_completo],"--",0,1)</f>
        <v>Hao Luo Xu</v>
      </c>
      <c r="G389" s="47">
        <f>_xlfn.XLOOKUP(TBL_USUARIOS[[#This Row],[ID_MASSA]],tbl_de_massas[id_massa],tbl_de_massas[saldo_conta],"--",0,1)</f>
        <v>3796.01</v>
      </c>
      <c r="H389" t="str">
        <f>_xlfn.XLOOKUP(TBL_USUARIOS[[#This Row],[ID_MASSA]],tbl_de_massas[id_massa],tbl_de_massas[nome_completo],"--",0,1)</f>
        <v>Hao Luo Xu</v>
      </c>
    </row>
    <row r="390" spans="1:8" x14ac:dyDescent="0.25">
      <c r="A390" s="2" t="s">
        <v>5002</v>
      </c>
      <c r="B390" t="str">
        <f>_xlfn.XLOOKUP(TBL_USUARIOS[[#This Row],[ID_MASSA]],tbl_de_massas[id_massa],tbl_de_massas[cpf],"--",0,1)</f>
        <v>71522757260</v>
      </c>
      <c r="C390" t="s">
        <v>12</v>
      </c>
      <c r="D390" t="str">
        <f>_xlfn.XLOOKUP(TBL_USUARIOS[[#This Row],[ID_MASSA]],tbl_de_massas[id_massa],tbl_de_massas[nome_completo],"--",0,1)</f>
        <v>Larissa Moreira</v>
      </c>
      <c r="E390" t="str">
        <f>_xlfn.XLOOKUP(TBL_USUARIOS[[#This Row],[ID_MASSA]],tbl_de_massas[id_massa],tbl_de_massas[cartao_fisico_numero],"--",0,1)</f>
        <v/>
      </c>
      <c r="F390" t="str">
        <f>_xlfn.XLOOKUP(TBL_USUARIOS[[#This Row],[ID_MASSA]],tbl_de_massas[id_massa],tbl_de_massas[nome_completo],"--",0,1)</f>
        <v>Larissa Moreira</v>
      </c>
      <c r="G390" s="47">
        <f>_xlfn.XLOOKUP(TBL_USUARIOS[[#This Row],[ID_MASSA]],tbl_de_massas[id_massa],tbl_de_massas[saldo_conta],"--",0,1)</f>
        <v>3805.26</v>
      </c>
      <c r="H390" t="str">
        <f>_xlfn.XLOOKUP(TBL_USUARIOS[[#This Row],[ID_MASSA]],tbl_de_massas[id_massa],tbl_de_massas[nome_completo],"--",0,1)</f>
        <v>Larissa Moreira</v>
      </c>
    </row>
    <row r="391" spans="1:8" x14ac:dyDescent="0.25">
      <c r="A391" s="2" t="s">
        <v>5561</v>
      </c>
      <c r="B391" t="str">
        <f>_xlfn.XLOOKUP(TBL_USUARIOS[[#This Row],[ID_MASSA]],tbl_de_massas[id_massa],tbl_de_massas[cpf],"--",0,1)</f>
        <v>33937068023</v>
      </c>
      <c r="C391" t="s">
        <v>12</v>
      </c>
      <c r="D391" t="str">
        <f>_xlfn.XLOOKUP(TBL_USUARIOS[[#This Row],[ID_MASSA]],tbl_de_massas[id_massa],tbl_de_massas[nome_completo],"--",0,1)</f>
        <v>Eduardo Araujo Barbosa</v>
      </c>
      <c r="E391" t="str">
        <f>_xlfn.XLOOKUP(TBL_USUARIOS[[#This Row],[ID_MASSA]],tbl_de_massas[id_massa],tbl_de_massas[cartao_fisico_numero],"--",0,1)</f>
        <v>3782 429141 4665</v>
      </c>
      <c r="F391" t="str">
        <f>_xlfn.XLOOKUP(TBL_USUARIOS[[#This Row],[ID_MASSA]],tbl_de_massas[id_massa],tbl_de_massas[nome_completo],"--",0,1)</f>
        <v>Eduardo Araujo Barbosa</v>
      </c>
      <c r="G391" s="47">
        <f>_xlfn.XLOOKUP(TBL_USUARIOS[[#This Row],[ID_MASSA]],tbl_de_massas[id_massa],tbl_de_massas[saldo_conta],"--",0,1)</f>
        <v>3807.65</v>
      </c>
      <c r="H391" t="str">
        <f>_xlfn.XLOOKUP(TBL_USUARIOS[[#This Row],[ID_MASSA]],tbl_de_massas[id_massa],tbl_de_massas[nome_completo],"--",0,1)</f>
        <v>Eduardo Araujo Barbosa</v>
      </c>
    </row>
    <row r="392" spans="1:8" x14ac:dyDescent="0.25">
      <c r="A392" s="2" t="s">
        <v>2816</v>
      </c>
      <c r="B392" t="str">
        <f>_xlfn.XLOOKUP(TBL_USUARIOS[[#This Row],[ID_MASSA]],tbl_de_massas[id_massa],tbl_de_massas[cpf],"--",0,1)</f>
        <v>26685805366</v>
      </c>
      <c r="C392" t="s">
        <v>12</v>
      </c>
      <c r="D392" t="str">
        <f>_xlfn.XLOOKUP(TBL_USUARIOS[[#This Row],[ID_MASSA]],tbl_de_massas[id_massa],tbl_de_massas[nome_completo],"--",0,1)</f>
        <v>Carolina Fernandes Oliveira</v>
      </c>
      <c r="E392" t="str">
        <f>_xlfn.XLOOKUP(TBL_USUARIOS[[#This Row],[ID_MASSA]],tbl_de_massas[id_massa],tbl_de_massas[cartao_fisico_numero],"--",0,1)</f>
        <v>4576 7460 9268 7203</v>
      </c>
      <c r="F392" t="str">
        <f>_xlfn.XLOOKUP(TBL_USUARIOS[[#This Row],[ID_MASSA]],tbl_de_massas[id_massa],tbl_de_massas[nome_completo],"--",0,1)</f>
        <v>Carolina Fernandes Oliveira</v>
      </c>
      <c r="G392" s="47">
        <f>_xlfn.XLOOKUP(TBL_USUARIOS[[#This Row],[ID_MASSA]],tbl_de_massas[id_massa],tbl_de_massas[saldo_conta],"--",0,1)</f>
        <v>3822.35</v>
      </c>
      <c r="H392" t="str">
        <f>_xlfn.XLOOKUP(TBL_USUARIOS[[#This Row],[ID_MASSA]],tbl_de_massas[id_massa],tbl_de_massas[nome_completo],"--",0,1)</f>
        <v>Carolina Fernandes Oliveira</v>
      </c>
    </row>
    <row r="393" spans="1:8" x14ac:dyDescent="0.25">
      <c r="A393" s="2" t="s">
        <v>6409</v>
      </c>
      <c r="B393" t="str">
        <f>_xlfn.XLOOKUP(TBL_USUARIOS[[#This Row],[ID_MASSA]],tbl_de_massas[id_massa],tbl_de_massas[cpf],"--",0,1)</f>
        <v>70066946395</v>
      </c>
      <c r="C393" t="s">
        <v>12</v>
      </c>
      <c r="D393" t="str">
        <f>_xlfn.XLOOKUP(TBL_USUARIOS[[#This Row],[ID_MASSA]],tbl_de_massas[id_massa],tbl_de_massas[nome_completo],"--",0,1)</f>
        <v>Hui Zhou</v>
      </c>
      <c r="E393" t="str">
        <f>_xlfn.XLOOKUP(TBL_USUARIOS[[#This Row],[ID_MASSA]],tbl_de_massas[id_massa],tbl_de_massas[cartao_fisico_numero],"--",0,1)</f>
        <v>4576 7460 2524 5660</v>
      </c>
      <c r="F393" t="str">
        <f>_xlfn.XLOOKUP(TBL_USUARIOS[[#This Row],[ID_MASSA]],tbl_de_massas[id_massa],tbl_de_massas[nome_completo],"--",0,1)</f>
        <v>Hui Zhou</v>
      </c>
      <c r="G393" s="47">
        <f>_xlfn.XLOOKUP(TBL_USUARIOS[[#This Row],[ID_MASSA]],tbl_de_massas[id_massa],tbl_de_massas[saldo_conta],"--",0,1)</f>
        <v>3823.57</v>
      </c>
      <c r="H393" t="str">
        <f>_xlfn.XLOOKUP(TBL_USUARIOS[[#This Row],[ID_MASSA]],tbl_de_massas[id_massa],tbl_de_massas[nome_completo],"--",0,1)</f>
        <v>Hui Zhou</v>
      </c>
    </row>
    <row r="394" spans="1:8" x14ac:dyDescent="0.25">
      <c r="A394" s="2" t="s">
        <v>2183</v>
      </c>
      <c r="B394" s="14" t="str">
        <f>_xlfn.XLOOKUP(TBL_USUARIOS[[#This Row],[ID_MASSA]],tbl_de_massas[id_massa],tbl_de_massas[cpf],"--",0,1)</f>
        <v>30857462261</v>
      </c>
      <c r="C394" t="s">
        <v>12</v>
      </c>
      <c r="D394" t="str">
        <f>_xlfn.XLOOKUP(TBL_USUARIOS[[#This Row],[ID_MASSA]],tbl_de_massas[id_massa],tbl_de_massas[nome_completo],"--",0,1)</f>
        <v>William Robert Miller</v>
      </c>
      <c r="E394" t="str">
        <f>_xlfn.XLOOKUP(TBL_USUARIOS[[#This Row],[ID_MASSA]],tbl_de_massas[id_massa],tbl_de_massas[cartao_fisico_numero],"--",0,1)</f>
        <v>3782 307314 7663</v>
      </c>
      <c r="F394" t="str">
        <f>_xlfn.XLOOKUP(TBL_USUARIOS[[#This Row],[ID_MASSA]],tbl_de_massas[id_massa],tbl_de_massas[nome_completo],"--",0,1)</f>
        <v>William Robert Miller</v>
      </c>
      <c r="G394" s="47">
        <f>_xlfn.XLOOKUP(TBL_USUARIOS[[#This Row],[ID_MASSA]],tbl_de_massas[id_massa],tbl_de_massas[saldo_conta],"--",0,1)</f>
        <v>3827.43</v>
      </c>
      <c r="H394" t="str">
        <f>_xlfn.XLOOKUP(TBL_USUARIOS[[#This Row],[ID_MASSA]],tbl_de_massas[id_massa],tbl_de_massas[nome_completo],"--",0,1)</f>
        <v>William Robert Miller</v>
      </c>
    </row>
    <row r="395" spans="1:8" x14ac:dyDescent="0.25">
      <c r="A395" s="2" t="s">
        <v>3880</v>
      </c>
      <c r="B395" t="str">
        <f>_xlfn.XLOOKUP(TBL_USUARIOS[[#This Row],[ID_MASSA]],tbl_de_massas[id_massa],tbl_de_massas[cpf],"--",0,1)</f>
        <v>29521132701</v>
      </c>
      <c r="C395" t="s">
        <v>12</v>
      </c>
      <c r="D395" t="str">
        <f>_xlfn.XLOOKUP(TBL_USUARIOS[[#This Row],[ID_MASSA]],tbl_de_massas[id_massa],tbl_de_massas[nome_completo],"--",0,1)</f>
        <v>Andre Rocha Campos</v>
      </c>
      <c r="E395" t="str">
        <f>_xlfn.XLOOKUP(TBL_USUARIOS[[#This Row],[ID_MASSA]],tbl_de_massas[id_massa],tbl_de_massas[cartao_fisico_numero],"--",0,1)</f>
        <v>5442 7460 3950 4941</v>
      </c>
      <c r="F395" t="str">
        <f>_xlfn.XLOOKUP(TBL_USUARIOS[[#This Row],[ID_MASSA]],tbl_de_massas[id_massa],tbl_de_massas[nome_completo],"--",0,1)</f>
        <v>Andre Rocha Campos</v>
      </c>
      <c r="G395" s="47">
        <f>_xlfn.XLOOKUP(TBL_USUARIOS[[#This Row],[ID_MASSA]],tbl_de_massas[id_massa],tbl_de_massas[saldo_conta],"--",0,1)</f>
        <v>3851.27</v>
      </c>
      <c r="H395" t="str">
        <f>_xlfn.XLOOKUP(TBL_USUARIOS[[#This Row],[ID_MASSA]],tbl_de_massas[id_massa],tbl_de_massas[nome_completo],"--",0,1)</f>
        <v>Andre Rocha Campos</v>
      </c>
    </row>
    <row r="396" spans="1:8" x14ac:dyDescent="0.25">
      <c r="A396" s="2" t="s">
        <v>2446</v>
      </c>
      <c r="B396" s="14" t="str">
        <f>_xlfn.XLOOKUP(TBL_USUARIOS[[#This Row],[ID_MASSA]],tbl_de_massas[id_massa],tbl_de_massas[cpf],"--",0,1)</f>
        <v>32653492091</v>
      </c>
      <c r="C396" t="s">
        <v>12</v>
      </c>
      <c r="D396" t="str">
        <f>_xlfn.XLOOKUP(TBL_USUARIOS[[#This Row],[ID_MASSA]],tbl_de_massas[id_massa],tbl_de_massas[nome_completo],"--",0,1)</f>
        <v>Xiu Ying Wang</v>
      </c>
      <c r="E396" t="str">
        <f>_xlfn.XLOOKUP(TBL_USUARIOS[[#This Row],[ID_MASSA]],tbl_de_massas[id_massa],tbl_de_massas[cartao_fisico_numero],"--",0,1)</f>
        <v>6062 8200 4058 1358</v>
      </c>
      <c r="F396" t="str">
        <f>_xlfn.XLOOKUP(TBL_USUARIOS[[#This Row],[ID_MASSA]],tbl_de_massas[id_massa],tbl_de_massas[nome_completo],"--",0,1)</f>
        <v>Xiu Ying Wang</v>
      </c>
      <c r="G396" s="47">
        <f>_xlfn.XLOOKUP(TBL_USUARIOS[[#This Row],[ID_MASSA]],tbl_de_massas[id_massa],tbl_de_massas[saldo_conta],"--",0,1)</f>
        <v>3862.21</v>
      </c>
      <c r="H396" t="str">
        <f>_xlfn.XLOOKUP(TBL_USUARIOS[[#This Row],[ID_MASSA]],tbl_de_massas[id_massa],tbl_de_massas[nome_completo],"--",0,1)</f>
        <v>Xiu Ying Wang</v>
      </c>
    </row>
    <row r="397" spans="1:8" x14ac:dyDescent="0.25">
      <c r="A397" s="2" t="s">
        <v>5707</v>
      </c>
      <c r="B397" t="str">
        <f>_xlfn.XLOOKUP(TBL_USUARIOS[[#This Row],[ID_MASSA]],tbl_de_massas[id_massa],tbl_de_massas[cpf],"--",0,1)</f>
        <v>83481823738</v>
      </c>
      <c r="C397" t="s">
        <v>12</v>
      </c>
      <c r="D397" t="str">
        <f>_xlfn.XLOOKUP(TBL_USUARIOS[[#This Row],[ID_MASSA]],tbl_de_massas[id_massa],tbl_de_massas[nome_completo],"--",0,1)</f>
        <v>Thiago Araujo Souza</v>
      </c>
      <c r="E397" t="str">
        <f>_xlfn.XLOOKUP(TBL_USUARIOS[[#This Row],[ID_MASSA]],tbl_de_massas[id_massa],tbl_de_massas[cartao_fisico_numero],"--",0,1)</f>
        <v>4576 7460 2023 9612</v>
      </c>
      <c r="F397" t="str">
        <f>_xlfn.XLOOKUP(TBL_USUARIOS[[#This Row],[ID_MASSA]],tbl_de_massas[id_massa],tbl_de_massas[nome_completo],"--",0,1)</f>
        <v>Thiago Araujo Souza</v>
      </c>
      <c r="G397" s="47">
        <f>_xlfn.XLOOKUP(TBL_USUARIOS[[#This Row],[ID_MASSA]],tbl_de_massas[id_massa],tbl_de_massas[saldo_conta],"--",0,1)</f>
        <v>3864.91</v>
      </c>
      <c r="H397" t="str">
        <f>_xlfn.XLOOKUP(TBL_USUARIOS[[#This Row],[ID_MASSA]],tbl_de_massas[id_massa],tbl_de_massas[nome_completo],"--",0,1)</f>
        <v>Thiago Araujo Souza</v>
      </c>
    </row>
    <row r="398" spans="1:8" x14ac:dyDescent="0.25">
      <c r="A398" s="2" t="s">
        <v>4233</v>
      </c>
      <c r="B398" t="str">
        <f>_xlfn.XLOOKUP(TBL_USUARIOS[[#This Row],[ID_MASSA]],tbl_de_massas[id_massa],tbl_de_massas[cpf],"--",0,1)</f>
        <v>59168168632</v>
      </c>
      <c r="C398" t="s">
        <v>12</v>
      </c>
      <c r="D398" t="str">
        <f>_xlfn.XLOOKUP(TBL_USUARIOS[[#This Row],[ID_MASSA]],tbl_de_massas[id_massa],tbl_de_massas[nome_completo],"--",0,1)</f>
        <v>Camila Araujo</v>
      </c>
      <c r="E398" t="str">
        <f>_xlfn.XLOOKUP(TBL_USUARIOS[[#This Row],[ID_MASSA]],tbl_de_massas[id_massa],tbl_de_massas[cartao_fisico_numero],"--",0,1)</f>
        <v>6062 8200 1202 1786</v>
      </c>
      <c r="F398" t="str">
        <f>_xlfn.XLOOKUP(TBL_USUARIOS[[#This Row],[ID_MASSA]],tbl_de_massas[id_massa],tbl_de_massas[nome_completo],"--",0,1)</f>
        <v>Camila Araujo</v>
      </c>
      <c r="G398" s="47">
        <f>_xlfn.XLOOKUP(TBL_USUARIOS[[#This Row],[ID_MASSA]],tbl_de_massas[id_massa],tbl_de_massas[saldo_conta],"--",0,1)</f>
        <v>3865.06</v>
      </c>
      <c r="H398" t="str">
        <f>_xlfn.XLOOKUP(TBL_USUARIOS[[#This Row],[ID_MASSA]],tbl_de_massas[id_massa],tbl_de_massas[nome_completo],"--",0,1)</f>
        <v>Camila Araujo</v>
      </c>
    </row>
    <row r="399" spans="1:8" x14ac:dyDescent="0.25">
      <c r="A399" s="2" t="s">
        <v>3107</v>
      </c>
      <c r="B399" t="str">
        <f>_xlfn.XLOOKUP(TBL_USUARIOS[[#This Row],[ID_MASSA]],tbl_de_massas[id_massa],tbl_de_massas[cpf],"--",0,1)</f>
        <v>43512032850</v>
      </c>
      <c r="C399" t="s">
        <v>12</v>
      </c>
      <c r="D399" t="str">
        <f>_xlfn.XLOOKUP(TBL_USUARIOS[[#This Row],[ID_MASSA]],tbl_de_massas[id_massa],tbl_de_massas[nome_completo],"--",0,1)</f>
        <v>Vanessa Carvalho</v>
      </c>
      <c r="E399" t="str">
        <f>_xlfn.XLOOKUP(TBL_USUARIOS[[#This Row],[ID_MASSA]],tbl_de_massas[id_massa],tbl_de_massas[cartao_fisico_numero],"--",0,1)</f>
        <v/>
      </c>
      <c r="F399" t="str">
        <f>_xlfn.XLOOKUP(TBL_USUARIOS[[#This Row],[ID_MASSA]],tbl_de_massas[id_massa],tbl_de_massas[nome_completo],"--",0,1)</f>
        <v>Vanessa Carvalho</v>
      </c>
      <c r="G399" s="47">
        <f>_xlfn.XLOOKUP(TBL_USUARIOS[[#This Row],[ID_MASSA]],tbl_de_massas[id_massa],tbl_de_massas[saldo_conta],"--",0,1)</f>
        <v>3893.16</v>
      </c>
      <c r="H399" t="str">
        <f>_xlfn.XLOOKUP(TBL_USUARIOS[[#This Row],[ID_MASSA]],tbl_de_massas[id_massa],tbl_de_massas[nome_completo],"--",0,1)</f>
        <v>Vanessa Carvalho</v>
      </c>
    </row>
    <row r="400" spans="1:8" x14ac:dyDescent="0.25">
      <c r="A400" s="2" t="s">
        <v>2440</v>
      </c>
      <c r="B400" s="14" t="str">
        <f>_xlfn.XLOOKUP(TBL_USUARIOS[[#This Row],[ID_MASSA]],tbl_de_massas[id_massa],tbl_de_massas[cpf],"--",0,1)</f>
        <v>52627600907</v>
      </c>
      <c r="C400" t="s">
        <v>12</v>
      </c>
      <c r="D400" t="str">
        <f>_xlfn.XLOOKUP(TBL_USUARIOS[[#This Row],[ID_MASSA]],tbl_de_massas[id_massa],tbl_de_massas[nome_completo],"--",0,1)</f>
        <v>Isabela Rocha Carvalho</v>
      </c>
      <c r="E400" t="str">
        <f>_xlfn.XLOOKUP(TBL_USUARIOS[[#This Row],[ID_MASSA]],tbl_de_massas[id_massa],tbl_de_massas[cartao_fisico_numero],"--",0,1)</f>
        <v>6505 0666 3778 9421</v>
      </c>
      <c r="F400" t="str">
        <f>_xlfn.XLOOKUP(TBL_USUARIOS[[#This Row],[ID_MASSA]],tbl_de_massas[id_massa],tbl_de_massas[nome_completo],"--",0,1)</f>
        <v>Isabela Rocha Carvalho</v>
      </c>
      <c r="G400" s="47">
        <f>_xlfn.XLOOKUP(TBL_USUARIOS[[#This Row],[ID_MASSA]],tbl_de_massas[id_massa],tbl_de_massas[saldo_conta],"--",0,1)</f>
        <v>3905.32</v>
      </c>
      <c r="H400" t="str">
        <f>_xlfn.XLOOKUP(TBL_USUARIOS[[#This Row],[ID_MASSA]],tbl_de_massas[id_massa],tbl_de_massas[nome_completo],"--",0,1)</f>
        <v>Isabela Rocha Carvalho</v>
      </c>
    </row>
    <row r="401" spans="1:8" x14ac:dyDescent="0.25">
      <c r="A401" s="2" t="s">
        <v>5220</v>
      </c>
      <c r="B401" t="str">
        <f>_xlfn.XLOOKUP(TBL_USUARIOS[[#This Row],[ID_MASSA]],tbl_de_massas[id_massa],tbl_de_massas[cpf],"--",0,1)</f>
        <v>48455289678</v>
      </c>
      <c r="C401" t="s">
        <v>12</v>
      </c>
      <c r="D401" t="str">
        <f>_xlfn.XLOOKUP(TBL_USUARIOS[[#This Row],[ID_MASSA]],tbl_de_massas[id_massa],tbl_de_massas[nome_completo],"--",0,1)</f>
        <v>Patricia Borges Rodrigues</v>
      </c>
      <c r="E401" t="str">
        <f>_xlfn.XLOOKUP(TBL_USUARIOS[[#This Row],[ID_MASSA]],tbl_de_massas[id_massa],tbl_de_massas[cartao_fisico_numero],"--",0,1)</f>
        <v>5442 7460 1266 5839</v>
      </c>
      <c r="F401" t="str">
        <f>_xlfn.XLOOKUP(TBL_USUARIOS[[#This Row],[ID_MASSA]],tbl_de_massas[id_massa],tbl_de_massas[nome_completo],"--",0,1)</f>
        <v>Patricia Borges Rodrigues</v>
      </c>
      <c r="G401" s="47">
        <f>_xlfn.XLOOKUP(TBL_USUARIOS[[#This Row],[ID_MASSA]],tbl_de_massas[id_massa],tbl_de_massas[saldo_conta],"--",0,1)</f>
        <v>3918.87</v>
      </c>
      <c r="H401" t="str">
        <f>_xlfn.XLOOKUP(TBL_USUARIOS[[#This Row],[ID_MASSA]],tbl_de_massas[id_massa],tbl_de_massas[nome_completo],"--",0,1)</f>
        <v>Patricia Borges Rodrigues</v>
      </c>
    </row>
    <row r="402" spans="1:8" x14ac:dyDescent="0.25">
      <c r="A402" s="2" t="s">
        <v>3144</v>
      </c>
      <c r="B402" t="str">
        <f>_xlfn.XLOOKUP(TBL_USUARIOS[[#This Row],[ID_MASSA]],tbl_de_massas[id_massa],tbl_de_massas[cpf],"--",0,1)</f>
        <v>81305297342</v>
      </c>
      <c r="C402" t="s">
        <v>12</v>
      </c>
      <c r="D402" t="str">
        <f>_xlfn.XLOOKUP(TBL_USUARIOS[[#This Row],[ID_MASSA]],tbl_de_massas[id_massa],tbl_de_massas[nome_completo],"--",0,1)</f>
        <v>Vanessa Rodrigues Barros</v>
      </c>
      <c r="E402" t="str">
        <f>_xlfn.XLOOKUP(TBL_USUARIOS[[#This Row],[ID_MASSA]],tbl_de_massas[id_massa],tbl_de_massas[cartao_fisico_numero],"--",0,1)</f>
        <v>4576 7460 6805 0257</v>
      </c>
      <c r="F402" t="str">
        <f>_xlfn.XLOOKUP(TBL_USUARIOS[[#This Row],[ID_MASSA]],tbl_de_massas[id_massa],tbl_de_massas[nome_completo],"--",0,1)</f>
        <v>Vanessa Rodrigues Barros</v>
      </c>
      <c r="G402" s="47">
        <f>_xlfn.XLOOKUP(TBL_USUARIOS[[#This Row],[ID_MASSA]],tbl_de_massas[id_massa],tbl_de_massas[saldo_conta],"--",0,1)</f>
        <v>3922.35</v>
      </c>
      <c r="H402" t="str">
        <f>_xlfn.XLOOKUP(TBL_USUARIOS[[#This Row],[ID_MASSA]],tbl_de_massas[id_massa],tbl_de_massas[nome_completo],"--",0,1)</f>
        <v>Vanessa Rodrigues Barros</v>
      </c>
    </row>
    <row r="403" spans="1:8" x14ac:dyDescent="0.25">
      <c r="A403" s="2" t="s">
        <v>2180</v>
      </c>
      <c r="B403" s="14" t="str">
        <f>_xlfn.XLOOKUP(TBL_USUARIOS[[#This Row],[ID_MASSA]],tbl_de_massas[id_massa],tbl_de_massas[cpf],"--",0,1)</f>
        <v>88312964185</v>
      </c>
      <c r="C403" t="s">
        <v>12</v>
      </c>
      <c r="D403" t="str">
        <f>_xlfn.XLOOKUP(TBL_USUARIOS[[#This Row],[ID_MASSA]],tbl_de_massas[id_massa],tbl_de_massas[nome_completo],"--",0,1)</f>
        <v>Hannah Fischer</v>
      </c>
      <c r="E403" t="str">
        <f>_xlfn.XLOOKUP(TBL_USUARIOS[[#This Row],[ID_MASSA]],tbl_de_massas[id_massa],tbl_de_massas[cartao_fisico_numero],"--",0,1)</f>
        <v>4576 7460 2950 2106</v>
      </c>
      <c r="F403" t="str">
        <f>_xlfn.XLOOKUP(TBL_USUARIOS[[#This Row],[ID_MASSA]],tbl_de_massas[id_massa],tbl_de_massas[nome_completo],"--",0,1)</f>
        <v>Hannah Fischer</v>
      </c>
      <c r="G403" s="47">
        <f>_xlfn.XLOOKUP(TBL_USUARIOS[[#This Row],[ID_MASSA]],tbl_de_massas[id_massa],tbl_de_massas[saldo_conta],"--",0,1)</f>
        <v>791.24</v>
      </c>
      <c r="H403" t="str">
        <f>_xlfn.XLOOKUP(TBL_USUARIOS[[#This Row],[ID_MASSA]],tbl_de_massas[id_massa],tbl_de_massas[nome_completo],"--",0,1)</f>
        <v>Hannah Fischer</v>
      </c>
    </row>
    <row r="404" spans="1:8" x14ac:dyDescent="0.25">
      <c r="A404" s="2" t="s">
        <v>3993</v>
      </c>
      <c r="B404" t="str">
        <f>_xlfn.XLOOKUP(TBL_USUARIOS[[#This Row],[ID_MASSA]],tbl_de_massas[id_massa],tbl_de_massas[cpf],"--",0,1)</f>
        <v>96128311652</v>
      </c>
      <c r="C404" t="s">
        <v>12</v>
      </c>
      <c r="D404" t="str">
        <f>_xlfn.XLOOKUP(TBL_USUARIOS[[#This Row],[ID_MASSA]],tbl_de_massas[id_massa],tbl_de_massas[nome_completo],"--",0,1)</f>
        <v>Vinicius Cardoso Borges</v>
      </c>
      <c r="E404" t="str">
        <f>_xlfn.XLOOKUP(TBL_USUARIOS[[#This Row],[ID_MASSA]],tbl_de_massas[id_massa],tbl_de_massas[cartao_fisico_numero],"--",0,1)</f>
        <v>4576 7460 6444 4612</v>
      </c>
      <c r="F404" t="str">
        <f>_xlfn.XLOOKUP(TBL_USUARIOS[[#This Row],[ID_MASSA]],tbl_de_massas[id_massa],tbl_de_massas[nome_completo],"--",0,1)</f>
        <v>Vinicius Cardoso Borges</v>
      </c>
      <c r="G404" s="47">
        <f>_xlfn.XLOOKUP(TBL_USUARIOS[[#This Row],[ID_MASSA]],tbl_de_massas[id_massa],tbl_de_massas[saldo_conta],"--",0,1)</f>
        <v>3961.58</v>
      </c>
      <c r="H404" t="str">
        <f>_xlfn.XLOOKUP(TBL_USUARIOS[[#This Row],[ID_MASSA]],tbl_de_massas[id_massa],tbl_de_massas[nome_completo],"--",0,1)</f>
        <v>Vinicius Cardoso Borges</v>
      </c>
    </row>
    <row r="405" spans="1:8" x14ac:dyDescent="0.25">
      <c r="A405" s="2" t="s">
        <v>2894</v>
      </c>
      <c r="B405" t="str">
        <f>_xlfn.XLOOKUP(TBL_USUARIOS[[#This Row],[ID_MASSA]],tbl_de_massas[id_massa],tbl_de_massas[cpf],"--",0,1)</f>
        <v>53997169411</v>
      </c>
      <c r="C405" t="s">
        <v>12</v>
      </c>
      <c r="D405" t="str">
        <f>_xlfn.XLOOKUP(TBL_USUARIOS[[#This Row],[ID_MASSA]],tbl_de_massas[id_massa],tbl_de_massas[nome_completo],"--",0,1)</f>
        <v>Leticia Moreira Almeida</v>
      </c>
      <c r="E405" t="str">
        <f>_xlfn.XLOOKUP(TBL_USUARIOS[[#This Row],[ID_MASSA]],tbl_de_massas[id_massa],tbl_de_massas[cartao_fisico_numero],"--",0,1)</f>
        <v/>
      </c>
      <c r="F405" t="str">
        <f>_xlfn.XLOOKUP(TBL_USUARIOS[[#This Row],[ID_MASSA]],tbl_de_massas[id_massa],tbl_de_massas[nome_completo],"--",0,1)</f>
        <v>Leticia Moreira Almeida</v>
      </c>
      <c r="G405" s="47">
        <f>_xlfn.XLOOKUP(TBL_USUARIOS[[#This Row],[ID_MASSA]],tbl_de_massas[id_massa],tbl_de_massas[saldo_conta],"--",0,1)</f>
        <v>2016.65</v>
      </c>
      <c r="H405" t="str">
        <f>_xlfn.XLOOKUP(TBL_USUARIOS[[#This Row],[ID_MASSA]],tbl_de_massas[id_massa],tbl_de_massas[nome_completo],"--",0,1)</f>
        <v>Leticia Moreira Almeida</v>
      </c>
    </row>
    <row r="406" spans="1:8" x14ac:dyDescent="0.25">
      <c r="A406" s="2" t="s">
        <v>2428</v>
      </c>
      <c r="B406" s="14" t="str">
        <f>_xlfn.XLOOKUP(TBL_USUARIOS[[#This Row],[ID_MASSA]],tbl_de_massas[id_massa],tbl_de_massas[cpf],"--",0,1)</f>
        <v>47730117347</v>
      </c>
      <c r="C406" t="s">
        <v>12</v>
      </c>
      <c r="D406" t="str">
        <f>_xlfn.XLOOKUP(TBL_USUARIOS[[#This Row],[ID_MASSA]],tbl_de_massas[id_massa],tbl_de_massas[nome_completo],"--",0,1)</f>
        <v>Sophia Grace Brown</v>
      </c>
      <c r="E406" t="str">
        <f>_xlfn.XLOOKUP(TBL_USUARIOS[[#This Row],[ID_MASSA]],tbl_de_massas[id_massa],tbl_de_massas[cartao_fisico_numero],"--",0,1)</f>
        <v>4576 7460 4476 4438</v>
      </c>
      <c r="F406" t="str">
        <f>_xlfn.XLOOKUP(TBL_USUARIOS[[#This Row],[ID_MASSA]],tbl_de_massas[id_massa],tbl_de_massas[nome_completo],"--",0,1)</f>
        <v>Sophia Grace Brown</v>
      </c>
      <c r="G406" s="47">
        <f>_xlfn.XLOOKUP(TBL_USUARIOS[[#This Row],[ID_MASSA]],tbl_de_massas[id_massa],tbl_de_massas[saldo_conta],"--",0,1)</f>
        <v>3966.78</v>
      </c>
      <c r="H406" t="str">
        <f>_xlfn.XLOOKUP(TBL_USUARIOS[[#This Row],[ID_MASSA]],tbl_de_massas[id_massa],tbl_de_massas[nome_completo],"--",0,1)</f>
        <v>Sophia Grace Brown</v>
      </c>
    </row>
    <row r="407" spans="1:8" x14ac:dyDescent="0.25">
      <c r="A407" s="2" t="s">
        <v>3368</v>
      </c>
      <c r="B407" t="str">
        <f>_xlfn.XLOOKUP(TBL_USUARIOS[[#This Row],[ID_MASSA]],tbl_de_massas[id_massa],tbl_de_massas[cpf],"--",0,1)</f>
        <v>84828050884</v>
      </c>
      <c r="C407" t="s">
        <v>12</v>
      </c>
      <c r="D407" t="str">
        <f>_xlfn.XLOOKUP(TBL_USUARIOS[[#This Row],[ID_MASSA]],tbl_de_massas[id_massa],tbl_de_massas[nome_completo],"--",0,1)</f>
        <v>Diego Campos</v>
      </c>
      <c r="E407" t="str">
        <f>_xlfn.XLOOKUP(TBL_USUARIOS[[#This Row],[ID_MASSA]],tbl_de_massas[id_massa],tbl_de_massas[cartao_fisico_numero],"--",0,1)</f>
        <v>5442 7460 8018 8700</v>
      </c>
      <c r="F407" t="str">
        <f>_xlfn.XLOOKUP(TBL_USUARIOS[[#This Row],[ID_MASSA]],tbl_de_massas[id_massa],tbl_de_massas[nome_completo],"--",0,1)</f>
        <v>Diego Campos</v>
      </c>
      <c r="G407" s="47">
        <f>_xlfn.XLOOKUP(TBL_USUARIOS[[#This Row],[ID_MASSA]],tbl_de_massas[id_massa],tbl_de_massas[saldo_conta],"--",0,1)</f>
        <v>3999.26</v>
      </c>
      <c r="H407" t="str">
        <f>_xlfn.XLOOKUP(TBL_USUARIOS[[#This Row],[ID_MASSA]],tbl_de_massas[id_massa],tbl_de_massas[nome_completo],"--",0,1)</f>
        <v>Diego Campos</v>
      </c>
    </row>
    <row r="408" spans="1:8" x14ac:dyDescent="0.25">
      <c r="A408" s="2" t="s">
        <v>3848</v>
      </c>
      <c r="B408" t="str">
        <f>_xlfn.XLOOKUP(TBL_USUARIOS[[#This Row],[ID_MASSA]],tbl_de_massas[id_massa],tbl_de_massas[cpf],"--",0,1)</f>
        <v>53248330295</v>
      </c>
      <c r="C408" t="s">
        <v>12</v>
      </c>
      <c r="D408" t="str">
        <f>_xlfn.XLOOKUP(TBL_USUARIOS[[#This Row],[ID_MASSA]],tbl_de_massas[id_massa],tbl_de_massas[nome_completo],"--",0,1)</f>
        <v>Isabela Cavalcanti Moura</v>
      </c>
      <c r="E408" t="str">
        <f>_xlfn.XLOOKUP(TBL_USUARIOS[[#This Row],[ID_MASSA]],tbl_de_massas[id_massa],tbl_de_massas[cartao_fisico_numero],"--",0,1)</f>
        <v/>
      </c>
      <c r="F408" t="str">
        <f>_xlfn.XLOOKUP(TBL_USUARIOS[[#This Row],[ID_MASSA]],tbl_de_massas[id_massa],tbl_de_massas[nome_completo],"--",0,1)</f>
        <v>Isabela Cavalcanti Moura</v>
      </c>
      <c r="G408" s="47">
        <f>_xlfn.XLOOKUP(TBL_USUARIOS[[#This Row],[ID_MASSA]],tbl_de_massas[id_massa],tbl_de_massas[saldo_conta],"--",0,1)</f>
        <v>4004.31</v>
      </c>
      <c r="H408" t="str">
        <f>_xlfn.XLOOKUP(TBL_USUARIOS[[#This Row],[ID_MASSA]],tbl_de_massas[id_massa],tbl_de_massas[nome_completo],"--",0,1)</f>
        <v>Isabela Cavalcanti Moura</v>
      </c>
    </row>
    <row r="409" spans="1:8" x14ac:dyDescent="0.25">
      <c r="A409" s="2" t="s">
        <v>5581</v>
      </c>
      <c r="B409" t="str">
        <f>_xlfn.XLOOKUP(TBL_USUARIOS[[#This Row],[ID_MASSA]],tbl_de_massas[id_massa],tbl_de_massas[cpf],"--",0,1)</f>
        <v>76826896680</v>
      </c>
      <c r="C409" t="s">
        <v>12</v>
      </c>
      <c r="D409" t="str">
        <f>_xlfn.XLOOKUP(TBL_USUARIOS[[#This Row],[ID_MASSA]],tbl_de_massas[id_massa],tbl_de_massas[nome_completo],"--",0,1)</f>
        <v>Matheus Santos</v>
      </c>
      <c r="E409" t="str">
        <f>_xlfn.XLOOKUP(TBL_USUARIOS[[#This Row],[ID_MASSA]],tbl_de_massas[id_massa],tbl_de_massas[cartao_fisico_numero],"--",0,1)</f>
        <v/>
      </c>
      <c r="F409" t="str">
        <f>_xlfn.XLOOKUP(TBL_USUARIOS[[#This Row],[ID_MASSA]],tbl_de_massas[id_massa],tbl_de_massas[nome_completo],"--",0,1)</f>
        <v>Matheus Santos</v>
      </c>
      <c r="G409" s="47">
        <f>_xlfn.XLOOKUP(TBL_USUARIOS[[#This Row],[ID_MASSA]],tbl_de_massas[id_massa],tbl_de_massas[saldo_conta],"--",0,1)</f>
        <v>4048.8</v>
      </c>
      <c r="H409" t="str">
        <f>_xlfn.XLOOKUP(TBL_USUARIOS[[#This Row],[ID_MASSA]],tbl_de_massas[id_massa],tbl_de_massas[nome_completo],"--",0,1)</f>
        <v>Matheus Santos</v>
      </c>
    </row>
    <row r="410" spans="1:8" x14ac:dyDescent="0.25">
      <c r="A410" s="2" t="s">
        <v>2682</v>
      </c>
      <c r="B410" t="str">
        <f>_xlfn.XLOOKUP(TBL_USUARIOS[[#This Row],[ID_MASSA]],tbl_de_massas[id_massa],tbl_de_massas[cpf],"--",0,1)</f>
        <v>72912610400</v>
      </c>
      <c r="C410" t="s">
        <v>12</v>
      </c>
      <c r="D410" t="str">
        <f>_xlfn.XLOOKUP(TBL_USUARIOS[[#This Row],[ID_MASSA]],tbl_de_massas[id_massa],tbl_de_massas[nome_completo],"--",0,1)</f>
        <v>Noura Al-Saqud</v>
      </c>
      <c r="E410" t="str">
        <f>_xlfn.XLOOKUP(TBL_USUARIOS[[#This Row],[ID_MASSA]],tbl_de_massas[id_massa],tbl_de_massas[cartao_fisico_numero],"--",0,1)</f>
        <v>6505 0666 4658 2099</v>
      </c>
      <c r="F410" t="str">
        <f>_xlfn.XLOOKUP(TBL_USUARIOS[[#This Row],[ID_MASSA]],tbl_de_massas[id_massa],tbl_de_massas[nome_completo],"--",0,1)</f>
        <v>Noura Al-Saqud</v>
      </c>
      <c r="G410" s="47">
        <f>_xlfn.XLOOKUP(TBL_USUARIOS[[#This Row],[ID_MASSA]],tbl_de_massas[id_massa],tbl_de_massas[saldo_conta],"--",0,1)</f>
        <v>4064.08</v>
      </c>
      <c r="H410" t="str">
        <f>_xlfn.XLOOKUP(TBL_USUARIOS[[#This Row],[ID_MASSA]],tbl_de_massas[id_massa],tbl_de_massas[nome_completo],"--",0,1)</f>
        <v>Noura Al-Saqud</v>
      </c>
    </row>
    <row r="411" spans="1:8" x14ac:dyDescent="0.25">
      <c r="A411" s="2" t="s">
        <v>5014</v>
      </c>
      <c r="B411" t="str">
        <f>_xlfn.XLOOKUP(TBL_USUARIOS[[#This Row],[ID_MASSA]],tbl_de_massas[id_massa],tbl_de_massas[cpf],"--",0,1)</f>
        <v>97641919596</v>
      </c>
      <c r="C411" t="s">
        <v>12</v>
      </c>
      <c r="D411" t="str">
        <f>_xlfn.XLOOKUP(TBL_USUARIOS[[#This Row],[ID_MASSA]],tbl_de_massas[id_massa],tbl_de_massas[nome_completo],"--",0,1)</f>
        <v>Gabriel Alves Dias</v>
      </c>
      <c r="E411" t="str">
        <f>_xlfn.XLOOKUP(TBL_USUARIOS[[#This Row],[ID_MASSA]],tbl_de_massas[id_massa],tbl_de_massas[cartao_fisico_numero],"--",0,1)</f>
        <v>4576 7460 4133 2156</v>
      </c>
      <c r="F411" t="str">
        <f>_xlfn.XLOOKUP(TBL_USUARIOS[[#This Row],[ID_MASSA]],tbl_de_massas[id_massa],tbl_de_massas[nome_completo],"--",0,1)</f>
        <v>Gabriel Alves Dias</v>
      </c>
      <c r="G411" s="47">
        <f>_xlfn.XLOOKUP(TBL_USUARIOS[[#This Row],[ID_MASSA]],tbl_de_massas[id_massa],tbl_de_massas[saldo_conta],"--",0,1)</f>
        <v>4080.05</v>
      </c>
      <c r="H411" t="str">
        <f>_xlfn.XLOOKUP(TBL_USUARIOS[[#This Row],[ID_MASSA]],tbl_de_massas[id_massa],tbl_de_massas[nome_completo],"--",0,1)</f>
        <v>Gabriel Alves Dias</v>
      </c>
    </row>
    <row r="412" spans="1:8" x14ac:dyDescent="0.25">
      <c r="A412" s="2" t="s">
        <v>3603</v>
      </c>
      <c r="B412" t="str">
        <f>_xlfn.XLOOKUP(TBL_USUARIOS[[#This Row],[ID_MASSA]],tbl_de_massas[id_massa],tbl_de_massas[cpf],"--",0,1)</f>
        <v>48567866448</v>
      </c>
      <c r="C412" t="s">
        <v>12</v>
      </c>
      <c r="D412" t="str">
        <f>_xlfn.XLOOKUP(TBL_USUARIOS[[#This Row],[ID_MASSA]],tbl_de_massas[id_massa],tbl_de_massas[nome_completo],"--",0,1)</f>
        <v>Juliana Nascimento</v>
      </c>
      <c r="E412" t="str">
        <f>_xlfn.XLOOKUP(TBL_USUARIOS[[#This Row],[ID_MASSA]],tbl_de_massas[id_massa],tbl_de_massas[cartao_fisico_numero],"--",0,1)</f>
        <v>3782 673876 9623</v>
      </c>
      <c r="F412" t="str">
        <f>_xlfn.XLOOKUP(TBL_USUARIOS[[#This Row],[ID_MASSA]],tbl_de_massas[id_massa],tbl_de_massas[nome_completo],"--",0,1)</f>
        <v>Juliana Nascimento</v>
      </c>
      <c r="G412" s="47">
        <f>_xlfn.XLOOKUP(TBL_USUARIOS[[#This Row],[ID_MASSA]],tbl_de_massas[id_massa],tbl_de_massas[saldo_conta],"--",0,1)</f>
        <v>4081.02</v>
      </c>
      <c r="H412" t="str">
        <f>_xlfn.XLOOKUP(TBL_USUARIOS[[#This Row],[ID_MASSA]],tbl_de_massas[id_massa],tbl_de_massas[nome_completo],"--",0,1)</f>
        <v>Juliana Nascimento</v>
      </c>
    </row>
    <row r="413" spans="1:8" x14ac:dyDescent="0.25">
      <c r="A413" s="2" t="s">
        <v>6554</v>
      </c>
      <c r="B413" t="str">
        <f>_xlfn.XLOOKUP(TBL_USUARIOS[[#This Row],[ID_MASSA]],tbl_de_massas[id_massa],tbl_de_massas[cpf],"--",0,1)</f>
        <v>24796980504</v>
      </c>
      <c r="C413" t="s">
        <v>12</v>
      </c>
      <c r="D413" t="str">
        <f>_xlfn.XLOOKUP(TBL_USUARIOS[[#This Row],[ID_MASSA]],tbl_de_massas[id_massa],tbl_de_massas[nome_completo],"--",0,1)</f>
        <v>Ming Chen</v>
      </c>
      <c r="E413" t="str">
        <f>_xlfn.XLOOKUP(TBL_USUARIOS[[#This Row],[ID_MASSA]],tbl_de_massas[id_massa],tbl_de_massas[cartao_fisico_numero],"--",0,1)</f>
        <v>4576 7460 2165 3973</v>
      </c>
      <c r="F413" t="str">
        <f>_xlfn.XLOOKUP(TBL_USUARIOS[[#This Row],[ID_MASSA]],tbl_de_massas[id_massa],tbl_de_massas[nome_completo],"--",0,1)</f>
        <v>Ming Chen</v>
      </c>
      <c r="G413" s="47">
        <f>_xlfn.XLOOKUP(TBL_USUARIOS[[#This Row],[ID_MASSA]],tbl_de_massas[id_massa],tbl_de_massas[saldo_conta],"--",0,1)</f>
        <v>4096.47</v>
      </c>
      <c r="H413" t="str">
        <f>_xlfn.XLOOKUP(TBL_USUARIOS[[#This Row],[ID_MASSA]],tbl_de_massas[id_massa],tbl_de_massas[nome_completo],"--",0,1)</f>
        <v>Ming Chen</v>
      </c>
    </row>
    <row r="414" spans="1:8" x14ac:dyDescent="0.25">
      <c r="A414" s="2" t="s">
        <v>5830</v>
      </c>
      <c r="B414" t="str">
        <f>_xlfn.XLOOKUP(TBL_USUARIOS[[#This Row],[ID_MASSA]],tbl_de_massas[id_massa],tbl_de_massas[cpf],"--",0,1)</f>
        <v>29321993231</v>
      </c>
      <c r="C414" t="s">
        <v>12</v>
      </c>
      <c r="D414" t="str">
        <f>_xlfn.XLOOKUP(TBL_USUARIOS[[#This Row],[ID_MASSA]],tbl_de_massas[id_massa],tbl_de_massas[nome_completo],"--",0,1)</f>
        <v>Felipe Mendes</v>
      </c>
      <c r="E414" t="str">
        <f>_xlfn.XLOOKUP(TBL_USUARIOS[[#This Row],[ID_MASSA]],tbl_de_massas[id_massa],tbl_de_massas[cartao_fisico_numero],"--",0,1)</f>
        <v/>
      </c>
      <c r="F414" t="str">
        <f>_xlfn.XLOOKUP(TBL_USUARIOS[[#This Row],[ID_MASSA]],tbl_de_massas[id_massa],tbl_de_massas[nome_completo],"--",0,1)</f>
        <v>Felipe Mendes</v>
      </c>
      <c r="G414" s="47">
        <f>_xlfn.XLOOKUP(TBL_USUARIOS[[#This Row],[ID_MASSA]],tbl_de_massas[id_massa],tbl_de_massas[saldo_conta],"--",0,1)</f>
        <v>4128.74</v>
      </c>
      <c r="H414" t="str">
        <f>_xlfn.XLOOKUP(TBL_USUARIOS[[#This Row],[ID_MASSA]],tbl_de_massas[id_massa],tbl_de_massas[nome_completo],"--",0,1)</f>
        <v>Felipe Mendes</v>
      </c>
    </row>
    <row r="415" spans="1:8" x14ac:dyDescent="0.25">
      <c r="A415" s="2" t="s">
        <v>2217</v>
      </c>
      <c r="B415" s="14" t="str">
        <f>_xlfn.XLOOKUP(TBL_USUARIOS[[#This Row],[ID_MASSA]],tbl_de_massas[id_massa],tbl_de_massas[cpf],"--",0,1)</f>
        <v>47591910388</v>
      </c>
      <c r="C415" t="s">
        <v>12</v>
      </c>
      <c r="D415" t="str">
        <f>_xlfn.XLOOKUP(TBL_USUARIOS[[#This Row],[ID_MASSA]],tbl_de_massas[id_massa],tbl_de_massas[nome_completo],"--",0,1)</f>
        <v>Michael David Williams</v>
      </c>
      <c r="E415" t="str">
        <f>_xlfn.XLOOKUP(TBL_USUARIOS[[#This Row],[ID_MASSA]],tbl_de_massas[id_massa],tbl_de_massas[cartao_fisico_numero],"--",0,1)</f>
        <v>5442 7460 3483 8572</v>
      </c>
      <c r="F415" t="str">
        <f>_xlfn.XLOOKUP(TBL_USUARIOS[[#This Row],[ID_MASSA]],tbl_de_massas[id_massa],tbl_de_massas[nome_completo],"--",0,1)</f>
        <v>Michael David Williams</v>
      </c>
      <c r="G415" s="47">
        <f>_xlfn.XLOOKUP(TBL_USUARIOS[[#This Row],[ID_MASSA]],tbl_de_massas[id_massa],tbl_de_massas[saldo_conta],"--",0,1)</f>
        <v>4130.62</v>
      </c>
      <c r="H415" t="str">
        <f>_xlfn.XLOOKUP(TBL_USUARIOS[[#This Row],[ID_MASSA]],tbl_de_massas[id_massa],tbl_de_massas[nome_completo],"--",0,1)</f>
        <v>Michael David Williams</v>
      </c>
    </row>
    <row r="416" spans="1:8" x14ac:dyDescent="0.25">
      <c r="A416" s="2" t="s">
        <v>5407</v>
      </c>
      <c r="B416" t="str">
        <f>_xlfn.XLOOKUP(TBL_USUARIOS[[#This Row],[ID_MASSA]],tbl_de_massas[id_massa],tbl_de_massas[cpf],"--",0,1)</f>
        <v>06958427491</v>
      </c>
      <c r="C416" t="s">
        <v>12</v>
      </c>
      <c r="D416" t="str">
        <f>_xlfn.XLOOKUP(TBL_USUARIOS[[#This Row],[ID_MASSA]],tbl_de_massas[id_massa],tbl_de_massas[nome_completo],"--",0,1)</f>
        <v>Leticia Cardoso Barros</v>
      </c>
      <c r="E416" t="str">
        <f>_xlfn.XLOOKUP(TBL_USUARIOS[[#This Row],[ID_MASSA]],tbl_de_massas[id_massa],tbl_de_massas[cartao_fisico_numero],"--",0,1)</f>
        <v>3782 845782 6151</v>
      </c>
      <c r="F416" t="str">
        <f>_xlfn.XLOOKUP(TBL_USUARIOS[[#This Row],[ID_MASSA]],tbl_de_massas[id_massa],tbl_de_massas[nome_completo],"--",0,1)</f>
        <v>Leticia Cardoso Barros</v>
      </c>
      <c r="G416" s="47">
        <f>_xlfn.XLOOKUP(TBL_USUARIOS[[#This Row],[ID_MASSA]],tbl_de_massas[id_massa],tbl_de_massas[saldo_conta],"--",0,1)</f>
        <v>4154.4399999999996</v>
      </c>
      <c r="H416" t="str">
        <f>_xlfn.XLOOKUP(TBL_USUARIOS[[#This Row],[ID_MASSA]],tbl_de_massas[id_massa],tbl_de_massas[nome_completo],"--",0,1)</f>
        <v>Leticia Cardoso Barros</v>
      </c>
    </row>
    <row r="417" spans="1:8" x14ac:dyDescent="0.25">
      <c r="A417" s="2" t="s">
        <v>4165</v>
      </c>
      <c r="B417" t="str">
        <f>_xlfn.XLOOKUP(TBL_USUARIOS[[#This Row],[ID_MASSA]],tbl_de_massas[id_massa],tbl_de_massas[cpf],"--",0,1)</f>
        <v>29213857837</v>
      </c>
      <c r="C417" t="s">
        <v>12</v>
      </c>
      <c r="D417" t="str">
        <f>_xlfn.XLOOKUP(TBL_USUARIOS[[#This Row],[ID_MASSA]],tbl_de_massas[id_massa],tbl_de_massas[nome_completo],"--",0,1)</f>
        <v>Vivian Silva Martins</v>
      </c>
      <c r="E417" t="str">
        <f>_xlfn.XLOOKUP(TBL_USUARIOS[[#This Row],[ID_MASSA]],tbl_de_massas[id_massa],tbl_de_massas[cartao_fisico_numero],"--",0,1)</f>
        <v>6062 8200 7416 8579</v>
      </c>
      <c r="F417" t="str">
        <f>_xlfn.XLOOKUP(TBL_USUARIOS[[#This Row],[ID_MASSA]],tbl_de_massas[id_massa],tbl_de_massas[nome_completo],"--",0,1)</f>
        <v>Vivian Silva Martins</v>
      </c>
      <c r="G417" s="47">
        <f>_xlfn.XLOOKUP(TBL_USUARIOS[[#This Row],[ID_MASSA]],tbl_de_massas[id_massa],tbl_de_massas[saldo_conta],"--",0,1)</f>
        <v>4162.6099999999997</v>
      </c>
      <c r="H417" t="str">
        <f>_xlfn.XLOOKUP(TBL_USUARIOS[[#This Row],[ID_MASSA]],tbl_de_massas[id_massa],tbl_de_massas[nome_completo],"--",0,1)</f>
        <v>Vivian Silva Martins</v>
      </c>
    </row>
    <row r="418" spans="1:8" x14ac:dyDescent="0.25">
      <c r="A418" s="2" t="s">
        <v>4074</v>
      </c>
      <c r="B418" t="str">
        <f>_xlfn.XLOOKUP(TBL_USUARIOS[[#This Row],[ID_MASSA]],tbl_de_massas[id_massa],tbl_de_massas[cpf],"--",0,1)</f>
        <v>19381035059</v>
      </c>
      <c r="C418" t="s">
        <v>12</v>
      </c>
      <c r="D418" t="str">
        <f>_xlfn.XLOOKUP(TBL_USUARIOS[[#This Row],[ID_MASSA]],tbl_de_massas[id_massa],tbl_de_massas[nome_completo],"--",0,1)</f>
        <v>Matheus Campos Vieira</v>
      </c>
      <c r="E418" t="str">
        <f>_xlfn.XLOOKUP(TBL_USUARIOS[[#This Row],[ID_MASSA]],tbl_de_massas[id_massa],tbl_de_massas[cartao_fisico_numero],"--",0,1)</f>
        <v>6062 8200 8769 9690</v>
      </c>
      <c r="F418" t="str">
        <f>_xlfn.XLOOKUP(TBL_USUARIOS[[#This Row],[ID_MASSA]],tbl_de_massas[id_massa],tbl_de_massas[nome_completo],"--",0,1)</f>
        <v>Matheus Campos Vieira</v>
      </c>
      <c r="G418" s="47">
        <f>_xlfn.XLOOKUP(TBL_USUARIOS[[#This Row],[ID_MASSA]],tbl_de_massas[id_massa],tbl_de_massas[saldo_conta],"--",0,1)</f>
        <v>4166.66</v>
      </c>
      <c r="H418" t="str">
        <f>_xlfn.XLOOKUP(TBL_USUARIOS[[#This Row],[ID_MASSA]],tbl_de_massas[id_massa],tbl_de_massas[nome_completo],"--",0,1)</f>
        <v>Matheus Campos Vieira</v>
      </c>
    </row>
    <row r="419" spans="1:8" x14ac:dyDescent="0.25">
      <c r="A419" s="2" t="s">
        <v>3025</v>
      </c>
      <c r="B419" t="str">
        <f>_xlfn.XLOOKUP(TBL_USUARIOS[[#This Row],[ID_MASSA]],tbl_de_massas[id_massa],tbl_de_massas[cpf],"--",0,1)</f>
        <v>64233573902</v>
      </c>
      <c r="C419" t="s">
        <v>12</v>
      </c>
      <c r="D419" t="str">
        <f>_xlfn.XLOOKUP(TBL_USUARIOS[[#This Row],[ID_MASSA]],tbl_de_massas[id_massa],tbl_de_massas[nome_completo],"--",0,1)</f>
        <v>Larissa Rocha</v>
      </c>
      <c r="E419" t="str">
        <f>_xlfn.XLOOKUP(TBL_USUARIOS[[#This Row],[ID_MASSA]],tbl_de_massas[id_massa],tbl_de_massas[cartao_fisico_numero],"--",0,1)</f>
        <v>6505 0666 8086 8390</v>
      </c>
      <c r="F419" t="str">
        <f>_xlfn.XLOOKUP(TBL_USUARIOS[[#This Row],[ID_MASSA]],tbl_de_massas[id_massa],tbl_de_massas[nome_completo],"--",0,1)</f>
        <v>Larissa Rocha</v>
      </c>
      <c r="G419" s="47">
        <f>_xlfn.XLOOKUP(TBL_USUARIOS[[#This Row],[ID_MASSA]],tbl_de_massas[id_massa],tbl_de_massas[saldo_conta],"--",0,1)</f>
        <v>4198.1099999999997</v>
      </c>
      <c r="H419" t="str">
        <f>_xlfn.XLOOKUP(TBL_USUARIOS[[#This Row],[ID_MASSA]],tbl_de_massas[id_massa],tbl_de_massas[nome_completo],"--",0,1)</f>
        <v>Larissa Rocha</v>
      </c>
    </row>
    <row r="420" spans="1:8" x14ac:dyDescent="0.25">
      <c r="A420" s="2" t="s">
        <v>2200</v>
      </c>
      <c r="B420" s="14" t="str">
        <f>_xlfn.XLOOKUP(TBL_USUARIOS[[#This Row],[ID_MASSA]],tbl_de_massas[id_massa],tbl_de_massas[cpf],"--",0,1)</f>
        <v>88652173320</v>
      </c>
      <c r="C420" t="s">
        <v>12</v>
      </c>
      <c r="D420" t="str">
        <f>_xlfn.XLOOKUP(TBL_USUARIOS[[#This Row],[ID_MASSA]],tbl_de_massas[id_massa],tbl_de_massas[nome_completo],"--",0,1)</f>
        <v>Hanako Watanabe</v>
      </c>
      <c r="E420" t="str">
        <f>_xlfn.XLOOKUP(TBL_USUARIOS[[#This Row],[ID_MASSA]],tbl_de_massas[id_massa],tbl_de_massas[cartao_fisico_numero],"--",0,1)</f>
        <v>4576 7460 7004 9583</v>
      </c>
      <c r="F420" t="str">
        <f>_xlfn.XLOOKUP(TBL_USUARIOS[[#This Row],[ID_MASSA]],tbl_de_massas[id_massa],tbl_de_massas[nome_completo],"--",0,1)</f>
        <v>Hanako Watanabe</v>
      </c>
      <c r="G420" s="47">
        <f>_xlfn.XLOOKUP(TBL_USUARIOS[[#This Row],[ID_MASSA]],tbl_de_massas[id_massa],tbl_de_massas[saldo_conta],"--",0,1)</f>
        <v>4213.6400000000003</v>
      </c>
      <c r="H420" t="str">
        <f>_xlfn.XLOOKUP(TBL_USUARIOS[[#This Row],[ID_MASSA]],tbl_de_massas[id_massa],tbl_de_massas[nome_completo],"--",0,1)</f>
        <v>Hanako Watanabe</v>
      </c>
    </row>
    <row r="421" spans="1:8" x14ac:dyDescent="0.25">
      <c r="A421" s="2" t="s">
        <v>3102</v>
      </c>
      <c r="B421" t="str">
        <f>_xlfn.XLOOKUP(TBL_USUARIOS[[#This Row],[ID_MASSA]],tbl_de_massas[id_massa],tbl_de_massas[cpf],"--",0,1)</f>
        <v>81020274522</v>
      </c>
      <c r="C421" t="s">
        <v>12</v>
      </c>
      <c r="D421" t="str">
        <f>_xlfn.XLOOKUP(TBL_USUARIOS[[#This Row],[ID_MASSA]],tbl_de_massas[id_massa],tbl_de_massas[nome_completo],"--",0,1)</f>
        <v>Rafael Ribeiro</v>
      </c>
      <c r="E421" t="str">
        <f>_xlfn.XLOOKUP(TBL_USUARIOS[[#This Row],[ID_MASSA]],tbl_de_massas[id_massa],tbl_de_massas[cartao_fisico_numero],"--",0,1)</f>
        <v>6505 0666 4124 3427</v>
      </c>
      <c r="F421" t="str">
        <f>_xlfn.XLOOKUP(TBL_USUARIOS[[#This Row],[ID_MASSA]],tbl_de_massas[id_massa],tbl_de_massas[nome_completo],"--",0,1)</f>
        <v>Rafael Ribeiro</v>
      </c>
      <c r="G421" s="47">
        <f>_xlfn.XLOOKUP(TBL_USUARIOS[[#This Row],[ID_MASSA]],tbl_de_massas[id_massa],tbl_de_massas[saldo_conta],"--",0,1)</f>
        <v>629.09</v>
      </c>
      <c r="H421" t="str">
        <f>_xlfn.XLOOKUP(TBL_USUARIOS[[#This Row],[ID_MASSA]],tbl_de_massas[id_massa],tbl_de_massas[nome_completo],"--",0,1)</f>
        <v>Rafael Ribeiro</v>
      </c>
    </row>
    <row r="422" spans="1:8" x14ac:dyDescent="0.25">
      <c r="A422" s="2" t="s">
        <v>4203</v>
      </c>
      <c r="B422" t="str">
        <f>_xlfn.XLOOKUP(TBL_USUARIOS[[#This Row],[ID_MASSA]],tbl_de_massas[id_massa],tbl_de_massas[cpf],"--",0,1)</f>
        <v>93147593851</v>
      </c>
      <c r="C422" t="s">
        <v>12</v>
      </c>
      <c r="D422" t="str">
        <f>_xlfn.XLOOKUP(TBL_USUARIOS[[#This Row],[ID_MASSA]],tbl_de_massas[id_massa],tbl_de_massas[nome_completo],"--",0,1)</f>
        <v>Vanessa Barros</v>
      </c>
      <c r="E422" t="str">
        <f>_xlfn.XLOOKUP(TBL_USUARIOS[[#This Row],[ID_MASSA]],tbl_de_massas[id_massa],tbl_de_massas[cartao_fisico_numero],"--",0,1)</f>
        <v>3782 855598 0224</v>
      </c>
      <c r="F422" t="str">
        <f>_xlfn.XLOOKUP(TBL_USUARIOS[[#This Row],[ID_MASSA]],tbl_de_massas[id_massa],tbl_de_massas[nome_completo],"--",0,1)</f>
        <v>Vanessa Barros</v>
      </c>
      <c r="G422" s="47">
        <f>_xlfn.XLOOKUP(TBL_USUARIOS[[#This Row],[ID_MASSA]],tbl_de_massas[id_massa],tbl_de_massas[saldo_conta],"--",0,1)</f>
        <v>4229.78</v>
      </c>
      <c r="H422" t="str">
        <f>_xlfn.XLOOKUP(TBL_USUARIOS[[#This Row],[ID_MASSA]],tbl_de_massas[id_massa],tbl_de_massas[nome_completo],"--",0,1)</f>
        <v>Vanessa Barros</v>
      </c>
    </row>
    <row r="423" spans="1:8" x14ac:dyDescent="0.25">
      <c r="A423" s="2" t="s">
        <v>3645</v>
      </c>
      <c r="B423" t="str">
        <f>_xlfn.XLOOKUP(TBL_USUARIOS[[#This Row],[ID_MASSA]],tbl_de_massas[id_massa],tbl_de_massas[cpf],"--",0,1)</f>
        <v>11579652379</v>
      </c>
      <c r="C423" t="s">
        <v>12</v>
      </c>
      <c r="D423" t="str">
        <f>_xlfn.XLOOKUP(TBL_USUARIOS[[#This Row],[ID_MASSA]],tbl_de_massas[id_massa],tbl_de_massas[nome_completo],"--",0,1)</f>
        <v>Matheus Lima Castro</v>
      </c>
      <c r="E423" t="str">
        <f>_xlfn.XLOOKUP(TBL_USUARIOS[[#This Row],[ID_MASSA]],tbl_de_massas[id_massa],tbl_de_massas[cartao_fisico_numero],"--",0,1)</f>
        <v>3782 739850 9947</v>
      </c>
      <c r="F423" t="str">
        <f>_xlfn.XLOOKUP(TBL_USUARIOS[[#This Row],[ID_MASSA]],tbl_de_massas[id_massa],tbl_de_massas[nome_completo],"--",0,1)</f>
        <v>Matheus Lima Castro</v>
      </c>
      <c r="G423" s="47">
        <f>_xlfn.XLOOKUP(TBL_USUARIOS[[#This Row],[ID_MASSA]],tbl_de_massas[id_massa],tbl_de_massas[saldo_conta],"--",0,1)</f>
        <v>4248.6099999999997</v>
      </c>
      <c r="H423" t="str">
        <f>_xlfn.XLOOKUP(TBL_USUARIOS[[#This Row],[ID_MASSA]],tbl_de_massas[id_massa],tbl_de_massas[nome_completo],"--",0,1)</f>
        <v>Matheus Lima Castro</v>
      </c>
    </row>
    <row r="424" spans="1:8" x14ac:dyDescent="0.25">
      <c r="A424" s="2" t="s">
        <v>4669</v>
      </c>
      <c r="B424" t="str">
        <f>_xlfn.XLOOKUP(TBL_USUARIOS[[#This Row],[ID_MASSA]],tbl_de_massas[id_massa],tbl_de_massas[cpf],"--",0,1)</f>
        <v>19758551752</v>
      </c>
      <c r="C424" t="s">
        <v>12</v>
      </c>
      <c r="D424" t="str">
        <f>_xlfn.XLOOKUP(TBL_USUARIOS[[#This Row],[ID_MASSA]],tbl_de_massas[id_massa],tbl_de_massas[nome_completo],"--",0,1)</f>
        <v>Carolina Silva Moura</v>
      </c>
      <c r="E424" t="str">
        <f>_xlfn.XLOOKUP(TBL_USUARIOS[[#This Row],[ID_MASSA]],tbl_de_massas[id_massa],tbl_de_massas[cartao_fisico_numero],"--",0,1)</f>
        <v>6062 8200 5075 9235</v>
      </c>
      <c r="F424" t="str">
        <f>_xlfn.XLOOKUP(TBL_USUARIOS[[#This Row],[ID_MASSA]],tbl_de_massas[id_massa],tbl_de_massas[nome_completo],"--",0,1)</f>
        <v>Carolina Silva Moura</v>
      </c>
      <c r="G424" s="47">
        <f>_xlfn.XLOOKUP(TBL_USUARIOS[[#This Row],[ID_MASSA]],tbl_de_massas[id_massa],tbl_de_massas[saldo_conta],"--",0,1)</f>
        <v>4250.95</v>
      </c>
      <c r="H424" t="str">
        <f>_xlfn.XLOOKUP(TBL_USUARIOS[[#This Row],[ID_MASSA]],tbl_de_massas[id_massa],tbl_de_massas[nome_completo],"--",0,1)</f>
        <v>Carolina Silva Moura</v>
      </c>
    </row>
    <row r="425" spans="1:8" x14ac:dyDescent="0.25">
      <c r="A425" s="2" t="s">
        <v>4178</v>
      </c>
      <c r="B425" t="str">
        <f>_xlfn.XLOOKUP(TBL_USUARIOS[[#This Row],[ID_MASSA]],tbl_de_massas[id_massa],tbl_de_massas[cpf],"--",0,1)</f>
        <v>32409821707</v>
      </c>
      <c r="C425" t="s">
        <v>12</v>
      </c>
      <c r="D425" t="str">
        <f>_xlfn.XLOOKUP(TBL_USUARIOS[[#This Row],[ID_MASSA]],tbl_de_massas[id_massa],tbl_de_massas[nome_completo],"--",0,1)</f>
        <v>Lucas Santos Gomes</v>
      </c>
      <c r="E425" t="str">
        <f>_xlfn.XLOOKUP(TBL_USUARIOS[[#This Row],[ID_MASSA]],tbl_de_massas[id_massa],tbl_de_massas[cartao_fisico_numero],"--",0,1)</f>
        <v>6505 0666 2861 5274</v>
      </c>
      <c r="F425" t="str">
        <f>_xlfn.XLOOKUP(TBL_USUARIOS[[#This Row],[ID_MASSA]],tbl_de_massas[id_massa],tbl_de_massas[nome_completo],"--",0,1)</f>
        <v>Lucas Santos Gomes</v>
      </c>
      <c r="G425" s="47">
        <f>_xlfn.XLOOKUP(TBL_USUARIOS[[#This Row],[ID_MASSA]],tbl_de_massas[id_massa],tbl_de_massas[saldo_conta],"--",0,1)</f>
        <v>4279.6000000000004</v>
      </c>
      <c r="H425" t="str">
        <f>_xlfn.XLOOKUP(TBL_USUARIOS[[#This Row],[ID_MASSA]],tbl_de_massas[id_massa],tbl_de_massas[nome_completo],"--",0,1)</f>
        <v>Lucas Santos Gomes</v>
      </c>
    </row>
    <row r="426" spans="1:8" x14ac:dyDescent="0.25">
      <c r="A426" s="2" t="s">
        <v>4797</v>
      </c>
      <c r="B426" t="str">
        <f>_xlfn.XLOOKUP(TBL_USUARIOS[[#This Row],[ID_MASSA]],tbl_de_massas[id_massa],tbl_de_massas[cpf],"--",0,1)</f>
        <v>47426048810</v>
      </c>
      <c r="C426" t="s">
        <v>12</v>
      </c>
      <c r="D426" t="str">
        <f>_xlfn.XLOOKUP(TBL_USUARIOS[[#This Row],[ID_MASSA]],tbl_de_massas[id_massa],tbl_de_massas[nome_completo],"--",0,1)</f>
        <v>Debora Nunes</v>
      </c>
      <c r="E426" t="str">
        <f>_xlfn.XLOOKUP(TBL_USUARIOS[[#This Row],[ID_MASSA]],tbl_de_massas[id_massa],tbl_de_massas[cartao_fisico_numero],"--",0,1)</f>
        <v>4576 7460 7815 9345</v>
      </c>
      <c r="F426" t="str">
        <f>_xlfn.XLOOKUP(TBL_USUARIOS[[#This Row],[ID_MASSA]],tbl_de_massas[id_massa],tbl_de_massas[nome_completo],"--",0,1)</f>
        <v>Debora Nunes</v>
      </c>
      <c r="G426" s="47">
        <f>_xlfn.XLOOKUP(TBL_USUARIOS[[#This Row],[ID_MASSA]],tbl_de_massas[id_massa],tbl_de_massas[saldo_conta],"--",0,1)</f>
        <v>4303.6499999999996</v>
      </c>
      <c r="H426" t="str">
        <f>_xlfn.XLOOKUP(TBL_USUARIOS[[#This Row],[ID_MASSA]],tbl_de_massas[id_massa],tbl_de_massas[nome_completo],"--",0,1)</f>
        <v>Debora Nunes</v>
      </c>
    </row>
    <row r="427" spans="1:8" x14ac:dyDescent="0.25">
      <c r="A427" s="2" t="s">
        <v>3893</v>
      </c>
      <c r="B427" t="str">
        <f>_xlfn.XLOOKUP(TBL_USUARIOS[[#This Row],[ID_MASSA]],tbl_de_massas[id_massa],tbl_de_massas[cpf],"--",0,1)</f>
        <v>06114963997</v>
      </c>
      <c r="C427" t="s">
        <v>12</v>
      </c>
      <c r="D427" t="str">
        <f>_xlfn.XLOOKUP(TBL_USUARIOS[[#This Row],[ID_MASSA]],tbl_de_massas[id_massa],tbl_de_massas[nome_completo],"--",0,1)</f>
        <v>Alexandre Fernandes</v>
      </c>
      <c r="E427" t="str">
        <f>_xlfn.XLOOKUP(TBL_USUARIOS[[#This Row],[ID_MASSA]],tbl_de_massas[id_massa],tbl_de_massas[cartao_fisico_numero],"--",0,1)</f>
        <v>6505 0666 1731 4894</v>
      </c>
      <c r="F427" t="str">
        <f>_xlfn.XLOOKUP(TBL_USUARIOS[[#This Row],[ID_MASSA]],tbl_de_massas[id_massa],tbl_de_massas[nome_completo],"--",0,1)</f>
        <v>Alexandre Fernandes</v>
      </c>
      <c r="G427" s="47">
        <f>_xlfn.XLOOKUP(TBL_USUARIOS[[#This Row],[ID_MASSA]],tbl_de_massas[id_massa],tbl_de_massas[saldo_conta],"--",0,1)</f>
        <v>4307.09</v>
      </c>
      <c r="H427" t="str">
        <f>_xlfn.XLOOKUP(TBL_USUARIOS[[#This Row],[ID_MASSA]],tbl_de_massas[id_massa],tbl_de_massas[nome_completo],"--",0,1)</f>
        <v>Alexandre Fernandes</v>
      </c>
    </row>
    <row r="428" spans="1:8" x14ac:dyDescent="0.25">
      <c r="A428" s="2" t="s">
        <v>4879</v>
      </c>
      <c r="B428" t="str">
        <f>_xlfn.XLOOKUP(TBL_USUARIOS[[#This Row],[ID_MASSA]],tbl_de_massas[id_massa],tbl_de_massas[cpf],"--",0,1)</f>
        <v>21939934753</v>
      </c>
      <c r="C428" t="s">
        <v>12</v>
      </c>
      <c r="D428" t="str">
        <f>_xlfn.XLOOKUP(TBL_USUARIOS[[#This Row],[ID_MASSA]],tbl_de_massas[id_massa],tbl_de_massas[nome_completo],"--",0,1)</f>
        <v>Renata Cardoso</v>
      </c>
      <c r="E428" t="str">
        <f>_xlfn.XLOOKUP(TBL_USUARIOS[[#This Row],[ID_MASSA]],tbl_de_massas[id_massa],tbl_de_massas[cartao_fisico_numero],"--",0,1)</f>
        <v/>
      </c>
      <c r="F428" t="str">
        <f>_xlfn.XLOOKUP(TBL_USUARIOS[[#This Row],[ID_MASSA]],tbl_de_massas[id_massa],tbl_de_massas[nome_completo],"--",0,1)</f>
        <v>Renata Cardoso</v>
      </c>
      <c r="G428" s="47">
        <f>_xlfn.XLOOKUP(TBL_USUARIOS[[#This Row],[ID_MASSA]],tbl_de_massas[id_massa],tbl_de_massas[saldo_conta],"--",0,1)</f>
        <v>4323.91</v>
      </c>
      <c r="H428" t="str">
        <f>_xlfn.XLOOKUP(TBL_USUARIOS[[#This Row],[ID_MASSA]],tbl_de_massas[id_massa],tbl_de_massas[nome_completo],"--",0,1)</f>
        <v>Renata Cardoso</v>
      </c>
    </row>
    <row r="429" spans="1:8" x14ac:dyDescent="0.25">
      <c r="A429" s="2" t="s">
        <v>4595</v>
      </c>
      <c r="B429" t="str">
        <f>_xlfn.XLOOKUP(TBL_USUARIOS[[#This Row],[ID_MASSA]],tbl_de_massas[id_massa],tbl_de_massas[cpf],"--",0,1)</f>
        <v>67228922395</v>
      </c>
      <c r="C429" t="s">
        <v>12</v>
      </c>
      <c r="D429" t="str">
        <f>_xlfn.XLOOKUP(TBL_USUARIOS[[#This Row],[ID_MASSA]],tbl_de_massas[id_massa],tbl_de_massas[nome_completo],"--",0,1)</f>
        <v>Gustavo Oliveira Gomes</v>
      </c>
      <c r="E429" t="str">
        <f>_xlfn.XLOOKUP(TBL_USUARIOS[[#This Row],[ID_MASSA]],tbl_de_massas[id_massa],tbl_de_massas[cartao_fisico_numero],"--",0,1)</f>
        <v>5442 7460 8339 8060</v>
      </c>
      <c r="F429" t="str">
        <f>_xlfn.XLOOKUP(TBL_USUARIOS[[#This Row],[ID_MASSA]],tbl_de_massas[id_massa],tbl_de_massas[nome_completo],"--",0,1)</f>
        <v>Gustavo Oliveira Gomes</v>
      </c>
      <c r="G429" s="47">
        <f>_xlfn.XLOOKUP(TBL_USUARIOS[[#This Row],[ID_MASSA]],tbl_de_massas[id_massa],tbl_de_massas[saldo_conta],"--",0,1)</f>
        <v>4333.5</v>
      </c>
      <c r="H429" t="str">
        <f>_xlfn.XLOOKUP(TBL_USUARIOS[[#This Row],[ID_MASSA]],tbl_de_massas[id_massa],tbl_de_massas[nome_completo],"--",0,1)</f>
        <v>Gustavo Oliveira Gomes</v>
      </c>
    </row>
    <row r="430" spans="1:8" x14ac:dyDescent="0.25">
      <c r="A430" s="2" t="s">
        <v>5879</v>
      </c>
      <c r="B430" t="str">
        <f>_xlfn.XLOOKUP(TBL_USUARIOS[[#This Row],[ID_MASSA]],tbl_de_massas[id_massa],tbl_de_massas[cpf],"--",0,1)</f>
        <v>64782900694</v>
      </c>
      <c r="C430" t="s">
        <v>12</v>
      </c>
      <c r="D430" t="str">
        <f>_xlfn.XLOOKUP(TBL_USUARIOS[[#This Row],[ID_MASSA]],tbl_de_massas[id_massa],tbl_de_massas[nome_completo],"--",0,1)</f>
        <v>Leticia Gomes Santos</v>
      </c>
      <c r="E430" t="str">
        <f>_xlfn.XLOOKUP(TBL_USUARIOS[[#This Row],[ID_MASSA]],tbl_de_massas[id_massa],tbl_de_massas[cartao_fisico_numero],"--",0,1)</f>
        <v>3782 375299 2815</v>
      </c>
      <c r="F430" t="str">
        <f>_xlfn.XLOOKUP(TBL_USUARIOS[[#This Row],[ID_MASSA]],tbl_de_massas[id_massa],tbl_de_massas[nome_completo],"--",0,1)</f>
        <v>Leticia Gomes Santos</v>
      </c>
      <c r="G430" s="47">
        <f>_xlfn.XLOOKUP(TBL_USUARIOS[[#This Row],[ID_MASSA]],tbl_de_massas[id_massa],tbl_de_massas[saldo_conta],"--",0,1)</f>
        <v>4349.01</v>
      </c>
      <c r="H430" t="str">
        <f>_xlfn.XLOOKUP(TBL_USUARIOS[[#This Row],[ID_MASSA]],tbl_de_massas[id_massa],tbl_de_massas[nome_completo],"--",0,1)</f>
        <v>Leticia Gomes Santos</v>
      </c>
    </row>
    <row r="431" spans="1:8" x14ac:dyDescent="0.25">
      <c r="A431" s="2" t="s">
        <v>5654</v>
      </c>
      <c r="B431" t="str">
        <f>_xlfn.XLOOKUP(TBL_USUARIOS[[#This Row],[ID_MASSA]],tbl_de_massas[id_massa],tbl_de_massas[cpf],"--",0,1)</f>
        <v>65682191773</v>
      </c>
      <c r="C431" t="s">
        <v>12</v>
      </c>
      <c r="D431" t="str">
        <f>_xlfn.XLOOKUP(TBL_USUARIOS[[#This Row],[ID_MASSA]],tbl_de_massas[id_massa],tbl_de_massas[nome_completo],"--",0,1)</f>
        <v>Sofia Fernandez</v>
      </c>
      <c r="E431" t="str">
        <f>_xlfn.XLOOKUP(TBL_USUARIOS[[#This Row],[ID_MASSA]],tbl_de_massas[id_massa],tbl_de_massas[cartao_fisico_numero],"--",0,1)</f>
        <v/>
      </c>
      <c r="F431" t="str">
        <f>_xlfn.XLOOKUP(TBL_USUARIOS[[#This Row],[ID_MASSA]],tbl_de_massas[id_massa],tbl_de_massas[nome_completo],"--",0,1)</f>
        <v>Sofia Fernandez</v>
      </c>
      <c r="G431" s="47">
        <f>_xlfn.XLOOKUP(TBL_USUARIOS[[#This Row],[ID_MASSA]],tbl_de_massas[id_massa],tbl_de_massas[saldo_conta],"--",0,1)</f>
        <v>4366.0200000000004</v>
      </c>
      <c r="H431" t="str">
        <f>_xlfn.XLOOKUP(TBL_USUARIOS[[#This Row],[ID_MASSA]],tbl_de_massas[id_massa],tbl_de_massas[nome_completo],"--",0,1)</f>
        <v>Sofia Fernandez</v>
      </c>
    </row>
    <row r="432" spans="1:8" x14ac:dyDescent="0.25">
      <c r="A432" s="2" t="s">
        <v>2931</v>
      </c>
      <c r="B432" t="str">
        <f>_xlfn.XLOOKUP(TBL_USUARIOS[[#This Row],[ID_MASSA]],tbl_de_massas[id_massa],tbl_de_massas[cpf],"--",0,1)</f>
        <v>45511521531</v>
      </c>
      <c r="C432" t="s">
        <v>12</v>
      </c>
      <c r="D432" t="str">
        <f>_xlfn.XLOOKUP(TBL_USUARIOS[[#This Row],[ID_MASSA]],tbl_de_massas[id_massa],tbl_de_massas[nome_completo],"--",0,1)</f>
        <v>Alexandre Araujo</v>
      </c>
      <c r="E432" t="str">
        <f>_xlfn.XLOOKUP(TBL_USUARIOS[[#This Row],[ID_MASSA]],tbl_de_massas[id_massa],tbl_de_massas[cartao_fisico_numero],"--",0,1)</f>
        <v>4576 7460 1372 3879</v>
      </c>
      <c r="F432" t="str">
        <f>_xlfn.XLOOKUP(TBL_USUARIOS[[#This Row],[ID_MASSA]],tbl_de_massas[id_massa],tbl_de_massas[nome_completo],"--",0,1)</f>
        <v>Alexandre Araujo</v>
      </c>
      <c r="G432" s="47">
        <f>_xlfn.XLOOKUP(TBL_USUARIOS[[#This Row],[ID_MASSA]],tbl_de_massas[id_massa],tbl_de_massas[saldo_conta],"--",0,1)</f>
        <v>4375.01</v>
      </c>
      <c r="H432" t="str">
        <f>_xlfn.XLOOKUP(TBL_USUARIOS[[#This Row],[ID_MASSA]],tbl_de_massas[id_massa],tbl_de_massas[nome_completo],"--",0,1)</f>
        <v>Alexandre Araujo</v>
      </c>
    </row>
    <row r="433" spans="1:8" x14ac:dyDescent="0.25">
      <c r="A433" s="2" t="s">
        <v>5142</v>
      </c>
      <c r="B433" t="str">
        <f>_xlfn.XLOOKUP(TBL_USUARIOS[[#This Row],[ID_MASSA]],tbl_de_massas[id_massa],tbl_de_massas[cpf],"--",0,1)</f>
        <v>33618433590</v>
      </c>
      <c r="C433" t="s">
        <v>12</v>
      </c>
      <c r="D433" t="str">
        <f>_xlfn.XLOOKUP(TBL_USUARIOS[[#This Row],[ID_MASSA]],tbl_de_massas[id_massa],tbl_de_massas[nome_completo],"--",0,1)</f>
        <v>Rafael Dias Gomes</v>
      </c>
      <c r="E433" t="str">
        <f>_xlfn.XLOOKUP(TBL_USUARIOS[[#This Row],[ID_MASSA]],tbl_de_massas[id_massa],tbl_de_massas[cartao_fisico_numero],"--",0,1)</f>
        <v>6062 8200 4174 9436</v>
      </c>
      <c r="F433" t="str">
        <f>_xlfn.XLOOKUP(TBL_USUARIOS[[#This Row],[ID_MASSA]],tbl_de_massas[id_massa],tbl_de_massas[nome_completo],"--",0,1)</f>
        <v>Rafael Dias Gomes</v>
      </c>
      <c r="G433" s="47">
        <f>_xlfn.XLOOKUP(TBL_USUARIOS[[#This Row],[ID_MASSA]],tbl_de_massas[id_massa],tbl_de_massas[saldo_conta],"--",0,1)</f>
        <v>4375.71</v>
      </c>
      <c r="H433" t="str">
        <f>_xlfn.XLOOKUP(TBL_USUARIOS[[#This Row],[ID_MASSA]],tbl_de_massas[id_massa],tbl_de_massas[nome_completo],"--",0,1)</f>
        <v>Rafael Dias Gomes</v>
      </c>
    </row>
    <row r="434" spans="1:8" x14ac:dyDescent="0.25">
      <c r="A434" s="2" t="s">
        <v>4439</v>
      </c>
      <c r="B434" t="str">
        <f>_xlfn.XLOOKUP(TBL_USUARIOS[[#This Row],[ID_MASSA]],tbl_de_massas[id_massa],tbl_de_massas[cpf],"--",0,1)</f>
        <v>46386337905</v>
      </c>
      <c r="C434" t="s">
        <v>12</v>
      </c>
      <c r="D434" t="str">
        <f>_xlfn.XLOOKUP(TBL_USUARIOS[[#This Row],[ID_MASSA]],tbl_de_massas[id_massa],tbl_de_massas[nome_completo],"--",0,1)</f>
        <v>Marcelo Rodrigues Cavalcanti</v>
      </c>
      <c r="E434" t="str">
        <f>_xlfn.XLOOKUP(TBL_USUARIOS[[#This Row],[ID_MASSA]],tbl_de_massas[id_massa],tbl_de_massas[cartao_fisico_numero],"--",0,1)</f>
        <v>4576 7460 7968 8840</v>
      </c>
      <c r="F434" t="str">
        <f>_xlfn.XLOOKUP(TBL_USUARIOS[[#This Row],[ID_MASSA]],tbl_de_massas[id_massa],tbl_de_massas[nome_completo],"--",0,1)</f>
        <v>Marcelo Rodrigues Cavalcanti</v>
      </c>
      <c r="G434" s="47">
        <f>_xlfn.XLOOKUP(TBL_USUARIOS[[#This Row],[ID_MASSA]],tbl_de_massas[id_massa],tbl_de_massas[saldo_conta],"--",0,1)</f>
        <v>4393.7299999999996</v>
      </c>
      <c r="H434" t="str">
        <f>_xlfn.XLOOKUP(TBL_USUARIOS[[#This Row],[ID_MASSA]],tbl_de_massas[id_massa],tbl_de_massas[nome_completo],"--",0,1)</f>
        <v>Marcelo Rodrigues Cavalcanti</v>
      </c>
    </row>
    <row r="435" spans="1:8" x14ac:dyDescent="0.25">
      <c r="A435" s="2" t="s">
        <v>3227</v>
      </c>
      <c r="B435" t="str">
        <f>_xlfn.XLOOKUP(TBL_USUARIOS[[#This Row],[ID_MASSA]],tbl_de_massas[id_massa],tbl_de_massas[cpf],"--",0,1)</f>
        <v>23313290361</v>
      </c>
      <c r="C435" t="s">
        <v>12</v>
      </c>
      <c r="D435" t="str">
        <f>_xlfn.XLOOKUP(TBL_USUARIOS[[#This Row],[ID_MASSA]],tbl_de_massas[id_massa],tbl_de_massas[nome_completo],"--",0,1)</f>
        <v>Felipe Ribeiro Cardoso</v>
      </c>
      <c r="E435" t="str">
        <f>_xlfn.XLOOKUP(TBL_USUARIOS[[#This Row],[ID_MASSA]],tbl_de_massas[id_massa],tbl_de_massas[cartao_fisico_numero],"--",0,1)</f>
        <v>5442 7460 9630 0450</v>
      </c>
      <c r="F435" t="str">
        <f>_xlfn.XLOOKUP(TBL_USUARIOS[[#This Row],[ID_MASSA]],tbl_de_massas[id_massa],tbl_de_massas[nome_completo],"--",0,1)</f>
        <v>Felipe Ribeiro Cardoso</v>
      </c>
      <c r="G435" s="47">
        <f>_xlfn.XLOOKUP(TBL_USUARIOS[[#This Row],[ID_MASSA]],tbl_de_massas[id_massa],tbl_de_massas[saldo_conta],"--",0,1)</f>
        <v>4409.5</v>
      </c>
      <c r="H435" t="str">
        <f>_xlfn.XLOOKUP(TBL_USUARIOS[[#This Row],[ID_MASSA]],tbl_de_massas[id_massa],tbl_de_massas[nome_completo],"--",0,1)</f>
        <v>Felipe Ribeiro Cardoso</v>
      </c>
    </row>
    <row r="436" spans="1:8" x14ac:dyDescent="0.25">
      <c r="A436" s="2" t="s">
        <v>3622</v>
      </c>
      <c r="B436" t="str">
        <f>_xlfn.XLOOKUP(TBL_USUARIOS[[#This Row],[ID_MASSA]],tbl_de_massas[id_massa],tbl_de_massas[cpf],"--",0,1)</f>
        <v>23451232308</v>
      </c>
      <c r="C436" t="s">
        <v>12</v>
      </c>
      <c r="D436" t="str">
        <f>_xlfn.XLOOKUP(TBL_USUARIOS[[#This Row],[ID_MASSA]],tbl_de_massas[id_massa],tbl_de_massas[nome_completo],"--",0,1)</f>
        <v>Leticia Borges Fernandes</v>
      </c>
      <c r="E436" t="str">
        <f>_xlfn.XLOOKUP(TBL_USUARIOS[[#This Row],[ID_MASSA]],tbl_de_massas[id_massa],tbl_de_massas[cartao_fisico_numero],"--",0,1)</f>
        <v>4576 7460 6807 9124</v>
      </c>
      <c r="F436" t="str">
        <f>_xlfn.XLOOKUP(TBL_USUARIOS[[#This Row],[ID_MASSA]],tbl_de_massas[id_massa],tbl_de_massas[nome_completo],"--",0,1)</f>
        <v>Leticia Borges Fernandes</v>
      </c>
      <c r="G436" s="47">
        <f>_xlfn.XLOOKUP(TBL_USUARIOS[[#This Row],[ID_MASSA]],tbl_de_massas[id_massa],tbl_de_massas[saldo_conta],"--",0,1)</f>
        <v>4419.58</v>
      </c>
      <c r="H436" t="str">
        <f>_xlfn.XLOOKUP(TBL_USUARIOS[[#This Row],[ID_MASSA]],tbl_de_massas[id_massa],tbl_de_massas[nome_completo],"--",0,1)</f>
        <v>Leticia Borges Fernandes</v>
      </c>
    </row>
    <row r="437" spans="1:8" x14ac:dyDescent="0.25">
      <c r="A437" s="2" t="s">
        <v>5577</v>
      </c>
      <c r="B437" t="str">
        <f>_xlfn.XLOOKUP(TBL_USUARIOS[[#This Row],[ID_MASSA]],tbl_de_massas[id_massa],tbl_de_massas[cpf],"--",0,1)</f>
        <v>94056955255</v>
      </c>
      <c r="C437" t="s">
        <v>12</v>
      </c>
      <c r="D437" t="str">
        <f>_xlfn.XLOOKUP(TBL_USUARIOS[[#This Row],[ID_MASSA]],tbl_de_massas[id_massa],tbl_de_massas[nome_completo],"--",0,1)</f>
        <v>Caio Oliveira Campos</v>
      </c>
      <c r="E437" t="str">
        <f>_xlfn.XLOOKUP(TBL_USUARIOS[[#This Row],[ID_MASSA]],tbl_de_massas[id_massa],tbl_de_massas[cartao_fisico_numero],"--",0,1)</f>
        <v/>
      </c>
      <c r="F437" t="str">
        <f>_xlfn.XLOOKUP(TBL_USUARIOS[[#This Row],[ID_MASSA]],tbl_de_massas[id_massa],tbl_de_massas[nome_completo],"--",0,1)</f>
        <v>Caio Oliveira Campos</v>
      </c>
      <c r="G437" s="47">
        <f>_xlfn.XLOOKUP(TBL_USUARIOS[[#This Row],[ID_MASSA]],tbl_de_massas[id_massa],tbl_de_massas[saldo_conta],"--",0,1)</f>
        <v>4424.95</v>
      </c>
      <c r="H437" t="str">
        <f>_xlfn.XLOOKUP(TBL_USUARIOS[[#This Row],[ID_MASSA]],tbl_de_massas[id_massa],tbl_de_massas[nome_completo],"--",0,1)</f>
        <v>Caio Oliveira Campos</v>
      </c>
    </row>
    <row r="438" spans="1:8" x14ac:dyDescent="0.25">
      <c r="A438" s="2" t="s">
        <v>2728</v>
      </c>
      <c r="B438" t="str">
        <f>_xlfn.XLOOKUP(TBL_USUARIOS[[#This Row],[ID_MASSA]],tbl_de_massas[id_massa],tbl_de_massas[cpf],"--",0,1)</f>
        <v>85335833890</v>
      </c>
      <c r="C438" t="s">
        <v>12</v>
      </c>
      <c r="D438" t="str">
        <f>_xlfn.XLOOKUP(TBL_USUARIOS[[#This Row],[ID_MASSA]],tbl_de_massas[id_massa],tbl_de_massas[nome_completo],"--",0,1)</f>
        <v>Marcos Fernandes Almeida</v>
      </c>
      <c r="E438" t="str">
        <f>_xlfn.XLOOKUP(TBL_USUARIOS[[#This Row],[ID_MASSA]],tbl_de_massas[id_massa],tbl_de_massas[cartao_fisico_numero],"--",0,1)</f>
        <v>4576 7460 5358 2156</v>
      </c>
      <c r="F438" t="str">
        <f>_xlfn.XLOOKUP(TBL_USUARIOS[[#This Row],[ID_MASSA]],tbl_de_massas[id_massa],tbl_de_massas[nome_completo],"--",0,1)</f>
        <v>Marcos Fernandes Almeida</v>
      </c>
      <c r="G438" s="47">
        <f>_xlfn.XLOOKUP(TBL_USUARIOS[[#This Row],[ID_MASSA]],tbl_de_massas[id_massa],tbl_de_massas[saldo_conta],"--",0,1)</f>
        <v>4425.84</v>
      </c>
      <c r="H438" t="str">
        <f>_xlfn.XLOOKUP(TBL_USUARIOS[[#This Row],[ID_MASSA]],tbl_de_massas[id_massa],tbl_de_massas[nome_completo],"--",0,1)</f>
        <v>Marcos Fernandes Almeida</v>
      </c>
    </row>
    <row r="439" spans="1:8" x14ac:dyDescent="0.25">
      <c r="A439" s="2" t="s">
        <v>2898</v>
      </c>
      <c r="B439" t="str">
        <f>_xlfn.XLOOKUP(TBL_USUARIOS[[#This Row],[ID_MASSA]],tbl_de_massas[id_massa],tbl_de_massas[cpf],"--",0,1)</f>
        <v>97868029501</v>
      </c>
      <c r="C439" t="s">
        <v>12</v>
      </c>
      <c r="D439" t="str">
        <f>_xlfn.XLOOKUP(TBL_USUARIOS[[#This Row],[ID_MASSA]],tbl_de_massas[id_massa],tbl_de_massas[nome_completo],"--",0,1)</f>
        <v>Gabriel Mendes</v>
      </c>
      <c r="E439" t="str">
        <f>_xlfn.XLOOKUP(TBL_USUARIOS[[#This Row],[ID_MASSA]],tbl_de_massas[id_massa],tbl_de_massas[cartao_fisico_numero],"--",0,1)</f>
        <v>6062 8200 2039 0895</v>
      </c>
      <c r="F439" t="str">
        <f>_xlfn.XLOOKUP(TBL_USUARIOS[[#This Row],[ID_MASSA]],tbl_de_massas[id_massa],tbl_de_massas[nome_completo],"--",0,1)</f>
        <v>Gabriel Mendes</v>
      </c>
      <c r="G439" s="47">
        <f>_xlfn.XLOOKUP(TBL_USUARIOS[[#This Row],[ID_MASSA]],tbl_de_massas[id_massa],tbl_de_massas[saldo_conta],"--",0,1)</f>
        <v>4430.84</v>
      </c>
      <c r="H439" t="str">
        <f>_xlfn.XLOOKUP(TBL_USUARIOS[[#This Row],[ID_MASSA]],tbl_de_massas[id_massa],tbl_de_massas[nome_completo],"--",0,1)</f>
        <v>Gabriel Mendes</v>
      </c>
    </row>
    <row r="440" spans="1:8" x14ac:dyDescent="0.25">
      <c r="A440" s="2" t="s">
        <v>5192</v>
      </c>
      <c r="B440" t="str">
        <f>_xlfn.XLOOKUP(TBL_USUARIOS[[#This Row],[ID_MASSA]],tbl_de_massas[id_massa],tbl_de_massas[cpf],"--",0,1)</f>
        <v>23576204717</v>
      </c>
      <c r="C440" t="s">
        <v>12</v>
      </c>
      <c r="D440" t="str">
        <f>_xlfn.XLOOKUP(TBL_USUARIOS[[#This Row],[ID_MASSA]],tbl_de_massas[id_massa],tbl_de_massas[nome_completo],"--",0,1)</f>
        <v>Alexandre Alves Pereira</v>
      </c>
      <c r="E440" t="str">
        <f>_xlfn.XLOOKUP(TBL_USUARIOS[[#This Row],[ID_MASSA]],tbl_de_massas[id_massa],tbl_de_massas[cartao_fisico_numero],"--",0,1)</f>
        <v>4576 7460 6849 5118</v>
      </c>
      <c r="F440" t="str">
        <f>_xlfn.XLOOKUP(TBL_USUARIOS[[#This Row],[ID_MASSA]],tbl_de_massas[id_massa],tbl_de_massas[nome_completo],"--",0,1)</f>
        <v>Alexandre Alves Pereira</v>
      </c>
      <c r="G440" s="47">
        <f>_xlfn.XLOOKUP(TBL_USUARIOS[[#This Row],[ID_MASSA]],tbl_de_massas[id_massa],tbl_de_massas[saldo_conta],"--",0,1)</f>
        <v>4435.99</v>
      </c>
      <c r="H440" t="str">
        <f>_xlfn.XLOOKUP(TBL_USUARIOS[[#This Row],[ID_MASSA]],tbl_de_massas[id_massa],tbl_de_massas[nome_completo],"--",0,1)</f>
        <v>Alexandre Alves Pereira</v>
      </c>
    </row>
    <row r="441" spans="1:8" x14ac:dyDescent="0.25">
      <c r="A441" s="2" t="s">
        <v>3296</v>
      </c>
      <c r="B441" t="str">
        <f>_xlfn.XLOOKUP(TBL_USUARIOS[[#This Row],[ID_MASSA]],tbl_de_massas[id_massa],tbl_de_massas[cpf],"--",0,1)</f>
        <v>91825322651</v>
      </c>
      <c r="C441" t="s">
        <v>12</v>
      </c>
      <c r="D441" t="str">
        <f>_xlfn.XLOOKUP(TBL_USUARIOS[[#This Row],[ID_MASSA]],tbl_de_massas[id_massa],tbl_de_massas[nome_completo],"--",0,1)</f>
        <v>Vinicius Araujo Nunes</v>
      </c>
      <c r="E441" t="str">
        <f>_xlfn.XLOOKUP(TBL_USUARIOS[[#This Row],[ID_MASSA]],tbl_de_massas[id_massa],tbl_de_massas[cartao_fisico_numero],"--",0,1)</f>
        <v>6505 0666 8472 5231</v>
      </c>
      <c r="F441" t="str">
        <f>_xlfn.XLOOKUP(TBL_USUARIOS[[#This Row],[ID_MASSA]],tbl_de_massas[id_massa],tbl_de_massas[nome_completo],"--",0,1)</f>
        <v>Vinicius Araujo Nunes</v>
      </c>
      <c r="G441" s="47">
        <f>_xlfn.XLOOKUP(TBL_USUARIOS[[#This Row],[ID_MASSA]],tbl_de_massas[id_massa],tbl_de_massas[saldo_conta],"--",0,1)</f>
        <v>4481.22</v>
      </c>
      <c r="H441" t="str">
        <f>_xlfn.XLOOKUP(TBL_USUARIOS[[#This Row],[ID_MASSA]],tbl_de_massas[id_massa],tbl_de_massas[nome_completo],"--",0,1)</f>
        <v>Vinicius Araujo Nunes</v>
      </c>
    </row>
    <row r="442" spans="1:8" x14ac:dyDescent="0.25">
      <c r="A442" s="2" t="s">
        <v>6280</v>
      </c>
      <c r="B442" t="str">
        <f>_xlfn.XLOOKUP(TBL_USUARIOS[[#This Row],[ID_MASSA]],tbl_de_massas[id_massa],tbl_de_massas[cpf],"--",0,1)</f>
        <v>61435149769</v>
      </c>
      <c r="C442" t="s">
        <v>12</v>
      </c>
      <c r="D442" t="str">
        <f>_xlfn.XLOOKUP(TBL_USUARIOS[[#This Row],[ID_MASSA]],tbl_de_massas[id_massa],tbl_de_massas[nome_completo],"--",0,1)</f>
        <v>William Jones</v>
      </c>
      <c r="E442" t="str">
        <f>_xlfn.XLOOKUP(TBL_USUARIOS[[#This Row],[ID_MASSA]],tbl_de_massas[id_massa],tbl_de_massas[cartao_fisico_numero],"--",0,1)</f>
        <v>3782 858035 5540</v>
      </c>
      <c r="F442" t="str">
        <f>_xlfn.XLOOKUP(TBL_USUARIOS[[#This Row],[ID_MASSA]],tbl_de_massas[id_massa],tbl_de_massas[nome_completo],"--",0,1)</f>
        <v>William Jones</v>
      </c>
      <c r="G442" s="47">
        <f>_xlfn.XLOOKUP(TBL_USUARIOS[[#This Row],[ID_MASSA]],tbl_de_massas[id_massa],tbl_de_massas[saldo_conta],"--",0,1)</f>
        <v>4481.25</v>
      </c>
      <c r="H442" t="str">
        <f>_xlfn.XLOOKUP(TBL_USUARIOS[[#This Row],[ID_MASSA]],tbl_de_massas[id_massa],tbl_de_massas[nome_completo],"--",0,1)</f>
        <v>William Jones</v>
      </c>
    </row>
    <row r="443" spans="1:8" x14ac:dyDescent="0.25">
      <c r="A443" s="2" t="s">
        <v>4460</v>
      </c>
      <c r="B443" t="str">
        <f>_xlfn.XLOOKUP(TBL_USUARIOS[[#This Row],[ID_MASSA]],tbl_de_massas[id_massa],tbl_de_massas[cpf],"--",0,1)</f>
        <v>59722709860</v>
      </c>
      <c r="C443" t="s">
        <v>12</v>
      </c>
      <c r="D443" t="str">
        <f>_xlfn.XLOOKUP(TBL_USUARIOS[[#This Row],[ID_MASSA]],tbl_de_massas[id_massa],tbl_de_massas[nome_completo],"--",0,1)</f>
        <v>Bruno Pinto Monteiro</v>
      </c>
      <c r="E443" t="str">
        <f>_xlfn.XLOOKUP(TBL_USUARIOS[[#This Row],[ID_MASSA]],tbl_de_massas[id_massa],tbl_de_massas[cartao_fisico_numero],"--",0,1)</f>
        <v>5442 7460 5822 7426</v>
      </c>
      <c r="F443" t="str">
        <f>_xlfn.XLOOKUP(TBL_USUARIOS[[#This Row],[ID_MASSA]],tbl_de_massas[id_massa],tbl_de_massas[nome_completo],"--",0,1)</f>
        <v>Bruno Pinto Monteiro</v>
      </c>
      <c r="G443" s="47">
        <f>_xlfn.XLOOKUP(TBL_USUARIOS[[#This Row],[ID_MASSA]],tbl_de_massas[id_massa],tbl_de_massas[saldo_conta],"--",0,1)</f>
        <v>4492.8100000000004</v>
      </c>
      <c r="H443" t="str">
        <f>_xlfn.XLOOKUP(TBL_USUARIOS[[#This Row],[ID_MASSA]],tbl_de_massas[id_massa],tbl_de_massas[nome_completo],"--",0,1)</f>
        <v>Bruno Pinto Monteiro</v>
      </c>
    </row>
    <row r="444" spans="1:8" x14ac:dyDescent="0.25">
      <c r="A444" s="2" t="s">
        <v>2193</v>
      </c>
      <c r="B444" s="14" t="str">
        <f>_xlfn.XLOOKUP(TBL_USUARIOS[[#This Row],[ID_MASSA]],tbl_de_massas[id_massa],tbl_de_massas[cpf],"--",0,1)</f>
        <v>87300736009</v>
      </c>
      <c r="C444" t="s">
        <v>12</v>
      </c>
      <c r="D444" t="str">
        <f>_xlfn.XLOOKUP(TBL_USUARIOS[[#This Row],[ID_MASSA]],tbl_de_massas[id_massa],tbl_de_massas[nome_completo],"--",0,1)</f>
        <v>Khalid Al-Zahrani</v>
      </c>
      <c r="E444" t="str">
        <f>_xlfn.XLOOKUP(TBL_USUARIOS[[#This Row],[ID_MASSA]],tbl_de_massas[id_massa],tbl_de_massas[cartao_fisico_numero],"--",0,1)</f>
        <v>6062 8200 8940 1249</v>
      </c>
      <c r="F444" t="str">
        <f>_xlfn.XLOOKUP(TBL_USUARIOS[[#This Row],[ID_MASSA]],tbl_de_massas[id_massa],tbl_de_massas[nome_completo],"--",0,1)</f>
        <v>Khalid Al-Zahrani</v>
      </c>
      <c r="G444" s="47">
        <f>_xlfn.XLOOKUP(TBL_USUARIOS[[#This Row],[ID_MASSA]],tbl_de_massas[id_massa],tbl_de_massas[saldo_conta],"--",0,1)</f>
        <v>4498.93</v>
      </c>
      <c r="H444" t="str">
        <f>_xlfn.XLOOKUP(TBL_USUARIOS[[#This Row],[ID_MASSA]],tbl_de_massas[id_massa],tbl_de_massas[nome_completo],"--",0,1)</f>
        <v>Khalid Al-Zahrani</v>
      </c>
    </row>
    <row r="445" spans="1:8" x14ac:dyDescent="0.25">
      <c r="A445" s="2" t="s">
        <v>5107</v>
      </c>
      <c r="B445" t="str">
        <f>_xlfn.XLOOKUP(TBL_USUARIOS[[#This Row],[ID_MASSA]],tbl_de_massas[id_massa],tbl_de_massas[cpf],"--",0,1)</f>
        <v>26648901829</v>
      </c>
      <c r="C445" t="s">
        <v>12</v>
      </c>
      <c r="D445" t="str">
        <f>_xlfn.XLOOKUP(TBL_USUARIOS[[#This Row],[ID_MASSA]],tbl_de_massas[id_massa],tbl_de_massas[nome_completo],"--",0,1)</f>
        <v>Lucas Nascimento</v>
      </c>
      <c r="E445" t="str">
        <f>_xlfn.XLOOKUP(TBL_USUARIOS[[#This Row],[ID_MASSA]],tbl_de_massas[id_massa],tbl_de_massas[cartao_fisico_numero],"--",0,1)</f>
        <v/>
      </c>
      <c r="F445" t="str">
        <f>_xlfn.XLOOKUP(TBL_USUARIOS[[#This Row],[ID_MASSA]],tbl_de_massas[id_massa],tbl_de_massas[nome_completo],"--",0,1)</f>
        <v>Lucas Nascimento</v>
      </c>
      <c r="G445" s="47">
        <f>_xlfn.XLOOKUP(TBL_USUARIOS[[#This Row],[ID_MASSA]],tbl_de_massas[id_massa],tbl_de_massas[saldo_conta],"--",0,1)</f>
        <v>4517.32</v>
      </c>
      <c r="H445" t="str">
        <f>_xlfn.XLOOKUP(TBL_USUARIOS[[#This Row],[ID_MASSA]],tbl_de_massas[id_massa],tbl_de_massas[nome_completo],"--",0,1)</f>
        <v>Lucas Nascimento</v>
      </c>
    </row>
    <row r="446" spans="1:8" x14ac:dyDescent="0.25">
      <c r="A446" s="2" t="s">
        <v>3046</v>
      </c>
      <c r="B446" t="str">
        <f>_xlfn.XLOOKUP(TBL_USUARIOS[[#This Row],[ID_MASSA]],tbl_de_massas[id_massa],tbl_de_massas[cpf],"--",0,1)</f>
        <v>80299088499</v>
      </c>
      <c r="C446" t="s">
        <v>12</v>
      </c>
      <c r="D446" t="str">
        <f>_xlfn.XLOOKUP(TBL_USUARIOS[[#This Row],[ID_MASSA]],tbl_de_massas[id_massa],tbl_de_massas[nome_completo],"--",0,1)</f>
        <v>Matheus Barbosa</v>
      </c>
      <c r="E446" t="str">
        <f>_xlfn.XLOOKUP(TBL_USUARIOS[[#This Row],[ID_MASSA]],tbl_de_massas[id_massa],tbl_de_massas[cartao_fisico_numero],"--",0,1)</f>
        <v>5442 7460 8532 5960</v>
      </c>
      <c r="F446" t="str">
        <f>_xlfn.XLOOKUP(TBL_USUARIOS[[#This Row],[ID_MASSA]],tbl_de_massas[id_massa],tbl_de_massas[nome_completo],"--",0,1)</f>
        <v>Matheus Barbosa</v>
      </c>
      <c r="G446" s="47">
        <f>_xlfn.XLOOKUP(TBL_USUARIOS[[#This Row],[ID_MASSA]],tbl_de_massas[id_massa],tbl_de_massas[saldo_conta],"--",0,1)</f>
        <v>4520.1000000000004</v>
      </c>
      <c r="H446" t="str">
        <f>_xlfn.XLOOKUP(TBL_USUARIOS[[#This Row],[ID_MASSA]],tbl_de_massas[id_massa],tbl_de_massas[nome_completo],"--",0,1)</f>
        <v>Matheus Barbosa</v>
      </c>
    </row>
    <row r="447" spans="1:8" x14ac:dyDescent="0.25">
      <c r="A447" s="2" t="s">
        <v>5123</v>
      </c>
      <c r="B447" t="str">
        <f>_xlfn.XLOOKUP(TBL_USUARIOS[[#This Row],[ID_MASSA]],tbl_de_massas[id_massa],tbl_de_massas[cpf],"--",0,1)</f>
        <v>52917629851</v>
      </c>
      <c r="C447" t="s">
        <v>12</v>
      </c>
      <c r="D447" t="str">
        <f>_xlfn.XLOOKUP(TBL_USUARIOS[[#This Row],[ID_MASSA]],tbl_de_massas[id_massa],tbl_de_massas[nome_completo],"--",0,1)</f>
        <v>Aline Santos Araujo</v>
      </c>
      <c r="E447" t="str">
        <f>_xlfn.XLOOKUP(TBL_USUARIOS[[#This Row],[ID_MASSA]],tbl_de_massas[id_massa],tbl_de_massas[cartao_fisico_numero],"--",0,1)</f>
        <v/>
      </c>
      <c r="F447" t="str">
        <f>_xlfn.XLOOKUP(TBL_USUARIOS[[#This Row],[ID_MASSA]],tbl_de_massas[id_massa],tbl_de_massas[nome_completo],"--",0,1)</f>
        <v>Aline Santos Araujo</v>
      </c>
      <c r="G447" s="47">
        <f>_xlfn.XLOOKUP(TBL_USUARIOS[[#This Row],[ID_MASSA]],tbl_de_massas[id_massa],tbl_de_massas[saldo_conta],"--",0,1)</f>
        <v>4536.5200000000004</v>
      </c>
      <c r="H447" t="str">
        <f>_xlfn.XLOOKUP(TBL_USUARIOS[[#This Row],[ID_MASSA]],tbl_de_massas[id_massa],tbl_de_massas[nome_completo],"--",0,1)</f>
        <v>Aline Santos Araujo</v>
      </c>
    </row>
    <row r="448" spans="1:8" x14ac:dyDescent="0.25">
      <c r="A448" s="2" t="s">
        <v>4750</v>
      </c>
      <c r="B448" t="str">
        <f>_xlfn.XLOOKUP(TBL_USUARIOS[[#This Row],[ID_MASSA]],tbl_de_massas[id_massa],tbl_de_massas[cpf],"--",0,1)</f>
        <v>86691690532</v>
      </c>
      <c r="C448" t="s">
        <v>12</v>
      </c>
      <c r="D448" t="str">
        <f>_xlfn.XLOOKUP(TBL_USUARIOS[[#This Row],[ID_MASSA]],tbl_de_massas[id_massa],tbl_de_massas[nome_completo],"--",0,1)</f>
        <v>Rodrigo Castro</v>
      </c>
      <c r="E448" t="str">
        <f>_xlfn.XLOOKUP(TBL_USUARIOS[[#This Row],[ID_MASSA]],tbl_de_massas[id_massa],tbl_de_massas[cartao_fisico_numero],"--",0,1)</f>
        <v/>
      </c>
      <c r="F448" t="str">
        <f>_xlfn.XLOOKUP(TBL_USUARIOS[[#This Row],[ID_MASSA]],tbl_de_massas[id_massa],tbl_de_massas[nome_completo],"--",0,1)</f>
        <v>Rodrigo Castro</v>
      </c>
      <c r="G448" s="47">
        <f>_xlfn.XLOOKUP(TBL_USUARIOS[[#This Row],[ID_MASSA]],tbl_de_massas[id_massa],tbl_de_massas[saldo_conta],"--",0,1)</f>
        <v>4552.92</v>
      </c>
      <c r="H448" t="str">
        <f>_xlfn.XLOOKUP(TBL_USUARIOS[[#This Row],[ID_MASSA]],tbl_de_massas[id_massa],tbl_de_massas[nome_completo],"--",0,1)</f>
        <v>Rodrigo Castro</v>
      </c>
    </row>
    <row r="449" spans="1:8" x14ac:dyDescent="0.25">
      <c r="A449" s="2" t="s">
        <v>4712</v>
      </c>
      <c r="B449" t="str">
        <f>_xlfn.XLOOKUP(TBL_USUARIOS[[#This Row],[ID_MASSA]],tbl_de_massas[id_massa],tbl_de_massas[cpf],"--",0,1)</f>
        <v>55013381304</v>
      </c>
      <c r="C449" t="s">
        <v>12</v>
      </c>
      <c r="D449" t="str">
        <f>_xlfn.XLOOKUP(TBL_USUARIOS[[#This Row],[ID_MASSA]],tbl_de_massas[id_massa],tbl_de_massas[nome_completo],"--",0,1)</f>
        <v>Fabio Araujo Lima</v>
      </c>
      <c r="E449" t="str">
        <f>_xlfn.XLOOKUP(TBL_USUARIOS[[#This Row],[ID_MASSA]],tbl_de_massas[id_massa],tbl_de_massas[cartao_fisico_numero],"--",0,1)</f>
        <v>6505 0666 6232 4530</v>
      </c>
      <c r="F449" t="str">
        <f>_xlfn.XLOOKUP(TBL_USUARIOS[[#This Row],[ID_MASSA]],tbl_de_massas[id_massa],tbl_de_massas[nome_completo],"--",0,1)</f>
        <v>Fabio Araujo Lima</v>
      </c>
      <c r="G449" s="47">
        <f>_xlfn.XLOOKUP(TBL_USUARIOS[[#This Row],[ID_MASSA]],tbl_de_massas[id_massa],tbl_de_massas[saldo_conta],"--",0,1)</f>
        <v>4560.17</v>
      </c>
      <c r="H449" t="str">
        <f>_xlfn.XLOOKUP(TBL_USUARIOS[[#This Row],[ID_MASSA]],tbl_de_massas[id_massa],tbl_de_massas[nome_completo],"--",0,1)</f>
        <v>Fabio Araujo Lima</v>
      </c>
    </row>
    <row r="450" spans="1:8" x14ac:dyDescent="0.25">
      <c r="A450" s="2" t="s">
        <v>5174</v>
      </c>
      <c r="B450" t="str">
        <f>_xlfn.XLOOKUP(TBL_USUARIOS[[#This Row],[ID_MASSA]],tbl_de_massas[id_massa],tbl_de_massas[cpf],"--",0,1)</f>
        <v>37616930360</v>
      </c>
      <c r="C450" t="s">
        <v>12</v>
      </c>
      <c r="D450" t="str">
        <f>_xlfn.XLOOKUP(TBL_USUARIOS[[#This Row],[ID_MASSA]],tbl_de_massas[id_massa],tbl_de_massas[nome_completo],"--",0,1)</f>
        <v>Vivian Gomes Ribeiro</v>
      </c>
      <c r="E450" t="str">
        <f>_xlfn.XLOOKUP(TBL_USUARIOS[[#This Row],[ID_MASSA]],tbl_de_massas[id_massa],tbl_de_massas[cartao_fisico_numero],"--",0,1)</f>
        <v/>
      </c>
      <c r="F450" t="str">
        <f>_xlfn.XLOOKUP(TBL_USUARIOS[[#This Row],[ID_MASSA]],tbl_de_massas[id_massa],tbl_de_massas[nome_completo],"--",0,1)</f>
        <v>Vivian Gomes Ribeiro</v>
      </c>
      <c r="G450" s="47">
        <f>_xlfn.XLOOKUP(TBL_USUARIOS[[#This Row],[ID_MASSA]],tbl_de_massas[id_massa],tbl_de_massas[saldo_conta],"--",0,1)</f>
        <v>4566.74</v>
      </c>
      <c r="H450" t="str">
        <f>_xlfn.XLOOKUP(TBL_USUARIOS[[#This Row],[ID_MASSA]],tbl_de_massas[id_massa],tbl_de_massas[nome_completo],"--",0,1)</f>
        <v>Vivian Gomes Ribeiro</v>
      </c>
    </row>
    <row r="451" spans="1:8" x14ac:dyDescent="0.25">
      <c r="A451" s="2" t="s">
        <v>5667</v>
      </c>
      <c r="B451" t="str">
        <f>_xlfn.XLOOKUP(TBL_USUARIOS[[#This Row],[ID_MASSA]],tbl_de_massas[id_massa],tbl_de_massas[cpf],"--",0,1)</f>
        <v>86436263330</v>
      </c>
      <c r="C451" t="s">
        <v>12</v>
      </c>
      <c r="D451" t="str">
        <f>_xlfn.XLOOKUP(TBL_USUARIOS[[#This Row],[ID_MASSA]],tbl_de_massas[id_massa],tbl_de_massas[nome_completo],"--",0,1)</f>
        <v>Lucas Bertrand</v>
      </c>
      <c r="E451" t="str">
        <f>_xlfn.XLOOKUP(TBL_USUARIOS[[#This Row],[ID_MASSA]],tbl_de_massas[id_massa],tbl_de_massas[cartao_fisico_numero],"--",0,1)</f>
        <v>4576 7460 7776 2785</v>
      </c>
      <c r="F451" t="str">
        <f>_xlfn.XLOOKUP(TBL_USUARIOS[[#This Row],[ID_MASSA]],tbl_de_massas[id_massa],tbl_de_massas[nome_completo],"--",0,1)</f>
        <v>Lucas Bertrand</v>
      </c>
      <c r="G451" s="47">
        <f>_xlfn.XLOOKUP(TBL_USUARIOS[[#This Row],[ID_MASSA]],tbl_de_massas[id_massa],tbl_de_massas[saldo_conta],"--",0,1)</f>
        <v>4291.8100000000004</v>
      </c>
      <c r="H451" t="str">
        <f>_xlfn.XLOOKUP(TBL_USUARIOS[[#This Row],[ID_MASSA]],tbl_de_massas[id_massa],tbl_de_massas[nome_completo],"--",0,1)</f>
        <v>Lucas Bertrand</v>
      </c>
    </row>
    <row r="452" spans="1:8" x14ac:dyDescent="0.25">
      <c r="A452" s="2" t="s">
        <v>3722</v>
      </c>
      <c r="B452" t="str">
        <f>_xlfn.XLOOKUP(TBL_USUARIOS[[#This Row],[ID_MASSA]],tbl_de_massas[id_massa],tbl_de_massas[cpf],"--",0,1)</f>
        <v>02165154162</v>
      </c>
      <c r="C452" t="s">
        <v>12</v>
      </c>
      <c r="D452" t="str">
        <f>_xlfn.XLOOKUP(TBL_USUARIOS[[#This Row],[ID_MASSA]],tbl_de_massas[id_massa],tbl_de_massas[nome_completo],"--",0,1)</f>
        <v>Bianca Araujo Pinto</v>
      </c>
      <c r="E452" t="str">
        <f>_xlfn.XLOOKUP(TBL_USUARIOS[[#This Row],[ID_MASSA]],tbl_de_massas[id_massa],tbl_de_massas[cartao_fisico_numero],"--",0,1)</f>
        <v>6062 8200 9587 2227</v>
      </c>
      <c r="F452" t="str">
        <f>_xlfn.XLOOKUP(TBL_USUARIOS[[#This Row],[ID_MASSA]],tbl_de_massas[id_massa],tbl_de_massas[nome_completo],"--",0,1)</f>
        <v>Bianca Araujo Pinto</v>
      </c>
      <c r="G452" s="47">
        <f>_xlfn.XLOOKUP(TBL_USUARIOS[[#This Row],[ID_MASSA]],tbl_de_massas[id_massa],tbl_de_massas[saldo_conta],"--",0,1)</f>
        <v>4606.13</v>
      </c>
      <c r="H452" t="str">
        <f>_xlfn.XLOOKUP(TBL_USUARIOS[[#This Row],[ID_MASSA]],tbl_de_massas[id_massa],tbl_de_massas[nome_completo],"--",0,1)</f>
        <v>Bianca Araujo Pinto</v>
      </c>
    </row>
    <row r="453" spans="1:8" x14ac:dyDescent="0.25">
      <c r="A453" s="2" t="s">
        <v>2865</v>
      </c>
      <c r="B453" t="str">
        <f>_xlfn.XLOOKUP(TBL_USUARIOS[[#This Row],[ID_MASSA]],tbl_de_massas[id_massa],tbl_de_massas[cpf],"--",0,1)</f>
        <v>07726989610</v>
      </c>
      <c r="C453" t="s">
        <v>12</v>
      </c>
      <c r="D453" t="str">
        <f>_xlfn.XLOOKUP(TBL_USUARIOS[[#This Row],[ID_MASSA]],tbl_de_massas[id_massa],tbl_de_massas[nome_completo],"--",0,1)</f>
        <v>Isabela Cavalcanti Barros</v>
      </c>
      <c r="E453" t="str">
        <f>_xlfn.XLOOKUP(TBL_USUARIOS[[#This Row],[ID_MASSA]],tbl_de_massas[id_massa],tbl_de_massas[cartao_fisico_numero],"--",0,1)</f>
        <v>4576 7460 1593 7689</v>
      </c>
      <c r="F453" t="str">
        <f>_xlfn.XLOOKUP(TBL_USUARIOS[[#This Row],[ID_MASSA]],tbl_de_massas[id_massa],tbl_de_massas[nome_completo],"--",0,1)</f>
        <v>Isabela Cavalcanti Barros</v>
      </c>
      <c r="G453" s="47">
        <f>_xlfn.XLOOKUP(TBL_USUARIOS[[#This Row],[ID_MASSA]],tbl_de_massas[id_massa],tbl_de_massas[saldo_conta],"--",0,1)</f>
        <v>4618.7299999999996</v>
      </c>
      <c r="H453" t="str">
        <f>_xlfn.XLOOKUP(TBL_USUARIOS[[#This Row],[ID_MASSA]],tbl_de_massas[id_massa],tbl_de_massas[nome_completo],"--",0,1)</f>
        <v>Isabela Cavalcanti Barros</v>
      </c>
    </row>
    <row r="454" spans="1:8" x14ac:dyDescent="0.25">
      <c r="A454" s="2" t="s">
        <v>4518</v>
      </c>
      <c r="B454" t="str">
        <f>_xlfn.XLOOKUP(TBL_USUARIOS[[#This Row],[ID_MASSA]],tbl_de_massas[id_massa],tbl_de_massas[cpf],"--",0,1)</f>
        <v>24275693132</v>
      </c>
      <c r="C454" t="s">
        <v>12</v>
      </c>
      <c r="D454" t="str">
        <f>_xlfn.XLOOKUP(TBL_USUARIOS[[#This Row],[ID_MASSA]],tbl_de_massas[id_massa],tbl_de_massas[nome_completo],"--",0,1)</f>
        <v>Diego Castro</v>
      </c>
      <c r="E454" t="str">
        <f>_xlfn.XLOOKUP(TBL_USUARIOS[[#This Row],[ID_MASSA]],tbl_de_massas[id_massa],tbl_de_massas[cartao_fisico_numero],"--",0,1)</f>
        <v>3782 417199 4678</v>
      </c>
      <c r="F454" t="str">
        <f>_xlfn.XLOOKUP(TBL_USUARIOS[[#This Row],[ID_MASSA]],tbl_de_massas[id_massa],tbl_de_massas[nome_completo],"--",0,1)</f>
        <v>Diego Castro</v>
      </c>
      <c r="G454" s="47">
        <f>_xlfn.XLOOKUP(TBL_USUARIOS[[#This Row],[ID_MASSA]],tbl_de_massas[id_massa],tbl_de_massas[saldo_conta],"--",0,1)</f>
        <v>4645.5</v>
      </c>
      <c r="H454" t="str">
        <f>_xlfn.XLOOKUP(TBL_USUARIOS[[#This Row],[ID_MASSA]],tbl_de_massas[id_massa],tbl_de_massas[nome_completo],"--",0,1)</f>
        <v>Diego Castro</v>
      </c>
    </row>
    <row r="455" spans="1:8" x14ac:dyDescent="0.25">
      <c r="A455" s="2" t="s">
        <v>5458</v>
      </c>
      <c r="B455" t="str">
        <f>_xlfn.XLOOKUP(TBL_USUARIOS[[#This Row],[ID_MASSA]],tbl_de_massas[id_massa],tbl_de_massas[cpf],"--",0,1)</f>
        <v>82671799500</v>
      </c>
      <c r="C455" t="s">
        <v>12</v>
      </c>
      <c r="D455" t="str">
        <f>_xlfn.XLOOKUP(TBL_USUARIOS[[#This Row],[ID_MASSA]],tbl_de_massas[id_massa],tbl_de_massas[nome_completo],"--",0,1)</f>
        <v>Debora Monteiro Fernandes</v>
      </c>
      <c r="E455" t="str">
        <f>_xlfn.XLOOKUP(TBL_USUARIOS[[#This Row],[ID_MASSA]],tbl_de_massas[id_massa],tbl_de_massas[cartao_fisico_numero],"--",0,1)</f>
        <v>6062 8200 2170 0081</v>
      </c>
      <c r="F455" t="str">
        <f>_xlfn.XLOOKUP(TBL_USUARIOS[[#This Row],[ID_MASSA]],tbl_de_massas[id_massa],tbl_de_massas[nome_completo],"--",0,1)</f>
        <v>Debora Monteiro Fernandes</v>
      </c>
      <c r="G455" s="47">
        <f>_xlfn.XLOOKUP(TBL_USUARIOS[[#This Row],[ID_MASSA]],tbl_de_massas[id_massa],tbl_de_massas[saldo_conta],"--",0,1)</f>
        <v>4663.55</v>
      </c>
      <c r="H455" t="str">
        <f>_xlfn.XLOOKUP(TBL_USUARIOS[[#This Row],[ID_MASSA]],tbl_de_massas[id_massa],tbl_de_massas[nome_completo],"--",0,1)</f>
        <v>Debora Monteiro Fernandes</v>
      </c>
    </row>
    <row r="456" spans="1:8" x14ac:dyDescent="0.25">
      <c r="A456" s="2" t="s">
        <v>2153</v>
      </c>
      <c r="B456" s="14" t="str">
        <f>_xlfn.XLOOKUP(TBL_USUARIOS[[#This Row],[ID_MASSA]],tbl_de_massas[id_massa],tbl_de_massas[cpf],"--",0,1)</f>
        <v>26700822386</v>
      </c>
      <c r="C456" t="s">
        <v>12</v>
      </c>
      <c r="D456" t="str">
        <f>_xlfn.XLOOKUP(TBL_USUARIOS[[#This Row],[ID_MASSA]],tbl_de_massas[id_massa],tbl_de_massas[nome_completo],"--",0,1)</f>
        <v>Jean Dupont</v>
      </c>
      <c r="E456" t="str">
        <f>_xlfn.XLOOKUP(TBL_USUARIOS[[#This Row],[ID_MASSA]],tbl_de_massas[id_massa],tbl_de_massas[cartao_fisico_numero],"--",0,1)</f>
        <v>6062 8200 5369 4904</v>
      </c>
      <c r="F456" t="str">
        <f>_xlfn.XLOOKUP(TBL_USUARIOS[[#This Row],[ID_MASSA]],tbl_de_massas[id_massa],tbl_de_massas[nome_completo],"--",0,1)</f>
        <v>Jean Dupont</v>
      </c>
      <c r="G456" s="47">
        <f>_xlfn.XLOOKUP(TBL_USUARIOS[[#This Row],[ID_MASSA]],tbl_de_massas[id_massa],tbl_de_massas[saldo_conta],"--",0,1)</f>
        <v>4678.7</v>
      </c>
      <c r="H456" t="str">
        <f>_xlfn.XLOOKUP(TBL_USUARIOS[[#This Row],[ID_MASSA]],tbl_de_massas[id_massa],tbl_de_massas[nome_completo],"--",0,1)</f>
        <v>Jean Dupont</v>
      </c>
    </row>
    <row r="457" spans="1:8" x14ac:dyDescent="0.25">
      <c r="A457" s="2" t="s">
        <v>3312</v>
      </c>
      <c r="B457" t="str">
        <f>_xlfn.XLOOKUP(TBL_USUARIOS[[#This Row],[ID_MASSA]],tbl_de_massas[id_massa],tbl_de_massas[cpf],"--",0,1)</f>
        <v>72234215846</v>
      </c>
      <c r="C457" t="s">
        <v>12</v>
      </c>
      <c r="D457" t="str">
        <f>_xlfn.XLOOKUP(TBL_USUARIOS[[#This Row],[ID_MASSA]],tbl_de_massas[id_massa],tbl_de_massas[nome_completo],"--",0,1)</f>
        <v>Renato Nunes</v>
      </c>
      <c r="E457" t="str">
        <f>_xlfn.XLOOKUP(TBL_USUARIOS[[#This Row],[ID_MASSA]],tbl_de_massas[id_massa],tbl_de_massas[cartao_fisico_numero],"--",0,1)</f>
        <v>4576 7460 3929 9943</v>
      </c>
      <c r="F457" t="str">
        <f>_xlfn.XLOOKUP(TBL_USUARIOS[[#This Row],[ID_MASSA]],tbl_de_massas[id_massa],tbl_de_massas[nome_completo],"--",0,1)</f>
        <v>Renato Nunes</v>
      </c>
      <c r="G457" s="47">
        <f>_xlfn.XLOOKUP(TBL_USUARIOS[[#This Row],[ID_MASSA]],tbl_de_massas[id_massa],tbl_de_massas[saldo_conta],"--",0,1)</f>
        <v>4681.8100000000004</v>
      </c>
      <c r="H457" t="str">
        <f>_xlfn.XLOOKUP(TBL_USUARIOS[[#This Row],[ID_MASSA]],tbl_de_massas[id_massa],tbl_de_massas[nome_completo],"--",0,1)</f>
        <v>Renato Nunes</v>
      </c>
    </row>
    <row r="458" spans="1:8" x14ac:dyDescent="0.25">
      <c r="A458" s="2" t="s">
        <v>3553</v>
      </c>
      <c r="B458" t="str">
        <f>_xlfn.XLOOKUP(TBL_USUARIOS[[#This Row],[ID_MASSA]],tbl_de_massas[id_massa],tbl_de_massas[cpf],"--",0,1)</f>
        <v>55280087785</v>
      </c>
      <c r="C458" t="s">
        <v>12</v>
      </c>
      <c r="D458" t="str">
        <f>_xlfn.XLOOKUP(TBL_USUARIOS[[#This Row],[ID_MASSA]],tbl_de_massas[id_massa],tbl_de_massas[nome_completo],"--",0,1)</f>
        <v>Lucas Monteiro Martins</v>
      </c>
      <c r="E458" t="str">
        <f>_xlfn.XLOOKUP(TBL_USUARIOS[[#This Row],[ID_MASSA]],tbl_de_massas[id_massa],tbl_de_massas[cartao_fisico_numero],"--",0,1)</f>
        <v/>
      </c>
      <c r="F458" t="str">
        <f>_xlfn.XLOOKUP(TBL_USUARIOS[[#This Row],[ID_MASSA]],tbl_de_massas[id_massa],tbl_de_massas[nome_completo],"--",0,1)</f>
        <v>Lucas Monteiro Martins</v>
      </c>
      <c r="G458" s="47">
        <f>_xlfn.XLOOKUP(TBL_USUARIOS[[#This Row],[ID_MASSA]],tbl_de_massas[id_massa],tbl_de_massas[saldo_conta],"--",0,1)</f>
        <v>4688.37</v>
      </c>
      <c r="H458" t="str">
        <f>_xlfn.XLOOKUP(TBL_USUARIOS[[#This Row],[ID_MASSA]],tbl_de_massas[id_massa],tbl_de_massas[nome_completo],"--",0,1)</f>
        <v>Lucas Monteiro Martins</v>
      </c>
    </row>
    <row r="459" spans="1:8" x14ac:dyDescent="0.25">
      <c r="A459" s="2" t="s">
        <v>3300</v>
      </c>
      <c r="B459" t="str">
        <f>_xlfn.XLOOKUP(TBL_USUARIOS[[#This Row],[ID_MASSA]],tbl_de_massas[id_massa],tbl_de_massas[cpf],"--",0,1)</f>
        <v>57314179700</v>
      </c>
      <c r="C459" t="s">
        <v>12</v>
      </c>
      <c r="D459" t="str">
        <f>_xlfn.XLOOKUP(TBL_USUARIOS[[#This Row],[ID_MASSA]],tbl_de_massas[id_massa],tbl_de_massas[nome_completo],"--",0,1)</f>
        <v>Marcos Dias Santos</v>
      </c>
      <c r="E459" t="str">
        <f>_xlfn.XLOOKUP(TBL_USUARIOS[[#This Row],[ID_MASSA]],tbl_de_massas[id_massa],tbl_de_massas[cartao_fisico_numero],"--",0,1)</f>
        <v/>
      </c>
      <c r="F459" t="str">
        <f>_xlfn.XLOOKUP(TBL_USUARIOS[[#This Row],[ID_MASSA]],tbl_de_massas[id_massa],tbl_de_massas[nome_completo],"--",0,1)</f>
        <v>Marcos Dias Santos</v>
      </c>
      <c r="G459" s="47">
        <f>_xlfn.XLOOKUP(TBL_USUARIOS[[#This Row],[ID_MASSA]],tbl_de_massas[id_massa],tbl_de_massas[saldo_conta],"--",0,1)</f>
        <v>4696.53</v>
      </c>
      <c r="H459" t="str">
        <f>_xlfn.XLOOKUP(TBL_USUARIOS[[#This Row],[ID_MASSA]],tbl_de_massas[id_massa],tbl_de_massas[nome_completo],"--",0,1)</f>
        <v>Marcos Dias Santos</v>
      </c>
    </row>
    <row r="460" spans="1:8" x14ac:dyDescent="0.25">
      <c r="A460" s="2" t="s">
        <v>3617</v>
      </c>
      <c r="B460" t="str">
        <f>_xlfn.XLOOKUP(TBL_USUARIOS[[#This Row],[ID_MASSA]],tbl_de_massas[id_massa],tbl_de_massas[cpf],"--",0,1)</f>
        <v>15586944715</v>
      </c>
      <c r="C460" t="s">
        <v>12</v>
      </c>
      <c r="D460" t="str">
        <f>_xlfn.XLOOKUP(TBL_USUARIOS[[#This Row],[ID_MASSA]],tbl_de_massas[id_massa],tbl_de_massas[nome_completo],"--",0,1)</f>
        <v>Matheus Carvalho Lima</v>
      </c>
      <c r="E460" t="str">
        <f>_xlfn.XLOOKUP(TBL_USUARIOS[[#This Row],[ID_MASSA]],tbl_de_massas[id_massa],tbl_de_massas[cartao_fisico_numero],"--",0,1)</f>
        <v>5442 7460 8062 8331</v>
      </c>
      <c r="F460" t="str">
        <f>_xlfn.XLOOKUP(TBL_USUARIOS[[#This Row],[ID_MASSA]],tbl_de_massas[id_massa],tbl_de_massas[nome_completo],"--",0,1)</f>
        <v>Matheus Carvalho Lima</v>
      </c>
      <c r="G460" s="47">
        <f>_xlfn.XLOOKUP(TBL_USUARIOS[[#This Row],[ID_MASSA]],tbl_de_massas[id_massa],tbl_de_massas[saldo_conta],"--",0,1)</f>
        <v>4708.53</v>
      </c>
      <c r="H460" t="str">
        <f>_xlfn.XLOOKUP(TBL_USUARIOS[[#This Row],[ID_MASSA]],tbl_de_massas[id_massa],tbl_de_massas[nome_completo],"--",0,1)</f>
        <v>Matheus Carvalho Lima</v>
      </c>
    </row>
    <row r="461" spans="1:8" x14ac:dyDescent="0.25">
      <c r="A461" s="2" t="s">
        <v>3072</v>
      </c>
      <c r="B461" t="str">
        <f>_xlfn.XLOOKUP(TBL_USUARIOS[[#This Row],[ID_MASSA]],tbl_de_massas[id_massa],tbl_de_massas[cpf],"--",0,1)</f>
        <v>71935647903</v>
      </c>
      <c r="C461" t="s">
        <v>12</v>
      </c>
      <c r="D461" t="str">
        <f>_xlfn.XLOOKUP(TBL_USUARIOS[[#This Row],[ID_MASSA]],tbl_de_massas[id_massa],tbl_de_massas[nome_completo],"--",0,1)</f>
        <v>Carolina Fernandes</v>
      </c>
      <c r="E461" t="str">
        <f>_xlfn.XLOOKUP(TBL_USUARIOS[[#This Row],[ID_MASSA]],tbl_de_massas[id_massa],tbl_de_massas[cartao_fisico_numero],"--",0,1)</f>
        <v/>
      </c>
      <c r="F461" t="str">
        <f>_xlfn.XLOOKUP(TBL_USUARIOS[[#This Row],[ID_MASSA]],tbl_de_massas[id_massa],tbl_de_massas[nome_completo],"--",0,1)</f>
        <v>Carolina Fernandes</v>
      </c>
      <c r="G461" s="47">
        <f>_xlfn.XLOOKUP(TBL_USUARIOS[[#This Row],[ID_MASSA]],tbl_de_massas[id_massa],tbl_de_massas[saldo_conta],"--",0,1)</f>
        <v>4715.1000000000004</v>
      </c>
      <c r="H461" t="str">
        <f>_xlfn.XLOOKUP(TBL_USUARIOS[[#This Row],[ID_MASSA]],tbl_de_massas[id_massa],tbl_de_massas[nome_completo],"--",0,1)</f>
        <v>Carolina Fernandes</v>
      </c>
    </row>
    <row r="462" spans="1:8" x14ac:dyDescent="0.25">
      <c r="A462" s="2" t="s">
        <v>3727</v>
      </c>
      <c r="B462" t="str">
        <f>_xlfn.XLOOKUP(TBL_USUARIOS[[#This Row],[ID_MASSA]],tbl_de_massas[id_massa],tbl_de_massas[cpf],"--",0,1)</f>
        <v>71873195257</v>
      </c>
      <c r="C462" t="s">
        <v>12</v>
      </c>
      <c r="D462" t="str">
        <f>_xlfn.XLOOKUP(TBL_USUARIOS[[#This Row],[ID_MASSA]],tbl_de_massas[id_massa],tbl_de_massas[nome_completo],"--",0,1)</f>
        <v>Marcelo Martins Pereira</v>
      </c>
      <c r="E462" t="str">
        <f>_xlfn.XLOOKUP(TBL_USUARIOS[[#This Row],[ID_MASSA]],tbl_de_massas[id_massa],tbl_de_massas[cartao_fisico_numero],"--",0,1)</f>
        <v>4576 7460 2668 5155</v>
      </c>
      <c r="F462" t="str">
        <f>_xlfn.XLOOKUP(TBL_USUARIOS[[#This Row],[ID_MASSA]],tbl_de_massas[id_massa],tbl_de_massas[nome_completo],"--",0,1)</f>
        <v>Marcelo Martins Pereira</v>
      </c>
      <c r="G462" s="47">
        <f>_xlfn.XLOOKUP(TBL_USUARIOS[[#This Row],[ID_MASSA]],tbl_de_massas[id_massa],tbl_de_massas[saldo_conta],"--",0,1)</f>
        <v>4774.95</v>
      </c>
      <c r="H462" t="str">
        <f>_xlfn.XLOOKUP(TBL_USUARIOS[[#This Row],[ID_MASSA]],tbl_de_massas[id_massa],tbl_de_massas[nome_completo],"--",0,1)</f>
        <v>Marcelo Martins Pereira</v>
      </c>
    </row>
    <row r="463" spans="1:8" x14ac:dyDescent="0.25">
      <c r="A463" s="2" t="s">
        <v>3581</v>
      </c>
      <c r="B463" t="str">
        <f>_xlfn.XLOOKUP(TBL_USUARIOS[[#This Row],[ID_MASSA]],tbl_de_massas[id_massa],tbl_de_massas[cpf],"--",0,1)</f>
        <v>45682189183</v>
      </c>
      <c r="C463" t="s">
        <v>12</v>
      </c>
      <c r="D463" t="str">
        <f>_xlfn.XLOOKUP(TBL_USUARIOS[[#This Row],[ID_MASSA]],tbl_de_massas[id_massa],tbl_de_massas[nome_completo],"--",0,1)</f>
        <v>Aline Carvalho Araujo</v>
      </c>
      <c r="E463" t="str">
        <f>_xlfn.XLOOKUP(TBL_USUARIOS[[#This Row],[ID_MASSA]],tbl_de_massas[id_massa],tbl_de_massas[cartao_fisico_numero],"--",0,1)</f>
        <v>5442 7460 6411 9801</v>
      </c>
      <c r="F463" t="str">
        <f>_xlfn.XLOOKUP(TBL_USUARIOS[[#This Row],[ID_MASSA]],tbl_de_massas[id_massa],tbl_de_massas[nome_completo],"--",0,1)</f>
        <v>Aline Carvalho Araujo</v>
      </c>
      <c r="G463" s="47">
        <f>_xlfn.XLOOKUP(TBL_USUARIOS[[#This Row],[ID_MASSA]],tbl_de_massas[id_massa],tbl_de_massas[saldo_conta],"--",0,1)</f>
        <v>4779.9399999999996</v>
      </c>
      <c r="H463" t="str">
        <f>_xlfn.XLOOKUP(TBL_USUARIOS[[#This Row],[ID_MASSA]],tbl_de_massas[id_massa],tbl_de_massas[nome_completo],"--",0,1)</f>
        <v>Aline Carvalho Araujo</v>
      </c>
    </row>
    <row r="464" spans="1:8" x14ac:dyDescent="0.25">
      <c r="A464" s="2" t="s">
        <v>3762</v>
      </c>
      <c r="B464" t="str">
        <f>_xlfn.XLOOKUP(TBL_USUARIOS[[#This Row],[ID_MASSA]],tbl_de_massas[id_massa],tbl_de_massas[cpf],"--",0,1)</f>
        <v>24877274979</v>
      </c>
      <c r="C464" t="s">
        <v>12</v>
      </c>
      <c r="D464" t="str">
        <f>_xlfn.XLOOKUP(TBL_USUARIOS[[#This Row],[ID_MASSA]],tbl_de_massas[id_massa],tbl_de_massas[nome_completo],"--",0,1)</f>
        <v>Tatiane Teixeira</v>
      </c>
      <c r="E464" t="str">
        <f>_xlfn.XLOOKUP(TBL_USUARIOS[[#This Row],[ID_MASSA]],tbl_de_massas[id_massa],tbl_de_massas[cartao_fisico_numero],"--",0,1)</f>
        <v>5442 7460 3161 6013</v>
      </c>
      <c r="F464" t="str">
        <f>_xlfn.XLOOKUP(TBL_USUARIOS[[#This Row],[ID_MASSA]],tbl_de_massas[id_massa],tbl_de_massas[nome_completo],"--",0,1)</f>
        <v>Tatiane Teixeira</v>
      </c>
      <c r="G464" s="47">
        <f>_xlfn.XLOOKUP(TBL_USUARIOS[[#This Row],[ID_MASSA]],tbl_de_massas[id_massa],tbl_de_massas[saldo_conta],"--",0,1)</f>
        <v>4832.47</v>
      </c>
      <c r="H464" t="str">
        <f>_xlfn.XLOOKUP(TBL_USUARIOS[[#This Row],[ID_MASSA]],tbl_de_massas[id_massa],tbl_de_massas[nome_completo],"--",0,1)</f>
        <v>Tatiane Teixeira</v>
      </c>
    </row>
    <row r="465" spans="1:8" x14ac:dyDescent="0.25">
      <c r="A465" s="2" t="s">
        <v>4280</v>
      </c>
      <c r="B465" t="str">
        <f>_xlfn.XLOOKUP(TBL_USUARIOS[[#This Row],[ID_MASSA]],tbl_de_massas[id_massa],tbl_de_massas[cpf],"--",0,1)</f>
        <v>13437161873</v>
      </c>
      <c r="C465" t="s">
        <v>12</v>
      </c>
      <c r="D465" t="str">
        <f>_xlfn.XLOOKUP(TBL_USUARIOS[[#This Row],[ID_MASSA]],tbl_de_massas[id_massa],tbl_de_massas[nome_completo],"--",0,1)</f>
        <v>Jessica Barbosa Costa</v>
      </c>
      <c r="E465" t="str">
        <f>_xlfn.XLOOKUP(TBL_USUARIOS[[#This Row],[ID_MASSA]],tbl_de_massas[id_massa],tbl_de_massas[cartao_fisico_numero],"--",0,1)</f>
        <v>3782 211989 7222</v>
      </c>
      <c r="F465" t="str">
        <f>_xlfn.XLOOKUP(TBL_USUARIOS[[#This Row],[ID_MASSA]],tbl_de_massas[id_massa],tbl_de_massas[nome_completo],"--",0,1)</f>
        <v>Jessica Barbosa Costa</v>
      </c>
      <c r="G465" s="47">
        <f>_xlfn.XLOOKUP(TBL_USUARIOS[[#This Row],[ID_MASSA]],tbl_de_massas[id_massa],tbl_de_massas[saldo_conta],"--",0,1)</f>
        <v>4868.1499999999996</v>
      </c>
      <c r="H465" t="str">
        <f>_xlfn.XLOOKUP(TBL_USUARIOS[[#This Row],[ID_MASSA]],tbl_de_massas[id_massa],tbl_de_massas[nome_completo],"--",0,1)</f>
        <v>Jessica Barbosa Costa</v>
      </c>
    </row>
    <row r="466" spans="1:8" x14ac:dyDescent="0.25">
      <c r="A466" s="2" t="s">
        <v>5663</v>
      </c>
      <c r="B466" t="str">
        <f>_xlfn.XLOOKUP(TBL_USUARIOS[[#This Row],[ID_MASSA]],tbl_de_massas[id_massa],tbl_de_massas[cpf],"--",0,1)</f>
        <v>06604021149</v>
      </c>
      <c r="C466" t="s">
        <v>12</v>
      </c>
      <c r="D466" t="str">
        <f>_xlfn.XLOOKUP(TBL_USUARIOS[[#This Row],[ID_MASSA]],tbl_de_massas[id_massa],tbl_de_massas[nome_completo],"--",0,1)</f>
        <v>Giulia Giordano</v>
      </c>
      <c r="E466" t="str">
        <f>_xlfn.XLOOKUP(TBL_USUARIOS[[#This Row],[ID_MASSA]],tbl_de_massas[id_massa],tbl_de_massas[cartao_fisico_numero],"--",0,1)</f>
        <v>6505 0666 9385 0141</v>
      </c>
      <c r="F466" t="str">
        <f>_xlfn.XLOOKUP(TBL_USUARIOS[[#This Row],[ID_MASSA]],tbl_de_massas[id_massa],tbl_de_massas[nome_completo],"--",0,1)</f>
        <v>Giulia Giordano</v>
      </c>
      <c r="G466" s="47">
        <f>_xlfn.XLOOKUP(TBL_USUARIOS[[#This Row],[ID_MASSA]],tbl_de_massas[id_massa],tbl_de_massas[saldo_conta],"--",0,1)</f>
        <v>4887.8</v>
      </c>
      <c r="H466" t="str">
        <f>_xlfn.XLOOKUP(TBL_USUARIOS[[#This Row],[ID_MASSA]],tbl_de_massas[id_massa],tbl_de_massas[nome_completo],"--",0,1)</f>
        <v>Giulia Giordano</v>
      </c>
    </row>
    <row r="467" spans="1:8" x14ac:dyDescent="0.25">
      <c r="A467" s="2" t="s">
        <v>6245</v>
      </c>
      <c r="B467" t="str">
        <f>_xlfn.XLOOKUP(TBL_USUARIOS[[#This Row],[ID_MASSA]],tbl_de_massas[id_massa],tbl_de_massas[cpf],"--",0,1)</f>
        <v>93733388119</v>
      </c>
      <c r="C467" t="s">
        <v>12</v>
      </c>
      <c r="D467" t="str">
        <f>_xlfn.XLOOKUP(TBL_USUARIOS[[#This Row],[ID_MASSA]],tbl_de_massas[id_massa],tbl_de_massas[nome_completo],"--",0,1)</f>
        <v>Henry Martinez</v>
      </c>
      <c r="E467" t="str">
        <f>_xlfn.XLOOKUP(TBL_USUARIOS[[#This Row],[ID_MASSA]],tbl_de_massas[id_massa],tbl_de_massas[cartao_fisico_numero],"--",0,1)</f>
        <v>6505 0666 2084 9039</v>
      </c>
      <c r="F467" t="str">
        <f>_xlfn.XLOOKUP(TBL_USUARIOS[[#This Row],[ID_MASSA]],tbl_de_massas[id_massa],tbl_de_massas[nome_completo],"--",0,1)</f>
        <v>Henry Martinez</v>
      </c>
      <c r="G467" s="47">
        <f>_xlfn.XLOOKUP(TBL_USUARIOS[[#This Row],[ID_MASSA]],tbl_de_massas[id_massa],tbl_de_massas[saldo_conta],"--",0,1)</f>
        <v>4920.67</v>
      </c>
      <c r="H467" t="str">
        <f>_xlfn.XLOOKUP(TBL_USUARIOS[[#This Row],[ID_MASSA]],tbl_de_massas[id_massa],tbl_de_massas[nome_completo],"--",0,1)</f>
        <v>Henry Martinez</v>
      </c>
    </row>
    <row r="468" spans="1:8" x14ac:dyDescent="0.25">
      <c r="A468" s="2" t="s">
        <v>2198</v>
      </c>
      <c r="B468" s="14" t="str">
        <f>_xlfn.XLOOKUP(TBL_USUARIOS[[#This Row],[ID_MASSA]],tbl_de_massas[id_massa],tbl_de_massas[cpf],"--",0,1)</f>
        <v>49335289779</v>
      </c>
      <c r="C468" t="s">
        <v>12</v>
      </c>
      <c r="D468" t="str">
        <f>_xlfn.XLOOKUP(TBL_USUARIOS[[#This Row],[ID_MASSA]],tbl_de_massas[id_massa],tbl_de_massas[nome_completo],"--",0,1)</f>
        <v>Bruno Henrique Alves</v>
      </c>
      <c r="E468" t="str">
        <f>_xlfn.XLOOKUP(TBL_USUARIOS[[#This Row],[ID_MASSA]],tbl_de_massas[id_massa],tbl_de_massas[cartao_fisico_numero],"--",0,1)</f>
        <v>4576 7460 2571 0727</v>
      </c>
      <c r="F468" t="str">
        <f>_xlfn.XLOOKUP(TBL_USUARIOS[[#This Row],[ID_MASSA]],tbl_de_massas[id_massa],tbl_de_massas[nome_completo],"--",0,1)</f>
        <v>Bruno Henrique Alves</v>
      </c>
      <c r="G468" s="47">
        <f>_xlfn.XLOOKUP(TBL_USUARIOS[[#This Row],[ID_MASSA]],tbl_de_massas[id_massa],tbl_de_massas[saldo_conta],"--",0,1)</f>
        <v>4930.3</v>
      </c>
      <c r="H468" t="str">
        <f>_xlfn.XLOOKUP(TBL_USUARIOS[[#This Row],[ID_MASSA]],tbl_de_massas[id_massa],tbl_de_massas[nome_completo],"--",0,1)</f>
        <v>Bruno Henrique Alves</v>
      </c>
    </row>
    <row r="469" spans="1:8" x14ac:dyDescent="0.25">
      <c r="A469" s="2" t="s">
        <v>2326</v>
      </c>
      <c r="B469" s="14" t="str">
        <f>_xlfn.XLOOKUP(TBL_USUARIOS[[#This Row],[ID_MASSA]],tbl_de_massas[id_massa],tbl_de_massas[cpf],"--",0,1)</f>
        <v>12902848900</v>
      </c>
      <c r="C469" t="s">
        <v>12</v>
      </c>
      <c r="D469" t="str">
        <f>_xlfn.XLOOKUP(TBL_USUARIOS[[#This Row],[ID_MASSA]],tbl_de_massas[id_massa],tbl_de_massas[nome_completo],"--",0,1)</f>
        <v>Mariana Costa Silva</v>
      </c>
      <c r="E469" t="str">
        <f>_xlfn.XLOOKUP(TBL_USUARIOS[[#This Row],[ID_MASSA]],tbl_de_massas[id_massa],tbl_de_massas[cartao_fisico_numero],"--",0,1)</f>
        <v>4576 7460 6419 0687</v>
      </c>
      <c r="F469" t="str">
        <f>_xlfn.XLOOKUP(TBL_USUARIOS[[#This Row],[ID_MASSA]],tbl_de_massas[id_massa],tbl_de_massas[nome_completo],"--",0,1)</f>
        <v>Mariana Costa Silva</v>
      </c>
      <c r="G469" s="47">
        <f>_xlfn.XLOOKUP(TBL_USUARIOS[[#This Row],[ID_MASSA]],tbl_de_massas[id_massa],tbl_de_massas[saldo_conta],"--",0,1)</f>
        <v>4954.18</v>
      </c>
      <c r="H469" t="str">
        <f>_xlfn.XLOOKUP(TBL_USUARIOS[[#This Row],[ID_MASSA]],tbl_de_massas[id_massa],tbl_de_massas[nome_completo],"--",0,1)</f>
        <v>Mariana Costa Silva</v>
      </c>
    </row>
    <row r="470" spans="1:8" x14ac:dyDescent="0.25">
      <c r="A470" s="2" t="s">
        <v>3949</v>
      </c>
      <c r="B470" t="str">
        <f>_xlfn.XLOOKUP(TBL_USUARIOS[[#This Row],[ID_MASSA]],tbl_de_massas[id_massa],tbl_de_massas[cpf],"--",0,1)</f>
        <v>12548559980</v>
      </c>
      <c r="C470" t="s">
        <v>12</v>
      </c>
      <c r="D470" t="str">
        <f>_xlfn.XLOOKUP(TBL_USUARIOS[[#This Row],[ID_MASSA]],tbl_de_massas[id_massa],tbl_de_massas[nome_completo],"--",0,1)</f>
        <v>Gabriela Araujo Costa</v>
      </c>
      <c r="E470" t="str">
        <f>_xlfn.XLOOKUP(TBL_USUARIOS[[#This Row],[ID_MASSA]],tbl_de_massas[id_massa],tbl_de_massas[cartao_fisico_numero],"--",0,1)</f>
        <v/>
      </c>
      <c r="F470" t="str">
        <f>_xlfn.XLOOKUP(TBL_USUARIOS[[#This Row],[ID_MASSA]],tbl_de_massas[id_massa],tbl_de_massas[nome_completo],"--",0,1)</f>
        <v>Gabriela Araujo Costa</v>
      </c>
      <c r="G470" s="47">
        <f>_xlfn.XLOOKUP(TBL_USUARIOS[[#This Row],[ID_MASSA]],tbl_de_massas[id_massa],tbl_de_massas[saldo_conta],"--",0,1)</f>
        <v>4992.45</v>
      </c>
      <c r="H470" t="str">
        <f>_xlfn.XLOOKUP(TBL_USUARIOS[[#This Row],[ID_MASSA]],tbl_de_massas[id_massa],tbl_de_massas[nome_completo],"--",0,1)</f>
        <v>Gabriela Araujo Costa</v>
      </c>
    </row>
    <row r="471" spans="1:8" x14ac:dyDescent="0.25">
      <c r="A471" s="2" t="s">
        <v>5994</v>
      </c>
      <c r="B471" t="str">
        <f>_xlfn.XLOOKUP(TBL_USUARIOS[[#This Row],[ID_MASSA]],tbl_de_massas[id_massa],tbl_de_massas[cpf],"--",0,1)</f>
        <v>32093879824</v>
      </c>
      <c r="C471" t="s">
        <v>12</v>
      </c>
      <c r="D471" t="str">
        <f>_xlfn.XLOOKUP(TBL_USUARIOS[[#This Row],[ID_MASSA]],tbl_de_massas[id_massa],tbl_de_massas[nome_completo],"--",0,1)</f>
        <v>Leandro Rodrigues Gomes</v>
      </c>
      <c r="E471" t="str">
        <f>_xlfn.XLOOKUP(TBL_USUARIOS[[#This Row],[ID_MASSA]],tbl_de_massas[id_massa],tbl_de_massas[cartao_fisico_numero],"--",0,1)</f>
        <v>3782 516207 2372</v>
      </c>
      <c r="F471" t="str">
        <f>_xlfn.XLOOKUP(TBL_USUARIOS[[#This Row],[ID_MASSA]],tbl_de_massas[id_massa],tbl_de_massas[nome_completo],"--",0,1)</f>
        <v>Leandro Rodrigues Gomes</v>
      </c>
      <c r="G471" s="47">
        <f>_xlfn.XLOOKUP(TBL_USUARIOS[[#This Row],[ID_MASSA]],tbl_de_massas[id_massa],tbl_de_massas[saldo_conta],"--",0,1)</f>
        <v>5003.21</v>
      </c>
      <c r="H471" t="str">
        <f>_xlfn.XLOOKUP(TBL_USUARIOS[[#This Row],[ID_MASSA]],tbl_de_massas[id_massa],tbl_de_massas[nome_completo],"--",0,1)</f>
        <v>Leandro Rodrigues Gomes</v>
      </c>
    </row>
    <row r="472" spans="1:8" x14ac:dyDescent="0.25">
      <c r="A472" s="2" t="s">
        <v>2132</v>
      </c>
      <c r="B472" s="14" t="str">
        <f>_xlfn.XLOOKUP(TBL_USUARIOS[[#This Row],[ID_MASSA]],tbl_de_massas[id_massa],tbl_de_massas[cpf],"--",0,1)</f>
        <v>93544490340</v>
      </c>
      <c r="C472" t="s">
        <v>12</v>
      </c>
      <c r="D472" t="str">
        <f>_xlfn.XLOOKUP(TBL_USUARIOS[[#This Row],[ID_MASSA]],tbl_de_massas[id_massa],tbl_de_massas[nome_completo],"--",0,1)</f>
        <v>Haewon Jung</v>
      </c>
      <c r="E472" t="str">
        <f>_xlfn.XLOOKUP(TBL_USUARIOS[[#This Row],[ID_MASSA]],tbl_de_massas[id_massa],tbl_de_massas[cartao_fisico_numero],"--",0,1)</f>
        <v>6505 0666 1667 2851</v>
      </c>
      <c r="F472" t="str">
        <f>_xlfn.XLOOKUP(TBL_USUARIOS[[#This Row],[ID_MASSA]],tbl_de_massas[id_massa],tbl_de_massas[nome_completo],"--",0,1)</f>
        <v>Haewon Jung</v>
      </c>
      <c r="G472" s="47">
        <f>_xlfn.XLOOKUP(TBL_USUARIOS[[#This Row],[ID_MASSA]],tbl_de_massas[id_massa],tbl_de_massas[saldo_conta],"--",0,1)</f>
        <v>5011.09</v>
      </c>
      <c r="H472" t="str">
        <f>_xlfn.XLOOKUP(TBL_USUARIOS[[#This Row],[ID_MASSA]],tbl_de_massas[id_massa],tbl_de_massas[nome_completo],"--",0,1)</f>
        <v>Haewon Jung</v>
      </c>
    </row>
    <row r="473" spans="1:8" x14ac:dyDescent="0.25">
      <c r="A473" s="2" t="s">
        <v>2886</v>
      </c>
      <c r="B473" t="str">
        <f>_xlfn.XLOOKUP(TBL_USUARIOS[[#This Row],[ID_MASSA]],tbl_de_massas[id_massa],tbl_de_massas[cpf],"--",0,1)</f>
        <v>34502353035</v>
      </c>
      <c r="C473" t="s">
        <v>12</v>
      </c>
      <c r="D473" t="str">
        <f>_xlfn.XLOOKUP(TBL_USUARIOS[[#This Row],[ID_MASSA]],tbl_de_massas[id_massa],tbl_de_massas[nome_completo],"--",0,1)</f>
        <v>Vivian Araujo</v>
      </c>
      <c r="E473" t="str">
        <f>_xlfn.XLOOKUP(TBL_USUARIOS[[#This Row],[ID_MASSA]],tbl_de_massas[id_massa],tbl_de_massas[cartao_fisico_numero],"--",0,1)</f>
        <v/>
      </c>
      <c r="F473" t="str">
        <f>_xlfn.XLOOKUP(TBL_USUARIOS[[#This Row],[ID_MASSA]],tbl_de_massas[id_massa],tbl_de_massas[nome_completo],"--",0,1)</f>
        <v>Vivian Araujo</v>
      </c>
      <c r="G473" s="47">
        <f>_xlfn.XLOOKUP(TBL_USUARIOS[[#This Row],[ID_MASSA]],tbl_de_massas[id_massa],tbl_de_massas[saldo_conta],"--",0,1)</f>
        <v>5018.01</v>
      </c>
      <c r="H473" t="str">
        <f>_xlfn.XLOOKUP(TBL_USUARIOS[[#This Row],[ID_MASSA]],tbl_de_massas[id_massa],tbl_de_massas[nome_completo],"--",0,1)</f>
        <v>Vivian Araujo</v>
      </c>
    </row>
    <row r="474" spans="1:8" x14ac:dyDescent="0.25">
      <c r="A474" s="2" t="s">
        <v>4614</v>
      </c>
      <c r="B474" t="str">
        <f>_xlfn.XLOOKUP(TBL_USUARIOS[[#This Row],[ID_MASSA]],tbl_de_massas[id_massa],tbl_de_massas[cpf],"--",0,1)</f>
        <v>98787625644</v>
      </c>
      <c r="C474" t="s">
        <v>12</v>
      </c>
      <c r="D474" t="str">
        <f>_xlfn.XLOOKUP(TBL_USUARIOS[[#This Row],[ID_MASSA]],tbl_de_massas[id_massa],tbl_de_massas[nome_completo],"--",0,1)</f>
        <v>Vinicius Castro</v>
      </c>
      <c r="E474" t="str">
        <f>_xlfn.XLOOKUP(TBL_USUARIOS[[#This Row],[ID_MASSA]],tbl_de_massas[id_massa],tbl_de_massas[cartao_fisico_numero],"--",0,1)</f>
        <v/>
      </c>
      <c r="F474" t="str">
        <f>_xlfn.XLOOKUP(TBL_USUARIOS[[#This Row],[ID_MASSA]],tbl_de_massas[id_massa],tbl_de_massas[nome_completo],"--",0,1)</f>
        <v>Vinicius Castro</v>
      </c>
      <c r="G474" s="47">
        <f>_xlfn.XLOOKUP(TBL_USUARIOS[[#This Row],[ID_MASSA]],tbl_de_massas[id_massa],tbl_de_massas[saldo_conta],"--",0,1)</f>
        <v>5024.97</v>
      </c>
      <c r="H474" t="str">
        <f>_xlfn.XLOOKUP(TBL_USUARIOS[[#This Row],[ID_MASSA]],tbl_de_massas[id_massa],tbl_de_massas[nome_completo],"--",0,1)</f>
        <v>Vinicius Castro</v>
      </c>
    </row>
    <row r="475" spans="1:8" x14ac:dyDescent="0.25">
      <c r="A475" s="2" t="s">
        <v>3304</v>
      </c>
      <c r="B475" t="str">
        <f>_xlfn.XLOOKUP(TBL_USUARIOS[[#This Row],[ID_MASSA]],tbl_de_massas[id_massa],tbl_de_massas[cpf],"--",0,1)</f>
        <v>18923147206</v>
      </c>
      <c r="C475" t="s">
        <v>12</v>
      </c>
      <c r="D475" t="str">
        <f>_xlfn.XLOOKUP(TBL_USUARIOS[[#This Row],[ID_MASSA]],tbl_de_massas[id_massa],tbl_de_massas[nome_completo],"--",0,1)</f>
        <v>Diego Oliveira</v>
      </c>
      <c r="E475" t="str">
        <f>_xlfn.XLOOKUP(TBL_USUARIOS[[#This Row],[ID_MASSA]],tbl_de_massas[id_massa],tbl_de_massas[cartao_fisico_numero],"--",0,1)</f>
        <v>3782 593763 2052</v>
      </c>
      <c r="F475" t="str">
        <f>_xlfn.XLOOKUP(TBL_USUARIOS[[#This Row],[ID_MASSA]],tbl_de_massas[id_massa],tbl_de_massas[nome_completo],"--",0,1)</f>
        <v>Diego Oliveira</v>
      </c>
      <c r="G475" s="47">
        <f>_xlfn.XLOOKUP(TBL_USUARIOS[[#This Row],[ID_MASSA]],tbl_de_massas[id_massa],tbl_de_massas[saldo_conta],"--",0,1)</f>
        <v>5034.53</v>
      </c>
      <c r="H475" t="str">
        <f>_xlfn.XLOOKUP(TBL_USUARIOS[[#This Row],[ID_MASSA]],tbl_de_massas[id_massa],tbl_de_massas[nome_completo],"--",0,1)</f>
        <v>Diego Oliveira</v>
      </c>
    </row>
    <row r="476" spans="1:8" x14ac:dyDescent="0.25">
      <c r="A476" s="2" t="s">
        <v>6037</v>
      </c>
      <c r="B476" t="str">
        <f>_xlfn.XLOOKUP(TBL_USUARIOS[[#This Row],[ID_MASSA]],tbl_de_massas[id_massa],tbl_de_massas[cpf],"--",0,1)</f>
        <v>17909345240</v>
      </c>
      <c r="C476" t="s">
        <v>12</v>
      </c>
      <c r="D476" t="str">
        <f>_xlfn.XLOOKUP(TBL_USUARIOS[[#This Row],[ID_MASSA]],tbl_de_massas[id_massa],tbl_de_massas[nome_completo],"--",0,1)</f>
        <v>Fabio Nunes Moura</v>
      </c>
      <c r="E476" t="str">
        <f>_xlfn.XLOOKUP(TBL_USUARIOS[[#This Row],[ID_MASSA]],tbl_de_massas[id_massa],tbl_de_massas[cartao_fisico_numero],"--",0,1)</f>
        <v/>
      </c>
      <c r="F476" t="str">
        <f>_xlfn.XLOOKUP(TBL_USUARIOS[[#This Row],[ID_MASSA]],tbl_de_massas[id_massa],tbl_de_massas[nome_completo],"--",0,1)</f>
        <v>Fabio Nunes Moura</v>
      </c>
      <c r="G476" s="47">
        <f>_xlfn.XLOOKUP(TBL_USUARIOS[[#This Row],[ID_MASSA]],tbl_de_massas[id_massa],tbl_de_massas[saldo_conta],"--",0,1)</f>
        <v>5044.41</v>
      </c>
      <c r="H476" t="str">
        <f>_xlfn.XLOOKUP(TBL_USUARIOS[[#This Row],[ID_MASSA]],tbl_de_massas[id_massa],tbl_de_massas[nome_completo],"--",0,1)</f>
        <v>Fabio Nunes Moura</v>
      </c>
    </row>
    <row r="477" spans="1:8" x14ac:dyDescent="0.25">
      <c r="A477" s="2" t="s">
        <v>4998</v>
      </c>
      <c r="B477" t="str">
        <f>_xlfn.XLOOKUP(TBL_USUARIOS[[#This Row],[ID_MASSA]],tbl_de_massas[id_massa],tbl_de_massas[cpf],"--",0,1)</f>
        <v>11648499805</v>
      </c>
      <c r="C477" t="s">
        <v>12</v>
      </c>
      <c r="D477" t="str">
        <f>_xlfn.XLOOKUP(TBL_USUARIOS[[#This Row],[ID_MASSA]],tbl_de_massas[id_massa],tbl_de_massas[nome_completo],"--",0,1)</f>
        <v>Carolina Pinto Campos</v>
      </c>
      <c r="E477" t="str">
        <f>_xlfn.XLOOKUP(TBL_USUARIOS[[#This Row],[ID_MASSA]],tbl_de_massas[id_massa],tbl_de_massas[cartao_fisico_numero],"--",0,1)</f>
        <v>6505 0666 5593 4970</v>
      </c>
      <c r="F477" t="str">
        <f>_xlfn.XLOOKUP(TBL_USUARIOS[[#This Row],[ID_MASSA]],tbl_de_massas[id_massa],tbl_de_massas[nome_completo],"--",0,1)</f>
        <v>Carolina Pinto Campos</v>
      </c>
      <c r="G477" s="47">
        <f>_xlfn.XLOOKUP(TBL_USUARIOS[[#This Row],[ID_MASSA]],tbl_de_massas[id_massa],tbl_de_massas[saldo_conta],"--",0,1)</f>
        <v>5069.71</v>
      </c>
      <c r="H477" t="str">
        <f>_xlfn.XLOOKUP(TBL_USUARIOS[[#This Row],[ID_MASSA]],tbl_de_massas[id_massa],tbl_de_massas[nome_completo],"--",0,1)</f>
        <v>Carolina Pinto Campos</v>
      </c>
    </row>
    <row r="478" spans="1:8" x14ac:dyDescent="0.25">
      <c r="A478" s="2" t="s">
        <v>5308</v>
      </c>
      <c r="B478" t="str">
        <f>_xlfn.XLOOKUP(TBL_USUARIOS[[#This Row],[ID_MASSA]],tbl_de_massas[id_massa],tbl_de_massas[cpf],"--",0,1)</f>
        <v>32665896885</v>
      </c>
      <c r="C478" t="s">
        <v>12</v>
      </c>
      <c r="D478" t="str">
        <f>_xlfn.XLOOKUP(TBL_USUARIOS[[#This Row],[ID_MASSA]],tbl_de_massas[id_massa],tbl_de_massas[nome_completo],"--",0,1)</f>
        <v>Jessica Almeida Lima</v>
      </c>
      <c r="E478" t="str">
        <f>_xlfn.XLOOKUP(TBL_USUARIOS[[#This Row],[ID_MASSA]],tbl_de_massas[id_massa],tbl_de_massas[cartao_fisico_numero],"--",0,1)</f>
        <v/>
      </c>
      <c r="F478" t="str">
        <f>_xlfn.XLOOKUP(TBL_USUARIOS[[#This Row],[ID_MASSA]],tbl_de_massas[id_massa],tbl_de_massas[nome_completo],"--",0,1)</f>
        <v>Jessica Almeida Lima</v>
      </c>
      <c r="G478" s="47">
        <f>_xlfn.XLOOKUP(TBL_USUARIOS[[#This Row],[ID_MASSA]],tbl_de_massas[id_massa],tbl_de_massas[saldo_conta],"--",0,1)</f>
        <v>5088.1099999999997</v>
      </c>
      <c r="H478" t="str">
        <f>_xlfn.XLOOKUP(TBL_USUARIOS[[#This Row],[ID_MASSA]],tbl_de_massas[id_massa],tbl_de_massas[nome_completo],"--",0,1)</f>
        <v>Jessica Almeida Lima</v>
      </c>
    </row>
    <row r="479" spans="1:8" x14ac:dyDescent="0.25">
      <c r="A479" s="2" t="s">
        <v>3404</v>
      </c>
      <c r="B479" t="str">
        <f>_xlfn.XLOOKUP(TBL_USUARIOS[[#This Row],[ID_MASSA]],tbl_de_massas[id_massa],tbl_de_massas[cpf],"--",0,1)</f>
        <v>31320895166</v>
      </c>
      <c r="C479" t="s">
        <v>12</v>
      </c>
      <c r="D479" t="str">
        <f>_xlfn.XLOOKUP(TBL_USUARIOS[[#This Row],[ID_MASSA]],tbl_de_massas[id_massa],tbl_de_massas[nome_completo],"--",0,1)</f>
        <v>Isabela Mendes</v>
      </c>
      <c r="E479" t="str">
        <f>_xlfn.XLOOKUP(TBL_USUARIOS[[#This Row],[ID_MASSA]],tbl_de_massas[id_massa],tbl_de_massas[cartao_fisico_numero],"--",0,1)</f>
        <v>6062 8200 3243 2731</v>
      </c>
      <c r="F479" t="str">
        <f>_xlfn.XLOOKUP(TBL_USUARIOS[[#This Row],[ID_MASSA]],tbl_de_massas[id_massa],tbl_de_massas[nome_completo],"--",0,1)</f>
        <v>Isabela Mendes</v>
      </c>
      <c r="G479" s="47">
        <f>_xlfn.XLOOKUP(TBL_USUARIOS[[#This Row],[ID_MASSA]],tbl_de_massas[id_massa],tbl_de_massas[saldo_conta],"--",0,1)</f>
        <v>5089.0200000000004</v>
      </c>
      <c r="H479" t="str">
        <f>_xlfn.XLOOKUP(TBL_USUARIOS[[#This Row],[ID_MASSA]],tbl_de_massas[id_massa],tbl_de_massas[nome_completo],"--",0,1)</f>
        <v>Isabela Mendes</v>
      </c>
    </row>
    <row r="480" spans="1:8" x14ac:dyDescent="0.25">
      <c r="A480" s="2" t="s">
        <v>3434</v>
      </c>
      <c r="B480" t="str">
        <f>_xlfn.XLOOKUP(TBL_USUARIOS[[#This Row],[ID_MASSA]],tbl_de_massas[id_massa],tbl_de_massas[cpf],"--",0,1)</f>
        <v>21477973400</v>
      </c>
      <c r="C480" t="s">
        <v>12</v>
      </c>
      <c r="D480" t="str">
        <f>_xlfn.XLOOKUP(TBL_USUARIOS[[#This Row],[ID_MASSA]],tbl_de_massas[id_massa],tbl_de_massas[nome_completo],"--",0,1)</f>
        <v>Juliana Alves Silva</v>
      </c>
      <c r="E480" t="str">
        <f>_xlfn.XLOOKUP(TBL_USUARIOS[[#This Row],[ID_MASSA]],tbl_de_massas[id_massa],tbl_de_massas[cartao_fisico_numero],"--",0,1)</f>
        <v>5442 7460 7525 7591</v>
      </c>
      <c r="F480" t="str">
        <f>_xlfn.XLOOKUP(TBL_USUARIOS[[#This Row],[ID_MASSA]],tbl_de_massas[id_massa],tbl_de_massas[nome_completo],"--",0,1)</f>
        <v>Juliana Alves Silva</v>
      </c>
      <c r="G480" s="47">
        <f>_xlfn.XLOOKUP(TBL_USUARIOS[[#This Row],[ID_MASSA]],tbl_de_massas[id_massa],tbl_de_massas[saldo_conta],"--",0,1)</f>
        <v>5098.34</v>
      </c>
      <c r="H480" t="str">
        <f>_xlfn.XLOOKUP(TBL_USUARIOS[[#This Row],[ID_MASSA]],tbl_de_massas[id_massa],tbl_de_massas[nome_completo],"--",0,1)</f>
        <v>Juliana Alves Silva</v>
      </c>
    </row>
    <row r="481" spans="1:8" x14ac:dyDescent="0.25">
      <c r="A481" s="2" t="s">
        <v>5839</v>
      </c>
      <c r="B481" t="str">
        <f>_xlfn.XLOOKUP(TBL_USUARIOS[[#This Row],[ID_MASSA]],tbl_de_massas[id_massa],tbl_de_massas[cpf],"--",0,1)</f>
        <v>15732277811</v>
      </c>
      <c r="C481" t="s">
        <v>12</v>
      </c>
      <c r="D481" t="str">
        <f>_xlfn.XLOOKUP(TBL_USUARIOS[[#This Row],[ID_MASSA]],tbl_de_massas[id_massa],tbl_de_massas[nome_completo],"--",0,1)</f>
        <v>Carolina Teixeira</v>
      </c>
      <c r="E481" t="str">
        <f>_xlfn.XLOOKUP(TBL_USUARIOS[[#This Row],[ID_MASSA]],tbl_de_massas[id_massa],tbl_de_massas[cartao_fisico_numero],"--",0,1)</f>
        <v>6505 0666 7106 3226</v>
      </c>
      <c r="F481" t="str">
        <f>_xlfn.XLOOKUP(TBL_USUARIOS[[#This Row],[ID_MASSA]],tbl_de_massas[id_massa],tbl_de_massas[nome_completo],"--",0,1)</f>
        <v>Carolina Teixeira</v>
      </c>
      <c r="G481" s="47">
        <f>_xlfn.XLOOKUP(TBL_USUARIOS[[#This Row],[ID_MASSA]],tbl_de_massas[id_massa],tbl_de_massas[saldo_conta],"--",0,1)</f>
        <v>5115.07</v>
      </c>
      <c r="H481" t="str">
        <f>_xlfn.XLOOKUP(TBL_USUARIOS[[#This Row],[ID_MASSA]],tbl_de_massas[id_massa],tbl_de_massas[nome_completo],"--",0,1)</f>
        <v>Carolina Teixeira</v>
      </c>
    </row>
    <row r="482" spans="1:8" x14ac:dyDescent="0.25">
      <c r="A482" s="2" t="s">
        <v>3731</v>
      </c>
      <c r="B482" t="str">
        <f>_xlfn.XLOOKUP(TBL_USUARIOS[[#This Row],[ID_MASSA]],tbl_de_massas[id_massa],tbl_de_massas[cpf],"--",0,1)</f>
        <v>21341008851</v>
      </c>
      <c r="C482" t="s">
        <v>12</v>
      </c>
      <c r="D482" t="str">
        <f>_xlfn.XLOOKUP(TBL_USUARIOS[[#This Row],[ID_MASSA]],tbl_de_massas[id_massa],tbl_de_massas[nome_completo],"--",0,1)</f>
        <v>Fabio Costa Lima</v>
      </c>
      <c r="E482" t="str">
        <f>_xlfn.XLOOKUP(TBL_USUARIOS[[#This Row],[ID_MASSA]],tbl_de_massas[id_massa],tbl_de_massas[cartao_fisico_numero],"--",0,1)</f>
        <v>3782 359171 0681</v>
      </c>
      <c r="F482" t="str">
        <f>_xlfn.XLOOKUP(TBL_USUARIOS[[#This Row],[ID_MASSA]],tbl_de_massas[id_massa],tbl_de_massas[nome_completo],"--",0,1)</f>
        <v>Fabio Costa Lima</v>
      </c>
      <c r="G482" s="47">
        <f>_xlfn.XLOOKUP(TBL_USUARIOS[[#This Row],[ID_MASSA]],tbl_de_massas[id_massa],tbl_de_massas[saldo_conta],"--",0,1)</f>
        <v>5118.99</v>
      </c>
      <c r="H482" t="str">
        <f>_xlfn.XLOOKUP(TBL_USUARIOS[[#This Row],[ID_MASSA]],tbl_de_massas[id_massa],tbl_de_massas[nome_completo],"--",0,1)</f>
        <v>Fabio Costa Lima</v>
      </c>
    </row>
    <row r="483" spans="1:8" x14ac:dyDescent="0.25">
      <c r="A483" s="2" t="s">
        <v>2927</v>
      </c>
      <c r="B483" t="str">
        <f>_xlfn.XLOOKUP(TBL_USUARIOS[[#This Row],[ID_MASSA]],tbl_de_massas[id_massa],tbl_de_massas[cpf],"--",0,1)</f>
        <v>78850992700</v>
      </c>
      <c r="C483" t="s">
        <v>12</v>
      </c>
      <c r="D483" t="str">
        <f>_xlfn.XLOOKUP(TBL_USUARIOS[[#This Row],[ID_MASSA]],tbl_de_massas[id_massa],tbl_de_massas[nome_completo],"--",0,1)</f>
        <v>Renata Cardoso Moreira</v>
      </c>
      <c r="E483" t="str">
        <f>_xlfn.XLOOKUP(TBL_USUARIOS[[#This Row],[ID_MASSA]],tbl_de_massas[id_massa],tbl_de_massas[cartao_fisico_numero],"--",0,1)</f>
        <v>5442 7460 3279 3706</v>
      </c>
      <c r="F483" t="str">
        <f>_xlfn.XLOOKUP(TBL_USUARIOS[[#This Row],[ID_MASSA]],tbl_de_massas[id_massa],tbl_de_massas[nome_completo],"--",0,1)</f>
        <v>Renata Cardoso Moreira</v>
      </c>
      <c r="G483" s="47">
        <f>_xlfn.XLOOKUP(TBL_USUARIOS[[#This Row],[ID_MASSA]],tbl_de_massas[id_massa],tbl_de_massas[saldo_conta],"--",0,1)</f>
        <v>4878.1899999999996</v>
      </c>
      <c r="H483" t="str">
        <f>_xlfn.XLOOKUP(TBL_USUARIOS[[#This Row],[ID_MASSA]],tbl_de_massas[id_massa],tbl_de_massas[nome_completo],"--",0,1)</f>
        <v>Renata Cardoso Moreira</v>
      </c>
    </row>
    <row r="484" spans="1:8" x14ac:dyDescent="0.25">
      <c r="A484" s="2" t="s">
        <v>2529</v>
      </c>
      <c r="B484" s="14" t="str">
        <f>_xlfn.XLOOKUP(TBL_USUARIOS[[#This Row],[ID_MASSA]],tbl_de_massas[id_massa],tbl_de_massas[cpf],"--",0,1)</f>
        <v>93573495370</v>
      </c>
      <c r="C484" t="s">
        <v>12</v>
      </c>
      <c r="D484" t="str">
        <f>_xlfn.XLOOKUP(TBL_USUARIOS[[#This Row],[ID_MASSA]],tbl_de_massas[id_massa],tbl_de_massas[nome_completo],"--",0,1)</f>
        <v>Sofia Esposito</v>
      </c>
      <c r="E484" t="str">
        <f>_xlfn.XLOOKUP(TBL_USUARIOS[[#This Row],[ID_MASSA]],tbl_de_massas[id_massa],tbl_de_massas[cartao_fisico_numero],"--",0,1)</f>
        <v>6505 0666 3012 1270</v>
      </c>
      <c r="F484" t="str">
        <f>_xlfn.XLOOKUP(TBL_USUARIOS[[#This Row],[ID_MASSA]],tbl_de_massas[id_massa],tbl_de_massas[nome_completo],"--",0,1)</f>
        <v>Sofia Esposito</v>
      </c>
      <c r="G484" s="47">
        <f>_xlfn.XLOOKUP(TBL_USUARIOS[[#This Row],[ID_MASSA]],tbl_de_massas[id_massa],tbl_de_massas[saldo_conta],"--",0,1)</f>
        <v>5179.29</v>
      </c>
      <c r="H484" t="str">
        <f>_xlfn.XLOOKUP(TBL_USUARIOS[[#This Row],[ID_MASSA]],tbl_de_massas[id_massa],tbl_de_massas[nome_completo],"--",0,1)</f>
        <v>Sofia Esposito</v>
      </c>
    </row>
    <row r="485" spans="1:8" x14ac:dyDescent="0.25">
      <c r="A485" s="2" t="s">
        <v>5672</v>
      </c>
      <c r="B485" t="str">
        <f>_xlfn.XLOOKUP(TBL_USUARIOS[[#This Row],[ID_MASSA]],tbl_de_massas[id_massa],tbl_de_massas[cpf],"--",0,1)</f>
        <v>35130534441</v>
      </c>
      <c r="C485" t="s">
        <v>12</v>
      </c>
      <c r="D485" t="str">
        <f>_xlfn.XLOOKUP(TBL_USUARIOS[[#This Row],[ID_MASSA]],tbl_de_massas[id_massa],tbl_de_massas[nome_completo],"--",0,1)</f>
        <v>Alexandre Vieira Borges</v>
      </c>
      <c r="E485" t="str">
        <f>_xlfn.XLOOKUP(TBL_USUARIOS[[#This Row],[ID_MASSA]],tbl_de_massas[id_massa],tbl_de_massas[cartao_fisico_numero],"--",0,1)</f>
        <v/>
      </c>
      <c r="F485" t="str">
        <f>_xlfn.XLOOKUP(TBL_USUARIOS[[#This Row],[ID_MASSA]],tbl_de_massas[id_massa],tbl_de_massas[nome_completo],"--",0,1)</f>
        <v>Alexandre Vieira Borges</v>
      </c>
      <c r="G485" s="47">
        <f>_xlfn.XLOOKUP(TBL_USUARIOS[[#This Row],[ID_MASSA]],tbl_de_massas[id_massa],tbl_de_massas[saldo_conta],"--",0,1)</f>
        <v>5186.5</v>
      </c>
      <c r="H485" t="str">
        <f>_xlfn.XLOOKUP(TBL_USUARIOS[[#This Row],[ID_MASSA]],tbl_de_massas[id_massa],tbl_de_massas[nome_completo],"--",0,1)</f>
        <v>Alexandre Vieira Borges</v>
      </c>
    </row>
    <row r="486" spans="1:8" x14ac:dyDescent="0.25">
      <c r="A486" s="2" t="s">
        <v>2212</v>
      </c>
      <c r="B486" s="14" t="str">
        <f>_xlfn.XLOOKUP(TBL_USUARIOS[[#This Row],[ID_MASSA]],tbl_de_massas[id_massa],tbl_de_massas[cpf],"--",0,1)</f>
        <v>07798679553</v>
      </c>
      <c r="C486" t="s">
        <v>12</v>
      </c>
      <c r="D486" t="str">
        <f>_xlfn.XLOOKUP(TBL_USUARIOS[[#This Row],[ID_MASSA]],tbl_de_massas[id_massa],tbl_de_massas[nome_completo],"--",0,1)</f>
        <v>Camila Lopez</v>
      </c>
      <c r="E486" t="str">
        <f>_xlfn.XLOOKUP(TBL_USUARIOS[[#This Row],[ID_MASSA]],tbl_de_massas[id_massa],tbl_de_massas[cartao_fisico_numero],"--",0,1)</f>
        <v>6062 8200 4799 3000</v>
      </c>
      <c r="F486" t="str">
        <f>_xlfn.XLOOKUP(TBL_USUARIOS[[#This Row],[ID_MASSA]],tbl_de_massas[id_massa],tbl_de_massas[nome_completo],"--",0,1)</f>
        <v>Camila Lopez</v>
      </c>
      <c r="G486" s="47">
        <f>_xlfn.XLOOKUP(TBL_USUARIOS[[#This Row],[ID_MASSA]],tbl_de_massas[id_massa],tbl_de_massas[saldo_conta],"--",0,1)</f>
        <v>5201.07</v>
      </c>
      <c r="H486" t="str">
        <f>_xlfn.XLOOKUP(TBL_USUARIOS[[#This Row],[ID_MASSA]],tbl_de_massas[id_massa],tbl_de_massas[nome_completo],"--",0,1)</f>
        <v>Camila Lopez</v>
      </c>
    </row>
    <row r="487" spans="1:8" x14ac:dyDescent="0.25">
      <c r="A487" s="2" t="s">
        <v>3557</v>
      </c>
      <c r="B487" t="str">
        <f>_xlfn.XLOOKUP(TBL_USUARIOS[[#This Row],[ID_MASSA]],tbl_de_massas[id_massa],tbl_de_massas[cpf],"--",0,1)</f>
        <v>35276990409</v>
      </c>
      <c r="C487" t="s">
        <v>12</v>
      </c>
      <c r="D487" t="str">
        <f>_xlfn.XLOOKUP(TBL_USUARIOS[[#This Row],[ID_MASSA]],tbl_de_massas[id_massa],tbl_de_massas[nome_completo],"--",0,1)</f>
        <v>Eduardo Cavalcanti</v>
      </c>
      <c r="E487" t="str">
        <f>_xlfn.XLOOKUP(TBL_USUARIOS[[#This Row],[ID_MASSA]],tbl_de_massas[id_massa],tbl_de_massas[cartao_fisico_numero],"--",0,1)</f>
        <v>3782 702319 5906</v>
      </c>
      <c r="F487" t="str">
        <f>_xlfn.XLOOKUP(TBL_USUARIOS[[#This Row],[ID_MASSA]],tbl_de_massas[id_massa],tbl_de_massas[nome_completo],"--",0,1)</f>
        <v>Eduardo Cavalcanti</v>
      </c>
      <c r="G487" s="47">
        <f>_xlfn.XLOOKUP(TBL_USUARIOS[[#This Row],[ID_MASSA]],tbl_de_massas[id_massa],tbl_de_massas[saldo_conta],"--",0,1)</f>
        <v>5207.45</v>
      </c>
      <c r="H487" t="str">
        <f>_xlfn.XLOOKUP(TBL_USUARIOS[[#This Row],[ID_MASSA]],tbl_de_massas[id_massa],tbl_de_massas[nome_completo],"--",0,1)</f>
        <v>Eduardo Cavalcanti</v>
      </c>
    </row>
    <row r="488" spans="1:8" x14ac:dyDescent="0.25">
      <c r="A488" s="2" t="s">
        <v>6161</v>
      </c>
      <c r="B488" t="str">
        <f>_xlfn.XLOOKUP(TBL_USUARIOS[[#This Row],[ID_MASSA]],tbl_de_massas[id_massa],tbl_de_massas[cpf],"--",0,1)</f>
        <v>67705454890</v>
      </c>
      <c r="C488" t="s">
        <v>12</v>
      </c>
      <c r="D488" t="str">
        <f>_xlfn.XLOOKUP(TBL_USUARIOS[[#This Row],[ID_MASSA]],tbl_de_massas[id_massa],tbl_de_massas[nome_completo],"--",0,1)</f>
        <v>Samuel Brown</v>
      </c>
      <c r="E488" t="str">
        <f>_xlfn.XLOOKUP(TBL_USUARIOS[[#This Row],[ID_MASSA]],tbl_de_massas[id_massa],tbl_de_massas[cartao_fisico_numero],"--",0,1)</f>
        <v>3782 857134 5163</v>
      </c>
      <c r="F488" t="str">
        <f>_xlfn.XLOOKUP(TBL_USUARIOS[[#This Row],[ID_MASSA]],tbl_de_massas[id_massa],tbl_de_massas[nome_completo],"--",0,1)</f>
        <v>Samuel Brown</v>
      </c>
      <c r="G488" s="47">
        <f>_xlfn.XLOOKUP(TBL_USUARIOS[[#This Row],[ID_MASSA]],tbl_de_massas[id_massa],tbl_de_massas[saldo_conta],"--",0,1)</f>
        <v>5251.21</v>
      </c>
      <c r="H488" t="str">
        <f>_xlfn.XLOOKUP(TBL_USUARIOS[[#This Row],[ID_MASSA]],tbl_de_massas[id_massa],tbl_de_massas[nome_completo],"--",0,1)</f>
        <v>Samuel Brown</v>
      </c>
    </row>
    <row r="489" spans="1:8" x14ac:dyDescent="0.25">
      <c r="A489" s="2" t="s">
        <v>3394</v>
      </c>
      <c r="B489" t="str">
        <f>_xlfn.XLOOKUP(TBL_USUARIOS[[#This Row],[ID_MASSA]],tbl_de_massas[id_massa],tbl_de_massas[cpf],"--",0,1)</f>
        <v>08236071430</v>
      </c>
      <c r="C489" t="s">
        <v>12</v>
      </c>
      <c r="D489" t="str">
        <f>_xlfn.XLOOKUP(TBL_USUARIOS[[#This Row],[ID_MASSA]],tbl_de_massas[id_massa],tbl_de_massas[nome_completo],"--",0,1)</f>
        <v>Fabio Nunes Cavalcanti</v>
      </c>
      <c r="E489" t="str">
        <f>_xlfn.XLOOKUP(TBL_USUARIOS[[#This Row],[ID_MASSA]],tbl_de_massas[id_massa],tbl_de_massas[cartao_fisico_numero],"--",0,1)</f>
        <v>6505 0666 5077 1129</v>
      </c>
      <c r="F489" t="str">
        <f>_xlfn.XLOOKUP(TBL_USUARIOS[[#This Row],[ID_MASSA]],tbl_de_massas[id_massa],tbl_de_massas[nome_completo],"--",0,1)</f>
        <v>Fabio Nunes Cavalcanti</v>
      </c>
      <c r="G489" s="47">
        <f>_xlfn.XLOOKUP(TBL_USUARIOS[[#This Row],[ID_MASSA]],tbl_de_massas[id_massa],tbl_de_massas[saldo_conta],"--",0,1)</f>
        <v>5265.88</v>
      </c>
      <c r="H489" t="str">
        <f>_xlfn.XLOOKUP(TBL_USUARIOS[[#This Row],[ID_MASSA]],tbl_de_massas[id_massa],tbl_de_massas[nome_completo],"--",0,1)</f>
        <v>Fabio Nunes Cavalcanti</v>
      </c>
    </row>
    <row r="490" spans="1:8" x14ac:dyDescent="0.25">
      <c r="A490" s="2" t="s">
        <v>4499</v>
      </c>
      <c r="B490" t="str">
        <f>_xlfn.XLOOKUP(TBL_USUARIOS[[#This Row],[ID_MASSA]],tbl_de_massas[id_massa],tbl_de_massas[cpf],"--",0,1)</f>
        <v>64071628588</v>
      </c>
      <c r="C490" t="s">
        <v>12</v>
      </c>
      <c r="D490" t="str">
        <f>_xlfn.XLOOKUP(TBL_USUARIOS[[#This Row],[ID_MASSA]],tbl_de_massas[id_massa],tbl_de_massas[nome_completo],"--",0,1)</f>
        <v>Vinicius Nunes Campos</v>
      </c>
      <c r="E490" t="str">
        <f>_xlfn.XLOOKUP(TBL_USUARIOS[[#This Row],[ID_MASSA]],tbl_de_massas[id_massa],tbl_de_massas[cartao_fisico_numero],"--",0,1)</f>
        <v/>
      </c>
      <c r="F490" t="str">
        <f>_xlfn.XLOOKUP(TBL_USUARIOS[[#This Row],[ID_MASSA]],tbl_de_massas[id_massa],tbl_de_massas[nome_completo],"--",0,1)</f>
        <v>Vinicius Nunes Campos</v>
      </c>
      <c r="G490" s="47">
        <f>_xlfn.XLOOKUP(TBL_USUARIOS[[#This Row],[ID_MASSA]],tbl_de_massas[id_massa],tbl_de_massas[saldo_conta],"--",0,1)</f>
        <v>5277.39</v>
      </c>
      <c r="H490" t="str">
        <f>_xlfn.XLOOKUP(TBL_USUARIOS[[#This Row],[ID_MASSA]],tbl_de_massas[id_massa],tbl_de_massas[nome_completo],"--",0,1)</f>
        <v>Vinicius Nunes Campos</v>
      </c>
    </row>
    <row r="491" spans="1:8" x14ac:dyDescent="0.25">
      <c r="A491" s="2" t="s">
        <v>5935</v>
      </c>
      <c r="B491" t="str">
        <f>_xlfn.XLOOKUP(TBL_USUARIOS[[#This Row],[ID_MASSA]],tbl_de_massas[id_massa],tbl_de_massas[cpf],"--",0,1)</f>
        <v>89147421800</v>
      </c>
      <c r="C491" t="s">
        <v>12</v>
      </c>
      <c r="D491" t="str">
        <f>_xlfn.XLOOKUP(TBL_USUARIOS[[#This Row],[ID_MASSA]],tbl_de_massas[id_massa],tbl_de_massas[nome_completo],"--",0,1)</f>
        <v>Rafael Souza Cavalcanti</v>
      </c>
      <c r="E491" t="str">
        <f>_xlfn.XLOOKUP(TBL_USUARIOS[[#This Row],[ID_MASSA]],tbl_de_massas[id_massa],tbl_de_massas[cartao_fisico_numero],"--",0,1)</f>
        <v/>
      </c>
      <c r="F491" t="str">
        <f>_xlfn.XLOOKUP(TBL_USUARIOS[[#This Row],[ID_MASSA]],tbl_de_massas[id_massa],tbl_de_massas[nome_completo],"--",0,1)</f>
        <v>Rafael Souza Cavalcanti</v>
      </c>
      <c r="G491" s="47">
        <f>_xlfn.XLOOKUP(TBL_USUARIOS[[#This Row],[ID_MASSA]],tbl_de_massas[id_massa],tbl_de_massas[saldo_conta],"--",0,1)</f>
        <v>5279.76</v>
      </c>
      <c r="H491" t="str">
        <f>_xlfn.XLOOKUP(TBL_USUARIOS[[#This Row],[ID_MASSA]],tbl_de_massas[id_massa],tbl_de_massas[nome_completo],"--",0,1)</f>
        <v>Rafael Souza Cavalcanti</v>
      </c>
    </row>
    <row r="492" spans="1:8" x14ac:dyDescent="0.25">
      <c r="A492" s="2" t="s">
        <v>2143</v>
      </c>
      <c r="B492" s="14" t="str">
        <f>_xlfn.XLOOKUP(TBL_USUARIOS[[#This Row],[ID_MASSA]],tbl_de_massas[id_massa],tbl_de_massas[cpf],"--",0,1)</f>
        <v>76782744325</v>
      </c>
      <c r="C492" t="s">
        <v>12</v>
      </c>
      <c r="D492" t="str">
        <f>_xlfn.XLOOKUP(TBL_USUARIOS[[#This Row],[ID_MASSA]],tbl_de_massas[id_massa],tbl_de_massas[nome_completo],"--",0,1)</f>
        <v>Hanako Watanabe</v>
      </c>
      <c r="E492" t="str">
        <f>_xlfn.XLOOKUP(TBL_USUARIOS[[#This Row],[ID_MASSA]],tbl_de_massas[id_massa],tbl_de_massas[cartao_fisico_numero],"--",0,1)</f>
        <v>4576 7460 3895 6613</v>
      </c>
      <c r="F492" t="str">
        <f>_xlfn.XLOOKUP(TBL_USUARIOS[[#This Row],[ID_MASSA]],tbl_de_massas[id_massa],tbl_de_massas[nome_completo],"--",0,1)</f>
        <v>Hanako Watanabe</v>
      </c>
      <c r="G492" s="47">
        <f>_xlfn.XLOOKUP(TBL_USUARIOS[[#This Row],[ID_MASSA]],tbl_de_massas[id_massa],tbl_de_massas[saldo_conta],"--",0,1)</f>
        <v>5305.35</v>
      </c>
      <c r="H492" t="str">
        <f>_xlfn.XLOOKUP(TBL_USUARIOS[[#This Row],[ID_MASSA]],tbl_de_massas[id_massa],tbl_de_massas[nome_completo],"--",0,1)</f>
        <v>Hanako Watanabe</v>
      </c>
    </row>
    <row r="493" spans="1:8" x14ac:dyDescent="0.25">
      <c r="A493" s="2" t="s">
        <v>3451</v>
      </c>
      <c r="B493" t="str">
        <f>_xlfn.XLOOKUP(TBL_USUARIOS[[#This Row],[ID_MASSA]],tbl_de_massas[id_massa],tbl_de_massas[cpf],"--",0,1)</f>
        <v>87859448157</v>
      </c>
      <c r="C493" t="s">
        <v>12</v>
      </c>
      <c r="D493" t="str">
        <f>_xlfn.XLOOKUP(TBL_USUARIOS[[#This Row],[ID_MASSA]],tbl_de_massas[id_massa],tbl_de_massas[nome_completo],"--",0,1)</f>
        <v>Felipe Barbosa Castro</v>
      </c>
      <c r="E493" t="str">
        <f>_xlfn.XLOOKUP(TBL_USUARIOS[[#This Row],[ID_MASSA]],tbl_de_massas[id_massa],tbl_de_massas[cartao_fisico_numero],"--",0,1)</f>
        <v>6505 0666 2419 3924</v>
      </c>
      <c r="F493" t="str">
        <f>_xlfn.XLOOKUP(TBL_USUARIOS[[#This Row],[ID_MASSA]],tbl_de_massas[id_massa],tbl_de_massas[nome_completo],"--",0,1)</f>
        <v>Felipe Barbosa Castro</v>
      </c>
      <c r="G493" s="47">
        <f>_xlfn.XLOOKUP(TBL_USUARIOS[[#This Row],[ID_MASSA]],tbl_de_massas[id_massa],tbl_de_massas[saldo_conta],"--",0,1)</f>
        <v>5330.7</v>
      </c>
      <c r="H493" t="str">
        <f>_xlfn.XLOOKUP(TBL_USUARIOS[[#This Row],[ID_MASSA]],tbl_de_massas[id_massa],tbl_de_massas[nome_completo],"--",0,1)</f>
        <v>Felipe Barbosa Castro</v>
      </c>
    </row>
    <row r="494" spans="1:8" x14ac:dyDescent="0.25">
      <c r="A494" s="2" t="s">
        <v>4507</v>
      </c>
      <c r="B494" t="str">
        <f>_xlfn.XLOOKUP(TBL_USUARIOS[[#This Row],[ID_MASSA]],tbl_de_massas[id_massa],tbl_de_massas[cpf],"--",0,1)</f>
        <v>59807192706</v>
      </c>
      <c r="C494" t="s">
        <v>12</v>
      </c>
      <c r="D494" t="str">
        <f>_xlfn.XLOOKUP(TBL_USUARIOS[[#This Row],[ID_MASSA]],tbl_de_massas[id_massa],tbl_de_massas[nome_completo],"--",0,1)</f>
        <v>Caio Nunes Dias</v>
      </c>
      <c r="E494" t="str">
        <f>_xlfn.XLOOKUP(TBL_USUARIOS[[#This Row],[ID_MASSA]],tbl_de_massas[id_massa],tbl_de_massas[cartao_fisico_numero],"--",0,1)</f>
        <v>6062 8200 7419 3490</v>
      </c>
      <c r="F494" t="str">
        <f>_xlfn.XLOOKUP(TBL_USUARIOS[[#This Row],[ID_MASSA]],tbl_de_massas[id_massa],tbl_de_massas[nome_completo],"--",0,1)</f>
        <v>Caio Nunes Dias</v>
      </c>
      <c r="G494" s="47">
        <f>_xlfn.XLOOKUP(TBL_USUARIOS[[#This Row],[ID_MASSA]],tbl_de_massas[id_massa],tbl_de_massas[saldo_conta],"--",0,1)</f>
        <v>5339.3</v>
      </c>
      <c r="H494" t="str">
        <f>_xlfn.XLOOKUP(TBL_USUARIOS[[#This Row],[ID_MASSA]],tbl_de_massas[id_massa],tbl_de_massas[nome_completo],"--",0,1)</f>
        <v>Caio Nunes Dias</v>
      </c>
    </row>
    <row r="495" spans="1:8" x14ac:dyDescent="0.25">
      <c r="A495" s="2" t="s">
        <v>6388</v>
      </c>
      <c r="B495" t="str">
        <f>_xlfn.XLOOKUP(TBL_USUARIOS[[#This Row],[ID_MASSA]],tbl_de_massas[id_massa],tbl_de_massas[cpf],"--",0,1)</f>
        <v>03359508092</v>
      </c>
      <c r="C495" t="s">
        <v>12</v>
      </c>
      <c r="D495" t="str">
        <f>_xlfn.XLOOKUP(TBL_USUARIOS[[#This Row],[ID_MASSA]],tbl_de_massas[id_massa],tbl_de_massas[nome_completo],"--",0,1)</f>
        <v>Na Zhao</v>
      </c>
      <c r="E495" t="str">
        <f>_xlfn.XLOOKUP(TBL_USUARIOS[[#This Row],[ID_MASSA]],tbl_de_massas[id_massa],tbl_de_massas[cartao_fisico_numero],"--",0,1)</f>
        <v>6505 0666 2328 8804</v>
      </c>
      <c r="F495" t="str">
        <f>_xlfn.XLOOKUP(TBL_USUARIOS[[#This Row],[ID_MASSA]],tbl_de_massas[id_massa],tbl_de_massas[nome_completo],"--",0,1)</f>
        <v>Na Zhao</v>
      </c>
      <c r="G495" s="47">
        <f>_xlfn.XLOOKUP(TBL_USUARIOS[[#This Row],[ID_MASSA]],tbl_de_massas[id_massa],tbl_de_massas[saldo_conta],"--",0,1)</f>
        <v>5346.83</v>
      </c>
      <c r="H495" t="str">
        <f>_xlfn.XLOOKUP(TBL_USUARIOS[[#This Row],[ID_MASSA]],tbl_de_massas[id_massa],tbl_de_massas[nome_completo],"--",0,1)</f>
        <v>Na Zhao</v>
      </c>
    </row>
    <row r="496" spans="1:8" x14ac:dyDescent="0.25">
      <c r="A496" s="2" t="s">
        <v>3363</v>
      </c>
      <c r="B496" t="str">
        <f>_xlfn.XLOOKUP(TBL_USUARIOS[[#This Row],[ID_MASSA]],tbl_de_massas[id_massa],tbl_de_massas[cpf],"--",0,1)</f>
        <v>22523359715</v>
      </c>
      <c r="C496" t="s">
        <v>12</v>
      </c>
      <c r="D496" t="str">
        <f>_xlfn.XLOOKUP(TBL_USUARIOS[[#This Row],[ID_MASSA]],tbl_de_massas[id_massa],tbl_de_massas[nome_completo],"--",0,1)</f>
        <v>Leonardo Campos Cavalcanti</v>
      </c>
      <c r="E496" t="str">
        <f>_xlfn.XLOOKUP(TBL_USUARIOS[[#This Row],[ID_MASSA]],tbl_de_massas[id_massa],tbl_de_massas[cartao_fisico_numero],"--",0,1)</f>
        <v>4576 7460 5264 1693</v>
      </c>
      <c r="F496" t="str">
        <f>_xlfn.XLOOKUP(TBL_USUARIOS[[#This Row],[ID_MASSA]],tbl_de_massas[id_massa],tbl_de_massas[nome_completo],"--",0,1)</f>
        <v>Leonardo Campos Cavalcanti</v>
      </c>
      <c r="G496" s="47">
        <f>_xlfn.XLOOKUP(TBL_USUARIOS[[#This Row],[ID_MASSA]],tbl_de_massas[id_massa],tbl_de_massas[saldo_conta],"--",0,1)</f>
        <v>5362.43</v>
      </c>
      <c r="H496" t="str">
        <f>_xlfn.XLOOKUP(TBL_USUARIOS[[#This Row],[ID_MASSA]],tbl_de_massas[id_massa],tbl_de_massas[nome_completo],"--",0,1)</f>
        <v>Leonardo Campos Cavalcanti</v>
      </c>
    </row>
    <row r="497" spans="1:8" x14ac:dyDescent="0.25">
      <c r="A497" s="2" t="s">
        <v>3354</v>
      </c>
      <c r="B497" t="str">
        <f>_xlfn.XLOOKUP(TBL_USUARIOS[[#This Row],[ID_MASSA]],tbl_de_massas[id_massa],tbl_de_massas[cpf],"--",0,1)</f>
        <v>90281868409</v>
      </c>
      <c r="C497" t="s">
        <v>12</v>
      </c>
      <c r="D497" t="str">
        <f>_xlfn.XLOOKUP(TBL_USUARIOS[[#This Row],[ID_MASSA]],tbl_de_massas[id_massa],tbl_de_massas[nome_completo],"--",0,1)</f>
        <v>Rodrigo Alves Rocha</v>
      </c>
      <c r="E497" t="str">
        <f>_xlfn.XLOOKUP(TBL_USUARIOS[[#This Row],[ID_MASSA]],tbl_de_massas[id_massa],tbl_de_massas[cartao_fisico_numero],"--",0,1)</f>
        <v/>
      </c>
      <c r="F497" t="str">
        <f>_xlfn.XLOOKUP(TBL_USUARIOS[[#This Row],[ID_MASSA]],tbl_de_massas[id_massa],tbl_de_massas[nome_completo],"--",0,1)</f>
        <v>Rodrigo Alves Rocha</v>
      </c>
      <c r="G497" s="47">
        <f>_xlfn.XLOOKUP(TBL_USUARIOS[[#This Row],[ID_MASSA]],tbl_de_massas[id_massa],tbl_de_massas[saldo_conta],"--",0,1)</f>
        <v>5367.81</v>
      </c>
      <c r="H497" t="str">
        <f>_xlfn.XLOOKUP(TBL_USUARIOS[[#This Row],[ID_MASSA]],tbl_de_massas[id_massa],tbl_de_massas[nome_completo],"--",0,1)</f>
        <v>Rodrigo Alves Rocha</v>
      </c>
    </row>
    <row r="498" spans="1:8" x14ac:dyDescent="0.25">
      <c r="A498" s="2" t="s">
        <v>3876</v>
      </c>
      <c r="B498" t="str">
        <f>_xlfn.XLOOKUP(TBL_USUARIOS[[#This Row],[ID_MASSA]],tbl_de_massas[id_massa],tbl_de_massas[cpf],"--",0,1)</f>
        <v>95386746936</v>
      </c>
      <c r="C498" t="s">
        <v>12</v>
      </c>
      <c r="D498" t="str">
        <f>_xlfn.XLOOKUP(TBL_USUARIOS[[#This Row],[ID_MASSA]],tbl_de_massas[id_massa],tbl_de_massas[nome_completo],"--",0,1)</f>
        <v>Amanda Dias Costa</v>
      </c>
      <c r="E498" t="str">
        <f>_xlfn.XLOOKUP(TBL_USUARIOS[[#This Row],[ID_MASSA]],tbl_de_massas[id_massa],tbl_de_massas[cartao_fisico_numero],"--",0,1)</f>
        <v>4576 7460 5954 0457</v>
      </c>
      <c r="F498" t="str">
        <f>_xlfn.XLOOKUP(TBL_USUARIOS[[#This Row],[ID_MASSA]],tbl_de_massas[id_massa],tbl_de_massas[nome_completo],"--",0,1)</f>
        <v>Amanda Dias Costa</v>
      </c>
      <c r="G498" s="47">
        <f>_xlfn.XLOOKUP(TBL_USUARIOS[[#This Row],[ID_MASSA]],tbl_de_massas[id_massa],tbl_de_massas[saldo_conta],"--",0,1)</f>
        <v>5374.55</v>
      </c>
      <c r="H498" t="str">
        <f>_xlfn.XLOOKUP(TBL_USUARIOS[[#This Row],[ID_MASSA]],tbl_de_massas[id_massa],tbl_de_massas[nome_completo],"--",0,1)</f>
        <v>Amanda Dias Costa</v>
      </c>
    </row>
    <row r="499" spans="1:8" x14ac:dyDescent="0.25">
      <c r="A499" s="2" t="s">
        <v>5574</v>
      </c>
      <c r="B499" t="str">
        <f>_xlfn.XLOOKUP(TBL_USUARIOS[[#This Row],[ID_MASSA]],tbl_de_massas[id_massa],tbl_de_massas[cpf],"--",0,1)</f>
        <v>26246817360</v>
      </c>
      <c r="C499" t="s">
        <v>12</v>
      </c>
      <c r="D499" t="str">
        <f>_xlfn.XLOOKUP(TBL_USUARIOS[[#This Row],[ID_MASSA]],tbl_de_massas[id_massa],tbl_de_massas[nome_completo],"--",0,1)</f>
        <v>Eduardo Carvalho</v>
      </c>
      <c r="E499" t="str">
        <f>_xlfn.XLOOKUP(TBL_USUARIOS[[#This Row],[ID_MASSA]],tbl_de_massas[id_massa],tbl_de_massas[cartao_fisico_numero],"--",0,1)</f>
        <v/>
      </c>
      <c r="F499" t="str">
        <f>_xlfn.XLOOKUP(TBL_USUARIOS[[#This Row],[ID_MASSA]],tbl_de_massas[id_massa],tbl_de_massas[nome_completo],"--",0,1)</f>
        <v>Eduardo Carvalho</v>
      </c>
      <c r="G499" s="47">
        <f>_xlfn.XLOOKUP(TBL_USUARIOS[[#This Row],[ID_MASSA]],tbl_de_massas[id_massa],tbl_de_massas[saldo_conta],"--",0,1)</f>
        <v>5381.8</v>
      </c>
      <c r="H499" t="str">
        <f>_xlfn.XLOOKUP(TBL_USUARIOS[[#This Row],[ID_MASSA]],tbl_de_massas[id_massa],tbl_de_massas[nome_completo],"--",0,1)</f>
        <v>Eduardo Carvalho</v>
      </c>
    </row>
    <row r="500" spans="1:8" x14ac:dyDescent="0.25">
      <c r="A500" s="2" t="s">
        <v>4603</v>
      </c>
      <c r="B500" t="str">
        <f>_xlfn.XLOOKUP(TBL_USUARIOS[[#This Row],[ID_MASSA]],tbl_de_massas[id_massa],tbl_de_massas[cpf],"--",0,1)</f>
        <v>55895217427</v>
      </c>
      <c r="C500" t="s">
        <v>12</v>
      </c>
      <c r="D500" t="str">
        <f>_xlfn.XLOOKUP(TBL_USUARIOS[[#This Row],[ID_MASSA]],tbl_de_massas[id_massa],tbl_de_massas[nome_completo],"--",0,1)</f>
        <v>Debora Monteiro</v>
      </c>
      <c r="E500" t="str">
        <f>_xlfn.XLOOKUP(TBL_USUARIOS[[#This Row],[ID_MASSA]],tbl_de_massas[id_massa],tbl_de_massas[cartao_fisico_numero],"--",0,1)</f>
        <v>6505 0666 4228 1103</v>
      </c>
      <c r="F500" t="str">
        <f>_xlfn.XLOOKUP(TBL_USUARIOS[[#This Row],[ID_MASSA]],tbl_de_massas[id_massa],tbl_de_massas[nome_completo],"--",0,1)</f>
        <v>Debora Monteiro</v>
      </c>
      <c r="G500" s="47">
        <f>_xlfn.XLOOKUP(TBL_USUARIOS[[#This Row],[ID_MASSA]],tbl_de_massas[id_massa],tbl_de_massas[saldo_conta],"--",0,1)</f>
        <v>5402.04</v>
      </c>
      <c r="H500" t="str">
        <f>_xlfn.XLOOKUP(TBL_USUARIOS[[#This Row],[ID_MASSA]],tbl_de_massas[id_massa],tbl_de_massas[nome_completo],"--",0,1)</f>
        <v>Debora Monteiro</v>
      </c>
    </row>
    <row r="501" spans="1:8" x14ac:dyDescent="0.25">
      <c r="A501" s="2" t="s">
        <v>4994</v>
      </c>
      <c r="B501" t="str">
        <f>_xlfn.XLOOKUP(TBL_USUARIOS[[#This Row],[ID_MASSA]],tbl_de_massas[id_massa],tbl_de_massas[cpf],"--",0,1)</f>
        <v>24169591232</v>
      </c>
      <c r="C501" t="s">
        <v>12</v>
      </c>
      <c r="D501" t="str">
        <f>_xlfn.XLOOKUP(TBL_USUARIOS[[#This Row],[ID_MASSA]],tbl_de_massas[id_massa],tbl_de_massas[nome_completo],"--",0,1)</f>
        <v>Carolina Campos Carvalho</v>
      </c>
      <c r="E501" t="str">
        <f>_xlfn.XLOOKUP(TBL_USUARIOS[[#This Row],[ID_MASSA]],tbl_de_massas[id_massa],tbl_de_massas[cartao_fisico_numero],"--",0,1)</f>
        <v>4576 7460 1939 2531</v>
      </c>
      <c r="F501" t="str">
        <f>_xlfn.XLOOKUP(TBL_USUARIOS[[#This Row],[ID_MASSA]],tbl_de_massas[id_massa],tbl_de_massas[nome_completo],"--",0,1)</f>
        <v>Carolina Campos Carvalho</v>
      </c>
      <c r="G501" s="47">
        <f>_xlfn.XLOOKUP(TBL_USUARIOS[[#This Row],[ID_MASSA]],tbl_de_massas[id_massa],tbl_de_massas[saldo_conta],"--",0,1)</f>
        <v>5407.4</v>
      </c>
      <c r="H501" t="str">
        <f>_xlfn.XLOOKUP(TBL_USUARIOS[[#This Row],[ID_MASSA]],tbl_de_massas[id_massa],tbl_de_massas[nome_completo],"--",0,1)</f>
        <v>Carolina Campos Carvalho</v>
      </c>
    </row>
    <row r="502" spans="1:8" x14ac:dyDescent="0.25">
      <c r="A502" s="2" t="s">
        <v>6598</v>
      </c>
      <c r="B502" t="str">
        <f>_xlfn.XLOOKUP(TBL_USUARIOS[[#This Row],[ID_MASSA]],tbl_de_massas[id_massa],tbl_de_massas[cpf],"--",0,1)</f>
        <v>77396833370</v>
      </c>
      <c r="C502" t="s">
        <v>12</v>
      </c>
      <c r="D502" t="str">
        <f>_xlfn.XLOOKUP(TBL_USUARIOS[[#This Row],[ID_MASSA]],tbl_de_massas[id_massa],tbl_de_massas[nome_completo],"--",0,1)</f>
        <v>Kenji Saito</v>
      </c>
      <c r="E502" t="str">
        <f>_xlfn.XLOOKUP(TBL_USUARIOS[[#This Row],[ID_MASSA]],tbl_de_massas[id_massa],tbl_de_massas[cartao_fisico_numero],"--",0,1)</f>
        <v>4576 7460 2872 6885</v>
      </c>
      <c r="F502" t="str">
        <f>_xlfn.XLOOKUP(TBL_USUARIOS[[#This Row],[ID_MASSA]],tbl_de_massas[id_massa],tbl_de_massas[nome_completo],"--",0,1)</f>
        <v>Kenji Saito</v>
      </c>
      <c r="G502" s="47">
        <f>_xlfn.XLOOKUP(TBL_USUARIOS[[#This Row],[ID_MASSA]],tbl_de_massas[id_massa],tbl_de_massas[saldo_conta],"--",0,1)</f>
        <v>5408.31</v>
      </c>
      <c r="H502" t="str">
        <f>_xlfn.XLOOKUP(TBL_USUARIOS[[#This Row],[ID_MASSA]],tbl_de_massas[id_massa],tbl_de_massas[nome_completo],"--",0,1)</f>
        <v>Kenji Saito</v>
      </c>
    </row>
    <row r="503" spans="1:8" x14ac:dyDescent="0.25">
      <c r="A503" s="2" t="s">
        <v>4591</v>
      </c>
      <c r="B503" t="str">
        <f>_xlfn.XLOOKUP(TBL_USUARIOS[[#This Row],[ID_MASSA]],tbl_de_massas[id_massa],tbl_de_massas[cpf],"--",0,1)</f>
        <v>80562594655</v>
      </c>
      <c r="C503" t="s">
        <v>12</v>
      </c>
      <c r="D503" t="str">
        <f>_xlfn.XLOOKUP(TBL_USUARIOS[[#This Row],[ID_MASSA]],tbl_de_massas[id_massa],tbl_de_massas[nome_completo],"--",0,1)</f>
        <v>Danilo Barros Moura</v>
      </c>
      <c r="E503" t="str">
        <f>_xlfn.XLOOKUP(TBL_USUARIOS[[#This Row],[ID_MASSA]],tbl_de_massas[id_massa],tbl_de_massas[cartao_fisico_numero],"--",0,1)</f>
        <v>5442 7460 3435 1793</v>
      </c>
      <c r="F503" t="str">
        <f>_xlfn.XLOOKUP(TBL_USUARIOS[[#This Row],[ID_MASSA]],tbl_de_massas[id_massa],tbl_de_massas[nome_completo],"--",0,1)</f>
        <v>Danilo Barros Moura</v>
      </c>
      <c r="G503" s="47">
        <f>_xlfn.XLOOKUP(TBL_USUARIOS[[#This Row],[ID_MASSA]],tbl_de_massas[id_massa],tbl_de_massas[saldo_conta],"--",0,1)</f>
        <v>5408.49</v>
      </c>
      <c r="H503" t="str">
        <f>_xlfn.XLOOKUP(TBL_USUARIOS[[#This Row],[ID_MASSA]],tbl_de_massas[id_massa],tbl_de_massas[nome_completo],"--",0,1)</f>
        <v>Danilo Barros Moura</v>
      </c>
    </row>
    <row r="504" spans="1:8" x14ac:dyDescent="0.25">
      <c r="A504" s="2" t="s">
        <v>5119</v>
      </c>
      <c r="B504" t="str">
        <f>_xlfn.XLOOKUP(TBL_USUARIOS[[#This Row],[ID_MASSA]],tbl_de_massas[id_massa],tbl_de_massas[cpf],"--",0,1)</f>
        <v>25652744405</v>
      </c>
      <c r="C504" t="s">
        <v>12</v>
      </c>
      <c r="D504" t="str">
        <f>_xlfn.XLOOKUP(TBL_USUARIOS[[#This Row],[ID_MASSA]],tbl_de_massas[id_massa],tbl_de_massas[nome_completo],"--",0,1)</f>
        <v>Vivian Moura Vieira</v>
      </c>
      <c r="E504" t="str">
        <f>_xlfn.XLOOKUP(TBL_USUARIOS[[#This Row],[ID_MASSA]],tbl_de_massas[id_massa],tbl_de_massas[cartao_fisico_numero],"--",0,1)</f>
        <v>6505 0666 6218 2654</v>
      </c>
      <c r="F504" t="str">
        <f>_xlfn.XLOOKUP(TBL_USUARIOS[[#This Row],[ID_MASSA]],tbl_de_massas[id_massa],tbl_de_massas[nome_completo],"--",0,1)</f>
        <v>Vivian Moura Vieira</v>
      </c>
      <c r="G504" s="47">
        <f>_xlfn.XLOOKUP(TBL_USUARIOS[[#This Row],[ID_MASSA]],tbl_de_massas[id_massa],tbl_de_massas[saldo_conta],"--",0,1)</f>
        <v>5418.75</v>
      </c>
      <c r="H504" t="str">
        <f>_xlfn.XLOOKUP(TBL_USUARIOS[[#This Row],[ID_MASSA]],tbl_de_massas[id_massa],tbl_de_massas[nome_completo],"--",0,1)</f>
        <v>Vivian Moura Vieira</v>
      </c>
    </row>
    <row r="505" spans="1:8" x14ac:dyDescent="0.25">
      <c r="A505" s="2" t="s">
        <v>2780</v>
      </c>
      <c r="B505" t="str">
        <f>_xlfn.XLOOKUP(TBL_USUARIOS[[#This Row],[ID_MASSA]],tbl_de_massas[id_massa],tbl_de_massas[cpf],"--",0,1)</f>
        <v>47542151843</v>
      </c>
      <c r="C505" t="s">
        <v>12</v>
      </c>
      <c r="D505" t="str">
        <f>_xlfn.XLOOKUP(TBL_USUARIOS[[#This Row],[ID_MASSA]],tbl_de_massas[id_massa],tbl_de_massas[nome_completo],"--",0,1)</f>
        <v>Guilherme Rodrigues Costa</v>
      </c>
      <c r="E505" t="str">
        <f>_xlfn.XLOOKUP(TBL_USUARIOS[[#This Row],[ID_MASSA]],tbl_de_massas[id_massa],tbl_de_massas[cartao_fisico_numero],"--",0,1)</f>
        <v>6505 0666 3466 0469</v>
      </c>
      <c r="F505" t="str">
        <f>_xlfn.XLOOKUP(TBL_USUARIOS[[#This Row],[ID_MASSA]],tbl_de_massas[id_massa],tbl_de_massas[nome_completo],"--",0,1)</f>
        <v>Guilherme Rodrigues Costa</v>
      </c>
      <c r="G505" s="47">
        <f>_xlfn.XLOOKUP(TBL_USUARIOS[[#This Row],[ID_MASSA]],tbl_de_massas[id_massa],tbl_de_massas[saldo_conta],"--",0,1)</f>
        <v>5431.57</v>
      </c>
      <c r="H505" t="str">
        <f>_xlfn.XLOOKUP(TBL_USUARIOS[[#This Row],[ID_MASSA]],tbl_de_massas[id_massa],tbl_de_massas[nome_completo],"--",0,1)</f>
        <v>Guilherme Rodrigues Costa</v>
      </c>
    </row>
    <row r="506" spans="1:8" x14ac:dyDescent="0.25">
      <c r="A506" s="2" t="s">
        <v>3175</v>
      </c>
      <c r="B506" t="str">
        <f>_xlfn.XLOOKUP(TBL_USUARIOS[[#This Row],[ID_MASSA]],tbl_de_massas[id_massa],tbl_de_massas[cpf],"--",0,1)</f>
        <v>74660588173</v>
      </c>
      <c r="C506" t="s">
        <v>12</v>
      </c>
      <c r="D506" t="str">
        <f>_xlfn.XLOOKUP(TBL_USUARIOS[[#This Row],[ID_MASSA]],tbl_de_massas[id_massa],tbl_de_massas[nome_completo],"--",0,1)</f>
        <v>Sabrina Borges</v>
      </c>
      <c r="E506" t="str">
        <f>_xlfn.XLOOKUP(TBL_USUARIOS[[#This Row],[ID_MASSA]],tbl_de_massas[id_massa],tbl_de_massas[cartao_fisico_numero],"--",0,1)</f>
        <v/>
      </c>
      <c r="F506" t="str">
        <f>_xlfn.XLOOKUP(TBL_USUARIOS[[#This Row],[ID_MASSA]],tbl_de_massas[id_massa],tbl_de_massas[nome_completo],"--",0,1)</f>
        <v>Sabrina Borges</v>
      </c>
      <c r="G506" s="47">
        <f>_xlfn.XLOOKUP(TBL_USUARIOS[[#This Row],[ID_MASSA]],tbl_de_massas[id_massa],tbl_de_massas[saldo_conta],"--",0,1)</f>
        <v>5432.66</v>
      </c>
      <c r="H506" t="str">
        <f>_xlfn.XLOOKUP(TBL_USUARIOS[[#This Row],[ID_MASSA]],tbl_de_massas[id_massa],tbl_de_massas[nome_completo],"--",0,1)</f>
        <v>Sabrina Borges</v>
      </c>
    </row>
    <row r="507" spans="1:8" x14ac:dyDescent="0.25">
      <c r="A507" s="2" t="s">
        <v>5062</v>
      </c>
      <c r="B507" t="str">
        <f>_xlfn.XLOOKUP(TBL_USUARIOS[[#This Row],[ID_MASSA]],tbl_de_massas[id_massa],tbl_de_massas[cpf],"--",0,1)</f>
        <v>59162092820</v>
      </c>
      <c r="C507" t="s">
        <v>12</v>
      </c>
      <c r="D507" t="str">
        <f>_xlfn.XLOOKUP(TBL_USUARIOS[[#This Row],[ID_MASSA]],tbl_de_massas[id_massa],tbl_de_massas[nome_completo],"--",0,1)</f>
        <v>Felipe Pereira</v>
      </c>
      <c r="E507" t="str">
        <f>_xlfn.XLOOKUP(TBL_USUARIOS[[#This Row],[ID_MASSA]],tbl_de_massas[id_massa],tbl_de_massas[cartao_fisico_numero],"--",0,1)</f>
        <v>4576 7460 3198 6184</v>
      </c>
      <c r="F507" t="str">
        <f>_xlfn.XLOOKUP(TBL_USUARIOS[[#This Row],[ID_MASSA]],tbl_de_massas[id_massa],tbl_de_massas[nome_completo],"--",0,1)</f>
        <v>Felipe Pereira</v>
      </c>
      <c r="G507" s="47">
        <f>_xlfn.XLOOKUP(TBL_USUARIOS[[#This Row],[ID_MASSA]],tbl_de_massas[id_massa],tbl_de_massas[saldo_conta],"--",0,1)</f>
        <v>5453.2</v>
      </c>
      <c r="H507" t="str">
        <f>_xlfn.XLOOKUP(TBL_USUARIOS[[#This Row],[ID_MASSA]],tbl_de_massas[id_massa],tbl_de_massas[nome_completo],"--",0,1)</f>
        <v>Felipe Pereira</v>
      </c>
    </row>
    <row r="508" spans="1:8" x14ac:dyDescent="0.25">
      <c r="A508" s="2" t="s">
        <v>3098</v>
      </c>
      <c r="B508" t="str">
        <f>_xlfn.XLOOKUP(TBL_USUARIOS[[#This Row],[ID_MASSA]],tbl_de_massas[id_massa],tbl_de_massas[cpf],"--",0,1)</f>
        <v>31478516992</v>
      </c>
      <c r="C508" t="s">
        <v>12</v>
      </c>
      <c r="D508" t="str">
        <f>_xlfn.XLOOKUP(TBL_USUARIOS[[#This Row],[ID_MASSA]],tbl_de_massas[id_massa],tbl_de_massas[nome_completo],"--",0,1)</f>
        <v>Juliana Cardoso Teixeira</v>
      </c>
      <c r="E508" t="str">
        <f>_xlfn.XLOOKUP(TBL_USUARIOS[[#This Row],[ID_MASSA]],tbl_de_massas[id_massa],tbl_de_massas[cartao_fisico_numero],"--",0,1)</f>
        <v/>
      </c>
      <c r="F508" t="str">
        <f>_xlfn.XLOOKUP(TBL_USUARIOS[[#This Row],[ID_MASSA]],tbl_de_massas[id_massa],tbl_de_massas[nome_completo],"--",0,1)</f>
        <v>Juliana Cardoso Teixeira</v>
      </c>
      <c r="G508" s="47">
        <f>_xlfn.XLOOKUP(TBL_USUARIOS[[#This Row],[ID_MASSA]],tbl_de_massas[id_massa],tbl_de_massas[saldo_conta],"--",0,1)</f>
        <v>5474.05</v>
      </c>
      <c r="H508" t="str">
        <f>_xlfn.XLOOKUP(TBL_USUARIOS[[#This Row],[ID_MASSA]],tbl_de_massas[id_massa],tbl_de_massas[nome_completo],"--",0,1)</f>
        <v>Juliana Cardoso Teixeira</v>
      </c>
    </row>
    <row r="509" spans="1:8" x14ac:dyDescent="0.25">
      <c r="A509" s="2" t="s">
        <v>3231</v>
      </c>
      <c r="B509" t="str">
        <f>_xlfn.XLOOKUP(TBL_USUARIOS[[#This Row],[ID_MASSA]],tbl_de_massas[id_massa],tbl_de_massas[cpf],"--",0,1)</f>
        <v>96360789981</v>
      </c>
      <c r="C509" t="s">
        <v>12</v>
      </c>
      <c r="D509" t="str">
        <f>_xlfn.XLOOKUP(TBL_USUARIOS[[#This Row],[ID_MASSA]],tbl_de_massas[id_massa],tbl_de_massas[nome_completo],"--",0,1)</f>
        <v>Leandro Freitas Moreira</v>
      </c>
      <c r="E509" t="str">
        <f>_xlfn.XLOOKUP(TBL_USUARIOS[[#This Row],[ID_MASSA]],tbl_de_massas[id_massa],tbl_de_massas[cartao_fisico_numero],"--",0,1)</f>
        <v>6062 8200 3196 3018</v>
      </c>
      <c r="F509" t="str">
        <f>_xlfn.XLOOKUP(TBL_USUARIOS[[#This Row],[ID_MASSA]],tbl_de_massas[id_massa],tbl_de_massas[nome_completo],"--",0,1)</f>
        <v>Leandro Freitas Moreira</v>
      </c>
      <c r="G509" s="47">
        <f>_xlfn.XLOOKUP(TBL_USUARIOS[[#This Row],[ID_MASSA]],tbl_de_massas[id_massa],tbl_de_massas[saldo_conta],"--",0,1)</f>
        <v>5510.57</v>
      </c>
      <c r="H509" t="str">
        <f>_xlfn.XLOOKUP(TBL_USUARIOS[[#This Row],[ID_MASSA]],tbl_de_massas[id_massa],tbl_de_massas[nome_completo],"--",0,1)</f>
        <v>Leandro Freitas Moreira</v>
      </c>
    </row>
    <row r="510" spans="1:8" x14ac:dyDescent="0.25">
      <c r="A510" s="2" t="s">
        <v>5006</v>
      </c>
      <c r="B510" t="str">
        <f>_xlfn.XLOOKUP(TBL_USUARIOS[[#This Row],[ID_MASSA]],tbl_de_massas[id_massa],tbl_de_massas[cpf],"--",0,1)</f>
        <v>30353435511</v>
      </c>
      <c r="C510" t="s">
        <v>12</v>
      </c>
      <c r="D510" t="str">
        <f>_xlfn.XLOOKUP(TBL_USUARIOS[[#This Row],[ID_MASSA]],tbl_de_massas[id_massa],tbl_de_massas[nome_completo],"--",0,1)</f>
        <v>Gustavo Costa Nunes</v>
      </c>
      <c r="E510" t="str">
        <f>_xlfn.XLOOKUP(TBL_USUARIOS[[#This Row],[ID_MASSA]],tbl_de_massas[id_massa],tbl_de_massas[cartao_fisico_numero],"--",0,1)</f>
        <v/>
      </c>
      <c r="F510" t="str">
        <f>_xlfn.XLOOKUP(TBL_USUARIOS[[#This Row],[ID_MASSA]],tbl_de_massas[id_massa],tbl_de_massas[nome_completo],"--",0,1)</f>
        <v>Gustavo Costa Nunes</v>
      </c>
      <c r="G510" s="47">
        <f>_xlfn.XLOOKUP(TBL_USUARIOS[[#This Row],[ID_MASSA]],tbl_de_massas[id_massa],tbl_de_massas[saldo_conta],"--",0,1)</f>
        <v>5528.66</v>
      </c>
      <c r="H510" t="str">
        <f>_xlfn.XLOOKUP(TBL_USUARIOS[[#This Row],[ID_MASSA]],tbl_de_massas[id_massa],tbl_de_massas[nome_completo],"--",0,1)</f>
        <v>Gustavo Costa Nunes</v>
      </c>
    </row>
    <row r="511" spans="1:8" x14ac:dyDescent="0.25">
      <c r="A511" s="2" t="s">
        <v>2477</v>
      </c>
      <c r="B511" s="14" t="str">
        <f>_xlfn.XLOOKUP(TBL_USUARIOS[[#This Row],[ID_MASSA]],tbl_de_massas[id_massa],tbl_de_massas[cpf],"--",0,1)</f>
        <v>35198162027</v>
      </c>
      <c r="C511" t="s">
        <v>12</v>
      </c>
      <c r="D511" t="str">
        <f>_xlfn.XLOOKUP(TBL_USUARIOS[[#This Row],[ID_MASSA]],tbl_de_massas[id_massa],tbl_de_massas[nome_completo],"--",0,1)</f>
        <v>Beatriz Ferreira</v>
      </c>
      <c r="E511" t="str">
        <f>_xlfn.XLOOKUP(TBL_USUARIOS[[#This Row],[ID_MASSA]],tbl_de_massas[id_massa],tbl_de_massas[cartao_fisico_numero],"--",0,1)</f>
        <v>6062 8200 3120 7923</v>
      </c>
      <c r="F511" t="str">
        <f>_xlfn.XLOOKUP(TBL_USUARIOS[[#This Row],[ID_MASSA]],tbl_de_massas[id_massa],tbl_de_massas[nome_completo],"--",0,1)</f>
        <v>Beatriz Ferreira</v>
      </c>
      <c r="G511" s="47">
        <f>_xlfn.XLOOKUP(TBL_USUARIOS[[#This Row],[ID_MASSA]],tbl_de_massas[id_massa],tbl_de_massas[saldo_conta],"--",0,1)</f>
        <v>5534.29</v>
      </c>
      <c r="H511" t="str">
        <f>_xlfn.XLOOKUP(TBL_USUARIOS[[#This Row],[ID_MASSA]],tbl_de_massas[id_massa],tbl_de_massas[nome_completo],"--",0,1)</f>
        <v>Beatriz Ferreira</v>
      </c>
    </row>
    <row r="512" spans="1:8" x14ac:dyDescent="0.25">
      <c r="A512" s="2" t="s">
        <v>4414</v>
      </c>
      <c r="B512" t="str">
        <f>_xlfn.XLOOKUP(TBL_USUARIOS[[#This Row],[ID_MASSA]],tbl_de_massas[id_massa],tbl_de_massas[cpf],"--",0,1)</f>
        <v>80654103321</v>
      </c>
      <c r="C512" t="s">
        <v>12</v>
      </c>
      <c r="D512" t="str">
        <f>_xlfn.XLOOKUP(TBL_USUARIOS[[#This Row],[ID_MASSA]],tbl_de_massas[id_massa],tbl_de_massas[nome_completo],"--",0,1)</f>
        <v>Amanda Ribeiro Pinto</v>
      </c>
      <c r="E512" t="str">
        <f>_xlfn.XLOOKUP(TBL_USUARIOS[[#This Row],[ID_MASSA]],tbl_de_massas[id_massa],tbl_de_massas[cartao_fisico_numero],"--",0,1)</f>
        <v/>
      </c>
      <c r="F512" t="str">
        <f>_xlfn.XLOOKUP(TBL_USUARIOS[[#This Row],[ID_MASSA]],tbl_de_massas[id_massa],tbl_de_massas[nome_completo],"--",0,1)</f>
        <v>Amanda Ribeiro Pinto</v>
      </c>
      <c r="G512" s="47">
        <f>_xlfn.XLOOKUP(TBL_USUARIOS[[#This Row],[ID_MASSA]],tbl_de_massas[id_massa],tbl_de_massas[saldo_conta],"--",0,1)</f>
        <v>5546.47</v>
      </c>
      <c r="H512" t="str">
        <f>_xlfn.XLOOKUP(TBL_USUARIOS[[#This Row],[ID_MASSA]],tbl_de_massas[id_massa],tbl_de_massas[nome_completo],"--",0,1)</f>
        <v>Amanda Ribeiro Pinto</v>
      </c>
    </row>
    <row r="513" spans="1:8" x14ac:dyDescent="0.25">
      <c r="A513" s="2" t="s">
        <v>2201</v>
      </c>
      <c r="B513" s="14" t="str">
        <f>_xlfn.XLOOKUP(TBL_USUARIOS[[#This Row],[ID_MASSA]],tbl_de_massas[id_massa],tbl_de_massas[cpf],"--",0,1)</f>
        <v>28177566814</v>
      </c>
      <c r="C513" t="s">
        <v>12</v>
      </c>
      <c r="D513" t="str">
        <f>_xlfn.XLOOKUP(TBL_USUARIOS[[#This Row],[ID_MASSA]],tbl_de_massas[id_massa],tbl_de_massas[nome_completo],"--",0,1)</f>
        <v>Mariana Costa Silva</v>
      </c>
      <c r="E513" t="str">
        <f>_xlfn.XLOOKUP(TBL_USUARIOS[[#This Row],[ID_MASSA]],tbl_de_massas[id_massa],tbl_de_massas[cartao_fisico_numero],"--",0,1)</f>
        <v>3782 155660 6516</v>
      </c>
      <c r="F513" t="str">
        <f>_xlfn.XLOOKUP(TBL_USUARIOS[[#This Row],[ID_MASSA]],tbl_de_massas[id_massa],tbl_de_massas[nome_completo],"--",0,1)</f>
        <v>Mariana Costa Silva</v>
      </c>
      <c r="G513" s="47">
        <f>_xlfn.XLOOKUP(TBL_USUARIOS[[#This Row],[ID_MASSA]],tbl_de_massas[id_massa],tbl_de_massas[saldo_conta],"--",0,1)</f>
        <v>5559.3</v>
      </c>
      <c r="H513" t="str">
        <f>_xlfn.XLOOKUP(TBL_USUARIOS[[#This Row],[ID_MASSA]],tbl_de_massas[id_massa],tbl_de_massas[nome_completo],"--",0,1)</f>
        <v>Mariana Costa Silva</v>
      </c>
    </row>
    <row r="514" spans="1:8" x14ac:dyDescent="0.25">
      <c r="A514" s="2" t="s">
        <v>4673</v>
      </c>
      <c r="B514" t="str">
        <f>_xlfn.XLOOKUP(TBL_USUARIOS[[#This Row],[ID_MASSA]],tbl_de_massas[id_massa],tbl_de_massas[cpf],"--",0,1)</f>
        <v>37142562617</v>
      </c>
      <c r="C514" t="s">
        <v>12</v>
      </c>
      <c r="D514" t="str">
        <f>_xlfn.XLOOKUP(TBL_USUARIOS[[#This Row],[ID_MASSA]],tbl_de_massas[id_massa],tbl_de_massas[nome_completo],"--",0,1)</f>
        <v>Debora Castro Monteiro</v>
      </c>
      <c r="E514" t="str">
        <f>_xlfn.XLOOKUP(TBL_USUARIOS[[#This Row],[ID_MASSA]],tbl_de_massas[id_massa],tbl_de_massas[cartao_fisico_numero],"--",0,1)</f>
        <v>6505 0666 2036 4121</v>
      </c>
      <c r="F514" t="str">
        <f>_xlfn.XLOOKUP(TBL_USUARIOS[[#This Row],[ID_MASSA]],tbl_de_massas[id_massa],tbl_de_massas[nome_completo],"--",0,1)</f>
        <v>Debora Castro Monteiro</v>
      </c>
      <c r="G514" s="47">
        <f>_xlfn.XLOOKUP(TBL_USUARIOS[[#This Row],[ID_MASSA]],tbl_de_massas[id_massa],tbl_de_massas[saldo_conta],"--",0,1)</f>
        <v>5602.27</v>
      </c>
      <c r="H514" t="str">
        <f>_xlfn.XLOOKUP(TBL_USUARIOS[[#This Row],[ID_MASSA]],tbl_de_massas[id_massa],tbl_de_massas[nome_completo],"--",0,1)</f>
        <v>Debora Castro Monteiro</v>
      </c>
    </row>
    <row r="515" spans="1:8" x14ac:dyDescent="0.25">
      <c r="A515" s="2" t="s">
        <v>3979</v>
      </c>
      <c r="B515" t="str">
        <f>_xlfn.XLOOKUP(TBL_USUARIOS[[#This Row],[ID_MASSA]],tbl_de_massas[id_massa],tbl_de_massas[cpf],"--",0,1)</f>
        <v>13072736375</v>
      </c>
      <c r="C515" t="s">
        <v>12</v>
      </c>
      <c r="D515" t="str">
        <f>_xlfn.XLOOKUP(TBL_USUARIOS[[#This Row],[ID_MASSA]],tbl_de_massas[id_massa],tbl_de_massas[nome_completo],"--",0,1)</f>
        <v>Sabrina Moreira Barbosa</v>
      </c>
      <c r="E515" t="str">
        <f>_xlfn.XLOOKUP(TBL_USUARIOS[[#This Row],[ID_MASSA]],tbl_de_massas[id_massa],tbl_de_massas[cartao_fisico_numero],"--",0,1)</f>
        <v>6062 8200 4538 0495</v>
      </c>
      <c r="F515" t="str">
        <f>_xlfn.XLOOKUP(TBL_USUARIOS[[#This Row],[ID_MASSA]],tbl_de_massas[id_massa],tbl_de_massas[nome_completo],"--",0,1)</f>
        <v>Sabrina Moreira Barbosa</v>
      </c>
      <c r="G515" s="47">
        <f>_xlfn.XLOOKUP(TBL_USUARIOS[[#This Row],[ID_MASSA]],tbl_de_massas[id_massa],tbl_de_massas[saldo_conta],"--",0,1)</f>
        <v>5631.54</v>
      </c>
      <c r="H515" t="str">
        <f>_xlfn.XLOOKUP(TBL_USUARIOS[[#This Row],[ID_MASSA]],tbl_de_massas[id_massa],tbl_de_massas[nome_completo],"--",0,1)</f>
        <v>Sabrina Moreira Barbosa</v>
      </c>
    </row>
    <row r="516" spans="1:8" x14ac:dyDescent="0.25">
      <c r="A516" s="2" t="s">
        <v>4276</v>
      </c>
      <c r="B516" t="str">
        <f>_xlfn.XLOOKUP(TBL_USUARIOS[[#This Row],[ID_MASSA]],tbl_de_massas[id_massa],tbl_de_massas[cpf],"--",0,1)</f>
        <v>97568997006</v>
      </c>
      <c r="C516" t="s">
        <v>12</v>
      </c>
      <c r="D516" t="str">
        <f>_xlfn.XLOOKUP(TBL_USUARIOS[[#This Row],[ID_MASSA]],tbl_de_massas[id_massa],tbl_de_massas[nome_completo],"--",0,1)</f>
        <v>Carolina Silva</v>
      </c>
      <c r="E516" t="str">
        <f>_xlfn.XLOOKUP(TBL_USUARIOS[[#This Row],[ID_MASSA]],tbl_de_massas[id_massa],tbl_de_massas[cartao_fisico_numero],"--",0,1)</f>
        <v/>
      </c>
      <c r="F516" t="str">
        <f>_xlfn.XLOOKUP(TBL_USUARIOS[[#This Row],[ID_MASSA]],tbl_de_massas[id_massa],tbl_de_massas[nome_completo],"--",0,1)</f>
        <v>Carolina Silva</v>
      </c>
      <c r="G516" s="47">
        <f>_xlfn.XLOOKUP(TBL_USUARIOS[[#This Row],[ID_MASSA]],tbl_de_massas[id_massa],tbl_de_massas[saldo_conta],"--",0,1)</f>
        <v>5632.39</v>
      </c>
      <c r="H516" t="str">
        <f>_xlfn.XLOOKUP(TBL_USUARIOS[[#This Row],[ID_MASSA]],tbl_de_massas[id_massa],tbl_de_massas[nome_completo],"--",0,1)</f>
        <v>Carolina Silva</v>
      </c>
    </row>
    <row r="517" spans="1:8" x14ac:dyDescent="0.25">
      <c r="A517" s="2" t="s">
        <v>3740</v>
      </c>
      <c r="B517" t="str">
        <f>_xlfn.XLOOKUP(TBL_USUARIOS[[#This Row],[ID_MASSA]],tbl_de_massas[id_massa],tbl_de_massas[cpf],"--",0,1)</f>
        <v>68365470004</v>
      </c>
      <c r="C517" t="s">
        <v>12</v>
      </c>
      <c r="D517" t="str">
        <f>_xlfn.XLOOKUP(TBL_USUARIOS[[#This Row],[ID_MASSA]],tbl_de_massas[id_massa],tbl_de_massas[nome_completo],"--",0,1)</f>
        <v>Aline Martins Lima</v>
      </c>
      <c r="E517" t="str">
        <f>_xlfn.XLOOKUP(TBL_USUARIOS[[#This Row],[ID_MASSA]],tbl_de_massas[id_massa],tbl_de_massas[cartao_fisico_numero],"--",0,1)</f>
        <v/>
      </c>
      <c r="F517" t="str">
        <f>_xlfn.XLOOKUP(TBL_USUARIOS[[#This Row],[ID_MASSA]],tbl_de_massas[id_massa],tbl_de_massas[nome_completo],"--",0,1)</f>
        <v>Aline Martins Lima</v>
      </c>
      <c r="G517" s="47">
        <f>_xlfn.XLOOKUP(TBL_USUARIOS[[#This Row],[ID_MASSA]],tbl_de_massas[id_massa],tbl_de_massas[saldo_conta],"--",0,1)</f>
        <v>5651.92</v>
      </c>
      <c r="H517" t="str">
        <f>_xlfn.XLOOKUP(TBL_USUARIOS[[#This Row],[ID_MASSA]],tbl_de_massas[id_massa],tbl_de_massas[nome_completo],"--",0,1)</f>
        <v>Aline Martins Lima</v>
      </c>
    </row>
    <row r="518" spans="1:8" x14ac:dyDescent="0.25">
      <c r="A518" s="2" t="s">
        <v>4936</v>
      </c>
      <c r="B518" t="str">
        <f>_xlfn.XLOOKUP(TBL_USUARIOS[[#This Row],[ID_MASSA]],tbl_de_massas[id_massa],tbl_de_massas[cpf],"--",0,1)</f>
        <v>79346297964</v>
      </c>
      <c r="C518" t="s">
        <v>12</v>
      </c>
      <c r="D518" t="str">
        <f>_xlfn.XLOOKUP(TBL_USUARIOS[[#This Row],[ID_MASSA]],tbl_de_massas[id_massa],tbl_de_massas[nome_completo],"--",0,1)</f>
        <v>Fabio Teixeira</v>
      </c>
      <c r="E518" t="str">
        <f>_xlfn.XLOOKUP(TBL_USUARIOS[[#This Row],[ID_MASSA]],tbl_de_massas[id_massa],tbl_de_massas[cartao_fisico_numero],"--",0,1)</f>
        <v/>
      </c>
      <c r="F518" t="str">
        <f>_xlfn.XLOOKUP(TBL_USUARIOS[[#This Row],[ID_MASSA]],tbl_de_massas[id_massa],tbl_de_massas[nome_completo],"--",0,1)</f>
        <v>Fabio Teixeira</v>
      </c>
      <c r="G518" s="47">
        <f>_xlfn.XLOOKUP(TBL_USUARIOS[[#This Row],[ID_MASSA]],tbl_de_massas[id_massa],tbl_de_massas[saldo_conta],"--",0,1)</f>
        <v>5655.52</v>
      </c>
      <c r="H518" t="str">
        <f>_xlfn.XLOOKUP(TBL_USUARIOS[[#This Row],[ID_MASSA]],tbl_de_massas[id_massa],tbl_de_massas[nome_completo],"--",0,1)</f>
        <v>Fabio Teixeira</v>
      </c>
    </row>
    <row r="519" spans="1:8" x14ac:dyDescent="0.25">
      <c r="A519" s="2" t="s">
        <v>5863</v>
      </c>
      <c r="B519" t="str">
        <f>_xlfn.XLOOKUP(TBL_USUARIOS[[#This Row],[ID_MASSA]],tbl_de_massas[id_massa],tbl_de_massas[cpf],"--",0,1)</f>
        <v>71562078577</v>
      </c>
      <c r="C519" t="s">
        <v>12</v>
      </c>
      <c r="D519" t="str">
        <f>_xlfn.XLOOKUP(TBL_USUARIOS[[#This Row],[ID_MASSA]],tbl_de_massas[id_massa],tbl_de_massas[nome_completo],"--",0,1)</f>
        <v>Carolina Carvalho Souza</v>
      </c>
      <c r="E519" t="str">
        <f>_xlfn.XLOOKUP(TBL_USUARIOS[[#This Row],[ID_MASSA]],tbl_de_massas[id_massa],tbl_de_massas[cartao_fisico_numero],"--",0,1)</f>
        <v>6062 8200 9053 6661</v>
      </c>
      <c r="F519" t="str">
        <f>_xlfn.XLOOKUP(TBL_USUARIOS[[#This Row],[ID_MASSA]],tbl_de_massas[id_massa],tbl_de_massas[nome_completo],"--",0,1)</f>
        <v>Carolina Carvalho Souza</v>
      </c>
      <c r="G519" s="47">
        <f>_xlfn.XLOOKUP(TBL_USUARIOS[[#This Row],[ID_MASSA]],tbl_de_massas[id_massa],tbl_de_massas[saldo_conta],"--",0,1)</f>
        <v>5674.8</v>
      </c>
      <c r="H519" t="str">
        <f>_xlfn.XLOOKUP(TBL_USUARIOS[[#This Row],[ID_MASSA]],tbl_de_massas[id_massa],tbl_de_massas[nome_completo],"--",0,1)</f>
        <v>Carolina Carvalho Souza</v>
      </c>
    </row>
    <row r="520" spans="1:8" x14ac:dyDescent="0.25">
      <c r="A520" s="2" t="s">
        <v>4334</v>
      </c>
      <c r="B520" t="str">
        <f>_xlfn.XLOOKUP(TBL_USUARIOS[[#This Row],[ID_MASSA]],tbl_de_massas[id_massa],tbl_de_massas[cpf],"--",0,1)</f>
        <v>81249532361</v>
      </c>
      <c r="C520" t="s">
        <v>12</v>
      </c>
      <c r="D520" t="str">
        <f>_xlfn.XLOOKUP(TBL_USUARIOS[[#This Row],[ID_MASSA]],tbl_de_massas[id_massa],tbl_de_massas[nome_completo],"--",0,1)</f>
        <v>Fernanda Moura Nunes</v>
      </c>
      <c r="E520" t="str">
        <f>_xlfn.XLOOKUP(TBL_USUARIOS[[#This Row],[ID_MASSA]],tbl_de_massas[id_massa],tbl_de_massas[cartao_fisico_numero],"--",0,1)</f>
        <v>5442 7460 9017 2783</v>
      </c>
      <c r="F520" t="str">
        <f>_xlfn.XLOOKUP(TBL_USUARIOS[[#This Row],[ID_MASSA]],tbl_de_massas[id_massa],tbl_de_massas[nome_completo],"--",0,1)</f>
        <v>Fernanda Moura Nunes</v>
      </c>
      <c r="G520" s="47">
        <f>_xlfn.XLOOKUP(TBL_USUARIOS[[#This Row],[ID_MASSA]],tbl_de_massas[id_massa],tbl_de_massas[saldo_conta],"--",0,1)</f>
        <v>5696.92</v>
      </c>
      <c r="H520" t="str">
        <f>_xlfn.XLOOKUP(TBL_USUARIOS[[#This Row],[ID_MASSA]],tbl_de_massas[id_massa],tbl_de_massas[nome_completo],"--",0,1)</f>
        <v>Fernanda Moura Nunes</v>
      </c>
    </row>
    <row r="521" spans="1:8" x14ac:dyDescent="0.25">
      <c r="A521" s="2" t="s">
        <v>4847</v>
      </c>
      <c r="B521" t="str">
        <f>_xlfn.XLOOKUP(TBL_USUARIOS[[#This Row],[ID_MASSA]],tbl_de_massas[id_massa],tbl_de_massas[cpf],"--",0,1)</f>
        <v>93269482850</v>
      </c>
      <c r="C521" t="s">
        <v>12</v>
      </c>
      <c r="D521" t="str">
        <f>_xlfn.XLOOKUP(TBL_USUARIOS[[#This Row],[ID_MASSA]],tbl_de_massas[id_massa],tbl_de_massas[nome_completo],"--",0,1)</f>
        <v>Marcos Vieira Carvalho</v>
      </c>
      <c r="E521" t="str">
        <f>_xlfn.XLOOKUP(TBL_USUARIOS[[#This Row],[ID_MASSA]],tbl_de_massas[id_massa],tbl_de_massas[cartao_fisico_numero],"--",0,1)</f>
        <v>4576 7460 1146 7392</v>
      </c>
      <c r="F521" t="str">
        <f>_xlfn.XLOOKUP(TBL_USUARIOS[[#This Row],[ID_MASSA]],tbl_de_massas[id_massa],tbl_de_massas[nome_completo],"--",0,1)</f>
        <v>Marcos Vieira Carvalho</v>
      </c>
      <c r="G521" s="47">
        <f>_xlfn.XLOOKUP(TBL_USUARIOS[[#This Row],[ID_MASSA]],tbl_de_massas[id_massa],tbl_de_massas[saldo_conta],"--",0,1)</f>
        <v>5697.92</v>
      </c>
      <c r="H521" t="str">
        <f>_xlfn.XLOOKUP(TBL_USUARIOS[[#This Row],[ID_MASSA]],tbl_de_massas[id_massa],tbl_de_massas[nome_completo],"--",0,1)</f>
        <v>Marcos Vieira Carvalho</v>
      </c>
    </row>
    <row r="522" spans="1:8" x14ac:dyDescent="0.25">
      <c r="A522" s="2" t="s">
        <v>5094</v>
      </c>
      <c r="B522" t="str">
        <f>_xlfn.XLOOKUP(TBL_USUARIOS[[#This Row],[ID_MASSA]],tbl_de_massas[id_massa],tbl_de_massas[cpf],"--",0,1)</f>
        <v>04688251181</v>
      </c>
      <c r="C522" t="s">
        <v>12</v>
      </c>
      <c r="D522" t="str">
        <f>_xlfn.XLOOKUP(TBL_USUARIOS[[#This Row],[ID_MASSA]],tbl_de_massas[id_massa],tbl_de_massas[nome_completo],"--",0,1)</f>
        <v>Matheus Vieira</v>
      </c>
      <c r="E522" t="str">
        <f>_xlfn.XLOOKUP(TBL_USUARIOS[[#This Row],[ID_MASSA]],tbl_de_massas[id_massa],tbl_de_massas[cartao_fisico_numero],"--",0,1)</f>
        <v>5442 7460 8741 8923</v>
      </c>
      <c r="F522" t="str">
        <f>_xlfn.XLOOKUP(TBL_USUARIOS[[#This Row],[ID_MASSA]],tbl_de_massas[id_massa],tbl_de_massas[nome_completo],"--",0,1)</f>
        <v>Matheus Vieira</v>
      </c>
      <c r="G522" s="47">
        <f>_xlfn.XLOOKUP(TBL_USUARIOS[[#This Row],[ID_MASSA]],tbl_de_massas[id_massa],tbl_de_massas[saldo_conta],"--",0,1)</f>
        <v>5699.26</v>
      </c>
      <c r="H522" t="str">
        <f>_xlfn.XLOOKUP(TBL_USUARIOS[[#This Row],[ID_MASSA]],tbl_de_massas[id_massa],tbl_de_massas[nome_completo],"--",0,1)</f>
        <v>Matheus Vieira</v>
      </c>
    </row>
    <row r="523" spans="1:8" x14ac:dyDescent="0.25">
      <c r="A523" s="2" t="s">
        <v>6179</v>
      </c>
      <c r="B523" t="str">
        <f>_xlfn.XLOOKUP(TBL_USUARIOS[[#This Row],[ID_MASSA]],tbl_de_massas[id_massa],tbl_de_massas[cpf],"--",0,1)</f>
        <v>63099423521</v>
      </c>
      <c r="C523" t="s">
        <v>12</v>
      </c>
      <c r="D523" t="str">
        <f>_xlfn.XLOOKUP(TBL_USUARIOS[[#This Row],[ID_MASSA]],tbl_de_massas[id_massa],tbl_de_massas[nome_completo],"--",0,1)</f>
        <v>Sophia White</v>
      </c>
      <c r="E523" t="str">
        <f>_xlfn.XLOOKUP(TBL_USUARIOS[[#This Row],[ID_MASSA]],tbl_de_massas[id_massa],tbl_de_massas[cartao_fisico_numero],"--",0,1)</f>
        <v>5442 7460 7111 3081</v>
      </c>
      <c r="F523" t="str">
        <f>_xlfn.XLOOKUP(TBL_USUARIOS[[#This Row],[ID_MASSA]],tbl_de_massas[id_massa],tbl_de_massas[nome_completo],"--",0,1)</f>
        <v>Sophia White</v>
      </c>
      <c r="G523" s="47">
        <f>_xlfn.XLOOKUP(TBL_USUARIOS[[#This Row],[ID_MASSA]],tbl_de_massas[id_massa],tbl_de_massas[saldo_conta],"--",0,1)</f>
        <v>5705.95</v>
      </c>
      <c r="H523" t="str">
        <f>_xlfn.XLOOKUP(TBL_USUARIOS[[#This Row],[ID_MASSA]],tbl_de_massas[id_massa],tbl_de_massas[nome_completo],"--",0,1)</f>
        <v>Sophia White</v>
      </c>
    </row>
    <row r="524" spans="1:8" x14ac:dyDescent="0.25">
      <c r="A524" s="2" t="s">
        <v>6227</v>
      </c>
      <c r="B524" t="str">
        <f>_xlfn.XLOOKUP(TBL_USUARIOS[[#This Row],[ID_MASSA]],tbl_de_massas[id_massa],tbl_de_massas[cpf],"--",0,1)</f>
        <v>98296127679</v>
      </c>
      <c r="C524" t="s">
        <v>12</v>
      </c>
      <c r="D524" t="str">
        <f>_xlfn.XLOOKUP(TBL_USUARIOS[[#This Row],[ID_MASSA]],tbl_de_massas[id_massa],tbl_de_massas[nome_completo],"--",0,1)</f>
        <v>Elizabeth Wright</v>
      </c>
      <c r="E524" t="str">
        <f>_xlfn.XLOOKUP(TBL_USUARIOS[[#This Row],[ID_MASSA]],tbl_de_massas[id_massa],tbl_de_massas[cartao_fisico_numero],"--",0,1)</f>
        <v>3782 355945 3301</v>
      </c>
      <c r="F524" t="str">
        <f>_xlfn.XLOOKUP(TBL_USUARIOS[[#This Row],[ID_MASSA]],tbl_de_massas[id_massa],tbl_de_massas[nome_completo],"--",0,1)</f>
        <v>Elizabeth Wright</v>
      </c>
      <c r="G524" s="47">
        <f>_xlfn.XLOOKUP(TBL_USUARIOS[[#This Row],[ID_MASSA]],tbl_de_massas[id_massa],tbl_de_massas[saldo_conta],"--",0,1)</f>
        <v>5731.91</v>
      </c>
      <c r="H524" t="str">
        <f>_xlfn.XLOOKUP(TBL_USUARIOS[[#This Row],[ID_MASSA]],tbl_de_massas[id_massa],tbl_de_massas[nome_completo],"--",0,1)</f>
        <v>Elizabeth Wright</v>
      </c>
    </row>
    <row r="525" spans="1:8" x14ac:dyDescent="0.25">
      <c r="A525" s="2" t="s">
        <v>2185</v>
      </c>
      <c r="B525" s="14" t="str">
        <f>_xlfn.XLOOKUP(TBL_USUARIOS[[#This Row],[ID_MASSA]],tbl_de_massas[id_massa],tbl_de_massas[cpf],"--",0,1)</f>
        <v>30423481053</v>
      </c>
      <c r="C525" t="s">
        <v>12</v>
      </c>
      <c r="D525" t="str">
        <f>_xlfn.XLOOKUP(TBL_USUARIOS[[#This Row],[ID_MASSA]],tbl_de_massas[id_massa],tbl_de_massas[nome_completo],"--",0,1)</f>
        <v>Joaquin Gonzalez</v>
      </c>
      <c r="E525" t="str">
        <f>_xlfn.XLOOKUP(TBL_USUARIOS[[#This Row],[ID_MASSA]],tbl_de_massas[id_massa],tbl_de_massas[cartao_fisico_numero],"--",0,1)</f>
        <v>6062 8200 2812 3053</v>
      </c>
      <c r="F525" t="str">
        <f>_xlfn.XLOOKUP(TBL_USUARIOS[[#This Row],[ID_MASSA]],tbl_de_massas[id_massa],tbl_de_massas[nome_completo],"--",0,1)</f>
        <v>Joaquin Gonzalez</v>
      </c>
      <c r="G525" s="47">
        <f>_xlfn.XLOOKUP(TBL_USUARIOS[[#This Row],[ID_MASSA]],tbl_de_massas[id_massa],tbl_de_massas[saldo_conta],"--",0,1)</f>
        <v>5743.67</v>
      </c>
      <c r="H525" t="str">
        <f>_xlfn.XLOOKUP(TBL_USUARIOS[[#This Row],[ID_MASSA]],tbl_de_massas[id_massa],tbl_de_massas[nome_completo],"--",0,1)</f>
        <v>Joaquin Gonzalez</v>
      </c>
    </row>
    <row r="526" spans="1:8" x14ac:dyDescent="0.25">
      <c r="A526" s="2" t="s">
        <v>4883</v>
      </c>
      <c r="B526" t="str">
        <f>_xlfn.XLOOKUP(TBL_USUARIOS[[#This Row],[ID_MASSA]],tbl_de_massas[id_massa],tbl_de_massas[cpf],"--",0,1)</f>
        <v>59072013980</v>
      </c>
      <c r="C526" t="s">
        <v>12</v>
      </c>
      <c r="D526" t="str">
        <f>_xlfn.XLOOKUP(TBL_USUARIOS[[#This Row],[ID_MASSA]],tbl_de_massas[id_massa],tbl_de_massas[nome_completo],"--",0,1)</f>
        <v>Marcelo Teixeira</v>
      </c>
      <c r="E526" t="str">
        <f>_xlfn.XLOOKUP(TBL_USUARIOS[[#This Row],[ID_MASSA]],tbl_de_massas[id_massa],tbl_de_massas[cartao_fisico_numero],"--",0,1)</f>
        <v/>
      </c>
      <c r="F526" t="str">
        <f>_xlfn.XLOOKUP(TBL_USUARIOS[[#This Row],[ID_MASSA]],tbl_de_massas[id_massa],tbl_de_massas[nome_completo],"--",0,1)</f>
        <v>Marcelo Teixeira</v>
      </c>
      <c r="G526" s="47">
        <f>_xlfn.XLOOKUP(TBL_USUARIOS[[#This Row],[ID_MASSA]],tbl_de_massas[id_massa],tbl_de_massas[saldo_conta],"--",0,1)</f>
        <v>3624.11</v>
      </c>
      <c r="H526" t="str">
        <f>_xlfn.XLOOKUP(TBL_USUARIOS[[#This Row],[ID_MASSA]],tbl_de_massas[id_massa],tbl_de_massas[nome_completo],"--",0,1)</f>
        <v>Marcelo Teixeira</v>
      </c>
    </row>
    <row r="527" spans="1:8" x14ac:dyDescent="0.25">
      <c r="A527" s="2" t="s">
        <v>2434</v>
      </c>
      <c r="B527" s="14" t="str">
        <f>_xlfn.XLOOKUP(TBL_USUARIOS[[#This Row],[ID_MASSA]],tbl_de_massas[id_massa],tbl_de_massas[cpf],"--",0,1)</f>
        <v>77911486336</v>
      </c>
      <c r="C527" t="s">
        <v>12</v>
      </c>
      <c r="D527" t="str">
        <f>_xlfn.XLOOKUP(TBL_USUARIOS[[#This Row],[ID_MASSA]],tbl_de_massas[id_massa],tbl_de_massas[nome_completo],"--",0,1)</f>
        <v>Lucas Laurent</v>
      </c>
      <c r="E527" t="str">
        <f>_xlfn.XLOOKUP(TBL_USUARIOS[[#This Row],[ID_MASSA]],tbl_de_massas[id_massa],tbl_de_massas[cartao_fisico_numero],"--",0,1)</f>
        <v>3782 136636 9049</v>
      </c>
      <c r="F527" t="str">
        <f>_xlfn.XLOOKUP(TBL_USUARIOS[[#This Row],[ID_MASSA]],tbl_de_massas[id_massa],tbl_de_massas[nome_completo],"--",0,1)</f>
        <v>Lucas Laurent</v>
      </c>
      <c r="G527" s="47">
        <f>_xlfn.XLOOKUP(TBL_USUARIOS[[#This Row],[ID_MASSA]],tbl_de_massas[id_massa],tbl_de_massas[saldo_conta],"--",0,1)</f>
        <v>5754.36</v>
      </c>
      <c r="H527" t="str">
        <f>_xlfn.XLOOKUP(TBL_USUARIOS[[#This Row],[ID_MASSA]],tbl_de_massas[id_massa],tbl_de_massas[nome_completo],"--",0,1)</f>
        <v>Lucas Laurent</v>
      </c>
    </row>
    <row r="528" spans="1:8" x14ac:dyDescent="0.25">
      <c r="A528" s="2" t="s">
        <v>5170</v>
      </c>
      <c r="B528" t="str">
        <f>_xlfn.XLOOKUP(TBL_USUARIOS[[#This Row],[ID_MASSA]],tbl_de_massas[id_massa],tbl_de_massas[cpf],"--",0,1)</f>
        <v>94338323531</v>
      </c>
      <c r="C528" t="s">
        <v>12</v>
      </c>
      <c r="D528" t="str">
        <f>_xlfn.XLOOKUP(TBL_USUARIOS[[#This Row],[ID_MASSA]],tbl_de_massas[id_massa],tbl_de_massas[nome_completo],"--",0,1)</f>
        <v>Rodrigo Vieira</v>
      </c>
      <c r="E528" t="str">
        <f>_xlfn.XLOOKUP(TBL_USUARIOS[[#This Row],[ID_MASSA]],tbl_de_massas[id_massa],tbl_de_massas[cartao_fisico_numero],"--",0,1)</f>
        <v>6505 0666 2042 2854</v>
      </c>
      <c r="F528" t="str">
        <f>_xlfn.XLOOKUP(TBL_USUARIOS[[#This Row],[ID_MASSA]],tbl_de_massas[id_massa],tbl_de_massas[nome_completo],"--",0,1)</f>
        <v>Rodrigo Vieira</v>
      </c>
      <c r="G528" s="47">
        <f>_xlfn.XLOOKUP(TBL_USUARIOS[[#This Row],[ID_MASSA]],tbl_de_massas[id_massa],tbl_de_massas[saldo_conta],"--",0,1)</f>
        <v>5764.88</v>
      </c>
      <c r="H528" t="str">
        <f>_xlfn.XLOOKUP(TBL_USUARIOS[[#This Row],[ID_MASSA]],tbl_de_massas[id_massa],tbl_de_massas[nome_completo],"--",0,1)</f>
        <v>Rodrigo Vieira</v>
      </c>
    </row>
    <row r="529" spans="1:8" x14ac:dyDescent="0.25">
      <c r="A529" s="2" t="s">
        <v>3381</v>
      </c>
      <c r="B529" t="str">
        <f>_xlfn.XLOOKUP(TBL_USUARIOS[[#This Row],[ID_MASSA]],tbl_de_massas[id_massa],tbl_de_massas[cpf],"--",0,1)</f>
        <v>61215935986</v>
      </c>
      <c r="C529" t="s">
        <v>12</v>
      </c>
      <c r="D529" t="str">
        <f>_xlfn.XLOOKUP(TBL_USUARIOS[[#This Row],[ID_MASSA]],tbl_de_massas[id_massa],tbl_de_massas[nome_completo],"--",0,1)</f>
        <v>Carolina Almeida Pereira</v>
      </c>
      <c r="E529" t="str">
        <f>_xlfn.XLOOKUP(TBL_USUARIOS[[#This Row],[ID_MASSA]],tbl_de_massas[id_massa],tbl_de_massas[cartao_fisico_numero],"--",0,1)</f>
        <v>4576 7460 8094 8576</v>
      </c>
      <c r="F529" t="str">
        <f>_xlfn.XLOOKUP(TBL_USUARIOS[[#This Row],[ID_MASSA]],tbl_de_massas[id_massa],tbl_de_massas[nome_completo],"--",0,1)</f>
        <v>Carolina Almeida Pereira</v>
      </c>
      <c r="G529" s="47">
        <f>_xlfn.XLOOKUP(TBL_USUARIOS[[#This Row],[ID_MASSA]],tbl_de_massas[id_massa],tbl_de_massas[saldo_conta],"--",0,1)</f>
        <v>5781.81</v>
      </c>
      <c r="H529" t="str">
        <f>_xlfn.XLOOKUP(TBL_USUARIOS[[#This Row],[ID_MASSA]],tbl_de_massas[id_massa],tbl_de_massas[nome_completo],"--",0,1)</f>
        <v>Carolina Almeida Pereira</v>
      </c>
    </row>
    <row r="530" spans="1:8" x14ac:dyDescent="0.25">
      <c r="A530" s="2" t="s">
        <v>4761</v>
      </c>
      <c r="B530" t="str">
        <f>_xlfn.XLOOKUP(TBL_USUARIOS[[#This Row],[ID_MASSA]],tbl_de_massas[id_massa],tbl_de_massas[cpf],"--",0,1)</f>
        <v>87164119279</v>
      </c>
      <c r="C530" t="s">
        <v>12</v>
      </c>
      <c r="D530" t="str">
        <f>_xlfn.XLOOKUP(TBL_USUARIOS[[#This Row],[ID_MASSA]],tbl_de_massas[id_massa],tbl_de_massas[nome_completo],"--",0,1)</f>
        <v>Carolina Costa Monteiro</v>
      </c>
      <c r="E530" t="str">
        <f>_xlfn.XLOOKUP(TBL_USUARIOS[[#This Row],[ID_MASSA]],tbl_de_massas[id_massa],tbl_de_massas[cartao_fisico_numero],"--",0,1)</f>
        <v>4576 7460 3393 0281</v>
      </c>
      <c r="F530" t="str">
        <f>_xlfn.XLOOKUP(TBL_USUARIOS[[#This Row],[ID_MASSA]],tbl_de_massas[id_massa],tbl_de_massas[nome_completo],"--",0,1)</f>
        <v>Carolina Costa Monteiro</v>
      </c>
      <c r="G530" s="47">
        <f>_xlfn.XLOOKUP(TBL_USUARIOS[[#This Row],[ID_MASSA]],tbl_de_massas[id_massa],tbl_de_massas[saldo_conta],"--",0,1)</f>
        <v>5798.54</v>
      </c>
      <c r="H530" t="str">
        <f>_xlfn.XLOOKUP(TBL_USUARIOS[[#This Row],[ID_MASSA]],tbl_de_massas[id_massa],tbl_de_massas[nome_completo],"--",0,1)</f>
        <v>Carolina Costa Monteiro</v>
      </c>
    </row>
    <row r="531" spans="1:8" x14ac:dyDescent="0.25">
      <c r="A531" s="2" t="s">
        <v>2186</v>
      </c>
      <c r="B531" s="14" t="str">
        <f>_xlfn.XLOOKUP(TBL_USUARIOS[[#This Row],[ID_MASSA]],tbl_de_massas[id_massa],tbl_de_massas[cpf],"--",0,1)</f>
        <v>00238338827</v>
      </c>
      <c r="C531" t="s">
        <v>12</v>
      </c>
      <c r="D531" t="str">
        <f>_xlfn.XLOOKUP(TBL_USUARIOS[[#This Row],[ID_MASSA]],tbl_de_massas[id_massa],tbl_de_massas[nome_completo],"--",0,1)</f>
        <v>Lucas Gabriel Ferreira</v>
      </c>
      <c r="E531" t="str">
        <f>_xlfn.XLOOKUP(TBL_USUARIOS[[#This Row],[ID_MASSA]],tbl_de_massas[id_massa],tbl_de_massas[cartao_fisico_numero],"--",0,1)</f>
        <v>3782 493613 7137</v>
      </c>
      <c r="F531" t="str">
        <f>_xlfn.XLOOKUP(TBL_USUARIOS[[#This Row],[ID_MASSA]],tbl_de_massas[id_massa],tbl_de_massas[nome_completo],"--",0,1)</f>
        <v>Lucas Gabriel Ferreira</v>
      </c>
      <c r="G531" s="47">
        <f>_xlfn.XLOOKUP(TBL_USUARIOS[[#This Row],[ID_MASSA]],tbl_de_massas[id_massa],tbl_de_massas[saldo_conta],"--",0,1)</f>
        <v>5812.85</v>
      </c>
      <c r="H531" t="str">
        <f>_xlfn.XLOOKUP(TBL_USUARIOS[[#This Row],[ID_MASSA]],tbl_de_massas[id_massa],tbl_de_massas[nome_completo],"--",0,1)</f>
        <v>Lucas Gabriel Ferreira</v>
      </c>
    </row>
    <row r="532" spans="1:8" x14ac:dyDescent="0.25">
      <c r="A532" s="2" t="s">
        <v>2919</v>
      </c>
      <c r="B532" t="str">
        <f>_xlfn.XLOOKUP(TBL_USUARIOS[[#This Row],[ID_MASSA]],tbl_de_massas[id_massa],tbl_de_massas[cpf],"--",0,1)</f>
        <v>83483323325</v>
      </c>
      <c r="C532" t="s">
        <v>12</v>
      </c>
      <c r="D532" t="str">
        <f>_xlfn.XLOOKUP(TBL_USUARIOS[[#This Row],[ID_MASSA]],tbl_de_massas[id_massa],tbl_de_massas[nome_completo],"--",0,1)</f>
        <v>Jessica Fernandes</v>
      </c>
      <c r="E532" t="str">
        <f>_xlfn.XLOOKUP(TBL_USUARIOS[[#This Row],[ID_MASSA]],tbl_de_massas[id_massa],tbl_de_massas[cartao_fisico_numero],"--",0,1)</f>
        <v>6505 0666 1700 2412</v>
      </c>
      <c r="F532" t="str">
        <f>_xlfn.XLOOKUP(TBL_USUARIOS[[#This Row],[ID_MASSA]],tbl_de_massas[id_massa],tbl_de_massas[nome_completo],"--",0,1)</f>
        <v>Jessica Fernandes</v>
      </c>
      <c r="G532" s="47">
        <f>_xlfn.XLOOKUP(TBL_USUARIOS[[#This Row],[ID_MASSA]],tbl_de_massas[id_massa],tbl_de_massas[saldo_conta],"--",0,1)</f>
        <v>5817.38</v>
      </c>
      <c r="H532" t="str">
        <f>_xlfn.XLOOKUP(TBL_USUARIOS[[#This Row],[ID_MASSA]],tbl_de_massas[id_massa],tbl_de_massas[nome_completo],"--",0,1)</f>
        <v>Jessica Fernandes</v>
      </c>
    </row>
    <row r="533" spans="1:8" x14ac:dyDescent="0.25">
      <c r="A533" s="2" t="s">
        <v>5505</v>
      </c>
      <c r="B533" t="str">
        <f>_xlfn.XLOOKUP(TBL_USUARIOS[[#This Row],[ID_MASSA]],tbl_de_massas[id_massa],tbl_de_massas[cpf],"--",0,1)</f>
        <v>26520854417</v>
      </c>
      <c r="C533" t="s">
        <v>12</v>
      </c>
      <c r="D533" t="str">
        <f>_xlfn.XLOOKUP(TBL_USUARIOS[[#This Row],[ID_MASSA]],tbl_de_massas[id_massa],tbl_de_massas[nome_completo],"--",0,1)</f>
        <v>Vinicius Barros</v>
      </c>
      <c r="E533" t="str">
        <f>_xlfn.XLOOKUP(TBL_USUARIOS[[#This Row],[ID_MASSA]],tbl_de_massas[id_massa],tbl_de_massas[cartao_fisico_numero],"--",0,1)</f>
        <v>6505 0666 1022 5065</v>
      </c>
      <c r="F533" t="str">
        <f>_xlfn.XLOOKUP(TBL_USUARIOS[[#This Row],[ID_MASSA]],tbl_de_massas[id_massa],tbl_de_massas[nome_completo],"--",0,1)</f>
        <v>Vinicius Barros</v>
      </c>
      <c r="G533" s="47">
        <f>_xlfn.XLOOKUP(TBL_USUARIOS[[#This Row],[ID_MASSA]],tbl_de_massas[id_massa],tbl_de_massas[saldo_conta],"--",0,1)</f>
        <v>5829.63</v>
      </c>
      <c r="H533" t="str">
        <f>_xlfn.XLOOKUP(TBL_USUARIOS[[#This Row],[ID_MASSA]],tbl_de_massas[id_massa],tbl_de_massas[nome_completo],"--",0,1)</f>
        <v>Vinicius Barros</v>
      </c>
    </row>
    <row r="534" spans="1:8" x14ac:dyDescent="0.25">
      <c r="A534" s="2" t="s">
        <v>3678</v>
      </c>
      <c r="B534" t="str">
        <f>_xlfn.XLOOKUP(TBL_USUARIOS[[#This Row],[ID_MASSA]],tbl_de_massas[id_massa],tbl_de_massas[cpf],"--",0,1)</f>
        <v>23917560208</v>
      </c>
      <c r="C534" t="s">
        <v>12</v>
      </c>
      <c r="D534" t="str">
        <f>_xlfn.XLOOKUP(TBL_USUARIOS[[#This Row],[ID_MASSA]],tbl_de_massas[id_massa],tbl_de_massas[nome_completo],"--",0,1)</f>
        <v>Vanessa Lima</v>
      </c>
      <c r="E534" t="str">
        <f>_xlfn.XLOOKUP(TBL_USUARIOS[[#This Row],[ID_MASSA]],tbl_de_massas[id_massa],tbl_de_massas[cartao_fisico_numero],"--",0,1)</f>
        <v>6062 8200 7816 7543</v>
      </c>
      <c r="F534" t="str">
        <f>_xlfn.XLOOKUP(TBL_USUARIOS[[#This Row],[ID_MASSA]],tbl_de_massas[id_massa],tbl_de_massas[nome_completo],"--",0,1)</f>
        <v>Vanessa Lima</v>
      </c>
      <c r="G534" s="47">
        <f>_xlfn.XLOOKUP(TBL_USUARIOS[[#This Row],[ID_MASSA]],tbl_de_massas[id_massa],tbl_de_massas[saldo_conta],"--",0,1)</f>
        <v>5831.79</v>
      </c>
      <c r="H534" t="str">
        <f>_xlfn.XLOOKUP(TBL_USUARIOS[[#This Row],[ID_MASSA]],tbl_de_massas[id_massa],tbl_de_massas[nome_completo],"--",0,1)</f>
        <v>Vanessa Lima</v>
      </c>
    </row>
    <row r="535" spans="1:8" x14ac:dyDescent="0.25">
      <c r="A535" s="2" t="s">
        <v>2171</v>
      </c>
      <c r="B535" s="14" t="str">
        <f>_xlfn.XLOOKUP(TBL_USUARIOS[[#This Row],[ID_MASSA]],tbl_de_massas[id_massa],tbl_de_massas[cpf],"--",0,1)</f>
        <v>84585226834</v>
      </c>
      <c r="C535" t="s">
        <v>12</v>
      </c>
      <c r="D535" t="str">
        <f>_xlfn.XLOOKUP(TBL_USUARIOS[[#This Row],[ID_MASSA]],tbl_de_massas[id_massa],tbl_de_massas[nome_completo],"--",0,1)</f>
        <v>Wei Li</v>
      </c>
      <c r="E535" t="str">
        <f>_xlfn.XLOOKUP(TBL_USUARIOS[[#This Row],[ID_MASSA]],tbl_de_massas[id_massa],tbl_de_massas[cartao_fisico_numero],"--",0,1)</f>
        <v>6062 8200 1482 6074</v>
      </c>
      <c r="F535" t="str">
        <f>_xlfn.XLOOKUP(TBL_USUARIOS[[#This Row],[ID_MASSA]],tbl_de_massas[id_massa],tbl_de_massas[nome_completo],"--",0,1)</f>
        <v>Wei Li</v>
      </c>
      <c r="G535" s="47">
        <f>_xlfn.XLOOKUP(TBL_USUARIOS[[#This Row],[ID_MASSA]],tbl_de_massas[id_massa],tbl_de_massas[saldo_conta],"--",0,1)</f>
        <v>5889.65</v>
      </c>
      <c r="H535" t="str">
        <f>_xlfn.XLOOKUP(TBL_USUARIOS[[#This Row],[ID_MASSA]],tbl_de_massas[id_massa],tbl_de_massas[nome_completo],"--",0,1)</f>
        <v>Wei Li</v>
      </c>
    </row>
    <row r="536" spans="1:8" x14ac:dyDescent="0.25">
      <c r="A536" s="2" t="s">
        <v>3063</v>
      </c>
      <c r="B536" t="str">
        <f>_xlfn.XLOOKUP(TBL_USUARIOS[[#This Row],[ID_MASSA]],tbl_de_massas[id_massa],tbl_de_massas[cpf],"--",0,1)</f>
        <v>34794102194</v>
      </c>
      <c r="C536" t="s">
        <v>12</v>
      </c>
      <c r="D536" t="str">
        <f>_xlfn.XLOOKUP(TBL_USUARIOS[[#This Row],[ID_MASSA]],tbl_de_massas[id_massa],tbl_de_massas[nome_completo],"--",0,1)</f>
        <v>Carolina Campos Fernandes</v>
      </c>
      <c r="E536" t="str">
        <f>_xlfn.XLOOKUP(TBL_USUARIOS[[#This Row],[ID_MASSA]],tbl_de_massas[id_massa],tbl_de_massas[cartao_fisico_numero],"--",0,1)</f>
        <v>5442 7460 1599 3634</v>
      </c>
      <c r="F536" t="str">
        <f>_xlfn.XLOOKUP(TBL_USUARIOS[[#This Row],[ID_MASSA]],tbl_de_massas[id_massa],tbl_de_massas[nome_completo],"--",0,1)</f>
        <v>Carolina Campos Fernandes</v>
      </c>
      <c r="G536" s="47">
        <f>_xlfn.XLOOKUP(TBL_USUARIOS[[#This Row],[ID_MASSA]],tbl_de_massas[id_massa],tbl_de_massas[saldo_conta],"--",0,1)</f>
        <v>5916.31</v>
      </c>
      <c r="H536" t="str">
        <f>_xlfn.XLOOKUP(TBL_USUARIOS[[#This Row],[ID_MASSA]],tbl_de_massas[id_massa],tbl_de_massas[nome_completo],"--",0,1)</f>
        <v>Carolina Campos Fernandes</v>
      </c>
    </row>
    <row r="537" spans="1:8" x14ac:dyDescent="0.25">
      <c r="A537" s="2" t="s">
        <v>3574</v>
      </c>
      <c r="B537" t="str">
        <f>_xlfn.XLOOKUP(TBL_USUARIOS[[#This Row],[ID_MASSA]],tbl_de_massas[id_massa],tbl_de_massas[cpf],"--",0,1)</f>
        <v>35678510630</v>
      </c>
      <c r="C537" t="s">
        <v>12</v>
      </c>
      <c r="D537" t="str">
        <f>_xlfn.XLOOKUP(TBL_USUARIOS[[#This Row],[ID_MASSA]],tbl_de_massas[id_massa],tbl_de_massas[nome_completo],"--",0,1)</f>
        <v>Gabriel Mendes</v>
      </c>
      <c r="E537" t="str">
        <f>_xlfn.XLOOKUP(TBL_USUARIOS[[#This Row],[ID_MASSA]],tbl_de_massas[id_massa],tbl_de_massas[cartao_fisico_numero],"--",0,1)</f>
        <v>5442 7460 1340 5488</v>
      </c>
      <c r="F537" t="str">
        <f>_xlfn.XLOOKUP(TBL_USUARIOS[[#This Row],[ID_MASSA]],tbl_de_massas[id_massa],tbl_de_massas[nome_completo],"--",0,1)</f>
        <v>Gabriel Mendes</v>
      </c>
      <c r="G537" s="47">
        <f>_xlfn.XLOOKUP(TBL_USUARIOS[[#This Row],[ID_MASSA]],tbl_de_massas[id_massa],tbl_de_massas[saldo_conta],"--",0,1)</f>
        <v>5930.35</v>
      </c>
      <c r="H537" t="str">
        <f>_xlfn.XLOOKUP(TBL_USUARIOS[[#This Row],[ID_MASSA]],tbl_de_massas[id_massa],tbl_de_massas[nome_completo],"--",0,1)</f>
        <v>Gabriel Mendes</v>
      </c>
    </row>
    <row r="538" spans="1:8" x14ac:dyDescent="0.25">
      <c r="A538" s="2" t="s">
        <v>2166</v>
      </c>
      <c r="B538" s="14" t="str">
        <f>_xlfn.XLOOKUP(TBL_USUARIOS[[#This Row],[ID_MASSA]],tbl_de_massas[id_massa],tbl_de_massas[cpf],"--",0,1)</f>
        <v>41750109719</v>
      </c>
      <c r="C538" t="s">
        <v>12</v>
      </c>
      <c r="D538" t="str">
        <f>_xlfn.XLOOKUP(TBL_USUARIOS[[#This Row],[ID_MASSA]],tbl_de_massas[id_massa],tbl_de_massas[nome_completo],"--",0,1)</f>
        <v>Jiwoo Park</v>
      </c>
      <c r="E538" t="str">
        <f>_xlfn.XLOOKUP(TBL_USUARIOS[[#This Row],[ID_MASSA]],tbl_de_massas[id_massa],tbl_de_massas[cartao_fisico_numero],"--",0,1)</f>
        <v>5442 7460 4468 2208</v>
      </c>
      <c r="F538" t="str">
        <f>_xlfn.XLOOKUP(TBL_USUARIOS[[#This Row],[ID_MASSA]],tbl_de_massas[id_massa],tbl_de_massas[nome_completo],"--",0,1)</f>
        <v>Jiwoo Park</v>
      </c>
      <c r="G538" s="47">
        <f>_xlfn.XLOOKUP(TBL_USUARIOS[[#This Row],[ID_MASSA]],tbl_de_massas[id_massa],tbl_de_massas[saldo_conta],"--",0,1)</f>
        <v>5972.53</v>
      </c>
      <c r="H538" t="str">
        <f>_xlfn.XLOOKUP(TBL_USUARIOS[[#This Row],[ID_MASSA]],tbl_de_massas[id_massa],tbl_de_massas[nome_completo],"--",0,1)</f>
        <v>Jiwoo Park</v>
      </c>
    </row>
    <row r="539" spans="1:8" x14ac:dyDescent="0.25">
      <c r="A539" s="2" t="s">
        <v>4874</v>
      </c>
      <c r="B539" t="str">
        <f>_xlfn.XLOOKUP(TBL_USUARIOS[[#This Row],[ID_MASSA]],tbl_de_massas[id_massa],tbl_de_massas[cpf],"--",0,1)</f>
        <v>14771328056</v>
      </c>
      <c r="C539" t="s">
        <v>12</v>
      </c>
      <c r="D539" t="str">
        <f>_xlfn.XLOOKUP(TBL_USUARIOS[[#This Row],[ID_MASSA]],tbl_de_massas[id_massa],tbl_de_massas[nome_completo],"--",0,1)</f>
        <v>Guilherme Rodrigues Monteiro</v>
      </c>
      <c r="E539" t="str">
        <f>_xlfn.XLOOKUP(TBL_USUARIOS[[#This Row],[ID_MASSA]],tbl_de_massas[id_massa],tbl_de_massas[cartao_fisico_numero],"--",0,1)</f>
        <v>4576 7460 2789 9609</v>
      </c>
      <c r="F539" t="str">
        <f>_xlfn.XLOOKUP(TBL_USUARIOS[[#This Row],[ID_MASSA]],tbl_de_massas[id_massa],tbl_de_massas[nome_completo],"--",0,1)</f>
        <v>Guilherme Rodrigues Monteiro</v>
      </c>
      <c r="G539" s="47">
        <f>_xlfn.XLOOKUP(TBL_USUARIOS[[#This Row],[ID_MASSA]],tbl_de_massas[id_massa],tbl_de_massas[saldo_conta],"--",0,1)</f>
        <v>6005.23</v>
      </c>
      <c r="H539" t="str">
        <f>_xlfn.XLOOKUP(TBL_USUARIOS[[#This Row],[ID_MASSA]],tbl_de_massas[id_massa],tbl_de_massas[nome_completo],"--",0,1)</f>
        <v>Guilherme Rodrigues Monteiro</v>
      </c>
    </row>
    <row r="540" spans="1:8" x14ac:dyDescent="0.25">
      <c r="A540" s="2" t="s">
        <v>5233</v>
      </c>
      <c r="B540" t="str">
        <f>_xlfn.XLOOKUP(TBL_USUARIOS[[#This Row],[ID_MASSA]],tbl_de_massas[id_massa],tbl_de_massas[cpf],"--",0,1)</f>
        <v>06506988193</v>
      </c>
      <c r="C540" t="s">
        <v>12</v>
      </c>
      <c r="D540" t="str">
        <f>_xlfn.XLOOKUP(TBL_USUARIOS[[#This Row],[ID_MASSA]],tbl_de_massas[id_massa],tbl_de_massas[nome_completo],"--",0,1)</f>
        <v>Carolina Alves Ribeiro</v>
      </c>
      <c r="E540" t="str">
        <f>_xlfn.XLOOKUP(TBL_USUARIOS[[#This Row],[ID_MASSA]],tbl_de_massas[id_massa],tbl_de_massas[cartao_fisico_numero],"--",0,1)</f>
        <v>3782 819329 3591</v>
      </c>
      <c r="F540" t="str">
        <f>_xlfn.XLOOKUP(TBL_USUARIOS[[#This Row],[ID_MASSA]],tbl_de_massas[id_massa],tbl_de_massas[nome_completo],"--",0,1)</f>
        <v>Carolina Alves Ribeiro</v>
      </c>
      <c r="G540" s="47">
        <f>_xlfn.XLOOKUP(TBL_USUARIOS[[#This Row],[ID_MASSA]],tbl_de_massas[id_massa],tbl_de_massas[saldo_conta],"--",0,1)</f>
        <v>6038.19</v>
      </c>
      <c r="H540" t="str">
        <f>_xlfn.XLOOKUP(TBL_USUARIOS[[#This Row],[ID_MASSA]],tbl_de_massas[id_massa],tbl_de_massas[nome_completo],"--",0,1)</f>
        <v>Carolina Alves Ribeiro</v>
      </c>
    </row>
    <row r="541" spans="1:8" x14ac:dyDescent="0.25">
      <c r="A541" s="2" t="s">
        <v>3708</v>
      </c>
      <c r="B541" t="str">
        <f>_xlfn.XLOOKUP(TBL_USUARIOS[[#This Row],[ID_MASSA]],tbl_de_massas[id_massa],tbl_de_massas[cpf],"--",0,1)</f>
        <v>50839317107</v>
      </c>
      <c r="C541" t="s">
        <v>12</v>
      </c>
      <c r="D541" t="str">
        <f>_xlfn.XLOOKUP(TBL_USUARIOS[[#This Row],[ID_MASSA]],tbl_de_massas[id_massa],tbl_de_massas[nome_completo],"--",0,1)</f>
        <v>Thiago Ribeiro</v>
      </c>
      <c r="E541" t="str">
        <f>_xlfn.XLOOKUP(TBL_USUARIOS[[#This Row],[ID_MASSA]],tbl_de_massas[id_massa],tbl_de_massas[cartao_fisico_numero],"--",0,1)</f>
        <v>5442 7460 3061 5889</v>
      </c>
      <c r="F541" t="str">
        <f>_xlfn.XLOOKUP(TBL_USUARIOS[[#This Row],[ID_MASSA]],tbl_de_massas[id_massa],tbl_de_massas[nome_completo],"--",0,1)</f>
        <v>Thiago Ribeiro</v>
      </c>
      <c r="G541" s="47">
        <f>_xlfn.XLOOKUP(TBL_USUARIOS[[#This Row],[ID_MASSA]],tbl_de_massas[id_massa],tbl_de_massas[saldo_conta],"--",0,1)</f>
        <v>6040.84</v>
      </c>
      <c r="H541" t="str">
        <f>_xlfn.XLOOKUP(TBL_USUARIOS[[#This Row],[ID_MASSA]],tbl_de_massas[id_massa],tbl_de_massas[nome_completo],"--",0,1)</f>
        <v>Thiago Ribeiro</v>
      </c>
    </row>
    <row r="542" spans="1:8" x14ac:dyDescent="0.25">
      <c r="A542" s="2" t="s">
        <v>2788</v>
      </c>
      <c r="B542" t="str">
        <f>_xlfn.XLOOKUP(TBL_USUARIOS[[#This Row],[ID_MASSA]],tbl_de_massas[id_massa],tbl_de_massas[cpf],"--",0,1)</f>
        <v>23025052805</v>
      </c>
      <c r="C542" t="s">
        <v>12</v>
      </c>
      <c r="D542" t="str">
        <f>_xlfn.XLOOKUP(TBL_USUARIOS[[#This Row],[ID_MASSA]],tbl_de_massas[id_massa],tbl_de_massas[nome_completo],"--",0,1)</f>
        <v>Mariana Fernandes Barros</v>
      </c>
      <c r="E542" t="str">
        <f>_xlfn.XLOOKUP(TBL_USUARIOS[[#This Row],[ID_MASSA]],tbl_de_massas[id_massa],tbl_de_massas[cartao_fisico_numero],"--",0,1)</f>
        <v>3782 590598 6267</v>
      </c>
      <c r="F542" t="str">
        <f>_xlfn.XLOOKUP(TBL_USUARIOS[[#This Row],[ID_MASSA]],tbl_de_massas[id_massa],tbl_de_massas[nome_completo],"--",0,1)</f>
        <v>Mariana Fernandes Barros</v>
      </c>
      <c r="G542" s="47">
        <f>_xlfn.XLOOKUP(TBL_USUARIOS[[#This Row],[ID_MASSA]],tbl_de_massas[id_massa],tbl_de_massas[saldo_conta],"--",0,1)</f>
        <v>6055.63</v>
      </c>
      <c r="H542" t="str">
        <f>_xlfn.XLOOKUP(TBL_USUARIOS[[#This Row],[ID_MASSA]],tbl_de_massas[id_massa],tbl_de_massas[nome_completo],"--",0,1)</f>
        <v>Mariana Fernandes Barros</v>
      </c>
    </row>
    <row r="543" spans="1:8" x14ac:dyDescent="0.25">
      <c r="A543" s="2" t="s">
        <v>6607</v>
      </c>
      <c r="B543" t="str">
        <f>_xlfn.XLOOKUP(TBL_USUARIOS[[#This Row],[ID_MASSA]],tbl_de_massas[id_massa],tbl_de_massas[cpf],"--",0,1)</f>
        <v>41256605220</v>
      </c>
      <c r="C543" t="s">
        <v>12</v>
      </c>
      <c r="D543" t="str">
        <f>_xlfn.XLOOKUP(TBL_USUARIOS[[#This Row],[ID_MASSA]],tbl_de_massas[id_massa],tbl_de_massas[nome_completo],"--",0,1)</f>
        <v>Akari Tanaka</v>
      </c>
      <c r="E543" t="str">
        <f>_xlfn.XLOOKUP(TBL_USUARIOS[[#This Row],[ID_MASSA]],tbl_de_massas[id_massa],tbl_de_massas[cartao_fisico_numero],"--",0,1)</f>
        <v>6505 0666 1950 2613</v>
      </c>
      <c r="F543" t="str">
        <f>_xlfn.XLOOKUP(TBL_USUARIOS[[#This Row],[ID_MASSA]],tbl_de_massas[id_massa],tbl_de_massas[nome_completo],"--",0,1)</f>
        <v>Akari Tanaka</v>
      </c>
      <c r="G543" s="47">
        <f>_xlfn.XLOOKUP(TBL_USUARIOS[[#This Row],[ID_MASSA]],tbl_de_massas[id_massa],tbl_de_massas[saldo_conta],"--",0,1)</f>
        <v>6079.19</v>
      </c>
      <c r="H543" t="str">
        <f>_xlfn.XLOOKUP(TBL_USUARIOS[[#This Row],[ID_MASSA]],tbl_de_massas[id_massa],tbl_de_massas[nome_completo],"--",0,1)</f>
        <v>Akari Tanaka</v>
      </c>
    </row>
    <row r="544" spans="1:8" x14ac:dyDescent="0.25">
      <c r="A544" s="2" t="s">
        <v>4409</v>
      </c>
      <c r="B544" t="str">
        <f>_xlfn.XLOOKUP(TBL_USUARIOS[[#This Row],[ID_MASSA]],tbl_de_massas[id_massa],tbl_de_massas[cpf],"--",0,1)</f>
        <v>42228758990</v>
      </c>
      <c r="C544" t="s">
        <v>12</v>
      </c>
      <c r="D544" t="str">
        <f>_xlfn.XLOOKUP(TBL_USUARIOS[[#This Row],[ID_MASSA]],tbl_de_massas[id_massa],tbl_de_massas[nome_completo],"--",0,1)</f>
        <v>Tatiane Mendes Rocha</v>
      </c>
      <c r="E544" t="str">
        <f>_xlfn.XLOOKUP(TBL_USUARIOS[[#This Row],[ID_MASSA]],tbl_de_massas[id_massa],tbl_de_massas[cartao_fisico_numero],"--",0,1)</f>
        <v>5442 7460 9697 0464</v>
      </c>
      <c r="F544" t="str">
        <f>_xlfn.XLOOKUP(TBL_USUARIOS[[#This Row],[ID_MASSA]],tbl_de_massas[id_massa],tbl_de_massas[nome_completo],"--",0,1)</f>
        <v>Tatiane Mendes Rocha</v>
      </c>
      <c r="G544" s="47">
        <f>_xlfn.XLOOKUP(TBL_USUARIOS[[#This Row],[ID_MASSA]],tbl_de_massas[id_massa],tbl_de_massas[saldo_conta],"--",0,1)</f>
        <v>6089.21</v>
      </c>
      <c r="H544" t="str">
        <f>_xlfn.XLOOKUP(TBL_USUARIOS[[#This Row],[ID_MASSA]],tbl_de_massas[id_massa],tbl_de_massas[nome_completo],"--",0,1)</f>
        <v>Tatiane Mendes Rocha</v>
      </c>
    </row>
    <row r="545" spans="1:8" x14ac:dyDescent="0.25">
      <c r="A545" s="2" t="s">
        <v>4618</v>
      </c>
      <c r="B545" t="str">
        <f>_xlfn.XLOOKUP(TBL_USUARIOS[[#This Row],[ID_MASSA]],tbl_de_massas[id_massa],tbl_de_massas[cpf],"--",0,1)</f>
        <v>28690599223</v>
      </c>
      <c r="C545" t="s">
        <v>12</v>
      </c>
      <c r="D545" t="str">
        <f>_xlfn.XLOOKUP(TBL_USUARIOS[[#This Row],[ID_MASSA]],tbl_de_massas[id_massa],tbl_de_massas[nome_completo],"--",0,1)</f>
        <v>Juliana Rodrigues Pereira</v>
      </c>
      <c r="E545" t="str">
        <f>_xlfn.XLOOKUP(TBL_USUARIOS[[#This Row],[ID_MASSA]],tbl_de_massas[id_massa],tbl_de_massas[cartao_fisico_numero],"--",0,1)</f>
        <v>6505 0666 2032 3226</v>
      </c>
      <c r="F545" t="str">
        <f>_xlfn.XLOOKUP(TBL_USUARIOS[[#This Row],[ID_MASSA]],tbl_de_massas[id_massa],tbl_de_massas[nome_completo],"--",0,1)</f>
        <v>Juliana Rodrigues Pereira</v>
      </c>
      <c r="G545" s="47">
        <f>_xlfn.XLOOKUP(TBL_USUARIOS[[#This Row],[ID_MASSA]],tbl_de_massas[id_massa],tbl_de_massas[saldo_conta],"--",0,1)</f>
        <v>6091.02</v>
      </c>
      <c r="H545" t="str">
        <f>_xlfn.XLOOKUP(TBL_USUARIOS[[#This Row],[ID_MASSA]],tbl_de_massas[id_massa],tbl_de_massas[nome_completo],"--",0,1)</f>
        <v>Juliana Rodrigues Pereira</v>
      </c>
    </row>
    <row r="546" spans="1:8" x14ac:dyDescent="0.25">
      <c r="A546" s="2" t="s">
        <v>4360</v>
      </c>
      <c r="B546" t="str">
        <f>_xlfn.XLOOKUP(TBL_USUARIOS[[#This Row],[ID_MASSA]],tbl_de_massas[id_massa],tbl_de_massas[cpf],"--",0,1)</f>
        <v>90168504570</v>
      </c>
      <c r="C546" t="s">
        <v>12</v>
      </c>
      <c r="D546" t="str">
        <f>_xlfn.XLOOKUP(TBL_USUARIOS[[#This Row],[ID_MASSA]],tbl_de_massas[id_massa],tbl_de_massas[nome_completo],"--",0,1)</f>
        <v>Juliana Barbosa</v>
      </c>
      <c r="E546" t="str">
        <f>_xlfn.XLOOKUP(TBL_USUARIOS[[#This Row],[ID_MASSA]],tbl_de_massas[id_massa],tbl_de_massas[cartao_fisico_numero],"--",0,1)</f>
        <v>5442 7460 5037 4924</v>
      </c>
      <c r="F546" t="str">
        <f>_xlfn.XLOOKUP(TBL_USUARIOS[[#This Row],[ID_MASSA]],tbl_de_massas[id_massa],tbl_de_massas[nome_completo],"--",0,1)</f>
        <v>Juliana Barbosa</v>
      </c>
      <c r="G546" s="47">
        <f>_xlfn.XLOOKUP(TBL_USUARIOS[[#This Row],[ID_MASSA]],tbl_de_massas[id_massa],tbl_de_massas[saldo_conta],"--",0,1)</f>
        <v>6125.34</v>
      </c>
      <c r="H546" t="str">
        <f>_xlfn.XLOOKUP(TBL_USUARIOS[[#This Row],[ID_MASSA]],tbl_de_massas[id_massa],tbl_de_massas[nome_completo],"--",0,1)</f>
        <v>Juliana Barbosa</v>
      </c>
    </row>
    <row r="547" spans="1:8" x14ac:dyDescent="0.25">
      <c r="A547" s="2" t="s">
        <v>6532</v>
      </c>
      <c r="B547" t="str">
        <f>_xlfn.XLOOKUP(TBL_USUARIOS[[#This Row],[ID_MASSA]],tbl_de_massas[id_massa],tbl_de_massas[cpf],"--",0,1)</f>
        <v>17232262205</v>
      </c>
      <c r="C547" t="s">
        <v>12</v>
      </c>
      <c r="D547" t="str">
        <f>_xlfn.XLOOKUP(TBL_USUARIOS[[#This Row],[ID_MASSA]],tbl_de_massas[id_massa],tbl_de_massas[nome_completo],"--",0,1)</f>
        <v>Fang Lin Zhu</v>
      </c>
      <c r="E547" t="str">
        <f>_xlfn.XLOOKUP(TBL_USUARIOS[[#This Row],[ID_MASSA]],tbl_de_massas[id_massa],tbl_de_massas[cartao_fisico_numero],"--",0,1)</f>
        <v>6062 8200 2290 8844</v>
      </c>
      <c r="F547" t="str">
        <f>_xlfn.XLOOKUP(TBL_USUARIOS[[#This Row],[ID_MASSA]],tbl_de_massas[id_massa],tbl_de_massas[nome_completo],"--",0,1)</f>
        <v>Fang Lin Zhu</v>
      </c>
      <c r="G547" s="47">
        <f>_xlfn.XLOOKUP(TBL_USUARIOS[[#This Row],[ID_MASSA]],tbl_de_massas[id_massa],tbl_de_massas[saldo_conta],"--",0,1)</f>
        <v>6131.5</v>
      </c>
      <c r="H547" t="str">
        <f>_xlfn.XLOOKUP(TBL_USUARIOS[[#This Row],[ID_MASSA]],tbl_de_massas[id_massa],tbl_de_massas[nome_completo],"--",0,1)</f>
        <v>Fang Lin Zhu</v>
      </c>
    </row>
    <row r="548" spans="1:8" x14ac:dyDescent="0.25">
      <c r="A548" s="2" t="s">
        <v>3586</v>
      </c>
      <c r="B548" t="str">
        <f>_xlfn.XLOOKUP(TBL_USUARIOS[[#This Row],[ID_MASSA]],tbl_de_massas[id_massa],tbl_de_massas[cpf],"--",0,1)</f>
        <v>65860638337</v>
      </c>
      <c r="C548" t="s">
        <v>12</v>
      </c>
      <c r="D548" t="str">
        <f>_xlfn.XLOOKUP(TBL_USUARIOS[[#This Row],[ID_MASSA]],tbl_de_massas[id_massa],tbl_de_massas[nome_completo],"--",0,1)</f>
        <v>Aline Alves Freitas</v>
      </c>
      <c r="E548" t="str">
        <f>_xlfn.XLOOKUP(TBL_USUARIOS[[#This Row],[ID_MASSA]],tbl_de_massas[id_massa],tbl_de_massas[cartao_fisico_numero],"--",0,1)</f>
        <v>6062 8200 1185 0873</v>
      </c>
      <c r="F548" t="str">
        <f>_xlfn.XLOOKUP(TBL_USUARIOS[[#This Row],[ID_MASSA]],tbl_de_massas[id_massa],tbl_de_massas[nome_completo],"--",0,1)</f>
        <v>Aline Alves Freitas</v>
      </c>
      <c r="G548" s="47">
        <f>_xlfn.XLOOKUP(TBL_USUARIOS[[#This Row],[ID_MASSA]],tbl_de_massas[id_massa],tbl_de_massas[saldo_conta],"--",0,1)</f>
        <v>6155.01</v>
      </c>
      <c r="H548" t="str">
        <f>_xlfn.XLOOKUP(TBL_USUARIOS[[#This Row],[ID_MASSA]],tbl_de_massas[id_massa],tbl_de_massas[nome_completo],"--",0,1)</f>
        <v>Aline Alves Freitas</v>
      </c>
    </row>
    <row r="549" spans="1:8" x14ac:dyDescent="0.25">
      <c r="A549" s="2" t="s">
        <v>4452</v>
      </c>
      <c r="B549" t="str">
        <f>_xlfn.XLOOKUP(TBL_USUARIOS[[#This Row],[ID_MASSA]],tbl_de_massas[id_massa],tbl_de_massas[cpf],"--",0,1)</f>
        <v>72226255508</v>
      </c>
      <c r="C549" t="s">
        <v>12</v>
      </c>
      <c r="D549" t="str">
        <f>_xlfn.XLOOKUP(TBL_USUARIOS[[#This Row],[ID_MASSA]],tbl_de_massas[id_massa],tbl_de_massas[nome_completo],"--",0,1)</f>
        <v>Thiago Cavalcanti Oliveira</v>
      </c>
      <c r="E549" t="str">
        <f>_xlfn.XLOOKUP(TBL_USUARIOS[[#This Row],[ID_MASSA]],tbl_de_massas[id_massa],tbl_de_massas[cartao_fisico_numero],"--",0,1)</f>
        <v/>
      </c>
      <c r="F549" t="str">
        <f>_xlfn.XLOOKUP(TBL_USUARIOS[[#This Row],[ID_MASSA]],tbl_de_massas[id_massa],tbl_de_massas[nome_completo],"--",0,1)</f>
        <v>Thiago Cavalcanti Oliveira</v>
      </c>
      <c r="G549" s="47">
        <f>_xlfn.XLOOKUP(TBL_USUARIOS[[#This Row],[ID_MASSA]],tbl_de_massas[id_massa],tbl_de_massas[saldo_conta],"--",0,1)</f>
        <v>6160.17</v>
      </c>
      <c r="H549" t="str">
        <f>_xlfn.XLOOKUP(TBL_USUARIOS[[#This Row],[ID_MASSA]],tbl_de_massas[id_massa],tbl_de_massas[nome_completo],"--",0,1)</f>
        <v>Thiago Cavalcanti Oliveira</v>
      </c>
    </row>
    <row r="550" spans="1:8" x14ac:dyDescent="0.25">
      <c r="A550" s="2" t="s">
        <v>5633</v>
      </c>
      <c r="B550" t="str">
        <f>_xlfn.XLOOKUP(TBL_USUARIOS[[#This Row],[ID_MASSA]],tbl_de_massas[id_massa],tbl_de_massas[cpf],"--",0,1)</f>
        <v>18770234698</v>
      </c>
      <c r="C550" t="s">
        <v>12</v>
      </c>
      <c r="D550" t="str">
        <f>_xlfn.XLOOKUP(TBL_USUARIOS[[#This Row],[ID_MASSA]],tbl_de_massas[id_massa],tbl_de_massas[nome_completo],"--",0,1)</f>
        <v>Woojin Song</v>
      </c>
      <c r="E550" t="str">
        <f>_xlfn.XLOOKUP(TBL_USUARIOS[[#This Row],[ID_MASSA]],tbl_de_massas[id_massa],tbl_de_massas[cartao_fisico_numero],"--",0,1)</f>
        <v/>
      </c>
      <c r="F550" t="str">
        <f>_xlfn.XLOOKUP(TBL_USUARIOS[[#This Row],[ID_MASSA]],tbl_de_massas[id_massa],tbl_de_massas[nome_completo],"--",0,1)</f>
        <v>Woojin Song</v>
      </c>
      <c r="G550" s="47">
        <f>_xlfn.XLOOKUP(TBL_USUARIOS[[#This Row],[ID_MASSA]],tbl_de_massas[id_massa],tbl_de_massas[saldo_conta],"--",0,1)</f>
        <v>6162.57</v>
      </c>
      <c r="H550" t="str">
        <f>_xlfn.XLOOKUP(TBL_USUARIOS[[#This Row],[ID_MASSA]],tbl_de_massas[id_massa],tbl_de_massas[nome_completo],"--",0,1)</f>
        <v>Woojin Song</v>
      </c>
    </row>
    <row r="551" spans="1:8" x14ac:dyDescent="0.25">
      <c r="A551" s="2" t="s">
        <v>2431</v>
      </c>
      <c r="B551" s="14" t="str">
        <f>_xlfn.XLOOKUP(TBL_USUARIOS[[#This Row],[ID_MASSA]],tbl_de_massas[id_massa],tbl_de_massas[cpf],"--",0,1)</f>
        <v>24415291457</v>
      </c>
      <c r="C551" t="s">
        <v>12</v>
      </c>
      <c r="D551" t="str">
        <f>_xlfn.XLOOKUP(TBL_USUARIOS[[#This Row],[ID_MASSA]],tbl_de_massas[id_massa],tbl_de_massas[nome_completo],"--",0,1)</f>
        <v>Taro Tanaka</v>
      </c>
      <c r="E551" t="str">
        <f>_xlfn.XLOOKUP(TBL_USUARIOS[[#This Row],[ID_MASSA]],tbl_de_massas[id_massa],tbl_de_massas[cartao_fisico_numero],"--",0,1)</f>
        <v>4576 7460 9054 3446</v>
      </c>
      <c r="F551" t="str">
        <f>_xlfn.XLOOKUP(TBL_USUARIOS[[#This Row],[ID_MASSA]],tbl_de_massas[id_massa],tbl_de_massas[nome_completo],"--",0,1)</f>
        <v>Taro Tanaka</v>
      </c>
      <c r="G551" s="47">
        <f>_xlfn.XLOOKUP(TBL_USUARIOS[[#This Row],[ID_MASSA]],tbl_de_massas[id_massa],tbl_de_massas[saldo_conta],"--",0,1)</f>
        <v>2212.34</v>
      </c>
      <c r="H551" t="str">
        <f>_xlfn.XLOOKUP(TBL_USUARIOS[[#This Row],[ID_MASSA]],tbl_de_massas[id_massa],tbl_de_massas[nome_completo],"--",0,1)</f>
        <v>Taro Tanaka</v>
      </c>
    </row>
    <row r="552" spans="1:8" x14ac:dyDescent="0.25">
      <c r="A552" s="2" t="s">
        <v>6028</v>
      </c>
      <c r="B552" t="str">
        <f>_xlfn.XLOOKUP(TBL_USUARIOS[[#This Row],[ID_MASSA]],tbl_de_massas[id_massa],tbl_de_massas[cpf],"--",0,1)</f>
        <v>24126889663</v>
      </c>
      <c r="C552" t="s">
        <v>12</v>
      </c>
      <c r="D552" t="str">
        <f>_xlfn.XLOOKUP(TBL_USUARIOS[[#This Row],[ID_MASSA]],tbl_de_massas[id_massa],tbl_de_massas[nome_completo],"--",0,1)</f>
        <v>Guilherme Souza Dias</v>
      </c>
      <c r="E552" t="str">
        <f>_xlfn.XLOOKUP(TBL_USUARIOS[[#This Row],[ID_MASSA]],tbl_de_massas[id_massa],tbl_de_massas[cartao_fisico_numero],"--",0,1)</f>
        <v>3782 896986 5366</v>
      </c>
      <c r="F552" t="str">
        <f>_xlfn.XLOOKUP(TBL_USUARIOS[[#This Row],[ID_MASSA]],tbl_de_massas[id_massa],tbl_de_massas[nome_completo],"--",0,1)</f>
        <v>Guilherme Souza Dias</v>
      </c>
      <c r="G552" s="47">
        <f>_xlfn.XLOOKUP(TBL_USUARIOS[[#This Row],[ID_MASSA]],tbl_de_massas[id_massa],tbl_de_massas[saldo_conta],"--",0,1)</f>
        <v>6198.29</v>
      </c>
      <c r="H552" t="str">
        <f>_xlfn.XLOOKUP(TBL_USUARIOS[[#This Row],[ID_MASSA]],tbl_de_massas[id_massa],tbl_de_massas[nome_completo],"--",0,1)</f>
        <v>Guilherme Souza Dias</v>
      </c>
    </row>
    <row r="553" spans="1:8" x14ac:dyDescent="0.25">
      <c r="A553" s="2" t="s">
        <v>3020</v>
      </c>
      <c r="B553" t="str">
        <f>_xlfn.XLOOKUP(TBL_USUARIOS[[#This Row],[ID_MASSA]],tbl_de_massas[id_massa],tbl_de_massas[cpf],"--",0,1)</f>
        <v>38750991256</v>
      </c>
      <c r="C553" t="s">
        <v>12</v>
      </c>
      <c r="D553" t="str">
        <f>_xlfn.XLOOKUP(TBL_USUARIOS[[#This Row],[ID_MASSA]],tbl_de_massas[id_massa],tbl_de_massas[nome_completo],"--",0,1)</f>
        <v>Vinicius Moura Mendes</v>
      </c>
      <c r="E553" t="str">
        <f>_xlfn.XLOOKUP(TBL_USUARIOS[[#This Row],[ID_MASSA]],tbl_de_massas[id_massa],tbl_de_massas[cartao_fisico_numero],"--",0,1)</f>
        <v>4576 7460 5464 9020</v>
      </c>
      <c r="F553" t="str">
        <f>_xlfn.XLOOKUP(TBL_USUARIOS[[#This Row],[ID_MASSA]],tbl_de_massas[id_massa],tbl_de_massas[nome_completo],"--",0,1)</f>
        <v>Vinicius Moura Mendes</v>
      </c>
      <c r="G553" s="47">
        <f>_xlfn.XLOOKUP(TBL_USUARIOS[[#This Row],[ID_MASSA]],tbl_de_massas[id_massa],tbl_de_massas[saldo_conta],"--",0,1)</f>
        <v>6199.36</v>
      </c>
      <c r="H553" t="str">
        <f>_xlfn.XLOOKUP(TBL_USUARIOS[[#This Row],[ID_MASSA]],tbl_de_massas[id_massa],tbl_de_massas[nome_completo],"--",0,1)</f>
        <v>Vinicius Moura Mendes</v>
      </c>
    </row>
    <row r="554" spans="1:8" x14ac:dyDescent="0.25">
      <c r="A554" s="2" t="s">
        <v>4724</v>
      </c>
      <c r="B554" t="str">
        <f>_xlfn.XLOOKUP(TBL_USUARIOS[[#This Row],[ID_MASSA]],tbl_de_massas[id_massa],tbl_de_massas[cpf],"--",0,1)</f>
        <v>30093904320</v>
      </c>
      <c r="C554" t="s">
        <v>12</v>
      </c>
      <c r="D554" t="str">
        <f>_xlfn.XLOOKUP(TBL_USUARIOS[[#This Row],[ID_MASSA]],tbl_de_massas[id_massa],tbl_de_massas[nome_completo],"--",0,1)</f>
        <v>Vivian Rocha Pinto</v>
      </c>
      <c r="E554" t="str">
        <f>_xlfn.XLOOKUP(TBL_USUARIOS[[#This Row],[ID_MASSA]],tbl_de_massas[id_massa],tbl_de_massas[cartao_fisico_numero],"--",0,1)</f>
        <v/>
      </c>
      <c r="F554" t="str">
        <f>_xlfn.XLOOKUP(TBL_USUARIOS[[#This Row],[ID_MASSA]],tbl_de_massas[id_massa],tbl_de_massas[nome_completo],"--",0,1)</f>
        <v>Vivian Rocha Pinto</v>
      </c>
      <c r="G554" s="47">
        <f>_xlfn.XLOOKUP(TBL_USUARIOS[[#This Row],[ID_MASSA]],tbl_de_massas[id_massa],tbl_de_massas[saldo_conta],"--",0,1)</f>
        <v>6257.98</v>
      </c>
      <c r="H554" t="str">
        <f>_xlfn.XLOOKUP(TBL_USUARIOS[[#This Row],[ID_MASSA]],tbl_de_massas[id_massa],tbl_de_massas[nome_completo],"--",0,1)</f>
        <v>Vivian Rocha Pinto</v>
      </c>
    </row>
    <row r="555" spans="1:8" x14ac:dyDescent="0.25">
      <c r="A555" s="2" t="s">
        <v>3090</v>
      </c>
      <c r="B555" t="str">
        <f>_xlfn.XLOOKUP(TBL_USUARIOS[[#This Row],[ID_MASSA]],tbl_de_massas[id_massa],tbl_de_massas[cpf],"--",0,1)</f>
        <v>49914715834</v>
      </c>
      <c r="C555" t="s">
        <v>12</v>
      </c>
      <c r="D555" t="str">
        <f>_xlfn.XLOOKUP(TBL_USUARIOS[[#This Row],[ID_MASSA]],tbl_de_massas[id_massa],tbl_de_massas[nome_completo],"--",0,1)</f>
        <v>Renata Almeida</v>
      </c>
      <c r="E555" t="str">
        <f>_xlfn.XLOOKUP(TBL_USUARIOS[[#This Row],[ID_MASSA]],tbl_de_massas[id_massa],tbl_de_massas[cartao_fisico_numero],"--",0,1)</f>
        <v/>
      </c>
      <c r="F555" t="str">
        <f>_xlfn.XLOOKUP(TBL_USUARIOS[[#This Row],[ID_MASSA]],tbl_de_massas[id_massa],tbl_de_massas[nome_completo],"--",0,1)</f>
        <v>Renata Almeida</v>
      </c>
      <c r="G555" s="47">
        <f>_xlfn.XLOOKUP(TBL_USUARIOS[[#This Row],[ID_MASSA]],tbl_de_massas[id_massa],tbl_de_massas[saldo_conta],"--",0,1)</f>
        <v>6258.92</v>
      </c>
      <c r="H555" t="str">
        <f>_xlfn.XLOOKUP(TBL_USUARIOS[[#This Row],[ID_MASSA]],tbl_de_massas[id_massa],tbl_de_massas[nome_completo],"--",0,1)</f>
        <v>Renata Almeida</v>
      </c>
    </row>
    <row r="556" spans="1:8" x14ac:dyDescent="0.25">
      <c r="A556" s="2" t="s">
        <v>5518</v>
      </c>
      <c r="B556" t="str">
        <f>_xlfn.XLOOKUP(TBL_USUARIOS[[#This Row],[ID_MASSA]],tbl_de_massas[id_massa],tbl_de_massas[cpf],"--",0,1)</f>
        <v>56143646767</v>
      </c>
      <c r="C556" t="s">
        <v>12</v>
      </c>
      <c r="D556" t="str">
        <f>_xlfn.XLOOKUP(TBL_USUARIOS[[#This Row],[ID_MASSA]],tbl_de_massas[id_massa],tbl_de_massas[nome_completo],"--",0,1)</f>
        <v>Matheus Monteiro Oliveira</v>
      </c>
      <c r="E556" t="str">
        <f>_xlfn.XLOOKUP(TBL_USUARIOS[[#This Row],[ID_MASSA]],tbl_de_massas[id_massa],tbl_de_massas[cartao_fisico_numero],"--",0,1)</f>
        <v>6062 8200 2090 9058</v>
      </c>
      <c r="F556" t="str">
        <f>_xlfn.XLOOKUP(TBL_USUARIOS[[#This Row],[ID_MASSA]],tbl_de_massas[id_massa],tbl_de_massas[nome_completo],"--",0,1)</f>
        <v>Matheus Monteiro Oliveira</v>
      </c>
      <c r="G556" s="47">
        <f>_xlfn.XLOOKUP(TBL_USUARIOS[[#This Row],[ID_MASSA]],tbl_de_massas[id_massa],tbl_de_massas[saldo_conta],"--",0,1)</f>
        <v>6294.99</v>
      </c>
      <c r="H556" t="str">
        <f>_xlfn.XLOOKUP(TBL_USUARIOS[[#This Row],[ID_MASSA]],tbl_de_massas[id_massa],tbl_de_massas[nome_completo],"--",0,1)</f>
        <v>Matheus Monteiro Oliveira</v>
      </c>
    </row>
    <row r="557" spans="1:8" x14ac:dyDescent="0.25">
      <c r="A557" s="2" t="s">
        <v>4793</v>
      </c>
      <c r="B557" t="str">
        <f>_xlfn.XLOOKUP(TBL_USUARIOS[[#This Row],[ID_MASSA]],tbl_de_massas[id_massa],tbl_de_massas[cpf],"--",0,1)</f>
        <v>76570021745</v>
      </c>
      <c r="C557" t="s">
        <v>12</v>
      </c>
      <c r="D557" t="str">
        <f>_xlfn.XLOOKUP(TBL_USUARIOS[[#This Row],[ID_MASSA]],tbl_de_massas[id_massa],tbl_de_massas[nome_completo],"--",0,1)</f>
        <v>Amanda Cardoso Silva</v>
      </c>
      <c r="E557" t="str">
        <f>_xlfn.XLOOKUP(TBL_USUARIOS[[#This Row],[ID_MASSA]],tbl_de_massas[id_massa],tbl_de_massas[cartao_fisico_numero],"--",0,1)</f>
        <v/>
      </c>
      <c r="F557" t="str">
        <f>_xlfn.XLOOKUP(TBL_USUARIOS[[#This Row],[ID_MASSA]],tbl_de_massas[id_massa],tbl_de_massas[nome_completo],"--",0,1)</f>
        <v>Amanda Cardoso Silva</v>
      </c>
      <c r="G557" s="47">
        <f>_xlfn.XLOOKUP(TBL_USUARIOS[[#This Row],[ID_MASSA]],tbl_de_massas[id_massa],tbl_de_massas[saldo_conta],"--",0,1)</f>
        <v>6306.62</v>
      </c>
      <c r="H557" t="str">
        <f>_xlfn.XLOOKUP(TBL_USUARIOS[[#This Row],[ID_MASSA]],tbl_de_massas[id_massa],tbl_de_massas[nome_completo],"--",0,1)</f>
        <v>Amanda Cardoso Silva</v>
      </c>
    </row>
    <row r="558" spans="1:8" x14ac:dyDescent="0.25">
      <c r="A558" s="2" t="s">
        <v>3971</v>
      </c>
      <c r="B558" t="str">
        <f>_xlfn.XLOOKUP(TBL_USUARIOS[[#This Row],[ID_MASSA]],tbl_de_massas[id_massa],tbl_de_massas[cpf],"--",0,1)</f>
        <v>20773978100</v>
      </c>
      <c r="C558" t="s">
        <v>12</v>
      </c>
      <c r="D558" t="str">
        <f>_xlfn.XLOOKUP(TBL_USUARIOS[[#This Row],[ID_MASSA]],tbl_de_massas[id_massa],tbl_de_massas[nome_completo],"--",0,1)</f>
        <v>Vinicius Fernandes Barbosa</v>
      </c>
      <c r="E558" t="str">
        <f>_xlfn.XLOOKUP(TBL_USUARIOS[[#This Row],[ID_MASSA]],tbl_de_massas[id_massa],tbl_de_massas[cartao_fisico_numero],"--",0,1)</f>
        <v/>
      </c>
      <c r="F558" t="str">
        <f>_xlfn.XLOOKUP(TBL_USUARIOS[[#This Row],[ID_MASSA]],tbl_de_massas[id_massa],tbl_de_massas[nome_completo],"--",0,1)</f>
        <v>Vinicius Fernandes Barbosa</v>
      </c>
      <c r="G558" s="47">
        <f>_xlfn.XLOOKUP(TBL_USUARIOS[[#This Row],[ID_MASSA]],tbl_de_massas[id_massa],tbl_de_massas[saldo_conta],"--",0,1)</f>
        <v>6340.74</v>
      </c>
      <c r="H558" t="str">
        <f>_xlfn.XLOOKUP(TBL_USUARIOS[[#This Row],[ID_MASSA]],tbl_de_massas[id_massa],tbl_de_massas[nome_completo],"--",0,1)</f>
        <v>Vinicius Fernandes Barbosa</v>
      </c>
    </row>
    <row r="559" spans="1:8" x14ac:dyDescent="0.25">
      <c r="A559" s="2" t="s">
        <v>5947</v>
      </c>
      <c r="B559" t="str">
        <f>_xlfn.XLOOKUP(TBL_USUARIOS[[#This Row],[ID_MASSA]],tbl_de_massas[id_massa],tbl_de_massas[cpf],"--",0,1)</f>
        <v>68198837221</v>
      </c>
      <c r="C559" t="s">
        <v>12</v>
      </c>
      <c r="D559" t="str">
        <f>_xlfn.XLOOKUP(TBL_USUARIOS[[#This Row],[ID_MASSA]],tbl_de_massas[id_massa],tbl_de_massas[nome_completo],"--",0,1)</f>
        <v>Carolina Santos Rodrigues</v>
      </c>
      <c r="E559" t="str">
        <f>_xlfn.XLOOKUP(TBL_USUARIOS[[#This Row],[ID_MASSA]],tbl_de_massas[id_massa],tbl_de_massas[cartao_fisico_numero],"--",0,1)</f>
        <v/>
      </c>
      <c r="F559" t="str">
        <f>_xlfn.XLOOKUP(TBL_USUARIOS[[#This Row],[ID_MASSA]],tbl_de_massas[id_massa],tbl_de_massas[nome_completo],"--",0,1)</f>
        <v>Carolina Santos Rodrigues</v>
      </c>
      <c r="G559" s="47">
        <f>_xlfn.XLOOKUP(TBL_USUARIOS[[#This Row],[ID_MASSA]],tbl_de_massas[id_massa],tbl_de_massas[saldo_conta],"--",0,1)</f>
        <v>6341.93</v>
      </c>
      <c r="H559" t="str">
        <f>_xlfn.XLOOKUP(TBL_USUARIOS[[#This Row],[ID_MASSA]],tbl_de_massas[id_massa],tbl_de_massas[nome_completo],"--",0,1)</f>
        <v>Carolina Santos Rodrigues</v>
      </c>
    </row>
    <row r="560" spans="1:8" x14ac:dyDescent="0.25">
      <c r="A560" s="2" t="s">
        <v>3187</v>
      </c>
      <c r="B560" t="str">
        <f>_xlfn.XLOOKUP(TBL_USUARIOS[[#This Row],[ID_MASSA]],tbl_de_massas[id_massa],tbl_de_massas[cpf],"--",0,1)</f>
        <v>43944529537</v>
      </c>
      <c r="C560" t="s">
        <v>12</v>
      </c>
      <c r="D560" t="str">
        <f>_xlfn.XLOOKUP(TBL_USUARIOS[[#This Row],[ID_MASSA]],tbl_de_massas[id_massa],tbl_de_massas[nome_completo],"--",0,1)</f>
        <v>Leandro Nunes Monteiro</v>
      </c>
      <c r="E560" t="str">
        <f>_xlfn.XLOOKUP(TBL_USUARIOS[[#This Row],[ID_MASSA]],tbl_de_massas[id_massa],tbl_de_massas[cartao_fisico_numero],"--",0,1)</f>
        <v/>
      </c>
      <c r="F560" t="str">
        <f>_xlfn.XLOOKUP(TBL_USUARIOS[[#This Row],[ID_MASSA]],tbl_de_massas[id_massa],tbl_de_massas[nome_completo],"--",0,1)</f>
        <v>Leandro Nunes Monteiro</v>
      </c>
      <c r="G560" s="47">
        <f>_xlfn.XLOOKUP(TBL_USUARIOS[[#This Row],[ID_MASSA]],tbl_de_massas[id_massa],tbl_de_massas[saldo_conta],"--",0,1)</f>
        <v>6341.95</v>
      </c>
      <c r="H560" t="str">
        <f>_xlfn.XLOOKUP(TBL_USUARIOS[[#This Row],[ID_MASSA]],tbl_de_massas[id_massa],tbl_de_massas[nome_completo],"--",0,1)</f>
        <v>Leandro Nunes Monteiro</v>
      </c>
    </row>
    <row r="561" spans="1:8" x14ac:dyDescent="0.25">
      <c r="A561" s="2" t="s">
        <v>4215</v>
      </c>
      <c r="B561" t="str">
        <f>_xlfn.XLOOKUP(TBL_USUARIOS[[#This Row],[ID_MASSA]],tbl_de_massas[id_massa],tbl_de_massas[cpf],"--",0,1)</f>
        <v>02898880507</v>
      </c>
      <c r="C561" t="s">
        <v>12</v>
      </c>
      <c r="D561" t="str">
        <f>_xlfn.XLOOKUP(TBL_USUARIOS[[#This Row],[ID_MASSA]],tbl_de_massas[id_massa],tbl_de_massas[nome_completo],"--",0,1)</f>
        <v>Jessica Vieira Barbosa</v>
      </c>
      <c r="E561" t="str">
        <f>_xlfn.XLOOKUP(TBL_USUARIOS[[#This Row],[ID_MASSA]],tbl_de_massas[id_massa],tbl_de_massas[cartao_fisico_numero],"--",0,1)</f>
        <v>5442 7460 6331 3215</v>
      </c>
      <c r="F561" t="str">
        <f>_xlfn.XLOOKUP(TBL_USUARIOS[[#This Row],[ID_MASSA]],tbl_de_massas[id_massa],tbl_de_massas[nome_completo],"--",0,1)</f>
        <v>Jessica Vieira Barbosa</v>
      </c>
      <c r="G561" s="47">
        <f>_xlfn.XLOOKUP(TBL_USUARIOS[[#This Row],[ID_MASSA]],tbl_de_massas[id_massa],tbl_de_massas[saldo_conta],"--",0,1)</f>
        <v>6362.69</v>
      </c>
      <c r="H561" t="str">
        <f>_xlfn.XLOOKUP(TBL_USUARIOS[[#This Row],[ID_MASSA]],tbl_de_massas[id_massa],tbl_de_massas[nome_completo],"--",0,1)</f>
        <v>Jessica Vieira Barbosa</v>
      </c>
    </row>
    <row r="562" spans="1:8" x14ac:dyDescent="0.25">
      <c r="A562" s="2" t="s">
        <v>4342</v>
      </c>
      <c r="B562" t="str">
        <f>_xlfn.XLOOKUP(TBL_USUARIOS[[#This Row],[ID_MASSA]],tbl_de_massas[id_massa],tbl_de_massas[cpf],"--",0,1)</f>
        <v>36405752887</v>
      </c>
      <c r="C562" t="s">
        <v>12</v>
      </c>
      <c r="D562" t="str">
        <f>_xlfn.XLOOKUP(TBL_USUARIOS[[#This Row],[ID_MASSA]],tbl_de_massas[id_massa],tbl_de_massas[nome_completo],"--",0,1)</f>
        <v>Fabio Ribeiro Santos</v>
      </c>
      <c r="E562" t="str">
        <f>_xlfn.XLOOKUP(TBL_USUARIOS[[#This Row],[ID_MASSA]],tbl_de_massas[id_massa],tbl_de_massas[cartao_fisico_numero],"--",0,1)</f>
        <v>6505 0666 2384 4725</v>
      </c>
      <c r="F562" t="str">
        <f>_xlfn.XLOOKUP(TBL_USUARIOS[[#This Row],[ID_MASSA]],tbl_de_massas[id_massa],tbl_de_massas[nome_completo],"--",0,1)</f>
        <v>Fabio Ribeiro Santos</v>
      </c>
      <c r="G562" s="47">
        <f>_xlfn.XLOOKUP(TBL_USUARIOS[[#This Row],[ID_MASSA]],tbl_de_massas[id_massa],tbl_de_massas[saldo_conta],"--",0,1)</f>
        <v>6364.44</v>
      </c>
      <c r="H562" t="str">
        <f>_xlfn.XLOOKUP(TBL_USUARIOS[[#This Row],[ID_MASSA]],tbl_de_massas[id_massa],tbl_de_massas[nome_completo],"--",0,1)</f>
        <v>Fabio Ribeiro Santos</v>
      </c>
    </row>
    <row r="563" spans="1:8" x14ac:dyDescent="0.25">
      <c r="A563" s="2" t="s">
        <v>4511</v>
      </c>
      <c r="B563" t="str">
        <f>_xlfn.XLOOKUP(TBL_USUARIOS[[#This Row],[ID_MASSA]],tbl_de_massas[id_massa],tbl_de_massas[cpf],"--",0,1)</f>
        <v>68396263930</v>
      </c>
      <c r="C563" t="s">
        <v>12</v>
      </c>
      <c r="D563" t="str">
        <f>_xlfn.XLOOKUP(TBL_USUARIOS[[#This Row],[ID_MASSA]],tbl_de_massas[id_massa],tbl_de_massas[nome_completo],"--",0,1)</f>
        <v>Carolina Silva</v>
      </c>
      <c r="E563" t="str">
        <f>_xlfn.XLOOKUP(TBL_USUARIOS[[#This Row],[ID_MASSA]],tbl_de_massas[id_massa],tbl_de_massas[cartao_fisico_numero],"--",0,1)</f>
        <v/>
      </c>
      <c r="F563" t="str">
        <f>_xlfn.XLOOKUP(TBL_USUARIOS[[#This Row],[ID_MASSA]],tbl_de_massas[id_massa],tbl_de_massas[nome_completo],"--",0,1)</f>
        <v>Carolina Silva</v>
      </c>
      <c r="G563" s="47">
        <f>_xlfn.XLOOKUP(TBL_USUARIOS[[#This Row],[ID_MASSA]],tbl_de_massas[id_massa],tbl_de_massas[saldo_conta],"--",0,1)</f>
        <v>6369.13</v>
      </c>
      <c r="H563" t="str">
        <f>_xlfn.XLOOKUP(TBL_USUARIOS[[#This Row],[ID_MASSA]],tbl_de_massas[id_massa],tbl_de_massas[nome_completo],"--",0,1)</f>
        <v>Carolina Silva</v>
      </c>
    </row>
    <row r="564" spans="1:8" x14ac:dyDescent="0.25">
      <c r="A564" s="2" t="s">
        <v>3240</v>
      </c>
      <c r="B564" t="str">
        <f>_xlfn.XLOOKUP(TBL_USUARIOS[[#This Row],[ID_MASSA]],tbl_de_massas[id_massa],tbl_de_massas[cpf],"--",0,1)</f>
        <v>92643644204</v>
      </c>
      <c r="C564" t="s">
        <v>12</v>
      </c>
      <c r="D564" t="str">
        <f>_xlfn.XLOOKUP(TBL_USUARIOS[[#This Row],[ID_MASSA]],tbl_de_massas[id_massa],tbl_de_massas[nome_completo],"--",0,1)</f>
        <v>Marcelo Barbosa Araujo</v>
      </c>
      <c r="E564" t="str">
        <f>_xlfn.XLOOKUP(TBL_USUARIOS[[#This Row],[ID_MASSA]],tbl_de_massas[id_massa],tbl_de_massas[cartao_fisico_numero],"--",0,1)</f>
        <v/>
      </c>
      <c r="F564" t="str">
        <f>_xlfn.XLOOKUP(TBL_USUARIOS[[#This Row],[ID_MASSA]],tbl_de_massas[id_massa],tbl_de_massas[nome_completo],"--",0,1)</f>
        <v>Marcelo Barbosa Araujo</v>
      </c>
      <c r="G564" s="47">
        <f>_xlfn.XLOOKUP(TBL_USUARIOS[[#This Row],[ID_MASSA]],tbl_de_massas[id_massa],tbl_de_massas[saldo_conta],"--",0,1)</f>
        <v>6369.33</v>
      </c>
      <c r="H564" t="str">
        <f>_xlfn.XLOOKUP(TBL_USUARIOS[[#This Row],[ID_MASSA]],tbl_de_massas[id_massa],tbl_de_massas[nome_completo],"--",0,1)</f>
        <v>Marcelo Barbosa Araujo</v>
      </c>
    </row>
    <row r="565" spans="1:8" x14ac:dyDescent="0.25">
      <c r="A565" s="2" t="s">
        <v>4495</v>
      </c>
      <c r="B565" t="str">
        <f>_xlfn.XLOOKUP(TBL_USUARIOS[[#This Row],[ID_MASSA]],tbl_de_massas[id_massa],tbl_de_massas[cpf],"--",0,1)</f>
        <v>44833187728</v>
      </c>
      <c r="C565" t="s">
        <v>12</v>
      </c>
      <c r="D565" t="str">
        <f>_xlfn.XLOOKUP(TBL_USUARIOS[[#This Row],[ID_MASSA]],tbl_de_massas[id_massa],tbl_de_massas[nome_completo],"--",0,1)</f>
        <v>Mariana Barbosa Pereira</v>
      </c>
      <c r="E565" t="str">
        <f>_xlfn.XLOOKUP(TBL_USUARIOS[[#This Row],[ID_MASSA]],tbl_de_massas[id_massa],tbl_de_massas[cartao_fisico_numero],"--",0,1)</f>
        <v>6062 8200 4607 1076</v>
      </c>
      <c r="F565" t="str">
        <f>_xlfn.XLOOKUP(TBL_USUARIOS[[#This Row],[ID_MASSA]],tbl_de_massas[id_massa],tbl_de_massas[nome_completo],"--",0,1)</f>
        <v>Mariana Barbosa Pereira</v>
      </c>
      <c r="G565" s="47">
        <f>_xlfn.XLOOKUP(TBL_USUARIOS[[#This Row],[ID_MASSA]],tbl_de_massas[id_massa],tbl_de_massas[saldo_conta],"--",0,1)</f>
        <v>6374.77</v>
      </c>
      <c r="H565" t="str">
        <f>_xlfn.XLOOKUP(TBL_USUARIOS[[#This Row],[ID_MASSA]],tbl_de_massas[id_massa],tbl_de_massas[nome_completo],"--",0,1)</f>
        <v>Mariana Barbosa Pereira</v>
      </c>
    </row>
    <row r="566" spans="1:8" x14ac:dyDescent="0.25">
      <c r="A566" s="2" t="s">
        <v>2546</v>
      </c>
      <c r="B566" s="14" t="str">
        <f>_xlfn.XLOOKUP(TBL_USUARIOS[[#This Row],[ID_MASSA]],tbl_de_massas[id_massa],tbl_de_massas[cpf],"--",0,1)</f>
        <v>44010031107</v>
      </c>
      <c r="C566" t="s">
        <v>12</v>
      </c>
      <c r="D566" t="str">
        <f>_xlfn.XLOOKUP(TBL_USUARIOS[[#This Row],[ID_MASSA]],tbl_de_massas[id_massa],tbl_de_massas[nome_completo],"--",0,1)</f>
        <v>Santiago Gomez th</v>
      </c>
      <c r="E566" t="str">
        <f>_xlfn.XLOOKUP(TBL_USUARIOS[[#This Row],[ID_MASSA]],tbl_de_massas[id_massa],tbl_de_massas[cartao_fisico_numero],"--",0,1)</f>
        <v>6505 0666 5766 8664</v>
      </c>
      <c r="F566" t="str">
        <f>_xlfn.XLOOKUP(TBL_USUARIOS[[#This Row],[ID_MASSA]],tbl_de_massas[id_massa],tbl_de_massas[nome_completo],"--",0,1)</f>
        <v>Santiago Gomez th</v>
      </c>
      <c r="G566" s="47">
        <f>_xlfn.XLOOKUP(TBL_USUARIOS[[#This Row],[ID_MASSA]],tbl_de_massas[id_massa],tbl_de_massas[saldo_conta],"--",0,1)</f>
        <v>6391.97</v>
      </c>
      <c r="H566" t="str">
        <f>_xlfn.XLOOKUP(TBL_USUARIOS[[#This Row],[ID_MASSA]],tbl_de_massas[id_massa],tbl_de_massas[nome_completo],"--",0,1)</f>
        <v>Santiago Gomez th</v>
      </c>
    </row>
    <row r="567" spans="1:8" x14ac:dyDescent="0.25">
      <c r="A567" s="2" t="s">
        <v>3136</v>
      </c>
      <c r="B567" t="str">
        <f>_xlfn.XLOOKUP(TBL_USUARIOS[[#This Row],[ID_MASSA]],tbl_de_massas[id_massa],tbl_de_massas[cpf],"--",0,1)</f>
        <v>18304755920</v>
      </c>
      <c r="C567" t="s">
        <v>12</v>
      </c>
      <c r="D567" t="str">
        <f>_xlfn.XLOOKUP(TBL_USUARIOS[[#This Row],[ID_MASSA]],tbl_de_massas[id_massa],tbl_de_massas[nome_completo],"--",0,1)</f>
        <v>Rafael Alves</v>
      </c>
      <c r="E567" t="str">
        <f>_xlfn.XLOOKUP(TBL_USUARIOS[[#This Row],[ID_MASSA]],tbl_de_massas[id_massa],tbl_de_massas[cartao_fisico_numero],"--",0,1)</f>
        <v/>
      </c>
      <c r="F567" t="str">
        <f>_xlfn.XLOOKUP(TBL_USUARIOS[[#This Row],[ID_MASSA]],tbl_de_massas[id_massa],tbl_de_massas[nome_completo],"--",0,1)</f>
        <v>Rafael Alves</v>
      </c>
      <c r="G567" s="47">
        <f>_xlfn.XLOOKUP(TBL_USUARIOS[[#This Row],[ID_MASSA]],tbl_de_massas[id_massa],tbl_de_massas[saldo_conta],"--",0,1)</f>
        <v>6393.77</v>
      </c>
      <c r="H567" t="str">
        <f>_xlfn.XLOOKUP(TBL_USUARIOS[[#This Row],[ID_MASSA]],tbl_de_massas[id_massa],tbl_de_massas[nome_completo],"--",0,1)</f>
        <v>Rafael Alves</v>
      </c>
    </row>
    <row r="568" spans="1:8" x14ac:dyDescent="0.25">
      <c r="A568" s="2" t="s">
        <v>3570</v>
      </c>
      <c r="B568" t="str">
        <f>_xlfn.XLOOKUP(TBL_USUARIOS[[#This Row],[ID_MASSA]],tbl_de_massas[id_massa],tbl_de_massas[cpf],"--",0,1)</f>
        <v>17045708750</v>
      </c>
      <c r="C568" t="s">
        <v>12</v>
      </c>
      <c r="D568" t="str">
        <f>_xlfn.XLOOKUP(TBL_USUARIOS[[#This Row],[ID_MASSA]],tbl_de_massas[id_massa],tbl_de_massas[nome_completo],"--",0,1)</f>
        <v>Rafael Costa</v>
      </c>
      <c r="E568" t="str">
        <f>_xlfn.XLOOKUP(TBL_USUARIOS[[#This Row],[ID_MASSA]],tbl_de_massas[id_massa],tbl_de_massas[cartao_fisico_numero],"--",0,1)</f>
        <v>4576 7460 6956 0301</v>
      </c>
      <c r="F568" t="str">
        <f>_xlfn.XLOOKUP(TBL_USUARIOS[[#This Row],[ID_MASSA]],tbl_de_massas[id_massa],tbl_de_massas[nome_completo],"--",0,1)</f>
        <v>Rafael Costa</v>
      </c>
      <c r="G568" s="47">
        <f>_xlfn.XLOOKUP(TBL_USUARIOS[[#This Row],[ID_MASSA]],tbl_de_massas[id_massa],tbl_de_massas[saldo_conta],"--",0,1)</f>
        <v>6400.99</v>
      </c>
      <c r="H568" t="str">
        <f>_xlfn.XLOOKUP(TBL_USUARIOS[[#This Row],[ID_MASSA]],tbl_de_massas[id_massa],tbl_de_massas[nome_completo],"--",0,1)</f>
        <v>Rafael Costa</v>
      </c>
    </row>
    <row r="569" spans="1:8" x14ac:dyDescent="0.25">
      <c r="A569" s="2" t="s">
        <v>4757</v>
      </c>
      <c r="B569" t="str">
        <f>_xlfn.XLOOKUP(TBL_USUARIOS[[#This Row],[ID_MASSA]],tbl_de_massas[id_massa],tbl_de_massas[cpf],"--",0,1)</f>
        <v>51877171387</v>
      </c>
      <c r="C569" t="s">
        <v>12</v>
      </c>
      <c r="D569" t="str">
        <f>_xlfn.XLOOKUP(TBL_USUARIOS[[#This Row],[ID_MASSA]],tbl_de_massas[id_massa],tbl_de_massas[nome_completo],"--",0,1)</f>
        <v>Vanessa Freitas Cavalcanti</v>
      </c>
      <c r="E569" t="str">
        <f>_xlfn.XLOOKUP(TBL_USUARIOS[[#This Row],[ID_MASSA]],tbl_de_massas[id_massa],tbl_de_massas[cartao_fisico_numero],"--",0,1)</f>
        <v/>
      </c>
      <c r="F569" t="str">
        <f>_xlfn.XLOOKUP(TBL_USUARIOS[[#This Row],[ID_MASSA]],tbl_de_massas[id_massa],tbl_de_massas[nome_completo],"--",0,1)</f>
        <v>Vanessa Freitas Cavalcanti</v>
      </c>
      <c r="G569" s="47">
        <f>_xlfn.XLOOKUP(TBL_USUARIOS[[#This Row],[ID_MASSA]],tbl_de_massas[id_massa],tbl_de_massas[saldo_conta],"--",0,1)</f>
        <v>6419.5</v>
      </c>
      <c r="H569" t="str">
        <f>_xlfn.XLOOKUP(TBL_USUARIOS[[#This Row],[ID_MASSA]],tbl_de_massas[id_massa],tbl_de_massas[nome_completo],"--",0,1)</f>
        <v>Vanessa Freitas Cavalcanti</v>
      </c>
    </row>
    <row r="570" spans="1:8" x14ac:dyDescent="0.25">
      <c r="A570" s="2" t="s">
        <v>5875</v>
      </c>
      <c r="B570" t="str">
        <f>_xlfn.XLOOKUP(TBL_USUARIOS[[#This Row],[ID_MASSA]],tbl_de_massas[id_massa],tbl_de_massas[cpf],"--",0,1)</f>
        <v>26795099431</v>
      </c>
      <c r="C570" t="s">
        <v>12</v>
      </c>
      <c r="D570" t="str">
        <f>_xlfn.XLOOKUP(TBL_USUARIOS[[#This Row],[ID_MASSA]],tbl_de_massas[id_massa],tbl_de_massas[nome_completo],"--",0,1)</f>
        <v>Carolina Pereira Lima</v>
      </c>
      <c r="E570" t="str">
        <f>_xlfn.XLOOKUP(TBL_USUARIOS[[#This Row],[ID_MASSA]],tbl_de_massas[id_massa],tbl_de_massas[cartao_fisico_numero],"--",0,1)</f>
        <v/>
      </c>
      <c r="F570" t="str">
        <f>_xlfn.XLOOKUP(TBL_USUARIOS[[#This Row],[ID_MASSA]],tbl_de_massas[id_massa],tbl_de_massas[nome_completo],"--",0,1)</f>
        <v>Carolina Pereira Lima</v>
      </c>
      <c r="G570" s="47">
        <f>_xlfn.XLOOKUP(TBL_USUARIOS[[#This Row],[ID_MASSA]],tbl_de_massas[id_massa],tbl_de_massas[saldo_conta],"--",0,1)</f>
        <v>6426.77</v>
      </c>
      <c r="H570" t="str">
        <f>_xlfn.XLOOKUP(TBL_USUARIOS[[#This Row],[ID_MASSA]],tbl_de_massas[id_massa],tbl_de_massas[nome_completo],"--",0,1)</f>
        <v>Carolina Pereira Lima</v>
      </c>
    </row>
    <row r="571" spans="1:8" x14ac:dyDescent="0.25">
      <c r="A571" s="2" t="s">
        <v>2542</v>
      </c>
      <c r="B571" s="14" t="str">
        <f>_xlfn.XLOOKUP(TBL_USUARIOS[[#This Row],[ID_MASSA]],tbl_de_massas[id_massa],tbl_de_massas[cpf],"--",0,1)</f>
        <v>28291888531</v>
      </c>
      <c r="C571" t="s">
        <v>12</v>
      </c>
      <c r="D571" t="str">
        <f>_xlfn.XLOOKUP(TBL_USUARIOS[[#This Row],[ID_MASSA]],tbl_de_massas[id_massa],tbl_de_massas[nome_completo],"--",0,1)</f>
        <v>Lucas Gabriel Ferreira tu</v>
      </c>
      <c r="E571" t="str">
        <f>_xlfn.XLOOKUP(TBL_USUARIOS[[#This Row],[ID_MASSA]],tbl_de_massas[id_massa],tbl_de_massas[cartao_fisico_numero],"--",0,1)</f>
        <v/>
      </c>
      <c r="F571" t="str">
        <f>_xlfn.XLOOKUP(TBL_USUARIOS[[#This Row],[ID_MASSA]],tbl_de_massas[id_massa],tbl_de_massas[nome_completo],"--",0,1)</f>
        <v>Lucas Gabriel Ferreira tu</v>
      </c>
      <c r="G571" s="47">
        <f>_xlfn.XLOOKUP(TBL_USUARIOS[[#This Row],[ID_MASSA]],tbl_de_massas[id_massa],tbl_de_massas[saldo_conta],"--",0,1)</f>
        <v>6428.54</v>
      </c>
      <c r="H571" t="str">
        <f>_xlfn.XLOOKUP(TBL_USUARIOS[[#This Row],[ID_MASSA]],tbl_de_massas[id_massa],tbl_de_massas[nome_completo],"--",0,1)</f>
        <v>Lucas Gabriel Ferreira tu</v>
      </c>
    </row>
    <row r="572" spans="1:8" x14ac:dyDescent="0.25">
      <c r="A572" s="2" t="s">
        <v>4943</v>
      </c>
      <c r="B572" t="str">
        <f>_xlfn.XLOOKUP(TBL_USUARIOS[[#This Row],[ID_MASSA]],tbl_de_massas[id_massa],tbl_de_massas[cpf],"--",0,1)</f>
        <v>98443557702</v>
      </c>
      <c r="C572" t="s">
        <v>12</v>
      </c>
      <c r="D572" t="str">
        <f>_xlfn.XLOOKUP(TBL_USUARIOS[[#This Row],[ID_MASSA]],tbl_de_massas[id_massa],tbl_de_massas[nome_completo],"--",0,1)</f>
        <v>Gabriel Alves Pereira</v>
      </c>
      <c r="E572" t="str">
        <f>_xlfn.XLOOKUP(TBL_USUARIOS[[#This Row],[ID_MASSA]],tbl_de_massas[id_massa],tbl_de_massas[cartao_fisico_numero],"--",0,1)</f>
        <v>6505 0666 9989 3578</v>
      </c>
      <c r="F572" t="str">
        <f>_xlfn.XLOOKUP(TBL_USUARIOS[[#This Row],[ID_MASSA]],tbl_de_massas[id_massa],tbl_de_massas[nome_completo],"--",0,1)</f>
        <v>Gabriel Alves Pereira</v>
      </c>
      <c r="G572" s="47">
        <f>_xlfn.XLOOKUP(TBL_USUARIOS[[#This Row],[ID_MASSA]],tbl_de_massas[id_massa],tbl_de_massas[saldo_conta],"--",0,1)</f>
        <v>6445.98</v>
      </c>
      <c r="H572" t="str">
        <f>_xlfn.XLOOKUP(TBL_USUARIOS[[#This Row],[ID_MASSA]],tbl_de_massas[id_massa],tbl_de_massas[nome_completo],"--",0,1)</f>
        <v>Gabriel Alves Pereira</v>
      </c>
    </row>
    <row r="573" spans="1:8" x14ac:dyDescent="0.25">
      <c r="A573" s="2" t="s">
        <v>5585</v>
      </c>
      <c r="B573" t="str">
        <f>_xlfn.XLOOKUP(TBL_USUARIOS[[#This Row],[ID_MASSA]],tbl_de_massas[id_massa],tbl_de_massas[cpf],"--",0,1)</f>
        <v>77323950341</v>
      </c>
      <c r="C573" t="s">
        <v>12</v>
      </c>
      <c r="D573" t="str">
        <f>_xlfn.XLOOKUP(TBL_USUARIOS[[#This Row],[ID_MASSA]],tbl_de_massas[id_massa],tbl_de_massas[nome_completo],"--",0,1)</f>
        <v>Debora Pereira Nunes</v>
      </c>
      <c r="E573" t="str">
        <f>_xlfn.XLOOKUP(TBL_USUARIOS[[#This Row],[ID_MASSA]],tbl_de_massas[id_massa],tbl_de_massas[cartao_fisico_numero],"--",0,1)</f>
        <v/>
      </c>
      <c r="F573" t="str">
        <f>_xlfn.XLOOKUP(TBL_USUARIOS[[#This Row],[ID_MASSA]],tbl_de_massas[id_massa],tbl_de_massas[nome_completo],"--",0,1)</f>
        <v>Debora Pereira Nunes</v>
      </c>
      <c r="G573" s="47">
        <f>_xlfn.XLOOKUP(TBL_USUARIOS[[#This Row],[ID_MASSA]],tbl_de_massas[id_massa],tbl_de_massas[saldo_conta],"--",0,1)</f>
        <v>6460.59</v>
      </c>
      <c r="H573" t="str">
        <f>_xlfn.XLOOKUP(TBL_USUARIOS[[#This Row],[ID_MASSA]],tbl_de_massas[id_massa],tbl_de_massas[nome_completo],"--",0,1)</f>
        <v>Debora Pereira Nunes</v>
      </c>
    </row>
    <row r="574" spans="1:8" x14ac:dyDescent="0.25">
      <c r="A574" s="2" t="s">
        <v>6284</v>
      </c>
      <c r="B574" t="str">
        <f>_xlfn.XLOOKUP(TBL_USUARIOS[[#This Row],[ID_MASSA]],tbl_de_massas[id_massa],tbl_de_massas[cpf],"--",0,1)</f>
        <v>61108947700</v>
      </c>
      <c r="C574" t="s">
        <v>12</v>
      </c>
      <c r="D574" t="str">
        <f>_xlfn.XLOOKUP(TBL_USUARIOS[[#This Row],[ID_MASSA]],tbl_de_massas[id_massa],tbl_de_massas[nome_completo],"--",0,1)</f>
        <v>Benjamin King</v>
      </c>
      <c r="E574" t="str">
        <f>_xlfn.XLOOKUP(TBL_USUARIOS[[#This Row],[ID_MASSA]],tbl_de_massas[id_massa],tbl_de_massas[cartao_fisico_numero],"--",0,1)</f>
        <v>5442 7460 1815 5031</v>
      </c>
      <c r="F574" t="str">
        <f>_xlfn.XLOOKUP(TBL_USUARIOS[[#This Row],[ID_MASSA]],tbl_de_massas[id_massa],tbl_de_massas[nome_completo],"--",0,1)</f>
        <v>Benjamin King</v>
      </c>
      <c r="G574" s="47">
        <f>_xlfn.XLOOKUP(TBL_USUARIOS[[#This Row],[ID_MASSA]],tbl_de_massas[id_massa],tbl_de_massas[saldo_conta],"--",0,1)</f>
        <v>6465.47</v>
      </c>
      <c r="H574" t="str">
        <f>_xlfn.XLOOKUP(TBL_USUARIOS[[#This Row],[ID_MASSA]],tbl_de_massas[id_massa],tbl_de_massas[nome_completo],"--",0,1)</f>
        <v>Benjamin King</v>
      </c>
    </row>
    <row r="575" spans="1:8" x14ac:dyDescent="0.25">
      <c r="A575" s="2" t="s">
        <v>6371</v>
      </c>
      <c r="B575" t="str">
        <f>_xlfn.XLOOKUP(TBL_USUARIOS[[#This Row],[ID_MASSA]],tbl_de_massas[id_massa],tbl_de_massas[cpf],"--",0,1)</f>
        <v>29801244860</v>
      </c>
      <c r="C575" t="s">
        <v>12</v>
      </c>
      <c r="D575" t="str">
        <f>_xlfn.XLOOKUP(TBL_USUARIOS[[#This Row],[ID_MASSA]],tbl_de_massas[id_massa],tbl_de_massas[nome_completo],"--",0,1)</f>
        <v>Chloe Miller</v>
      </c>
      <c r="E575" t="str">
        <f>_xlfn.XLOOKUP(TBL_USUARIOS[[#This Row],[ID_MASSA]],tbl_de_massas[id_massa],tbl_de_massas[cartao_fisico_numero],"--",0,1)</f>
        <v/>
      </c>
      <c r="F575" t="str">
        <f>_xlfn.XLOOKUP(TBL_USUARIOS[[#This Row],[ID_MASSA]],tbl_de_massas[id_massa],tbl_de_massas[nome_completo],"--",0,1)</f>
        <v>Chloe Miller</v>
      </c>
      <c r="G575" s="47">
        <f>_xlfn.XLOOKUP(TBL_USUARIOS[[#This Row],[ID_MASSA]],tbl_de_massas[id_massa],tbl_de_massas[saldo_conta],"--",0,1)</f>
        <v>6479.6</v>
      </c>
      <c r="H575" t="str">
        <f>_xlfn.XLOOKUP(TBL_USUARIOS[[#This Row],[ID_MASSA]],tbl_de_massas[id_massa],tbl_de_massas[nome_completo],"--",0,1)</f>
        <v>Chloe Miller</v>
      </c>
    </row>
    <row r="576" spans="1:8" x14ac:dyDescent="0.25">
      <c r="A576" s="2" t="s">
        <v>4264</v>
      </c>
      <c r="B576" t="str">
        <f>_xlfn.XLOOKUP(TBL_USUARIOS[[#This Row],[ID_MASSA]],tbl_de_massas[id_massa],tbl_de_massas[cpf],"--",0,1)</f>
        <v>48827116133</v>
      </c>
      <c r="C576" t="s">
        <v>12</v>
      </c>
      <c r="D576" t="str">
        <f>_xlfn.XLOOKUP(TBL_USUARIOS[[#This Row],[ID_MASSA]],tbl_de_massas[id_massa],tbl_de_massas[nome_completo],"--",0,1)</f>
        <v>Carolina Oliveira Gomes</v>
      </c>
      <c r="E576" t="str">
        <f>_xlfn.XLOOKUP(TBL_USUARIOS[[#This Row],[ID_MASSA]],tbl_de_massas[id_massa],tbl_de_massas[cartao_fisico_numero],"--",0,1)</f>
        <v/>
      </c>
      <c r="F576" t="str">
        <f>_xlfn.XLOOKUP(TBL_USUARIOS[[#This Row],[ID_MASSA]],tbl_de_massas[id_massa],tbl_de_massas[nome_completo],"--",0,1)</f>
        <v>Carolina Oliveira Gomes</v>
      </c>
      <c r="G576" s="47">
        <f>_xlfn.XLOOKUP(TBL_USUARIOS[[#This Row],[ID_MASSA]],tbl_de_massas[id_massa],tbl_de_massas[saldo_conta],"--",0,1)</f>
        <v>6482.85</v>
      </c>
      <c r="H576" t="str">
        <f>_xlfn.XLOOKUP(TBL_USUARIOS[[#This Row],[ID_MASSA]],tbl_de_massas[id_massa],tbl_de_massas[nome_completo],"--",0,1)</f>
        <v>Carolina Oliveira Gomes</v>
      </c>
    </row>
    <row r="577" spans="1:8" x14ac:dyDescent="0.25">
      <c r="A577" s="2" t="s">
        <v>4229</v>
      </c>
      <c r="B577" t="str">
        <f>_xlfn.XLOOKUP(TBL_USUARIOS[[#This Row],[ID_MASSA]],tbl_de_massas[id_massa],tbl_de_massas[cpf],"--",0,1)</f>
        <v>53495243569</v>
      </c>
      <c r="C577" t="s">
        <v>12</v>
      </c>
      <c r="D577" t="str">
        <f>_xlfn.XLOOKUP(TBL_USUARIOS[[#This Row],[ID_MASSA]],tbl_de_massas[id_massa],tbl_de_massas[nome_completo],"--",0,1)</f>
        <v>Fabio Barbosa Cavalcanti</v>
      </c>
      <c r="E577" t="str">
        <f>_xlfn.XLOOKUP(TBL_USUARIOS[[#This Row],[ID_MASSA]],tbl_de_massas[id_massa],tbl_de_massas[cartao_fisico_numero],"--",0,1)</f>
        <v>3782 331308 8927</v>
      </c>
      <c r="F577" t="str">
        <f>_xlfn.XLOOKUP(TBL_USUARIOS[[#This Row],[ID_MASSA]],tbl_de_massas[id_massa],tbl_de_massas[nome_completo],"--",0,1)</f>
        <v>Fabio Barbosa Cavalcanti</v>
      </c>
      <c r="G577" s="47">
        <f>_xlfn.XLOOKUP(TBL_USUARIOS[[#This Row],[ID_MASSA]],tbl_de_massas[id_massa],tbl_de_massas[saldo_conta],"--",0,1)</f>
        <v>6491.52</v>
      </c>
      <c r="H577" t="str">
        <f>_xlfn.XLOOKUP(TBL_USUARIOS[[#This Row],[ID_MASSA]],tbl_de_massas[id_massa],tbl_de_massas[nome_completo],"--",0,1)</f>
        <v>Fabio Barbosa Cavalcanti</v>
      </c>
    </row>
    <row r="578" spans="1:8" x14ac:dyDescent="0.25">
      <c r="A578" s="2" t="s">
        <v>2936</v>
      </c>
      <c r="B578" t="str">
        <f>_xlfn.XLOOKUP(TBL_USUARIOS[[#This Row],[ID_MASSA]],tbl_de_massas[id_massa],tbl_de_massas[cpf],"--",0,1)</f>
        <v>87159430204</v>
      </c>
      <c r="C578" t="s">
        <v>12</v>
      </c>
      <c r="D578" t="str">
        <f>_xlfn.XLOOKUP(TBL_USUARIOS[[#This Row],[ID_MASSA]],tbl_de_massas[id_massa],tbl_de_massas[nome_completo],"--",0,1)</f>
        <v>Beatriz Barbosa</v>
      </c>
      <c r="E578" t="str">
        <f>_xlfn.XLOOKUP(TBL_USUARIOS[[#This Row],[ID_MASSA]],tbl_de_massas[id_massa],tbl_de_massas[cartao_fisico_numero],"--",0,1)</f>
        <v/>
      </c>
      <c r="F578" t="str">
        <f>_xlfn.XLOOKUP(TBL_USUARIOS[[#This Row],[ID_MASSA]],tbl_de_massas[id_massa],tbl_de_massas[nome_completo],"--",0,1)</f>
        <v>Beatriz Barbosa</v>
      </c>
      <c r="G578" s="47">
        <f>_xlfn.XLOOKUP(TBL_USUARIOS[[#This Row],[ID_MASSA]],tbl_de_massas[id_massa],tbl_de_massas[saldo_conta],"--",0,1)</f>
        <v>6500.15</v>
      </c>
      <c r="H578" t="str">
        <f>_xlfn.XLOOKUP(TBL_USUARIOS[[#This Row],[ID_MASSA]],tbl_de_massas[id_massa],tbl_de_massas[nome_completo],"--",0,1)</f>
        <v>Beatriz Barbosa</v>
      </c>
    </row>
    <row r="579" spans="1:8" x14ac:dyDescent="0.25">
      <c r="A579" s="2" t="s">
        <v>5834</v>
      </c>
      <c r="B579" t="str">
        <f>_xlfn.XLOOKUP(TBL_USUARIOS[[#This Row],[ID_MASSA]],tbl_de_massas[id_massa],tbl_de_massas[cpf],"--",0,1)</f>
        <v>13711261353</v>
      </c>
      <c r="C579" t="s">
        <v>12</v>
      </c>
      <c r="D579" t="str">
        <f>_xlfn.XLOOKUP(TBL_USUARIOS[[#This Row],[ID_MASSA]],tbl_de_massas[id_massa],tbl_de_massas[nome_completo],"--",0,1)</f>
        <v>Renato Rodrigues</v>
      </c>
      <c r="E579" t="str">
        <f>_xlfn.XLOOKUP(TBL_USUARIOS[[#This Row],[ID_MASSA]],tbl_de_massas[id_massa],tbl_de_massas[cartao_fisico_numero],"--",0,1)</f>
        <v>3782 867350 5451</v>
      </c>
      <c r="F579" t="str">
        <f>_xlfn.XLOOKUP(TBL_USUARIOS[[#This Row],[ID_MASSA]],tbl_de_massas[id_massa],tbl_de_massas[nome_completo],"--",0,1)</f>
        <v>Renato Rodrigues</v>
      </c>
      <c r="G579" s="47">
        <f>_xlfn.XLOOKUP(TBL_USUARIOS[[#This Row],[ID_MASSA]],tbl_de_massas[id_massa],tbl_de_massas[saldo_conta],"--",0,1)</f>
        <v>6514.61</v>
      </c>
      <c r="H579" t="str">
        <f>_xlfn.XLOOKUP(TBL_USUARIOS[[#This Row],[ID_MASSA]],tbl_de_massas[id_massa],tbl_de_massas[nome_completo],"--",0,1)</f>
        <v>Renato Rodrigues</v>
      </c>
    </row>
    <row r="580" spans="1:8" x14ac:dyDescent="0.25">
      <c r="A580" s="2" t="s">
        <v>5324</v>
      </c>
      <c r="B580" t="str">
        <f>_xlfn.XLOOKUP(TBL_USUARIOS[[#This Row],[ID_MASSA]],tbl_de_massas[id_massa],tbl_de_massas[cpf],"--",0,1)</f>
        <v>66211023138</v>
      </c>
      <c r="C580" t="s">
        <v>12</v>
      </c>
      <c r="D580" t="str">
        <f>_xlfn.XLOOKUP(TBL_USUARIOS[[#This Row],[ID_MASSA]],tbl_de_massas[id_massa],tbl_de_massas[nome_completo],"--",0,1)</f>
        <v>Leonardo Rodrigues</v>
      </c>
      <c r="E580" t="str">
        <f>_xlfn.XLOOKUP(TBL_USUARIOS[[#This Row],[ID_MASSA]],tbl_de_massas[id_massa],tbl_de_massas[cartao_fisico_numero],"--",0,1)</f>
        <v>6062 8200 8577 7973</v>
      </c>
      <c r="F580" t="str">
        <f>_xlfn.XLOOKUP(TBL_USUARIOS[[#This Row],[ID_MASSA]],tbl_de_massas[id_massa],tbl_de_massas[nome_completo],"--",0,1)</f>
        <v>Leonardo Rodrigues</v>
      </c>
      <c r="G580" s="47">
        <f>_xlfn.XLOOKUP(TBL_USUARIOS[[#This Row],[ID_MASSA]],tbl_de_massas[id_massa],tbl_de_massas[saldo_conta],"--",0,1)</f>
        <v>6518.69</v>
      </c>
      <c r="H580" t="str">
        <f>_xlfn.XLOOKUP(TBL_USUARIOS[[#This Row],[ID_MASSA]],tbl_de_massas[id_massa],tbl_de_massas[nome_completo],"--",0,1)</f>
        <v>Leonardo Rodrigues</v>
      </c>
    </row>
    <row r="581" spans="1:8" x14ac:dyDescent="0.25">
      <c r="A581" s="2" t="s">
        <v>4720</v>
      </c>
      <c r="B581" t="str">
        <f>_xlfn.XLOOKUP(TBL_USUARIOS[[#This Row],[ID_MASSA]],tbl_de_massas[id_massa],tbl_de_massas[cpf],"--",0,1)</f>
        <v>16184353454</v>
      </c>
      <c r="C581" t="s">
        <v>12</v>
      </c>
      <c r="D581" t="str">
        <f>_xlfn.XLOOKUP(TBL_USUARIOS[[#This Row],[ID_MASSA]],tbl_de_massas[id_massa],tbl_de_massas[nome_completo],"--",0,1)</f>
        <v>Matheus Campos Gomes</v>
      </c>
      <c r="E581" t="str">
        <f>_xlfn.XLOOKUP(TBL_USUARIOS[[#This Row],[ID_MASSA]],tbl_de_massas[id_massa],tbl_de_massas[cartao_fisico_numero],"--",0,1)</f>
        <v>6062 8200 9766 2860</v>
      </c>
      <c r="F581" t="str">
        <f>_xlfn.XLOOKUP(TBL_USUARIOS[[#This Row],[ID_MASSA]],tbl_de_massas[id_massa],tbl_de_massas[nome_completo],"--",0,1)</f>
        <v>Matheus Campos Gomes</v>
      </c>
      <c r="G581" s="47">
        <f>_xlfn.XLOOKUP(TBL_USUARIOS[[#This Row],[ID_MASSA]],tbl_de_massas[id_massa],tbl_de_massas[saldo_conta],"--",0,1)</f>
        <v>6531.31</v>
      </c>
      <c r="H581" t="str">
        <f>_xlfn.XLOOKUP(TBL_USUARIOS[[#This Row],[ID_MASSA]],tbl_de_massas[id_massa],tbl_de_massas[nome_completo],"--",0,1)</f>
        <v>Matheus Campos Gomes</v>
      </c>
    </row>
    <row r="582" spans="1:8" x14ac:dyDescent="0.25">
      <c r="A582" s="2" t="s">
        <v>4194</v>
      </c>
      <c r="B582" t="str">
        <f>_xlfn.XLOOKUP(TBL_USUARIOS[[#This Row],[ID_MASSA]],tbl_de_massas[id_massa],tbl_de_massas[cpf],"--",0,1)</f>
        <v>28855831267</v>
      </c>
      <c r="C582" t="s">
        <v>12</v>
      </c>
      <c r="D582" t="str">
        <f>_xlfn.XLOOKUP(TBL_USUARIOS[[#This Row],[ID_MASSA]],tbl_de_massas[id_massa],tbl_de_massas[nome_completo],"--",0,1)</f>
        <v>Renato Fernandes Silva</v>
      </c>
      <c r="E582" t="str">
        <f>_xlfn.XLOOKUP(TBL_USUARIOS[[#This Row],[ID_MASSA]],tbl_de_massas[id_massa],tbl_de_massas[cartao_fisico_numero],"--",0,1)</f>
        <v>6505 0666 4125 9194</v>
      </c>
      <c r="F582" t="str">
        <f>_xlfn.XLOOKUP(TBL_USUARIOS[[#This Row],[ID_MASSA]],tbl_de_massas[id_massa],tbl_de_massas[nome_completo],"--",0,1)</f>
        <v>Renato Fernandes Silva</v>
      </c>
      <c r="G582" s="47">
        <f>_xlfn.XLOOKUP(TBL_USUARIOS[[#This Row],[ID_MASSA]],tbl_de_massas[id_massa],tbl_de_massas[saldo_conta],"--",0,1)</f>
        <v>6551.56</v>
      </c>
      <c r="H582" t="str">
        <f>_xlfn.XLOOKUP(TBL_USUARIOS[[#This Row],[ID_MASSA]],tbl_de_massas[id_massa],tbl_de_massas[nome_completo],"--",0,1)</f>
        <v>Renato Fernandes Silva</v>
      </c>
    </row>
    <row r="583" spans="1:8" x14ac:dyDescent="0.25">
      <c r="A583" s="2" t="s">
        <v>4186</v>
      </c>
      <c r="B583" t="str">
        <f>_xlfn.XLOOKUP(TBL_USUARIOS[[#This Row],[ID_MASSA]],tbl_de_massas[id_massa],tbl_de_massas[cpf],"--",0,1)</f>
        <v>52761557808</v>
      </c>
      <c r="C583" t="s">
        <v>12</v>
      </c>
      <c r="D583" t="str">
        <f>_xlfn.XLOOKUP(TBL_USUARIOS[[#This Row],[ID_MASSA]],tbl_de_massas[id_massa],tbl_de_massas[nome_completo],"--",0,1)</f>
        <v>Matheus Nascimento Barros</v>
      </c>
      <c r="E583" t="str">
        <f>_xlfn.XLOOKUP(TBL_USUARIOS[[#This Row],[ID_MASSA]],tbl_de_massas[id_massa],tbl_de_massas[cartao_fisico_numero],"--",0,1)</f>
        <v/>
      </c>
      <c r="F583" t="str">
        <f>_xlfn.XLOOKUP(TBL_USUARIOS[[#This Row],[ID_MASSA]],tbl_de_massas[id_massa],tbl_de_massas[nome_completo],"--",0,1)</f>
        <v>Matheus Nascimento Barros</v>
      </c>
      <c r="G583" s="47">
        <f>_xlfn.XLOOKUP(TBL_USUARIOS[[#This Row],[ID_MASSA]],tbl_de_massas[id_massa],tbl_de_massas[saldo_conta],"--",0,1)</f>
        <v>6554.35</v>
      </c>
      <c r="H583" t="str">
        <f>_xlfn.XLOOKUP(TBL_USUARIOS[[#This Row],[ID_MASSA]],tbl_de_massas[id_massa],tbl_de_massas[nome_completo],"--",0,1)</f>
        <v>Matheus Nascimento Barros</v>
      </c>
    </row>
    <row r="584" spans="1:8" x14ac:dyDescent="0.25">
      <c r="A584" s="2" t="s">
        <v>5127</v>
      </c>
      <c r="B584" t="str">
        <f>_xlfn.XLOOKUP(TBL_USUARIOS[[#This Row],[ID_MASSA]],tbl_de_massas[id_massa],tbl_de_massas[cpf],"--",0,1)</f>
        <v>29275669252</v>
      </c>
      <c r="C584" t="s">
        <v>12</v>
      </c>
      <c r="D584" t="str">
        <f>_xlfn.XLOOKUP(TBL_USUARIOS[[#This Row],[ID_MASSA]],tbl_de_massas[id_massa],tbl_de_massas[nome_completo],"--",0,1)</f>
        <v>Leonardo Pinto Borges</v>
      </c>
      <c r="E584" t="str">
        <f>_xlfn.XLOOKUP(TBL_USUARIOS[[#This Row],[ID_MASSA]],tbl_de_massas[id_massa],tbl_de_massas[cartao_fisico_numero],"--",0,1)</f>
        <v/>
      </c>
      <c r="F584" t="str">
        <f>_xlfn.XLOOKUP(TBL_USUARIOS[[#This Row],[ID_MASSA]],tbl_de_massas[id_massa],tbl_de_massas[nome_completo],"--",0,1)</f>
        <v>Leonardo Pinto Borges</v>
      </c>
      <c r="G584" s="47">
        <f>_xlfn.XLOOKUP(TBL_USUARIOS[[#This Row],[ID_MASSA]],tbl_de_massas[id_massa],tbl_de_massas[saldo_conta],"--",0,1)</f>
        <v>6555.59</v>
      </c>
      <c r="H584" t="str">
        <f>_xlfn.XLOOKUP(TBL_USUARIOS[[#This Row],[ID_MASSA]],tbl_de_massas[id_massa],tbl_de_massas[nome_completo],"--",0,1)</f>
        <v>Leonardo Pinto Borges</v>
      </c>
    </row>
    <row r="585" spans="1:8" x14ac:dyDescent="0.25">
      <c r="A585" s="2" t="s">
        <v>6170</v>
      </c>
      <c r="B585" t="str">
        <f>_xlfn.XLOOKUP(TBL_USUARIOS[[#This Row],[ID_MASSA]],tbl_de_massas[id_massa],tbl_de_massas[cpf],"--",0,1)</f>
        <v>93125200598</v>
      </c>
      <c r="C585" t="s">
        <v>12</v>
      </c>
      <c r="D585" t="str">
        <f>_xlfn.XLOOKUP(TBL_USUARIOS[[#This Row],[ID_MASSA]],tbl_de_massas[id_massa],tbl_de_massas[nome_completo],"--",0,1)</f>
        <v>David Scott</v>
      </c>
      <c r="E585" t="str">
        <f>_xlfn.XLOOKUP(TBL_USUARIOS[[#This Row],[ID_MASSA]],tbl_de_massas[id_massa],tbl_de_massas[cartao_fisico_numero],"--",0,1)</f>
        <v>6505 0666 8469 2701</v>
      </c>
      <c r="F585" t="str">
        <f>_xlfn.XLOOKUP(TBL_USUARIOS[[#This Row],[ID_MASSA]],tbl_de_massas[id_massa],tbl_de_massas[nome_completo],"--",0,1)</f>
        <v>David Scott</v>
      </c>
      <c r="G585" s="47">
        <f>_xlfn.XLOOKUP(TBL_USUARIOS[[#This Row],[ID_MASSA]],tbl_de_massas[id_massa],tbl_de_massas[saldo_conta],"--",0,1)</f>
        <v>6598.66</v>
      </c>
      <c r="H585" t="str">
        <f>_xlfn.XLOOKUP(TBL_USUARIOS[[#This Row],[ID_MASSA]],tbl_de_massas[id_massa],tbl_de_massas[nome_completo],"--",0,1)</f>
        <v>David Scott</v>
      </c>
    </row>
    <row r="586" spans="1:8" x14ac:dyDescent="0.25">
      <c r="A586" s="2" t="s">
        <v>6192</v>
      </c>
      <c r="B586" t="str">
        <f>_xlfn.XLOOKUP(TBL_USUARIOS[[#This Row],[ID_MASSA]],tbl_de_massas[id_massa],tbl_de_massas[cpf],"--",0,1)</f>
        <v>57253407830</v>
      </c>
      <c r="C586" t="s">
        <v>12</v>
      </c>
      <c r="D586" t="str">
        <f>_xlfn.XLOOKUP(TBL_USUARIOS[[#This Row],[ID_MASSA]],tbl_de_massas[id_massa],tbl_de_massas[nome_completo],"--",0,1)</f>
        <v>Victoria Williams</v>
      </c>
      <c r="E586" t="str">
        <f>_xlfn.XLOOKUP(TBL_USUARIOS[[#This Row],[ID_MASSA]],tbl_de_massas[id_massa],tbl_de_massas[cartao_fisico_numero],"--",0,1)</f>
        <v>6062 8200 1585 5102</v>
      </c>
      <c r="F586" t="str">
        <f>_xlfn.XLOOKUP(TBL_USUARIOS[[#This Row],[ID_MASSA]],tbl_de_massas[id_massa],tbl_de_massas[nome_completo],"--",0,1)</f>
        <v>Victoria Williams</v>
      </c>
      <c r="G586" s="47">
        <f>_xlfn.XLOOKUP(TBL_USUARIOS[[#This Row],[ID_MASSA]],tbl_de_massas[id_massa],tbl_de_massas[saldo_conta],"--",0,1)</f>
        <v>6601.81</v>
      </c>
      <c r="H586" t="str">
        <f>_xlfn.XLOOKUP(TBL_USUARIOS[[#This Row],[ID_MASSA]],tbl_de_massas[id_massa],tbl_de_massas[nome_completo],"--",0,1)</f>
        <v>Victoria Williams</v>
      </c>
    </row>
    <row r="587" spans="1:8" x14ac:dyDescent="0.25">
      <c r="A587" s="2" t="s">
        <v>5951</v>
      </c>
      <c r="B587" t="str">
        <f>_xlfn.XLOOKUP(TBL_USUARIOS[[#This Row],[ID_MASSA]],tbl_de_massas[id_massa],tbl_de_massas[cpf],"--",0,1)</f>
        <v>55584677620</v>
      </c>
      <c r="C587" t="s">
        <v>12</v>
      </c>
      <c r="D587" t="str">
        <f>_xlfn.XLOOKUP(TBL_USUARIOS[[#This Row],[ID_MASSA]],tbl_de_massas[id_massa],tbl_de_massas[nome_completo],"--",0,1)</f>
        <v>Debora Oliveira</v>
      </c>
      <c r="E587" t="str">
        <f>_xlfn.XLOOKUP(TBL_USUARIOS[[#This Row],[ID_MASSA]],tbl_de_massas[id_massa],tbl_de_massas[cartao_fisico_numero],"--",0,1)</f>
        <v>5442 7460 4168 9477</v>
      </c>
      <c r="F587" t="str">
        <f>_xlfn.XLOOKUP(TBL_USUARIOS[[#This Row],[ID_MASSA]],tbl_de_massas[id_massa],tbl_de_massas[nome_completo],"--",0,1)</f>
        <v>Debora Oliveira</v>
      </c>
      <c r="G587" s="47">
        <f>_xlfn.XLOOKUP(TBL_USUARIOS[[#This Row],[ID_MASSA]],tbl_de_massas[id_massa],tbl_de_massas[saldo_conta],"--",0,1)</f>
        <v>6629.58</v>
      </c>
      <c r="H587" t="str">
        <f>_xlfn.XLOOKUP(TBL_USUARIOS[[#This Row],[ID_MASSA]],tbl_de_massas[id_massa],tbl_de_massas[nome_completo],"--",0,1)</f>
        <v>Debora Oliveira</v>
      </c>
    </row>
    <row r="588" spans="1:8" x14ac:dyDescent="0.25">
      <c r="A588" s="2" t="s">
        <v>5721</v>
      </c>
      <c r="B588" t="str">
        <f>_xlfn.XLOOKUP(TBL_USUARIOS[[#This Row],[ID_MASSA]],tbl_de_massas[id_massa],tbl_de_massas[cpf],"--",0,1)</f>
        <v>62843268583</v>
      </c>
      <c r="C588" t="s">
        <v>12</v>
      </c>
      <c r="D588" t="str">
        <f>_xlfn.XLOOKUP(TBL_USUARIOS[[#This Row],[ID_MASSA]],tbl_de_massas[id_massa],tbl_de_massas[nome_completo],"--",0,1)</f>
        <v>Thiago Ribeiro Martins</v>
      </c>
      <c r="E588" t="str">
        <f>_xlfn.XLOOKUP(TBL_USUARIOS[[#This Row],[ID_MASSA]],tbl_de_massas[id_massa],tbl_de_massas[cartao_fisico_numero],"--",0,1)</f>
        <v/>
      </c>
      <c r="F588" t="str">
        <f>_xlfn.XLOOKUP(TBL_USUARIOS[[#This Row],[ID_MASSA]],tbl_de_massas[id_massa],tbl_de_massas[nome_completo],"--",0,1)</f>
        <v>Thiago Ribeiro Martins</v>
      </c>
      <c r="G588" s="47">
        <f>_xlfn.XLOOKUP(TBL_USUARIOS[[#This Row],[ID_MASSA]],tbl_de_massas[id_massa],tbl_de_massas[saldo_conta],"--",0,1)</f>
        <v>6689.35</v>
      </c>
      <c r="H588" t="str">
        <f>_xlfn.XLOOKUP(TBL_USUARIOS[[#This Row],[ID_MASSA]],tbl_de_massas[id_massa],tbl_de_massas[nome_completo],"--",0,1)</f>
        <v>Thiago Ribeiro Martins</v>
      </c>
    </row>
    <row r="589" spans="1:8" x14ac:dyDescent="0.25">
      <c r="A589" s="2" t="s">
        <v>5317</v>
      </c>
      <c r="B589" t="str">
        <f>_xlfn.XLOOKUP(TBL_USUARIOS[[#This Row],[ID_MASSA]],tbl_de_massas[id_massa],tbl_de_massas[cpf],"--",0,1)</f>
        <v>79511861557</v>
      </c>
      <c r="C589" t="s">
        <v>12</v>
      </c>
      <c r="D589" t="str">
        <f>_xlfn.XLOOKUP(TBL_USUARIOS[[#This Row],[ID_MASSA]],tbl_de_massas[id_massa],tbl_de_massas[nome_completo],"--",0,1)</f>
        <v>Eduardo Nascimento</v>
      </c>
      <c r="E589" t="str">
        <f>_xlfn.XLOOKUP(TBL_USUARIOS[[#This Row],[ID_MASSA]],tbl_de_massas[id_massa],tbl_de_massas[cartao_fisico_numero],"--",0,1)</f>
        <v>5442 7460 8543 0652</v>
      </c>
      <c r="F589" t="str">
        <f>_xlfn.XLOOKUP(TBL_USUARIOS[[#This Row],[ID_MASSA]],tbl_de_massas[id_massa],tbl_de_massas[nome_completo],"--",0,1)</f>
        <v>Eduardo Nascimento</v>
      </c>
      <c r="G589" s="47">
        <f>_xlfn.XLOOKUP(TBL_USUARIOS[[#This Row],[ID_MASSA]],tbl_de_massas[id_massa],tbl_de_massas[saldo_conta],"--",0,1)</f>
        <v>6690.23</v>
      </c>
      <c r="H589" t="str">
        <f>_xlfn.XLOOKUP(TBL_USUARIOS[[#This Row],[ID_MASSA]],tbl_de_massas[id_massa],tbl_de_massas[nome_completo],"--",0,1)</f>
        <v>Eduardo Nascimento</v>
      </c>
    </row>
    <row r="590" spans="1:8" x14ac:dyDescent="0.25">
      <c r="A590" s="2" t="s">
        <v>2979</v>
      </c>
      <c r="B590" t="str">
        <f>_xlfn.XLOOKUP(TBL_USUARIOS[[#This Row],[ID_MASSA]],tbl_de_massas[id_massa],tbl_de_massas[cpf],"--",0,1)</f>
        <v>13576138498</v>
      </c>
      <c r="C590" t="s">
        <v>12</v>
      </c>
      <c r="D590" t="str">
        <f>_xlfn.XLOOKUP(TBL_USUARIOS[[#This Row],[ID_MASSA]],tbl_de_massas[id_massa],tbl_de_massas[nome_completo],"--",0,1)</f>
        <v>Vinicius Gomes</v>
      </c>
      <c r="E590" t="str">
        <f>_xlfn.XLOOKUP(TBL_USUARIOS[[#This Row],[ID_MASSA]],tbl_de_massas[id_massa],tbl_de_massas[cartao_fisico_numero],"--",0,1)</f>
        <v>6062 8200 6531 1766</v>
      </c>
      <c r="F590" t="str">
        <f>_xlfn.XLOOKUP(TBL_USUARIOS[[#This Row],[ID_MASSA]],tbl_de_massas[id_massa],tbl_de_massas[nome_completo],"--",0,1)</f>
        <v>Vinicius Gomes</v>
      </c>
      <c r="G590" s="47">
        <f>_xlfn.XLOOKUP(TBL_USUARIOS[[#This Row],[ID_MASSA]],tbl_de_massas[id_massa],tbl_de_massas[saldo_conta],"--",0,1)</f>
        <v>6718.73</v>
      </c>
      <c r="H590" t="str">
        <f>_xlfn.XLOOKUP(TBL_USUARIOS[[#This Row],[ID_MASSA]],tbl_de_massas[id_massa],tbl_de_massas[nome_completo],"--",0,1)</f>
        <v>Vinicius Gomes</v>
      </c>
    </row>
    <row r="591" spans="1:8" x14ac:dyDescent="0.25">
      <c r="A591" s="2" t="s">
        <v>2452</v>
      </c>
      <c r="B591" s="14" t="str">
        <f>_xlfn.XLOOKUP(TBL_USUARIOS[[#This Row],[ID_MASSA]],tbl_de_massas[id_massa],tbl_de_massas[cpf],"--",0,1)</f>
        <v>54688525273</v>
      </c>
      <c r="C591" t="s">
        <v>12</v>
      </c>
      <c r="D591" t="str">
        <f>_xlfn.XLOOKUP(TBL_USUARIOS[[#This Row],[ID_MASSA]],tbl_de_massas[id_massa],tbl_de_massas[nome_completo],"--",0,1)</f>
        <v>Yuki Takahashi</v>
      </c>
      <c r="E591" t="str">
        <f>_xlfn.XLOOKUP(TBL_USUARIOS[[#This Row],[ID_MASSA]],tbl_de_massas[id_massa],tbl_de_massas[cartao_fisico_numero],"--",0,1)</f>
        <v>5442 7460 9954 1781</v>
      </c>
      <c r="F591" t="str">
        <f>_xlfn.XLOOKUP(TBL_USUARIOS[[#This Row],[ID_MASSA]],tbl_de_massas[id_massa],tbl_de_massas[nome_completo],"--",0,1)</f>
        <v>Yuki Takahashi</v>
      </c>
      <c r="G591" s="47">
        <f>_xlfn.XLOOKUP(TBL_USUARIOS[[#This Row],[ID_MASSA]],tbl_de_massas[id_massa],tbl_de_massas[saldo_conta],"--",0,1)</f>
        <v>6721.27</v>
      </c>
      <c r="H591" t="str">
        <f>_xlfn.XLOOKUP(TBL_USUARIOS[[#This Row],[ID_MASSA]],tbl_de_massas[id_massa],tbl_de_massas[nome_completo],"--",0,1)</f>
        <v>Yuki Takahashi</v>
      </c>
    </row>
    <row r="592" spans="1:8" x14ac:dyDescent="0.25">
      <c r="A592" s="2" t="s">
        <v>4001</v>
      </c>
      <c r="B592" t="str">
        <f>_xlfn.XLOOKUP(TBL_USUARIOS[[#This Row],[ID_MASSA]],tbl_de_massas[id_massa],tbl_de_massas[cpf],"--",0,1)</f>
        <v>25766394616</v>
      </c>
      <c r="C592" t="s">
        <v>12</v>
      </c>
      <c r="D592" t="str">
        <f>_xlfn.XLOOKUP(TBL_USUARIOS[[#This Row],[ID_MASSA]],tbl_de_massas[id_massa],tbl_de_massas[nome_completo],"--",0,1)</f>
        <v>Sabrina Cavalcanti Barros</v>
      </c>
      <c r="E592" t="str">
        <f>_xlfn.XLOOKUP(TBL_USUARIOS[[#This Row],[ID_MASSA]],tbl_de_massas[id_massa],tbl_de_massas[cartao_fisico_numero],"--",0,1)</f>
        <v/>
      </c>
      <c r="F592" t="str">
        <f>_xlfn.XLOOKUP(TBL_USUARIOS[[#This Row],[ID_MASSA]],tbl_de_massas[id_massa],tbl_de_massas[nome_completo],"--",0,1)</f>
        <v>Sabrina Cavalcanti Barros</v>
      </c>
      <c r="G592" s="47">
        <f>_xlfn.XLOOKUP(TBL_USUARIOS[[#This Row],[ID_MASSA]],tbl_de_massas[id_massa],tbl_de_massas[saldo_conta],"--",0,1)</f>
        <v>6732.13</v>
      </c>
      <c r="H592" t="str">
        <f>_xlfn.XLOOKUP(TBL_USUARIOS[[#This Row],[ID_MASSA]],tbl_de_massas[id_massa],tbl_de_massas[nome_completo],"--",0,1)</f>
        <v>Sabrina Cavalcanti Barros</v>
      </c>
    </row>
    <row r="593" spans="1:8" x14ac:dyDescent="0.25">
      <c r="A593" s="2" t="s">
        <v>5761</v>
      </c>
      <c r="B593" t="str">
        <f>_xlfn.XLOOKUP(TBL_USUARIOS[[#This Row],[ID_MASSA]],tbl_de_massas[id_massa],tbl_de_massas[cpf],"--",0,1)</f>
        <v>11980124710</v>
      </c>
      <c r="C593" t="s">
        <v>12</v>
      </c>
      <c r="D593" t="str">
        <f>_xlfn.XLOOKUP(TBL_USUARIOS[[#This Row],[ID_MASSA]],tbl_de_massas[id_massa],tbl_de_massas[nome_completo],"--",0,1)</f>
        <v>Fabio Fernandes</v>
      </c>
      <c r="E593" t="str">
        <f>_xlfn.XLOOKUP(TBL_USUARIOS[[#This Row],[ID_MASSA]],tbl_de_massas[id_massa],tbl_de_massas[cartao_fisico_numero],"--",0,1)</f>
        <v>5442 7460 5532 8076</v>
      </c>
      <c r="F593" t="str">
        <f>_xlfn.XLOOKUP(TBL_USUARIOS[[#This Row],[ID_MASSA]],tbl_de_massas[id_massa],tbl_de_massas[nome_completo],"--",0,1)</f>
        <v>Fabio Fernandes</v>
      </c>
      <c r="G593" s="47">
        <f>_xlfn.XLOOKUP(TBL_USUARIOS[[#This Row],[ID_MASSA]],tbl_de_massas[id_massa],tbl_de_massas[saldo_conta],"--",0,1)</f>
        <v>6733.67</v>
      </c>
      <c r="H593" t="str">
        <f>_xlfn.XLOOKUP(TBL_USUARIOS[[#This Row],[ID_MASSA]],tbl_de_massas[id_massa],tbl_de_massas[nome_completo],"--",0,1)</f>
        <v>Fabio Fernandes</v>
      </c>
    </row>
    <row r="594" spans="1:8" x14ac:dyDescent="0.25">
      <c r="A594" s="2" t="s">
        <v>3736</v>
      </c>
      <c r="B594" t="str">
        <f>_xlfn.XLOOKUP(TBL_USUARIOS[[#This Row],[ID_MASSA]],tbl_de_massas[id_massa],tbl_de_massas[cpf],"--",0,1)</f>
        <v>38935977608</v>
      </c>
      <c r="C594" t="s">
        <v>12</v>
      </c>
      <c r="D594" t="str">
        <f>_xlfn.XLOOKUP(TBL_USUARIOS[[#This Row],[ID_MASSA]],tbl_de_massas[id_massa],tbl_de_massas[nome_completo],"--",0,1)</f>
        <v>Isabela Rodrigues Barros</v>
      </c>
      <c r="E594" t="str">
        <f>_xlfn.XLOOKUP(TBL_USUARIOS[[#This Row],[ID_MASSA]],tbl_de_massas[id_massa],tbl_de_massas[cartao_fisico_numero],"--",0,1)</f>
        <v/>
      </c>
      <c r="F594" t="str">
        <f>_xlfn.XLOOKUP(TBL_USUARIOS[[#This Row],[ID_MASSA]],tbl_de_massas[id_massa],tbl_de_massas[nome_completo],"--",0,1)</f>
        <v>Isabela Rodrigues Barros</v>
      </c>
      <c r="G594" s="47">
        <f>_xlfn.XLOOKUP(TBL_USUARIOS[[#This Row],[ID_MASSA]],tbl_de_massas[id_massa],tbl_de_massas[saldo_conta],"--",0,1)</f>
        <v>6735.11</v>
      </c>
      <c r="H594" t="str">
        <f>_xlfn.XLOOKUP(TBL_USUARIOS[[#This Row],[ID_MASSA]],tbl_de_massas[id_massa],tbl_de_massas[nome_completo],"--",0,1)</f>
        <v>Isabela Rodrigues Barros</v>
      </c>
    </row>
    <row r="595" spans="1:8" x14ac:dyDescent="0.25">
      <c r="A595" s="2" t="s">
        <v>2336</v>
      </c>
      <c r="B595" s="14" t="str">
        <f>_xlfn.XLOOKUP(TBL_USUARIOS[[#This Row],[ID_MASSA]],tbl_de_massas[id_massa],tbl_de_massas[cpf],"--",0,1)</f>
        <v>42681570697</v>
      </c>
      <c r="C595" t="s">
        <v>12</v>
      </c>
      <c r="D595" t="str">
        <f>_xlfn.XLOOKUP(TBL_USUARIOS[[#This Row],[ID_MASSA]],tbl_de_massas[id_massa],tbl_de_massas[nome_completo],"--",0,1)</f>
        <v>Felix Weber</v>
      </c>
      <c r="E595" t="str">
        <f>_xlfn.XLOOKUP(TBL_USUARIOS[[#This Row],[ID_MASSA]],tbl_de_massas[id_massa],tbl_de_massas[cartao_fisico_numero],"--",0,1)</f>
        <v>6062 8200 2382 2068</v>
      </c>
      <c r="F595" t="str">
        <f>_xlfn.XLOOKUP(TBL_USUARIOS[[#This Row],[ID_MASSA]],tbl_de_massas[id_massa],tbl_de_massas[nome_completo],"--",0,1)</f>
        <v>Felix Weber</v>
      </c>
      <c r="G595" s="47">
        <f>_xlfn.XLOOKUP(TBL_USUARIOS[[#This Row],[ID_MASSA]],tbl_de_massas[id_massa],tbl_de_massas[saldo_conta],"--",0,1)</f>
        <v>6756.02</v>
      </c>
      <c r="H595" t="str">
        <f>_xlfn.XLOOKUP(TBL_USUARIOS[[#This Row],[ID_MASSA]],tbl_de_massas[id_massa],tbl_de_massas[nome_completo],"--",0,1)</f>
        <v>Felix Weber</v>
      </c>
    </row>
    <row r="596" spans="1:8" x14ac:dyDescent="0.25">
      <c r="A596" s="2" t="s">
        <v>3966</v>
      </c>
      <c r="B596" t="str">
        <f>_xlfn.XLOOKUP(TBL_USUARIOS[[#This Row],[ID_MASSA]],tbl_de_massas[id_massa],tbl_de_massas[cpf],"--",0,1)</f>
        <v>77103441863</v>
      </c>
      <c r="C596" t="s">
        <v>12</v>
      </c>
      <c r="D596" t="str">
        <f>_xlfn.XLOOKUP(TBL_USUARIOS[[#This Row],[ID_MASSA]],tbl_de_massas[id_massa],tbl_de_massas[nome_completo],"--",0,1)</f>
        <v>Jessica Oliveira</v>
      </c>
      <c r="E596" t="str">
        <f>_xlfn.XLOOKUP(TBL_USUARIOS[[#This Row],[ID_MASSA]],tbl_de_massas[id_massa],tbl_de_massas[cartao_fisico_numero],"--",0,1)</f>
        <v>6505 0666 7982 5731</v>
      </c>
      <c r="F596" t="str">
        <f>_xlfn.XLOOKUP(TBL_USUARIOS[[#This Row],[ID_MASSA]],tbl_de_massas[id_massa],tbl_de_massas[nome_completo],"--",0,1)</f>
        <v>Jessica Oliveira</v>
      </c>
      <c r="G596" s="47">
        <f>_xlfn.XLOOKUP(TBL_USUARIOS[[#This Row],[ID_MASSA]],tbl_de_massas[id_massa],tbl_de_massas[saldo_conta],"--",0,1)</f>
        <v>6762.71</v>
      </c>
      <c r="H596" t="str">
        <f>_xlfn.XLOOKUP(TBL_USUARIOS[[#This Row],[ID_MASSA]],tbl_de_massas[id_massa],tbl_de_massas[nome_completo],"--",0,1)</f>
        <v>Jessica Oliveira</v>
      </c>
    </row>
    <row r="597" spans="1:8" x14ac:dyDescent="0.25">
      <c r="A597" s="2" t="s">
        <v>5075</v>
      </c>
      <c r="B597" t="str">
        <f>_xlfn.XLOOKUP(TBL_USUARIOS[[#This Row],[ID_MASSA]],tbl_de_massas[id_massa],tbl_de_massas[cpf],"--",0,1)</f>
        <v>78505003691</v>
      </c>
      <c r="C597" t="s">
        <v>12</v>
      </c>
      <c r="D597" t="str">
        <f>_xlfn.XLOOKUP(TBL_USUARIOS[[#This Row],[ID_MASSA]],tbl_de_massas[id_massa],tbl_de_massas[nome_completo],"--",0,1)</f>
        <v>Gabriela Martins Dias</v>
      </c>
      <c r="E597" t="str">
        <f>_xlfn.XLOOKUP(TBL_USUARIOS[[#This Row],[ID_MASSA]],tbl_de_massas[id_massa],tbl_de_massas[cartao_fisico_numero],"--",0,1)</f>
        <v>6505 0666 4487 2375</v>
      </c>
      <c r="F597" t="str">
        <f>_xlfn.XLOOKUP(TBL_USUARIOS[[#This Row],[ID_MASSA]],tbl_de_massas[id_massa],tbl_de_massas[nome_completo],"--",0,1)</f>
        <v>Gabriela Martins Dias</v>
      </c>
      <c r="G597" s="47">
        <f>_xlfn.XLOOKUP(TBL_USUARIOS[[#This Row],[ID_MASSA]],tbl_de_massas[id_massa],tbl_de_massas[saldo_conta],"--",0,1)</f>
        <v>6776.06</v>
      </c>
      <c r="H597" t="str">
        <f>_xlfn.XLOOKUP(TBL_USUARIOS[[#This Row],[ID_MASSA]],tbl_de_massas[id_massa],tbl_de_massas[nome_completo],"--",0,1)</f>
        <v>Gabriela Martins Dias</v>
      </c>
    </row>
    <row r="598" spans="1:8" x14ac:dyDescent="0.25">
      <c r="A598" s="2" t="s">
        <v>2878</v>
      </c>
      <c r="B598" t="str">
        <f>_xlfn.XLOOKUP(TBL_USUARIOS[[#This Row],[ID_MASSA]],tbl_de_massas[id_massa],tbl_de_massas[cpf],"--",0,1)</f>
        <v>08584034986</v>
      </c>
      <c r="C598" t="s">
        <v>12</v>
      </c>
      <c r="D598" t="str">
        <f>_xlfn.XLOOKUP(TBL_USUARIOS[[#This Row],[ID_MASSA]],tbl_de_massas[id_massa],tbl_de_massas[nome_completo],"--",0,1)</f>
        <v>Vanessa Costa Martins</v>
      </c>
      <c r="E598" t="str">
        <f>_xlfn.XLOOKUP(TBL_USUARIOS[[#This Row],[ID_MASSA]],tbl_de_massas[id_massa],tbl_de_massas[cartao_fisico_numero],"--",0,1)</f>
        <v/>
      </c>
      <c r="F598" t="str">
        <f>_xlfn.XLOOKUP(TBL_USUARIOS[[#This Row],[ID_MASSA]],tbl_de_massas[id_massa],tbl_de_massas[nome_completo],"--",0,1)</f>
        <v>Vanessa Costa Martins</v>
      </c>
      <c r="G598" s="47">
        <f>_xlfn.XLOOKUP(TBL_USUARIOS[[#This Row],[ID_MASSA]],tbl_de_massas[id_massa],tbl_de_massas[saldo_conta],"--",0,1)</f>
        <v>6792.3</v>
      </c>
      <c r="H598" t="str">
        <f>_xlfn.XLOOKUP(TBL_USUARIOS[[#This Row],[ID_MASSA]],tbl_de_massas[id_massa],tbl_de_massas[nome_completo],"--",0,1)</f>
        <v>Vanessa Costa Martins</v>
      </c>
    </row>
    <row r="599" spans="1:8" x14ac:dyDescent="0.25">
      <c r="A599" s="2" t="s">
        <v>5493</v>
      </c>
      <c r="B599" t="str">
        <f>_xlfn.XLOOKUP(TBL_USUARIOS[[#This Row],[ID_MASSA]],tbl_de_massas[id_massa],tbl_de_massas[cpf],"--",0,1)</f>
        <v>05506170351</v>
      </c>
      <c r="C599" t="s">
        <v>12</v>
      </c>
      <c r="D599" t="str">
        <f>_xlfn.XLOOKUP(TBL_USUARIOS[[#This Row],[ID_MASSA]],tbl_de_massas[id_massa],tbl_de_massas[nome_completo],"--",0,1)</f>
        <v>Marcos Pinto Carvalho</v>
      </c>
      <c r="E599" t="str">
        <f>_xlfn.XLOOKUP(TBL_USUARIOS[[#This Row],[ID_MASSA]],tbl_de_massas[id_massa],tbl_de_massas[cartao_fisico_numero],"--",0,1)</f>
        <v>3782 546722 0422</v>
      </c>
      <c r="F599" t="str">
        <f>_xlfn.XLOOKUP(TBL_USUARIOS[[#This Row],[ID_MASSA]],tbl_de_massas[id_massa],tbl_de_massas[nome_completo],"--",0,1)</f>
        <v>Marcos Pinto Carvalho</v>
      </c>
      <c r="G599" s="47">
        <f>_xlfn.XLOOKUP(TBL_USUARIOS[[#This Row],[ID_MASSA]],tbl_de_massas[id_massa],tbl_de_massas[saldo_conta],"--",0,1)</f>
        <v>6830.83</v>
      </c>
      <c r="H599" t="str">
        <f>_xlfn.XLOOKUP(TBL_USUARIOS[[#This Row],[ID_MASSA]],tbl_de_massas[id_massa],tbl_de_massas[nome_completo],"--",0,1)</f>
        <v>Marcos Pinto Carvalho</v>
      </c>
    </row>
    <row r="600" spans="1:8" x14ac:dyDescent="0.25">
      <c r="A600" s="2" t="s">
        <v>2182</v>
      </c>
      <c r="B600" s="14" t="str">
        <f>_xlfn.XLOOKUP(TBL_USUARIOS[[#This Row],[ID_MASSA]],tbl_de_massas[id_massa],tbl_de_massas[cpf],"--",0,1)</f>
        <v>42062517700</v>
      </c>
      <c r="C600" t="s">
        <v>12</v>
      </c>
      <c r="D600" t="str">
        <f>_xlfn.XLOOKUP(TBL_USUARIOS[[#This Row],[ID_MASSA]],tbl_de_massas[id_massa],tbl_de_massas[nome_completo],"--",0,1)</f>
        <v>Fahad Al-Ghamdi</v>
      </c>
      <c r="E600" t="str">
        <f>_xlfn.XLOOKUP(TBL_USUARIOS[[#This Row],[ID_MASSA]],tbl_de_massas[id_massa],tbl_de_massas[cartao_fisico_numero],"--",0,1)</f>
        <v>6062 8200 1789 5908</v>
      </c>
      <c r="F600" t="str">
        <f>_xlfn.XLOOKUP(TBL_USUARIOS[[#This Row],[ID_MASSA]],tbl_de_massas[id_massa],tbl_de_massas[nome_completo],"--",0,1)</f>
        <v>Fahad Al-Ghamdi</v>
      </c>
      <c r="G600" s="47">
        <f>_xlfn.XLOOKUP(TBL_USUARIOS[[#This Row],[ID_MASSA]],tbl_de_massas[id_massa],tbl_de_massas[saldo_conta],"--",0,1)</f>
        <v>6831.36</v>
      </c>
      <c r="H600" t="str">
        <f>_xlfn.XLOOKUP(TBL_USUARIOS[[#This Row],[ID_MASSA]],tbl_de_massas[id_massa],tbl_de_massas[nome_completo],"--",0,1)</f>
        <v>Fahad Al-Ghamdi</v>
      </c>
    </row>
    <row r="601" spans="1:8" x14ac:dyDescent="0.25">
      <c r="A601" s="2" t="s">
        <v>2194</v>
      </c>
      <c r="B601" s="14" t="str">
        <f>_xlfn.XLOOKUP(TBL_USUARIOS[[#This Row],[ID_MASSA]],tbl_de_massas[id_massa],tbl_de_massas[cpf],"--",0,1)</f>
        <v>59127562468</v>
      </c>
      <c r="C601" t="s">
        <v>12</v>
      </c>
      <c r="D601" t="str">
        <f>_xlfn.XLOOKUP(TBL_USUARIOS[[#This Row],[ID_MASSA]],tbl_de_massas[id_massa],tbl_de_massas[nome_completo],"--",0,1)</f>
        <v>Tariq Al-Mansoor</v>
      </c>
      <c r="E601" t="str">
        <f>_xlfn.XLOOKUP(TBL_USUARIOS[[#This Row],[ID_MASSA]],tbl_de_massas[id_massa],tbl_de_massas[cartao_fisico_numero],"--",0,1)</f>
        <v>5442 7460 9214 5172</v>
      </c>
      <c r="F601" t="str">
        <f>_xlfn.XLOOKUP(TBL_USUARIOS[[#This Row],[ID_MASSA]],tbl_de_massas[id_massa],tbl_de_massas[nome_completo],"--",0,1)</f>
        <v>Tariq Al-Mansoor</v>
      </c>
      <c r="G601" s="47">
        <f>_xlfn.XLOOKUP(TBL_USUARIOS[[#This Row],[ID_MASSA]],tbl_de_massas[id_massa],tbl_de_massas[saldo_conta],"--",0,1)</f>
        <v>6839.28</v>
      </c>
      <c r="H601" t="str">
        <f>_xlfn.XLOOKUP(TBL_USUARIOS[[#This Row],[ID_MASSA]],tbl_de_massas[id_massa],tbl_de_massas[nome_completo],"--",0,1)</f>
        <v>Tariq Al-Mansoor</v>
      </c>
    </row>
    <row r="602" spans="1:8" x14ac:dyDescent="0.25">
      <c r="A602" s="2" t="s">
        <v>5463</v>
      </c>
      <c r="B602" t="str">
        <f>_xlfn.XLOOKUP(TBL_USUARIOS[[#This Row],[ID_MASSA]],tbl_de_massas[id_massa],tbl_de_massas[cpf],"--",0,1)</f>
        <v>58615104662</v>
      </c>
      <c r="C602" t="s">
        <v>12</v>
      </c>
      <c r="D602" t="str">
        <f>_xlfn.XLOOKUP(TBL_USUARIOS[[#This Row],[ID_MASSA]],tbl_de_massas[id_massa],tbl_de_massas[nome_completo],"--",0,1)</f>
        <v>Vivian Pinto Gomes</v>
      </c>
      <c r="E602" t="str">
        <f>_xlfn.XLOOKUP(TBL_USUARIOS[[#This Row],[ID_MASSA]],tbl_de_massas[id_massa],tbl_de_massas[cartao_fisico_numero],"--",0,1)</f>
        <v>6062 8200 9373 4670</v>
      </c>
      <c r="F602" t="str">
        <f>_xlfn.XLOOKUP(TBL_USUARIOS[[#This Row],[ID_MASSA]],tbl_de_massas[id_massa],tbl_de_massas[nome_completo],"--",0,1)</f>
        <v>Vivian Pinto Gomes</v>
      </c>
      <c r="G602" s="47">
        <f>_xlfn.XLOOKUP(TBL_USUARIOS[[#This Row],[ID_MASSA]],tbl_de_massas[id_massa],tbl_de_massas[saldo_conta],"--",0,1)</f>
        <v>6863.5</v>
      </c>
      <c r="H602" t="str">
        <f>_xlfn.XLOOKUP(TBL_USUARIOS[[#This Row],[ID_MASSA]],tbl_de_massas[id_massa],tbl_de_massas[nome_completo],"--",0,1)</f>
        <v>Vivian Pinto Gomes</v>
      </c>
    </row>
    <row r="603" spans="1:8" x14ac:dyDescent="0.25">
      <c r="A603" s="2" t="s">
        <v>2923</v>
      </c>
      <c r="B603" t="str">
        <f>_xlfn.XLOOKUP(TBL_USUARIOS[[#This Row],[ID_MASSA]],tbl_de_massas[id_massa],tbl_de_massas[cpf],"--",0,1)</f>
        <v>90403351766</v>
      </c>
      <c r="C603" t="s">
        <v>12</v>
      </c>
      <c r="D603" t="str">
        <f>_xlfn.XLOOKUP(TBL_USUARIOS[[#This Row],[ID_MASSA]],tbl_de_massas[id_massa],tbl_de_massas[nome_completo],"--",0,1)</f>
        <v>Camila Barros Campos</v>
      </c>
      <c r="E603" t="str">
        <f>_xlfn.XLOOKUP(TBL_USUARIOS[[#This Row],[ID_MASSA]],tbl_de_massas[id_massa],tbl_de_massas[cartao_fisico_numero],"--",0,1)</f>
        <v/>
      </c>
      <c r="F603" t="str">
        <f>_xlfn.XLOOKUP(TBL_USUARIOS[[#This Row],[ID_MASSA]],tbl_de_massas[id_massa],tbl_de_massas[nome_completo],"--",0,1)</f>
        <v>Camila Barros Campos</v>
      </c>
      <c r="G603" s="47">
        <f>_xlfn.XLOOKUP(TBL_USUARIOS[[#This Row],[ID_MASSA]],tbl_de_massas[id_massa],tbl_de_massas[saldo_conta],"--",0,1)</f>
        <v>6878.82</v>
      </c>
      <c r="H603" t="str">
        <f>_xlfn.XLOOKUP(TBL_USUARIOS[[#This Row],[ID_MASSA]],tbl_de_massas[id_massa],tbl_de_massas[nome_completo],"--",0,1)</f>
        <v>Camila Barros Campos</v>
      </c>
    </row>
    <row r="604" spans="1:8" x14ac:dyDescent="0.25">
      <c r="A604" s="2" t="s">
        <v>3781</v>
      </c>
      <c r="B604" t="str">
        <f>_xlfn.XLOOKUP(TBL_USUARIOS[[#This Row],[ID_MASSA]],tbl_de_massas[id_massa],tbl_de_massas[cpf],"--",0,1)</f>
        <v>11764026411</v>
      </c>
      <c r="C604" t="s">
        <v>12</v>
      </c>
      <c r="D604" t="str">
        <f>_xlfn.XLOOKUP(TBL_USUARIOS[[#This Row],[ID_MASSA]],tbl_de_massas[id_massa],tbl_de_massas[nome_completo],"--",0,1)</f>
        <v>Leonardo Moura</v>
      </c>
      <c r="E604" t="str">
        <f>_xlfn.XLOOKUP(TBL_USUARIOS[[#This Row],[ID_MASSA]],tbl_de_massas[id_massa],tbl_de_massas[cartao_fisico_numero],"--",0,1)</f>
        <v/>
      </c>
      <c r="F604" t="str">
        <f>_xlfn.XLOOKUP(TBL_USUARIOS[[#This Row],[ID_MASSA]],tbl_de_massas[id_massa],tbl_de_massas[nome_completo],"--",0,1)</f>
        <v>Leonardo Moura</v>
      </c>
      <c r="G604" s="47">
        <f>_xlfn.XLOOKUP(TBL_USUARIOS[[#This Row],[ID_MASSA]],tbl_de_massas[id_massa],tbl_de_massas[saldo_conta],"--",0,1)</f>
        <v>6887.15</v>
      </c>
      <c r="H604" t="str">
        <f>_xlfn.XLOOKUP(TBL_USUARIOS[[#This Row],[ID_MASSA]],tbl_de_massas[id_massa],tbl_de_massas[nome_completo],"--",0,1)</f>
        <v>Leonardo Moura</v>
      </c>
    </row>
    <row r="605" spans="1:8" x14ac:dyDescent="0.25">
      <c r="A605" s="2" t="s">
        <v>2704</v>
      </c>
      <c r="B605" t="str">
        <f>_xlfn.XLOOKUP(TBL_USUARIOS[[#This Row],[ID_MASSA]],tbl_de_massas[id_massa],tbl_de_massas[cpf],"--",0,1)</f>
        <v>51028811675</v>
      </c>
      <c r="C605" t="s">
        <v>12</v>
      </c>
      <c r="D605" t="str">
        <f>_xlfn.XLOOKUP(TBL_USUARIOS[[#This Row],[ID_MASSA]],tbl_de_massas[id_massa],tbl_de_massas[nome_completo],"--",0,1)</f>
        <v>Wei Li</v>
      </c>
      <c r="E605" t="str">
        <f>_xlfn.XLOOKUP(TBL_USUARIOS[[#This Row],[ID_MASSA]],tbl_de_massas[id_massa],tbl_de_massas[cartao_fisico_numero],"--",0,1)</f>
        <v>5442 7460 6189 6511</v>
      </c>
      <c r="F605" t="str">
        <f>_xlfn.XLOOKUP(TBL_USUARIOS[[#This Row],[ID_MASSA]],tbl_de_massas[id_massa],tbl_de_massas[nome_completo],"--",0,1)</f>
        <v>Wei Li</v>
      </c>
      <c r="G605" s="47">
        <f>_xlfn.XLOOKUP(TBL_USUARIOS[[#This Row],[ID_MASSA]],tbl_de_massas[id_massa],tbl_de_massas[saldo_conta],"--",0,1)</f>
        <v>6922.42</v>
      </c>
      <c r="H605" t="str">
        <f>_xlfn.XLOOKUP(TBL_USUARIOS[[#This Row],[ID_MASSA]],tbl_de_massas[id_massa],tbl_de_massas[nome_completo],"--",0,1)</f>
        <v>Wei Li</v>
      </c>
    </row>
    <row r="606" spans="1:8" x14ac:dyDescent="0.25">
      <c r="A606" s="2" t="s">
        <v>2596</v>
      </c>
      <c r="B606" s="14" t="str">
        <f>_xlfn.XLOOKUP(TBL_USUARIOS[[#This Row],[ID_MASSA]],tbl_de_massas[id_massa],tbl_de_massas[cpf],"--",0,1)</f>
        <v>13586297653</v>
      </c>
      <c r="C606" t="s">
        <v>12</v>
      </c>
      <c r="D606" t="str">
        <f>_xlfn.XLOOKUP(TBL_USUARIOS[[#This Row],[ID_MASSA]],tbl_de_massas[id_massa],tbl_de_massas[nome_completo],"--",0,1)</f>
        <v>Mauriana Costa Silva</v>
      </c>
      <c r="E606" t="str">
        <f>_xlfn.XLOOKUP(TBL_USUARIOS[[#This Row],[ID_MASSA]],tbl_de_massas[id_massa],tbl_de_massas[cartao_fisico_numero],"--",0,1)</f>
        <v/>
      </c>
      <c r="F606" t="str">
        <f>_xlfn.XLOOKUP(TBL_USUARIOS[[#This Row],[ID_MASSA]],tbl_de_massas[id_massa],tbl_de_massas[nome_completo],"--",0,1)</f>
        <v>Mauriana Costa Silva</v>
      </c>
      <c r="G606" s="47">
        <f>_xlfn.XLOOKUP(TBL_USUARIOS[[#This Row],[ID_MASSA]],tbl_de_massas[id_massa],tbl_de_massas[saldo_conta],"--",0,1)</f>
        <v>6931.8</v>
      </c>
      <c r="H606" t="str">
        <f>_xlfn.XLOOKUP(TBL_USUARIOS[[#This Row],[ID_MASSA]],tbl_de_massas[id_massa],tbl_de_massas[nome_completo],"--",0,1)</f>
        <v>Mauriana Costa Silva</v>
      </c>
    </row>
    <row r="607" spans="1:8" x14ac:dyDescent="0.25">
      <c r="A607" s="2" t="s">
        <v>3540</v>
      </c>
      <c r="B607" t="str">
        <f>_xlfn.XLOOKUP(TBL_USUARIOS[[#This Row],[ID_MASSA]],tbl_de_massas[id_massa],tbl_de_massas[cpf],"--",0,1)</f>
        <v>42748234820</v>
      </c>
      <c r="C607" t="s">
        <v>12</v>
      </c>
      <c r="D607" t="str">
        <f>_xlfn.XLOOKUP(TBL_USUARIOS[[#This Row],[ID_MASSA]],tbl_de_massas[id_massa],tbl_de_massas[nome_completo],"--",0,1)</f>
        <v>Debora Vieira Moreira</v>
      </c>
      <c r="E607" t="str">
        <f>_xlfn.XLOOKUP(TBL_USUARIOS[[#This Row],[ID_MASSA]],tbl_de_massas[id_massa],tbl_de_massas[cartao_fisico_numero],"--",0,1)</f>
        <v>6505 0666 8082 7429</v>
      </c>
      <c r="F607" t="str">
        <f>_xlfn.XLOOKUP(TBL_USUARIOS[[#This Row],[ID_MASSA]],tbl_de_massas[id_massa],tbl_de_massas[nome_completo],"--",0,1)</f>
        <v>Debora Vieira Moreira</v>
      </c>
      <c r="G607" s="47">
        <f>_xlfn.XLOOKUP(TBL_USUARIOS[[#This Row],[ID_MASSA]],tbl_de_massas[id_massa],tbl_de_massas[saldo_conta],"--",0,1)</f>
        <v>6646.94</v>
      </c>
      <c r="H607" t="str">
        <f>_xlfn.XLOOKUP(TBL_USUARIOS[[#This Row],[ID_MASSA]],tbl_de_massas[id_massa],tbl_de_massas[nome_completo],"--",0,1)</f>
        <v>Debora Vieira Moreira</v>
      </c>
    </row>
    <row r="608" spans="1:8" x14ac:dyDescent="0.25">
      <c r="A608" s="2" t="s">
        <v>6620</v>
      </c>
      <c r="B608" t="str">
        <f>_xlfn.XLOOKUP(TBL_USUARIOS[[#This Row],[ID_MASSA]],tbl_de_massas[id_massa],tbl_de_massas[cpf],"--",0,1)</f>
        <v>25815682837</v>
      </c>
      <c r="C608" t="s">
        <v>12</v>
      </c>
      <c r="D608" t="str">
        <f>_xlfn.XLOOKUP(TBL_USUARIOS[[#This Row],[ID_MASSA]],tbl_de_massas[id_massa],tbl_de_massas[nome_completo],"--",0,1)</f>
        <v>Takumi Yoshida Kato</v>
      </c>
      <c r="E608" t="str">
        <f>_xlfn.XLOOKUP(TBL_USUARIOS[[#This Row],[ID_MASSA]],tbl_de_massas[id_massa],tbl_de_massas[cartao_fisico_numero],"--",0,1)</f>
        <v>6505 0666 1701 3868</v>
      </c>
      <c r="F608" t="str">
        <f>_xlfn.XLOOKUP(TBL_USUARIOS[[#This Row],[ID_MASSA]],tbl_de_massas[id_massa],tbl_de_massas[nome_completo],"--",0,1)</f>
        <v>Takumi Yoshida Kato</v>
      </c>
      <c r="G608" s="47">
        <f>_xlfn.XLOOKUP(TBL_USUARIOS[[#This Row],[ID_MASSA]],tbl_de_massas[id_massa],tbl_de_massas[saldo_conta],"--",0,1)</f>
        <v>6966.19</v>
      </c>
      <c r="H608" t="str">
        <f>_xlfn.XLOOKUP(TBL_USUARIOS[[#This Row],[ID_MASSA]],tbl_de_massas[id_massa],tbl_de_massas[nome_completo],"--",0,1)</f>
        <v>Takumi Yoshida Kato</v>
      </c>
    </row>
    <row r="609" spans="1:8" x14ac:dyDescent="0.25">
      <c r="A609" s="2" t="s">
        <v>6405</v>
      </c>
      <c r="B609" t="str">
        <f>_xlfn.XLOOKUP(TBL_USUARIOS[[#This Row],[ID_MASSA]],tbl_de_massas[id_massa],tbl_de_massas[cpf],"--",0,1)</f>
        <v>64660080706</v>
      </c>
      <c r="C609" t="s">
        <v>12</v>
      </c>
      <c r="D609" t="str">
        <f>_xlfn.XLOOKUP(TBL_USUARIOS[[#This Row],[ID_MASSA]],tbl_de_massas[id_massa],tbl_de_massas[nome_completo],"--",0,1)</f>
        <v>Min Wang</v>
      </c>
      <c r="E609" t="str">
        <f>_xlfn.XLOOKUP(TBL_USUARIOS[[#This Row],[ID_MASSA]],tbl_de_massas[id_massa],tbl_de_massas[cartao_fisico_numero],"--",0,1)</f>
        <v/>
      </c>
      <c r="F609" t="str">
        <f>_xlfn.XLOOKUP(TBL_USUARIOS[[#This Row],[ID_MASSA]],tbl_de_massas[id_massa],tbl_de_massas[nome_completo],"--",0,1)</f>
        <v>Min Wang</v>
      </c>
      <c r="G609" s="47">
        <f>_xlfn.XLOOKUP(TBL_USUARIOS[[#This Row],[ID_MASSA]],tbl_de_massas[id_massa],tbl_de_massas[saldo_conta],"--",0,1)</f>
        <v>6973.62</v>
      </c>
      <c r="H609" t="str">
        <f>_xlfn.XLOOKUP(TBL_USUARIOS[[#This Row],[ID_MASSA]],tbl_de_massas[id_massa],tbl_de_massas[nome_completo],"--",0,1)</f>
        <v>Min Wang</v>
      </c>
    </row>
    <row r="610" spans="1:8" x14ac:dyDescent="0.25">
      <c r="A610" s="2" t="s">
        <v>2164</v>
      </c>
      <c r="B610" s="14" t="str">
        <f>_xlfn.XLOOKUP(TBL_USUARIOS[[#This Row],[ID_MASSA]],tbl_de_massas[id_massa],tbl_de_massas[cpf],"--",0,1)</f>
        <v>92808200609</v>
      </c>
      <c r="C610" t="s">
        <v>12</v>
      </c>
      <c r="D610" t="str">
        <f>_xlfn.XLOOKUP(TBL_USUARIOS[[#This Row],[ID_MASSA]],tbl_de_massas[id_massa],tbl_de_massas[nome_completo],"--",0,1)</f>
        <v>Ming Zhang</v>
      </c>
      <c r="E610" t="str">
        <f>_xlfn.XLOOKUP(TBL_USUARIOS[[#This Row],[ID_MASSA]],tbl_de_massas[id_massa],tbl_de_massas[cartao_fisico_numero],"--",0,1)</f>
        <v>5442 7460 7882 7909</v>
      </c>
      <c r="F610" t="str">
        <f>_xlfn.XLOOKUP(TBL_USUARIOS[[#This Row],[ID_MASSA]],tbl_de_massas[id_massa],tbl_de_massas[nome_completo],"--",0,1)</f>
        <v>Ming Zhang</v>
      </c>
      <c r="G610" s="47">
        <f>_xlfn.XLOOKUP(TBL_USUARIOS[[#This Row],[ID_MASSA]],tbl_de_massas[id_massa],tbl_de_massas[saldo_conta],"--",0,1)</f>
        <v>6978.61</v>
      </c>
      <c r="H610" t="str">
        <f>_xlfn.XLOOKUP(TBL_USUARIOS[[#This Row],[ID_MASSA]],tbl_de_massas[id_massa],tbl_de_massas[nome_completo],"--",0,1)</f>
        <v>Ming Zhang</v>
      </c>
    </row>
    <row r="611" spans="1:8" x14ac:dyDescent="0.25">
      <c r="A611" s="2" t="s">
        <v>5485</v>
      </c>
      <c r="B611" t="str">
        <f>_xlfn.XLOOKUP(TBL_USUARIOS[[#This Row],[ID_MASSA]],tbl_de_massas[id_massa],tbl_de_massas[cpf],"--",0,1)</f>
        <v>01200600274</v>
      </c>
      <c r="C611" t="s">
        <v>12</v>
      </c>
      <c r="D611" t="str">
        <f>_xlfn.XLOOKUP(TBL_USUARIOS[[#This Row],[ID_MASSA]],tbl_de_massas[id_massa],tbl_de_massas[nome_completo],"--",0,1)</f>
        <v>Juliana Oliveira</v>
      </c>
      <c r="E611" t="str">
        <f>_xlfn.XLOOKUP(TBL_USUARIOS[[#This Row],[ID_MASSA]],tbl_de_massas[id_massa],tbl_de_massas[cartao_fisico_numero],"--",0,1)</f>
        <v>4576 7460 6436 3866</v>
      </c>
      <c r="F611" t="str">
        <f>_xlfn.XLOOKUP(TBL_USUARIOS[[#This Row],[ID_MASSA]],tbl_de_massas[id_massa],tbl_de_massas[nome_completo],"--",0,1)</f>
        <v>Juliana Oliveira</v>
      </c>
      <c r="G611" s="47">
        <f>_xlfn.XLOOKUP(TBL_USUARIOS[[#This Row],[ID_MASSA]],tbl_de_massas[id_massa],tbl_de_massas[saldo_conta],"--",0,1)</f>
        <v>7025.07</v>
      </c>
      <c r="H611" t="str">
        <f>_xlfn.XLOOKUP(TBL_USUARIOS[[#This Row],[ID_MASSA]],tbl_de_massas[id_massa],tbl_de_massas[nome_completo],"--",0,1)</f>
        <v>Juliana Oliveira</v>
      </c>
    </row>
    <row r="612" spans="1:8" x14ac:dyDescent="0.25">
      <c r="A612" s="2" t="s">
        <v>3862</v>
      </c>
      <c r="B612" t="str">
        <f>_xlfn.XLOOKUP(TBL_USUARIOS[[#This Row],[ID_MASSA]],tbl_de_massas[id_massa],tbl_de_massas[cpf],"--",0,1)</f>
        <v>10445178248</v>
      </c>
      <c r="C612" t="s">
        <v>12</v>
      </c>
      <c r="D612" t="str">
        <f>_xlfn.XLOOKUP(TBL_USUARIOS[[#This Row],[ID_MASSA]],tbl_de_massas[id_massa],tbl_de_massas[nome_completo],"--",0,1)</f>
        <v>Aline Pinto Gomes</v>
      </c>
      <c r="E612" t="str">
        <f>_xlfn.XLOOKUP(TBL_USUARIOS[[#This Row],[ID_MASSA]],tbl_de_massas[id_massa],tbl_de_massas[cartao_fisico_numero],"--",0,1)</f>
        <v>6062 8200 5651 0344</v>
      </c>
      <c r="F612" t="str">
        <f>_xlfn.XLOOKUP(TBL_USUARIOS[[#This Row],[ID_MASSA]],tbl_de_massas[id_massa],tbl_de_massas[nome_completo],"--",0,1)</f>
        <v>Aline Pinto Gomes</v>
      </c>
      <c r="G612" s="47">
        <f>_xlfn.XLOOKUP(TBL_USUARIOS[[#This Row],[ID_MASSA]],tbl_de_massas[id_massa],tbl_de_massas[saldo_conta],"--",0,1)</f>
        <v>7051.49</v>
      </c>
      <c r="H612" t="str">
        <f>_xlfn.XLOOKUP(TBL_USUARIOS[[#This Row],[ID_MASSA]],tbl_de_massas[id_massa],tbl_de_massas[nome_completo],"--",0,1)</f>
        <v>Aline Pinto Gomes</v>
      </c>
    </row>
    <row r="613" spans="1:8" x14ac:dyDescent="0.25">
      <c r="A613" s="2" t="s">
        <v>4514</v>
      </c>
      <c r="B613" t="str">
        <f>_xlfn.XLOOKUP(TBL_USUARIOS[[#This Row],[ID_MASSA]],tbl_de_massas[id_massa],tbl_de_massas[cpf],"--",0,1)</f>
        <v>70492704902</v>
      </c>
      <c r="C613" t="s">
        <v>12</v>
      </c>
      <c r="D613" t="str">
        <f>_xlfn.XLOOKUP(TBL_USUARIOS[[#This Row],[ID_MASSA]],tbl_de_massas[id_massa],tbl_de_massas[nome_completo],"--",0,1)</f>
        <v>Thiago Pinto Lima</v>
      </c>
      <c r="E613" t="str">
        <f>_xlfn.XLOOKUP(TBL_USUARIOS[[#This Row],[ID_MASSA]],tbl_de_massas[id_massa],tbl_de_massas[cartao_fisico_numero],"--",0,1)</f>
        <v/>
      </c>
      <c r="F613" t="str">
        <f>_xlfn.XLOOKUP(TBL_USUARIOS[[#This Row],[ID_MASSA]],tbl_de_massas[id_massa],tbl_de_massas[nome_completo],"--",0,1)</f>
        <v>Thiago Pinto Lima</v>
      </c>
      <c r="G613" s="47">
        <f>_xlfn.XLOOKUP(TBL_USUARIOS[[#This Row],[ID_MASSA]],tbl_de_massas[id_massa],tbl_de_massas[saldo_conta],"--",0,1)</f>
        <v>7053.43</v>
      </c>
      <c r="H613" t="str">
        <f>_xlfn.XLOOKUP(TBL_USUARIOS[[#This Row],[ID_MASSA]],tbl_de_massas[id_massa],tbl_de_massas[nome_completo],"--",0,1)</f>
        <v>Thiago Pinto Lima</v>
      </c>
    </row>
    <row r="614" spans="1:8" x14ac:dyDescent="0.25">
      <c r="A614" s="2" t="s">
        <v>6396</v>
      </c>
      <c r="B614" t="str">
        <f>_xlfn.XLOOKUP(TBL_USUARIOS[[#This Row],[ID_MASSA]],tbl_de_massas[id_massa],tbl_de_massas[cpf],"--",0,1)</f>
        <v>88699812230</v>
      </c>
      <c r="C614" t="s">
        <v>12</v>
      </c>
      <c r="D614" t="str">
        <f>_xlfn.XLOOKUP(TBL_USUARIOS[[#This Row],[ID_MASSA]],tbl_de_massas[id_massa],tbl_de_massas[nome_completo],"--",0,1)</f>
        <v>Jian Wang</v>
      </c>
      <c r="E614" t="str">
        <f>_xlfn.XLOOKUP(TBL_USUARIOS[[#This Row],[ID_MASSA]],tbl_de_massas[id_massa],tbl_de_massas[cartao_fisico_numero],"--",0,1)</f>
        <v>3782 737593 7021</v>
      </c>
      <c r="F614" t="str">
        <f>_xlfn.XLOOKUP(TBL_USUARIOS[[#This Row],[ID_MASSA]],tbl_de_massas[id_massa],tbl_de_massas[nome_completo],"--",0,1)</f>
        <v>Jian Wang</v>
      </c>
      <c r="G614" s="47">
        <f>_xlfn.XLOOKUP(TBL_USUARIOS[[#This Row],[ID_MASSA]],tbl_de_massas[id_massa],tbl_de_massas[saldo_conta],"--",0,1)</f>
        <v>7054.23</v>
      </c>
      <c r="H614" t="str">
        <f>_xlfn.XLOOKUP(TBL_USUARIOS[[#This Row],[ID_MASSA]],tbl_de_massas[id_massa],tbl_de_massas[nome_completo],"--",0,1)</f>
        <v>Jian Wang</v>
      </c>
    </row>
    <row r="615" spans="1:8" x14ac:dyDescent="0.25">
      <c r="A615" s="2" t="s">
        <v>3235</v>
      </c>
      <c r="B615" t="str">
        <f>_xlfn.XLOOKUP(TBL_USUARIOS[[#This Row],[ID_MASSA]],tbl_de_massas[id_massa],tbl_de_massas[cpf],"--",0,1)</f>
        <v>18256004819</v>
      </c>
      <c r="C615" t="s">
        <v>12</v>
      </c>
      <c r="D615" t="str">
        <f>_xlfn.XLOOKUP(TBL_USUARIOS[[#This Row],[ID_MASSA]],tbl_de_massas[id_massa],tbl_de_massas[nome_completo],"--",0,1)</f>
        <v>Felipe Monteiro Nunes</v>
      </c>
      <c r="E615" t="str">
        <f>_xlfn.XLOOKUP(TBL_USUARIOS[[#This Row],[ID_MASSA]],tbl_de_massas[id_massa],tbl_de_massas[cartao_fisico_numero],"--",0,1)</f>
        <v>5442 7460 1378 8981</v>
      </c>
      <c r="F615" t="str">
        <f>_xlfn.XLOOKUP(TBL_USUARIOS[[#This Row],[ID_MASSA]],tbl_de_massas[id_massa],tbl_de_massas[nome_completo],"--",0,1)</f>
        <v>Felipe Monteiro Nunes</v>
      </c>
      <c r="G615" s="47">
        <f>_xlfn.XLOOKUP(TBL_USUARIOS[[#This Row],[ID_MASSA]],tbl_de_massas[id_massa],tbl_de_massas[saldo_conta],"--",0,1)</f>
        <v>7066.49</v>
      </c>
      <c r="H615" t="str">
        <f>_xlfn.XLOOKUP(TBL_USUARIOS[[#This Row],[ID_MASSA]],tbl_de_massas[id_massa],tbl_de_massas[nome_completo],"--",0,1)</f>
        <v>Felipe Monteiro Nunes</v>
      </c>
    </row>
    <row r="616" spans="1:8" x14ac:dyDescent="0.25">
      <c r="A616" s="2" t="s">
        <v>3789</v>
      </c>
      <c r="B616" t="str">
        <f>_xlfn.XLOOKUP(TBL_USUARIOS[[#This Row],[ID_MASSA]],tbl_de_massas[id_massa],tbl_de_massas[cpf],"--",0,1)</f>
        <v>28069862491</v>
      </c>
      <c r="C616" t="s">
        <v>12</v>
      </c>
      <c r="D616" t="str">
        <f>_xlfn.XLOOKUP(TBL_USUARIOS[[#This Row],[ID_MASSA]],tbl_de_massas[id_massa],tbl_de_massas[nome_completo],"--",0,1)</f>
        <v>Fabio Nunes Nascimento</v>
      </c>
      <c r="E616" t="str">
        <f>_xlfn.XLOOKUP(TBL_USUARIOS[[#This Row],[ID_MASSA]],tbl_de_massas[id_massa],tbl_de_massas[cartao_fisico_numero],"--",0,1)</f>
        <v>6505 0666 4720 9999</v>
      </c>
      <c r="F616" t="str">
        <f>_xlfn.XLOOKUP(TBL_USUARIOS[[#This Row],[ID_MASSA]],tbl_de_massas[id_massa],tbl_de_massas[nome_completo],"--",0,1)</f>
        <v>Fabio Nunes Nascimento</v>
      </c>
      <c r="G616" s="47">
        <f>_xlfn.XLOOKUP(TBL_USUARIOS[[#This Row],[ID_MASSA]],tbl_de_massas[id_massa],tbl_de_massas[saldo_conta],"--",0,1)</f>
        <v>7069.19</v>
      </c>
      <c r="H616" t="str">
        <f>_xlfn.XLOOKUP(TBL_USUARIOS[[#This Row],[ID_MASSA]],tbl_de_massas[id_massa],tbl_de_massas[nome_completo],"--",0,1)</f>
        <v>Fabio Nunes Nascimento</v>
      </c>
    </row>
    <row r="617" spans="1:8" x14ac:dyDescent="0.25">
      <c r="A617" s="2" t="s">
        <v>6419</v>
      </c>
      <c r="B617" t="str">
        <f>_xlfn.XLOOKUP(TBL_USUARIOS[[#This Row],[ID_MASSA]],tbl_de_massas[id_massa],tbl_de_massas[cpf],"--",0,1)</f>
        <v>30343714973</v>
      </c>
      <c r="C617" t="s">
        <v>12</v>
      </c>
      <c r="D617" t="str">
        <f>_xlfn.XLOOKUP(TBL_USUARIOS[[#This Row],[ID_MASSA]],tbl_de_massas[id_massa],tbl_de_massas[nome_completo],"--",0,1)</f>
        <v>Min Huang Zhu</v>
      </c>
      <c r="E617" t="str">
        <f>_xlfn.XLOOKUP(TBL_USUARIOS[[#This Row],[ID_MASSA]],tbl_de_massas[id_massa],tbl_de_massas[cartao_fisico_numero],"--",0,1)</f>
        <v>6505 0666 6545 9340</v>
      </c>
      <c r="F617" t="str">
        <f>_xlfn.XLOOKUP(TBL_USUARIOS[[#This Row],[ID_MASSA]],tbl_de_massas[id_massa],tbl_de_massas[nome_completo],"--",0,1)</f>
        <v>Min Huang Zhu</v>
      </c>
      <c r="G617" s="47">
        <f>_xlfn.XLOOKUP(TBL_USUARIOS[[#This Row],[ID_MASSA]],tbl_de_massas[id_massa],tbl_de_massas[saldo_conta],"--",0,1)</f>
        <v>7103.58</v>
      </c>
      <c r="H617" t="str">
        <f>_xlfn.XLOOKUP(TBL_USUARIOS[[#This Row],[ID_MASSA]],tbl_de_massas[id_massa],tbl_de_massas[nome_completo],"--",0,1)</f>
        <v>Min Huang Zhu</v>
      </c>
    </row>
    <row r="618" spans="1:8" x14ac:dyDescent="0.25">
      <c r="A618" s="2" t="s">
        <v>4056</v>
      </c>
      <c r="B618" t="str">
        <f>_xlfn.XLOOKUP(TBL_USUARIOS[[#This Row],[ID_MASSA]],tbl_de_massas[id_massa],tbl_de_massas[cpf],"--",0,1)</f>
        <v>59927572956</v>
      </c>
      <c r="C618" t="s">
        <v>12</v>
      </c>
      <c r="D618" t="str">
        <f>_xlfn.XLOOKUP(TBL_USUARIOS[[#This Row],[ID_MASSA]],tbl_de_massas[id_massa],tbl_de_massas[nome_completo],"--",0,1)</f>
        <v>Sabrina Cardoso Alves</v>
      </c>
      <c r="E618" t="str">
        <f>_xlfn.XLOOKUP(TBL_USUARIOS[[#This Row],[ID_MASSA]],tbl_de_massas[id_massa],tbl_de_massas[cartao_fisico_numero],"--",0,1)</f>
        <v>4576 7460 4930 4473</v>
      </c>
      <c r="F618" t="str">
        <f>_xlfn.XLOOKUP(TBL_USUARIOS[[#This Row],[ID_MASSA]],tbl_de_massas[id_massa],tbl_de_massas[nome_completo],"--",0,1)</f>
        <v>Sabrina Cardoso Alves</v>
      </c>
      <c r="G618" s="47">
        <f>_xlfn.XLOOKUP(TBL_USUARIOS[[#This Row],[ID_MASSA]],tbl_de_massas[id_massa],tbl_de_massas[saldo_conta],"--",0,1)</f>
        <v>7107.2</v>
      </c>
      <c r="H618" t="str">
        <f>_xlfn.XLOOKUP(TBL_USUARIOS[[#This Row],[ID_MASSA]],tbl_de_massas[id_massa],tbl_de_massas[nome_completo],"--",0,1)</f>
        <v>Sabrina Cardoso Alves</v>
      </c>
    </row>
    <row r="619" spans="1:8" x14ac:dyDescent="0.25">
      <c r="A619" s="2" t="s">
        <v>5897</v>
      </c>
      <c r="B619" t="str">
        <f>_xlfn.XLOOKUP(TBL_USUARIOS[[#This Row],[ID_MASSA]],tbl_de_massas[id_massa],tbl_de_massas[cpf],"--",0,1)</f>
        <v>97146683605</v>
      </c>
      <c r="C619" t="s">
        <v>12</v>
      </c>
      <c r="D619" t="str">
        <f>_xlfn.XLOOKUP(TBL_USUARIOS[[#This Row],[ID_MASSA]],tbl_de_massas[id_massa],tbl_de_massas[nome_completo],"--",0,1)</f>
        <v>Carolina Silva Teixeira</v>
      </c>
      <c r="E619" t="str">
        <f>_xlfn.XLOOKUP(TBL_USUARIOS[[#This Row],[ID_MASSA]],tbl_de_massas[id_massa],tbl_de_massas[cartao_fisico_numero],"--",0,1)</f>
        <v/>
      </c>
      <c r="F619" t="str">
        <f>_xlfn.XLOOKUP(TBL_USUARIOS[[#This Row],[ID_MASSA]],tbl_de_massas[id_massa],tbl_de_massas[nome_completo],"--",0,1)</f>
        <v>Carolina Silva Teixeira</v>
      </c>
      <c r="G619" s="47">
        <f>_xlfn.XLOOKUP(TBL_USUARIOS[[#This Row],[ID_MASSA]],tbl_de_massas[id_massa],tbl_de_massas[saldo_conta],"--",0,1)</f>
        <v>7146.4</v>
      </c>
      <c r="H619" t="str">
        <f>_xlfn.XLOOKUP(TBL_USUARIOS[[#This Row],[ID_MASSA]],tbl_de_massas[id_massa],tbl_de_massas[nome_completo],"--",0,1)</f>
        <v>Carolina Silva Teixeira</v>
      </c>
    </row>
    <row r="620" spans="1:8" x14ac:dyDescent="0.25">
      <c r="A620" s="2" t="s">
        <v>4813</v>
      </c>
      <c r="B620" t="str">
        <f>_xlfn.XLOOKUP(TBL_USUARIOS[[#This Row],[ID_MASSA]],tbl_de_massas[id_massa],tbl_de_massas[cpf],"--",0,1)</f>
        <v>81645989682</v>
      </c>
      <c r="C620" t="s">
        <v>12</v>
      </c>
      <c r="D620" t="str">
        <f>_xlfn.XLOOKUP(TBL_USUARIOS[[#This Row],[ID_MASSA]],tbl_de_massas[id_massa],tbl_de_massas[nome_completo],"--",0,1)</f>
        <v>Vivian Carvalho</v>
      </c>
      <c r="E620" t="str">
        <f>_xlfn.XLOOKUP(TBL_USUARIOS[[#This Row],[ID_MASSA]],tbl_de_massas[id_massa],tbl_de_massas[cartao_fisico_numero],"--",0,1)</f>
        <v/>
      </c>
      <c r="F620" t="str">
        <f>_xlfn.XLOOKUP(TBL_USUARIOS[[#This Row],[ID_MASSA]],tbl_de_massas[id_massa],tbl_de_massas[nome_completo],"--",0,1)</f>
        <v>Vivian Carvalho</v>
      </c>
      <c r="G620" s="47">
        <f>_xlfn.XLOOKUP(TBL_USUARIOS[[#This Row],[ID_MASSA]],tbl_de_massas[id_massa],tbl_de_massas[saldo_conta],"--",0,1)</f>
        <v>7151.41</v>
      </c>
      <c r="H620" t="str">
        <f>_xlfn.XLOOKUP(TBL_USUARIOS[[#This Row],[ID_MASSA]],tbl_de_massas[id_massa],tbl_de_massas[nome_completo],"--",0,1)</f>
        <v>Vivian Carvalho</v>
      </c>
    </row>
    <row r="621" spans="1:8" x14ac:dyDescent="0.25">
      <c r="A621" s="2" t="s">
        <v>3094</v>
      </c>
      <c r="B621" t="str">
        <f>_xlfn.XLOOKUP(TBL_USUARIOS[[#This Row],[ID_MASSA]],tbl_de_massas[id_massa],tbl_de_massas[cpf],"--",0,1)</f>
        <v>50563169702</v>
      </c>
      <c r="C621" t="s">
        <v>12</v>
      </c>
      <c r="D621" t="str">
        <f>_xlfn.XLOOKUP(TBL_USUARIOS[[#This Row],[ID_MASSA]],tbl_de_massas[id_massa],tbl_de_massas[nome_completo],"--",0,1)</f>
        <v>Alexandre Ribeiro</v>
      </c>
      <c r="E621" t="str">
        <f>_xlfn.XLOOKUP(TBL_USUARIOS[[#This Row],[ID_MASSA]],tbl_de_massas[id_massa],tbl_de_massas[cartao_fisico_numero],"--",0,1)</f>
        <v/>
      </c>
      <c r="F621" t="str">
        <f>_xlfn.XLOOKUP(TBL_USUARIOS[[#This Row],[ID_MASSA]],tbl_de_massas[id_massa],tbl_de_massas[nome_completo],"--",0,1)</f>
        <v>Alexandre Ribeiro</v>
      </c>
      <c r="G621" s="47">
        <f>_xlfn.XLOOKUP(TBL_USUARIOS[[#This Row],[ID_MASSA]],tbl_de_massas[id_massa],tbl_de_massas[saldo_conta],"--",0,1)</f>
        <v>7154.59</v>
      </c>
      <c r="H621" t="str">
        <f>_xlfn.XLOOKUP(TBL_USUARIOS[[#This Row],[ID_MASSA]],tbl_de_massas[id_massa],tbl_de_massas[nome_completo],"--",0,1)</f>
        <v>Alexandre Ribeiro</v>
      </c>
    </row>
    <row r="622" spans="1:8" x14ac:dyDescent="0.25">
      <c r="A622" s="2" t="s">
        <v>4852</v>
      </c>
      <c r="B622" t="str">
        <f>_xlfn.XLOOKUP(TBL_USUARIOS[[#This Row],[ID_MASSA]],tbl_de_massas[id_massa],tbl_de_massas[cpf],"--",0,1)</f>
        <v>28239789331</v>
      </c>
      <c r="C622" t="s">
        <v>12</v>
      </c>
      <c r="D622" t="str">
        <f>_xlfn.XLOOKUP(TBL_USUARIOS[[#This Row],[ID_MASSA]],tbl_de_massas[id_massa],tbl_de_massas[nome_completo],"--",0,1)</f>
        <v>Mariana Gomes Pereira</v>
      </c>
      <c r="E622" t="str">
        <f>_xlfn.XLOOKUP(TBL_USUARIOS[[#This Row],[ID_MASSA]],tbl_de_massas[id_massa],tbl_de_massas[cartao_fisico_numero],"--",0,1)</f>
        <v/>
      </c>
      <c r="F622" t="str">
        <f>_xlfn.XLOOKUP(TBL_USUARIOS[[#This Row],[ID_MASSA]],tbl_de_massas[id_massa],tbl_de_massas[nome_completo],"--",0,1)</f>
        <v>Mariana Gomes Pereira</v>
      </c>
      <c r="G622" s="47">
        <f>_xlfn.XLOOKUP(TBL_USUARIOS[[#This Row],[ID_MASSA]],tbl_de_massas[id_massa],tbl_de_massas[saldo_conta],"--",0,1)</f>
        <v>7164.54</v>
      </c>
      <c r="H622" t="str">
        <f>_xlfn.XLOOKUP(TBL_USUARIOS[[#This Row],[ID_MASSA]],tbl_de_massas[id_massa],tbl_de_massas[nome_completo],"--",0,1)</f>
        <v>Mariana Gomes Pereira</v>
      </c>
    </row>
    <row r="623" spans="1:8" x14ac:dyDescent="0.25">
      <c r="A623" s="2" t="s">
        <v>5450</v>
      </c>
      <c r="B623" t="str">
        <f>_xlfn.XLOOKUP(TBL_USUARIOS[[#This Row],[ID_MASSA]],tbl_de_massas[id_massa],tbl_de_massas[cpf],"--",0,1)</f>
        <v>62695976259</v>
      </c>
      <c r="C623" t="s">
        <v>12</v>
      </c>
      <c r="D623" t="str">
        <f>_xlfn.XLOOKUP(TBL_USUARIOS[[#This Row],[ID_MASSA]],tbl_de_massas[id_massa],tbl_de_massas[nome_completo],"--",0,1)</f>
        <v>Gustavo Cardoso</v>
      </c>
      <c r="E623" t="str">
        <f>_xlfn.XLOOKUP(TBL_USUARIOS[[#This Row],[ID_MASSA]],tbl_de_massas[id_massa],tbl_de_massas[cartao_fisico_numero],"--",0,1)</f>
        <v>6505 0666 9755 6401</v>
      </c>
      <c r="F623" t="str">
        <f>_xlfn.XLOOKUP(TBL_USUARIOS[[#This Row],[ID_MASSA]],tbl_de_massas[id_massa],tbl_de_massas[nome_completo],"--",0,1)</f>
        <v>Gustavo Cardoso</v>
      </c>
      <c r="G623" s="47">
        <f>_xlfn.XLOOKUP(TBL_USUARIOS[[#This Row],[ID_MASSA]],tbl_de_massas[id_massa],tbl_de_massas[saldo_conta],"--",0,1)</f>
        <v>7183.16</v>
      </c>
      <c r="H623" t="str">
        <f>_xlfn.XLOOKUP(TBL_USUARIOS[[#This Row],[ID_MASSA]],tbl_de_massas[id_massa],tbl_de_massas[nome_completo],"--",0,1)</f>
        <v>Gustavo Cardoso</v>
      </c>
    </row>
    <row r="624" spans="1:8" x14ac:dyDescent="0.25">
      <c r="A624" s="2" t="s">
        <v>5609</v>
      </c>
      <c r="B624" t="str">
        <f>_xlfn.XLOOKUP(TBL_USUARIOS[[#This Row],[ID_MASSA]],tbl_de_massas[id_massa],tbl_de_massas[cpf],"--",0,1)</f>
        <v>11739361148</v>
      </c>
      <c r="C624" t="s">
        <v>12</v>
      </c>
      <c r="D624" t="str">
        <f>_xlfn.XLOOKUP(TBL_USUARIOS[[#This Row],[ID_MASSA]],tbl_de_massas[id_massa],tbl_de_massas[nome_completo],"--",0,1)</f>
        <v>Larissa Monteiro Freitas</v>
      </c>
      <c r="E624" t="str">
        <f>_xlfn.XLOOKUP(TBL_USUARIOS[[#This Row],[ID_MASSA]],tbl_de_massas[id_massa],tbl_de_massas[cartao_fisico_numero],"--",0,1)</f>
        <v>5442 7460 4090 9708</v>
      </c>
      <c r="F624" t="str">
        <f>_xlfn.XLOOKUP(TBL_USUARIOS[[#This Row],[ID_MASSA]],tbl_de_massas[id_massa],tbl_de_massas[nome_completo],"--",0,1)</f>
        <v>Larissa Monteiro Freitas</v>
      </c>
      <c r="G624" s="47">
        <f>_xlfn.XLOOKUP(TBL_USUARIOS[[#This Row],[ID_MASSA]],tbl_de_massas[id_massa],tbl_de_massas[saldo_conta],"--",0,1)</f>
        <v>7210.3</v>
      </c>
      <c r="H624" t="str">
        <f>_xlfn.XLOOKUP(TBL_USUARIOS[[#This Row],[ID_MASSA]],tbl_de_massas[id_massa],tbl_de_massas[nome_completo],"--",0,1)</f>
        <v>Larissa Monteiro Freitas</v>
      </c>
    </row>
    <row r="625" spans="1:8" x14ac:dyDescent="0.25">
      <c r="A625" s="2" t="s">
        <v>5038</v>
      </c>
      <c r="B625" t="str">
        <f>_xlfn.XLOOKUP(TBL_USUARIOS[[#This Row],[ID_MASSA]],tbl_de_massas[id_massa],tbl_de_massas[cpf],"--",0,1)</f>
        <v>20896338592</v>
      </c>
      <c r="C625" t="s">
        <v>12</v>
      </c>
      <c r="D625" t="str">
        <f>_xlfn.XLOOKUP(TBL_USUARIOS[[#This Row],[ID_MASSA]],tbl_de_massas[id_massa],tbl_de_massas[nome_completo],"--",0,1)</f>
        <v>Isabela Barbosa</v>
      </c>
      <c r="E625" t="str">
        <f>_xlfn.XLOOKUP(TBL_USUARIOS[[#This Row],[ID_MASSA]],tbl_de_massas[id_massa],tbl_de_massas[cartao_fisico_numero],"--",0,1)</f>
        <v/>
      </c>
      <c r="F625" t="str">
        <f>_xlfn.XLOOKUP(TBL_USUARIOS[[#This Row],[ID_MASSA]],tbl_de_massas[id_massa],tbl_de_massas[nome_completo],"--",0,1)</f>
        <v>Isabela Barbosa</v>
      </c>
      <c r="G625" s="47">
        <f>_xlfn.XLOOKUP(TBL_USUARIOS[[#This Row],[ID_MASSA]],tbl_de_massas[id_massa],tbl_de_massas[saldo_conta],"--",0,1)</f>
        <v>7241</v>
      </c>
      <c r="H625" t="str">
        <f>_xlfn.XLOOKUP(TBL_USUARIOS[[#This Row],[ID_MASSA]],tbl_de_massas[id_massa],tbl_de_massas[nome_completo],"--",0,1)</f>
        <v>Isabela Barbosa</v>
      </c>
    </row>
    <row r="626" spans="1:8" x14ac:dyDescent="0.25">
      <c r="A626" s="2" t="s">
        <v>5363</v>
      </c>
      <c r="B626" t="str">
        <f>_xlfn.XLOOKUP(TBL_USUARIOS[[#This Row],[ID_MASSA]],tbl_de_massas[id_massa],tbl_de_massas[cpf],"--",0,1)</f>
        <v>35838158824</v>
      </c>
      <c r="C626" t="s">
        <v>12</v>
      </c>
      <c r="D626" t="str">
        <f>_xlfn.XLOOKUP(TBL_USUARIOS[[#This Row],[ID_MASSA]],tbl_de_massas[id_massa],tbl_de_massas[nome_completo],"--",0,1)</f>
        <v>Fernanda Vieira Monteiro</v>
      </c>
      <c r="E626" t="str">
        <f>_xlfn.XLOOKUP(TBL_USUARIOS[[#This Row],[ID_MASSA]],tbl_de_massas[id_massa],tbl_de_massas[cartao_fisico_numero],"--",0,1)</f>
        <v>3782 894570 2642</v>
      </c>
      <c r="F626" t="str">
        <f>_xlfn.XLOOKUP(TBL_USUARIOS[[#This Row],[ID_MASSA]],tbl_de_massas[id_massa],tbl_de_massas[nome_completo],"--",0,1)</f>
        <v>Fernanda Vieira Monteiro</v>
      </c>
      <c r="G626" s="47">
        <f>_xlfn.XLOOKUP(TBL_USUARIOS[[#This Row],[ID_MASSA]],tbl_de_massas[id_massa],tbl_de_massas[saldo_conta],"--",0,1)</f>
        <v>7243.75</v>
      </c>
      <c r="H626" t="str">
        <f>_xlfn.XLOOKUP(TBL_USUARIOS[[#This Row],[ID_MASSA]],tbl_de_massas[id_massa],tbl_de_massas[nome_completo],"--",0,1)</f>
        <v>Fernanda Vieira Monteiro</v>
      </c>
    </row>
    <row r="627" spans="1:8" x14ac:dyDescent="0.25">
      <c r="A627" s="2" t="s">
        <v>2587</v>
      </c>
      <c r="B627" s="14" t="str">
        <f>_xlfn.XLOOKUP(TBL_USUARIOS[[#This Row],[ID_MASSA]],tbl_de_massas[id_massa],tbl_de_massas[cpf],"--",0,1)</f>
        <v>98922242647</v>
      </c>
      <c r="C627" t="s">
        <v>12</v>
      </c>
      <c r="D627" t="str">
        <f>_xlfn.XLOOKUP(TBL_USUARIOS[[#This Row],[ID_MASSA]],tbl_de_massas[id_massa],tbl_de_massas[nome_completo],"--",0,1)</f>
        <v>Chloe Duqwbois</v>
      </c>
      <c r="E627" t="str">
        <f>_xlfn.XLOOKUP(TBL_USUARIOS[[#This Row],[ID_MASSA]],tbl_de_massas[id_massa],tbl_de_massas[cartao_fisico_numero],"--",0,1)</f>
        <v>5442 7460 3711 6304</v>
      </c>
      <c r="F627" t="str">
        <f>_xlfn.XLOOKUP(TBL_USUARIOS[[#This Row],[ID_MASSA]],tbl_de_massas[id_massa],tbl_de_massas[nome_completo],"--",0,1)</f>
        <v>Chloe Duqwbois</v>
      </c>
      <c r="G627" s="47">
        <f>_xlfn.XLOOKUP(TBL_USUARIOS[[#This Row],[ID_MASSA]],tbl_de_massas[id_massa],tbl_de_massas[saldo_conta],"--",0,1)</f>
        <v>7264.36</v>
      </c>
      <c r="H627" t="str">
        <f>_xlfn.XLOOKUP(TBL_USUARIOS[[#This Row],[ID_MASSA]],tbl_de_massas[id_massa],tbl_de_massas[nome_completo],"--",0,1)</f>
        <v>Chloe Duqwbois</v>
      </c>
    </row>
    <row r="628" spans="1:8" x14ac:dyDescent="0.25">
      <c r="A628" s="2" t="s">
        <v>3749</v>
      </c>
      <c r="B628" t="str">
        <f>_xlfn.XLOOKUP(TBL_USUARIOS[[#This Row],[ID_MASSA]],tbl_de_massas[id_massa],tbl_de_massas[cpf],"--",0,1)</f>
        <v>81460184599</v>
      </c>
      <c r="C628" t="s">
        <v>12</v>
      </c>
      <c r="D628" t="str">
        <f>_xlfn.XLOOKUP(TBL_USUARIOS[[#This Row],[ID_MASSA]],tbl_de_massas[id_massa],tbl_de_massas[nome_completo],"--",0,1)</f>
        <v>Beatriz Moura Oliveira</v>
      </c>
      <c r="E628" t="str">
        <f>_xlfn.XLOOKUP(TBL_USUARIOS[[#This Row],[ID_MASSA]],tbl_de_massas[id_massa],tbl_de_massas[cartao_fisico_numero],"--",0,1)</f>
        <v>6062 8200 7865 0995</v>
      </c>
      <c r="F628" t="str">
        <f>_xlfn.XLOOKUP(TBL_USUARIOS[[#This Row],[ID_MASSA]],tbl_de_massas[id_massa],tbl_de_massas[nome_completo],"--",0,1)</f>
        <v>Beatriz Moura Oliveira</v>
      </c>
      <c r="G628" s="47">
        <f>_xlfn.XLOOKUP(TBL_USUARIOS[[#This Row],[ID_MASSA]],tbl_de_massas[id_massa],tbl_de_massas[saldo_conta],"--",0,1)</f>
        <v>7265.52</v>
      </c>
      <c r="H628" t="str">
        <f>_xlfn.XLOOKUP(TBL_USUARIOS[[#This Row],[ID_MASSA]],tbl_de_massas[id_massa],tbl_de_massas[nome_completo],"--",0,1)</f>
        <v>Beatriz Moura Oliveira</v>
      </c>
    </row>
    <row r="629" spans="1:8" x14ac:dyDescent="0.25">
      <c r="A629" s="2" t="s">
        <v>5242</v>
      </c>
      <c r="B629" t="str">
        <f>_xlfn.XLOOKUP(TBL_USUARIOS[[#This Row],[ID_MASSA]],tbl_de_massas[id_massa],tbl_de_massas[cpf],"--",0,1)</f>
        <v>88129926253</v>
      </c>
      <c r="C629" t="s">
        <v>12</v>
      </c>
      <c r="D629" t="str">
        <f>_xlfn.XLOOKUP(TBL_USUARIOS[[#This Row],[ID_MASSA]],tbl_de_massas[id_massa],tbl_de_massas[nome_completo],"--",0,1)</f>
        <v>Carolina Mendes</v>
      </c>
      <c r="E629" t="str">
        <f>_xlfn.XLOOKUP(TBL_USUARIOS[[#This Row],[ID_MASSA]],tbl_de_massas[id_massa],tbl_de_massas[cartao_fisico_numero],"--",0,1)</f>
        <v>5442 7460 5332 4247</v>
      </c>
      <c r="F629" t="str">
        <f>_xlfn.XLOOKUP(TBL_USUARIOS[[#This Row],[ID_MASSA]],tbl_de_massas[id_massa],tbl_de_massas[nome_completo],"--",0,1)</f>
        <v>Carolina Mendes</v>
      </c>
      <c r="G629" s="47">
        <f>_xlfn.XLOOKUP(TBL_USUARIOS[[#This Row],[ID_MASSA]],tbl_de_massas[id_massa],tbl_de_massas[saldo_conta],"--",0,1)</f>
        <v>7293.59</v>
      </c>
      <c r="H629" t="str">
        <f>_xlfn.XLOOKUP(TBL_USUARIOS[[#This Row],[ID_MASSA]],tbl_de_massas[id_massa],tbl_de_massas[nome_completo],"--",0,1)</f>
        <v>Carolina Mendes</v>
      </c>
    </row>
    <row r="630" spans="1:8" x14ac:dyDescent="0.25">
      <c r="A630" s="2" t="s">
        <v>4951</v>
      </c>
      <c r="B630" t="str">
        <f>_xlfn.XLOOKUP(TBL_USUARIOS[[#This Row],[ID_MASSA]],tbl_de_massas[id_massa],tbl_de_massas[cpf],"--",0,1)</f>
        <v>52833815107</v>
      </c>
      <c r="C630" t="s">
        <v>12</v>
      </c>
      <c r="D630" t="str">
        <f>_xlfn.XLOOKUP(TBL_USUARIOS[[#This Row],[ID_MASSA]],tbl_de_massas[id_massa],tbl_de_massas[nome_completo],"--",0,1)</f>
        <v>Juliana Rocha Nascimento</v>
      </c>
      <c r="E630" t="str">
        <f>_xlfn.XLOOKUP(TBL_USUARIOS[[#This Row],[ID_MASSA]],tbl_de_massas[id_massa],tbl_de_massas[cartao_fisico_numero],"--",0,1)</f>
        <v/>
      </c>
      <c r="F630" t="str">
        <f>_xlfn.XLOOKUP(TBL_USUARIOS[[#This Row],[ID_MASSA]],tbl_de_massas[id_massa],tbl_de_massas[nome_completo],"--",0,1)</f>
        <v>Juliana Rocha Nascimento</v>
      </c>
      <c r="G630" s="47">
        <f>_xlfn.XLOOKUP(TBL_USUARIOS[[#This Row],[ID_MASSA]],tbl_de_massas[id_massa],tbl_de_massas[saldo_conta],"--",0,1)</f>
        <v>7293.61</v>
      </c>
      <c r="H630" t="str">
        <f>_xlfn.XLOOKUP(TBL_USUARIOS[[#This Row],[ID_MASSA]],tbl_de_massas[id_massa],tbl_de_massas[nome_completo],"--",0,1)</f>
        <v>Juliana Rocha Nascimento</v>
      </c>
    </row>
    <row r="631" spans="1:8" x14ac:dyDescent="0.25">
      <c r="A631" s="2" t="s">
        <v>2910</v>
      </c>
      <c r="B631" t="str">
        <f>_xlfn.XLOOKUP(TBL_USUARIOS[[#This Row],[ID_MASSA]],tbl_de_massas[id_massa],tbl_de_massas[cpf],"--",0,1)</f>
        <v>48212890910</v>
      </c>
      <c r="C631" t="s">
        <v>12</v>
      </c>
      <c r="D631" t="str">
        <f>_xlfn.XLOOKUP(TBL_USUARIOS[[#This Row],[ID_MASSA]],tbl_de_massas[id_massa],tbl_de_massas[nome_completo],"--",0,1)</f>
        <v>Larissa Araujo Mendes</v>
      </c>
      <c r="E631" t="str">
        <f>_xlfn.XLOOKUP(TBL_USUARIOS[[#This Row],[ID_MASSA]],tbl_de_massas[id_massa],tbl_de_massas[cartao_fisico_numero],"--",0,1)</f>
        <v>3782 982498 4463</v>
      </c>
      <c r="F631" t="str">
        <f>_xlfn.XLOOKUP(TBL_USUARIOS[[#This Row],[ID_MASSA]],tbl_de_massas[id_massa],tbl_de_massas[nome_completo],"--",0,1)</f>
        <v>Larissa Araujo Mendes</v>
      </c>
      <c r="G631" s="47">
        <f>_xlfn.XLOOKUP(TBL_USUARIOS[[#This Row],[ID_MASSA]],tbl_de_massas[id_massa],tbl_de_massas[saldo_conta],"--",0,1)</f>
        <v>7321.48</v>
      </c>
      <c r="H631" t="str">
        <f>_xlfn.XLOOKUP(TBL_USUARIOS[[#This Row],[ID_MASSA]],tbl_de_massas[id_massa],tbl_de_massas[nome_completo],"--",0,1)</f>
        <v>Larissa Araujo Mendes</v>
      </c>
    </row>
    <row r="632" spans="1:8" x14ac:dyDescent="0.25">
      <c r="A632" s="2" t="s">
        <v>5046</v>
      </c>
      <c r="B632" t="str">
        <f>_xlfn.XLOOKUP(TBL_USUARIOS[[#This Row],[ID_MASSA]],tbl_de_massas[id_massa],tbl_de_massas[cpf],"--",0,1)</f>
        <v>43278933150</v>
      </c>
      <c r="C632" t="s">
        <v>12</v>
      </c>
      <c r="D632" t="str">
        <f>_xlfn.XLOOKUP(TBL_USUARIOS[[#This Row],[ID_MASSA]],tbl_de_massas[id_massa],tbl_de_massas[nome_completo],"--",0,1)</f>
        <v>Felipe Rodrigues Alves</v>
      </c>
      <c r="E632" t="str">
        <f>_xlfn.XLOOKUP(TBL_USUARIOS[[#This Row],[ID_MASSA]],tbl_de_massas[id_massa],tbl_de_massas[cartao_fisico_numero],"--",0,1)</f>
        <v/>
      </c>
      <c r="F632" t="str">
        <f>_xlfn.XLOOKUP(TBL_USUARIOS[[#This Row],[ID_MASSA]],tbl_de_massas[id_massa],tbl_de_massas[nome_completo],"--",0,1)</f>
        <v>Felipe Rodrigues Alves</v>
      </c>
      <c r="G632" s="47">
        <f>_xlfn.XLOOKUP(TBL_USUARIOS[[#This Row],[ID_MASSA]],tbl_de_massas[id_massa],tbl_de_massas[saldo_conta],"--",0,1)</f>
        <v>7324.38</v>
      </c>
      <c r="H632" t="str">
        <f>_xlfn.XLOOKUP(TBL_USUARIOS[[#This Row],[ID_MASSA]],tbl_de_massas[id_massa],tbl_de_massas[nome_completo],"--",0,1)</f>
        <v>Felipe Rodrigues Alves</v>
      </c>
    </row>
    <row r="633" spans="1:8" x14ac:dyDescent="0.25">
      <c r="A633" s="2" t="s">
        <v>5042</v>
      </c>
      <c r="B633" t="str">
        <f>_xlfn.XLOOKUP(TBL_USUARIOS[[#This Row],[ID_MASSA]],tbl_de_massas[id_massa],tbl_de_massas[cpf],"--",0,1)</f>
        <v>79042637005</v>
      </c>
      <c r="C633" t="s">
        <v>12</v>
      </c>
      <c r="D633" t="str">
        <f>_xlfn.XLOOKUP(TBL_USUARIOS[[#This Row],[ID_MASSA]],tbl_de_massas[id_massa],tbl_de_massas[nome_completo],"--",0,1)</f>
        <v>Debora Mendes Barbosa</v>
      </c>
      <c r="E633" t="str">
        <f>_xlfn.XLOOKUP(TBL_USUARIOS[[#This Row],[ID_MASSA]],tbl_de_massas[id_massa],tbl_de_massas[cartao_fisico_numero],"--",0,1)</f>
        <v/>
      </c>
      <c r="F633" t="str">
        <f>_xlfn.XLOOKUP(TBL_USUARIOS[[#This Row],[ID_MASSA]],tbl_de_massas[id_massa],tbl_de_massas[nome_completo],"--",0,1)</f>
        <v>Debora Mendes Barbosa</v>
      </c>
      <c r="G633" s="47">
        <f>_xlfn.XLOOKUP(TBL_USUARIOS[[#This Row],[ID_MASSA]],tbl_de_massas[id_massa],tbl_de_massas[saldo_conta],"--",0,1)</f>
        <v>7337.88</v>
      </c>
      <c r="H633" t="str">
        <f>_xlfn.XLOOKUP(TBL_USUARIOS[[#This Row],[ID_MASSA]],tbl_de_massas[id_massa],tbl_de_massas[nome_completo],"--",0,1)</f>
        <v>Debora Mendes Barbosa</v>
      </c>
    </row>
    <row r="634" spans="1:8" x14ac:dyDescent="0.25">
      <c r="A634" s="2" t="s">
        <v>5320</v>
      </c>
      <c r="B634" t="str">
        <f>_xlfn.XLOOKUP(TBL_USUARIOS[[#This Row],[ID_MASSA]],tbl_de_massas[id_massa],tbl_de_massas[cpf],"--",0,1)</f>
        <v>20662974298</v>
      </c>
      <c r="C634" t="s">
        <v>12</v>
      </c>
      <c r="D634" t="str">
        <f>_xlfn.XLOOKUP(TBL_USUARIOS[[#This Row],[ID_MASSA]],tbl_de_massas[id_massa],tbl_de_massas[nome_completo],"--",0,1)</f>
        <v>Guilherme Vieira</v>
      </c>
      <c r="E634" t="str">
        <f>_xlfn.XLOOKUP(TBL_USUARIOS[[#This Row],[ID_MASSA]],tbl_de_massas[id_massa],tbl_de_massas[cartao_fisico_numero],"--",0,1)</f>
        <v>3782 370986 9952</v>
      </c>
      <c r="F634" t="str">
        <f>_xlfn.XLOOKUP(TBL_USUARIOS[[#This Row],[ID_MASSA]],tbl_de_massas[id_massa],tbl_de_massas[nome_completo],"--",0,1)</f>
        <v>Guilherme Vieira</v>
      </c>
      <c r="G634" s="47">
        <f>_xlfn.XLOOKUP(TBL_USUARIOS[[#This Row],[ID_MASSA]],tbl_de_massas[id_massa],tbl_de_massas[saldo_conta],"--",0,1)</f>
        <v>7351.96</v>
      </c>
      <c r="H634" t="str">
        <f>_xlfn.XLOOKUP(TBL_USUARIOS[[#This Row],[ID_MASSA]],tbl_de_massas[id_massa],tbl_de_massas[nome_completo],"--",0,1)</f>
        <v>Guilherme Vieira</v>
      </c>
    </row>
    <row r="635" spans="1:8" x14ac:dyDescent="0.25">
      <c r="A635" s="2" t="s">
        <v>5115</v>
      </c>
      <c r="B635" t="str">
        <f>_xlfn.XLOOKUP(TBL_USUARIOS[[#This Row],[ID_MASSA]],tbl_de_massas[id_massa],tbl_de_massas[cpf],"--",0,1)</f>
        <v>67802633389</v>
      </c>
      <c r="C635" t="s">
        <v>12</v>
      </c>
      <c r="D635" t="str">
        <f>_xlfn.XLOOKUP(TBL_USUARIOS[[#This Row],[ID_MASSA]],tbl_de_massas[id_massa],tbl_de_massas[nome_completo],"--",0,1)</f>
        <v>Juliana Nunes</v>
      </c>
      <c r="E635" t="str">
        <f>_xlfn.XLOOKUP(TBL_USUARIOS[[#This Row],[ID_MASSA]],tbl_de_massas[id_massa],tbl_de_massas[cartao_fisico_numero],"--",0,1)</f>
        <v/>
      </c>
      <c r="F635" t="str">
        <f>_xlfn.XLOOKUP(TBL_USUARIOS[[#This Row],[ID_MASSA]],tbl_de_massas[id_massa],tbl_de_massas[nome_completo],"--",0,1)</f>
        <v>Juliana Nunes</v>
      </c>
      <c r="G635" s="47">
        <f>_xlfn.XLOOKUP(TBL_USUARIOS[[#This Row],[ID_MASSA]],tbl_de_massas[id_massa],tbl_de_massas[saldo_conta],"--",0,1)</f>
        <v>7360.94</v>
      </c>
      <c r="H635" t="str">
        <f>_xlfn.XLOOKUP(TBL_USUARIOS[[#This Row],[ID_MASSA]],tbl_de_massas[id_massa],tbl_de_massas[nome_completo],"--",0,1)</f>
        <v>Juliana Nunes</v>
      </c>
    </row>
    <row r="636" spans="1:8" x14ac:dyDescent="0.25">
      <c r="A636" s="2" t="s">
        <v>4356</v>
      </c>
      <c r="B636" t="str">
        <f>_xlfn.XLOOKUP(TBL_USUARIOS[[#This Row],[ID_MASSA]],tbl_de_massas[id_massa],tbl_de_massas[cpf],"--",0,1)</f>
        <v>73922459021</v>
      </c>
      <c r="C636" t="s">
        <v>12</v>
      </c>
      <c r="D636" t="str">
        <f>_xlfn.XLOOKUP(TBL_USUARIOS[[#This Row],[ID_MASSA]],tbl_de_massas[id_massa],tbl_de_massas[nome_completo],"--",0,1)</f>
        <v>Mariana Freitas</v>
      </c>
      <c r="E636" t="str">
        <f>_xlfn.XLOOKUP(TBL_USUARIOS[[#This Row],[ID_MASSA]],tbl_de_massas[id_massa],tbl_de_massas[cartao_fisico_numero],"--",0,1)</f>
        <v>6062 8200 7195 5862</v>
      </c>
      <c r="F636" t="str">
        <f>_xlfn.XLOOKUP(TBL_USUARIOS[[#This Row],[ID_MASSA]],tbl_de_massas[id_massa],tbl_de_massas[nome_completo],"--",0,1)</f>
        <v>Mariana Freitas</v>
      </c>
      <c r="G636" s="47">
        <f>_xlfn.XLOOKUP(TBL_USUARIOS[[#This Row],[ID_MASSA]],tbl_de_massas[id_massa],tbl_de_massas[saldo_conta],"--",0,1)</f>
        <v>7368.65</v>
      </c>
      <c r="H636" t="str">
        <f>_xlfn.XLOOKUP(TBL_USUARIOS[[#This Row],[ID_MASSA]],tbl_de_massas[id_massa],tbl_de_massas[nome_completo],"--",0,1)</f>
        <v>Mariana Freitas</v>
      </c>
    </row>
    <row r="637" spans="1:8" x14ac:dyDescent="0.25">
      <c r="A637" s="2" t="s">
        <v>5251</v>
      </c>
      <c r="B637" t="str">
        <f>_xlfn.XLOOKUP(TBL_USUARIOS[[#This Row],[ID_MASSA]],tbl_de_massas[id_massa],tbl_de_massas[cpf],"--",0,1)</f>
        <v>81162006587</v>
      </c>
      <c r="C637" t="s">
        <v>12</v>
      </c>
      <c r="D637" t="str">
        <f>_xlfn.XLOOKUP(TBL_USUARIOS[[#This Row],[ID_MASSA]],tbl_de_massas[id_massa],tbl_de_massas[nome_completo],"--",0,1)</f>
        <v>Gabriela Rodrigues Freitas</v>
      </c>
      <c r="E637" t="str">
        <f>_xlfn.XLOOKUP(TBL_USUARIOS[[#This Row],[ID_MASSA]],tbl_de_massas[id_massa],tbl_de_massas[cartao_fisico_numero],"--",0,1)</f>
        <v>4576 7460 9320 9770</v>
      </c>
      <c r="F637" t="str">
        <f>_xlfn.XLOOKUP(TBL_USUARIOS[[#This Row],[ID_MASSA]],tbl_de_massas[id_massa],tbl_de_massas[nome_completo],"--",0,1)</f>
        <v>Gabriela Rodrigues Freitas</v>
      </c>
      <c r="G637" s="47">
        <f>_xlfn.XLOOKUP(TBL_USUARIOS[[#This Row],[ID_MASSA]],tbl_de_massas[id_massa],tbl_de_massas[saldo_conta],"--",0,1)</f>
        <v>7375.24</v>
      </c>
      <c r="H637" t="str">
        <f>_xlfn.XLOOKUP(TBL_USUARIOS[[#This Row],[ID_MASSA]],tbl_de_massas[id_massa],tbl_de_massas[nome_completo],"--",0,1)</f>
        <v>Gabriela Rodrigues Freitas</v>
      </c>
    </row>
    <row r="638" spans="1:8" x14ac:dyDescent="0.25">
      <c r="A638" s="2" t="s">
        <v>6502</v>
      </c>
      <c r="B638" t="str">
        <f>_xlfn.XLOOKUP(TBL_USUARIOS[[#This Row],[ID_MASSA]],tbl_de_massas[id_massa],tbl_de_massas[cpf],"--",0,1)</f>
        <v>78104756222</v>
      </c>
      <c r="C638" t="s">
        <v>12</v>
      </c>
      <c r="D638" t="str">
        <f>_xlfn.XLOOKUP(TBL_USUARIOS[[#This Row],[ID_MASSA]],tbl_de_massas[id_massa],tbl_de_massas[nome_completo],"--",0,1)</f>
        <v>Tao Sun Liu</v>
      </c>
      <c r="E638" t="str">
        <f>_xlfn.XLOOKUP(TBL_USUARIOS[[#This Row],[ID_MASSA]],tbl_de_massas[id_massa],tbl_de_massas[cartao_fisico_numero],"--",0,1)</f>
        <v>4576 7460 4899 4875</v>
      </c>
      <c r="F638" t="str">
        <f>_xlfn.XLOOKUP(TBL_USUARIOS[[#This Row],[ID_MASSA]],tbl_de_massas[id_massa],tbl_de_massas[nome_completo],"--",0,1)</f>
        <v>Tao Sun Liu</v>
      </c>
      <c r="G638" s="47">
        <f>_xlfn.XLOOKUP(TBL_USUARIOS[[#This Row],[ID_MASSA]],tbl_de_massas[id_massa],tbl_de_massas[saldo_conta],"--",0,1)</f>
        <v>7377.77</v>
      </c>
      <c r="H638" t="str">
        <f>_xlfn.XLOOKUP(TBL_USUARIOS[[#This Row],[ID_MASSA]],tbl_de_massas[id_massa],tbl_de_massas[nome_completo],"--",0,1)</f>
        <v>Tao Sun Liu</v>
      </c>
    </row>
    <row r="639" spans="1:8" x14ac:dyDescent="0.25">
      <c r="A639" s="2" t="s">
        <v>3030</v>
      </c>
      <c r="B639" t="str">
        <f>_xlfn.XLOOKUP(TBL_USUARIOS[[#This Row],[ID_MASSA]],tbl_de_massas[id_massa],tbl_de_massas[cpf],"--",0,1)</f>
        <v>76221106630</v>
      </c>
      <c r="C639" t="s">
        <v>12</v>
      </c>
      <c r="D639" t="str">
        <f>_xlfn.XLOOKUP(TBL_USUARIOS[[#This Row],[ID_MASSA]],tbl_de_massas[id_massa],tbl_de_massas[nome_completo],"--",0,1)</f>
        <v>Danilo Pereira Teixeira</v>
      </c>
      <c r="E639" t="str">
        <f>_xlfn.XLOOKUP(TBL_USUARIOS[[#This Row],[ID_MASSA]],tbl_de_massas[id_massa],tbl_de_massas[cartao_fisico_numero],"--",0,1)</f>
        <v>3782 264501 5082</v>
      </c>
      <c r="F639" t="str">
        <f>_xlfn.XLOOKUP(TBL_USUARIOS[[#This Row],[ID_MASSA]],tbl_de_massas[id_massa],tbl_de_massas[nome_completo],"--",0,1)</f>
        <v>Danilo Pereira Teixeira</v>
      </c>
      <c r="G639" s="47">
        <f>_xlfn.XLOOKUP(TBL_USUARIOS[[#This Row],[ID_MASSA]],tbl_de_massas[id_massa],tbl_de_massas[saldo_conta],"--",0,1)</f>
        <v>7410.75</v>
      </c>
      <c r="H639" t="str">
        <f>_xlfn.XLOOKUP(TBL_USUARIOS[[#This Row],[ID_MASSA]],tbl_de_massas[id_massa],tbl_de_massas[nome_completo],"--",0,1)</f>
        <v>Danilo Pereira Teixeira</v>
      </c>
    </row>
    <row r="640" spans="1:8" x14ac:dyDescent="0.25">
      <c r="A640" s="2" t="s">
        <v>4257</v>
      </c>
      <c r="B640" t="str">
        <f>_xlfn.XLOOKUP(TBL_USUARIOS[[#This Row],[ID_MASSA]],tbl_de_massas[id_massa],tbl_de_massas[cpf],"--",0,1)</f>
        <v>57868049502</v>
      </c>
      <c r="C640" t="s">
        <v>12</v>
      </c>
      <c r="D640" t="str">
        <f>_xlfn.XLOOKUP(TBL_USUARIOS[[#This Row],[ID_MASSA]],tbl_de_massas[id_massa],tbl_de_massas[nome_completo],"--",0,1)</f>
        <v>Thiago Costa Campos</v>
      </c>
      <c r="E640" t="str">
        <f>_xlfn.XLOOKUP(TBL_USUARIOS[[#This Row],[ID_MASSA]],tbl_de_massas[id_massa],tbl_de_massas[cartao_fisico_numero],"--",0,1)</f>
        <v/>
      </c>
      <c r="F640" t="str">
        <f>_xlfn.XLOOKUP(TBL_USUARIOS[[#This Row],[ID_MASSA]],tbl_de_massas[id_massa],tbl_de_massas[nome_completo],"--",0,1)</f>
        <v>Thiago Costa Campos</v>
      </c>
      <c r="G640" s="47">
        <f>_xlfn.XLOOKUP(TBL_USUARIOS[[#This Row],[ID_MASSA]],tbl_de_massas[id_massa],tbl_de_massas[saldo_conta],"--",0,1)</f>
        <v>7411.84</v>
      </c>
      <c r="H640" t="str">
        <f>_xlfn.XLOOKUP(TBL_USUARIOS[[#This Row],[ID_MASSA]],tbl_de_massas[id_massa],tbl_de_massas[nome_completo],"--",0,1)</f>
        <v>Thiago Costa Campos</v>
      </c>
    </row>
    <row r="641" spans="1:8" x14ac:dyDescent="0.25">
      <c r="A641" s="2" t="s">
        <v>4741</v>
      </c>
      <c r="B641" t="str">
        <f>_xlfn.XLOOKUP(TBL_USUARIOS[[#This Row],[ID_MASSA]],tbl_de_massas[id_massa],tbl_de_massas[cpf],"--",0,1)</f>
        <v>46956968789</v>
      </c>
      <c r="C641" t="s">
        <v>12</v>
      </c>
      <c r="D641" t="str">
        <f>_xlfn.XLOOKUP(TBL_USUARIOS[[#This Row],[ID_MASSA]],tbl_de_massas[id_massa],tbl_de_massas[nome_completo],"--",0,1)</f>
        <v>Jessica Alves</v>
      </c>
      <c r="E641" t="str">
        <f>_xlfn.XLOOKUP(TBL_USUARIOS[[#This Row],[ID_MASSA]],tbl_de_massas[id_massa],tbl_de_massas[cartao_fisico_numero],"--",0,1)</f>
        <v>4576 7460 2029 2746</v>
      </c>
      <c r="F641" t="str">
        <f>_xlfn.XLOOKUP(TBL_USUARIOS[[#This Row],[ID_MASSA]],tbl_de_massas[id_massa],tbl_de_massas[nome_completo],"--",0,1)</f>
        <v>Jessica Alves</v>
      </c>
      <c r="G641" s="47">
        <f>_xlfn.XLOOKUP(TBL_USUARIOS[[#This Row],[ID_MASSA]],tbl_de_massas[id_massa],tbl_de_massas[saldo_conta],"--",0,1)</f>
        <v>7411.84</v>
      </c>
      <c r="H641" t="str">
        <f>_xlfn.XLOOKUP(TBL_USUARIOS[[#This Row],[ID_MASSA]],tbl_de_massas[id_massa],tbl_de_massas[nome_completo],"--",0,1)</f>
        <v>Jessica Alves</v>
      </c>
    </row>
    <row r="642" spans="1:8" x14ac:dyDescent="0.25">
      <c r="A642" s="2" t="s">
        <v>6340</v>
      </c>
      <c r="B642" t="str">
        <f>_xlfn.XLOOKUP(TBL_USUARIOS[[#This Row],[ID_MASSA]],tbl_de_massas[id_massa],tbl_de_massas[cpf],"--",0,1)</f>
        <v>62678235475</v>
      </c>
      <c r="C642" t="s">
        <v>12</v>
      </c>
      <c r="D642" t="str">
        <f>_xlfn.XLOOKUP(TBL_USUARIOS[[#This Row],[ID_MASSA]],tbl_de_massas[id_massa],tbl_de_massas[nome_completo],"--",0,1)</f>
        <v>Matthew Davis Martinez</v>
      </c>
      <c r="E642" t="str">
        <f>_xlfn.XLOOKUP(TBL_USUARIOS[[#This Row],[ID_MASSA]],tbl_de_massas[id_massa],tbl_de_massas[cartao_fisico_numero],"--",0,1)</f>
        <v>4576 7460 5681 0244</v>
      </c>
      <c r="F642" t="str">
        <f>_xlfn.XLOOKUP(TBL_USUARIOS[[#This Row],[ID_MASSA]],tbl_de_massas[id_massa],tbl_de_massas[nome_completo],"--",0,1)</f>
        <v>Matthew Davis Martinez</v>
      </c>
      <c r="G642" s="47">
        <f>_xlfn.XLOOKUP(TBL_USUARIOS[[#This Row],[ID_MASSA]],tbl_de_massas[id_massa],tbl_de_massas[saldo_conta],"--",0,1)</f>
        <v>7412.91</v>
      </c>
      <c r="H642" t="str">
        <f>_xlfn.XLOOKUP(TBL_USUARIOS[[#This Row],[ID_MASSA]],tbl_de_massas[id_massa],tbl_de_massas[nome_completo],"--",0,1)</f>
        <v>Matthew Davis Martinez</v>
      </c>
    </row>
    <row r="643" spans="1:8" x14ac:dyDescent="0.25">
      <c r="A643" s="2" t="s">
        <v>5641</v>
      </c>
      <c r="B643" t="str">
        <f>_xlfn.XLOOKUP(TBL_USUARIOS[[#This Row],[ID_MASSA]],tbl_de_massas[id_massa],tbl_de_massas[cpf],"--",0,1)</f>
        <v>86874689460</v>
      </c>
      <c r="C643" t="s">
        <v>12</v>
      </c>
      <c r="D643" t="str">
        <f>_xlfn.XLOOKUP(TBL_USUARIOS[[#This Row],[ID_MASSA]],tbl_de_massas[id_massa],tbl_de_massas[nome_completo],"--",0,1)</f>
        <v>Yuna Jung</v>
      </c>
      <c r="E643" t="str">
        <f>_xlfn.XLOOKUP(TBL_USUARIOS[[#This Row],[ID_MASSA]],tbl_de_massas[id_massa],tbl_de_massas[cartao_fisico_numero],"--",0,1)</f>
        <v/>
      </c>
      <c r="F643" t="str">
        <f>_xlfn.XLOOKUP(TBL_USUARIOS[[#This Row],[ID_MASSA]],tbl_de_massas[id_massa],tbl_de_massas[nome_completo],"--",0,1)</f>
        <v>Yuna Jung</v>
      </c>
      <c r="G643" s="47">
        <f>_xlfn.XLOOKUP(TBL_USUARIOS[[#This Row],[ID_MASSA]],tbl_de_massas[id_massa],tbl_de_massas[saldo_conta],"--",0,1)</f>
        <v>7425.62</v>
      </c>
      <c r="H643" t="str">
        <f>_xlfn.XLOOKUP(TBL_USUARIOS[[#This Row],[ID_MASSA]],tbl_de_massas[id_massa],tbl_de_massas[nome_completo],"--",0,1)</f>
        <v>Yuna Jung</v>
      </c>
    </row>
    <row r="644" spans="1:8" x14ac:dyDescent="0.25">
      <c r="A644" s="2" t="s">
        <v>3549</v>
      </c>
      <c r="B644" t="str">
        <f>_xlfn.XLOOKUP(TBL_USUARIOS[[#This Row],[ID_MASSA]],tbl_de_massas[id_massa],tbl_de_massas[cpf],"--",0,1)</f>
        <v>71095799800</v>
      </c>
      <c r="C644" t="s">
        <v>12</v>
      </c>
      <c r="D644" t="str">
        <f>_xlfn.XLOOKUP(TBL_USUARIOS[[#This Row],[ID_MASSA]],tbl_de_massas[id_massa],tbl_de_massas[nome_completo],"--",0,1)</f>
        <v>Patricia Araujo Cardoso</v>
      </c>
      <c r="E644" t="str">
        <f>_xlfn.XLOOKUP(TBL_USUARIOS[[#This Row],[ID_MASSA]],tbl_de_massas[id_massa],tbl_de_massas[cartao_fisico_numero],"--",0,1)</f>
        <v/>
      </c>
      <c r="F644" t="str">
        <f>_xlfn.XLOOKUP(TBL_USUARIOS[[#This Row],[ID_MASSA]],tbl_de_massas[id_massa],tbl_de_massas[nome_completo],"--",0,1)</f>
        <v>Patricia Araujo Cardoso</v>
      </c>
      <c r="G644" s="47">
        <f>_xlfn.XLOOKUP(TBL_USUARIOS[[#This Row],[ID_MASSA]],tbl_de_massas[id_massa],tbl_de_massas[saldo_conta],"--",0,1)</f>
        <v>7433.21</v>
      </c>
      <c r="H644" t="str">
        <f>_xlfn.XLOOKUP(TBL_USUARIOS[[#This Row],[ID_MASSA]],tbl_de_massas[id_massa],tbl_de_massas[nome_completo],"--",0,1)</f>
        <v>Patricia Araujo Cardoso</v>
      </c>
    </row>
    <row r="645" spans="1:8" x14ac:dyDescent="0.25">
      <c r="A645" s="2" t="s">
        <v>4046</v>
      </c>
      <c r="B645" t="str">
        <f>_xlfn.XLOOKUP(TBL_USUARIOS[[#This Row],[ID_MASSA]],tbl_de_massas[id_massa],tbl_de_massas[cpf],"--",0,1)</f>
        <v>53356088203</v>
      </c>
      <c r="C645" t="s">
        <v>12</v>
      </c>
      <c r="D645" t="str">
        <f>_xlfn.XLOOKUP(TBL_USUARIOS[[#This Row],[ID_MASSA]],tbl_de_massas[id_massa],tbl_de_massas[nome_completo],"--",0,1)</f>
        <v>Carolina Castro</v>
      </c>
      <c r="E645" t="str">
        <f>_xlfn.XLOOKUP(TBL_USUARIOS[[#This Row],[ID_MASSA]],tbl_de_massas[id_massa],tbl_de_massas[cartao_fisico_numero],"--",0,1)</f>
        <v>4576 7460 7619 3326</v>
      </c>
      <c r="F645" t="str">
        <f>_xlfn.XLOOKUP(TBL_USUARIOS[[#This Row],[ID_MASSA]],tbl_de_massas[id_massa],tbl_de_massas[nome_completo],"--",0,1)</f>
        <v>Carolina Castro</v>
      </c>
      <c r="G645" s="47">
        <f>_xlfn.XLOOKUP(TBL_USUARIOS[[#This Row],[ID_MASSA]],tbl_de_massas[id_massa],tbl_de_massas[saldo_conta],"--",0,1)</f>
        <v>7450.6</v>
      </c>
      <c r="H645" t="str">
        <f>_xlfn.XLOOKUP(TBL_USUARIOS[[#This Row],[ID_MASSA]],tbl_de_massas[id_massa],tbl_de_massas[nome_completo],"--",0,1)</f>
        <v>Carolina Castro</v>
      </c>
    </row>
    <row r="646" spans="1:8" x14ac:dyDescent="0.25">
      <c r="A646" s="2" t="s">
        <v>4770</v>
      </c>
      <c r="B646" t="str">
        <f>_xlfn.XLOOKUP(TBL_USUARIOS[[#This Row],[ID_MASSA]],tbl_de_massas[id_massa],tbl_de_massas[cpf],"--",0,1)</f>
        <v>38772944803</v>
      </c>
      <c r="C646" t="s">
        <v>12</v>
      </c>
      <c r="D646" t="str">
        <f>_xlfn.XLOOKUP(TBL_USUARIOS[[#This Row],[ID_MASSA]],tbl_de_massas[id_massa],tbl_de_massas[nome_completo],"--",0,1)</f>
        <v>Patricia Ribeiro Freitas</v>
      </c>
      <c r="E646" t="str">
        <f>_xlfn.XLOOKUP(TBL_USUARIOS[[#This Row],[ID_MASSA]],tbl_de_massas[id_massa],tbl_de_massas[cartao_fisico_numero],"--",0,1)</f>
        <v>6062 8200 8443 4433</v>
      </c>
      <c r="F646" t="str">
        <f>_xlfn.XLOOKUP(TBL_USUARIOS[[#This Row],[ID_MASSA]],tbl_de_massas[id_massa],tbl_de_massas[nome_completo],"--",0,1)</f>
        <v>Patricia Ribeiro Freitas</v>
      </c>
      <c r="G646" s="47">
        <f>_xlfn.XLOOKUP(TBL_USUARIOS[[#This Row],[ID_MASSA]],tbl_de_massas[id_massa],tbl_de_massas[saldo_conta],"--",0,1)</f>
        <v>7475.02</v>
      </c>
      <c r="H646" t="str">
        <f>_xlfn.XLOOKUP(TBL_USUARIOS[[#This Row],[ID_MASSA]],tbl_de_massas[id_massa],tbl_de_massas[nome_completo],"--",0,1)</f>
        <v>Patricia Ribeiro Freitas</v>
      </c>
    </row>
    <row r="647" spans="1:8" x14ac:dyDescent="0.25">
      <c r="A647" s="2" t="s">
        <v>4989</v>
      </c>
      <c r="B647" t="str">
        <f>_xlfn.XLOOKUP(TBL_USUARIOS[[#This Row],[ID_MASSA]],tbl_de_massas[id_massa],tbl_de_massas[cpf],"--",0,1)</f>
        <v>74057400575</v>
      </c>
      <c r="C647" t="s">
        <v>12</v>
      </c>
      <c r="D647" t="str">
        <f>_xlfn.XLOOKUP(TBL_USUARIOS[[#This Row],[ID_MASSA]],tbl_de_massas[id_massa],tbl_de_massas[nome_completo],"--",0,1)</f>
        <v>Rodrigo Costa Dias</v>
      </c>
      <c r="E647" t="str">
        <f>_xlfn.XLOOKUP(TBL_USUARIOS[[#This Row],[ID_MASSA]],tbl_de_massas[id_massa],tbl_de_massas[cartao_fisico_numero],"--",0,1)</f>
        <v>6062 8200 8248 3502</v>
      </c>
      <c r="F647" t="str">
        <f>_xlfn.XLOOKUP(TBL_USUARIOS[[#This Row],[ID_MASSA]],tbl_de_massas[id_massa],tbl_de_massas[nome_completo],"--",0,1)</f>
        <v>Rodrigo Costa Dias</v>
      </c>
      <c r="G647" s="47">
        <f>_xlfn.XLOOKUP(TBL_USUARIOS[[#This Row],[ID_MASSA]],tbl_de_massas[id_massa],tbl_de_massas[saldo_conta],"--",0,1)</f>
        <v>7482.45</v>
      </c>
      <c r="H647" t="str">
        <f>_xlfn.XLOOKUP(TBL_USUARIOS[[#This Row],[ID_MASSA]],tbl_de_massas[id_massa],tbl_de_massas[nome_completo],"--",0,1)</f>
        <v>Rodrigo Costa Dias</v>
      </c>
    </row>
    <row r="648" spans="1:8" x14ac:dyDescent="0.25">
      <c r="A648" s="2" t="s">
        <v>2573</v>
      </c>
      <c r="B648" s="14" t="str">
        <f>_xlfn.XLOOKUP(TBL_USUARIOS[[#This Row],[ID_MASSA]],tbl_de_massas[id_massa],tbl_de_massas[cpf],"--",0,1)</f>
        <v>93373358590</v>
      </c>
      <c r="C648" t="s">
        <v>12</v>
      </c>
      <c r="D648" t="str">
        <f>_xlfn.XLOOKUP(TBL_USUARIOS[[#This Row],[ID_MASSA]],tbl_de_massas[id_massa],tbl_de_massas[nome_completo],"--",0,1)</f>
        <v>Santiago Gomasez</v>
      </c>
      <c r="E648" t="str">
        <f>_xlfn.XLOOKUP(TBL_USUARIOS[[#This Row],[ID_MASSA]],tbl_de_massas[id_massa],tbl_de_massas[cartao_fisico_numero],"--",0,1)</f>
        <v/>
      </c>
      <c r="F648" t="str">
        <f>_xlfn.XLOOKUP(TBL_USUARIOS[[#This Row],[ID_MASSA]],tbl_de_massas[id_massa],tbl_de_massas[nome_completo],"--",0,1)</f>
        <v>Santiago Gomasez</v>
      </c>
      <c r="G648" s="47">
        <f>_xlfn.XLOOKUP(TBL_USUARIOS[[#This Row],[ID_MASSA]],tbl_de_massas[id_massa],tbl_de_massas[saldo_conta],"--",0,1)</f>
        <v>7492.92</v>
      </c>
      <c r="H648" t="str">
        <f>_xlfn.XLOOKUP(TBL_USUARIOS[[#This Row],[ID_MASSA]],tbl_de_massas[id_massa],tbl_de_massas[nome_completo],"--",0,1)</f>
        <v>Santiago Gomasez</v>
      </c>
    </row>
    <row r="649" spans="1:8" x14ac:dyDescent="0.25">
      <c r="A649" s="2" t="s">
        <v>2318</v>
      </c>
      <c r="B649" s="14" t="str">
        <f>_xlfn.XLOOKUP(TBL_USUARIOS[[#This Row],[ID_MASSA]],tbl_de_massas[id_massa],tbl_de_massas[cpf],"--",0,1)</f>
        <v>88877766655</v>
      </c>
      <c r="C649" t="s">
        <v>12</v>
      </c>
      <c r="D649" t="str">
        <f>_xlfn.XLOOKUP(TBL_USUARIOS[[#This Row],[ID_MASSA]],tbl_de_massas[id_massa],tbl_de_massas[nome_completo],"--",0,1)</f>
        <v>Massa Teste DB Real</v>
      </c>
      <c r="E649" t="str">
        <f>_xlfn.XLOOKUP(TBL_USUARIOS[[#This Row],[ID_MASSA]],tbl_de_massas[id_massa],tbl_de_massas[cartao_fisico_numero],"--",0,1)</f>
        <v>5442 7460 5720 1203</v>
      </c>
      <c r="F649" t="str">
        <f>_xlfn.XLOOKUP(TBL_USUARIOS[[#This Row],[ID_MASSA]],tbl_de_massas[id_massa],tbl_de_massas[nome_completo],"--",0,1)</f>
        <v>Massa Teste DB Real</v>
      </c>
      <c r="G649" s="47">
        <f>_xlfn.XLOOKUP(TBL_USUARIOS[[#This Row],[ID_MASSA]],tbl_de_massas[id_massa],tbl_de_massas[saldo_conta],"--",0,1)</f>
        <v>7500</v>
      </c>
      <c r="H649" t="str">
        <f>_xlfn.XLOOKUP(TBL_USUARIOS[[#This Row],[ID_MASSA]],tbl_de_massas[id_massa],tbl_de_massas[nome_completo],"--",0,1)</f>
        <v>Massa Teste DB Real</v>
      </c>
    </row>
    <row r="650" spans="1:8" x14ac:dyDescent="0.25">
      <c r="A650" s="2" t="s">
        <v>2134</v>
      </c>
      <c r="B650" s="14" t="str">
        <f>_xlfn.XLOOKUP(TBL_USUARIOS[[#This Row],[ID_MASSA]],tbl_de_massas[id_massa],tbl_de_massas[cpf],"--",0,1)</f>
        <v>68737946439</v>
      </c>
      <c r="C650" t="s">
        <v>12</v>
      </c>
      <c r="D650" t="str">
        <f>_xlfn.XLOOKUP(TBL_USUARIOS[[#This Row],[ID_MASSA]],tbl_de_massas[id_massa],tbl_de_massas[nome_completo],"--",0,1)</f>
        <v>Khalid Al-Zahrani</v>
      </c>
      <c r="E650" t="str">
        <f>_xlfn.XLOOKUP(TBL_USUARIOS[[#This Row],[ID_MASSA]],tbl_de_massas[id_massa],tbl_de_massas[cartao_fisico_numero],"--",0,1)</f>
        <v>3782 490279 9866</v>
      </c>
      <c r="F650" t="str">
        <f>_xlfn.XLOOKUP(TBL_USUARIOS[[#This Row],[ID_MASSA]],tbl_de_massas[id_massa],tbl_de_massas[nome_completo],"--",0,1)</f>
        <v>Khalid Al-Zahrani</v>
      </c>
      <c r="G650" s="47">
        <f>_xlfn.XLOOKUP(TBL_USUARIOS[[#This Row],[ID_MASSA]],tbl_de_massas[id_massa],tbl_de_massas[saldo_conta],"--",0,1)</f>
        <v>7506</v>
      </c>
      <c r="H650" t="str">
        <f>_xlfn.XLOOKUP(TBL_USUARIOS[[#This Row],[ID_MASSA]],tbl_de_massas[id_massa],tbl_de_massas[nome_completo],"--",0,1)</f>
        <v>Khalid Al-Zahrani</v>
      </c>
    </row>
    <row r="651" spans="1:8" x14ac:dyDescent="0.25">
      <c r="A651" s="2" t="s">
        <v>5329</v>
      </c>
      <c r="B651" t="str">
        <f>_xlfn.XLOOKUP(TBL_USUARIOS[[#This Row],[ID_MASSA]],tbl_de_massas[id_massa],tbl_de_massas[cpf],"--",0,1)</f>
        <v>97726473622</v>
      </c>
      <c r="C651" t="s">
        <v>12</v>
      </c>
      <c r="D651" t="str">
        <f>_xlfn.XLOOKUP(TBL_USUARIOS[[#This Row],[ID_MASSA]],tbl_de_massas[id_massa],tbl_de_massas[nome_completo],"--",0,1)</f>
        <v>Sabrina Barros</v>
      </c>
      <c r="E651" t="str">
        <f>_xlfn.XLOOKUP(TBL_USUARIOS[[#This Row],[ID_MASSA]],tbl_de_massas[id_massa],tbl_de_massas[cartao_fisico_numero],"--",0,1)</f>
        <v>6062 8200 7582 6653</v>
      </c>
      <c r="F651" t="str">
        <f>_xlfn.XLOOKUP(TBL_USUARIOS[[#This Row],[ID_MASSA]],tbl_de_massas[id_massa],tbl_de_massas[nome_completo],"--",0,1)</f>
        <v>Sabrina Barros</v>
      </c>
      <c r="G651" s="47">
        <f>_xlfn.XLOOKUP(TBL_USUARIOS[[#This Row],[ID_MASSA]],tbl_de_massas[id_massa],tbl_de_massas[saldo_conta],"--",0,1)</f>
        <v>7533.39</v>
      </c>
      <c r="H651" t="str">
        <f>_xlfn.XLOOKUP(TBL_USUARIOS[[#This Row],[ID_MASSA]],tbl_de_massas[id_massa],tbl_de_massas[nome_completo],"--",0,1)</f>
        <v>Sabrina Barros</v>
      </c>
    </row>
    <row r="652" spans="1:8" x14ac:dyDescent="0.25">
      <c r="A652" s="2" t="s">
        <v>3166</v>
      </c>
      <c r="B652" t="str">
        <f>_xlfn.XLOOKUP(TBL_USUARIOS[[#This Row],[ID_MASSA]],tbl_de_massas[id_massa],tbl_de_massas[cpf],"--",0,1)</f>
        <v>24308231280</v>
      </c>
      <c r="C652" t="s">
        <v>12</v>
      </c>
      <c r="D652" t="str">
        <f>_xlfn.XLOOKUP(TBL_USUARIOS[[#This Row],[ID_MASSA]],tbl_de_massas[id_massa],tbl_de_massas[nome_completo],"--",0,1)</f>
        <v>Bianca Cavalcanti</v>
      </c>
      <c r="E652" t="str">
        <f>_xlfn.XLOOKUP(TBL_USUARIOS[[#This Row],[ID_MASSA]],tbl_de_massas[id_massa],tbl_de_massas[cartao_fisico_numero],"--",0,1)</f>
        <v>6062 8200 3824 5020</v>
      </c>
      <c r="F652" t="str">
        <f>_xlfn.XLOOKUP(TBL_USUARIOS[[#This Row],[ID_MASSA]],tbl_de_massas[id_massa],tbl_de_massas[nome_completo],"--",0,1)</f>
        <v>Bianca Cavalcanti</v>
      </c>
      <c r="G652" s="47">
        <f>_xlfn.XLOOKUP(TBL_USUARIOS[[#This Row],[ID_MASSA]],tbl_de_massas[id_massa],tbl_de_massas[saldo_conta],"--",0,1)</f>
        <v>7544.44</v>
      </c>
      <c r="H652" t="str">
        <f>_xlfn.XLOOKUP(TBL_USUARIOS[[#This Row],[ID_MASSA]],tbl_de_massas[id_massa],tbl_de_massas[nome_completo],"--",0,1)</f>
        <v>Bianca Cavalcanti</v>
      </c>
    </row>
    <row r="653" spans="1:8" x14ac:dyDescent="0.25">
      <c r="A653" s="2" t="s">
        <v>3844</v>
      </c>
      <c r="B653" t="str">
        <f>_xlfn.XLOOKUP(TBL_USUARIOS[[#This Row],[ID_MASSA]],tbl_de_massas[id_massa],tbl_de_massas[cpf],"--",0,1)</f>
        <v>00052348083</v>
      </c>
      <c r="C653" t="s">
        <v>12</v>
      </c>
      <c r="D653" t="str">
        <f>_xlfn.XLOOKUP(TBL_USUARIOS[[#This Row],[ID_MASSA]],tbl_de_massas[id_massa],tbl_de_massas[nome_completo],"--",0,1)</f>
        <v>Marcelo Barbosa</v>
      </c>
      <c r="E653" t="str">
        <f>_xlfn.XLOOKUP(TBL_USUARIOS[[#This Row],[ID_MASSA]],tbl_de_massas[id_massa],tbl_de_massas[cartao_fisico_numero],"--",0,1)</f>
        <v/>
      </c>
      <c r="F653" t="str">
        <f>_xlfn.XLOOKUP(TBL_USUARIOS[[#This Row],[ID_MASSA]],tbl_de_massas[id_massa],tbl_de_massas[nome_completo],"--",0,1)</f>
        <v>Marcelo Barbosa</v>
      </c>
      <c r="G653" s="47">
        <f>_xlfn.XLOOKUP(TBL_USUARIOS[[#This Row],[ID_MASSA]],tbl_de_massas[id_massa],tbl_de_massas[saldo_conta],"--",0,1)</f>
        <v>7582.9</v>
      </c>
      <c r="H653" t="str">
        <f>_xlfn.XLOOKUP(TBL_USUARIOS[[#This Row],[ID_MASSA]],tbl_de_massas[id_massa],tbl_de_massas[nome_completo],"--",0,1)</f>
        <v>Marcelo Barbosa</v>
      </c>
    </row>
    <row r="654" spans="1:8" x14ac:dyDescent="0.25">
      <c r="A654" s="2" t="s">
        <v>3810</v>
      </c>
      <c r="B654" t="str">
        <f>_xlfn.XLOOKUP(TBL_USUARIOS[[#This Row],[ID_MASSA]],tbl_de_massas[id_massa],tbl_de_massas[cpf],"--",0,1)</f>
        <v>74827231451</v>
      </c>
      <c r="C654" t="s">
        <v>12</v>
      </c>
      <c r="D654" t="str">
        <f>_xlfn.XLOOKUP(TBL_USUARIOS[[#This Row],[ID_MASSA]],tbl_de_massas[id_massa],tbl_de_massas[nome_completo],"--",0,1)</f>
        <v>Gabriela Vieira</v>
      </c>
      <c r="E654" t="str">
        <f>_xlfn.XLOOKUP(TBL_USUARIOS[[#This Row],[ID_MASSA]],tbl_de_massas[id_massa],tbl_de_massas[cartao_fisico_numero],"--",0,1)</f>
        <v>4576 7460 2010 3791</v>
      </c>
      <c r="F654" t="str">
        <f>_xlfn.XLOOKUP(TBL_USUARIOS[[#This Row],[ID_MASSA]],tbl_de_massas[id_massa],tbl_de_massas[nome_completo],"--",0,1)</f>
        <v>Gabriela Vieira</v>
      </c>
      <c r="G654" s="47">
        <f>_xlfn.XLOOKUP(TBL_USUARIOS[[#This Row],[ID_MASSA]],tbl_de_massas[id_massa],tbl_de_massas[saldo_conta],"--",0,1)</f>
        <v>7583.41</v>
      </c>
      <c r="H654" t="str">
        <f>_xlfn.XLOOKUP(TBL_USUARIOS[[#This Row],[ID_MASSA]],tbl_de_massas[id_massa],tbl_de_massas[nome_completo],"--",0,1)</f>
        <v>Gabriela Vieira</v>
      </c>
    </row>
    <row r="655" spans="1:8" x14ac:dyDescent="0.25">
      <c r="A655" s="2" t="s">
        <v>5272</v>
      </c>
      <c r="B655" t="str">
        <f>_xlfn.XLOOKUP(TBL_USUARIOS[[#This Row],[ID_MASSA]],tbl_de_massas[id_massa],tbl_de_massas[cpf],"--",0,1)</f>
        <v>76813157051</v>
      </c>
      <c r="C655" t="s">
        <v>12</v>
      </c>
      <c r="D655" t="str">
        <f>_xlfn.XLOOKUP(TBL_USUARIOS[[#This Row],[ID_MASSA]],tbl_de_massas[id_massa],tbl_de_massas[nome_completo],"--",0,1)</f>
        <v>Marcos Araujo Moreira</v>
      </c>
      <c r="E655" t="str">
        <f>_xlfn.XLOOKUP(TBL_USUARIOS[[#This Row],[ID_MASSA]],tbl_de_massas[id_massa],tbl_de_massas[cartao_fisico_numero],"--",0,1)</f>
        <v>3782 924225 4909</v>
      </c>
      <c r="F655" t="str">
        <f>_xlfn.XLOOKUP(TBL_USUARIOS[[#This Row],[ID_MASSA]],tbl_de_massas[id_massa],tbl_de_massas[nome_completo],"--",0,1)</f>
        <v>Marcos Araujo Moreira</v>
      </c>
      <c r="G655" s="47">
        <f>_xlfn.XLOOKUP(TBL_USUARIOS[[#This Row],[ID_MASSA]],tbl_de_massas[id_massa],tbl_de_massas[saldo_conta],"--",0,1)</f>
        <v>7620.12</v>
      </c>
      <c r="H655" t="str">
        <f>_xlfn.XLOOKUP(TBL_USUARIOS[[#This Row],[ID_MASSA]],tbl_de_massas[id_massa],tbl_de_massas[nome_completo],"--",0,1)</f>
        <v>Marcos Araujo Moreira</v>
      </c>
    </row>
    <row r="656" spans="1:8" x14ac:dyDescent="0.25">
      <c r="A656" s="2" t="s">
        <v>4220</v>
      </c>
      <c r="B656" t="str">
        <f>_xlfn.XLOOKUP(TBL_USUARIOS[[#This Row],[ID_MASSA]],tbl_de_massas[id_massa],tbl_de_massas[cpf],"--",0,1)</f>
        <v>53910503837</v>
      </c>
      <c r="C656" t="s">
        <v>12</v>
      </c>
      <c r="D656" t="str">
        <f>_xlfn.XLOOKUP(TBL_USUARIOS[[#This Row],[ID_MASSA]],tbl_de_massas[id_massa],tbl_de_massas[nome_completo],"--",0,1)</f>
        <v>Fernanda Cavalcanti</v>
      </c>
      <c r="E656" t="str">
        <f>_xlfn.XLOOKUP(TBL_USUARIOS[[#This Row],[ID_MASSA]],tbl_de_massas[id_massa],tbl_de_massas[cartao_fisico_numero],"--",0,1)</f>
        <v>6505 0666 7791 1239</v>
      </c>
      <c r="F656" t="str">
        <f>_xlfn.XLOOKUP(TBL_USUARIOS[[#This Row],[ID_MASSA]],tbl_de_massas[id_massa],tbl_de_massas[nome_completo],"--",0,1)</f>
        <v>Fernanda Cavalcanti</v>
      </c>
      <c r="G656" s="47">
        <f>_xlfn.XLOOKUP(TBL_USUARIOS[[#This Row],[ID_MASSA]],tbl_de_massas[id_massa],tbl_de_massas[saldo_conta],"--",0,1)</f>
        <v>7634.31</v>
      </c>
      <c r="H656" t="str">
        <f>_xlfn.XLOOKUP(TBL_USUARIOS[[#This Row],[ID_MASSA]],tbl_de_massas[id_massa],tbl_de_massas[nome_completo],"--",0,1)</f>
        <v>Fernanda Cavalcanti</v>
      </c>
    </row>
    <row r="657" spans="1:8" x14ac:dyDescent="0.25">
      <c r="A657" s="2" t="s">
        <v>3308</v>
      </c>
      <c r="B657" t="str">
        <f>_xlfn.XLOOKUP(TBL_USUARIOS[[#This Row],[ID_MASSA]],tbl_de_massas[id_massa],tbl_de_massas[cpf],"--",0,1)</f>
        <v>39415569590</v>
      </c>
      <c r="C657" t="s">
        <v>12</v>
      </c>
      <c r="D657" t="str">
        <f>_xlfn.XLOOKUP(TBL_USUARIOS[[#This Row],[ID_MASSA]],tbl_de_massas[id_massa],tbl_de_massas[nome_completo],"--",0,1)</f>
        <v>Isabela Souza Rodrigues</v>
      </c>
      <c r="E657" t="str">
        <f>_xlfn.XLOOKUP(TBL_USUARIOS[[#This Row],[ID_MASSA]],tbl_de_massas[id_massa],tbl_de_massas[cartao_fisico_numero],"--",0,1)</f>
        <v/>
      </c>
      <c r="F657" t="str">
        <f>_xlfn.XLOOKUP(TBL_USUARIOS[[#This Row],[ID_MASSA]],tbl_de_massas[id_massa],tbl_de_massas[nome_completo],"--",0,1)</f>
        <v>Isabela Souza Rodrigues</v>
      </c>
      <c r="G657" s="47">
        <f>_xlfn.XLOOKUP(TBL_USUARIOS[[#This Row],[ID_MASSA]],tbl_de_massas[id_massa],tbl_de_massas[saldo_conta],"--",0,1)</f>
        <v>7643.68</v>
      </c>
      <c r="H657" t="str">
        <f>_xlfn.XLOOKUP(TBL_USUARIOS[[#This Row],[ID_MASSA]],tbl_de_massas[id_massa],tbl_de_massas[nome_completo],"--",0,1)</f>
        <v>Isabela Souza Rodrigues</v>
      </c>
    </row>
    <row r="658" spans="1:8" x14ac:dyDescent="0.25">
      <c r="A658" s="2" t="s">
        <v>4834</v>
      </c>
      <c r="B658" t="str">
        <f>_xlfn.XLOOKUP(TBL_USUARIOS[[#This Row],[ID_MASSA]],tbl_de_massas[id_massa],tbl_de_massas[cpf],"--",0,1)</f>
        <v>94890736522</v>
      </c>
      <c r="C658" t="s">
        <v>12</v>
      </c>
      <c r="D658" t="str">
        <f>_xlfn.XLOOKUP(TBL_USUARIOS[[#This Row],[ID_MASSA]],tbl_de_massas[id_massa],tbl_de_massas[nome_completo],"--",0,1)</f>
        <v>Leticia Freitas</v>
      </c>
      <c r="E658" t="str">
        <f>_xlfn.XLOOKUP(TBL_USUARIOS[[#This Row],[ID_MASSA]],tbl_de_massas[id_massa],tbl_de_massas[cartao_fisico_numero],"--",0,1)</f>
        <v>4576 7460 7320 9767</v>
      </c>
      <c r="F658" t="str">
        <f>_xlfn.XLOOKUP(TBL_USUARIOS[[#This Row],[ID_MASSA]],tbl_de_massas[id_massa],tbl_de_massas[nome_completo],"--",0,1)</f>
        <v>Leticia Freitas</v>
      </c>
      <c r="G658" s="47">
        <f>_xlfn.XLOOKUP(TBL_USUARIOS[[#This Row],[ID_MASSA]],tbl_de_massas[id_massa],tbl_de_massas[saldo_conta],"--",0,1)</f>
        <v>7657.83</v>
      </c>
      <c r="H658" t="str">
        <f>_xlfn.XLOOKUP(TBL_USUARIOS[[#This Row],[ID_MASSA]],tbl_de_massas[id_massa],tbl_de_massas[nome_completo],"--",0,1)</f>
        <v>Leticia Freitas</v>
      </c>
    </row>
    <row r="659" spans="1:8" x14ac:dyDescent="0.25">
      <c r="A659" s="2" t="s">
        <v>5391</v>
      </c>
      <c r="B659" t="str">
        <f>_xlfn.XLOOKUP(TBL_USUARIOS[[#This Row],[ID_MASSA]],tbl_de_massas[id_massa],tbl_de_massas[cpf],"--",0,1)</f>
        <v>38827979247</v>
      </c>
      <c r="C659" t="s">
        <v>12</v>
      </c>
      <c r="D659" t="str">
        <f>_xlfn.XLOOKUP(TBL_USUARIOS[[#This Row],[ID_MASSA]],tbl_de_massas[id_massa],tbl_de_massas[nome_completo],"--",0,1)</f>
        <v>Isabela Cardoso</v>
      </c>
      <c r="E659" t="str">
        <f>_xlfn.XLOOKUP(TBL_USUARIOS[[#This Row],[ID_MASSA]],tbl_de_massas[id_massa],tbl_de_massas[cartao_fisico_numero],"--",0,1)</f>
        <v>5442 7460 1860 3575</v>
      </c>
      <c r="F659" t="str">
        <f>_xlfn.XLOOKUP(TBL_USUARIOS[[#This Row],[ID_MASSA]],tbl_de_massas[id_massa],tbl_de_massas[nome_completo],"--",0,1)</f>
        <v>Isabela Cardoso</v>
      </c>
      <c r="G659" s="47">
        <f>_xlfn.XLOOKUP(TBL_USUARIOS[[#This Row],[ID_MASSA]],tbl_de_massas[id_massa],tbl_de_massas[saldo_conta],"--",0,1)</f>
        <v>7658.88</v>
      </c>
      <c r="H659" t="str">
        <f>_xlfn.XLOOKUP(TBL_USUARIOS[[#This Row],[ID_MASSA]],tbl_de_massas[id_massa],tbl_de_massas[nome_completo],"--",0,1)</f>
        <v>Isabela Cardoso</v>
      </c>
    </row>
    <row r="660" spans="1:8" x14ac:dyDescent="0.25">
      <c r="A660" s="2" t="s">
        <v>4140</v>
      </c>
      <c r="B660" t="str">
        <f>_xlfn.XLOOKUP(TBL_USUARIOS[[#This Row],[ID_MASSA]],tbl_de_massas[id_massa],tbl_de_massas[cpf],"--",0,1)</f>
        <v>65457596478</v>
      </c>
      <c r="C660" t="s">
        <v>12</v>
      </c>
      <c r="D660" t="str">
        <f>_xlfn.XLOOKUP(TBL_USUARIOS[[#This Row],[ID_MASSA]],tbl_de_massas[id_massa],tbl_de_massas[nome_completo],"--",0,1)</f>
        <v>Bianca Freitas Moura</v>
      </c>
      <c r="E660" t="str">
        <f>_xlfn.XLOOKUP(TBL_USUARIOS[[#This Row],[ID_MASSA]],tbl_de_massas[id_massa],tbl_de_massas[cartao_fisico_numero],"--",0,1)</f>
        <v>5442 7460 4435 9067</v>
      </c>
      <c r="F660" t="str">
        <f>_xlfn.XLOOKUP(TBL_USUARIOS[[#This Row],[ID_MASSA]],tbl_de_massas[id_massa],tbl_de_massas[nome_completo],"--",0,1)</f>
        <v>Bianca Freitas Moura</v>
      </c>
      <c r="G660" s="47">
        <f>_xlfn.XLOOKUP(TBL_USUARIOS[[#This Row],[ID_MASSA]],tbl_de_massas[id_massa],tbl_de_massas[saldo_conta],"--",0,1)</f>
        <v>7690.45</v>
      </c>
      <c r="H660" t="str">
        <f>_xlfn.XLOOKUP(TBL_USUARIOS[[#This Row],[ID_MASSA]],tbl_de_massas[id_massa],tbl_de_massas[nome_completo],"--",0,1)</f>
        <v>Bianca Freitas Moura</v>
      </c>
    </row>
    <row r="661" spans="1:8" x14ac:dyDescent="0.25">
      <c r="A661" s="2" t="s">
        <v>5918</v>
      </c>
      <c r="B661" t="str">
        <f>_xlfn.XLOOKUP(TBL_USUARIOS[[#This Row],[ID_MASSA]],tbl_de_massas[id_massa],tbl_de_massas[cpf],"--",0,1)</f>
        <v>52611315701</v>
      </c>
      <c r="C661" t="s">
        <v>12</v>
      </c>
      <c r="D661" t="str">
        <f>_xlfn.XLOOKUP(TBL_USUARIOS[[#This Row],[ID_MASSA]],tbl_de_massas[id_massa],tbl_de_massas[nome_completo],"--",0,1)</f>
        <v>Rafael Lima</v>
      </c>
      <c r="E661" t="str">
        <f>_xlfn.XLOOKUP(TBL_USUARIOS[[#This Row],[ID_MASSA]],tbl_de_massas[id_massa],tbl_de_massas[cartao_fisico_numero],"--",0,1)</f>
        <v/>
      </c>
      <c r="F661" t="str">
        <f>_xlfn.XLOOKUP(TBL_USUARIOS[[#This Row],[ID_MASSA]],tbl_de_massas[id_massa],tbl_de_massas[nome_completo],"--",0,1)</f>
        <v>Rafael Lima</v>
      </c>
      <c r="G661" s="47">
        <f>_xlfn.XLOOKUP(TBL_USUARIOS[[#This Row],[ID_MASSA]],tbl_de_massas[id_massa],tbl_de_massas[saldo_conta],"--",0,1)</f>
        <v>7706.94</v>
      </c>
      <c r="H661" t="str">
        <f>_xlfn.XLOOKUP(TBL_USUARIOS[[#This Row],[ID_MASSA]],tbl_de_massas[id_massa],tbl_de_massas[nome_completo],"--",0,1)</f>
        <v>Rafael Lima</v>
      </c>
    </row>
    <row r="662" spans="1:8" x14ac:dyDescent="0.25">
      <c r="A662" s="2" t="s">
        <v>3120</v>
      </c>
      <c r="B662" t="str">
        <f>_xlfn.XLOOKUP(TBL_USUARIOS[[#This Row],[ID_MASSA]],tbl_de_massas[id_massa],tbl_de_massas[cpf],"--",0,1)</f>
        <v>38416151040</v>
      </c>
      <c r="C662" t="s">
        <v>12</v>
      </c>
      <c r="D662" t="str">
        <f>_xlfn.XLOOKUP(TBL_USUARIOS[[#This Row],[ID_MASSA]],tbl_de_massas[id_massa],tbl_de_massas[nome_completo],"--",0,1)</f>
        <v>Felipe Ribeiro Nascimento</v>
      </c>
      <c r="E662" t="str">
        <f>_xlfn.XLOOKUP(TBL_USUARIOS[[#This Row],[ID_MASSA]],tbl_de_massas[id_massa],tbl_de_massas[cartao_fisico_numero],"--",0,1)</f>
        <v>3782 791681 4118</v>
      </c>
      <c r="F662" t="str">
        <f>_xlfn.XLOOKUP(TBL_USUARIOS[[#This Row],[ID_MASSA]],tbl_de_massas[id_massa],tbl_de_massas[nome_completo],"--",0,1)</f>
        <v>Felipe Ribeiro Nascimento</v>
      </c>
      <c r="G662" s="47">
        <f>_xlfn.XLOOKUP(TBL_USUARIOS[[#This Row],[ID_MASSA]],tbl_de_massas[id_massa],tbl_de_massas[saldo_conta],"--",0,1)</f>
        <v>7707.61</v>
      </c>
      <c r="H662" t="str">
        <f>_xlfn.XLOOKUP(TBL_USUARIOS[[#This Row],[ID_MASSA]],tbl_de_massas[id_massa],tbl_de_massas[nome_completo],"--",0,1)</f>
        <v>Felipe Ribeiro Nascimento</v>
      </c>
    </row>
    <row r="663" spans="1:8" x14ac:dyDescent="0.25">
      <c r="A663" s="2" t="s">
        <v>4931</v>
      </c>
      <c r="B663" t="str">
        <f>_xlfn.XLOOKUP(TBL_USUARIOS[[#This Row],[ID_MASSA]],tbl_de_massas[id_massa],tbl_de_massas[cpf],"--",0,1)</f>
        <v>83104811873</v>
      </c>
      <c r="C663" t="s">
        <v>12</v>
      </c>
      <c r="D663" t="str">
        <f>_xlfn.XLOOKUP(TBL_USUARIOS[[#This Row],[ID_MASSA]],tbl_de_massas[id_massa],tbl_de_massas[nome_completo],"--",0,1)</f>
        <v>Vanessa Cavalcanti Teixeira</v>
      </c>
      <c r="E663" t="str">
        <f>_xlfn.XLOOKUP(TBL_USUARIOS[[#This Row],[ID_MASSA]],tbl_de_massas[id_massa],tbl_de_massas[cartao_fisico_numero],"--",0,1)</f>
        <v>4576 7460 8959 8172</v>
      </c>
      <c r="F663" t="str">
        <f>_xlfn.XLOOKUP(TBL_USUARIOS[[#This Row],[ID_MASSA]],tbl_de_massas[id_massa],tbl_de_massas[nome_completo],"--",0,1)</f>
        <v>Vanessa Cavalcanti Teixeira</v>
      </c>
      <c r="G663" s="47">
        <f>_xlfn.XLOOKUP(TBL_USUARIOS[[#This Row],[ID_MASSA]],tbl_de_massas[id_massa],tbl_de_massas[saldo_conta],"--",0,1)</f>
        <v>7733.86</v>
      </c>
      <c r="H663" t="str">
        <f>_xlfn.XLOOKUP(TBL_USUARIOS[[#This Row],[ID_MASSA]],tbl_de_massas[id_massa],tbl_de_massas[nome_completo],"--",0,1)</f>
        <v>Vanessa Cavalcanti Teixeira</v>
      </c>
    </row>
    <row r="664" spans="1:8" x14ac:dyDescent="0.25">
      <c r="A664" s="2" t="s">
        <v>4703</v>
      </c>
      <c r="B664" t="str">
        <f>_xlfn.XLOOKUP(TBL_USUARIOS[[#This Row],[ID_MASSA]],tbl_de_massas[id_massa],tbl_de_massas[cpf],"--",0,1)</f>
        <v>21991564945</v>
      </c>
      <c r="C664" t="s">
        <v>12</v>
      </c>
      <c r="D664" t="str">
        <f>_xlfn.XLOOKUP(TBL_USUARIOS[[#This Row],[ID_MASSA]],tbl_de_massas[id_massa],tbl_de_massas[nome_completo],"--",0,1)</f>
        <v>Gustavo Rodrigues</v>
      </c>
      <c r="E664" t="str">
        <f>_xlfn.XLOOKUP(TBL_USUARIOS[[#This Row],[ID_MASSA]],tbl_de_massas[id_massa],tbl_de_massas[cartao_fisico_numero],"--",0,1)</f>
        <v>6505 0666 6874 4291</v>
      </c>
      <c r="F664" t="str">
        <f>_xlfn.XLOOKUP(TBL_USUARIOS[[#This Row],[ID_MASSA]],tbl_de_massas[id_massa],tbl_de_massas[nome_completo],"--",0,1)</f>
        <v>Gustavo Rodrigues</v>
      </c>
      <c r="G664" s="47">
        <f>_xlfn.XLOOKUP(TBL_USUARIOS[[#This Row],[ID_MASSA]],tbl_de_massas[id_massa],tbl_de_massas[saldo_conta],"--",0,1)</f>
        <v>7737.08</v>
      </c>
      <c r="H664" t="str">
        <f>_xlfn.XLOOKUP(TBL_USUARIOS[[#This Row],[ID_MASSA]],tbl_de_massas[id_massa],tbl_de_massas[nome_completo],"--",0,1)</f>
        <v>Gustavo Rodrigues</v>
      </c>
    </row>
    <row r="665" spans="1:8" x14ac:dyDescent="0.25">
      <c r="A665" s="2" t="s">
        <v>5010</v>
      </c>
      <c r="B665" t="str">
        <f>_xlfn.XLOOKUP(TBL_USUARIOS[[#This Row],[ID_MASSA]],tbl_de_massas[id_massa],tbl_de_massas[cpf],"--",0,1)</f>
        <v>79784148412</v>
      </c>
      <c r="C665" t="s">
        <v>12</v>
      </c>
      <c r="D665" t="str">
        <f>_xlfn.XLOOKUP(TBL_USUARIOS[[#This Row],[ID_MASSA]],tbl_de_massas[id_massa],tbl_de_massas[nome_completo],"--",0,1)</f>
        <v>Bianca Campos</v>
      </c>
      <c r="E665" t="str">
        <f>_xlfn.XLOOKUP(TBL_USUARIOS[[#This Row],[ID_MASSA]],tbl_de_massas[id_massa],tbl_de_massas[cartao_fisico_numero],"--",0,1)</f>
        <v/>
      </c>
      <c r="F665" t="str">
        <f>_xlfn.XLOOKUP(TBL_USUARIOS[[#This Row],[ID_MASSA]],tbl_de_massas[id_massa],tbl_de_massas[nome_completo],"--",0,1)</f>
        <v>Bianca Campos</v>
      </c>
      <c r="G665" s="47">
        <f>_xlfn.XLOOKUP(TBL_USUARIOS[[#This Row],[ID_MASSA]],tbl_de_massas[id_massa],tbl_de_massas[saldo_conta],"--",0,1)</f>
        <v>7755.37</v>
      </c>
      <c r="H665" t="str">
        <f>_xlfn.XLOOKUP(TBL_USUARIOS[[#This Row],[ID_MASSA]],tbl_de_massas[id_massa],tbl_de_massas[nome_completo],"--",0,1)</f>
        <v>Bianca Campos</v>
      </c>
    </row>
    <row r="666" spans="1:8" x14ac:dyDescent="0.25">
      <c r="A666" s="2" t="s">
        <v>4051</v>
      </c>
      <c r="B666" t="str">
        <f>_xlfn.XLOOKUP(TBL_USUARIOS[[#This Row],[ID_MASSA]],tbl_de_massas[id_massa],tbl_de_massas[cpf],"--",0,1)</f>
        <v>68674222927</v>
      </c>
      <c r="C666" t="s">
        <v>12</v>
      </c>
      <c r="D666" t="str">
        <f>_xlfn.XLOOKUP(TBL_USUARIOS[[#This Row],[ID_MASSA]],tbl_de_massas[id_massa],tbl_de_massas[nome_completo],"--",0,1)</f>
        <v>Alexandre Mendes Vieira</v>
      </c>
      <c r="E666" t="str">
        <f>_xlfn.XLOOKUP(TBL_USUARIOS[[#This Row],[ID_MASSA]],tbl_de_massas[id_massa],tbl_de_massas[cartao_fisico_numero],"--",0,1)</f>
        <v>4576 7460 1664 5940</v>
      </c>
      <c r="F666" t="str">
        <f>_xlfn.XLOOKUP(TBL_USUARIOS[[#This Row],[ID_MASSA]],tbl_de_massas[id_massa],tbl_de_massas[nome_completo],"--",0,1)</f>
        <v>Alexandre Mendes Vieira</v>
      </c>
      <c r="G666" s="47">
        <f>_xlfn.XLOOKUP(TBL_USUARIOS[[#This Row],[ID_MASSA]],tbl_de_massas[id_massa],tbl_de_massas[saldo_conta],"--",0,1)</f>
        <v>7756</v>
      </c>
      <c r="H666" t="str">
        <f>_xlfn.XLOOKUP(TBL_USUARIOS[[#This Row],[ID_MASSA]],tbl_de_massas[id_massa],tbl_de_massas[nome_completo],"--",0,1)</f>
        <v>Alexandre Mendes Vieira</v>
      </c>
    </row>
    <row r="667" spans="1:8" x14ac:dyDescent="0.25">
      <c r="A667" s="2" t="s">
        <v>5794</v>
      </c>
      <c r="B667" t="str">
        <f>_xlfn.XLOOKUP(TBL_USUARIOS[[#This Row],[ID_MASSA]],tbl_de_massas[id_massa],tbl_de_massas[cpf],"--",0,1)</f>
        <v>17897294757</v>
      </c>
      <c r="C667" t="s">
        <v>12</v>
      </c>
      <c r="D667" t="str">
        <f>_xlfn.XLOOKUP(TBL_USUARIOS[[#This Row],[ID_MASSA]],tbl_de_massas[id_massa],tbl_de_massas[nome_completo],"--",0,1)</f>
        <v>Amanda Pinto</v>
      </c>
      <c r="E667" t="str">
        <f>_xlfn.XLOOKUP(TBL_USUARIOS[[#This Row],[ID_MASSA]],tbl_de_massas[id_massa],tbl_de_massas[cartao_fisico_numero],"--",0,1)</f>
        <v>3782 376955 3436</v>
      </c>
      <c r="F667" t="str">
        <f>_xlfn.XLOOKUP(TBL_USUARIOS[[#This Row],[ID_MASSA]],tbl_de_massas[id_massa],tbl_de_massas[nome_completo],"--",0,1)</f>
        <v>Amanda Pinto</v>
      </c>
      <c r="G667" s="47">
        <f>_xlfn.XLOOKUP(TBL_USUARIOS[[#This Row],[ID_MASSA]],tbl_de_massas[id_massa],tbl_de_massas[saldo_conta],"--",0,1)</f>
        <v>5834.91</v>
      </c>
      <c r="H667" t="str">
        <f>_xlfn.XLOOKUP(TBL_USUARIOS[[#This Row],[ID_MASSA]],tbl_de_massas[id_massa],tbl_de_massas[nome_completo],"--",0,1)</f>
        <v>Amanda Pinto</v>
      </c>
    </row>
    <row r="668" spans="1:8" x14ac:dyDescent="0.25">
      <c r="A668" s="2" t="s">
        <v>2718</v>
      </c>
      <c r="B668" t="str">
        <f>_xlfn.XLOOKUP(TBL_USUARIOS[[#This Row],[ID_MASSA]],tbl_de_massas[id_massa],tbl_de_massas[cpf],"--",0,1)</f>
        <v>90939424258</v>
      </c>
      <c r="C668" t="s">
        <v>12</v>
      </c>
      <c r="D668" t="str">
        <f>_xlfn.XLOOKUP(TBL_USUARIOS[[#This Row],[ID_MASSA]],tbl_de_massas[id_massa],tbl_de_massas[nome_completo],"--",0,1)</f>
        <v>Juliana Lima Rezende</v>
      </c>
      <c r="E668" t="str">
        <f>_xlfn.XLOOKUP(TBL_USUARIOS[[#This Row],[ID_MASSA]],tbl_de_massas[id_massa],tbl_de_massas[cartao_fisico_numero],"--",0,1)</f>
        <v>6062 8200 8936 3131</v>
      </c>
      <c r="F668" t="str">
        <f>_xlfn.XLOOKUP(TBL_USUARIOS[[#This Row],[ID_MASSA]],tbl_de_massas[id_massa],tbl_de_massas[nome_completo],"--",0,1)</f>
        <v>Juliana Lima Rezende</v>
      </c>
      <c r="G668" s="47">
        <f>_xlfn.XLOOKUP(TBL_USUARIOS[[#This Row],[ID_MASSA]],tbl_de_massas[id_massa],tbl_de_massas[saldo_conta],"--",0,1)</f>
        <v>4915.28</v>
      </c>
      <c r="H668" t="str">
        <f>_xlfn.XLOOKUP(TBL_USUARIOS[[#This Row],[ID_MASSA]],tbl_de_massas[id_massa],tbl_de_massas[nome_completo],"--",0,1)</f>
        <v>Juliana Lima Rezende</v>
      </c>
    </row>
    <row r="669" spans="1:8" x14ac:dyDescent="0.25">
      <c r="A669" s="2" t="s">
        <v>3054</v>
      </c>
      <c r="B669" t="str">
        <f>_xlfn.XLOOKUP(TBL_USUARIOS[[#This Row],[ID_MASSA]],tbl_de_massas[id_massa],tbl_de_massas[cpf],"--",0,1)</f>
        <v>73721018672</v>
      </c>
      <c r="C669" t="s">
        <v>12</v>
      </c>
      <c r="D669" t="str">
        <f>_xlfn.XLOOKUP(TBL_USUARIOS[[#This Row],[ID_MASSA]],tbl_de_massas[id_massa],tbl_de_massas[nome_completo],"--",0,1)</f>
        <v>Priscila Teixeira</v>
      </c>
      <c r="E669" t="str">
        <f>_xlfn.XLOOKUP(TBL_USUARIOS[[#This Row],[ID_MASSA]],tbl_de_massas[id_massa],tbl_de_massas[cartao_fisico_numero],"--",0,1)</f>
        <v>6062 8200 8608 2201</v>
      </c>
      <c r="F669" t="str">
        <f>_xlfn.XLOOKUP(TBL_USUARIOS[[#This Row],[ID_MASSA]],tbl_de_massas[id_massa],tbl_de_massas[nome_completo],"--",0,1)</f>
        <v>Priscila Teixeira</v>
      </c>
      <c r="G669" s="47">
        <f>_xlfn.XLOOKUP(TBL_USUARIOS[[#This Row],[ID_MASSA]],tbl_de_massas[id_massa],tbl_de_massas[saldo_conta],"--",0,1)</f>
        <v>7922.97</v>
      </c>
      <c r="H669" t="str">
        <f>_xlfn.XLOOKUP(TBL_USUARIOS[[#This Row],[ID_MASSA]],tbl_de_massas[id_massa],tbl_de_massas[nome_completo],"--",0,1)</f>
        <v>Priscila Teixeira</v>
      </c>
    </row>
    <row r="670" spans="1:8" x14ac:dyDescent="0.25">
      <c r="A670" s="2" t="s">
        <v>6615</v>
      </c>
      <c r="B670" t="str">
        <f>_xlfn.XLOOKUP(TBL_USUARIOS[[#This Row],[ID_MASSA]],tbl_de_massas[id_massa],tbl_de_massas[cpf],"--",0,1)</f>
        <v>82568255706</v>
      </c>
      <c r="C670" t="s">
        <v>12</v>
      </c>
      <c r="D670" t="str">
        <f>_xlfn.XLOOKUP(TBL_USUARIOS[[#This Row],[ID_MASSA]],tbl_de_massas[id_massa],tbl_de_massas[nome_completo],"--",0,1)</f>
        <v>Kenji Sasaki</v>
      </c>
      <c r="E670" t="str">
        <f>_xlfn.XLOOKUP(TBL_USUARIOS[[#This Row],[ID_MASSA]],tbl_de_massas[id_massa],tbl_de_massas[cartao_fisico_numero],"--",0,1)</f>
        <v>6062 8200 7354 1614</v>
      </c>
      <c r="F670" t="str">
        <f>_xlfn.XLOOKUP(TBL_USUARIOS[[#This Row],[ID_MASSA]],tbl_de_massas[id_massa],tbl_de_massas[nome_completo],"--",0,1)</f>
        <v>Kenji Sasaki</v>
      </c>
      <c r="G670" s="47">
        <f>_xlfn.XLOOKUP(TBL_USUARIOS[[#This Row],[ID_MASSA]],tbl_de_massas[id_massa],tbl_de_massas[saldo_conta],"--",0,1)</f>
        <v>7936.13</v>
      </c>
      <c r="H670" t="str">
        <f>_xlfn.XLOOKUP(TBL_USUARIOS[[#This Row],[ID_MASSA]],tbl_de_massas[id_massa],tbl_de_massas[nome_completo],"--",0,1)</f>
        <v>Kenji Sasaki</v>
      </c>
    </row>
    <row r="671" spans="1:8" x14ac:dyDescent="0.25">
      <c r="A671" s="2" t="s">
        <v>6567</v>
      </c>
      <c r="B671" t="str">
        <f>_xlfn.XLOOKUP(TBL_USUARIOS[[#This Row],[ID_MASSA]],tbl_de_massas[id_massa],tbl_de_massas[cpf],"--",0,1)</f>
        <v>47087312480</v>
      </c>
      <c r="C671" t="s">
        <v>12</v>
      </c>
      <c r="D671" t="str">
        <f>_xlfn.XLOOKUP(TBL_USUARIOS[[#This Row],[ID_MASSA]],tbl_de_massas[id_massa],tbl_de_massas[nome_completo],"--",0,1)</f>
        <v>Xin Zhou</v>
      </c>
      <c r="E671" t="str">
        <f>_xlfn.XLOOKUP(TBL_USUARIOS[[#This Row],[ID_MASSA]],tbl_de_massas[id_massa],tbl_de_massas[cartao_fisico_numero],"--",0,1)</f>
        <v>3782 638675 1364</v>
      </c>
      <c r="F671" t="str">
        <f>_xlfn.XLOOKUP(TBL_USUARIOS[[#This Row],[ID_MASSA]],tbl_de_massas[id_massa],tbl_de_massas[nome_completo],"--",0,1)</f>
        <v>Xin Zhou</v>
      </c>
      <c r="G671" s="47">
        <f>_xlfn.XLOOKUP(TBL_USUARIOS[[#This Row],[ID_MASSA]],tbl_de_massas[id_massa],tbl_de_massas[saldo_conta],"--",0,1)</f>
        <v>7947.72</v>
      </c>
      <c r="H671" t="str">
        <f>_xlfn.XLOOKUP(TBL_USUARIOS[[#This Row],[ID_MASSA]],tbl_de_massas[id_massa],tbl_de_massas[nome_completo],"--",0,1)</f>
        <v>Xin Zhou</v>
      </c>
    </row>
    <row r="672" spans="1:8" x14ac:dyDescent="0.25">
      <c r="A672" s="2" t="s">
        <v>4245</v>
      </c>
      <c r="B672" t="str">
        <f>_xlfn.XLOOKUP(TBL_USUARIOS[[#This Row],[ID_MASSA]],tbl_de_massas[id_massa],tbl_de_massas[cpf],"--",0,1)</f>
        <v>82050750340</v>
      </c>
      <c r="C672" t="s">
        <v>12</v>
      </c>
      <c r="D672" t="str">
        <f>_xlfn.XLOOKUP(TBL_USUARIOS[[#This Row],[ID_MASSA]],tbl_de_massas[id_massa],tbl_de_massas[nome_completo],"--",0,1)</f>
        <v>Vivian Oliveira Barbosa</v>
      </c>
      <c r="E672" t="str">
        <f>_xlfn.XLOOKUP(TBL_USUARIOS[[#This Row],[ID_MASSA]],tbl_de_massas[id_massa],tbl_de_massas[cartao_fisico_numero],"--",0,1)</f>
        <v/>
      </c>
      <c r="F672" t="str">
        <f>_xlfn.XLOOKUP(TBL_USUARIOS[[#This Row],[ID_MASSA]],tbl_de_massas[id_massa],tbl_de_massas[nome_completo],"--",0,1)</f>
        <v>Vivian Oliveira Barbosa</v>
      </c>
      <c r="G672" s="47">
        <f>_xlfn.XLOOKUP(TBL_USUARIOS[[#This Row],[ID_MASSA]],tbl_de_massas[id_massa],tbl_de_massas[saldo_conta],"--",0,1)</f>
        <v>7953.29</v>
      </c>
      <c r="H672" t="str">
        <f>_xlfn.XLOOKUP(TBL_USUARIOS[[#This Row],[ID_MASSA]],tbl_de_massas[id_massa],tbl_de_massas[nome_completo],"--",0,1)</f>
        <v>Vivian Oliveira Barbosa</v>
      </c>
    </row>
    <row r="673" spans="1:8" x14ac:dyDescent="0.25">
      <c r="A673" s="2" t="s">
        <v>3872</v>
      </c>
      <c r="B673" t="str">
        <f>_xlfn.XLOOKUP(TBL_USUARIOS[[#This Row],[ID_MASSA]],tbl_de_massas[id_massa],tbl_de_massas[cpf],"--",0,1)</f>
        <v>12890408345</v>
      </c>
      <c r="C673" t="s">
        <v>12</v>
      </c>
      <c r="D673" t="str">
        <f>_xlfn.XLOOKUP(TBL_USUARIOS[[#This Row],[ID_MASSA]],tbl_de_massas[id_massa],tbl_de_massas[nome_completo],"--",0,1)</f>
        <v>Caio Moura Santos</v>
      </c>
      <c r="E673" t="str">
        <f>_xlfn.XLOOKUP(TBL_USUARIOS[[#This Row],[ID_MASSA]],tbl_de_massas[id_massa],tbl_de_massas[cartao_fisico_numero],"--",0,1)</f>
        <v/>
      </c>
      <c r="F673" t="str">
        <f>_xlfn.XLOOKUP(TBL_USUARIOS[[#This Row],[ID_MASSA]],tbl_de_massas[id_massa],tbl_de_massas[nome_completo],"--",0,1)</f>
        <v>Caio Moura Santos</v>
      </c>
      <c r="G673" s="47">
        <f>_xlfn.XLOOKUP(TBL_USUARIOS[[#This Row],[ID_MASSA]],tbl_de_massas[id_massa],tbl_de_massas[saldo_conta],"--",0,1)</f>
        <v>7962.56</v>
      </c>
      <c r="H673" t="str">
        <f>_xlfn.XLOOKUP(TBL_USUARIOS[[#This Row],[ID_MASSA]],tbl_de_massas[id_massa],tbl_de_massas[nome_completo],"--",0,1)</f>
        <v>Caio Moura Santos</v>
      </c>
    </row>
    <row r="674" spans="1:8" x14ac:dyDescent="0.25">
      <c r="A674" s="2" t="s">
        <v>5809</v>
      </c>
      <c r="B674" t="str">
        <f>_xlfn.XLOOKUP(TBL_USUARIOS[[#This Row],[ID_MASSA]],tbl_de_massas[id_massa],tbl_de_massas[cpf],"--",0,1)</f>
        <v>93105332502</v>
      </c>
      <c r="C674" t="s">
        <v>12</v>
      </c>
      <c r="D674" t="str">
        <f>_xlfn.XLOOKUP(TBL_USUARIOS[[#This Row],[ID_MASSA]],tbl_de_massas[id_massa],tbl_de_massas[nome_completo],"--",0,1)</f>
        <v>Guilherme Gomes</v>
      </c>
      <c r="E674" t="str">
        <f>_xlfn.XLOOKUP(TBL_USUARIOS[[#This Row],[ID_MASSA]],tbl_de_massas[id_massa],tbl_de_massas[cartao_fisico_numero],"--",0,1)</f>
        <v/>
      </c>
      <c r="F674" t="str">
        <f>_xlfn.XLOOKUP(TBL_USUARIOS[[#This Row],[ID_MASSA]],tbl_de_massas[id_massa],tbl_de_massas[nome_completo],"--",0,1)</f>
        <v>Guilherme Gomes</v>
      </c>
      <c r="G674" s="47">
        <f>_xlfn.XLOOKUP(TBL_USUARIOS[[#This Row],[ID_MASSA]],tbl_de_massas[id_massa],tbl_de_massas[saldo_conta],"--",0,1)</f>
        <v>5834.53</v>
      </c>
      <c r="H674" t="str">
        <f>_xlfn.XLOOKUP(TBL_USUARIOS[[#This Row],[ID_MASSA]],tbl_de_massas[id_massa],tbl_de_massas[nome_completo],"--",0,1)</f>
        <v>Guilherme Gomes</v>
      </c>
    </row>
    <row r="675" spans="1:8" x14ac:dyDescent="0.25">
      <c r="A675" s="2" t="s">
        <v>4465</v>
      </c>
      <c r="B675" t="str">
        <f>_xlfn.XLOOKUP(TBL_USUARIOS[[#This Row],[ID_MASSA]],tbl_de_massas[id_massa],tbl_de_massas[cpf],"--",0,1)</f>
        <v>50088152022</v>
      </c>
      <c r="C675" t="s">
        <v>12</v>
      </c>
      <c r="D675" t="str">
        <f>_xlfn.XLOOKUP(TBL_USUARIOS[[#This Row],[ID_MASSA]],tbl_de_massas[id_massa],tbl_de_massas[nome_completo],"--",0,1)</f>
        <v>Bruno Nascimento</v>
      </c>
      <c r="E675" t="str">
        <f>_xlfn.XLOOKUP(TBL_USUARIOS[[#This Row],[ID_MASSA]],tbl_de_massas[id_massa],tbl_de_massas[cartao_fisico_numero],"--",0,1)</f>
        <v/>
      </c>
      <c r="F675" t="str">
        <f>_xlfn.XLOOKUP(TBL_USUARIOS[[#This Row],[ID_MASSA]],tbl_de_massas[id_massa],tbl_de_massas[nome_completo],"--",0,1)</f>
        <v>Bruno Nascimento</v>
      </c>
      <c r="G675" s="47">
        <f>_xlfn.XLOOKUP(TBL_USUARIOS[[#This Row],[ID_MASSA]],tbl_de_massas[id_massa],tbl_de_massas[saldo_conta],"--",0,1)</f>
        <v>7977.79</v>
      </c>
      <c r="H675" t="str">
        <f>_xlfn.XLOOKUP(TBL_USUARIOS[[#This Row],[ID_MASSA]],tbl_de_massas[id_massa],tbl_de_massas[nome_completo],"--",0,1)</f>
        <v>Bruno Nascimento</v>
      </c>
    </row>
    <row r="676" spans="1:8" x14ac:dyDescent="0.25">
      <c r="A676" s="2" t="s">
        <v>4788</v>
      </c>
      <c r="B676" t="str">
        <f>_xlfn.XLOOKUP(TBL_USUARIOS[[#This Row],[ID_MASSA]],tbl_de_massas[id_massa],tbl_de_massas[cpf],"--",0,1)</f>
        <v>03489530209</v>
      </c>
      <c r="C676" t="s">
        <v>12</v>
      </c>
      <c r="D676" t="str">
        <f>_xlfn.XLOOKUP(TBL_USUARIOS[[#This Row],[ID_MASSA]],tbl_de_massas[id_massa],tbl_de_massas[nome_completo],"--",0,1)</f>
        <v>Marcelo Gomes Ribeiro</v>
      </c>
      <c r="E676" t="str">
        <f>_xlfn.XLOOKUP(TBL_USUARIOS[[#This Row],[ID_MASSA]],tbl_de_massas[id_massa],tbl_de_massas[cartao_fisico_numero],"--",0,1)</f>
        <v>3782 602182 7640</v>
      </c>
      <c r="F676" t="str">
        <f>_xlfn.XLOOKUP(TBL_USUARIOS[[#This Row],[ID_MASSA]],tbl_de_massas[id_massa],tbl_de_massas[nome_completo],"--",0,1)</f>
        <v>Marcelo Gomes Ribeiro</v>
      </c>
      <c r="G676" s="47">
        <f>_xlfn.XLOOKUP(TBL_USUARIOS[[#This Row],[ID_MASSA]],tbl_de_massas[id_massa],tbl_de_massas[saldo_conta],"--",0,1)</f>
        <v>7990.23</v>
      </c>
      <c r="H676" t="str">
        <f>_xlfn.XLOOKUP(TBL_USUARIOS[[#This Row],[ID_MASSA]],tbl_de_massas[id_massa],tbl_de_massas[nome_completo],"--",0,1)</f>
        <v>Marcelo Gomes Ribeiro</v>
      </c>
    </row>
    <row r="677" spans="1:8" x14ac:dyDescent="0.25">
      <c r="A677" s="2" t="s">
        <v>4923</v>
      </c>
      <c r="B677" t="str">
        <f>_xlfn.XLOOKUP(TBL_USUARIOS[[#This Row],[ID_MASSA]],tbl_de_massas[id_massa],tbl_de_massas[cpf],"--",0,1)</f>
        <v>91706706766</v>
      </c>
      <c r="C677" t="s">
        <v>12</v>
      </c>
      <c r="D677" t="str">
        <f>_xlfn.XLOOKUP(TBL_USUARIOS[[#This Row],[ID_MASSA]],tbl_de_massas[id_massa],tbl_de_massas[nome_completo],"--",0,1)</f>
        <v>Beatriz Pereira Araujo</v>
      </c>
      <c r="E677" t="str">
        <f>_xlfn.XLOOKUP(TBL_USUARIOS[[#This Row],[ID_MASSA]],tbl_de_massas[id_massa],tbl_de_massas[cartao_fisico_numero],"--",0,1)</f>
        <v/>
      </c>
      <c r="F677" t="str">
        <f>_xlfn.XLOOKUP(TBL_USUARIOS[[#This Row],[ID_MASSA]],tbl_de_massas[id_massa],tbl_de_massas[nome_completo],"--",0,1)</f>
        <v>Beatriz Pereira Araujo</v>
      </c>
      <c r="G677" s="47">
        <f>_xlfn.XLOOKUP(TBL_USUARIOS[[#This Row],[ID_MASSA]],tbl_de_massas[id_massa],tbl_de_massas[saldo_conta],"--",0,1)</f>
        <v>5861.4</v>
      </c>
      <c r="H677" t="str">
        <f>_xlfn.XLOOKUP(TBL_USUARIOS[[#This Row],[ID_MASSA]],tbl_de_massas[id_massa],tbl_de_massas[nome_completo],"--",0,1)</f>
        <v>Beatriz Pereira Araujo</v>
      </c>
    </row>
    <row r="678" spans="1:8" x14ac:dyDescent="0.25">
      <c r="A678" s="2" t="s">
        <v>3204</v>
      </c>
      <c r="B678" t="str">
        <f>_xlfn.XLOOKUP(TBL_USUARIOS[[#This Row],[ID_MASSA]],tbl_de_massas[id_massa],tbl_de_massas[cpf],"--",0,1)</f>
        <v>60495510734</v>
      </c>
      <c r="C678" t="s">
        <v>12</v>
      </c>
      <c r="D678" t="str">
        <f>_xlfn.XLOOKUP(TBL_USUARIOS[[#This Row],[ID_MASSA]],tbl_de_massas[id_massa],tbl_de_massas[nome_completo],"--",0,1)</f>
        <v>Renata Ribeiro Teixeira</v>
      </c>
      <c r="E678" t="str">
        <f>_xlfn.XLOOKUP(TBL_USUARIOS[[#This Row],[ID_MASSA]],tbl_de_massas[id_massa],tbl_de_massas[cartao_fisico_numero],"--",0,1)</f>
        <v>5442 7460 2284 4761</v>
      </c>
      <c r="F678" t="str">
        <f>_xlfn.XLOOKUP(TBL_USUARIOS[[#This Row],[ID_MASSA]],tbl_de_massas[id_massa],tbl_de_massas[nome_completo],"--",0,1)</f>
        <v>Renata Ribeiro Teixeira</v>
      </c>
      <c r="G678" s="47">
        <f>_xlfn.XLOOKUP(TBL_USUARIOS[[#This Row],[ID_MASSA]],tbl_de_massas[id_massa],tbl_de_massas[saldo_conta],"--",0,1)</f>
        <v>7991.93</v>
      </c>
      <c r="H678" t="str">
        <f>_xlfn.XLOOKUP(TBL_USUARIOS[[#This Row],[ID_MASSA]],tbl_de_massas[id_massa],tbl_de_massas[nome_completo],"--",0,1)</f>
        <v>Renata Ribeiro Teixeira</v>
      </c>
    </row>
    <row r="679" spans="1:8" x14ac:dyDescent="0.25">
      <c r="A679" s="2" t="s">
        <v>2302</v>
      </c>
      <c r="B679" s="14" t="str">
        <f>_xlfn.XLOOKUP(TBL_USUARIOS[[#This Row],[ID_MASSA]],tbl_de_massas[id_massa],tbl_de_massas[cpf],"--",0,1)</f>
        <v>16266323249</v>
      </c>
      <c r="C679" t="s">
        <v>12</v>
      </c>
      <c r="D679" t="str">
        <f>_xlfn.XLOOKUP(TBL_USUARIOS[[#This Row],[ID_MASSA]],tbl_de_massas[id_massa],tbl_de_massas[nome_completo],"--",0,1)</f>
        <v>Flore Schmitt</v>
      </c>
      <c r="E679" t="str">
        <f>_xlfn.XLOOKUP(TBL_USUARIOS[[#This Row],[ID_MASSA]],tbl_de_massas[id_massa],tbl_de_massas[cartao_fisico_numero],"--",0,1)</f>
        <v>5442 7460 9163 1125</v>
      </c>
      <c r="F679" t="str">
        <f>_xlfn.XLOOKUP(TBL_USUARIOS[[#This Row],[ID_MASSA]],tbl_de_massas[id_massa],tbl_de_massas[nome_completo],"--",0,1)</f>
        <v>Flore Schmitt</v>
      </c>
      <c r="G679" s="47">
        <f>_xlfn.XLOOKUP(TBL_USUARIOS[[#This Row],[ID_MASSA]],tbl_de_massas[id_massa],tbl_de_massas[saldo_conta],"--",0,1)</f>
        <v>8000</v>
      </c>
      <c r="H679" t="str">
        <f>_xlfn.XLOOKUP(TBL_USUARIOS[[#This Row],[ID_MASSA]],tbl_de_massas[id_massa],tbl_de_massas[nome_completo],"--",0,1)</f>
        <v>Flore Schmitt</v>
      </c>
    </row>
    <row r="680" spans="1:8" x14ac:dyDescent="0.25">
      <c r="A680" s="2" t="s">
        <v>4728</v>
      </c>
      <c r="B680" t="str">
        <f>_xlfn.XLOOKUP(TBL_USUARIOS[[#This Row],[ID_MASSA]],tbl_de_massas[id_massa],tbl_de_massas[cpf],"--",0,1)</f>
        <v>48894465918</v>
      </c>
      <c r="C680" t="s">
        <v>12</v>
      </c>
      <c r="D680" t="str">
        <f>_xlfn.XLOOKUP(TBL_USUARIOS[[#This Row],[ID_MASSA]],tbl_de_massas[id_massa],tbl_de_massas[nome_completo],"--",0,1)</f>
        <v>Vinicius Pereira Almeida</v>
      </c>
      <c r="E680" t="str">
        <f>_xlfn.XLOOKUP(TBL_USUARIOS[[#This Row],[ID_MASSA]],tbl_de_massas[id_massa],tbl_de_massas[cartao_fisico_numero],"--",0,1)</f>
        <v/>
      </c>
      <c r="F680" t="str">
        <f>_xlfn.XLOOKUP(TBL_USUARIOS[[#This Row],[ID_MASSA]],tbl_de_massas[id_massa],tbl_de_massas[nome_completo],"--",0,1)</f>
        <v>Vinicius Pereira Almeida</v>
      </c>
      <c r="G680" s="47">
        <f>_xlfn.XLOOKUP(TBL_USUARIOS[[#This Row],[ID_MASSA]],tbl_de_massas[id_massa],tbl_de_massas[saldo_conta],"--",0,1)</f>
        <v>8008.29</v>
      </c>
      <c r="H680" t="str">
        <f>_xlfn.XLOOKUP(TBL_USUARIOS[[#This Row],[ID_MASSA]],tbl_de_massas[id_massa],tbl_de_massas[nome_completo],"--",0,1)</f>
        <v>Vinicius Pereira Almeida</v>
      </c>
    </row>
    <row r="681" spans="1:8" x14ac:dyDescent="0.25">
      <c r="A681" s="2" t="s">
        <v>2555</v>
      </c>
      <c r="B681" s="14" t="str">
        <f>_xlfn.XLOOKUP(TBL_USUARIOS[[#This Row],[ID_MASSA]],tbl_de_massas[id_massa],tbl_de_massas[cpf],"--",0,1)</f>
        <v>46902786445</v>
      </c>
      <c r="C681" t="s">
        <v>12</v>
      </c>
      <c r="D681" t="str">
        <f>_xlfn.XLOOKUP(TBL_USUARIOS[[#This Row],[ID_MASSA]],tbl_de_massas[id_massa],tbl_de_massas[nome_completo],"--",0,1)</f>
        <v>Joon Jeonger</v>
      </c>
      <c r="E681" t="str">
        <f>_xlfn.XLOOKUP(TBL_USUARIOS[[#This Row],[ID_MASSA]],tbl_de_massas[id_massa],tbl_de_massas[cartao_fisico_numero],"--",0,1)</f>
        <v/>
      </c>
      <c r="F681" t="str">
        <f>_xlfn.XLOOKUP(TBL_USUARIOS[[#This Row],[ID_MASSA]],tbl_de_massas[id_massa],tbl_de_massas[nome_completo],"--",0,1)</f>
        <v>Joon Jeonger</v>
      </c>
      <c r="G681" s="47">
        <f>_xlfn.XLOOKUP(TBL_USUARIOS[[#This Row],[ID_MASSA]],tbl_de_massas[id_massa],tbl_de_massas[saldo_conta],"--",0,1)</f>
        <v>8010.97</v>
      </c>
      <c r="H681" t="str">
        <f>_xlfn.XLOOKUP(TBL_USUARIOS[[#This Row],[ID_MASSA]],tbl_de_massas[id_massa],tbl_de_massas[nome_completo],"--",0,1)</f>
        <v>Joon Jeonger</v>
      </c>
    </row>
    <row r="682" spans="1:8" x14ac:dyDescent="0.25">
      <c r="A682" s="2" t="s">
        <v>2825</v>
      </c>
      <c r="B682" t="str">
        <f>_xlfn.XLOOKUP(TBL_USUARIOS[[#This Row],[ID_MASSA]],tbl_de_massas[id_massa],tbl_de_massas[cpf],"--",0,1)</f>
        <v>67248806293</v>
      </c>
      <c r="C682" t="s">
        <v>12</v>
      </c>
      <c r="D682" t="str">
        <f>_xlfn.XLOOKUP(TBL_USUARIOS[[#This Row],[ID_MASSA]],tbl_de_massas[id_massa],tbl_de_massas[nome_completo],"--",0,1)</f>
        <v>Eduardo Nascimento Teixeira</v>
      </c>
      <c r="E682" t="str">
        <f>_xlfn.XLOOKUP(TBL_USUARIOS[[#This Row],[ID_MASSA]],tbl_de_massas[id_massa],tbl_de_massas[cartao_fisico_numero],"--",0,1)</f>
        <v>3782 957615 9859</v>
      </c>
      <c r="F682" t="str">
        <f>_xlfn.XLOOKUP(TBL_USUARIOS[[#This Row],[ID_MASSA]],tbl_de_massas[id_massa],tbl_de_massas[nome_completo],"--",0,1)</f>
        <v>Eduardo Nascimento Teixeira</v>
      </c>
      <c r="G682" s="47">
        <f>_xlfn.XLOOKUP(TBL_USUARIOS[[#This Row],[ID_MASSA]],tbl_de_massas[id_massa],tbl_de_massas[saldo_conta],"--",0,1)</f>
        <v>8020.76</v>
      </c>
      <c r="H682" t="str">
        <f>_xlfn.XLOOKUP(TBL_USUARIOS[[#This Row],[ID_MASSA]],tbl_de_massas[id_massa],tbl_de_massas[nome_completo],"--",0,1)</f>
        <v>Eduardo Nascimento Teixeira</v>
      </c>
    </row>
    <row r="683" spans="1:8" x14ac:dyDescent="0.25">
      <c r="A683" s="2" t="s">
        <v>3316</v>
      </c>
      <c r="B683" t="str">
        <f>_xlfn.XLOOKUP(TBL_USUARIOS[[#This Row],[ID_MASSA]],tbl_de_massas[id_massa],tbl_de_massas[cpf],"--",0,1)</f>
        <v>74729484622</v>
      </c>
      <c r="C683" t="s">
        <v>12</v>
      </c>
      <c r="D683" t="str">
        <f>_xlfn.XLOOKUP(TBL_USUARIOS[[#This Row],[ID_MASSA]],tbl_de_massas[id_massa],tbl_de_massas[nome_completo],"--",0,1)</f>
        <v>Andre Freitas</v>
      </c>
      <c r="E683" t="str">
        <f>_xlfn.XLOOKUP(TBL_USUARIOS[[#This Row],[ID_MASSA]],tbl_de_massas[id_massa],tbl_de_massas[cartao_fisico_numero],"--",0,1)</f>
        <v>6505 0666 1421 9996</v>
      </c>
      <c r="F683" t="str">
        <f>_xlfn.XLOOKUP(TBL_USUARIOS[[#This Row],[ID_MASSA]],tbl_de_massas[id_massa],tbl_de_massas[nome_completo],"--",0,1)</f>
        <v>Andre Freitas</v>
      </c>
      <c r="G683" s="47">
        <f>_xlfn.XLOOKUP(TBL_USUARIOS[[#This Row],[ID_MASSA]],tbl_de_massas[id_massa],tbl_de_massas[saldo_conta],"--",0,1)</f>
        <v>8025.81</v>
      </c>
      <c r="H683" t="str">
        <f>_xlfn.XLOOKUP(TBL_USUARIOS[[#This Row],[ID_MASSA]],tbl_de_massas[id_massa],tbl_de_massas[nome_completo],"--",0,1)</f>
        <v>Andre Freitas</v>
      </c>
    </row>
    <row r="684" spans="1:8" x14ac:dyDescent="0.25">
      <c r="A684" s="2" t="s">
        <v>3857</v>
      </c>
      <c r="B684" t="str">
        <f>_xlfn.XLOOKUP(TBL_USUARIOS[[#This Row],[ID_MASSA]],tbl_de_massas[id_massa],tbl_de_massas[cpf],"--",0,1)</f>
        <v>65855878120</v>
      </c>
      <c r="C684" t="s">
        <v>12</v>
      </c>
      <c r="D684" t="str">
        <f>_xlfn.XLOOKUP(TBL_USUARIOS[[#This Row],[ID_MASSA]],tbl_de_massas[id_massa],tbl_de_massas[nome_completo],"--",0,1)</f>
        <v>Fernanda Moura Freitas</v>
      </c>
      <c r="E684" t="str">
        <f>_xlfn.XLOOKUP(TBL_USUARIOS[[#This Row],[ID_MASSA]],tbl_de_massas[id_massa],tbl_de_massas[cartao_fisico_numero],"--",0,1)</f>
        <v>6062 8200 3022 3204</v>
      </c>
      <c r="F684" t="str">
        <f>_xlfn.XLOOKUP(TBL_USUARIOS[[#This Row],[ID_MASSA]],tbl_de_massas[id_massa],tbl_de_massas[nome_completo],"--",0,1)</f>
        <v>Fernanda Moura Freitas</v>
      </c>
      <c r="G684" s="47">
        <f>_xlfn.XLOOKUP(TBL_USUARIOS[[#This Row],[ID_MASSA]],tbl_de_massas[id_massa],tbl_de_massas[saldo_conta],"--",0,1)</f>
        <v>8042.97</v>
      </c>
      <c r="H684" t="str">
        <f>_xlfn.XLOOKUP(TBL_USUARIOS[[#This Row],[ID_MASSA]],tbl_de_massas[id_massa],tbl_de_massas[nome_completo],"--",0,1)</f>
        <v>Fernanda Moura Freitas</v>
      </c>
    </row>
    <row r="685" spans="1:8" x14ac:dyDescent="0.25">
      <c r="A685" s="2" t="s">
        <v>2216</v>
      </c>
      <c r="B685" s="14" t="str">
        <f>_xlfn.XLOOKUP(TBL_USUARIOS[[#This Row],[ID_MASSA]],tbl_de_massas[id_massa],tbl_de_massas[cpf],"--",0,1)</f>
        <v>67010691002</v>
      </c>
      <c r="C685" t="s">
        <v>12</v>
      </c>
      <c r="D685" t="str">
        <f>_xlfn.XLOOKUP(TBL_USUARIOS[[#This Row],[ID_MASSA]],tbl_de_massas[id_massa],tbl_de_massas[nome_completo],"--",0,1)</f>
        <v>Jean Dupont</v>
      </c>
      <c r="E685" t="str">
        <f>_xlfn.XLOOKUP(TBL_USUARIOS[[#This Row],[ID_MASSA]],tbl_de_massas[id_massa],tbl_de_massas[cartao_fisico_numero],"--",0,1)</f>
        <v>6505 0666 7155 5022</v>
      </c>
      <c r="F685" t="str">
        <f>_xlfn.XLOOKUP(TBL_USUARIOS[[#This Row],[ID_MASSA]],tbl_de_massas[id_massa],tbl_de_massas[nome_completo],"--",0,1)</f>
        <v>Jean Dupont</v>
      </c>
      <c r="G685" s="47">
        <f>_xlfn.XLOOKUP(TBL_USUARIOS[[#This Row],[ID_MASSA]],tbl_de_massas[id_massa],tbl_de_massas[saldo_conta],"--",0,1)</f>
        <v>8658.7900000000009</v>
      </c>
      <c r="H685" t="str">
        <f>_xlfn.XLOOKUP(TBL_USUARIOS[[#This Row],[ID_MASSA]],tbl_de_massas[id_massa],tbl_de_massas[nome_completo],"--",0,1)</f>
        <v>Jean Dupont</v>
      </c>
    </row>
    <row r="686" spans="1:8" x14ac:dyDescent="0.25">
      <c r="A686" s="2" t="s">
        <v>5146</v>
      </c>
      <c r="B686" t="str">
        <f>_xlfn.XLOOKUP(TBL_USUARIOS[[#This Row],[ID_MASSA]],tbl_de_massas[id_massa],tbl_de_massas[cpf],"--",0,1)</f>
        <v>68404043230</v>
      </c>
      <c r="C686" t="s">
        <v>12</v>
      </c>
      <c r="D686" t="str">
        <f>_xlfn.XLOOKUP(TBL_USUARIOS[[#This Row],[ID_MASSA]],tbl_de_massas[id_massa],tbl_de_massas[nome_completo],"--",0,1)</f>
        <v>Diego Monteiro</v>
      </c>
      <c r="E686" t="str">
        <f>_xlfn.XLOOKUP(TBL_USUARIOS[[#This Row],[ID_MASSA]],tbl_de_massas[id_massa],tbl_de_massas[cartao_fisico_numero],"--",0,1)</f>
        <v>3782 829859 2546</v>
      </c>
      <c r="F686" t="str">
        <f>_xlfn.XLOOKUP(TBL_USUARIOS[[#This Row],[ID_MASSA]],tbl_de_massas[id_massa],tbl_de_massas[nome_completo],"--",0,1)</f>
        <v>Diego Monteiro</v>
      </c>
      <c r="G686" s="47">
        <f>_xlfn.XLOOKUP(TBL_USUARIOS[[#This Row],[ID_MASSA]],tbl_de_massas[id_massa],tbl_de_massas[saldo_conta],"--",0,1)</f>
        <v>8059.12</v>
      </c>
      <c r="H686" t="str">
        <f>_xlfn.XLOOKUP(TBL_USUARIOS[[#This Row],[ID_MASSA]],tbl_de_massas[id_massa],tbl_de_massas[nome_completo],"--",0,1)</f>
        <v>Diego Monteiro</v>
      </c>
    </row>
    <row r="687" spans="1:8" x14ac:dyDescent="0.25">
      <c r="A687" s="2" t="s">
        <v>4285</v>
      </c>
      <c r="B687" t="str">
        <f>_xlfn.XLOOKUP(TBL_USUARIOS[[#This Row],[ID_MASSA]],tbl_de_massas[id_massa],tbl_de_massas[cpf],"--",0,1)</f>
        <v>06606920310</v>
      </c>
      <c r="C687" t="s">
        <v>12</v>
      </c>
      <c r="D687" t="str">
        <f>_xlfn.XLOOKUP(TBL_USUARIOS[[#This Row],[ID_MASSA]],tbl_de_massas[id_massa],tbl_de_massas[nome_completo],"--",0,1)</f>
        <v>Danilo Carvalho Gomes</v>
      </c>
      <c r="E687" t="str">
        <f>_xlfn.XLOOKUP(TBL_USUARIOS[[#This Row],[ID_MASSA]],tbl_de_massas[id_massa],tbl_de_massas[cartao_fisico_numero],"--",0,1)</f>
        <v>6505 0666 4839 3394</v>
      </c>
      <c r="F687" t="str">
        <f>_xlfn.XLOOKUP(TBL_USUARIOS[[#This Row],[ID_MASSA]],tbl_de_massas[id_massa],tbl_de_massas[nome_completo],"--",0,1)</f>
        <v>Danilo Carvalho Gomes</v>
      </c>
      <c r="G687" s="47">
        <f>_xlfn.XLOOKUP(TBL_USUARIOS[[#This Row],[ID_MASSA]],tbl_de_massas[id_massa],tbl_de_massas[saldo_conta],"--",0,1)</f>
        <v>8065.64</v>
      </c>
      <c r="H687" t="str">
        <f>_xlfn.XLOOKUP(TBL_USUARIOS[[#This Row],[ID_MASSA]],tbl_de_massas[id_massa],tbl_de_massas[nome_completo],"--",0,1)</f>
        <v>Danilo Carvalho Gomes</v>
      </c>
    </row>
    <row r="688" spans="1:8" x14ac:dyDescent="0.25">
      <c r="A688" s="2" t="s">
        <v>4066</v>
      </c>
      <c r="B688" t="str">
        <f>_xlfn.XLOOKUP(TBL_USUARIOS[[#This Row],[ID_MASSA]],tbl_de_massas[id_massa],tbl_de_massas[cpf],"--",0,1)</f>
        <v>94181224309</v>
      </c>
      <c r="C688" t="s">
        <v>12</v>
      </c>
      <c r="D688" t="str">
        <f>_xlfn.XLOOKUP(TBL_USUARIOS[[#This Row],[ID_MASSA]],tbl_de_massas[id_massa],tbl_de_massas[nome_completo],"--",0,1)</f>
        <v>Aline Dias</v>
      </c>
      <c r="E688" t="str">
        <f>_xlfn.XLOOKUP(TBL_USUARIOS[[#This Row],[ID_MASSA]],tbl_de_massas[id_massa],tbl_de_massas[cartao_fisico_numero],"--",0,1)</f>
        <v>5442 7460 9273 3308</v>
      </c>
      <c r="F688" t="str">
        <f>_xlfn.XLOOKUP(TBL_USUARIOS[[#This Row],[ID_MASSA]],tbl_de_massas[id_massa],tbl_de_massas[nome_completo],"--",0,1)</f>
        <v>Aline Dias</v>
      </c>
      <c r="G688" s="47">
        <f>_xlfn.XLOOKUP(TBL_USUARIOS[[#This Row],[ID_MASSA]],tbl_de_massas[id_massa],tbl_de_massas[saldo_conta],"--",0,1)</f>
        <v>8089.06</v>
      </c>
      <c r="H688" t="str">
        <f>_xlfn.XLOOKUP(TBL_USUARIOS[[#This Row],[ID_MASSA]],tbl_de_massas[id_massa],tbl_de_massas[nome_completo],"--",0,1)</f>
        <v>Aline Dias</v>
      </c>
    </row>
    <row r="689" spans="1:8" x14ac:dyDescent="0.25">
      <c r="A689" s="2" t="s">
        <v>4183</v>
      </c>
      <c r="B689" t="str">
        <f>_xlfn.XLOOKUP(TBL_USUARIOS[[#This Row],[ID_MASSA]],tbl_de_massas[id_massa],tbl_de_massas[cpf],"--",0,1)</f>
        <v>93119384240</v>
      </c>
      <c r="C689" t="s">
        <v>12</v>
      </c>
      <c r="D689" t="str">
        <f>_xlfn.XLOOKUP(TBL_USUARIOS[[#This Row],[ID_MASSA]],tbl_de_massas[id_massa],tbl_de_massas[nome_completo],"--",0,1)</f>
        <v>Marcelo Barros</v>
      </c>
      <c r="E689" t="str">
        <f>_xlfn.XLOOKUP(TBL_USUARIOS[[#This Row],[ID_MASSA]],tbl_de_massas[id_massa],tbl_de_massas[cartao_fisico_numero],"--",0,1)</f>
        <v/>
      </c>
      <c r="F689" t="str">
        <f>_xlfn.XLOOKUP(TBL_USUARIOS[[#This Row],[ID_MASSA]],tbl_de_massas[id_massa],tbl_de_massas[nome_completo],"--",0,1)</f>
        <v>Marcelo Barros</v>
      </c>
      <c r="G689" s="47">
        <f>_xlfn.XLOOKUP(TBL_USUARIOS[[#This Row],[ID_MASSA]],tbl_de_massas[id_massa],tbl_de_massas[saldo_conta],"--",0,1)</f>
        <v>8096.67</v>
      </c>
      <c r="H689" t="str">
        <f>_xlfn.XLOOKUP(TBL_USUARIOS[[#This Row],[ID_MASSA]],tbl_de_massas[id_massa],tbl_de_massas[nome_completo],"--",0,1)</f>
        <v>Marcelo Barros</v>
      </c>
    </row>
    <row r="690" spans="1:8" x14ac:dyDescent="0.25">
      <c r="A690" s="2" t="s">
        <v>6050</v>
      </c>
      <c r="B690" t="str">
        <f>_xlfn.XLOOKUP(TBL_USUARIOS[[#This Row],[ID_MASSA]],tbl_de_massas[id_massa],tbl_de_massas[cpf],"--",0,1)</f>
        <v>80793270847</v>
      </c>
      <c r="C690" t="s">
        <v>12</v>
      </c>
      <c r="D690" t="str">
        <f>_xlfn.XLOOKUP(TBL_USUARIOS[[#This Row],[ID_MASSA]],tbl_de_massas[id_massa],tbl_de_massas[nome_completo],"--",0,1)</f>
        <v>Sabrina Vieira Dias</v>
      </c>
      <c r="E690" t="str">
        <f>_xlfn.XLOOKUP(TBL_USUARIOS[[#This Row],[ID_MASSA]],tbl_de_massas[id_massa],tbl_de_massas[cartao_fisico_numero],"--",0,1)</f>
        <v>6505 0666 7699 9875</v>
      </c>
      <c r="F690" t="str">
        <f>_xlfn.XLOOKUP(TBL_USUARIOS[[#This Row],[ID_MASSA]],tbl_de_massas[id_massa],tbl_de_massas[nome_completo],"--",0,1)</f>
        <v>Sabrina Vieira Dias</v>
      </c>
      <c r="G690" s="47">
        <f>_xlfn.XLOOKUP(TBL_USUARIOS[[#This Row],[ID_MASSA]],tbl_de_massas[id_massa],tbl_de_massas[saldo_conta],"--",0,1)</f>
        <v>8106.55</v>
      </c>
      <c r="H690" t="str">
        <f>_xlfn.XLOOKUP(TBL_USUARIOS[[#This Row],[ID_MASSA]],tbl_de_massas[id_massa],tbl_de_massas[nome_completo],"--",0,1)</f>
        <v>Sabrina Vieira Dias</v>
      </c>
    </row>
    <row r="691" spans="1:8" x14ac:dyDescent="0.25">
      <c r="A691" s="2" t="s">
        <v>6513</v>
      </c>
      <c r="B691" t="str">
        <f>_xlfn.XLOOKUP(TBL_USUARIOS[[#This Row],[ID_MASSA]],tbl_de_massas[id_massa],tbl_de_massas[cpf],"--",0,1)</f>
        <v>57858861204</v>
      </c>
      <c r="C691" t="s">
        <v>12</v>
      </c>
      <c r="D691" t="str">
        <f>_xlfn.XLOOKUP(TBL_USUARIOS[[#This Row],[ID_MASSA]],tbl_de_massas[id_massa],tbl_de_massas[nome_completo],"--",0,1)</f>
        <v>Lei Guo</v>
      </c>
      <c r="E691" t="str">
        <f>_xlfn.XLOOKUP(TBL_USUARIOS[[#This Row],[ID_MASSA]],tbl_de_massas[id_massa],tbl_de_massas[cartao_fisico_numero],"--",0,1)</f>
        <v>6062 8200 4296 2569</v>
      </c>
      <c r="F691" t="str">
        <f>_xlfn.XLOOKUP(TBL_USUARIOS[[#This Row],[ID_MASSA]],tbl_de_massas[id_massa],tbl_de_massas[nome_completo],"--",0,1)</f>
        <v>Lei Guo</v>
      </c>
      <c r="G691" s="47">
        <f>_xlfn.XLOOKUP(TBL_USUARIOS[[#This Row],[ID_MASSA]],tbl_de_massas[id_massa],tbl_de_massas[saldo_conta],"--",0,1)</f>
        <v>8108.13</v>
      </c>
      <c r="H691" t="str">
        <f>_xlfn.XLOOKUP(TBL_USUARIOS[[#This Row],[ID_MASSA]],tbl_de_massas[id_massa],tbl_de_massas[nome_completo],"--",0,1)</f>
        <v>Lei Guo</v>
      </c>
    </row>
    <row r="692" spans="1:8" x14ac:dyDescent="0.25">
      <c r="A692" s="2" t="s">
        <v>5420</v>
      </c>
      <c r="B692" t="str">
        <f>_xlfn.XLOOKUP(TBL_USUARIOS[[#This Row],[ID_MASSA]],tbl_de_massas[id_massa],tbl_de_massas[cpf],"--",0,1)</f>
        <v>21475362536</v>
      </c>
      <c r="C692" t="s">
        <v>12</v>
      </c>
      <c r="D692" t="str">
        <f>_xlfn.XLOOKUP(TBL_USUARIOS[[#This Row],[ID_MASSA]],tbl_de_massas[id_massa],tbl_de_massas[nome_completo],"--",0,1)</f>
        <v>Juliana Souza</v>
      </c>
      <c r="E692" t="str">
        <f>_xlfn.XLOOKUP(TBL_USUARIOS[[#This Row],[ID_MASSA]],tbl_de_massas[id_massa],tbl_de_massas[cartao_fisico_numero],"--",0,1)</f>
        <v/>
      </c>
      <c r="F692" t="str">
        <f>_xlfn.XLOOKUP(TBL_USUARIOS[[#This Row],[ID_MASSA]],tbl_de_massas[id_massa],tbl_de_massas[nome_completo],"--",0,1)</f>
        <v>Juliana Souza</v>
      </c>
      <c r="G692" s="47">
        <f>_xlfn.XLOOKUP(TBL_USUARIOS[[#This Row],[ID_MASSA]],tbl_de_massas[id_massa],tbl_de_massas[saldo_conta],"--",0,1)</f>
        <v>8135.35</v>
      </c>
      <c r="H692" t="str">
        <f>_xlfn.XLOOKUP(TBL_USUARIOS[[#This Row],[ID_MASSA]],tbl_de_massas[id_massa],tbl_de_massas[nome_completo],"--",0,1)</f>
        <v>Juliana Souza</v>
      </c>
    </row>
    <row r="693" spans="1:8" x14ac:dyDescent="0.25">
      <c r="A693" s="2" t="s">
        <v>6463</v>
      </c>
      <c r="B693" t="str">
        <f>_xlfn.XLOOKUP(TBL_USUARIOS[[#This Row],[ID_MASSA]],tbl_de_massas[id_massa],tbl_de_massas[cpf],"--",0,1)</f>
        <v>34686781507</v>
      </c>
      <c r="C693" t="s">
        <v>12</v>
      </c>
      <c r="D693" t="str">
        <f>_xlfn.XLOOKUP(TBL_USUARIOS[[#This Row],[ID_MASSA]],tbl_de_massas[id_massa],tbl_de_massas[nome_completo],"--",0,1)</f>
        <v>Xiu Ying Hu</v>
      </c>
      <c r="E693" t="str">
        <f>_xlfn.XLOOKUP(TBL_USUARIOS[[#This Row],[ID_MASSA]],tbl_de_massas[id_massa],tbl_de_massas[cartao_fisico_numero],"--",0,1)</f>
        <v>6062 8200 4586 5543</v>
      </c>
      <c r="F693" t="str">
        <f>_xlfn.XLOOKUP(TBL_USUARIOS[[#This Row],[ID_MASSA]],tbl_de_massas[id_massa],tbl_de_massas[nome_completo],"--",0,1)</f>
        <v>Xiu Ying Hu</v>
      </c>
      <c r="G693" s="47">
        <f>_xlfn.XLOOKUP(TBL_USUARIOS[[#This Row],[ID_MASSA]],tbl_de_massas[id_massa],tbl_de_massas[saldo_conta],"--",0,1)</f>
        <v>8138.42</v>
      </c>
      <c r="H693" t="str">
        <f>_xlfn.XLOOKUP(TBL_USUARIOS[[#This Row],[ID_MASSA]],tbl_de_massas[id_massa],tbl_de_massas[nome_completo],"--",0,1)</f>
        <v>Xiu Ying Hu</v>
      </c>
    </row>
    <row r="694" spans="1:8" x14ac:dyDescent="0.25">
      <c r="A694" s="2" t="s">
        <v>2577</v>
      </c>
      <c r="B694" s="14" t="str">
        <f>_xlfn.XLOOKUP(TBL_USUARIOS[[#This Row],[ID_MASSA]],tbl_de_massas[id_massa],tbl_de_massas[cpf],"--",0,1)</f>
        <v>98223563312</v>
      </c>
      <c r="C694" t="s">
        <v>12</v>
      </c>
      <c r="D694" t="str">
        <f>_xlfn.XLOOKUP(TBL_USUARIOS[[#This Row],[ID_MASSA]],tbl_de_massas[id_massa],tbl_de_massas[nome_completo],"--",0,1)</f>
        <v>Chloe Dubasois</v>
      </c>
      <c r="E694" t="str">
        <f>_xlfn.XLOOKUP(TBL_USUARIOS[[#This Row],[ID_MASSA]],tbl_de_massas[id_massa],tbl_de_massas[cartao_fisico_numero],"--",0,1)</f>
        <v>3782 228417 7414</v>
      </c>
      <c r="F694" t="str">
        <f>_xlfn.XLOOKUP(TBL_USUARIOS[[#This Row],[ID_MASSA]],tbl_de_massas[id_massa],tbl_de_massas[nome_completo],"--",0,1)</f>
        <v>Chloe Dubasois</v>
      </c>
      <c r="G694" s="47">
        <f>_xlfn.XLOOKUP(TBL_USUARIOS[[#This Row],[ID_MASSA]],tbl_de_massas[id_massa],tbl_de_massas[saldo_conta],"--",0,1)</f>
        <v>8150.45</v>
      </c>
      <c r="H694" t="str">
        <f>_xlfn.XLOOKUP(TBL_USUARIOS[[#This Row],[ID_MASSA]],tbl_de_massas[id_massa],tbl_de_massas[nome_completo],"--",0,1)</f>
        <v>Chloe Dubasois</v>
      </c>
    </row>
    <row r="695" spans="1:8" x14ac:dyDescent="0.25">
      <c r="A695" s="2" t="s">
        <v>4024</v>
      </c>
      <c r="B695" t="str">
        <f>_xlfn.XLOOKUP(TBL_USUARIOS[[#This Row],[ID_MASSA]],tbl_de_massas[id_massa],tbl_de_massas[cpf],"--",0,1)</f>
        <v>04371310095</v>
      </c>
      <c r="C695" t="s">
        <v>12</v>
      </c>
      <c r="D695" t="str">
        <f>_xlfn.XLOOKUP(TBL_USUARIOS[[#This Row],[ID_MASSA]],tbl_de_massas[id_massa],tbl_de_massas[nome_completo],"--",0,1)</f>
        <v>Gustavo Cardoso Mendes</v>
      </c>
      <c r="E695" t="str">
        <f>_xlfn.XLOOKUP(TBL_USUARIOS[[#This Row],[ID_MASSA]],tbl_de_massas[id_massa],tbl_de_massas[cartao_fisico_numero],"--",0,1)</f>
        <v/>
      </c>
      <c r="F695" t="str">
        <f>_xlfn.XLOOKUP(TBL_USUARIOS[[#This Row],[ID_MASSA]],tbl_de_massas[id_massa],tbl_de_massas[nome_completo],"--",0,1)</f>
        <v>Gustavo Cardoso Mendes</v>
      </c>
      <c r="G695" s="47">
        <f>_xlfn.XLOOKUP(TBL_USUARIOS[[#This Row],[ID_MASSA]],tbl_de_massas[id_massa],tbl_de_massas[saldo_conta],"--",0,1)</f>
        <v>8170.39</v>
      </c>
      <c r="H695" t="str">
        <f>_xlfn.XLOOKUP(TBL_USUARIOS[[#This Row],[ID_MASSA]],tbl_de_massas[id_massa],tbl_de_massas[nome_completo],"--",0,1)</f>
        <v>Gustavo Cardoso Mendes</v>
      </c>
    </row>
    <row r="696" spans="1:8" x14ac:dyDescent="0.25">
      <c r="A696" s="2" t="s">
        <v>3526</v>
      </c>
      <c r="B696" t="str">
        <f>_xlfn.XLOOKUP(TBL_USUARIOS[[#This Row],[ID_MASSA]],tbl_de_massas[id_massa],tbl_de_massas[cpf],"--",0,1)</f>
        <v>69866249212</v>
      </c>
      <c r="C696" t="s">
        <v>12</v>
      </c>
      <c r="D696" t="str">
        <f>_xlfn.XLOOKUP(TBL_USUARIOS[[#This Row],[ID_MASSA]],tbl_de_massas[id_massa],tbl_de_massas[nome_completo],"--",0,1)</f>
        <v>Guilherme Almeida</v>
      </c>
      <c r="E696" t="str">
        <f>_xlfn.XLOOKUP(TBL_USUARIOS[[#This Row],[ID_MASSA]],tbl_de_massas[id_massa],tbl_de_massas[cartao_fisico_numero],"--",0,1)</f>
        <v>6062 8200 4092 5784</v>
      </c>
      <c r="F696" t="str">
        <f>_xlfn.XLOOKUP(TBL_USUARIOS[[#This Row],[ID_MASSA]],tbl_de_massas[id_massa],tbl_de_massas[nome_completo],"--",0,1)</f>
        <v>Guilherme Almeida</v>
      </c>
      <c r="G696" s="47">
        <f>_xlfn.XLOOKUP(TBL_USUARIOS[[#This Row],[ID_MASSA]],tbl_de_massas[id_massa],tbl_de_massas[saldo_conta],"--",0,1)</f>
        <v>8185.33</v>
      </c>
      <c r="H696" t="str">
        <f>_xlfn.XLOOKUP(TBL_USUARIOS[[#This Row],[ID_MASSA]],tbl_de_massas[id_massa],tbl_de_massas[nome_completo],"--",0,1)</f>
        <v>Guilherme Almeida</v>
      </c>
    </row>
    <row r="697" spans="1:8" x14ac:dyDescent="0.25">
      <c r="A697" s="2" t="s">
        <v>6680</v>
      </c>
      <c r="B697" t="str">
        <f>_xlfn.XLOOKUP(TBL_USUARIOS[[#This Row],[ID_MASSA]],tbl_de_massas[id_massa],tbl_de_massas[cpf],"--",0,1)</f>
        <v>16268172000</v>
      </c>
      <c r="C697" t="s">
        <v>12</v>
      </c>
      <c r="D697" t="str">
        <f>_xlfn.XLOOKUP(TBL_USUARIOS[[#This Row],[ID_MASSA]],tbl_de_massas[id_massa],tbl_de_massas[nome_completo],"--",0,1)</f>
        <v>Danilo Barbosa</v>
      </c>
      <c r="E697" t="str">
        <f>_xlfn.XLOOKUP(TBL_USUARIOS[[#This Row],[ID_MASSA]],tbl_de_massas[id_massa],tbl_de_massas[cartao_fisico_numero],"--",0,1)</f>
        <v>4576 7460 2641 3343</v>
      </c>
      <c r="F697" t="str">
        <f>_xlfn.XLOOKUP(TBL_USUARIOS[[#This Row],[ID_MASSA]],tbl_de_massas[id_massa],tbl_de_massas[nome_completo],"--",0,1)</f>
        <v>Danilo Barbosa</v>
      </c>
      <c r="G697" s="47">
        <f>_xlfn.XLOOKUP(TBL_USUARIOS[[#This Row],[ID_MASSA]],tbl_de_massas[id_massa],tbl_de_massas[saldo_conta],"--",0,1)</f>
        <v>8198.4</v>
      </c>
      <c r="H697" t="str">
        <f>_xlfn.XLOOKUP(TBL_USUARIOS[[#This Row],[ID_MASSA]],tbl_de_massas[id_massa],tbl_de_massas[nome_completo],"--",0,1)</f>
        <v>Danilo Barbosa</v>
      </c>
    </row>
    <row r="698" spans="1:8" x14ac:dyDescent="0.25">
      <c r="A698" s="2" t="s">
        <v>4562</v>
      </c>
      <c r="B698" t="str">
        <f>_xlfn.XLOOKUP(TBL_USUARIOS[[#This Row],[ID_MASSA]],tbl_de_massas[id_massa],tbl_de_massas[cpf],"--",0,1)</f>
        <v>70428937780</v>
      </c>
      <c r="C698" t="s">
        <v>12</v>
      </c>
      <c r="D698" t="str">
        <f>_xlfn.XLOOKUP(TBL_USUARIOS[[#This Row],[ID_MASSA]],tbl_de_massas[id_massa],tbl_de_massas[nome_completo],"--",0,1)</f>
        <v>Lucas Barros</v>
      </c>
      <c r="E698" t="str">
        <f>_xlfn.XLOOKUP(TBL_USUARIOS[[#This Row],[ID_MASSA]],tbl_de_massas[id_massa],tbl_de_massas[cartao_fisico_numero],"--",0,1)</f>
        <v>5442 7460 9335 3625</v>
      </c>
      <c r="F698" t="str">
        <f>_xlfn.XLOOKUP(TBL_USUARIOS[[#This Row],[ID_MASSA]],tbl_de_massas[id_massa],tbl_de_massas[nome_completo],"--",0,1)</f>
        <v>Lucas Barros</v>
      </c>
      <c r="G698" s="47">
        <f>_xlfn.XLOOKUP(TBL_USUARIOS[[#This Row],[ID_MASSA]],tbl_de_massas[id_massa],tbl_de_massas[saldo_conta],"--",0,1)</f>
        <v>8205.39</v>
      </c>
      <c r="H698" t="str">
        <f>_xlfn.XLOOKUP(TBL_USUARIOS[[#This Row],[ID_MASSA]],tbl_de_massas[id_massa],tbl_de_massas[nome_completo],"--",0,1)</f>
        <v>Lucas Barros</v>
      </c>
    </row>
    <row r="699" spans="1:8" x14ac:dyDescent="0.25">
      <c r="A699" s="2" t="s">
        <v>6349</v>
      </c>
      <c r="B699" t="str">
        <f>_xlfn.XLOOKUP(TBL_USUARIOS[[#This Row],[ID_MASSA]],tbl_de_massas[id_massa],tbl_de_massas[cpf],"--",0,1)</f>
        <v>64980819290</v>
      </c>
      <c r="C699" t="s">
        <v>12</v>
      </c>
      <c r="D699" t="str">
        <f>_xlfn.XLOOKUP(TBL_USUARIOS[[#This Row],[ID_MASSA]],tbl_de_massas[id_massa],tbl_de_massas[nome_completo],"--",0,1)</f>
        <v>Mason Hernandez</v>
      </c>
      <c r="E699" t="str">
        <f>_xlfn.XLOOKUP(TBL_USUARIOS[[#This Row],[ID_MASSA]],tbl_de_massas[id_massa],tbl_de_massas[cartao_fisico_numero],"--",0,1)</f>
        <v>6505 0666 4151 1656</v>
      </c>
      <c r="F699" t="str">
        <f>_xlfn.XLOOKUP(TBL_USUARIOS[[#This Row],[ID_MASSA]],tbl_de_massas[id_massa],tbl_de_massas[nome_completo],"--",0,1)</f>
        <v>Mason Hernandez</v>
      </c>
      <c r="G699" s="47">
        <f>_xlfn.XLOOKUP(TBL_USUARIOS[[#This Row],[ID_MASSA]],tbl_de_massas[id_massa],tbl_de_massas[saldo_conta],"--",0,1)</f>
        <v>8213.2800000000007</v>
      </c>
      <c r="H699" t="str">
        <f>_xlfn.XLOOKUP(TBL_USUARIOS[[#This Row],[ID_MASSA]],tbl_de_massas[id_massa],tbl_de_massas[nome_completo],"--",0,1)</f>
        <v>Mason Hernandez</v>
      </c>
    </row>
    <row r="700" spans="1:8" x14ac:dyDescent="0.25">
      <c r="A700" s="2" t="s">
        <v>2148</v>
      </c>
      <c r="B700" s="14" t="str">
        <f>_xlfn.XLOOKUP(TBL_USUARIOS[[#This Row],[ID_MASSA]],tbl_de_massas[id_massa],tbl_de_massas[cpf],"--",0,1)</f>
        <v>73857513853</v>
      </c>
      <c r="C700" t="s">
        <v>12</v>
      </c>
      <c r="D700" t="str">
        <f>_xlfn.XLOOKUP(TBL_USUARIOS[[#This Row],[ID_MASSA]],tbl_de_massas[id_massa],tbl_de_massas[nome_completo],"--",0,1)</f>
        <v>Ines Oliveira</v>
      </c>
      <c r="E700" t="str">
        <f>_xlfn.XLOOKUP(TBL_USUARIOS[[#This Row],[ID_MASSA]],tbl_de_massas[id_massa],tbl_de_massas[cartao_fisico_numero],"--",0,1)</f>
        <v>4576 7460 6790 3682</v>
      </c>
      <c r="F700" t="str">
        <f>_xlfn.XLOOKUP(TBL_USUARIOS[[#This Row],[ID_MASSA]],tbl_de_massas[id_massa],tbl_de_massas[nome_completo],"--",0,1)</f>
        <v>Ines Oliveira</v>
      </c>
      <c r="G700" s="47">
        <f>_xlfn.XLOOKUP(TBL_USUARIOS[[#This Row],[ID_MASSA]],tbl_de_massas[id_massa],tbl_de_massas[saldo_conta],"--",0,1)</f>
        <v>8217.57</v>
      </c>
      <c r="H700" t="str">
        <f>_xlfn.XLOOKUP(TBL_USUARIOS[[#This Row],[ID_MASSA]],tbl_de_massas[id_massa],tbl_de_massas[nome_completo],"--",0,1)</f>
        <v>Ines Oliveira</v>
      </c>
    </row>
    <row r="701" spans="1:8" x14ac:dyDescent="0.25">
      <c r="A701" s="2" t="s">
        <v>5490</v>
      </c>
      <c r="B701" t="str">
        <f>_xlfn.XLOOKUP(TBL_USUARIOS[[#This Row],[ID_MASSA]],tbl_de_massas[id_massa],tbl_de_massas[cpf],"--",0,1)</f>
        <v>52447299346</v>
      </c>
      <c r="C701" t="s">
        <v>12</v>
      </c>
      <c r="D701" t="str">
        <f>_xlfn.XLOOKUP(TBL_USUARIOS[[#This Row],[ID_MASSA]],tbl_de_massas[id_massa],tbl_de_massas[nome_completo],"--",0,1)</f>
        <v>Fernanda Lima</v>
      </c>
      <c r="E701" t="str">
        <f>_xlfn.XLOOKUP(TBL_USUARIOS[[#This Row],[ID_MASSA]],tbl_de_massas[id_massa],tbl_de_massas[cartao_fisico_numero],"--",0,1)</f>
        <v>5442 7460 6317 6488</v>
      </c>
      <c r="F701" t="str">
        <f>_xlfn.XLOOKUP(TBL_USUARIOS[[#This Row],[ID_MASSA]],tbl_de_massas[id_massa],tbl_de_massas[nome_completo],"--",0,1)</f>
        <v>Fernanda Lima</v>
      </c>
      <c r="G701" s="47">
        <f>_xlfn.XLOOKUP(TBL_USUARIOS[[#This Row],[ID_MASSA]],tbl_de_massas[id_massa],tbl_de_massas[saldo_conta],"--",0,1)</f>
        <v>3061.41</v>
      </c>
      <c r="H701" t="str">
        <f>_xlfn.XLOOKUP(TBL_USUARIOS[[#This Row],[ID_MASSA]],tbl_de_massas[id_massa],tbl_de_massas[nome_completo],"--",0,1)</f>
        <v>Fernanda Lima</v>
      </c>
    </row>
    <row r="702" spans="1:8" x14ac:dyDescent="0.25">
      <c r="A702" s="2" t="s">
        <v>3269</v>
      </c>
      <c r="B702" t="str">
        <f>_xlfn.XLOOKUP(TBL_USUARIOS[[#This Row],[ID_MASSA]],tbl_de_massas[id_massa],tbl_de_massas[cpf],"--",0,1)</f>
        <v>43484627557</v>
      </c>
      <c r="C702" t="s">
        <v>12</v>
      </c>
      <c r="D702" t="str">
        <f>_xlfn.XLOOKUP(TBL_USUARIOS[[#This Row],[ID_MASSA]],tbl_de_massas[id_massa],tbl_de_massas[nome_completo],"--",0,1)</f>
        <v>Vivian Rodrigues Silva</v>
      </c>
      <c r="E702" t="str">
        <f>_xlfn.XLOOKUP(TBL_USUARIOS[[#This Row],[ID_MASSA]],tbl_de_massas[id_massa],tbl_de_massas[cartao_fisico_numero],"--",0,1)</f>
        <v/>
      </c>
      <c r="F702" t="str">
        <f>_xlfn.XLOOKUP(TBL_USUARIOS[[#This Row],[ID_MASSA]],tbl_de_massas[id_massa],tbl_de_massas[nome_completo],"--",0,1)</f>
        <v>Vivian Rodrigues Silva</v>
      </c>
      <c r="G702" s="47">
        <f>_xlfn.XLOOKUP(TBL_USUARIOS[[#This Row],[ID_MASSA]],tbl_de_massas[id_massa],tbl_de_massas[saldo_conta],"--",0,1)</f>
        <v>8249.44</v>
      </c>
      <c r="H702" t="str">
        <f>_xlfn.XLOOKUP(TBL_USUARIOS[[#This Row],[ID_MASSA]],tbl_de_massas[id_massa],tbl_de_massas[nome_completo],"--",0,1)</f>
        <v>Vivian Rodrigues Silva</v>
      </c>
    </row>
    <row r="703" spans="1:8" x14ac:dyDescent="0.25">
      <c r="A703" s="2" t="s">
        <v>5685</v>
      </c>
      <c r="B703" t="str">
        <f>_xlfn.XLOOKUP(TBL_USUARIOS[[#This Row],[ID_MASSA]],tbl_de_massas[id_massa],tbl_de_massas[cpf],"--",0,1)</f>
        <v>08461807316</v>
      </c>
      <c r="C703" t="s">
        <v>12</v>
      </c>
      <c r="D703" t="str">
        <f>_xlfn.XLOOKUP(TBL_USUARIOS[[#This Row],[ID_MASSA]],tbl_de_massas[id_massa],tbl_de_massas[nome_completo],"--",0,1)</f>
        <v>Tatiane Fernandes</v>
      </c>
      <c r="E703" t="str">
        <f>_xlfn.XLOOKUP(TBL_USUARIOS[[#This Row],[ID_MASSA]],tbl_de_massas[id_massa],tbl_de_massas[cartao_fisico_numero],"--",0,1)</f>
        <v/>
      </c>
      <c r="F703" t="str">
        <f>_xlfn.XLOOKUP(TBL_USUARIOS[[#This Row],[ID_MASSA]],tbl_de_massas[id_massa],tbl_de_massas[nome_completo],"--",0,1)</f>
        <v>Tatiane Fernandes</v>
      </c>
      <c r="G703" s="47">
        <f>_xlfn.XLOOKUP(TBL_USUARIOS[[#This Row],[ID_MASSA]],tbl_de_massas[id_massa],tbl_de_massas[saldo_conta],"--",0,1)</f>
        <v>7419.85</v>
      </c>
      <c r="H703" t="str">
        <f>_xlfn.XLOOKUP(TBL_USUARIOS[[#This Row],[ID_MASSA]],tbl_de_massas[id_massa],tbl_de_massas[nome_completo],"--",0,1)</f>
        <v>Tatiane Fernandes</v>
      </c>
    </row>
    <row r="704" spans="1:8" x14ac:dyDescent="0.25">
      <c r="A704" s="2" t="s">
        <v>4448</v>
      </c>
      <c r="B704" t="str">
        <f>_xlfn.XLOOKUP(TBL_USUARIOS[[#This Row],[ID_MASSA]],tbl_de_massas[id_massa],tbl_de_massas[cpf],"--",0,1)</f>
        <v>09928308691</v>
      </c>
      <c r="C704" t="s">
        <v>12</v>
      </c>
      <c r="D704" t="str">
        <f>_xlfn.XLOOKUP(TBL_USUARIOS[[#This Row],[ID_MASSA]],tbl_de_massas[id_massa],tbl_de_massas[nome_completo],"--",0,1)</f>
        <v>Marcelo Oliveira Ribeiro</v>
      </c>
      <c r="E704" t="str">
        <f>_xlfn.XLOOKUP(TBL_USUARIOS[[#This Row],[ID_MASSA]],tbl_de_massas[id_massa],tbl_de_massas[cartao_fisico_numero],"--",0,1)</f>
        <v/>
      </c>
      <c r="F704" t="str">
        <f>_xlfn.XLOOKUP(TBL_USUARIOS[[#This Row],[ID_MASSA]],tbl_de_massas[id_massa],tbl_de_massas[nome_completo],"--",0,1)</f>
        <v>Marcelo Oliveira Ribeiro</v>
      </c>
      <c r="G704" s="47">
        <f>_xlfn.XLOOKUP(TBL_USUARIOS[[#This Row],[ID_MASSA]],tbl_de_massas[id_massa],tbl_de_massas[saldo_conta],"--",0,1)</f>
        <v>8280.27</v>
      </c>
      <c r="H704" t="str">
        <f>_xlfn.XLOOKUP(TBL_USUARIOS[[#This Row],[ID_MASSA]],tbl_de_massas[id_massa],tbl_de_massas[nome_completo],"--",0,1)</f>
        <v>Marcelo Oliveira Ribeiro</v>
      </c>
    </row>
    <row r="705" spans="1:8" x14ac:dyDescent="0.25">
      <c r="A705" s="2" t="s">
        <v>5050</v>
      </c>
      <c r="B705" t="str">
        <f>_xlfn.XLOOKUP(TBL_USUARIOS[[#This Row],[ID_MASSA]],tbl_de_massas[id_massa],tbl_de_massas[cpf],"--",0,1)</f>
        <v>74713105457</v>
      </c>
      <c r="C705" t="s">
        <v>12</v>
      </c>
      <c r="D705" t="str">
        <f>_xlfn.XLOOKUP(TBL_USUARIOS[[#This Row],[ID_MASSA]],tbl_de_massas[id_massa],tbl_de_massas[nome_completo],"--",0,1)</f>
        <v>Guilherme Alves</v>
      </c>
      <c r="E705" t="str">
        <f>_xlfn.XLOOKUP(TBL_USUARIOS[[#This Row],[ID_MASSA]],tbl_de_massas[id_massa],tbl_de_massas[cartao_fisico_numero],"--",0,1)</f>
        <v>3782 964035 7573</v>
      </c>
      <c r="F705" t="str">
        <f>_xlfn.XLOOKUP(TBL_USUARIOS[[#This Row],[ID_MASSA]],tbl_de_massas[id_massa],tbl_de_massas[nome_completo],"--",0,1)</f>
        <v>Guilherme Alves</v>
      </c>
      <c r="G705" s="47">
        <f>_xlfn.XLOOKUP(TBL_USUARIOS[[#This Row],[ID_MASSA]],tbl_de_massas[id_massa],tbl_de_massas[saldo_conta],"--",0,1)</f>
        <v>8288.49</v>
      </c>
      <c r="H705" t="str">
        <f>_xlfn.XLOOKUP(TBL_USUARIOS[[#This Row],[ID_MASSA]],tbl_de_massas[id_massa],tbl_de_massas[nome_completo],"--",0,1)</f>
        <v>Guilherme Alves</v>
      </c>
    </row>
    <row r="706" spans="1:8" x14ac:dyDescent="0.25">
      <c r="A706" s="2" t="s">
        <v>5629</v>
      </c>
      <c r="B706" t="str">
        <f>_xlfn.XLOOKUP(TBL_USUARIOS[[#This Row],[ID_MASSA]],tbl_de_massas[id_massa],tbl_de_massas[cpf],"--",0,1)</f>
        <v>48335528098</v>
      </c>
      <c r="C706" t="s">
        <v>12</v>
      </c>
      <c r="D706" t="str">
        <f>_xlfn.XLOOKUP(TBL_USUARIOS[[#This Row],[ID_MASSA]],tbl_de_massas[id_massa],tbl_de_massas[nome_completo],"--",0,1)</f>
        <v>Woojin Yoon</v>
      </c>
      <c r="E706" t="str">
        <f>_xlfn.XLOOKUP(TBL_USUARIOS[[#This Row],[ID_MASSA]],tbl_de_massas[id_massa],tbl_de_massas[cartao_fisico_numero],"--",0,1)</f>
        <v>5442 7460 1924 2560</v>
      </c>
      <c r="F706" t="str">
        <f>_xlfn.XLOOKUP(TBL_USUARIOS[[#This Row],[ID_MASSA]],tbl_de_massas[id_massa],tbl_de_massas[nome_completo],"--",0,1)</f>
        <v>Woojin Yoon</v>
      </c>
      <c r="G706" s="47">
        <f>_xlfn.XLOOKUP(TBL_USUARIOS[[#This Row],[ID_MASSA]],tbl_de_massas[id_massa],tbl_de_massas[saldo_conta],"--",0,1)</f>
        <v>7999.02</v>
      </c>
      <c r="H706" t="str">
        <f>_xlfn.XLOOKUP(TBL_USUARIOS[[#This Row],[ID_MASSA]],tbl_de_massas[id_massa],tbl_de_massas[nome_completo],"--",0,1)</f>
        <v>Woojin Yoon</v>
      </c>
    </row>
    <row r="707" spans="1:8" x14ac:dyDescent="0.25">
      <c r="A707" s="2" t="s">
        <v>4268</v>
      </c>
      <c r="B707" t="str">
        <f>_xlfn.XLOOKUP(TBL_USUARIOS[[#This Row],[ID_MASSA]],tbl_de_massas[id_massa],tbl_de_massas[cpf],"--",0,1)</f>
        <v>47889408846</v>
      </c>
      <c r="C707" t="s">
        <v>12</v>
      </c>
      <c r="D707" t="str">
        <f>_xlfn.XLOOKUP(TBL_USUARIOS[[#This Row],[ID_MASSA]],tbl_de_massas[id_massa],tbl_de_massas[nome_completo],"--",0,1)</f>
        <v>Renato Cavalcanti</v>
      </c>
      <c r="E707" t="str">
        <f>_xlfn.XLOOKUP(TBL_USUARIOS[[#This Row],[ID_MASSA]],tbl_de_massas[id_massa],tbl_de_massas[cartao_fisico_numero],"--",0,1)</f>
        <v>4576 7460 7872 9320</v>
      </c>
      <c r="F707" t="str">
        <f>_xlfn.XLOOKUP(TBL_USUARIOS[[#This Row],[ID_MASSA]],tbl_de_massas[id_massa],tbl_de_massas[nome_completo],"--",0,1)</f>
        <v>Renato Cavalcanti</v>
      </c>
      <c r="G707" s="47">
        <f>_xlfn.XLOOKUP(TBL_USUARIOS[[#This Row],[ID_MASSA]],tbl_de_massas[id_massa],tbl_de_massas[saldo_conta],"--",0,1)</f>
        <v>8293.52</v>
      </c>
      <c r="H707" t="str">
        <f>_xlfn.XLOOKUP(TBL_USUARIOS[[#This Row],[ID_MASSA]],tbl_de_massas[id_massa],tbl_de_massas[nome_completo],"--",0,1)</f>
        <v>Renato Cavalcanti</v>
      </c>
    </row>
    <row r="708" spans="1:8" x14ac:dyDescent="0.25">
      <c r="A708" s="2" t="s">
        <v>5178</v>
      </c>
      <c r="B708" t="str">
        <f>_xlfn.XLOOKUP(TBL_USUARIOS[[#This Row],[ID_MASSA]],tbl_de_massas[id_massa],tbl_de_massas[cpf],"--",0,1)</f>
        <v>73121972804</v>
      </c>
      <c r="C708" t="s">
        <v>12</v>
      </c>
      <c r="D708" t="str">
        <f>_xlfn.XLOOKUP(TBL_USUARIOS[[#This Row],[ID_MASSA]],tbl_de_massas[id_massa],tbl_de_massas[nome_completo],"--",0,1)</f>
        <v>Marcos Barbosa</v>
      </c>
      <c r="E708" t="str">
        <f>_xlfn.XLOOKUP(TBL_USUARIOS[[#This Row],[ID_MASSA]],tbl_de_massas[id_massa],tbl_de_massas[cartao_fisico_numero],"--",0,1)</f>
        <v/>
      </c>
      <c r="F708" t="str">
        <f>_xlfn.XLOOKUP(TBL_USUARIOS[[#This Row],[ID_MASSA]],tbl_de_massas[id_massa],tbl_de_massas[nome_completo],"--",0,1)</f>
        <v>Marcos Barbosa</v>
      </c>
      <c r="G708" s="47">
        <f>_xlfn.XLOOKUP(TBL_USUARIOS[[#This Row],[ID_MASSA]],tbl_de_massas[id_massa],tbl_de_massas[saldo_conta],"--",0,1)</f>
        <v>8309.01</v>
      </c>
      <c r="H708" t="str">
        <f>_xlfn.XLOOKUP(TBL_USUARIOS[[#This Row],[ID_MASSA]],tbl_de_massas[id_massa],tbl_de_massas[nome_completo],"--",0,1)</f>
        <v>Marcos Barbosa</v>
      </c>
    </row>
    <row r="709" spans="1:8" x14ac:dyDescent="0.25">
      <c r="A709" s="2" t="s">
        <v>2948</v>
      </c>
      <c r="B709" t="str">
        <f>_xlfn.XLOOKUP(TBL_USUARIOS[[#This Row],[ID_MASSA]],tbl_de_massas[id_massa],tbl_de_massas[cpf],"--",0,1)</f>
        <v>45007607096</v>
      </c>
      <c r="C709" t="s">
        <v>12</v>
      </c>
      <c r="D709" t="str">
        <f>_xlfn.XLOOKUP(TBL_USUARIOS[[#This Row],[ID_MASSA]],tbl_de_massas[id_massa],tbl_de_massas[nome_completo],"--",0,1)</f>
        <v>Fabio Barros Nascimento</v>
      </c>
      <c r="E709" t="str">
        <f>_xlfn.XLOOKUP(TBL_USUARIOS[[#This Row],[ID_MASSA]],tbl_de_massas[id_massa],tbl_de_massas[cartao_fisico_numero],"--",0,1)</f>
        <v>6062 8200 7024 3591</v>
      </c>
      <c r="F709" t="str">
        <f>_xlfn.XLOOKUP(TBL_USUARIOS[[#This Row],[ID_MASSA]],tbl_de_massas[id_massa],tbl_de_massas[nome_completo],"--",0,1)</f>
        <v>Fabio Barros Nascimento</v>
      </c>
      <c r="G709" s="47">
        <f>_xlfn.XLOOKUP(TBL_USUARIOS[[#This Row],[ID_MASSA]],tbl_de_massas[id_massa],tbl_de_massas[saldo_conta],"--",0,1)</f>
        <v>8325.4500000000007</v>
      </c>
      <c r="H709" t="str">
        <f>_xlfn.XLOOKUP(TBL_USUARIOS[[#This Row],[ID_MASSA]],tbl_de_massas[id_massa],tbl_de_massas[nome_completo],"--",0,1)</f>
        <v>Fabio Barros Nascimento</v>
      </c>
    </row>
    <row r="710" spans="1:8" x14ac:dyDescent="0.25">
      <c r="A710" s="2" t="s">
        <v>2902</v>
      </c>
      <c r="B710" t="str">
        <f>_xlfn.XLOOKUP(TBL_USUARIOS[[#This Row],[ID_MASSA]],tbl_de_massas[id_massa],tbl_de_massas[cpf],"--",0,1)</f>
        <v>42482493595</v>
      </c>
      <c r="C710" t="s">
        <v>12</v>
      </c>
      <c r="D710" t="str">
        <f>_xlfn.XLOOKUP(TBL_USUARIOS[[#This Row],[ID_MASSA]],tbl_de_massas[id_massa],tbl_de_massas[nome_completo],"--",0,1)</f>
        <v>Camila Cavalcanti</v>
      </c>
      <c r="E710" t="str">
        <f>_xlfn.XLOOKUP(TBL_USUARIOS[[#This Row],[ID_MASSA]],tbl_de_massas[id_massa],tbl_de_massas[cartao_fisico_numero],"--",0,1)</f>
        <v/>
      </c>
      <c r="F710" t="str">
        <f>_xlfn.XLOOKUP(TBL_USUARIOS[[#This Row],[ID_MASSA]],tbl_de_massas[id_massa],tbl_de_massas[nome_completo],"--",0,1)</f>
        <v>Camila Cavalcanti</v>
      </c>
      <c r="G710" s="47">
        <f>_xlfn.XLOOKUP(TBL_USUARIOS[[#This Row],[ID_MASSA]],tbl_de_massas[id_massa],tbl_de_massas[saldo_conta],"--",0,1)</f>
        <v>8327.7900000000009</v>
      </c>
      <c r="H710" t="str">
        <f>_xlfn.XLOOKUP(TBL_USUARIOS[[#This Row],[ID_MASSA]],tbl_de_massas[id_massa],tbl_de_massas[nome_completo],"--",0,1)</f>
        <v>Camila Cavalcanti</v>
      </c>
    </row>
    <row r="711" spans="1:8" x14ac:dyDescent="0.25">
      <c r="A711" s="2" t="s">
        <v>5468</v>
      </c>
      <c r="B711" t="str">
        <f>_xlfn.XLOOKUP(TBL_USUARIOS[[#This Row],[ID_MASSA]],tbl_de_massas[id_massa],tbl_de_massas[cpf],"--",0,1)</f>
        <v>51507172079</v>
      </c>
      <c r="C711" t="s">
        <v>12</v>
      </c>
      <c r="D711" t="str">
        <f>_xlfn.XLOOKUP(TBL_USUARIOS[[#This Row],[ID_MASSA]],tbl_de_massas[id_massa],tbl_de_massas[nome_completo],"--",0,1)</f>
        <v>Danilo Martins Moura</v>
      </c>
      <c r="E711" t="str">
        <f>_xlfn.XLOOKUP(TBL_USUARIOS[[#This Row],[ID_MASSA]],tbl_de_massas[id_massa],tbl_de_massas[cartao_fisico_numero],"--",0,1)</f>
        <v>6505 0666 6850 3097</v>
      </c>
      <c r="F711" t="str">
        <f>_xlfn.XLOOKUP(TBL_USUARIOS[[#This Row],[ID_MASSA]],tbl_de_massas[id_massa],tbl_de_massas[nome_completo],"--",0,1)</f>
        <v>Danilo Martins Moura</v>
      </c>
      <c r="G711" s="47">
        <f>_xlfn.XLOOKUP(TBL_USUARIOS[[#This Row],[ID_MASSA]],tbl_de_massas[id_massa],tbl_de_massas[saldo_conta],"--",0,1)</f>
        <v>8354.33</v>
      </c>
      <c r="H711" t="str">
        <f>_xlfn.XLOOKUP(TBL_USUARIOS[[#This Row],[ID_MASSA]],tbl_de_massas[id_massa],tbl_de_massas[nome_completo],"--",0,1)</f>
        <v>Danilo Martins Moura</v>
      </c>
    </row>
    <row r="712" spans="1:8" x14ac:dyDescent="0.25">
      <c r="A712" s="2" t="s">
        <v>5613</v>
      </c>
      <c r="B712" t="str">
        <f>_xlfn.XLOOKUP(TBL_USUARIOS[[#This Row],[ID_MASSA]],tbl_de_massas[id_massa],tbl_de_massas[cpf],"--",0,1)</f>
        <v>15607750841</v>
      </c>
      <c r="C712" t="s">
        <v>12</v>
      </c>
      <c r="D712" t="str">
        <f>_xlfn.XLOOKUP(TBL_USUARIOS[[#This Row],[ID_MASSA]],tbl_de_massas[id_massa],tbl_de_massas[nome_completo],"--",0,1)</f>
        <v>Marcelo Pereira</v>
      </c>
      <c r="E712" t="str">
        <f>_xlfn.XLOOKUP(TBL_USUARIOS[[#This Row],[ID_MASSA]],tbl_de_massas[id_massa],tbl_de_massas[cartao_fisico_numero],"--",0,1)</f>
        <v/>
      </c>
      <c r="F712" t="str">
        <f>_xlfn.XLOOKUP(TBL_USUARIOS[[#This Row],[ID_MASSA]],tbl_de_massas[id_massa],tbl_de_massas[nome_completo],"--",0,1)</f>
        <v>Marcelo Pereira</v>
      </c>
      <c r="G712" s="47">
        <f>_xlfn.XLOOKUP(TBL_USUARIOS[[#This Row],[ID_MASSA]],tbl_de_massas[id_massa],tbl_de_massas[saldo_conta],"--",0,1)</f>
        <v>1550.17</v>
      </c>
      <c r="H712" t="str">
        <f>_xlfn.XLOOKUP(TBL_USUARIOS[[#This Row],[ID_MASSA]],tbl_de_massas[id_massa],tbl_de_massas[nome_completo],"--",0,1)</f>
        <v>Marcelo Pereira</v>
      </c>
    </row>
    <row r="713" spans="1:8" x14ac:dyDescent="0.25">
      <c r="A713" s="2" t="s">
        <v>6392</v>
      </c>
      <c r="B713" t="str">
        <f>_xlfn.XLOOKUP(TBL_USUARIOS[[#This Row],[ID_MASSA]],tbl_de_massas[id_massa],tbl_de_massas[cpf],"--",0,1)</f>
        <v>15911152720</v>
      </c>
      <c r="C713" t="s">
        <v>12</v>
      </c>
      <c r="D713" t="str">
        <f>_xlfn.XLOOKUP(TBL_USUARIOS[[#This Row],[ID_MASSA]],tbl_de_massas[id_massa],tbl_de_massas[nome_completo],"--",0,1)</f>
        <v>Xiu Ying Xu</v>
      </c>
      <c r="E713" t="str">
        <f>_xlfn.XLOOKUP(TBL_USUARIOS[[#This Row],[ID_MASSA]],tbl_de_massas[id_massa],tbl_de_massas[cartao_fisico_numero],"--",0,1)</f>
        <v/>
      </c>
      <c r="F713" t="str">
        <f>_xlfn.XLOOKUP(TBL_USUARIOS[[#This Row],[ID_MASSA]],tbl_de_massas[id_massa],tbl_de_massas[nome_completo],"--",0,1)</f>
        <v>Xiu Ying Xu</v>
      </c>
      <c r="G713" s="47">
        <f>_xlfn.XLOOKUP(TBL_USUARIOS[[#This Row],[ID_MASSA]],tbl_de_massas[id_massa],tbl_de_massas[saldo_conta],"--",0,1)</f>
        <v>8394.19</v>
      </c>
      <c r="H713" t="str">
        <f>_xlfn.XLOOKUP(TBL_USUARIOS[[#This Row],[ID_MASSA]],tbl_de_massas[id_massa],tbl_de_massas[nome_completo],"--",0,1)</f>
        <v>Xiu Ying Xu</v>
      </c>
    </row>
    <row r="714" spans="1:8" x14ac:dyDescent="0.25">
      <c r="A714" s="2" t="s">
        <v>6276</v>
      </c>
      <c r="B714" t="str">
        <f>_xlfn.XLOOKUP(TBL_USUARIOS[[#This Row],[ID_MASSA]],tbl_de_massas[id_massa],tbl_de_massas[cpf],"--",0,1)</f>
        <v>32369958901</v>
      </c>
      <c r="C714" t="s">
        <v>12</v>
      </c>
      <c r="D714" t="str">
        <f>_xlfn.XLOOKUP(TBL_USUARIOS[[#This Row],[ID_MASSA]],tbl_de_massas[id_massa],tbl_de_massas[nome_completo],"--",0,1)</f>
        <v>Benjamin Johnson</v>
      </c>
      <c r="E714" t="str">
        <f>_xlfn.XLOOKUP(TBL_USUARIOS[[#This Row],[ID_MASSA]],tbl_de_massas[id_massa],tbl_de_massas[cartao_fisico_numero],"--",0,1)</f>
        <v>3782 284046 8990</v>
      </c>
      <c r="F714" t="str">
        <f>_xlfn.XLOOKUP(TBL_USUARIOS[[#This Row],[ID_MASSA]],tbl_de_massas[id_massa],tbl_de_massas[nome_completo],"--",0,1)</f>
        <v>Benjamin Johnson</v>
      </c>
      <c r="G714" s="47">
        <f>_xlfn.XLOOKUP(TBL_USUARIOS[[#This Row],[ID_MASSA]],tbl_de_massas[id_massa],tbl_de_massas[saldo_conta],"--",0,1)</f>
        <v>8428.26</v>
      </c>
      <c r="H714" t="str">
        <f>_xlfn.XLOOKUP(TBL_USUARIOS[[#This Row],[ID_MASSA]],tbl_de_massas[id_massa],tbl_de_massas[nome_completo],"--",0,1)</f>
        <v>Benjamin Johnson</v>
      </c>
    </row>
    <row r="715" spans="1:8" x14ac:dyDescent="0.25">
      <c r="A715" s="2" t="s">
        <v>2149</v>
      </c>
      <c r="B715" s="14" t="str">
        <f>_xlfn.XLOOKUP(TBL_USUARIOS[[#This Row],[ID_MASSA]],tbl_de_massas[id_massa],tbl_de_massas[cpf],"--",0,1)</f>
        <v>36072364535</v>
      </c>
      <c r="C715" t="s">
        <v>12</v>
      </c>
      <c r="D715" t="str">
        <f>_xlfn.XLOOKUP(TBL_USUARIOS[[#This Row],[ID_MASSA]],tbl_de_massas[id_massa],tbl_de_massas[nome_completo],"--",0,1)</f>
        <v>Alessandro Ferrari</v>
      </c>
      <c r="E715" t="str">
        <f>_xlfn.XLOOKUP(TBL_USUARIOS[[#This Row],[ID_MASSA]],tbl_de_massas[id_massa],tbl_de_massas[cartao_fisico_numero],"--",0,1)</f>
        <v>5442 7460 2038 8294</v>
      </c>
      <c r="F715" t="str">
        <f>_xlfn.XLOOKUP(TBL_USUARIOS[[#This Row],[ID_MASSA]],tbl_de_massas[id_massa],tbl_de_massas[nome_completo],"--",0,1)</f>
        <v>Alessandro Ferrari</v>
      </c>
      <c r="G715" s="47">
        <f>_xlfn.XLOOKUP(TBL_USUARIOS[[#This Row],[ID_MASSA]],tbl_de_massas[id_massa],tbl_de_massas[saldo_conta],"--",0,1)</f>
        <v>8029.59</v>
      </c>
      <c r="H715" t="str">
        <f>_xlfn.XLOOKUP(TBL_USUARIOS[[#This Row],[ID_MASSA]],tbl_de_massas[id_massa],tbl_de_massas[nome_completo],"--",0,1)</f>
        <v>Alessandro Ferrari</v>
      </c>
    </row>
    <row r="716" spans="1:8" x14ac:dyDescent="0.25">
      <c r="A716" s="2" t="s">
        <v>5054</v>
      </c>
      <c r="B716" t="str">
        <f>_xlfn.XLOOKUP(TBL_USUARIOS[[#This Row],[ID_MASSA]],tbl_de_massas[id_massa],tbl_de_massas[cpf],"--",0,1)</f>
        <v>06895074538</v>
      </c>
      <c r="C716" t="s">
        <v>12</v>
      </c>
      <c r="D716" t="str">
        <f>_xlfn.XLOOKUP(TBL_USUARIOS[[#This Row],[ID_MASSA]],tbl_de_massas[id_massa],tbl_de_massas[nome_completo],"--",0,1)</f>
        <v>Bianca Teixeira</v>
      </c>
      <c r="E716" t="str">
        <f>_xlfn.XLOOKUP(TBL_USUARIOS[[#This Row],[ID_MASSA]],tbl_de_massas[id_massa],tbl_de_massas[cartao_fisico_numero],"--",0,1)</f>
        <v/>
      </c>
      <c r="F716" t="str">
        <f>_xlfn.XLOOKUP(TBL_USUARIOS[[#This Row],[ID_MASSA]],tbl_de_massas[id_massa],tbl_de_massas[nome_completo],"--",0,1)</f>
        <v>Bianca Teixeira</v>
      </c>
      <c r="G716" s="47">
        <f>_xlfn.XLOOKUP(TBL_USUARIOS[[#This Row],[ID_MASSA]],tbl_de_massas[id_massa],tbl_de_massas[saldo_conta],"--",0,1)</f>
        <v>8452.5499999999993</v>
      </c>
      <c r="H716" t="str">
        <f>_xlfn.XLOOKUP(TBL_USUARIOS[[#This Row],[ID_MASSA]],tbl_de_massas[id_massa],tbl_de_massas[nome_completo],"--",0,1)</f>
        <v>Bianca Teixeira</v>
      </c>
    </row>
    <row r="717" spans="1:8" x14ac:dyDescent="0.25">
      <c r="A717" s="2" t="s">
        <v>6077</v>
      </c>
      <c r="B717" t="str">
        <f>_xlfn.XLOOKUP(TBL_USUARIOS[[#This Row],[ID_MASSA]],tbl_de_massas[id_massa],tbl_de_massas[cpf],"--",0,1)</f>
        <v>08989125804</v>
      </c>
      <c r="C717" t="s">
        <v>12</v>
      </c>
      <c r="D717" t="str">
        <f>_xlfn.XLOOKUP(TBL_USUARIOS[[#This Row],[ID_MASSA]],tbl_de_massas[id_massa],tbl_de_massas[nome_completo],"--",0,1)</f>
        <v>Marcos Rocha</v>
      </c>
      <c r="E717" t="str">
        <f>_xlfn.XLOOKUP(TBL_USUARIOS[[#This Row],[ID_MASSA]],tbl_de_massas[id_massa],tbl_de_massas[cartao_fisico_numero],"--",0,1)</f>
        <v>6062 8200 9395 1376</v>
      </c>
      <c r="F717" t="str">
        <f>_xlfn.XLOOKUP(TBL_USUARIOS[[#This Row],[ID_MASSA]],tbl_de_massas[id_massa],tbl_de_massas[nome_completo],"--",0,1)</f>
        <v>Marcos Rocha</v>
      </c>
      <c r="G717" s="47">
        <f>_xlfn.XLOOKUP(TBL_USUARIOS[[#This Row],[ID_MASSA]],tbl_de_massas[id_massa],tbl_de_massas[saldo_conta],"--",0,1)</f>
        <v>8458.19</v>
      </c>
      <c r="H717" t="str">
        <f>_xlfn.XLOOKUP(TBL_USUARIOS[[#This Row],[ID_MASSA]],tbl_de_massas[id_massa],tbl_de_massas[nome_completo],"--",0,1)</f>
        <v>Marcos Rocha</v>
      </c>
    </row>
    <row r="718" spans="1:8" x14ac:dyDescent="0.25">
      <c r="A718" s="2" t="s">
        <v>4686</v>
      </c>
      <c r="B718" t="str">
        <f>_xlfn.XLOOKUP(TBL_USUARIOS[[#This Row],[ID_MASSA]],tbl_de_massas[id_massa],tbl_de_massas[cpf],"--",0,1)</f>
        <v>24570659500</v>
      </c>
      <c r="C718" t="s">
        <v>12</v>
      </c>
      <c r="D718" t="str">
        <f>_xlfn.XLOOKUP(TBL_USUARIOS[[#This Row],[ID_MASSA]],tbl_de_massas[id_massa],tbl_de_massas[nome_completo],"--",0,1)</f>
        <v>Leonardo Mendes Souza</v>
      </c>
      <c r="E718" t="str">
        <f>_xlfn.XLOOKUP(TBL_USUARIOS[[#This Row],[ID_MASSA]],tbl_de_massas[id_massa],tbl_de_massas[cartao_fisico_numero],"--",0,1)</f>
        <v>3782 914874 8108</v>
      </c>
      <c r="F718" t="str">
        <f>_xlfn.XLOOKUP(TBL_USUARIOS[[#This Row],[ID_MASSA]],tbl_de_massas[id_massa],tbl_de_massas[nome_completo],"--",0,1)</f>
        <v>Leonardo Mendes Souza</v>
      </c>
      <c r="G718" s="47">
        <f>_xlfn.XLOOKUP(TBL_USUARIOS[[#This Row],[ID_MASSA]],tbl_de_massas[id_massa],tbl_de_massas[saldo_conta],"--",0,1)</f>
        <v>8473.8799999999992</v>
      </c>
      <c r="H718" t="str">
        <f>_xlfn.XLOOKUP(TBL_USUARIOS[[#This Row],[ID_MASSA]],tbl_de_massas[id_massa],tbl_de_massas[nome_completo],"--",0,1)</f>
        <v>Leonardo Mendes Souza</v>
      </c>
    </row>
    <row r="719" spans="1:8" x14ac:dyDescent="0.25">
      <c r="A719" s="2" t="s">
        <v>5910</v>
      </c>
      <c r="B719" t="str">
        <f>_xlfn.XLOOKUP(TBL_USUARIOS[[#This Row],[ID_MASSA]],tbl_de_massas[id_massa],tbl_de_massas[cpf],"--",0,1)</f>
        <v>96473064400</v>
      </c>
      <c r="C719" t="s">
        <v>12</v>
      </c>
      <c r="D719" t="str">
        <f>_xlfn.XLOOKUP(TBL_USUARIOS[[#This Row],[ID_MASSA]],tbl_de_massas[id_massa],tbl_de_massas[nome_completo],"--",0,1)</f>
        <v>Diego Fernandes Moura</v>
      </c>
      <c r="E719" t="str">
        <f>_xlfn.XLOOKUP(TBL_USUARIOS[[#This Row],[ID_MASSA]],tbl_de_massas[id_massa],tbl_de_massas[cartao_fisico_numero],"--",0,1)</f>
        <v>5442 7460 9285 2097</v>
      </c>
      <c r="F719" t="str">
        <f>_xlfn.XLOOKUP(TBL_USUARIOS[[#This Row],[ID_MASSA]],tbl_de_massas[id_massa],tbl_de_massas[nome_completo],"--",0,1)</f>
        <v>Diego Fernandes Moura</v>
      </c>
      <c r="G719" s="47">
        <f>_xlfn.XLOOKUP(TBL_USUARIOS[[#This Row],[ID_MASSA]],tbl_de_massas[id_massa],tbl_de_massas[saldo_conta],"--",0,1)</f>
        <v>8479.35</v>
      </c>
      <c r="H719" t="str">
        <f>_xlfn.XLOOKUP(TBL_USUARIOS[[#This Row],[ID_MASSA]],tbl_de_massas[id_massa],tbl_de_massas[nome_completo],"--",0,1)</f>
        <v>Diego Fernandes Moura</v>
      </c>
    </row>
    <row r="720" spans="1:8" x14ac:dyDescent="0.25">
      <c r="A720" s="2" t="s">
        <v>2173</v>
      </c>
      <c r="B720" s="14" t="str">
        <f>_xlfn.XLOOKUP(TBL_USUARIOS[[#This Row],[ID_MASSA]],tbl_de_massas[id_massa],tbl_de_massas[cpf],"--",0,1)</f>
        <v>87111008855</v>
      </c>
      <c r="C720" t="s">
        <v>12</v>
      </c>
      <c r="D720" t="str">
        <f>_xlfn.XLOOKUP(TBL_USUARIOS[[#This Row],[ID_MASSA]],tbl_de_massas[id_massa],tbl_de_massas[nome_completo],"--",0,1)</f>
        <v>Lei Chen</v>
      </c>
      <c r="E720" t="str">
        <f>_xlfn.XLOOKUP(TBL_USUARIOS[[#This Row],[ID_MASSA]],tbl_de_massas[id_massa],tbl_de_massas[cartao_fisico_numero],"--",0,1)</f>
        <v>5442 7460 9738 1287</v>
      </c>
      <c r="F720" t="str">
        <f>_xlfn.XLOOKUP(TBL_USUARIOS[[#This Row],[ID_MASSA]],tbl_de_massas[id_massa],tbl_de_massas[nome_completo],"--",0,1)</f>
        <v>Lei Chen</v>
      </c>
      <c r="G720" s="47">
        <f>_xlfn.XLOOKUP(TBL_USUARIOS[[#This Row],[ID_MASSA]],tbl_de_massas[id_massa],tbl_de_massas[saldo_conta],"--",0,1)</f>
        <v>8503.75</v>
      </c>
      <c r="H720" t="str">
        <f>_xlfn.XLOOKUP(TBL_USUARIOS[[#This Row],[ID_MASSA]],tbl_de_massas[id_massa],tbl_de_massas[nome_completo],"--",0,1)</f>
        <v>Lei Chen</v>
      </c>
    </row>
    <row r="721" spans="1:8" x14ac:dyDescent="0.25">
      <c r="A721" s="2" t="s">
        <v>2333</v>
      </c>
      <c r="B721" s="14" t="str">
        <f>_xlfn.XLOOKUP(TBL_USUARIOS[[#This Row],[ID_MASSA]],tbl_de_massas[id_massa],tbl_de_massas[cpf],"--",0,1)</f>
        <v>11879646706</v>
      </c>
      <c r="C721" t="s">
        <v>12</v>
      </c>
      <c r="D721" t="str">
        <f>_xlfn.XLOOKUP(TBL_USUARIOS[[#This Row],[ID_MASSA]],tbl_de_massas[id_massa],tbl_de_massas[nome_completo],"--",0,1)</f>
        <v>Santiago Gomez</v>
      </c>
      <c r="E721" t="str">
        <f>_xlfn.XLOOKUP(TBL_USUARIOS[[#This Row],[ID_MASSA]],tbl_de_massas[id_massa],tbl_de_massas[cartao_fisico_numero],"--",0,1)</f>
        <v>6505 0666 7565 3509</v>
      </c>
      <c r="F721" t="str">
        <f>_xlfn.XLOOKUP(TBL_USUARIOS[[#This Row],[ID_MASSA]],tbl_de_massas[id_massa],tbl_de_massas[nome_completo],"--",0,1)</f>
        <v>Santiago Gomez</v>
      </c>
      <c r="G721" s="47">
        <f>_xlfn.XLOOKUP(TBL_USUARIOS[[#This Row],[ID_MASSA]],tbl_de_massas[id_massa],tbl_de_massas[saldo_conta],"--",0,1)</f>
        <v>8524.61</v>
      </c>
      <c r="H721" t="str">
        <f>_xlfn.XLOOKUP(TBL_USUARIOS[[#This Row],[ID_MASSA]],tbl_de_massas[id_massa],tbl_de_massas[nome_completo],"--",0,1)</f>
        <v>Santiago Gomez</v>
      </c>
    </row>
    <row r="722" spans="1:8" x14ac:dyDescent="0.25">
      <c r="A722" s="2" t="s">
        <v>5187</v>
      </c>
      <c r="B722" t="str">
        <f>_xlfn.XLOOKUP(TBL_USUARIOS[[#This Row],[ID_MASSA]],tbl_de_massas[id_massa],tbl_de_massas[cpf],"--",0,1)</f>
        <v>25160491961</v>
      </c>
      <c r="C722" t="s">
        <v>12</v>
      </c>
      <c r="D722" t="str">
        <f>_xlfn.XLOOKUP(TBL_USUARIOS[[#This Row],[ID_MASSA]],tbl_de_massas[id_massa],tbl_de_massas[nome_completo],"--",0,1)</f>
        <v>Renato Lima</v>
      </c>
      <c r="E722" t="str">
        <f>_xlfn.XLOOKUP(TBL_USUARIOS[[#This Row],[ID_MASSA]],tbl_de_massas[id_massa],tbl_de_massas[cartao_fisico_numero],"--",0,1)</f>
        <v>3782 904254 8280</v>
      </c>
      <c r="F722" t="str">
        <f>_xlfn.XLOOKUP(TBL_USUARIOS[[#This Row],[ID_MASSA]],tbl_de_massas[id_massa],tbl_de_massas[nome_completo],"--",0,1)</f>
        <v>Renato Lima</v>
      </c>
      <c r="G722" s="47">
        <f>_xlfn.XLOOKUP(TBL_USUARIOS[[#This Row],[ID_MASSA]],tbl_de_massas[id_massa],tbl_de_massas[saldo_conta],"--",0,1)</f>
        <v>8533.2099999999991</v>
      </c>
      <c r="H722" t="str">
        <f>_xlfn.XLOOKUP(TBL_USUARIOS[[#This Row],[ID_MASSA]],tbl_de_massas[id_massa],tbl_de_massas[nome_completo],"--",0,1)</f>
        <v>Renato Lima</v>
      </c>
    </row>
    <row r="723" spans="1:8" x14ac:dyDescent="0.25">
      <c r="A723" s="2" t="s">
        <v>3002</v>
      </c>
      <c r="B723" t="str">
        <f>_xlfn.XLOOKUP(TBL_USUARIOS[[#This Row],[ID_MASSA]],tbl_de_massas[id_massa],tbl_de_massas[cpf],"--",0,1)</f>
        <v>53697575856</v>
      </c>
      <c r="C723" t="s">
        <v>12</v>
      </c>
      <c r="D723" t="str">
        <f>_xlfn.XLOOKUP(TBL_USUARIOS[[#This Row],[ID_MASSA]],tbl_de_massas[id_massa],tbl_de_massas[nome_completo],"--",0,1)</f>
        <v>Aline Moreira</v>
      </c>
      <c r="E723" t="str">
        <f>_xlfn.XLOOKUP(TBL_USUARIOS[[#This Row],[ID_MASSA]],tbl_de_massas[id_massa],tbl_de_massas[cartao_fisico_numero],"--",0,1)</f>
        <v>4576 7460 4677 2400</v>
      </c>
      <c r="F723" t="str">
        <f>_xlfn.XLOOKUP(TBL_USUARIOS[[#This Row],[ID_MASSA]],tbl_de_massas[id_massa],tbl_de_massas[nome_completo],"--",0,1)</f>
        <v>Aline Moreira</v>
      </c>
      <c r="G723" s="47">
        <f>_xlfn.XLOOKUP(TBL_USUARIOS[[#This Row],[ID_MASSA]],tbl_de_massas[id_massa],tbl_de_massas[saldo_conta],"--",0,1)</f>
        <v>8535</v>
      </c>
      <c r="H723" t="str">
        <f>_xlfn.XLOOKUP(TBL_USUARIOS[[#This Row],[ID_MASSA]],tbl_de_massas[id_massa],tbl_de_massas[nome_completo],"--",0,1)</f>
        <v>Aline Moreira</v>
      </c>
    </row>
    <row r="724" spans="1:8" x14ac:dyDescent="0.25">
      <c r="A724" s="2" t="s">
        <v>2466</v>
      </c>
      <c r="B724" s="14" t="str">
        <f>_xlfn.XLOOKUP(TBL_USUARIOS[[#This Row],[ID_MASSA]],tbl_de_massas[id_massa],tbl_de_massas[cpf],"--",0,1)</f>
        <v>20488598605</v>
      </c>
      <c r="C724" t="s">
        <v>12</v>
      </c>
      <c r="D724" t="str">
        <f>_xlfn.XLOOKUP(TBL_USUARIOS[[#This Row],[ID_MASSA]],tbl_de_massas[id_massa],tbl_de_massas[nome_completo],"--",0,1)</f>
        <v>Camila Beatriz Santos</v>
      </c>
      <c r="E724" t="str">
        <f>_xlfn.XLOOKUP(TBL_USUARIOS[[#This Row],[ID_MASSA]],tbl_de_massas[id_massa],tbl_de_massas[cartao_fisico_numero],"--",0,1)</f>
        <v>3782 427800 0927</v>
      </c>
      <c r="F724" t="str">
        <f>_xlfn.XLOOKUP(TBL_USUARIOS[[#This Row],[ID_MASSA]],tbl_de_massas[id_massa],tbl_de_massas[nome_completo],"--",0,1)</f>
        <v>Camila Beatriz Santos</v>
      </c>
      <c r="G724" s="47">
        <f>_xlfn.XLOOKUP(TBL_USUARIOS[[#This Row],[ID_MASSA]],tbl_de_massas[id_massa],tbl_de_massas[saldo_conta],"--",0,1)</f>
        <v>5669.41</v>
      </c>
      <c r="H724" t="str">
        <f>_xlfn.XLOOKUP(TBL_USUARIOS[[#This Row],[ID_MASSA]],tbl_de_massas[id_massa],tbl_de_massas[nome_completo],"--",0,1)</f>
        <v>Camila Beatriz Santos</v>
      </c>
    </row>
    <row r="725" spans="1:8" x14ac:dyDescent="0.25">
      <c r="A725" s="2" t="s">
        <v>4095</v>
      </c>
      <c r="B725" t="str">
        <f>_xlfn.XLOOKUP(TBL_USUARIOS[[#This Row],[ID_MASSA]],tbl_de_massas[id_massa],tbl_de_massas[cpf],"--",0,1)</f>
        <v>33445872775</v>
      </c>
      <c r="C725" t="s">
        <v>12</v>
      </c>
      <c r="D725" t="str">
        <f>_xlfn.XLOOKUP(TBL_USUARIOS[[#This Row],[ID_MASSA]],tbl_de_massas[id_massa],tbl_de_massas[nome_completo],"--",0,1)</f>
        <v>Felipe Cavalcanti Pinto</v>
      </c>
      <c r="E725" t="str">
        <f>_xlfn.XLOOKUP(TBL_USUARIOS[[#This Row],[ID_MASSA]],tbl_de_massas[id_massa],tbl_de_massas[cartao_fisico_numero],"--",0,1)</f>
        <v>6062 8200 6029 0516</v>
      </c>
      <c r="F725" t="str">
        <f>_xlfn.XLOOKUP(TBL_USUARIOS[[#This Row],[ID_MASSA]],tbl_de_massas[id_massa],tbl_de_massas[nome_completo],"--",0,1)</f>
        <v>Felipe Cavalcanti Pinto</v>
      </c>
      <c r="G725" s="47">
        <f>_xlfn.XLOOKUP(TBL_USUARIOS[[#This Row],[ID_MASSA]],tbl_de_massas[id_massa],tbl_de_massas[saldo_conta],"--",0,1)</f>
        <v>8584.9699999999993</v>
      </c>
      <c r="H725" t="str">
        <f>_xlfn.XLOOKUP(TBL_USUARIOS[[#This Row],[ID_MASSA]],tbl_de_massas[id_massa],tbl_de_massas[nome_completo],"--",0,1)</f>
        <v>Felipe Cavalcanti Pinto</v>
      </c>
    </row>
    <row r="726" spans="1:8" x14ac:dyDescent="0.25">
      <c r="A726" s="2" t="s">
        <v>4939</v>
      </c>
      <c r="B726" t="str">
        <f>_xlfn.XLOOKUP(TBL_USUARIOS[[#This Row],[ID_MASSA]],tbl_de_massas[id_massa],tbl_de_massas[cpf],"--",0,1)</f>
        <v>99084383109</v>
      </c>
      <c r="C726" t="s">
        <v>12</v>
      </c>
      <c r="D726" t="str">
        <f>_xlfn.XLOOKUP(TBL_USUARIOS[[#This Row],[ID_MASSA]],tbl_de_massas[id_massa],tbl_de_massas[nome_completo],"--",0,1)</f>
        <v>Priscila Fernandes</v>
      </c>
      <c r="E726" t="str">
        <f>_xlfn.XLOOKUP(TBL_USUARIOS[[#This Row],[ID_MASSA]],tbl_de_massas[id_massa],tbl_de_massas[cartao_fisico_numero],"--",0,1)</f>
        <v/>
      </c>
      <c r="F726" t="str">
        <f>_xlfn.XLOOKUP(TBL_USUARIOS[[#This Row],[ID_MASSA]],tbl_de_massas[id_massa],tbl_de_massas[nome_completo],"--",0,1)</f>
        <v>Priscila Fernandes</v>
      </c>
      <c r="G726" s="47">
        <f>_xlfn.XLOOKUP(TBL_USUARIOS[[#This Row],[ID_MASSA]],tbl_de_massas[id_massa],tbl_de_massas[saldo_conta],"--",0,1)</f>
        <v>8615.42</v>
      </c>
      <c r="H726" t="str">
        <f>_xlfn.XLOOKUP(TBL_USUARIOS[[#This Row],[ID_MASSA]],tbl_de_massas[id_massa],tbl_de_massas[nome_completo],"--",0,1)</f>
        <v>Priscila Fernandes</v>
      </c>
    </row>
    <row r="727" spans="1:8" x14ac:dyDescent="0.25">
      <c r="A727" s="2" t="s">
        <v>4765</v>
      </c>
      <c r="B727" t="str">
        <f>_xlfn.XLOOKUP(TBL_USUARIOS[[#This Row],[ID_MASSA]],tbl_de_massas[id_massa],tbl_de_massas[cpf],"--",0,1)</f>
        <v>07650339769</v>
      </c>
      <c r="C727" t="s">
        <v>12</v>
      </c>
      <c r="D727" t="str">
        <f>_xlfn.XLOOKUP(TBL_USUARIOS[[#This Row],[ID_MASSA]],tbl_de_massas[id_massa],tbl_de_massas[nome_completo],"--",0,1)</f>
        <v>Priscila Alves Monteiro</v>
      </c>
      <c r="E727" t="str">
        <f>_xlfn.XLOOKUP(TBL_USUARIOS[[#This Row],[ID_MASSA]],tbl_de_massas[id_massa],tbl_de_massas[cartao_fisico_numero],"--",0,1)</f>
        <v>5442 7460 6373 8688</v>
      </c>
      <c r="F727" t="str">
        <f>_xlfn.XLOOKUP(TBL_USUARIOS[[#This Row],[ID_MASSA]],tbl_de_massas[id_massa],tbl_de_massas[nome_completo],"--",0,1)</f>
        <v>Priscila Alves Monteiro</v>
      </c>
      <c r="G727" s="47">
        <f>_xlfn.XLOOKUP(TBL_USUARIOS[[#This Row],[ID_MASSA]],tbl_de_massas[id_massa],tbl_de_massas[saldo_conta],"--",0,1)</f>
        <v>8636.0499999999993</v>
      </c>
      <c r="H727" t="str">
        <f>_xlfn.XLOOKUP(TBL_USUARIOS[[#This Row],[ID_MASSA]],tbl_de_massas[id_massa],tbl_de_massas[nome_completo],"--",0,1)</f>
        <v>Priscila Alves Monteiro</v>
      </c>
    </row>
    <row r="728" spans="1:8" x14ac:dyDescent="0.25">
      <c r="A728" s="2" t="s">
        <v>2802</v>
      </c>
      <c r="B728" t="str">
        <f>_xlfn.XLOOKUP(TBL_USUARIOS[[#This Row],[ID_MASSA]],tbl_de_massas[id_massa],tbl_de_massas[cpf],"--",0,1)</f>
        <v>48769755078</v>
      </c>
      <c r="C728" t="s">
        <v>12</v>
      </c>
      <c r="D728" t="str">
        <f>_xlfn.XLOOKUP(TBL_USUARIOS[[#This Row],[ID_MASSA]],tbl_de_massas[id_massa],tbl_de_massas[nome_completo],"--",0,1)</f>
        <v>Marcelo Cavalcanti Castro</v>
      </c>
      <c r="E728" t="str">
        <f>_xlfn.XLOOKUP(TBL_USUARIOS[[#This Row],[ID_MASSA]],tbl_de_massas[id_massa],tbl_de_massas[cartao_fisico_numero],"--",0,1)</f>
        <v>3782 223713 8226</v>
      </c>
      <c r="F728" t="str">
        <f>_xlfn.XLOOKUP(TBL_USUARIOS[[#This Row],[ID_MASSA]],tbl_de_massas[id_massa],tbl_de_massas[nome_completo],"--",0,1)</f>
        <v>Marcelo Cavalcanti Castro</v>
      </c>
      <c r="G728" s="47">
        <f>_xlfn.XLOOKUP(TBL_USUARIOS[[#This Row],[ID_MASSA]],tbl_de_massas[id_massa],tbl_de_massas[saldo_conta],"--",0,1)</f>
        <v>8647.08</v>
      </c>
      <c r="H728" t="str">
        <f>_xlfn.XLOOKUP(TBL_USUARIOS[[#This Row],[ID_MASSA]],tbl_de_massas[id_massa],tbl_de_massas[nome_completo],"--",0,1)</f>
        <v>Marcelo Cavalcanti Castro</v>
      </c>
    </row>
    <row r="729" spans="1:8" x14ac:dyDescent="0.25">
      <c r="A729" s="2" t="s">
        <v>6045</v>
      </c>
      <c r="B729" t="str">
        <f>_xlfn.XLOOKUP(TBL_USUARIOS[[#This Row],[ID_MASSA]],tbl_de_massas[id_massa],tbl_de_massas[cpf],"--",0,1)</f>
        <v>51077982410</v>
      </c>
      <c r="C729" t="s">
        <v>12</v>
      </c>
      <c r="D729" t="str">
        <f>_xlfn.XLOOKUP(TBL_USUARIOS[[#This Row],[ID_MASSA]],tbl_de_massas[id_massa],tbl_de_massas[nome_completo],"--",0,1)</f>
        <v>Gustavo Rocha Campos</v>
      </c>
      <c r="E729" t="str">
        <f>_xlfn.XLOOKUP(TBL_USUARIOS[[#This Row],[ID_MASSA]],tbl_de_massas[id_massa],tbl_de_massas[cartao_fisico_numero],"--",0,1)</f>
        <v>5442 7460 9186 9624</v>
      </c>
      <c r="F729" t="str">
        <f>_xlfn.XLOOKUP(TBL_USUARIOS[[#This Row],[ID_MASSA]],tbl_de_massas[id_massa],tbl_de_massas[nome_completo],"--",0,1)</f>
        <v>Gustavo Rocha Campos</v>
      </c>
      <c r="G729" s="47">
        <f>_xlfn.XLOOKUP(TBL_USUARIOS[[#This Row],[ID_MASSA]],tbl_de_massas[id_massa],tbl_de_massas[saldo_conta],"--",0,1)</f>
        <v>8647.86</v>
      </c>
      <c r="H729" t="str">
        <f>_xlfn.XLOOKUP(TBL_USUARIOS[[#This Row],[ID_MASSA]],tbl_de_massas[id_massa],tbl_de_massas[nome_completo],"--",0,1)</f>
        <v>Gustavo Rocha Campos</v>
      </c>
    </row>
    <row r="730" spans="1:8" x14ac:dyDescent="0.25">
      <c r="A730" s="2" t="s">
        <v>2322</v>
      </c>
      <c r="B730" s="14" t="str">
        <f>_xlfn.XLOOKUP(TBL_USUARIOS[[#This Row],[ID_MASSA]],tbl_de_massas[id_massa],tbl_de_massas[cpf],"--",0,1)</f>
        <v>19231521659</v>
      </c>
      <c r="C730" t="s">
        <v>12</v>
      </c>
      <c r="D730" t="str">
        <f>_xlfn.XLOOKUP(TBL_USUARIOS[[#This Row],[ID_MASSA]],tbl_de_massas[id_massa],tbl_de_massas[nome_completo],"--",0,1)</f>
        <v>Gabriel Vinicius Souza</v>
      </c>
      <c r="E730" t="str">
        <f>_xlfn.XLOOKUP(TBL_USUARIOS[[#This Row],[ID_MASSA]],tbl_de_massas[id_massa],tbl_de_massas[cartao_fisico_numero],"--",0,1)</f>
        <v>5067 1146 6189 842</v>
      </c>
      <c r="F730" t="str">
        <f>_xlfn.XLOOKUP(TBL_USUARIOS[[#This Row],[ID_MASSA]],tbl_de_massas[id_massa],tbl_de_massas[nome_completo],"--",0,1)</f>
        <v>Gabriel Vinicius Souza</v>
      </c>
      <c r="G730" s="47">
        <f>_xlfn.XLOOKUP(TBL_USUARIOS[[#This Row],[ID_MASSA]],tbl_de_massas[id_massa],tbl_de_massas[saldo_conta],"--",0,1)</f>
        <v>8658.89</v>
      </c>
      <c r="H730" t="str">
        <f>_xlfn.XLOOKUP(TBL_USUARIOS[[#This Row],[ID_MASSA]],tbl_de_massas[id_massa],tbl_de_massas[nome_completo],"--",0,1)</f>
        <v>Gabriel Vinicius Souza</v>
      </c>
    </row>
    <row r="731" spans="1:8" x14ac:dyDescent="0.25">
      <c r="A731" s="2" t="s">
        <v>6200</v>
      </c>
      <c r="B731" t="str">
        <f>_xlfn.XLOOKUP(TBL_USUARIOS[[#This Row],[ID_MASSA]],tbl_de_massas[id_massa],tbl_de_massas[cpf],"--",0,1)</f>
        <v>62394749164</v>
      </c>
      <c r="C731" t="s">
        <v>12</v>
      </c>
      <c r="D731" t="str">
        <f>_xlfn.XLOOKUP(TBL_USUARIOS[[#This Row],[ID_MASSA]],tbl_de_massas[id_massa],tbl_de_massas[nome_completo],"--",0,1)</f>
        <v>Emily Allen Martin</v>
      </c>
      <c r="E731" t="str">
        <f>_xlfn.XLOOKUP(TBL_USUARIOS[[#This Row],[ID_MASSA]],tbl_de_massas[id_massa],tbl_de_massas[cartao_fisico_numero],"--",0,1)</f>
        <v>3782 544353 8062</v>
      </c>
      <c r="F731" t="str">
        <f>_xlfn.XLOOKUP(TBL_USUARIOS[[#This Row],[ID_MASSA]],tbl_de_massas[id_massa],tbl_de_massas[nome_completo],"--",0,1)</f>
        <v>Emily Allen Martin</v>
      </c>
      <c r="G731" s="47">
        <f>_xlfn.XLOOKUP(TBL_USUARIOS[[#This Row],[ID_MASSA]],tbl_de_massas[id_massa],tbl_de_massas[saldo_conta],"--",0,1)</f>
        <v>8684.9500000000007</v>
      </c>
      <c r="H731" t="str">
        <f>_xlfn.XLOOKUP(TBL_USUARIOS[[#This Row],[ID_MASSA]],tbl_de_massas[id_massa],tbl_de_massas[nome_completo],"--",0,1)</f>
        <v>Emily Allen Martin</v>
      </c>
    </row>
    <row r="732" spans="1:8" x14ac:dyDescent="0.25">
      <c r="A732" s="2" t="s">
        <v>2157</v>
      </c>
      <c r="B732" s="14" t="str">
        <f>_xlfn.XLOOKUP(TBL_USUARIOS[[#This Row],[ID_MASSA]],tbl_de_massas[id_massa],tbl_de_massas[cpf],"--",0,1)</f>
        <v>49768246758</v>
      </c>
      <c r="C732" t="s">
        <v>12</v>
      </c>
      <c r="D732" t="str">
        <f>_xlfn.XLOOKUP(TBL_USUARIOS[[#This Row],[ID_MASSA]],tbl_de_massas[id_massa],tbl_de_massas[nome_completo],"--",0,1)</f>
        <v>Sophia Grace Brown</v>
      </c>
      <c r="E732" t="str">
        <f>_xlfn.XLOOKUP(TBL_USUARIOS[[#This Row],[ID_MASSA]],tbl_de_massas[id_massa],tbl_de_massas[cartao_fisico_numero],"--",0,1)</f>
        <v>6062 8200 6757 6160</v>
      </c>
      <c r="F732" t="str">
        <f>_xlfn.XLOOKUP(TBL_USUARIOS[[#This Row],[ID_MASSA]],tbl_de_massas[id_massa],tbl_de_massas[nome_completo],"--",0,1)</f>
        <v>Sophia Grace Brown</v>
      </c>
      <c r="G732" s="47">
        <f>_xlfn.XLOOKUP(TBL_USUARIOS[[#This Row],[ID_MASSA]],tbl_de_massas[id_massa],tbl_de_massas[saldo_conta],"--",0,1)</f>
        <v>8713.15</v>
      </c>
      <c r="H732" t="str">
        <f>_xlfn.XLOOKUP(TBL_USUARIOS[[#This Row],[ID_MASSA]],tbl_de_massas[id_massa],tbl_de_massas[nome_completo],"--",0,1)</f>
        <v>Sophia Grace Brown</v>
      </c>
    </row>
    <row r="733" spans="1:8" x14ac:dyDescent="0.25">
      <c r="A733" s="2" t="s">
        <v>2648</v>
      </c>
      <c r="B733" t="str">
        <f>_xlfn.XLOOKUP(TBL_USUARIOS[[#This Row],[ID_MASSA]],tbl_de_massas[id_massa],tbl_de_massas[cpf],"--",0,1)</f>
        <v>92628846721</v>
      </c>
      <c r="C733" t="s">
        <v>12</v>
      </c>
      <c r="D733" t="str">
        <f>_xlfn.XLOOKUP(TBL_USUARIOS[[#This Row],[ID_MASSA]],tbl_de_massas[id_massa],tbl_de_massas[nome_completo],"--",0,1)</f>
        <v>Jiwean Liu</v>
      </c>
      <c r="E733" t="str">
        <f>_xlfn.XLOOKUP(TBL_USUARIOS[[#This Row],[ID_MASSA]],tbl_de_massas[id_massa],tbl_de_massas[cartao_fisico_numero],"--",0,1)</f>
        <v>4576 7460 3044 4774</v>
      </c>
      <c r="F733" t="str">
        <f>_xlfn.XLOOKUP(TBL_USUARIOS[[#This Row],[ID_MASSA]],tbl_de_massas[id_massa],tbl_de_massas[nome_completo],"--",0,1)</f>
        <v>Jiwean Liu</v>
      </c>
      <c r="G733" s="47">
        <f>_xlfn.XLOOKUP(TBL_USUARIOS[[#This Row],[ID_MASSA]],tbl_de_massas[id_massa],tbl_de_massas[saldo_conta],"--",0,1)</f>
        <v>8761.52</v>
      </c>
      <c r="H733" t="str">
        <f>_xlfn.XLOOKUP(TBL_USUARIOS[[#This Row],[ID_MASSA]],tbl_de_massas[id_massa],tbl_de_massas[nome_completo],"--",0,1)</f>
        <v>Jiwean Liu</v>
      </c>
    </row>
    <row r="734" spans="1:8" x14ac:dyDescent="0.25">
      <c r="A734" s="2" t="s">
        <v>2701</v>
      </c>
      <c r="B734" t="str">
        <f>_xlfn.XLOOKUP(TBL_USUARIOS[[#This Row],[ID_MASSA]],tbl_de_massas[id_massa],tbl_de_massas[cpf],"--",0,1)</f>
        <v>15336627119</v>
      </c>
      <c r="C734" t="s">
        <v>12</v>
      </c>
      <c r="D734" t="str">
        <f>_xlfn.XLOOKUP(TBL_USUARIOS[[#This Row],[ID_MASSA]],tbl_de_massas[id_massa],tbl_de_massas[nome_completo],"--",0,1)</f>
        <v>Beatriz Ferreira</v>
      </c>
      <c r="E734" t="str">
        <f>_xlfn.XLOOKUP(TBL_USUARIOS[[#This Row],[ID_MASSA]],tbl_de_massas[id_massa],tbl_de_massas[cartao_fisico_numero],"--",0,1)</f>
        <v/>
      </c>
      <c r="F734" t="str">
        <f>_xlfn.XLOOKUP(TBL_USUARIOS[[#This Row],[ID_MASSA]],tbl_de_massas[id_massa],tbl_de_massas[nome_completo],"--",0,1)</f>
        <v>Beatriz Ferreira</v>
      </c>
      <c r="G734" s="47">
        <f>_xlfn.XLOOKUP(TBL_USUARIOS[[#This Row],[ID_MASSA]],tbl_de_massas[id_massa],tbl_de_massas[saldo_conta],"--",0,1)</f>
        <v>8765.3700000000008</v>
      </c>
      <c r="H734" t="str">
        <f>_xlfn.XLOOKUP(TBL_USUARIOS[[#This Row],[ID_MASSA]],tbl_de_massas[id_massa],tbl_de_massas[nome_completo],"--",0,1)</f>
        <v>Beatriz Ferreira</v>
      </c>
    </row>
    <row r="735" spans="1:8" x14ac:dyDescent="0.25">
      <c r="A735" s="2" t="s">
        <v>6630</v>
      </c>
      <c r="B735" t="str">
        <f>_xlfn.XLOOKUP(TBL_USUARIOS[[#This Row],[ID_MASSA]],tbl_de_massas[id_massa],tbl_de_massas[cpf],"--",0,1)</f>
        <v>15939490816</v>
      </c>
      <c r="C735" t="s">
        <v>12</v>
      </c>
      <c r="D735" t="str">
        <f>_xlfn.XLOOKUP(TBL_USUARIOS[[#This Row],[ID_MASSA]],tbl_de_massas[id_massa],tbl_de_massas[nome_completo],"--",0,1)</f>
        <v>Riku Kimura</v>
      </c>
      <c r="E735" t="str">
        <f>_xlfn.XLOOKUP(TBL_USUARIOS[[#This Row],[ID_MASSA]],tbl_de_massas[id_massa],tbl_de_massas[cartao_fisico_numero],"--",0,1)</f>
        <v>6505 0666 5345 8404</v>
      </c>
      <c r="F735" t="str">
        <f>_xlfn.XLOOKUP(TBL_USUARIOS[[#This Row],[ID_MASSA]],tbl_de_massas[id_massa],tbl_de_massas[nome_completo],"--",0,1)</f>
        <v>Riku Kimura</v>
      </c>
      <c r="G735" s="47">
        <f>_xlfn.XLOOKUP(TBL_USUARIOS[[#This Row],[ID_MASSA]],tbl_de_massas[id_massa],tbl_de_massas[saldo_conta],"--",0,1)</f>
        <v>8830.8799999999992</v>
      </c>
      <c r="H735" t="str">
        <f>_xlfn.XLOOKUP(TBL_USUARIOS[[#This Row],[ID_MASSA]],tbl_de_massas[id_massa],tbl_de_massas[nome_completo],"--",0,1)</f>
        <v>Riku Kimura</v>
      </c>
    </row>
    <row r="736" spans="1:8" x14ac:dyDescent="0.25">
      <c r="A736" s="2" t="s">
        <v>2833</v>
      </c>
      <c r="B736" t="str">
        <f>_xlfn.XLOOKUP(TBL_USUARIOS[[#This Row],[ID_MASSA]],tbl_de_massas[id_massa],tbl_de_massas[cpf],"--",0,1)</f>
        <v>10920133347</v>
      </c>
      <c r="C736" t="s">
        <v>12</v>
      </c>
      <c r="D736" t="str">
        <f>_xlfn.XLOOKUP(TBL_USUARIOS[[#This Row],[ID_MASSA]],tbl_de_massas[id_massa],tbl_de_massas[nome_completo],"--",0,1)</f>
        <v>Bianca Araujo</v>
      </c>
      <c r="E736" t="str">
        <f>_xlfn.XLOOKUP(TBL_USUARIOS[[#This Row],[ID_MASSA]],tbl_de_massas[id_massa],tbl_de_massas[cartao_fisico_numero],"--",0,1)</f>
        <v>6062 8200 4692 9847</v>
      </c>
      <c r="F736" t="str">
        <f>_xlfn.XLOOKUP(TBL_USUARIOS[[#This Row],[ID_MASSA]],tbl_de_massas[id_massa],tbl_de_massas[nome_completo],"--",0,1)</f>
        <v>Bianca Araujo</v>
      </c>
      <c r="G736" s="47">
        <f>_xlfn.XLOOKUP(TBL_USUARIOS[[#This Row],[ID_MASSA]],tbl_de_massas[id_massa],tbl_de_massas[saldo_conta],"--",0,1)</f>
        <v>8843.7000000000007</v>
      </c>
      <c r="H736" t="str">
        <f>_xlfn.XLOOKUP(TBL_USUARIOS[[#This Row],[ID_MASSA]],tbl_de_massas[id_massa],tbl_de_massas[nome_completo],"--",0,1)</f>
        <v>Bianca Araujo</v>
      </c>
    </row>
    <row r="737" spans="1:8" x14ac:dyDescent="0.25">
      <c r="A737" s="2" t="s">
        <v>2667</v>
      </c>
      <c r="B737" t="str">
        <f>_xlfn.XLOOKUP(TBL_USUARIOS[[#This Row],[ID_MASSA]],tbl_de_massas[id_massa],tbl_de_massas[cpf],"--",0,1)</f>
        <v>36573595750</v>
      </c>
      <c r="C737" t="s">
        <v>12</v>
      </c>
      <c r="D737" t="str">
        <f>_xlfn.XLOOKUP(TBL_USUARIOS[[#This Row],[ID_MASSA]],tbl_de_massas[id_massa],tbl_de_massas[nome_completo],"--",0,1)</f>
        <v>Mateo Fernandsez</v>
      </c>
      <c r="E737" t="str">
        <f>_xlfn.XLOOKUP(TBL_USUARIOS[[#This Row],[ID_MASSA]],tbl_de_massas[id_massa],tbl_de_massas[cartao_fisico_numero],"--",0,1)</f>
        <v>6062 8200 2541 9516</v>
      </c>
      <c r="F737" t="str">
        <f>_xlfn.XLOOKUP(TBL_USUARIOS[[#This Row],[ID_MASSA]],tbl_de_massas[id_massa],tbl_de_massas[nome_completo],"--",0,1)</f>
        <v>Mateo Fernandsez</v>
      </c>
      <c r="G737" s="47">
        <f>_xlfn.XLOOKUP(TBL_USUARIOS[[#This Row],[ID_MASSA]],tbl_de_massas[id_massa],tbl_de_massas[saldo_conta],"--",0,1)</f>
        <v>8848.3799999999992</v>
      </c>
      <c r="H737" t="str">
        <f>_xlfn.XLOOKUP(TBL_USUARIOS[[#This Row],[ID_MASSA]],tbl_de_massas[id_massa],tbl_de_massas[nome_completo],"--",0,1)</f>
        <v>Mateo Fernandsez</v>
      </c>
    </row>
    <row r="738" spans="1:8" x14ac:dyDescent="0.25">
      <c r="A738" s="2" t="s">
        <v>2141</v>
      </c>
      <c r="B738" s="14" t="str">
        <f>_xlfn.XLOOKUP(TBL_USUARIOS[[#This Row],[ID_MASSA]],tbl_de_massas[id_massa],tbl_de_massas[cpf],"--",0,1)</f>
        <v>77148062578</v>
      </c>
      <c r="C738" t="s">
        <v>12</v>
      </c>
      <c r="D738" t="str">
        <f>_xlfn.XLOOKUP(TBL_USUARIOS[[#This Row],[ID_MASSA]],tbl_de_massas[id_massa],tbl_de_massas[nome_completo],"--",0,1)</f>
        <v>Yuki Takahashi</v>
      </c>
      <c r="E738" t="str">
        <f>_xlfn.XLOOKUP(TBL_USUARIOS[[#This Row],[ID_MASSA]],tbl_de_massas[id_massa],tbl_de_massas[cartao_fisico_numero],"--",0,1)</f>
        <v>6062 8200 9857 5516</v>
      </c>
      <c r="F738" t="str">
        <f>_xlfn.XLOOKUP(TBL_USUARIOS[[#This Row],[ID_MASSA]],tbl_de_massas[id_massa],tbl_de_massas[nome_completo],"--",0,1)</f>
        <v>Yuki Takahashi</v>
      </c>
      <c r="G738" s="47">
        <f>_xlfn.XLOOKUP(TBL_USUARIOS[[#This Row],[ID_MASSA]],tbl_de_massas[id_massa],tbl_de_massas[saldo_conta],"--",0,1)</f>
        <v>8851.0499999999993</v>
      </c>
      <c r="H738" t="str">
        <f>_xlfn.XLOOKUP(TBL_USUARIOS[[#This Row],[ID_MASSA]],tbl_de_massas[id_massa],tbl_de_massas[nome_completo],"--",0,1)</f>
        <v>Yuki Takahashi</v>
      </c>
    </row>
    <row r="739" spans="1:8" x14ac:dyDescent="0.25">
      <c r="A739" s="2" t="s">
        <v>5206</v>
      </c>
      <c r="B739" t="str">
        <f>_xlfn.XLOOKUP(TBL_USUARIOS[[#This Row],[ID_MASSA]],tbl_de_massas[id_massa],tbl_de_massas[cpf],"--",0,1)</f>
        <v>38595174903</v>
      </c>
      <c r="C739" t="s">
        <v>12</v>
      </c>
      <c r="D739" t="str">
        <f>_xlfn.XLOOKUP(TBL_USUARIOS[[#This Row],[ID_MASSA]],tbl_de_massas[id_massa],tbl_de_massas[nome_completo],"--",0,1)</f>
        <v>Lucas Rocha Pereira</v>
      </c>
      <c r="E739" t="str">
        <f>_xlfn.XLOOKUP(TBL_USUARIOS[[#This Row],[ID_MASSA]],tbl_de_massas[id_massa],tbl_de_massas[cartao_fisico_numero],"--",0,1)</f>
        <v>6505 0666 9471 3147</v>
      </c>
      <c r="F739" t="str">
        <f>_xlfn.XLOOKUP(TBL_USUARIOS[[#This Row],[ID_MASSA]],tbl_de_massas[id_massa],tbl_de_massas[nome_completo],"--",0,1)</f>
        <v>Lucas Rocha Pereira</v>
      </c>
      <c r="G739" s="47">
        <f>_xlfn.XLOOKUP(TBL_USUARIOS[[#This Row],[ID_MASSA]],tbl_de_massas[id_massa],tbl_de_massas[saldo_conta],"--",0,1)</f>
        <v>8856.06</v>
      </c>
      <c r="H739" t="str">
        <f>_xlfn.XLOOKUP(TBL_USUARIOS[[#This Row],[ID_MASSA]],tbl_de_massas[id_massa],tbl_de_massas[nome_completo],"--",0,1)</f>
        <v>Lucas Rocha Pereira</v>
      </c>
    </row>
    <row r="740" spans="1:8" x14ac:dyDescent="0.25">
      <c r="A740" s="2" t="s">
        <v>2721</v>
      </c>
      <c r="B740" t="str">
        <f>_xlfn.XLOOKUP(TBL_USUARIOS[[#This Row],[ID_MASSA]],tbl_de_massas[id_massa],tbl_de_massas[cpf],"--",0,1)</f>
        <v>22642638146</v>
      </c>
      <c r="C740" t="s">
        <v>12</v>
      </c>
      <c r="D740" t="str">
        <f>_xlfn.XLOOKUP(TBL_USUARIOS[[#This Row],[ID_MASSA]],tbl_de_massas[id_massa],tbl_de_massas[nome_completo],"--",0,1)</f>
        <v>Haewon Jung</v>
      </c>
      <c r="E740" t="str">
        <f>_xlfn.XLOOKUP(TBL_USUARIOS[[#This Row],[ID_MASSA]],tbl_de_massas[id_massa],tbl_de_massas[cartao_fisico_numero],"--",0,1)</f>
        <v>3782 151017 6000</v>
      </c>
      <c r="F740" t="str">
        <f>_xlfn.XLOOKUP(TBL_USUARIOS[[#This Row],[ID_MASSA]],tbl_de_massas[id_massa],tbl_de_massas[nome_completo],"--",0,1)</f>
        <v>Haewon Jung</v>
      </c>
      <c r="G740" s="47">
        <f>_xlfn.XLOOKUP(TBL_USUARIOS[[#This Row],[ID_MASSA]],tbl_de_massas[id_massa],tbl_de_massas[saldo_conta],"--",0,1)</f>
        <v>8867.5499999999993</v>
      </c>
      <c r="H740" t="str">
        <f>_xlfn.XLOOKUP(TBL_USUARIOS[[#This Row],[ID_MASSA]],tbl_de_massas[id_massa],tbl_de_massas[nome_completo],"--",0,1)</f>
        <v>Haewon Jung</v>
      </c>
    </row>
    <row r="741" spans="1:8" x14ac:dyDescent="0.25">
      <c r="A741" s="2" t="s">
        <v>2861</v>
      </c>
      <c r="B741" t="str">
        <f>_xlfn.XLOOKUP(TBL_USUARIOS[[#This Row],[ID_MASSA]],tbl_de_massas[id_massa],tbl_de_massas[cpf],"--",0,1)</f>
        <v>26857146187</v>
      </c>
      <c r="C741" t="s">
        <v>12</v>
      </c>
      <c r="D741" t="str">
        <f>_xlfn.XLOOKUP(TBL_USUARIOS[[#This Row],[ID_MASSA]],tbl_de_massas[id_massa],tbl_de_massas[nome_completo],"--",0,1)</f>
        <v>Renato Almeida Araujo</v>
      </c>
      <c r="E741" t="str">
        <f>_xlfn.XLOOKUP(TBL_USUARIOS[[#This Row],[ID_MASSA]],tbl_de_massas[id_massa],tbl_de_massas[cartao_fisico_numero],"--",0,1)</f>
        <v/>
      </c>
      <c r="F741" t="str">
        <f>_xlfn.XLOOKUP(TBL_USUARIOS[[#This Row],[ID_MASSA]],tbl_de_massas[id_massa],tbl_de_massas[nome_completo],"--",0,1)</f>
        <v>Renato Almeida Araujo</v>
      </c>
      <c r="G741" s="47">
        <f>_xlfn.XLOOKUP(TBL_USUARIOS[[#This Row],[ID_MASSA]],tbl_de_massas[id_massa],tbl_de_massas[saldo_conta],"--",0,1)</f>
        <v>5568.73</v>
      </c>
      <c r="H741" t="str">
        <f>_xlfn.XLOOKUP(TBL_USUARIOS[[#This Row],[ID_MASSA]],tbl_de_massas[id_massa],tbl_de_massas[nome_completo],"--",0,1)</f>
        <v>Renato Almeida Araujo</v>
      </c>
    </row>
    <row r="742" spans="1:8" x14ac:dyDescent="0.25">
      <c r="A742" s="2" t="s">
        <v>4422</v>
      </c>
      <c r="B742" t="str">
        <f>_xlfn.XLOOKUP(TBL_USUARIOS[[#This Row],[ID_MASSA]],tbl_de_massas[id_massa],tbl_de_massas[cpf],"--",0,1)</f>
        <v>47245812209</v>
      </c>
      <c r="C742" t="s">
        <v>12</v>
      </c>
      <c r="D742" t="str">
        <f>_xlfn.XLOOKUP(TBL_USUARIOS[[#This Row],[ID_MASSA]],tbl_de_massas[id_massa],tbl_de_massas[nome_completo],"--",0,1)</f>
        <v>Andre Cavalcanti Alves</v>
      </c>
      <c r="E742" t="str">
        <f>_xlfn.XLOOKUP(TBL_USUARIOS[[#This Row],[ID_MASSA]],tbl_de_massas[id_massa],tbl_de_massas[cartao_fisico_numero],"--",0,1)</f>
        <v/>
      </c>
      <c r="F742" t="str">
        <f>_xlfn.XLOOKUP(TBL_USUARIOS[[#This Row],[ID_MASSA]],tbl_de_massas[id_massa],tbl_de_massas[nome_completo],"--",0,1)</f>
        <v>Andre Cavalcanti Alves</v>
      </c>
      <c r="G742" s="47">
        <f>_xlfn.XLOOKUP(TBL_USUARIOS[[#This Row],[ID_MASSA]],tbl_de_massas[id_massa],tbl_de_massas[saldo_conta],"--",0,1)</f>
        <v>8881.11</v>
      </c>
      <c r="H742" t="str">
        <f>_xlfn.XLOOKUP(TBL_USUARIOS[[#This Row],[ID_MASSA]],tbl_de_massas[id_massa],tbl_de_massas[nome_completo],"--",0,1)</f>
        <v>Andre Cavalcanti Alves</v>
      </c>
    </row>
    <row r="743" spans="1:8" x14ac:dyDescent="0.25">
      <c r="A743" s="2" t="s">
        <v>3957</v>
      </c>
      <c r="B743" t="str">
        <f>_xlfn.XLOOKUP(TBL_USUARIOS[[#This Row],[ID_MASSA]],tbl_de_massas[id_massa],tbl_de_massas[cpf],"--",0,1)</f>
        <v>08531959608</v>
      </c>
      <c r="C743" t="s">
        <v>12</v>
      </c>
      <c r="D743" t="str">
        <f>_xlfn.XLOOKUP(TBL_USUARIOS[[#This Row],[ID_MASSA]],tbl_de_massas[id_massa],tbl_de_massas[nome_completo],"--",0,1)</f>
        <v>Marcos Araujo Oliveira</v>
      </c>
      <c r="E743" t="str">
        <f>_xlfn.XLOOKUP(TBL_USUARIOS[[#This Row],[ID_MASSA]],tbl_de_massas[id_massa],tbl_de_massas[cartao_fisico_numero],"--",0,1)</f>
        <v>6505 0666 5833 3269</v>
      </c>
      <c r="F743" t="str">
        <f>_xlfn.XLOOKUP(TBL_USUARIOS[[#This Row],[ID_MASSA]],tbl_de_massas[id_massa],tbl_de_massas[nome_completo],"--",0,1)</f>
        <v>Marcos Araujo Oliveira</v>
      </c>
      <c r="G743" s="47">
        <f>_xlfn.XLOOKUP(TBL_USUARIOS[[#This Row],[ID_MASSA]],tbl_de_massas[id_massa],tbl_de_massas[saldo_conta],"--",0,1)</f>
        <v>8888.08</v>
      </c>
      <c r="H743" t="str">
        <f>_xlfn.XLOOKUP(TBL_USUARIOS[[#This Row],[ID_MASSA]],tbl_de_massas[id_massa],tbl_de_massas[nome_completo],"--",0,1)</f>
        <v>Marcos Araujo Oliveira</v>
      </c>
    </row>
    <row r="744" spans="1:8" x14ac:dyDescent="0.25">
      <c r="A744" s="2" t="s">
        <v>2712</v>
      </c>
      <c r="B744" t="str">
        <f>_xlfn.XLOOKUP(TBL_USUARIOS[[#This Row],[ID_MASSA]],tbl_de_massas[id_massa],tbl_de_massas[cpf],"--",0,1)</f>
        <v>80381157911</v>
      </c>
      <c r="C744" t="s">
        <v>12</v>
      </c>
      <c r="D744" t="str">
        <f>_xlfn.XLOOKUP(TBL_USUARIOS[[#This Row],[ID_MASSA]],tbl_de_massas[id_massa],tbl_de_massas[nome_completo],"--",0,1)</f>
        <v>Joon Jeong</v>
      </c>
      <c r="E744" t="str">
        <f>_xlfn.XLOOKUP(TBL_USUARIOS[[#This Row],[ID_MASSA]],tbl_de_massas[id_massa],tbl_de_massas[cartao_fisico_numero],"--",0,1)</f>
        <v/>
      </c>
      <c r="F744" t="str">
        <f>_xlfn.XLOOKUP(TBL_USUARIOS[[#This Row],[ID_MASSA]],tbl_de_massas[id_massa],tbl_de_massas[nome_completo],"--",0,1)</f>
        <v>Joon Jeong</v>
      </c>
      <c r="G744" s="47">
        <f>_xlfn.XLOOKUP(TBL_USUARIOS[[#This Row],[ID_MASSA]],tbl_de_massas[id_massa],tbl_de_massas[saldo_conta],"--",0,1)</f>
        <v>5021.53</v>
      </c>
      <c r="H744" t="str">
        <f>_xlfn.XLOOKUP(TBL_USUARIOS[[#This Row],[ID_MASSA]],tbl_de_massas[id_massa],tbl_de_massas[nome_completo],"--",0,1)</f>
        <v>Joon Jeong</v>
      </c>
    </row>
    <row r="745" spans="1:8" x14ac:dyDescent="0.25">
      <c r="A745" s="2" t="s">
        <v>3666</v>
      </c>
      <c r="B745" t="str">
        <f>_xlfn.XLOOKUP(TBL_USUARIOS[[#This Row],[ID_MASSA]],tbl_de_massas[id_massa],tbl_de_massas[cpf],"--",0,1)</f>
        <v>88893437708</v>
      </c>
      <c r="C745" t="s">
        <v>12</v>
      </c>
      <c r="D745" t="str">
        <f>_xlfn.XLOOKUP(TBL_USUARIOS[[#This Row],[ID_MASSA]],tbl_de_massas[id_massa],tbl_de_massas[nome_completo],"--",0,1)</f>
        <v>Renato Monteiro Dias</v>
      </c>
      <c r="E745" t="str">
        <f>_xlfn.XLOOKUP(TBL_USUARIOS[[#This Row],[ID_MASSA]],tbl_de_massas[id_massa],tbl_de_massas[cartao_fisico_numero],"--",0,1)</f>
        <v/>
      </c>
      <c r="F745" t="str">
        <f>_xlfn.XLOOKUP(TBL_USUARIOS[[#This Row],[ID_MASSA]],tbl_de_massas[id_massa],tbl_de_massas[nome_completo],"--",0,1)</f>
        <v>Renato Monteiro Dias</v>
      </c>
      <c r="G745" s="47">
        <f>_xlfn.XLOOKUP(TBL_USUARIOS[[#This Row],[ID_MASSA]],tbl_de_massas[id_massa],tbl_de_massas[saldo_conta],"--",0,1)</f>
        <v>5051.0200000000004</v>
      </c>
      <c r="H745" t="str">
        <f>_xlfn.XLOOKUP(TBL_USUARIOS[[#This Row],[ID_MASSA]],tbl_de_massas[id_massa],tbl_de_massas[nome_completo],"--",0,1)</f>
        <v>Renato Monteiro Dias</v>
      </c>
    </row>
    <row r="746" spans="1:8" x14ac:dyDescent="0.25">
      <c r="A746" s="2" t="s">
        <v>5752</v>
      </c>
      <c r="B746" t="str">
        <f>_xlfn.XLOOKUP(TBL_USUARIOS[[#This Row],[ID_MASSA]],tbl_de_massas[id_massa],tbl_de_massas[cpf],"--",0,1)</f>
        <v>20125098006</v>
      </c>
      <c r="C746" t="s">
        <v>12</v>
      </c>
      <c r="D746" t="str">
        <f>_xlfn.XLOOKUP(TBL_USUARIOS[[#This Row],[ID_MASSA]],tbl_de_massas[id_massa],tbl_de_massas[nome_completo],"--",0,1)</f>
        <v>Rafael Freitas</v>
      </c>
      <c r="E746" t="str">
        <f>_xlfn.XLOOKUP(TBL_USUARIOS[[#This Row],[ID_MASSA]],tbl_de_massas[id_massa],tbl_de_massas[cartao_fisico_numero],"--",0,1)</f>
        <v>4576 7460 5521 2894</v>
      </c>
      <c r="F746" t="str">
        <f>_xlfn.XLOOKUP(TBL_USUARIOS[[#This Row],[ID_MASSA]],tbl_de_massas[id_massa],tbl_de_massas[nome_completo],"--",0,1)</f>
        <v>Rafael Freitas</v>
      </c>
      <c r="G746" s="47">
        <f>_xlfn.XLOOKUP(TBL_USUARIOS[[#This Row],[ID_MASSA]],tbl_de_massas[id_massa],tbl_de_massas[saldo_conta],"--",0,1)</f>
        <v>8936.82</v>
      </c>
      <c r="H746" t="str">
        <f>_xlfn.XLOOKUP(TBL_USUARIOS[[#This Row],[ID_MASSA]],tbl_de_massas[id_massa],tbl_de_massas[nome_completo],"--",0,1)</f>
        <v>Rafael Freitas</v>
      </c>
    </row>
    <row r="747" spans="1:8" x14ac:dyDescent="0.25">
      <c r="A747" s="2" t="s">
        <v>2852</v>
      </c>
      <c r="B747" t="str">
        <f>_xlfn.XLOOKUP(TBL_USUARIOS[[#This Row],[ID_MASSA]],tbl_de_massas[id_massa],tbl_de_massas[cpf],"--",0,1)</f>
        <v>08839971181</v>
      </c>
      <c r="C747" t="s">
        <v>12</v>
      </c>
      <c r="D747" t="str">
        <f>_xlfn.XLOOKUP(TBL_USUARIOS[[#This Row],[ID_MASSA]],tbl_de_massas[id_massa],tbl_de_massas[nome_completo],"--",0,1)</f>
        <v>Rafael Vieira Martins</v>
      </c>
      <c r="E747" t="str">
        <f>_xlfn.XLOOKUP(TBL_USUARIOS[[#This Row],[ID_MASSA]],tbl_de_massas[id_massa],tbl_de_massas[cartao_fisico_numero],"--",0,1)</f>
        <v/>
      </c>
      <c r="F747" t="str">
        <f>_xlfn.XLOOKUP(TBL_USUARIOS[[#This Row],[ID_MASSA]],tbl_de_massas[id_massa],tbl_de_massas[nome_completo],"--",0,1)</f>
        <v>Rafael Vieira Martins</v>
      </c>
      <c r="G747" s="47">
        <f>_xlfn.XLOOKUP(TBL_USUARIOS[[#This Row],[ID_MASSA]],tbl_de_massas[id_massa],tbl_de_massas[saldo_conta],"--",0,1)</f>
        <v>8939.98</v>
      </c>
      <c r="H747" t="str">
        <f>_xlfn.XLOOKUP(TBL_USUARIOS[[#This Row],[ID_MASSA]],tbl_de_massas[id_massa],tbl_de_massas[nome_completo],"--",0,1)</f>
        <v>Rafael Vieira Martins</v>
      </c>
    </row>
    <row r="748" spans="1:8" x14ac:dyDescent="0.25">
      <c r="A748" s="2" t="s">
        <v>2776</v>
      </c>
      <c r="B748" t="str">
        <f>_xlfn.XLOOKUP(TBL_USUARIOS[[#This Row],[ID_MASSA]],tbl_de_massas[id_massa],tbl_de_massas[cpf],"--",0,1)</f>
        <v>99583585572</v>
      </c>
      <c r="C748" t="s">
        <v>12</v>
      </c>
      <c r="D748" t="str">
        <f>_xlfn.XLOOKUP(TBL_USUARIOS[[#This Row],[ID_MASSA]],tbl_de_massas[id_massa],tbl_de_massas[nome_completo],"--",0,1)</f>
        <v>Vanessa Fernandes Alves</v>
      </c>
      <c r="E748" t="str">
        <f>_xlfn.XLOOKUP(TBL_USUARIOS[[#This Row],[ID_MASSA]],tbl_de_massas[id_massa],tbl_de_massas[cartao_fisico_numero],"--",0,1)</f>
        <v/>
      </c>
      <c r="F748" t="str">
        <f>_xlfn.XLOOKUP(TBL_USUARIOS[[#This Row],[ID_MASSA]],tbl_de_massas[id_massa],tbl_de_massas[nome_completo],"--",0,1)</f>
        <v>Vanessa Fernandes Alves</v>
      </c>
      <c r="G748" s="47">
        <f>_xlfn.XLOOKUP(TBL_USUARIOS[[#This Row],[ID_MASSA]],tbl_de_massas[id_massa],tbl_de_massas[saldo_conta],"--",0,1)</f>
        <v>8958.4</v>
      </c>
      <c r="H748" t="str">
        <f>_xlfn.XLOOKUP(TBL_USUARIOS[[#This Row],[ID_MASSA]],tbl_de_massas[id_massa],tbl_de_massas[nome_completo],"--",0,1)</f>
        <v>Vanessa Fernandes Alves</v>
      </c>
    </row>
    <row r="749" spans="1:8" x14ac:dyDescent="0.25">
      <c r="A749" s="2" t="s">
        <v>5399</v>
      </c>
      <c r="B749" t="str">
        <f>_xlfn.XLOOKUP(TBL_USUARIOS[[#This Row],[ID_MASSA]],tbl_de_massas[id_massa],tbl_de_massas[cpf],"--",0,1)</f>
        <v>11800835396</v>
      </c>
      <c r="C749" t="s">
        <v>12</v>
      </c>
      <c r="D749" t="str">
        <f>_xlfn.XLOOKUP(TBL_USUARIOS[[#This Row],[ID_MASSA]],tbl_de_massas[id_massa],tbl_de_massas[nome_completo],"--",0,1)</f>
        <v>Leandro Nascimento Vieira</v>
      </c>
      <c r="E749" t="str">
        <f>_xlfn.XLOOKUP(TBL_USUARIOS[[#This Row],[ID_MASSA]],tbl_de_massas[id_massa],tbl_de_massas[cartao_fisico_numero],"--",0,1)</f>
        <v/>
      </c>
      <c r="F749" t="str">
        <f>_xlfn.XLOOKUP(TBL_USUARIOS[[#This Row],[ID_MASSA]],tbl_de_massas[id_massa],tbl_de_massas[nome_completo],"--",0,1)</f>
        <v>Leandro Nascimento Vieira</v>
      </c>
      <c r="G749" s="47">
        <f>_xlfn.XLOOKUP(TBL_USUARIOS[[#This Row],[ID_MASSA]],tbl_de_massas[id_massa],tbl_de_massas[saldo_conta],"--",0,1)</f>
        <v>8989.61</v>
      </c>
      <c r="H749" t="str">
        <f>_xlfn.XLOOKUP(TBL_USUARIOS[[#This Row],[ID_MASSA]],tbl_de_massas[id_massa],tbl_de_massas[nome_completo],"--",0,1)</f>
        <v>Leandro Nascimento Vieira</v>
      </c>
    </row>
    <row r="750" spans="1:8" x14ac:dyDescent="0.25">
      <c r="A750" s="2" t="s">
        <v>4639</v>
      </c>
      <c r="B750" t="str">
        <f>_xlfn.XLOOKUP(TBL_USUARIOS[[#This Row],[ID_MASSA]],tbl_de_massas[id_massa],tbl_de_massas[cpf],"--",0,1)</f>
        <v>49302811808</v>
      </c>
      <c r="C750" t="s">
        <v>12</v>
      </c>
      <c r="D750" t="str">
        <f>_xlfn.XLOOKUP(TBL_USUARIOS[[#This Row],[ID_MASSA]],tbl_de_massas[id_massa],tbl_de_massas[nome_completo],"--",0,1)</f>
        <v>Rafael Barbosa Campos</v>
      </c>
      <c r="E750" t="str">
        <f>_xlfn.XLOOKUP(TBL_USUARIOS[[#This Row],[ID_MASSA]],tbl_de_massas[id_massa],tbl_de_massas[cartao_fisico_numero],"--",0,1)</f>
        <v>4576 7460 7182 7360</v>
      </c>
      <c r="F750" t="str">
        <f>_xlfn.XLOOKUP(TBL_USUARIOS[[#This Row],[ID_MASSA]],tbl_de_massas[id_massa],tbl_de_massas[nome_completo],"--",0,1)</f>
        <v>Rafael Barbosa Campos</v>
      </c>
      <c r="G750" s="47">
        <f>_xlfn.XLOOKUP(TBL_USUARIOS[[#This Row],[ID_MASSA]],tbl_de_massas[id_massa],tbl_de_massas[saldo_conta],"--",0,1)</f>
        <v>9002.44</v>
      </c>
      <c r="H750" t="str">
        <f>_xlfn.XLOOKUP(TBL_USUARIOS[[#This Row],[ID_MASSA]],tbl_de_massas[id_massa],tbl_de_massas[nome_completo],"--",0,1)</f>
        <v>Rafael Barbosa Campos</v>
      </c>
    </row>
    <row r="751" spans="1:8" x14ac:dyDescent="0.25">
      <c r="A751" s="2" t="s">
        <v>4503</v>
      </c>
      <c r="B751" t="str">
        <f>_xlfn.XLOOKUP(TBL_USUARIOS[[#This Row],[ID_MASSA]],tbl_de_massas[id_massa],tbl_de_massas[cpf],"--",0,1)</f>
        <v>02052416706</v>
      </c>
      <c r="C751" t="s">
        <v>12</v>
      </c>
      <c r="D751" t="str">
        <f>_xlfn.XLOOKUP(TBL_USUARIOS[[#This Row],[ID_MASSA]],tbl_de_massas[id_massa],tbl_de_massas[nome_completo],"--",0,1)</f>
        <v>Gabriela Silva Nunes</v>
      </c>
      <c r="E751" t="str">
        <f>_xlfn.XLOOKUP(TBL_USUARIOS[[#This Row],[ID_MASSA]],tbl_de_massas[id_massa],tbl_de_massas[cartao_fisico_numero],"--",0,1)</f>
        <v/>
      </c>
      <c r="F751" t="str">
        <f>_xlfn.XLOOKUP(TBL_USUARIOS[[#This Row],[ID_MASSA]],tbl_de_massas[id_massa],tbl_de_massas[nome_completo],"--",0,1)</f>
        <v>Gabriela Silva Nunes</v>
      </c>
      <c r="G751" s="47">
        <f>_xlfn.XLOOKUP(TBL_USUARIOS[[#This Row],[ID_MASSA]],tbl_de_massas[id_massa],tbl_de_massas[saldo_conta],"--",0,1)</f>
        <v>5133.05</v>
      </c>
      <c r="H751" t="str">
        <f>_xlfn.XLOOKUP(TBL_USUARIOS[[#This Row],[ID_MASSA]],tbl_de_massas[id_massa],tbl_de_massas[nome_completo],"--",0,1)</f>
        <v>Gabriela Silva Nunes</v>
      </c>
    </row>
    <row r="752" spans="1:8" x14ac:dyDescent="0.25">
      <c r="A752" s="2" t="s">
        <v>3658</v>
      </c>
      <c r="B752" t="str">
        <f>_xlfn.XLOOKUP(TBL_USUARIOS[[#This Row],[ID_MASSA]],tbl_de_massas[id_massa],tbl_de_massas[cpf],"--",0,1)</f>
        <v>14468705612</v>
      </c>
      <c r="C752" t="s">
        <v>12</v>
      </c>
      <c r="D752" t="str">
        <f>_xlfn.XLOOKUP(TBL_USUARIOS[[#This Row],[ID_MASSA]],tbl_de_massas[id_massa],tbl_de_massas[nome_completo],"--",0,1)</f>
        <v>Leticia Silva Alves</v>
      </c>
      <c r="E752" t="str">
        <f>_xlfn.XLOOKUP(TBL_USUARIOS[[#This Row],[ID_MASSA]],tbl_de_massas[id_massa],tbl_de_massas[cartao_fisico_numero],"--",0,1)</f>
        <v>6505 0666 7649 9256</v>
      </c>
      <c r="F752" t="str">
        <f>_xlfn.XLOOKUP(TBL_USUARIOS[[#This Row],[ID_MASSA]],tbl_de_massas[id_massa],tbl_de_massas[nome_completo],"--",0,1)</f>
        <v>Leticia Silva Alves</v>
      </c>
      <c r="G752" s="47">
        <f>_xlfn.XLOOKUP(TBL_USUARIOS[[#This Row],[ID_MASSA]],tbl_de_massas[id_massa],tbl_de_massas[saldo_conta],"--",0,1)</f>
        <v>9022.32</v>
      </c>
      <c r="H752" t="str">
        <f>_xlfn.XLOOKUP(TBL_USUARIOS[[#This Row],[ID_MASSA]],tbl_de_massas[id_massa],tbl_de_massas[nome_completo],"--",0,1)</f>
        <v>Leticia Silva Alves</v>
      </c>
    </row>
    <row r="753" spans="1:8" x14ac:dyDescent="0.25">
      <c r="A753" s="2" t="s">
        <v>5263</v>
      </c>
      <c r="B753" t="str">
        <f>_xlfn.XLOOKUP(TBL_USUARIOS[[#This Row],[ID_MASSA]],tbl_de_massas[id_massa],tbl_de_massas[cpf],"--",0,1)</f>
        <v>79600520267</v>
      </c>
      <c r="C753" t="s">
        <v>12</v>
      </c>
      <c r="D753" t="str">
        <f>_xlfn.XLOOKUP(TBL_USUARIOS[[#This Row],[ID_MASSA]],tbl_de_massas[id_massa],tbl_de_massas[nome_completo],"--",0,1)</f>
        <v>Thiago Borges Dias</v>
      </c>
      <c r="E753" t="str">
        <f>_xlfn.XLOOKUP(TBL_USUARIOS[[#This Row],[ID_MASSA]],tbl_de_massas[id_massa],tbl_de_massas[cartao_fisico_numero],"--",0,1)</f>
        <v/>
      </c>
      <c r="F753" t="str">
        <f>_xlfn.XLOOKUP(TBL_USUARIOS[[#This Row],[ID_MASSA]],tbl_de_massas[id_massa],tbl_de_massas[nome_completo],"--",0,1)</f>
        <v>Thiago Borges Dias</v>
      </c>
      <c r="G753" s="47">
        <f>_xlfn.XLOOKUP(TBL_USUARIOS[[#This Row],[ID_MASSA]],tbl_de_massas[id_massa],tbl_de_massas[saldo_conta],"--",0,1)</f>
        <v>9066.7199999999993</v>
      </c>
      <c r="H753" t="str">
        <f>_xlfn.XLOOKUP(TBL_USUARIOS[[#This Row],[ID_MASSA]],tbl_de_massas[id_massa],tbl_de_massas[nome_completo],"--",0,1)</f>
        <v>Thiago Borges Dias</v>
      </c>
    </row>
    <row r="754" spans="1:8" x14ac:dyDescent="0.25">
      <c r="A754" s="2" t="s">
        <v>3191</v>
      </c>
      <c r="B754" t="str">
        <f>_xlfn.XLOOKUP(TBL_USUARIOS[[#This Row],[ID_MASSA]],tbl_de_massas[id_massa],tbl_de_massas[cpf],"--",0,1)</f>
        <v>71391426100</v>
      </c>
      <c r="C754" t="s">
        <v>12</v>
      </c>
      <c r="D754" t="str">
        <f>_xlfn.XLOOKUP(TBL_USUARIOS[[#This Row],[ID_MASSA]],tbl_de_massas[id_massa],tbl_de_massas[nome_completo],"--",0,1)</f>
        <v>Camila Vieira Nunes</v>
      </c>
      <c r="E754" t="str">
        <f>_xlfn.XLOOKUP(TBL_USUARIOS[[#This Row],[ID_MASSA]],tbl_de_massas[id_massa],tbl_de_massas[cartao_fisico_numero],"--",0,1)</f>
        <v>6062 8200 1082 7496</v>
      </c>
      <c r="F754" t="str">
        <f>_xlfn.XLOOKUP(TBL_USUARIOS[[#This Row],[ID_MASSA]],tbl_de_massas[id_massa],tbl_de_massas[nome_completo],"--",0,1)</f>
        <v>Camila Vieira Nunes</v>
      </c>
      <c r="G754" s="47">
        <f>_xlfn.XLOOKUP(TBL_USUARIOS[[#This Row],[ID_MASSA]],tbl_de_massas[id_massa],tbl_de_massas[saldo_conta],"--",0,1)</f>
        <v>9067.24</v>
      </c>
      <c r="H754" t="str">
        <f>_xlfn.XLOOKUP(TBL_USUARIOS[[#This Row],[ID_MASSA]],tbl_de_massas[id_massa],tbl_de_massas[nome_completo],"--",0,1)</f>
        <v>Camila Vieira Nunes</v>
      </c>
    </row>
    <row r="755" spans="1:8" x14ac:dyDescent="0.25">
      <c r="A755" s="2" t="s">
        <v>3867</v>
      </c>
      <c r="B755" t="str">
        <f>_xlfn.XLOOKUP(TBL_USUARIOS[[#This Row],[ID_MASSA]],tbl_de_massas[id_massa],tbl_de_massas[cpf],"--",0,1)</f>
        <v>87615998085</v>
      </c>
      <c r="C755" t="s">
        <v>12</v>
      </c>
      <c r="D755" t="str">
        <f>_xlfn.XLOOKUP(TBL_USUARIOS[[#This Row],[ID_MASSA]],tbl_de_massas[id_massa],tbl_de_massas[nome_completo],"--",0,1)</f>
        <v>Lucas Castro</v>
      </c>
      <c r="E755" t="str">
        <f>_xlfn.XLOOKUP(TBL_USUARIOS[[#This Row],[ID_MASSA]],tbl_de_massas[id_massa],tbl_de_massas[cartao_fisico_numero],"--",0,1)</f>
        <v>6062 8200 3614 1349</v>
      </c>
      <c r="F755" t="str">
        <f>_xlfn.XLOOKUP(TBL_USUARIOS[[#This Row],[ID_MASSA]],tbl_de_massas[id_massa],tbl_de_massas[nome_completo],"--",0,1)</f>
        <v>Lucas Castro</v>
      </c>
      <c r="G755" s="47">
        <f>_xlfn.XLOOKUP(TBL_USUARIOS[[#This Row],[ID_MASSA]],tbl_de_massas[id_massa],tbl_de_massas[saldo_conta],"--",0,1)</f>
        <v>9101.66</v>
      </c>
      <c r="H755" t="str">
        <f>_xlfn.XLOOKUP(TBL_USUARIOS[[#This Row],[ID_MASSA]],tbl_de_massas[id_massa],tbl_de_massas[nome_completo],"--",0,1)</f>
        <v>Lucas Castro</v>
      </c>
    </row>
    <row r="756" spans="1:8" x14ac:dyDescent="0.25">
      <c r="A756" s="2" t="s">
        <v>6441</v>
      </c>
      <c r="B756" t="str">
        <f>_xlfn.XLOOKUP(TBL_USUARIOS[[#This Row],[ID_MASSA]],tbl_de_massas[id_massa],tbl_de_massas[cpf],"--",0,1)</f>
        <v>32886478938</v>
      </c>
      <c r="C756" t="s">
        <v>12</v>
      </c>
      <c r="D756" t="str">
        <f>_xlfn.XLOOKUP(TBL_USUARIOS[[#This Row],[ID_MASSA]],tbl_de_massas[id_massa],tbl_de_massas[nome_completo],"--",0,1)</f>
        <v>Xin Luo</v>
      </c>
      <c r="E756" t="str">
        <f>_xlfn.XLOOKUP(TBL_USUARIOS[[#This Row],[ID_MASSA]],tbl_de_massas[id_massa],tbl_de_massas[cartao_fisico_numero],"--",0,1)</f>
        <v>5442 7460 3085 1497</v>
      </c>
      <c r="F756" t="str">
        <f>_xlfn.XLOOKUP(TBL_USUARIOS[[#This Row],[ID_MASSA]],tbl_de_massas[id_massa],tbl_de_massas[nome_completo],"--",0,1)</f>
        <v>Xin Luo</v>
      </c>
      <c r="G756" s="47">
        <f>_xlfn.XLOOKUP(TBL_USUARIOS[[#This Row],[ID_MASSA]],tbl_de_massas[id_massa],tbl_de_massas[saldo_conta],"--",0,1)</f>
        <v>9119.41</v>
      </c>
      <c r="H756" t="str">
        <f>_xlfn.XLOOKUP(TBL_USUARIOS[[#This Row],[ID_MASSA]],tbl_de_massas[id_massa],tbl_de_massas[nome_completo],"--",0,1)</f>
        <v>Xin Luo</v>
      </c>
    </row>
    <row r="757" spans="1:8" x14ac:dyDescent="0.25">
      <c r="A757" s="2" t="s">
        <v>5538</v>
      </c>
      <c r="B757" t="str">
        <f>_xlfn.XLOOKUP(TBL_USUARIOS[[#This Row],[ID_MASSA]],tbl_de_massas[id_massa],tbl_de_massas[cpf],"--",0,1)</f>
        <v>41586070606</v>
      </c>
      <c r="C757" t="s">
        <v>12</v>
      </c>
      <c r="D757" t="str">
        <f>_xlfn.XLOOKUP(TBL_USUARIOS[[#This Row],[ID_MASSA]],tbl_de_massas[id_massa],tbl_de_massas[nome_completo],"--",0,1)</f>
        <v>Carolina Santos</v>
      </c>
      <c r="E757" t="str">
        <f>_xlfn.XLOOKUP(TBL_USUARIOS[[#This Row],[ID_MASSA]],tbl_de_massas[id_massa],tbl_de_massas[cartao_fisico_numero],"--",0,1)</f>
        <v>6505 0666 1562 3429</v>
      </c>
      <c r="F757" t="str">
        <f>_xlfn.XLOOKUP(TBL_USUARIOS[[#This Row],[ID_MASSA]],tbl_de_massas[id_massa],tbl_de_massas[nome_completo],"--",0,1)</f>
        <v>Carolina Santos</v>
      </c>
      <c r="G757" s="47">
        <f>_xlfn.XLOOKUP(TBL_USUARIOS[[#This Row],[ID_MASSA]],tbl_de_massas[id_massa],tbl_de_massas[saldo_conta],"--",0,1)</f>
        <v>9121.57</v>
      </c>
      <c r="H757" t="str">
        <f>_xlfn.XLOOKUP(TBL_USUARIOS[[#This Row],[ID_MASSA]],tbl_de_massas[id_massa],tbl_de_massas[nome_completo],"--",0,1)</f>
        <v>Carolina Santos</v>
      </c>
    </row>
    <row r="758" spans="1:8" x14ac:dyDescent="0.25">
      <c r="A758" s="2" t="s">
        <v>2715</v>
      </c>
      <c r="B758" t="str">
        <f>_xlfn.XLOOKUP(TBL_USUARIOS[[#This Row],[ID_MASSA]],tbl_de_massas[id_massa],tbl_de_massas[cpf],"--",0,1)</f>
        <v>70268117896</v>
      </c>
      <c r="C758" t="s">
        <v>12</v>
      </c>
      <c r="D758" t="str">
        <f>_xlfn.XLOOKUP(TBL_USUARIOS[[#This Row],[ID_MASSA]],tbl_de_massas[id_massa],tbl_de_massas[nome_completo],"--",0,1)</f>
        <v>Lucas Gabriel Ferreira</v>
      </c>
      <c r="E758" t="str">
        <f>_xlfn.XLOOKUP(TBL_USUARIOS[[#This Row],[ID_MASSA]],tbl_de_massas[id_massa],tbl_de_massas[cartao_fisico_numero],"--",0,1)</f>
        <v>6062 8200 3807 8982</v>
      </c>
      <c r="F758" t="str">
        <f>_xlfn.XLOOKUP(TBL_USUARIOS[[#This Row],[ID_MASSA]],tbl_de_massas[id_massa],tbl_de_massas[nome_completo],"--",0,1)</f>
        <v>Lucas Gabriel Ferreira</v>
      </c>
      <c r="G758" s="47">
        <f>_xlfn.XLOOKUP(TBL_USUARIOS[[#This Row],[ID_MASSA]],tbl_de_massas[id_massa],tbl_de_massas[saldo_conta],"--",0,1)</f>
        <v>8783.7800000000007</v>
      </c>
      <c r="H758" t="str">
        <f>_xlfn.XLOOKUP(TBL_USUARIOS[[#This Row],[ID_MASSA]],tbl_de_massas[id_massa],tbl_de_massas[nome_completo],"--",0,1)</f>
        <v>Lucas Gabriel Ferreira</v>
      </c>
    </row>
    <row r="759" spans="1:8" x14ac:dyDescent="0.25">
      <c r="A759" s="2" t="s">
        <v>3386</v>
      </c>
      <c r="B759" t="str">
        <f>_xlfn.XLOOKUP(TBL_USUARIOS[[#This Row],[ID_MASSA]],tbl_de_massas[id_massa],tbl_de_massas[cpf],"--",0,1)</f>
        <v>77620837825</v>
      </c>
      <c r="C759" t="s">
        <v>12</v>
      </c>
      <c r="D759" t="str">
        <f>_xlfn.XLOOKUP(TBL_USUARIOS[[#This Row],[ID_MASSA]],tbl_de_massas[id_massa],tbl_de_massas[nome_completo],"--",0,1)</f>
        <v>Marcelo Barros</v>
      </c>
      <c r="E759" t="str">
        <f>_xlfn.XLOOKUP(TBL_USUARIOS[[#This Row],[ID_MASSA]],tbl_de_massas[id_massa],tbl_de_massas[cartao_fisico_numero],"--",0,1)</f>
        <v/>
      </c>
      <c r="F759" t="str">
        <f>_xlfn.XLOOKUP(TBL_USUARIOS[[#This Row],[ID_MASSA]],tbl_de_massas[id_massa],tbl_de_massas[nome_completo],"--",0,1)</f>
        <v>Marcelo Barros</v>
      </c>
      <c r="G759" s="47">
        <f>_xlfn.XLOOKUP(TBL_USUARIOS[[#This Row],[ID_MASSA]],tbl_de_massas[id_massa],tbl_de_massas[saldo_conta],"--",0,1)</f>
        <v>6287.47</v>
      </c>
      <c r="H759" t="str">
        <f>_xlfn.XLOOKUP(TBL_USUARIOS[[#This Row],[ID_MASSA]],tbl_de_massas[id_massa],tbl_de_massas[nome_completo],"--",0,1)</f>
        <v>Marcelo Barros</v>
      </c>
    </row>
    <row r="760" spans="1:8" x14ac:dyDescent="0.25">
      <c r="A760" s="2" t="s">
        <v>6375</v>
      </c>
      <c r="B760" t="str">
        <f>_xlfn.XLOOKUP(TBL_USUARIOS[[#This Row],[ID_MASSA]],tbl_de_massas[id_massa],tbl_de_massas[cpf],"--",0,1)</f>
        <v>03595202600</v>
      </c>
      <c r="C760" t="s">
        <v>12</v>
      </c>
      <c r="D760" t="str">
        <f>_xlfn.XLOOKUP(TBL_USUARIOS[[#This Row],[ID_MASSA]],tbl_de_massas[id_massa],tbl_de_massas[nome_completo],"--",0,1)</f>
        <v>Henry Davis</v>
      </c>
      <c r="E760" t="str">
        <f>_xlfn.XLOOKUP(TBL_USUARIOS[[#This Row],[ID_MASSA]],tbl_de_massas[id_massa],tbl_de_massas[cartao_fisico_numero],"--",0,1)</f>
        <v>5442 7460 6677 6778</v>
      </c>
      <c r="F760" t="str">
        <f>_xlfn.XLOOKUP(TBL_USUARIOS[[#This Row],[ID_MASSA]],tbl_de_massas[id_massa],tbl_de_massas[nome_completo],"--",0,1)</f>
        <v>Henry Davis</v>
      </c>
      <c r="G760" s="47">
        <f>_xlfn.XLOOKUP(TBL_USUARIOS[[#This Row],[ID_MASSA]],tbl_de_massas[id_massa],tbl_de_massas[saldo_conta],"--",0,1)</f>
        <v>9193.2199999999993</v>
      </c>
      <c r="H760" t="str">
        <f>_xlfn.XLOOKUP(TBL_USUARIOS[[#This Row],[ID_MASSA]],tbl_de_massas[id_massa],tbl_de_massas[nome_completo],"--",0,1)</f>
        <v>Henry Davis</v>
      </c>
    </row>
    <row r="761" spans="1:8" x14ac:dyDescent="0.25">
      <c r="A761" s="2" t="s">
        <v>6124</v>
      </c>
      <c r="B761" t="str">
        <f>_xlfn.XLOOKUP(TBL_USUARIOS[[#This Row],[ID_MASSA]],tbl_de_massas[id_massa],tbl_de_massas[cpf],"--",0,1)</f>
        <v>37452237137</v>
      </c>
      <c r="C761" t="s">
        <v>12</v>
      </c>
      <c r="D761" t="str">
        <f>_xlfn.XLOOKUP(TBL_USUARIOS[[#This Row],[ID_MASSA]],tbl_de_massas[id_massa],tbl_de_massas[nome_completo],"--",0,1)</f>
        <v>Juliana Rocha Mendes</v>
      </c>
      <c r="E761" t="str">
        <f>_xlfn.XLOOKUP(TBL_USUARIOS[[#This Row],[ID_MASSA]],tbl_de_massas[id_massa],tbl_de_massas[cartao_fisico_numero],"--",0,1)</f>
        <v>6505 0666 8531 7072</v>
      </c>
      <c r="F761" t="str">
        <f>_xlfn.XLOOKUP(TBL_USUARIOS[[#This Row],[ID_MASSA]],tbl_de_massas[id_massa],tbl_de_massas[nome_completo],"--",0,1)</f>
        <v>Juliana Rocha Mendes</v>
      </c>
      <c r="G761" s="47">
        <f>_xlfn.XLOOKUP(TBL_USUARIOS[[#This Row],[ID_MASSA]],tbl_de_massas[id_massa],tbl_de_massas[saldo_conta],"--",0,1)</f>
        <v>9208.44</v>
      </c>
      <c r="H761" t="str">
        <f>_xlfn.XLOOKUP(TBL_USUARIOS[[#This Row],[ID_MASSA]],tbl_de_massas[id_massa],tbl_de_massas[nome_completo],"--",0,1)</f>
        <v>Juliana Rocha Mendes</v>
      </c>
    </row>
    <row r="762" spans="1:8" x14ac:dyDescent="0.25">
      <c r="A762" s="2" t="s">
        <v>2495</v>
      </c>
      <c r="B762" s="14" t="str">
        <f>_xlfn.XLOOKUP(TBL_USUARIOS[[#This Row],[ID_MASSA]],tbl_de_massas[id_massa],tbl_de_massas[cpf],"--",0,1)</f>
        <v>26840915360</v>
      </c>
      <c r="C762" t="s">
        <v>12</v>
      </c>
      <c r="D762" t="str">
        <f>_xlfn.XLOOKUP(TBL_USUARIOS[[#This Row],[ID_MASSA]],tbl_de_massas[id_massa],tbl_de_massas[nome_completo],"--",0,1)</f>
        <v>Felix Weber</v>
      </c>
      <c r="E762" t="str">
        <f>_xlfn.XLOOKUP(TBL_USUARIOS[[#This Row],[ID_MASSA]],tbl_de_massas[id_massa],tbl_de_massas[cartao_fisico_numero],"--",0,1)</f>
        <v/>
      </c>
      <c r="F762" t="str">
        <f>_xlfn.XLOOKUP(TBL_USUARIOS[[#This Row],[ID_MASSA]],tbl_de_massas[id_massa],tbl_de_massas[nome_completo],"--",0,1)</f>
        <v>Felix Weber</v>
      </c>
      <c r="G762" s="47">
        <f>_xlfn.XLOOKUP(TBL_USUARIOS[[#This Row],[ID_MASSA]],tbl_de_massas[id_massa],tbl_de_massas[saldo_conta],"--",0,1)</f>
        <v>9208.98</v>
      </c>
      <c r="H762" t="str">
        <f>_xlfn.XLOOKUP(TBL_USUARIOS[[#This Row],[ID_MASSA]],tbl_de_massas[id_massa],tbl_de_massas[nome_completo],"--",0,1)</f>
        <v>Felix Weber</v>
      </c>
    </row>
    <row r="763" spans="1:8" x14ac:dyDescent="0.25">
      <c r="A763" s="2" t="s">
        <v>5658</v>
      </c>
      <c r="B763" t="str">
        <f>_xlfn.XLOOKUP(TBL_USUARIOS[[#This Row],[ID_MASSA]],tbl_de_massas[id_massa],tbl_de_massas[cpf],"--",0,1)</f>
        <v>62274646511</v>
      </c>
      <c r="C763" t="s">
        <v>12</v>
      </c>
      <c r="D763" t="str">
        <f>_xlfn.XLOOKUP(TBL_USUARIOS[[#This Row],[ID_MASSA]],tbl_de_massas[id_massa],tbl_de_massas[nome_completo],"--",0,1)</f>
        <v>Giulia Colombo Rizzo</v>
      </c>
      <c r="E763" t="str">
        <f>_xlfn.XLOOKUP(TBL_USUARIOS[[#This Row],[ID_MASSA]],tbl_de_massas[id_massa],tbl_de_massas[cartao_fisico_numero],"--",0,1)</f>
        <v>6505 0666 7816 6776</v>
      </c>
      <c r="F763" t="str">
        <f>_xlfn.XLOOKUP(TBL_USUARIOS[[#This Row],[ID_MASSA]],tbl_de_massas[id_massa],tbl_de_massas[nome_completo],"--",0,1)</f>
        <v>Giulia Colombo Rizzo</v>
      </c>
      <c r="G763" s="47">
        <f>_xlfn.XLOOKUP(TBL_USUARIOS[[#This Row],[ID_MASSA]],tbl_de_massas[id_massa],tbl_de_massas[saldo_conta],"--",0,1)</f>
        <v>9230.17</v>
      </c>
      <c r="H763" t="str">
        <f>_xlfn.XLOOKUP(TBL_USUARIOS[[#This Row],[ID_MASSA]],tbl_de_massas[id_massa],tbl_de_massas[nome_completo],"--",0,1)</f>
        <v>Giulia Colombo Rizzo</v>
      </c>
    </row>
    <row r="764" spans="1:8" x14ac:dyDescent="0.25">
      <c r="A764" s="2" t="s">
        <v>5473</v>
      </c>
      <c r="B764" t="str">
        <f>_xlfn.XLOOKUP(TBL_USUARIOS[[#This Row],[ID_MASSA]],tbl_de_massas[id_massa],tbl_de_massas[cpf],"--",0,1)</f>
        <v>90823576582</v>
      </c>
      <c r="C764" t="s">
        <v>12</v>
      </c>
      <c r="D764" t="str">
        <f>_xlfn.XLOOKUP(TBL_USUARIOS[[#This Row],[ID_MASSA]],tbl_de_massas[id_massa],tbl_de_massas[nome_completo],"--",0,1)</f>
        <v>Carolina Teixeira</v>
      </c>
      <c r="E764" t="str">
        <f>_xlfn.XLOOKUP(TBL_USUARIOS[[#This Row],[ID_MASSA]],tbl_de_massas[id_massa],tbl_de_massas[cartao_fisico_numero],"--",0,1)</f>
        <v>5442 7460 9972 0048</v>
      </c>
      <c r="F764" t="str">
        <f>_xlfn.XLOOKUP(TBL_USUARIOS[[#This Row],[ID_MASSA]],tbl_de_massas[id_massa],tbl_de_massas[nome_completo],"--",0,1)</f>
        <v>Carolina Teixeira</v>
      </c>
      <c r="G764" s="47">
        <f>_xlfn.XLOOKUP(TBL_USUARIOS[[#This Row],[ID_MASSA]],tbl_de_massas[id_massa],tbl_de_massas[saldo_conta],"--",0,1)</f>
        <v>9251.4</v>
      </c>
      <c r="H764" t="str">
        <f>_xlfn.XLOOKUP(TBL_USUARIOS[[#This Row],[ID_MASSA]],tbl_de_massas[id_massa],tbl_de_massas[nome_completo],"--",0,1)</f>
        <v>Carolina Teixeira</v>
      </c>
    </row>
    <row r="765" spans="1:8" x14ac:dyDescent="0.25">
      <c r="A765" s="2" t="s">
        <v>5939</v>
      </c>
      <c r="B765" t="str">
        <f>_xlfn.XLOOKUP(TBL_USUARIOS[[#This Row],[ID_MASSA]],tbl_de_massas[id_massa],tbl_de_massas[cpf],"--",0,1)</f>
        <v>47738170549</v>
      </c>
      <c r="C765" t="s">
        <v>12</v>
      </c>
      <c r="D765" t="str">
        <f>_xlfn.XLOOKUP(TBL_USUARIOS[[#This Row],[ID_MASSA]],tbl_de_massas[id_massa],tbl_de_massas[nome_completo],"--",0,1)</f>
        <v>Beatriz Gomes</v>
      </c>
      <c r="E765" t="str">
        <f>_xlfn.XLOOKUP(TBL_USUARIOS[[#This Row],[ID_MASSA]],tbl_de_massas[id_massa],tbl_de_massas[cartao_fisico_numero],"--",0,1)</f>
        <v>5442 7460 6848 2400</v>
      </c>
      <c r="F765" t="str">
        <f>_xlfn.XLOOKUP(TBL_USUARIOS[[#This Row],[ID_MASSA]],tbl_de_massas[id_massa],tbl_de_massas[nome_completo],"--",0,1)</f>
        <v>Beatriz Gomes</v>
      </c>
      <c r="G765" s="47">
        <f>_xlfn.XLOOKUP(TBL_USUARIOS[[#This Row],[ID_MASSA]],tbl_de_massas[id_massa],tbl_de_massas[saldo_conta],"--",0,1)</f>
        <v>9258.39</v>
      </c>
      <c r="H765" t="str">
        <f>_xlfn.XLOOKUP(TBL_USUARIOS[[#This Row],[ID_MASSA]],tbl_de_massas[id_massa],tbl_de_massas[nome_completo],"--",0,1)</f>
        <v>Beatriz Gomes</v>
      </c>
    </row>
    <row r="766" spans="1:8" x14ac:dyDescent="0.25">
      <c r="A766" s="2" t="s">
        <v>2158</v>
      </c>
      <c r="B766" s="14" t="str">
        <f>_xlfn.XLOOKUP(TBL_USUARIOS[[#This Row],[ID_MASSA]],tbl_de_massas[id_massa],tbl_de_massas[cpf],"--",0,1)</f>
        <v>57855482407</v>
      </c>
      <c r="C766" t="s">
        <v>12</v>
      </c>
      <c r="D766" t="str">
        <f>_xlfn.XLOOKUP(TBL_USUARIOS[[#This Row],[ID_MASSA]],tbl_de_massas[id_massa],tbl_de_massas[nome_completo],"--",0,1)</f>
        <v>Alexander James Smith</v>
      </c>
      <c r="E766" t="str">
        <f>_xlfn.XLOOKUP(TBL_USUARIOS[[#This Row],[ID_MASSA]],tbl_de_massas[id_massa],tbl_de_massas[cartao_fisico_numero],"--",0,1)</f>
        <v>4576 7460 2297 6677</v>
      </c>
      <c r="F766" t="str">
        <f>_xlfn.XLOOKUP(TBL_USUARIOS[[#This Row],[ID_MASSA]],tbl_de_massas[id_massa],tbl_de_massas[nome_completo],"--",0,1)</f>
        <v>Alexander James Smith</v>
      </c>
      <c r="G766" s="47">
        <f>_xlfn.XLOOKUP(TBL_USUARIOS[[#This Row],[ID_MASSA]],tbl_de_massas[id_massa],tbl_de_massas[saldo_conta],"--",0,1)</f>
        <v>6908.51</v>
      </c>
      <c r="H766" t="str">
        <f>_xlfn.XLOOKUP(TBL_USUARIOS[[#This Row],[ID_MASSA]],tbl_de_massas[id_massa],tbl_de_massas[nome_completo],"--",0,1)</f>
        <v>Alexander James Smith</v>
      </c>
    </row>
    <row r="767" spans="1:8" x14ac:dyDescent="0.25">
      <c r="A767" s="2" t="s">
        <v>2147</v>
      </c>
      <c r="B767" s="14" t="str">
        <f>_xlfn.XLOOKUP(TBL_USUARIOS[[#This Row],[ID_MASSA]],tbl_de_massas[id_massa],tbl_de_massas[cpf],"--",0,1)</f>
        <v>17058588562</v>
      </c>
      <c r="C767" t="s">
        <v>12</v>
      </c>
      <c r="D767" t="str">
        <f>_xlfn.XLOOKUP(TBL_USUARIOS[[#This Row],[ID_MASSA]],tbl_de_massas[id_massa],tbl_de_massas[nome_completo],"--",0,1)</f>
        <v>Lukas Schneider</v>
      </c>
      <c r="E767" t="str">
        <f>_xlfn.XLOOKUP(TBL_USUARIOS[[#This Row],[ID_MASSA]],tbl_de_massas[id_massa],tbl_de_massas[cartao_fisico_numero],"--",0,1)</f>
        <v>6062 8200 3014 7312</v>
      </c>
      <c r="F767" t="str">
        <f>_xlfn.XLOOKUP(TBL_USUARIOS[[#This Row],[ID_MASSA]],tbl_de_massas[id_massa],tbl_de_massas[nome_completo],"--",0,1)</f>
        <v>Lukas Schneider</v>
      </c>
      <c r="G767" s="47">
        <f>_xlfn.XLOOKUP(TBL_USUARIOS[[#This Row],[ID_MASSA]],tbl_de_massas[id_massa],tbl_de_massas[saldo_conta],"--",0,1)</f>
        <v>9296.61</v>
      </c>
      <c r="H767" t="str">
        <f>_xlfn.XLOOKUP(TBL_USUARIOS[[#This Row],[ID_MASSA]],tbl_de_massas[id_massa],tbl_de_massas[nome_completo],"--",0,1)</f>
        <v>Lukas Schneider</v>
      </c>
    </row>
    <row r="768" spans="1:8" x14ac:dyDescent="0.25">
      <c r="A768" s="2" t="s">
        <v>5883</v>
      </c>
      <c r="B768" t="str">
        <f>_xlfn.XLOOKUP(TBL_USUARIOS[[#This Row],[ID_MASSA]],tbl_de_massas[id_massa],tbl_de_massas[cpf],"--",0,1)</f>
        <v>52735582981</v>
      </c>
      <c r="C768" t="s">
        <v>12</v>
      </c>
      <c r="D768" t="str">
        <f>_xlfn.XLOOKUP(TBL_USUARIOS[[#This Row],[ID_MASSA]],tbl_de_massas[id_massa],tbl_de_massas[nome_completo],"--",0,1)</f>
        <v>Jessica Teixeira Barros</v>
      </c>
      <c r="E768" t="str">
        <f>_xlfn.XLOOKUP(TBL_USUARIOS[[#This Row],[ID_MASSA]],tbl_de_massas[id_massa],tbl_de_massas[cartao_fisico_numero],"--",0,1)</f>
        <v>6505 0666 4604 4466</v>
      </c>
      <c r="F768" t="str">
        <f>_xlfn.XLOOKUP(TBL_USUARIOS[[#This Row],[ID_MASSA]],tbl_de_massas[id_massa],tbl_de_massas[nome_completo],"--",0,1)</f>
        <v>Jessica Teixeira Barros</v>
      </c>
      <c r="G768" s="47">
        <f>_xlfn.XLOOKUP(TBL_USUARIOS[[#This Row],[ID_MASSA]],tbl_de_massas[id_massa],tbl_de_massas[saldo_conta],"--",0,1)</f>
        <v>9325.7000000000007</v>
      </c>
      <c r="H768" t="str">
        <f>_xlfn.XLOOKUP(TBL_USUARIOS[[#This Row],[ID_MASSA]],tbl_de_massas[id_massa],tbl_de_massas[nome_completo],"--",0,1)</f>
        <v>Jessica Teixeira Barros</v>
      </c>
    </row>
    <row r="769" spans="1:8" x14ac:dyDescent="0.25">
      <c r="A769" s="2" t="s">
        <v>3829</v>
      </c>
      <c r="B769" t="str">
        <f>_xlfn.XLOOKUP(TBL_USUARIOS[[#This Row],[ID_MASSA]],tbl_de_massas[id_massa],tbl_de_massas[cpf],"--",0,1)</f>
        <v>79268082292</v>
      </c>
      <c r="C769" t="s">
        <v>12</v>
      </c>
      <c r="D769" t="str">
        <f>_xlfn.XLOOKUP(TBL_USUARIOS[[#This Row],[ID_MASSA]],tbl_de_massas[id_massa],tbl_de_massas[nome_completo],"--",0,1)</f>
        <v>Rodrigo Silva Araujo</v>
      </c>
      <c r="E769" t="str">
        <f>_xlfn.XLOOKUP(TBL_USUARIOS[[#This Row],[ID_MASSA]],tbl_de_massas[id_massa],tbl_de_massas[cartao_fisico_numero],"--",0,1)</f>
        <v>5442 7460 3117 8905</v>
      </c>
      <c r="F769" t="str">
        <f>_xlfn.XLOOKUP(TBL_USUARIOS[[#This Row],[ID_MASSA]],tbl_de_massas[id_massa],tbl_de_massas[nome_completo],"--",0,1)</f>
        <v>Rodrigo Silva Araujo</v>
      </c>
      <c r="G769" s="47">
        <f>_xlfn.XLOOKUP(TBL_USUARIOS[[#This Row],[ID_MASSA]],tbl_de_massas[id_massa],tbl_de_massas[saldo_conta],"--",0,1)</f>
        <v>9326.69</v>
      </c>
      <c r="H769" t="str">
        <f>_xlfn.XLOOKUP(TBL_USUARIOS[[#This Row],[ID_MASSA]],tbl_de_massas[id_massa],tbl_de_massas[nome_completo],"--",0,1)</f>
        <v>Rodrigo Silva Araujo</v>
      </c>
    </row>
    <row r="770" spans="1:8" x14ac:dyDescent="0.25">
      <c r="A770" s="2" t="s">
        <v>4249</v>
      </c>
      <c r="B770" t="str">
        <f>_xlfn.XLOOKUP(TBL_USUARIOS[[#This Row],[ID_MASSA]],tbl_de_massas[id_massa],tbl_de_massas[cpf],"--",0,1)</f>
        <v>50402990609</v>
      </c>
      <c r="C770" t="s">
        <v>12</v>
      </c>
      <c r="D770" t="str">
        <f>_xlfn.XLOOKUP(TBL_USUARIOS[[#This Row],[ID_MASSA]],tbl_de_massas[id_massa],tbl_de_massas[nome_completo],"--",0,1)</f>
        <v>Gabriela Moura Lima</v>
      </c>
      <c r="E770" t="str">
        <f>_xlfn.XLOOKUP(TBL_USUARIOS[[#This Row],[ID_MASSA]],tbl_de_massas[id_massa],tbl_de_massas[cartao_fisico_numero],"--",0,1)</f>
        <v/>
      </c>
      <c r="F770" t="str">
        <f>_xlfn.XLOOKUP(TBL_USUARIOS[[#This Row],[ID_MASSA]],tbl_de_massas[id_massa],tbl_de_massas[nome_completo],"--",0,1)</f>
        <v>Gabriela Moura Lima</v>
      </c>
      <c r="G770" s="47">
        <f>_xlfn.XLOOKUP(TBL_USUARIOS[[#This Row],[ID_MASSA]],tbl_de_massas[id_massa],tbl_de_massas[saldo_conta],"--",0,1)</f>
        <v>9329.69</v>
      </c>
      <c r="H770" t="str">
        <f>_xlfn.XLOOKUP(TBL_USUARIOS[[#This Row],[ID_MASSA]],tbl_de_massas[id_massa],tbl_de_massas[nome_completo],"--",0,1)</f>
        <v>Gabriela Moura Lima</v>
      </c>
    </row>
    <row r="771" spans="1:8" x14ac:dyDescent="0.25">
      <c r="A771" s="2" t="s">
        <v>4967</v>
      </c>
      <c r="B771" t="str">
        <f>_xlfn.XLOOKUP(TBL_USUARIOS[[#This Row],[ID_MASSA]],tbl_de_massas[id_massa],tbl_de_massas[cpf],"--",0,1)</f>
        <v>22779184906</v>
      </c>
      <c r="C771" t="s">
        <v>12</v>
      </c>
      <c r="D771" t="str">
        <f>_xlfn.XLOOKUP(TBL_USUARIOS[[#This Row],[ID_MASSA]],tbl_de_massas[id_massa],tbl_de_massas[nome_completo],"--",0,1)</f>
        <v>Alexandre Mendes Dias</v>
      </c>
      <c r="E771" t="str">
        <f>_xlfn.XLOOKUP(TBL_USUARIOS[[#This Row],[ID_MASSA]],tbl_de_massas[id_massa],tbl_de_massas[cartao_fisico_numero],"--",0,1)</f>
        <v/>
      </c>
      <c r="F771" t="str">
        <f>_xlfn.XLOOKUP(TBL_USUARIOS[[#This Row],[ID_MASSA]],tbl_de_massas[id_massa],tbl_de_massas[nome_completo],"--",0,1)</f>
        <v>Alexandre Mendes Dias</v>
      </c>
      <c r="G771" s="47">
        <f>_xlfn.XLOOKUP(TBL_USUARIOS[[#This Row],[ID_MASSA]],tbl_de_massas[id_massa],tbl_de_massas[saldo_conta],"--",0,1)</f>
        <v>9340.83</v>
      </c>
      <c r="H771" t="str">
        <f>_xlfn.XLOOKUP(TBL_USUARIOS[[#This Row],[ID_MASSA]],tbl_de_massas[id_massa],tbl_de_massas[nome_completo],"--",0,1)</f>
        <v>Alexandre Mendes Dias</v>
      </c>
    </row>
    <row r="772" spans="1:8" x14ac:dyDescent="0.25">
      <c r="A772" s="2" t="s">
        <v>3124</v>
      </c>
      <c r="B772" t="str">
        <f>_xlfn.XLOOKUP(TBL_USUARIOS[[#This Row],[ID_MASSA]],tbl_de_massas[id_massa],tbl_de_massas[cpf],"--",0,1)</f>
        <v>15249727387</v>
      </c>
      <c r="C772" t="s">
        <v>12</v>
      </c>
      <c r="D772" t="str">
        <f>_xlfn.XLOOKUP(TBL_USUARIOS[[#This Row],[ID_MASSA]],tbl_de_massas[id_massa],tbl_de_massas[nome_completo],"--",0,1)</f>
        <v>Isabela Gomes Nascimento</v>
      </c>
      <c r="E772" t="str">
        <f>_xlfn.XLOOKUP(TBL_USUARIOS[[#This Row],[ID_MASSA]],tbl_de_massas[id_massa],tbl_de_massas[cartao_fisico_numero],"--",0,1)</f>
        <v>3782 162332 7730</v>
      </c>
      <c r="F772" t="str">
        <f>_xlfn.XLOOKUP(TBL_USUARIOS[[#This Row],[ID_MASSA]],tbl_de_massas[id_massa],tbl_de_massas[nome_completo],"--",0,1)</f>
        <v>Isabela Gomes Nascimento</v>
      </c>
      <c r="G772" s="47">
        <f>_xlfn.XLOOKUP(TBL_USUARIOS[[#This Row],[ID_MASSA]],tbl_de_massas[id_massa],tbl_de_massas[saldo_conta],"--",0,1)</f>
        <v>9345.4599999999991</v>
      </c>
      <c r="H772" t="str">
        <f>_xlfn.XLOOKUP(TBL_USUARIOS[[#This Row],[ID_MASSA]],tbl_de_massas[id_massa],tbl_de_massas[nome_completo],"--",0,1)</f>
        <v>Isabela Gomes Nascimento</v>
      </c>
    </row>
    <row r="773" spans="1:8" x14ac:dyDescent="0.25">
      <c r="A773" s="2" t="s">
        <v>2491</v>
      </c>
      <c r="B773" s="14" t="str">
        <f>_xlfn.XLOOKUP(TBL_USUARIOS[[#This Row],[ID_MASSA]],tbl_de_massas[id_massa],tbl_de_massas[cpf],"--",0,1)</f>
        <v>01648104550</v>
      </c>
      <c r="C773" t="s">
        <v>12</v>
      </c>
      <c r="D773" t="str">
        <f>_xlfn.XLOOKUP(TBL_USUARIOS[[#This Row],[ID_MASSA]],tbl_de_massas[id_massa],tbl_de_massas[nome_completo],"--",0,1)</f>
        <v>Rodrigo Mendes Oliveira</v>
      </c>
      <c r="E773" t="str">
        <f>_xlfn.XLOOKUP(TBL_USUARIOS[[#This Row],[ID_MASSA]],tbl_de_massas[id_massa],tbl_de_massas[cartao_fisico_numero],"--",0,1)</f>
        <v>4576 7460 8497 6840</v>
      </c>
      <c r="F773" t="str">
        <f>_xlfn.XLOOKUP(TBL_USUARIOS[[#This Row],[ID_MASSA]],tbl_de_massas[id_massa],tbl_de_massas[nome_completo],"--",0,1)</f>
        <v>Rodrigo Mendes Oliveira</v>
      </c>
      <c r="G773" s="47">
        <f>_xlfn.XLOOKUP(TBL_USUARIOS[[#This Row],[ID_MASSA]],tbl_de_massas[id_massa],tbl_de_massas[saldo_conta],"--",0,1)</f>
        <v>9369.85</v>
      </c>
      <c r="H773" t="str">
        <f>_xlfn.XLOOKUP(TBL_USUARIOS[[#This Row],[ID_MASSA]],tbl_de_massas[id_massa],tbl_de_massas[nome_completo],"--",0,1)</f>
        <v>Rodrigo Mendes Oliveira</v>
      </c>
    </row>
    <row r="774" spans="1:8" x14ac:dyDescent="0.25">
      <c r="A774" s="2" t="s">
        <v>3086</v>
      </c>
      <c r="B774" t="str">
        <f>_xlfn.XLOOKUP(TBL_USUARIOS[[#This Row],[ID_MASSA]],tbl_de_massas[id_massa],tbl_de_massas[cpf],"--",0,1)</f>
        <v>26002929932</v>
      </c>
      <c r="C774" t="s">
        <v>12</v>
      </c>
      <c r="D774" t="str">
        <f>_xlfn.XLOOKUP(TBL_USUARIOS[[#This Row],[ID_MASSA]],tbl_de_massas[id_massa],tbl_de_massas[nome_completo],"--",0,1)</f>
        <v>Isabela Araujo Monteiro</v>
      </c>
      <c r="E774" t="str">
        <f>_xlfn.XLOOKUP(TBL_USUARIOS[[#This Row],[ID_MASSA]],tbl_de_massas[id_massa],tbl_de_massas[cartao_fisico_numero],"--",0,1)</f>
        <v>6062 8200 3579 1632</v>
      </c>
      <c r="F774" t="str">
        <f>_xlfn.XLOOKUP(TBL_USUARIOS[[#This Row],[ID_MASSA]],tbl_de_massas[id_massa],tbl_de_massas[nome_completo],"--",0,1)</f>
        <v>Isabela Araujo Monteiro</v>
      </c>
      <c r="G774" s="47">
        <f>_xlfn.XLOOKUP(TBL_USUARIOS[[#This Row],[ID_MASSA]],tbl_de_massas[id_massa],tbl_de_massas[saldo_conta],"--",0,1)</f>
        <v>9409.9500000000007</v>
      </c>
      <c r="H774" t="str">
        <f>_xlfn.XLOOKUP(TBL_USUARIOS[[#This Row],[ID_MASSA]],tbl_de_massas[id_massa],tbl_de_massas[nome_completo],"--",0,1)</f>
        <v>Isabela Araujo Monteiro</v>
      </c>
    </row>
    <row r="775" spans="1:8" x14ac:dyDescent="0.25">
      <c r="A775" s="2" t="s">
        <v>6068</v>
      </c>
      <c r="B775" t="str">
        <f>_xlfn.XLOOKUP(TBL_USUARIOS[[#This Row],[ID_MASSA]],tbl_de_massas[id_massa],tbl_de_massas[cpf],"--",0,1)</f>
        <v>24886099513</v>
      </c>
      <c r="C775" t="s">
        <v>12</v>
      </c>
      <c r="D775" t="str">
        <f>_xlfn.XLOOKUP(TBL_USUARIOS[[#This Row],[ID_MASSA]],tbl_de_massas[id_massa],tbl_de_massas[nome_completo],"--",0,1)</f>
        <v>Amanda Souza</v>
      </c>
      <c r="E775" t="str">
        <f>_xlfn.XLOOKUP(TBL_USUARIOS[[#This Row],[ID_MASSA]],tbl_de_massas[id_massa],tbl_de_massas[cartao_fisico_numero],"--",0,1)</f>
        <v>6505 0666 7479 2003</v>
      </c>
      <c r="F775" t="str">
        <f>_xlfn.XLOOKUP(TBL_USUARIOS[[#This Row],[ID_MASSA]],tbl_de_massas[id_massa],tbl_de_massas[nome_completo],"--",0,1)</f>
        <v>Amanda Souza</v>
      </c>
      <c r="G775" s="47">
        <f>_xlfn.XLOOKUP(TBL_USUARIOS[[#This Row],[ID_MASSA]],tbl_de_massas[id_massa],tbl_de_massas[saldo_conta],"--",0,1)</f>
        <v>9417.3799999999992</v>
      </c>
      <c r="H775" t="str">
        <f>_xlfn.XLOOKUP(TBL_USUARIOS[[#This Row],[ID_MASSA]],tbl_de_massas[id_massa],tbl_de_massas[nome_completo],"--",0,1)</f>
        <v>Amanda Souza</v>
      </c>
    </row>
    <row r="776" spans="1:8" x14ac:dyDescent="0.25">
      <c r="A776" s="2" t="s">
        <v>4914</v>
      </c>
      <c r="B776" t="str">
        <f>_xlfn.XLOOKUP(TBL_USUARIOS[[#This Row],[ID_MASSA]],tbl_de_massas[id_massa],tbl_de_massas[cpf],"--",0,1)</f>
        <v>93075629626</v>
      </c>
      <c r="C776" t="s">
        <v>12</v>
      </c>
      <c r="D776" t="str">
        <f>_xlfn.XLOOKUP(TBL_USUARIOS[[#This Row],[ID_MASSA]],tbl_de_massas[id_massa],tbl_de_massas[nome_completo],"--",0,1)</f>
        <v>Rodrigo Oliveira Borges</v>
      </c>
      <c r="E776" t="str">
        <f>_xlfn.XLOOKUP(TBL_USUARIOS[[#This Row],[ID_MASSA]],tbl_de_massas[id_massa],tbl_de_massas[cartao_fisico_numero],"--",0,1)</f>
        <v>6062 8200 9700 7534</v>
      </c>
      <c r="F776" t="str">
        <f>_xlfn.XLOOKUP(TBL_USUARIOS[[#This Row],[ID_MASSA]],tbl_de_massas[id_massa],tbl_de_massas[nome_completo],"--",0,1)</f>
        <v>Rodrigo Oliveira Borges</v>
      </c>
      <c r="G776" s="47">
        <f>_xlfn.XLOOKUP(TBL_USUARIOS[[#This Row],[ID_MASSA]],tbl_de_massas[id_massa],tbl_de_massas[saldo_conta],"--",0,1)</f>
        <v>9444.09</v>
      </c>
      <c r="H776" t="str">
        <f>_xlfn.XLOOKUP(TBL_USUARIOS[[#This Row],[ID_MASSA]],tbl_de_massas[id_massa],tbl_de_massas[nome_completo],"--",0,1)</f>
        <v>Rodrigo Oliveira Borges</v>
      </c>
    </row>
    <row r="777" spans="1:8" x14ac:dyDescent="0.25">
      <c r="A777" s="2" t="s">
        <v>4365</v>
      </c>
      <c r="B777" t="str">
        <f>_xlfn.XLOOKUP(TBL_USUARIOS[[#This Row],[ID_MASSA]],tbl_de_massas[id_massa],tbl_de_massas[cpf],"--",0,1)</f>
        <v>06892290973</v>
      </c>
      <c r="C777" t="s">
        <v>12</v>
      </c>
      <c r="D777" t="str">
        <f>_xlfn.XLOOKUP(TBL_USUARIOS[[#This Row],[ID_MASSA]],tbl_de_massas[id_massa],tbl_de_massas[nome_completo],"--",0,1)</f>
        <v>Eduardo Santos Nascimento</v>
      </c>
      <c r="E777" t="str">
        <f>_xlfn.XLOOKUP(TBL_USUARIOS[[#This Row],[ID_MASSA]],tbl_de_massas[id_massa],tbl_de_massas[cartao_fisico_numero],"--",0,1)</f>
        <v/>
      </c>
      <c r="F777" t="str">
        <f>_xlfn.XLOOKUP(TBL_USUARIOS[[#This Row],[ID_MASSA]],tbl_de_massas[id_massa],tbl_de_massas[nome_completo],"--",0,1)</f>
        <v>Eduardo Santos Nascimento</v>
      </c>
      <c r="G777" s="47">
        <f>_xlfn.XLOOKUP(TBL_USUARIOS[[#This Row],[ID_MASSA]],tbl_de_massas[id_massa],tbl_de_massas[saldo_conta],"--",0,1)</f>
        <v>9451.23</v>
      </c>
      <c r="H777" t="str">
        <f>_xlfn.XLOOKUP(TBL_USUARIOS[[#This Row],[ID_MASSA]],tbl_de_massas[id_massa],tbl_de_massas[nome_completo],"--",0,1)</f>
        <v>Eduardo Santos Nascimento</v>
      </c>
    </row>
    <row r="778" spans="1:8" x14ac:dyDescent="0.25">
      <c r="A778" s="2" t="s">
        <v>4566</v>
      </c>
      <c r="B778" t="str">
        <f>_xlfn.XLOOKUP(TBL_USUARIOS[[#This Row],[ID_MASSA]],tbl_de_massas[id_massa],tbl_de_massas[cpf],"--",0,1)</f>
        <v>93229676769</v>
      </c>
      <c r="C778" t="s">
        <v>12</v>
      </c>
      <c r="D778" t="str">
        <f>_xlfn.XLOOKUP(TBL_USUARIOS[[#This Row],[ID_MASSA]],tbl_de_massas[id_massa],tbl_de_massas[nome_completo],"--",0,1)</f>
        <v>Alexandre Mendes Oliveira</v>
      </c>
      <c r="E778" t="str">
        <f>_xlfn.XLOOKUP(TBL_USUARIOS[[#This Row],[ID_MASSA]],tbl_de_massas[id_massa],tbl_de_massas[cartao_fisico_numero],"--",0,1)</f>
        <v>3782 541298 5624</v>
      </c>
      <c r="F778" t="str">
        <f>_xlfn.XLOOKUP(TBL_USUARIOS[[#This Row],[ID_MASSA]],tbl_de_massas[id_massa],tbl_de_massas[nome_completo],"--",0,1)</f>
        <v>Alexandre Mendes Oliveira</v>
      </c>
      <c r="G778" s="47">
        <f>_xlfn.XLOOKUP(TBL_USUARIOS[[#This Row],[ID_MASSA]],tbl_de_massas[id_massa],tbl_de_massas[saldo_conta],"--",0,1)</f>
        <v>9526.82</v>
      </c>
      <c r="H778" t="str">
        <f>_xlfn.XLOOKUP(TBL_USUARIOS[[#This Row],[ID_MASSA]],tbl_de_massas[id_massa],tbl_de_massas[nome_completo],"--",0,1)</f>
        <v>Alexandre Mendes Oliveira</v>
      </c>
    </row>
    <row r="779" spans="1:8" x14ac:dyDescent="0.25">
      <c r="A779" s="2" t="s">
        <v>3910</v>
      </c>
      <c r="B779" t="str">
        <f>_xlfn.XLOOKUP(TBL_USUARIOS[[#This Row],[ID_MASSA]],tbl_de_massas[id_massa],tbl_de_massas[cpf],"--",0,1)</f>
        <v>12896065792</v>
      </c>
      <c r="C779" t="s">
        <v>12</v>
      </c>
      <c r="D779" t="str">
        <f>_xlfn.XLOOKUP(TBL_USUARIOS[[#This Row],[ID_MASSA]],tbl_de_massas[id_massa],tbl_de_massas[nome_completo],"--",0,1)</f>
        <v>Tatiane Almeida</v>
      </c>
      <c r="E779" t="str">
        <f>_xlfn.XLOOKUP(TBL_USUARIOS[[#This Row],[ID_MASSA]],tbl_de_massas[id_massa],tbl_de_massas[cartao_fisico_numero],"--",0,1)</f>
        <v>4576 7460 3674 1991</v>
      </c>
      <c r="F779" t="str">
        <f>_xlfn.XLOOKUP(TBL_USUARIOS[[#This Row],[ID_MASSA]],tbl_de_massas[id_massa],tbl_de_massas[nome_completo],"--",0,1)</f>
        <v>Tatiane Almeida</v>
      </c>
      <c r="G779" s="47">
        <f>_xlfn.XLOOKUP(TBL_USUARIOS[[#This Row],[ID_MASSA]],tbl_de_massas[id_massa],tbl_de_massas[saldo_conta],"--",0,1)</f>
        <v>9534.7999999999993</v>
      </c>
      <c r="H779" t="str">
        <f>_xlfn.XLOOKUP(TBL_USUARIOS[[#This Row],[ID_MASSA]],tbl_de_massas[id_massa],tbl_de_massas[nome_completo],"--",0,1)</f>
        <v>Tatiane Almeida</v>
      </c>
    </row>
    <row r="780" spans="1:8" x14ac:dyDescent="0.25">
      <c r="A780" s="2" t="s">
        <v>4894</v>
      </c>
      <c r="B780" t="str">
        <f>_xlfn.XLOOKUP(TBL_USUARIOS[[#This Row],[ID_MASSA]],tbl_de_massas[id_massa],tbl_de_massas[cpf],"--",0,1)</f>
        <v>84238578678</v>
      </c>
      <c r="C780" t="s">
        <v>12</v>
      </c>
      <c r="D780" t="str">
        <f>_xlfn.XLOOKUP(TBL_USUARIOS[[#This Row],[ID_MASSA]],tbl_de_massas[id_massa],tbl_de_massas[nome_completo],"--",0,1)</f>
        <v>Debora Borges</v>
      </c>
      <c r="E780" t="str">
        <f>_xlfn.XLOOKUP(TBL_USUARIOS[[#This Row],[ID_MASSA]],tbl_de_massas[id_massa],tbl_de_massas[cartao_fisico_numero],"--",0,1)</f>
        <v/>
      </c>
      <c r="F780" t="str">
        <f>_xlfn.XLOOKUP(TBL_USUARIOS[[#This Row],[ID_MASSA]],tbl_de_massas[id_massa],tbl_de_massas[nome_completo],"--",0,1)</f>
        <v>Debora Borges</v>
      </c>
      <c r="G780" s="47">
        <f>_xlfn.XLOOKUP(TBL_USUARIOS[[#This Row],[ID_MASSA]],tbl_de_massas[id_massa],tbl_de_massas[saldo_conta],"--",0,1)</f>
        <v>9251</v>
      </c>
      <c r="H780" t="str">
        <f>_xlfn.XLOOKUP(TBL_USUARIOS[[#This Row],[ID_MASSA]],tbl_de_massas[id_massa],tbl_de_massas[nome_completo],"--",0,1)</f>
        <v>Debora Borges</v>
      </c>
    </row>
    <row r="781" spans="1:8" x14ac:dyDescent="0.25">
      <c r="A781" s="2" t="s">
        <v>6559</v>
      </c>
      <c r="B781" t="str">
        <f>_xlfn.XLOOKUP(TBL_USUARIOS[[#This Row],[ID_MASSA]],tbl_de_massas[id_massa],tbl_de_massas[cpf],"--",0,1)</f>
        <v>64315351032</v>
      </c>
      <c r="C781" t="s">
        <v>12</v>
      </c>
      <c r="D781" t="str">
        <f>_xlfn.XLOOKUP(TBL_USUARIOS[[#This Row],[ID_MASSA]],tbl_de_massas[id_massa],tbl_de_massas[nome_completo],"--",0,1)</f>
        <v>Li Huang</v>
      </c>
      <c r="E781" t="str">
        <f>_xlfn.XLOOKUP(TBL_USUARIOS[[#This Row],[ID_MASSA]],tbl_de_massas[id_massa],tbl_de_massas[cartao_fisico_numero],"--",0,1)</f>
        <v/>
      </c>
      <c r="F781" t="str">
        <f>_xlfn.XLOOKUP(TBL_USUARIOS[[#This Row],[ID_MASSA]],tbl_de_massas[id_massa],tbl_de_massas[nome_completo],"--",0,1)</f>
        <v>Li Huang</v>
      </c>
      <c r="G781" s="47">
        <f>_xlfn.XLOOKUP(TBL_USUARIOS[[#This Row],[ID_MASSA]],tbl_de_massas[id_massa],tbl_de_massas[saldo_conta],"--",0,1)</f>
        <v>9557.6</v>
      </c>
      <c r="H781" t="str">
        <f>_xlfn.XLOOKUP(TBL_USUARIOS[[#This Row],[ID_MASSA]],tbl_de_massas[id_massa],tbl_de_massas[nome_completo],"--",0,1)</f>
        <v>Li Huang</v>
      </c>
    </row>
    <row r="782" spans="1:8" x14ac:dyDescent="0.25">
      <c r="A782" s="2" t="s">
        <v>3081</v>
      </c>
      <c r="B782" t="str">
        <f>_xlfn.XLOOKUP(TBL_USUARIOS[[#This Row],[ID_MASSA]],tbl_de_massas[id_massa],tbl_de_massas[cpf],"--",0,1)</f>
        <v>18578794494</v>
      </c>
      <c r="C782" t="s">
        <v>12</v>
      </c>
      <c r="D782" t="str">
        <f>_xlfn.XLOOKUP(TBL_USUARIOS[[#This Row],[ID_MASSA]],tbl_de_massas[id_massa],tbl_de_massas[nome_completo],"--",0,1)</f>
        <v>Juliana Silva Moreira</v>
      </c>
      <c r="E782" t="str">
        <f>_xlfn.XLOOKUP(TBL_USUARIOS[[#This Row],[ID_MASSA]],tbl_de_massas[id_massa],tbl_de_massas[cartao_fisico_numero],"--",0,1)</f>
        <v>6062 8200 6666 9231</v>
      </c>
      <c r="F782" t="str">
        <f>_xlfn.XLOOKUP(TBL_USUARIOS[[#This Row],[ID_MASSA]],tbl_de_massas[id_massa],tbl_de_massas[nome_completo],"--",0,1)</f>
        <v>Juliana Silva Moreira</v>
      </c>
      <c r="G782" s="47">
        <f>_xlfn.XLOOKUP(TBL_USUARIOS[[#This Row],[ID_MASSA]],tbl_de_massas[id_massa],tbl_de_massas[saldo_conta],"--",0,1)</f>
        <v>9595.0300000000007</v>
      </c>
      <c r="H782" t="str">
        <f>_xlfn.XLOOKUP(TBL_USUARIOS[[#This Row],[ID_MASSA]],tbl_de_massas[id_massa],tbl_de_massas[nome_completo],"--",0,1)</f>
        <v>Juliana Silva Moreira</v>
      </c>
    </row>
    <row r="783" spans="1:8" x14ac:dyDescent="0.25">
      <c r="A783" s="2" t="s">
        <v>6983</v>
      </c>
      <c r="B783" t="str">
        <f>_xlfn.XLOOKUP(TBL_USUARIOS[[#This Row],[ID_MASSA]],tbl_de_massas[id_massa],tbl_de_massas[cpf],"--",0,1)</f>
        <v>07451017044</v>
      </c>
      <c r="C783" t="s">
        <v>12</v>
      </c>
      <c r="D783" t="str">
        <f>_xlfn.XLOOKUP(TBL_USUARIOS[[#This Row],[ID_MASSA]],tbl_de_massas[id_massa],tbl_de_massas[nome_completo],"--",0,1)</f>
        <v>Gabriela Costa Alves</v>
      </c>
      <c r="E783" t="str">
        <f>_xlfn.XLOOKUP(TBL_USUARIOS[[#This Row],[ID_MASSA]],tbl_de_massas[id_massa],tbl_de_massas[cartao_fisico_numero],"--",0,1)</f>
        <v/>
      </c>
      <c r="F783" t="str">
        <f>_xlfn.XLOOKUP(TBL_USUARIOS[[#This Row],[ID_MASSA]],tbl_de_massas[id_massa],tbl_de_massas[nome_completo],"--",0,1)</f>
        <v>Gabriela Costa Alves</v>
      </c>
      <c r="G783" s="47">
        <f>_xlfn.XLOOKUP(TBL_USUARIOS[[#This Row],[ID_MASSA]],tbl_de_massas[id_massa],tbl_de_massas[saldo_conta],"--",0,1)</f>
        <v>9600.3799999999992</v>
      </c>
      <c r="H783" t="str">
        <f>_xlfn.XLOOKUP(TBL_USUARIOS[[#This Row],[ID_MASSA]],tbl_de_massas[id_massa],tbl_de_massas[nome_completo],"--",0,1)</f>
        <v>Gabriela Costa Alves</v>
      </c>
    </row>
    <row r="784" spans="1:8" x14ac:dyDescent="0.25">
      <c r="A784" s="2" t="s">
        <v>3757</v>
      </c>
      <c r="B784" t="str">
        <f>_xlfn.XLOOKUP(TBL_USUARIOS[[#This Row],[ID_MASSA]],tbl_de_massas[id_massa],tbl_de_massas[cpf],"--",0,1)</f>
        <v>75494348164</v>
      </c>
      <c r="C784" t="s">
        <v>12</v>
      </c>
      <c r="D784" t="str">
        <f>_xlfn.XLOOKUP(TBL_USUARIOS[[#This Row],[ID_MASSA]],tbl_de_massas[id_massa],tbl_de_massas[nome_completo],"--",0,1)</f>
        <v>Camila Moura</v>
      </c>
      <c r="E784" t="str">
        <f>_xlfn.XLOOKUP(TBL_USUARIOS[[#This Row],[ID_MASSA]],tbl_de_massas[id_massa],tbl_de_massas[cartao_fisico_numero],"--",0,1)</f>
        <v>5442 7460 1412 5566</v>
      </c>
      <c r="F784" t="str">
        <f>_xlfn.XLOOKUP(TBL_USUARIOS[[#This Row],[ID_MASSA]],tbl_de_massas[id_massa],tbl_de_massas[nome_completo],"--",0,1)</f>
        <v>Camila Moura</v>
      </c>
      <c r="G784" s="47">
        <f>_xlfn.XLOOKUP(TBL_USUARIOS[[#This Row],[ID_MASSA]],tbl_de_massas[id_massa],tbl_de_massas[saldo_conta],"--",0,1)</f>
        <v>9605.73</v>
      </c>
      <c r="H784" t="str">
        <f>_xlfn.XLOOKUP(TBL_USUARIOS[[#This Row],[ID_MASSA]],tbl_de_massas[id_massa],tbl_de_massas[nome_completo],"--",0,1)</f>
        <v>Camila Moura</v>
      </c>
    </row>
    <row r="785" spans="1:8" x14ac:dyDescent="0.25">
      <c r="A785" s="2" t="s">
        <v>2663</v>
      </c>
      <c r="B785" t="str">
        <f>_xlfn.XLOOKUP(TBL_USUARIOS[[#This Row],[ID_MASSA]],tbl_de_massas[id_massa],tbl_de_massas[cpf],"--",0,1)</f>
        <v>59804342243</v>
      </c>
      <c r="C785" t="s">
        <v>12</v>
      </c>
      <c r="D785" t="str">
        <f>_xlfn.XLOOKUP(TBL_USUARIOS[[#This Row],[ID_MASSA]],tbl_de_massas[id_massa],tbl_de_massas[nome_completo],"--",0,1)</f>
        <v>Luksas Schneider</v>
      </c>
      <c r="E785" t="str">
        <f>_xlfn.XLOOKUP(TBL_USUARIOS[[#This Row],[ID_MASSA]],tbl_de_massas[id_massa],tbl_de_massas[cartao_fisico_numero],"--",0,1)</f>
        <v>5442 7460 7409 7167</v>
      </c>
      <c r="F785" t="str">
        <f>_xlfn.XLOOKUP(TBL_USUARIOS[[#This Row],[ID_MASSA]],tbl_de_massas[id_massa],tbl_de_massas[nome_completo],"--",0,1)</f>
        <v>Luksas Schneider</v>
      </c>
      <c r="G785" s="47">
        <f>_xlfn.XLOOKUP(TBL_USUARIOS[[#This Row],[ID_MASSA]],tbl_de_massas[id_massa],tbl_de_massas[saldo_conta],"--",0,1)</f>
        <v>9610.76</v>
      </c>
      <c r="H785" t="str">
        <f>_xlfn.XLOOKUP(TBL_USUARIOS[[#This Row],[ID_MASSA]],tbl_de_massas[id_massa],tbl_de_massas[nome_completo],"--",0,1)</f>
        <v>Luksas Schneider</v>
      </c>
    </row>
    <row r="786" spans="1:8" x14ac:dyDescent="0.25">
      <c r="A786" s="2" t="s">
        <v>5773</v>
      </c>
      <c r="B786" t="str">
        <f>_xlfn.XLOOKUP(TBL_USUARIOS[[#This Row],[ID_MASSA]],tbl_de_massas[id_massa],tbl_de_massas[cpf],"--",0,1)</f>
        <v>91851981616</v>
      </c>
      <c r="C786" t="s">
        <v>12</v>
      </c>
      <c r="D786" t="str">
        <f>_xlfn.XLOOKUP(TBL_USUARIOS[[#This Row],[ID_MASSA]],tbl_de_massas[id_massa],tbl_de_massas[nome_completo],"--",0,1)</f>
        <v>Leonardo Santos Moreira</v>
      </c>
      <c r="E786" t="str">
        <f>_xlfn.XLOOKUP(TBL_USUARIOS[[#This Row],[ID_MASSA]],tbl_de_massas[id_massa],tbl_de_massas[cartao_fisico_numero],"--",0,1)</f>
        <v>6062 8200 1590 7418</v>
      </c>
      <c r="F786" t="str">
        <f>_xlfn.XLOOKUP(TBL_USUARIOS[[#This Row],[ID_MASSA]],tbl_de_massas[id_massa],tbl_de_massas[nome_completo],"--",0,1)</f>
        <v>Leonardo Santos Moreira</v>
      </c>
      <c r="G786" s="47">
        <f>_xlfn.XLOOKUP(TBL_USUARIOS[[#This Row],[ID_MASSA]],tbl_de_massas[id_massa],tbl_de_massas[saldo_conta],"--",0,1)</f>
        <v>9638.44</v>
      </c>
      <c r="H786" t="str">
        <f>_xlfn.XLOOKUP(TBL_USUARIOS[[#This Row],[ID_MASSA]],tbl_de_massas[id_massa],tbl_de_massas[nome_completo],"--",0,1)</f>
        <v>Leonardo Santos Moreira</v>
      </c>
    </row>
    <row r="787" spans="1:8" x14ac:dyDescent="0.25">
      <c r="A787" s="2" t="s">
        <v>4087</v>
      </c>
      <c r="B787" t="str">
        <f>_xlfn.XLOOKUP(TBL_USUARIOS[[#This Row],[ID_MASSA]],tbl_de_massas[id_massa],tbl_de_massas[cpf],"--",0,1)</f>
        <v>77215701239</v>
      </c>
      <c r="C787" t="s">
        <v>12</v>
      </c>
      <c r="D787" t="str">
        <f>_xlfn.XLOOKUP(TBL_USUARIOS[[#This Row],[ID_MASSA]],tbl_de_massas[id_massa],tbl_de_massas[nome_completo],"--",0,1)</f>
        <v>Debora Martins</v>
      </c>
      <c r="E787" t="str">
        <f>_xlfn.XLOOKUP(TBL_USUARIOS[[#This Row],[ID_MASSA]],tbl_de_massas[id_massa],tbl_de_massas[cartao_fisico_numero],"--",0,1)</f>
        <v/>
      </c>
      <c r="F787" t="str">
        <f>_xlfn.XLOOKUP(TBL_USUARIOS[[#This Row],[ID_MASSA]],tbl_de_massas[id_massa],tbl_de_massas[nome_completo],"--",0,1)</f>
        <v>Debora Martins</v>
      </c>
      <c r="G787" s="47">
        <f>_xlfn.XLOOKUP(TBL_USUARIOS[[#This Row],[ID_MASSA]],tbl_de_massas[id_massa],tbl_de_massas[saldo_conta],"--",0,1)</f>
        <v>9645.0300000000007</v>
      </c>
      <c r="H787" t="str">
        <f>_xlfn.XLOOKUP(TBL_USUARIOS[[#This Row],[ID_MASSA]],tbl_de_massas[id_massa],tbl_de_massas[nome_completo],"--",0,1)</f>
        <v>Debora Martins</v>
      </c>
    </row>
    <row r="788" spans="1:8" x14ac:dyDescent="0.25">
      <c r="A788" s="2" t="s">
        <v>2518</v>
      </c>
      <c r="B788" s="14" t="str">
        <f>_xlfn.XLOOKUP(TBL_USUARIOS[[#This Row],[ID_MASSA]],tbl_de_massas[id_massa],tbl_de_massas[cpf],"--",0,1)</f>
        <v>31151984264</v>
      </c>
      <c r="C788" t="s">
        <v>12</v>
      </c>
      <c r="D788" t="str">
        <f>_xlfn.XLOOKUP(TBL_USUARIOS[[#This Row],[ID_MASSA]],tbl_de_massas[id_massa],tbl_de_massas[nome_completo],"--",0,1)</f>
        <v>Yan Yang</v>
      </c>
      <c r="E788" t="str">
        <f>_xlfn.XLOOKUP(TBL_USUARIOS[[#This Row],[ID_MASSA]],tbl_de_massas[id_massa],tbl_de_massas[cartao_fisico_numero],"--",0,1)</f>
        <v>6062 8200 2411 7903</v>
      </c>
      <c r="F788" t="str">
        <f>_xlfn.XLOOKUP(TBL_USUARIOS[[#This Row],[ID_MASSA]],tbl_de_massas[id_massa],tbl_de_massas[nome_completo],"--",0,1)</f>
        <v>Yan Yang</v>
      </c>
      <c r="G788" s="47">
        <f>_xlfn.XLOOKUP(TBL_USUARIOS[[#This Row],[ID_MASSA]],tbl_de_massas[id_massa],tbl_de_massas[saldo_conta],"--",0,1)</f>
        <v>9673.1200000000008</v>
      </c>
      <c r="H788" t="str">
        <f>_xlfn.XLOOKUP(TBL_USUARIOS[[#This Row],[ID_MASSA]],tbl_de_massas[id_massa],tbl_de_massas[nome_completo],"--",0,1)</f>
        <v>Yan Yang</v>
      </c>
    </row>
    <row r="789" spans="1:8" x14ac:dyDescent="0.25">
      <c r="A789" s="2" t="s">
        <v>6401</v>
      </c>
      <c r="B789" t="str">
        <f>_xlfn.XLOOKUP(TBL_USUARIOS[[#This Row],[ID_MASSA]],tbl_de_massas[id_massa],tbl_de_massas[cpf],"--",0,1)</f>
        <v>78323472440</v>
      </c>
      <c r="C789" t="s">
        <v>12</v>
      </c>
      <c r="D789" t="str">
        <f>_xlfn.XLOOKUP(TBL_USUARIOS[[#This Row],[ID_MASSA]],tbl_de_massas[id_massa],tbl_de_massas[nome_completo],"--",0,1)</f>
        <v>Fang Wang</v>
      </c>
      <c r="E789" t="str">
        <f>_xlfn.XLOOKUP(TBL_USUARIOS[[#This Row],[ID_MASSA]],tbl_de_massas[id_massa],tbl_de_massas[cartao_fisico_numero],"--",0,1)</f>
        <v>3782 299190 9616</v>
      </c>
      <c r="F789" t="str">
        <f>_xlfn.XLOOKUP(TBL_USUARIOS[[#This Row],[ID_MASSA]],tbl_de_massas[id_massa],tbl_de_massas[nome_completo],"--",0,1)</f>
        <v>Fang Wang</v>
      </c>
      <c r="G789" s="47">
        <f>_xlfn.XLOOKUP(TBL_USUARIOS[[#This Row],[ID_MASSA]],tbl_de_massas[id_massa],tbl_de_massas[saldo_conta],"--",0,1)</f>
        <v>9684</v>
      </c>
      <c r="H789" t="str">
        <f>_xlfn.XLOOKUP(TBL_USUARIOS[[#This Row],[ID_MASSA]],tbl_de_massas[id_massa],tbl_de_massas[nome_completo],"--",0,1)</f>
        <v>Fang Wang</v>
      </c>
    </row>
    <row r="790" spans="1:8" x14ac:dyDescent="0.25">
      <c r="A790" s="2" t="s">
        <v>4779</v>
      </c>
      <c r="B790" t="str">
        <f>_xlfn.XLOOKUP(TBL_USUARIOS[[#This Row],[ID_MASSA]],tbl_de_massas[id_massa],tbl_de_massas[cpf],"--",0,1)</f>
        <v>87858733141</v>
      </c>
      <c r="C790" t="s">
        <v>12</v>
      </c>
      <c r="D790" t="str">
        <f>_xlfn.XLOOKUP(TBL_USUARIOS[[#This Row],[ID_MASSA]],tbl_de_massas[id_massa],tbl_de_massas[nome_completo],"--",0,1)</f>
        <v>Eduardo Almeida Martins</v>
      </c>
      <c r="E790" t="str">
        <f>_xlfn.XLOOKUP(TBL_USUARIOS[[#This Row],[ID_MASSA]],tbl_de_massas[id_massa],tbl_de_massas[cartao_fisico_numero],"--",0,1)</f>
        <v>3782 794833 4928</v>
      </c>
      <c r="F790" t="str">
        <f>_xlfn.XLOOKUP(TBL_USUARIOS[[#This Row],[ID_MASSA]],tbl_de_massas[id_massa],tbl_de_massas[nome_completo],"--",0,1)</f>
        <v>Eduardo Almeida Martins</v>
      </c>
      <c r="G790" s="47">
        <f>_xlfn.XLOOKUP(TBL_USUARIOS[[#This Row],[ID_MASSA]],tbl_de_massas[id_massa],tbl_de_massas[saldo_conta],"--",0,1)</f>
        <v>9689.4500000000007</v>
      </c>
      <c r="H790" t="str">
        <f>_xlfn.XLOOKUP(TBL_USUARIOS[[#This Row],[ID_MASSA]],tbl_de_massas[id_massa],tbl_de_massas[nome_completo],"--",0,1)</f>
        <v>Eduardo Almeida Martins</v>
      </c>
    </row>
    <row r="791" spans="1:8" x14ac:dyDescent="0.25">
      <c r="A791" s="2" t="s">
        <v>3608</v>
      </c>
      <c r="B791" t="str">
        <f>_xlfn.XLOOKUP(TBL_USUARIOS[[#This Row],[ID_MASSA]],tbl_de_massas[id_massa],tbl_de_massas[cpf],"--",0,1)</f>
        <v>42927399000</v>
      </c>
      <c r="C791" t="s">
        <v>12</v>
      </c>
      <c r="D791" t="str">
        <f>_xlfn.XLOOKUP(TBL_USUARIOS[[#This Row],[ID_MASSA]],tbl_de_massas[id_massa],tbl_de_massas[nome_completo],"--",0,1)</f>
        <v>Fabio Santos</v>
      </c>
      <c r="E791" t="str">
        <f>_xlfn.XLOOKUP(TBL_USUARIOS[[#This Row],[ID_MASSA]],tbl_de_massas[id_massa],tbl_de_massas[cartao_fisico_numero],"--",0,1)</f>
        <v>3782 389203 6229</v>
      </c>
      <c r="F791" t="str">
        <f>_xlfn.XLOOKUP(TBL_USUARIOS[[#This Row],[ID_MASSA]],tbl_de_massas[id_massa],tbl_de_massas[nome_completo],"--",0,1)</f>
        <v>Fabio Santos</v>
      </c>
      <c r="G791" s="47">
        <f>_xlfn.XLOOKUP(TBL_USUARIOS[[#This Row],[ID_MASSA]],tbl_de_massas[id_massa],tbl_de_massas[saldo_conta],"--",0,1)</f>
        <v>9689.5400000000009</v>
      </c>
      <c r="H791" t="str">
        <f>_xlfn.XLOOKUP(TBL_USUARIOS[[#This Row],[ID_MASSA]],tbl_de_massas[id_massa],tbl_de_massas[nome_completo],"--",0,1)</f>
        <v>Fabio Santos</v>
      </c>
    </row>
    <row r="792" spans="1:8" x14ac:dyDescent="0.25">
      <c r="A792" s="2" t="s">
        <v>2743</v>
      </c>
      <c r="B792" t="str">
        <f>_xlfn.XLOOKUP(TBL_USUARIOS[[#This Row],[ID_MASSA]],tbl_de_massas[id_massa],tbl_de_massas[cpf],"--",0,1)</f>
        <v>92166446213</v>
      </c>
      <c r="C792" t="s">
        <v>12</v>
      </c>
      <c r="D792" t="str">
        <f>_xlfn.XLOOKUP(TBL_USUARIOS[[#This Row],[ID_MASSA]],tbl_de_massas[id_massa],tbl_de_massas[nome_completo],"--",0,1)</f>
        <v>Matheus Souza</v>
      </c>
      <c r="E792" t="str">
        <f>_xlfn.XLOOKUP(TBL_USUARIOS[[#This Row],[ID_MASSA]],tbl_de_massas[id_massa],tbl_de_massas[cartao_fisico_numero],"--",0,1)</f>
        <v/>
      </c>
      <c r="F792" t="str">
        <f>_xlfn.XLOOKUP(TBL_USUARIOS[[#This Row],[ID_MASSA]],tbl_de_massas[id_massa],tbl_de_massas[nome_completo],"--",0,1)</f>
        <v>Matheus Souza</v>
      </c>
      <c r="G792" s="47">
        <f>_xlfn.XLOOKUP(TBL_USUARIOS[[#This Row],[ID_MASSA]],tbl_de_massas[id_massa],tbl_de_massas[saldo_conta],"--",0,1)</f>
        <v>5858.68</v>
      </c>
      <c r="H792" t="str">
        <f>_xlfn.XLOOKUP(TBL_USUARIOS[[#This Row],[ID_MASSA]],tbl_de_massas[id_massa],tbl_de_massas[nome_completo],"--",0,1)</f>
        <v>Matheus Souza</v>
      </c>
    </row>
    <row r="793" spans="1:8" x14ac:dyDescent="0.25">
      <c r="A793" s="2" t="s">
        <v>7107</v>
      </c>
      <c r="B793" t="str">
        <f>_xlfn.XLOOKUP(TBL_USUARIOS[[#This Row],[ID_MASSA]],tbl_de_massas[id_massa],tbl_de_massas[cpf],"--",0,1)</f>
        <v>74894658500</v>
      </c>
      <c r="C793" t="s">
        <v>12</v>
      </c>
      <c r="D793" t="str">
        <f>_xlfn.XLOOKUP(TBL_USUARIOS[[#This Row],[ID_MASSA]],tbl_de_massas[id_massa],tbl_de_massas[nome_completo],"--",0,1)</f>
        <v>Larissa Souza Costa</v>
      </c>
      <c r="E793" t="str">
        <f>_xlfn.XLOOKUP(TBL_USUARIOS[[#This Row],[ID_MASSA]],tbl_de_massas[id_massa],tbl_de_massas[cartao_fisico_numero],"--",0,1)</f>
        <v>6505 0666 1320 5036</v>
      </c>
      <c r="F793" t="str">
        <f>_xlfn.XLOOKUP(TBL_USUARIOS[[#This Row],[ID_MASSA]],tbl_de_massas[id_massa],tbl_de_massas[nome_completo],"--",0,1)</f>
        <v>Larissa Souza Costa</v>
      </c>
      <c r="G793" s="47">
        <f>_xlfn.XLOOKUP(TBL_USUARIOS[[#This Row],[ID_MASSA]],tbl_de_massas[id_massa],tbl_de_massas[saldo_conta],"--",0,1)</f>
        <v>9752.33</v>
      </c>
      <c r="H793" t="str">
        <f>_xlfn.XLOOKUP(TBL_USUARIOS[[#This Row],[ID_MASSA]],tbl_de_massas[id_massa],tbl_de_massas[nome_completo],"--",0,1)</f>
        <v>Larissa Souza Costa</v>
      </c>
    </row>
    <row r="794" spans="1:8" x14ac:dyDescent="0.25">
      <c r="A794" s="2" t="s">
        <v>7098</v>
      </c>
      <c r="B794" t="str">
        <f>_xlfn.XLOOKUP(TBL_USUARIOS[[#This Row],[ID_MASSA]],tbl_de_massas[id_massa],tbl_de_massas[cpf],"--",0,1)</f>
        <v>86993334712</v>
      </c>
      <c r="C794" t="s">
        <v>12</v>
      </c>
      <c r="D794" t="str">
        <f>_xlfn.XLOOKUP(TBL_USUARIOS[[#This Row],[ID_MASSA]],tbl_de_massas[id_massa],tbl_de_massas[nome_completo],"--",0,1)</f>
        <v>Guilherme Lima Santos</v>
      </c>
      <c r="E794" t="str">
        <f>_xlfn.XLOOKUP(TBL_USUARIOS[[#This Row],[ID_MASSA]],tbl_de_massas[id_massa],tbl_de_massas[cartao_fisico_numero],"--",0,1)</f>
        <v>3782 721577 2023</v>
      </c>
      <c r="F794" t="str">
        <f>_xlfn.XLOOKUP(TBL_USUARIOS[[#This Row],[ID_MASSA]],tbl_de_massas[id_massa],tbl_de_massas[nome_completo],"--",0,1)</f>
        <v>Guilherme Lima Santos</v>
      </c>
      <c r="G794" s="47">
        <f>_xlfn.XLOOKUP(TBL_USUARIOS[[#This Row],[ID_MASSA]],tbl_de_massas[id_massa],tbl_de_massas[saldo_conta],"--",0,1)</f>
        <v>9765.02</v>
      </c>
      <c r="H794" t="str">
        <f>_xlfn.XLOOKUP(TBL_USUARIOS[[#This Row],[ID_MASSA]],tbl_de_massas[id_massa],tbl_de_massas[nome_completo],"--",0,1)</f>
        <v>Guilherme Lima Santos</v>
      </c>
    </row>
    <row r="795" spans="1:8" x14ac:dyDescent="0.25">
      <c r="A795" s="2" t="s">
        <v>5847</v>
      </c>
      <c r="B795" t="str">
        <f>_xlfn.XLOOKUP(TBL_USUARIOS[[#This Row],[ID_MASSA]],tbl_de_massas[id_massa],tbl_de_massas[cpf],"--",0,1)</f>
        <v>58236682366</v>
      </c>
      <c r="C795" t="s">
        <v>12</v>
      </c>
      <c r="D795" t="str">
        <f>_xlfn.XLOOKUP(TBL_USUARIOS[[#This Row],[ID_MASSA]],tbl_de_massas[id_massa],tbl_de_massas[nome_completo],"--",0,1)</f>
        <v>Matheus Lima</v>
      </c>
      <c r="E795" t="str">
        <f>_xlfn.XLOOKUP(TBL_USUARIOS[[#This Row],[ID_MASSA]],tbl_de_massas[id_massa],tbl_de_massas[cartao_fisico_numero],"--",0,1)</f>
        <v>6062 8200 6540 1736</v>
      </c>
      <c r="F795" t="str">
        <f>_xlfn.XLOOKUP(TBL_USUARIOS[[#This Row],[ID_MASSA]],tbl_de_massas[id_massa],tbl_de_massas[nome_completo],"--",0,1)</f>
        <v>Matheus Lima</v>
      </c>
      <c r="G795" s="47">
        <f>_xlfn.XLOOKUP(TBL_USUARIOS[[#This Row],[ID_MASSA]],tbl_de_massas[id_massa],tbl_de_massas[saldo_conta],"--",0,1)</f>
        <v>9776.01</v>
      </c>
      <c r="H795" t="str">
        <f>_xlfn.XLOOKUP(TBL_USUARIOS[[#This Row],[ID_MASSA]],tbl_de_massas[id_massa],tbl_de_massas[nome_completo],"--",0,1)</f>
        <v>Matheus Lima</v>
      </c>
    </row>
    <row r="796" spans="1:8" x14ac:dyDescent="0.25">
      <c r="A796" s="2" t="s">
        <v>3744</v>
      </c>
      <c r="B796" t="str">
        <f>_xlfn.XLOOKUP(TBL_USUARIOS[[#This Row],[ID_MASSA]],tbl_de_massas[id_massa],tbl_de_massas[cpf],"--",0,1)</f>
        <v>05030884041</v>
      </c>
      <c r="C796" t="s">
        <v>12</v>
      </c>
      <c r="D796" t="str">
        <f>_xlfn.XLOOKUP(TBL_USUARIOS[[#This Row],[ID_MASSA]],tbl_de_massas[id_massa],tbl_de_massas[nome_completo],"--",0,1)</f>
        <v>Renata Santos Fernandes</v>
      </c>
      <c r="E796" t="str">
        <f>_xlfn.XLOOKUP(TBL_USUARIOS[[#This Row],[ID_MASSA]],tbl_de_massas[id_massa],tbl_de_massas[cartao_fisico_numero],"--",0,1)</f>
        <v>5442 7460 2757 7964</v>
      </c>
      <c r="F796" t="str">
        <f>_xlfn.XLOOKUP(TBL_USUARIOS[[#This Row],[ID_MASSA]],tbl_de_massas[id_massa],tbl_de_massas[nome_completo],"--",0,1)</f>
        <v>Renata Santos Fernandes</v>
      </c>
      <c r="G796" s="47">
        <f>_xlfn.XLOOKUP(TBL_USUARIOS[[#This Row],[ID_MASSA]],tbl_de_massas[id_massa],tbl_de_massas[saldo_conta],"--",0,1)</f>
        <v>9776.0499999999993</v>
      </c>
      <c r="H796" t="str">
        <f>_xlfn.XLOOKUP(TBL_USUARIOS[[#This Row],[ID_MASSA]],tbl_de_massas[id_massa],tbl_de_massas[nome_completo],"--",0,1)</f>
        <v>Renata Santos Fernandes</v>
      </c>
    </row>
    <row r="797" spans="1:8" x14ac:dyDescent="0.25">
      <c r="A797" s="2" t="s">
        <v>5510</v>
      </c>
      <c r="B797" t="str">
        <f>_xlfn.XLOOKUP(TBL_USUARIOS[[#This Row],[ID_MASSA]],tbl_de_massas[id_massa],tbl_de_massas[cpf],"--",0,1)</f>
        <v>05945256404</v>
      </c>
      <c r="C797" t="s">
        <v>12</v>
      </c>
      <c r="D797" t="str">
        <f>_xlfn.XLOOKUP(TBL_USUARIOS[[#This Row],[ID_MASSA]],tbl_de_massas[id_massa],tbl_de_massas[nome_completo],"--",0,1)</f>
        <v>Priscila Martins Freitas</v>
      </c>
      <c r="E797" t="str">
        <f>_xlfn.XLOOKUP(TBL_USUARIOS[[#This Row],[ID_MASSA]],tbl_de_massas[id_massa],tbl_de_massas[cartao_fisico_numero],"--",0,1)</f>
        <v/>
      </c>
      <c r="F797" t="str">
        <f>_xlfn.XLOOKUP(TBL_USUARIOS[[#This Row],[ID_MASSA]],tbl_de_massas[id_massa],tbl_de_massas[nome_completo],"--",0,1)</f>
        <v>Priscila Martins Freitas</v>
      </c>
      <c r="G797" s="47">
        <f>_xlfn.XLOOKUP(TBL_USUARIOS[[#This Row],[ID_MASSA]],tbl_de_massas[id_massa],tbl_de_massas[saldo_conta],"--",0,1)</f>
        <v>9777.2800000000007</v>
      </c>
      <c r="H797" t="str">
        <f>_xlfn.XLOOKUP(TBL_USUARIOS[[#This Row],[ID_MASSA]],tbl_de_massas[id_massa],tbl_de_massas[nome_completo],"--",0,1)</f>
        <v>Priscila Martins Freitas</v>
      </c>
    </row>
    <row r="798" spans="1:8" x14ac:dyDescent="0.25">
      <c r="A798" s="2" t="s">
        <v>7158</v>
      </c>
      <c r="B798" t="str">
        <f>_xlfn.XLOOKUP(TBL_USUARIOS[[#This Row],[ID_MASSA]],tbl_de_massas[id_massa],tbl_de_massas[cpf],"--",0,1)</f>
        <v>01602978778</v>
      </c>
      <c r="C798" t="s">
        <v>12</v>
      </c>
      <c r="D798" t="str">
        <f>_xlfn.XLOOKUP(TBL_USUARIOS[[#This Row],[ID_MASSA]],tbl_de_massas[id_massa],tbl_de_massas[nome_completo],"--",0,1)</f>
        <v>Thiago Castro</v>
      </c>
      <c r="E798" t="str">
        <f>_xlfn.XLOOKUP(TBL_USUARIOS[[#This Row],[ID_MASSA]],tbl_de_massas[id_massa],tbl_de_massas[cartao_fisico_numero],"--",0,1)</f>
        <v>6505 0666 6811 4822</v>
      </c>
      <c r="F798" t="str">
        <f>_xlfn.XLOOKUP(TBL_USUARIOS[[#This Row],[ID_MASSA]],tbl_de_massas[id_massa],tbl_de_massas[nome_completo],"--",0,1)</f>
        <v>Thiago Castro</v>
      </c>
      <c r="G798" s="47">
        <f>_xlfn.XLOOKUP(TBL_USUARIOS[[#This Row],[ID_MASSA]],tbl_de_massas[id_massa],tbl_de_massas[saldo_conta],"--",0,1)</f>
        <v>9784.3700000000008</v>
      </c>
      <c r="H798" t="str">
        <f>_xlfn.XLOOKUP(TBL_USUARIOS[[#This Row],[ID_MASSA]],tbl_de_massas[id_massa],tbl_de_massas[nome_completo],"--",0,1)</f>
        <v>Thiago Castro</v>
      </c>
    </row>
    <row r="799" spans="1:8" x14ac:dyDescent="0.25">
      <c r="A799" s="2" t="s">
        <v>7038</v>
      </c>
      <c r="B799" t="str">
        <f>_xlfn.XLOOKUP(TBL_USUARIOS[[#This Row],[ID_MASSA]],tbl_de_massas[id_massa],tbl_de_massas[cpf],"--",0,1)</f>
        <v>20255670222</v>
      </c>
      <c r="C799" t="s">
        <v>12</v>
      </c>
      <c r="D799" t="str">
        <f>_xlfn.XLOOKUP(TBL_USUARIOS[[#This Row],[ID_MASSA]],tbl_de_massas[id_massa],tbl_de_massas[nome_completo],"--",0,1)</f>
        <v>Gabriela Moura</v>
      </c>
      <c r="E799" t="str">
        <f>_xlfn.XLOOKUP(TBL_USUARIOS[[#This Row],[ID_MASSA]],tbl_de_massas[id_massa],tbl_de_massas[cartao_fisico_numero],"--",0,1)</f>
        <v/>
      </c>
      <c r="F799" t="str">
        <f>_xlfn.XLOOKUP(TBL_USUARIOS[[#This Row],[ID_MASSA]],tbl_de_massas[id_massa],tbl_de_massas[nome_completo],"--",0,1)</f>
        <v>Gabriela Moura</v>
      </c>
      <c r="G799" s="47">
        <f>_xlfn.XLOOKUP(TBL_USUARIOS[[#This Row],[ID_MASSA]],tbl_de_massas[id_massa],tbl_de_massas[saldo_conta],"--",0,1)</f>
        <v>9789.3799999999992</v>
      </c>
      <c r="H799" t="str">
        <f>_xlfn.XLOOKUP(TBL_USUARIOS[[#This Row],[ID_MASSA]],tbl_de_massas[id_massa],tbl_de_massas[nome_completo],"--",0,1)</f>
        <v>Gabriela Moura</v>
      </c>
    </row>
    <row r="800" spans="1:8" x14ac:dyDescent="0.25">
      <c r="A800" s="2" t="s">
        <v>3429</v>
      </c>
      <c r="B800" t="str">
        <f>_xlfn.XLOOKUP(TBL_USUARIOS[[#This Row],[ID_MASSA]],tbl_de_massas[id_massa],tbl_de_massas[cpf],"--",0,1)</f>
        <v>10220526753</v>
      </c>
      <c r="C800" t="s">
        <v>12</v>
      </c>
      <c r="D800" t="str">
        <f>_xlfn.XLOOKUP(TBL_USUARIOS[[#This Row],[ID_MASSA]],tbl_de_massas[id_massa],tbl_de_massas[nome_completo],"--",0,1)</f>
        <v>Diego Lima Campos</v>
      </c>
      <c r="E800" t="str">
        <f>_xlfn.XLOOKUP(TBL_USUARIOS[[#This Row],[ID_MASSA]],tbl_de_massas[id_massa],tbl_de_massas[cartao_fisico_numero],"--",0,1)</f>
        <v>3782 735652 3026</v>
      </c>
      <c r="F800" t="str">
        <f>_xlfn.XLOOKUP(TBL_USUARIOS[[#This Row],[ID_MASSA]],tbl_de_massas[id_massa],tbl_de_massas[nome_completo],"--",0,1)</f>
        <v>Diego Lima Campos</v>
      </c>
      <c r="G800" s="47">
        <f>_xlfn.XLOOKUP(TBL_USUARIOS[[#This Row],[ID_MASSA]],tbl_de_massas[id_massa],tbl_de_massas[saldo_conta],"--",0,1)</f>
        <v>9794.11</v>
      </c>
      <c r="H800" t="str">
        <f>_xlfn.XLOOKUP(TBL_USUARIOS[[#This Row],[ID_MASSA]],tbl_de_massas[id_massa],tbl_de_massas[nome_completo],"--",0,1)</f>
        <v>Diego Lima Campos</v>
      </c>
    </row>
    <row r="801" spans="1:8" x14ac:dyDescent="0.25">
      <c r="A801" s="2" t="s">
        <v>7082</v>
      </c>
      <c r="B801" t="str">
        <f>_xlfn.XLOOKUP(TBL_USUARIOS[[#This Row],[ID_MASSA]],tbl_de_massas[id_massa],tbl_de_massas[cpf],"--",0,1)</f>
        <v>73874343286</v>
      </c>
      <c r="C801" t="s">
        <v>12</v>
      </c>
      <c r="D801" t="str">
        <f>_xlfn.XLOOKUP(TBL_USUARIOS[[#This Row],[ID_MASSA]],tbl_de_massas[id_massa],tbl_de_massas[nome_completo],"--",0,1)</f>
        <v>Fernanda Pereira</v>
      </c>
      <c r="E801" t="str">
        <f>_xlfn.XLOOKUP(TBL_USUARIOS[[#This Row],[ID_MASSA]],tbl_de_massas[id_massa],tbl_de_massas[cartao_fisico_numero],"--",0,1)</f>
        <v>6505 0666 6723 1404</v>
      </c>
      <c r="F801" t="str">
        <f>_xlfn.XLOOKUP(TBL_USUARIOS[[#This Row],[ID_MASSA]],tbl_de_massas[id_massa],tbl_de_massas[nome_completo],"--",0,1)</f>
        <v>Fernanda Pereira</v>
      </c>
      <c r="G801" s="47">
        <f>_xlfn.XLOOKUP(TBL_USUARIOS[[#This Row],[ID_MASSA]],tbl_de_massas[id_massa],tbl_de_massas[saldo_conta],"--",0,1)</f>
        <v>9801.76</v>
      </c>
      <c r="H801" t="str">
        <f>_xlfn.XLOOKUP(TBL_USUARIOS[[#This Row],[ID_MASSA]],tbl_de_massas[id_massa],tbl_de_massas[nome_completo],"--",0,1)</f>
        <v>Fernanda Pereira</v>
      </c>
    </row>
    <row r="802" spans="1:8" x14ac:dyDescent="0.25">
      <c r="A802" s="2" t="s">
        <v>4082</v>
      </c>
      <c r="B802" t="str">
        <f>_xlfn.XLOOKUP(TBL_USUARIOS[[#This Row],[ID_MASSA]],tbl_de_massas[id_massa],tbl_de_massas[cpf],"--",0,1)</f>
        <v>42439593400</v>
      </c>
      <c r="C802" t="s">
        <v>12</v>
      </c>
      <c r="D802" t="str">
        <f>_xlfn.XLOOKUP(TBL_USUARIOS[[#This Row],[ID_MASSA]],tbl_de_massas[id_massa],tbl_de_massas[nome_completo],"--",0,1)</f>
        <v>Leonardo Fernandes Teixeira</v>
      </c>
      <c r="E802" t="str">
        <f>_xlfn.XLOOKUP(TBL_USUARIOS[[#This Row],[ID_MASSA]],tbl_de_massas[id_massa],tbl_de_massas[cartao_fisico_numero],"--",0,1)</f>
        <v>4576 7460 1152 1301</v>
      </c>
      <c r="F802" t="str">
        <f>_xlfn.XLOOKUP(TBL_USUARIOS[[#This Row],[ID_MASSA]],tbl_de_massas[id_massa],tbl_de_massas[nome_completo],"--",0,1)</f>
        <v>Leonardo Fernandes Teixeira</v>
      </c>
      <c r="G802" s="47">
        <f>_xlfn.XLOOKUP(TBL_USUARIOS[[#This Row],[ID_MASSA]],tbl_de_massas[id_massa],tbl_de_massas[saldo_conta],"--",0,1)</f>
        <v>9825.2800000000007</v>
      </c>
      <c r="H802" t="str">
        <f>_xlfn.XLOOKUP(TBL_USUARIOS[[#This Row],[ID_MASSA]],tbl_de_massas[id_massa],tbl_de_massas[nome_completo],"--",0,1)</f>
        <v>Leonardo Fernandes Teixeira</v>
      </c>
    </row>
    <row r="803" spans="1:8" x14ac:dyDescent="0.25">
      <c r="A803" s="2" t="s">
        <v>2593</v>
      </c>
      <c r="B803" s="14" t="str">
        <f>_xlfn.XLOOKUP(TBL_USUARIOS[[#This Row],[ID_MASSA]],tbl_de_massas[id_massa],tbl_de_massas[cpf],"--",0,1)</f>
        <v>17867091041</v>
      </c>
      <c r="C803" t="s">
        <v>12</v>
      </c>
      <c r="D803" t="str">
        <f>_xlfn.XLOOKUP(TBL_USUARIOS[[#This Row],[ID_MASSA]],tbl_de_massas[id_massa],tbl_de_massas[nome_completo],"--",0,1)</f>
        <v>Kenji Suiato</v>
      </c>
      <c r="E803" t="str">
        <f>_xlfn.XLOOKUP(TBL_USUARIOS[[#This Row],[ID_MASSA]],tbl_de_massas[id_massa],tbl_de_massas[cartao_fisico_numero],"--",0,1)</f>
        <v>6505 0666 3050 6750</v>
      </c>
      <c r="F803" t="str">
        <f>_xlfn.XLOOKUP(TBL_USUARIOS[[#This Row],[ID_MASSA]],tbl_de_massas[id_massa],tbl_de_massas[nome_completo],"--",0,1)</f>
        <v>Kenji Suiato</v>
      </c>
      <c r="G803" s="47">
        <f>_xlfn.XLOOKUP(TBL_USUARIOS[[#This Row],[ID_MASSA]],tbl_de_massas[id_massa],tbl_de_massas[saldo_conta],"--",0,1)</f>
        <v>9245.74</v>
      </c>
      <c r="H803" t="str">
        <f>_xlfn.XLOOKUP(TBL_USUARIOS[[#This Row],[ID_MASSA]],tbl_de_massas[id_massa],tbl_de_massas[nome_completo],"--",0,1)</f>
        <v>Kenji Suiato</v>
      </c>
    </row>
    <row r="804" spans="1:8" x14ac:dyDescent="0.25">
      <c r="A804" s="2" t="s">
        <v>2443</v>
      </c>
      <c r="B804" s="14" t="str">
        <f>_xlfn.XLOOKUP(TBL_USUARIOS[[#This Row],[ID_MASSA]],tbl_de_massas[id_massa],tbl_de_massas[cpf],"--",0,1)</f>
        <v>51484422635</v>
      </c>
      <c r="C804" t="s">
        <v>12</v>
      </c>
      <c r="D804" t="str">
        <f>_xlfn.XLOOKUP(TBL_USUARIOS[[#This Row],[ID_MASSA]],tbl_de_massas[id_massa],tbl_de_massas[nome_completo],"--",0,1)</f>
        <v>Joon Jeong</v>
      </c>
      <c r="E804" t="str">
        <f>_xlfn.XLOOKUP(TBL_USUARIOS[[#This Row],[ID_MASSA]],tbl_de_massas[id_massa],tbl_de_massas[cartao_fisico_numero],"--",0,1)</f>
        <v>6505 0666 2920 0649</v>
      </c>
      <c r="F804" t="str">
        <f>_xlfn.XLOOKUP(TBL_USUARIOS[[#This Row],[ID_MASSA]],tbl_de_massas[id_massa],tbl_de_massas[nome_completo],"--",0,1)</f>
        <v>Joon Jeong</v>
      </c>
      <c r="G804" s="47">
        <f>_xlfn.XLOOKUP(TBL_USUARIOS[[#This Row],[ID_MASSA]],tbl_de_massas[id_massa],tbl_de_massas[saldo_conta],"--",0,1)</f>
        <v>5884.6</v>
      </c>
      <c r="H804" t="str">
        <f>_xlfn.XLOOKUP(TBL_USUARIOS[[#This Row],[ID_MASSA]],tbl_de_massas[id_massa],tbl_de_massas[nome_completo],"--",0,1)</f>
        <v>Joon Jeong</v>
      </c>
    </row>
    <row r="805" spans="1:8" x14ac:dyDescent="0.25">
      <c r="A805" s="2" t="s">
        <v>5259</v>
      </c>
      <c r="B805" t="str">
        <f>_xlfn.XLOOKUP(TBL_USUARIOS[[#This Row],[ID_MASSA]],tbl_de_massas[id_massa],tbl_de_massas[cpf],"--",0,1)</f>
        <v>98330280551</v>
      </c>
      <c r="C805" t="s">
        <v>12</v>
      </c>
      <c r="D805" t="str">
        <f>_xlfn.XLOOKUP(TBL_USUARIOS[[#This Row],[ID_MASSA]],tbl_de_massas[id_massa],tbl_de_massas[nome_completo],"--",0,1)</f>
        <v>Marcelo Castro Monteiro</v>
      </c>
      <c r="E805" t="str">
        <f>_xlfn.XLOOKUP(TBL_USUARIOS[[#This Row],[ID_MASSA]],tbl_de_massas[id_massa],tbl_de_massas[cartao_fisico_numero],"--",0,1)</f>
        <v/>
      </c>
      <c r="F805" t="str">
        <f>_xlfn.XLOOKUP(TBL_USUARIOS[[#This Row],[ID_MASSA]],tbl_de_massas[id_massa],tbl_de_massas[nome_completo],"--",0,1)</f>
        <v>Marcelo Castro Monteiro</v>
      </c>
      <c r="G805" s="47">
        <f>_xlfn.XLOOKUP(TBL_USUARIOS[[#This Row],[ID_MASSA]],tbl_de_massas[id_massa],tbl_de_massas[saldo_conta],"--",0,1)</f>
        <v>9853.5</v>
      </c>
      <c r="H805" t="str">
        <f>_xlfn.XLOOKUP(TBL_USUARIOS[[#This Row],[ID_MASSA]],tbl_de_massas[id_massa],tbl_de_massas[nome_completo],"--",0,1)</f>
        <v>Marcelo Castro Monteiro</v>
      </c>
    </row>
    <row r="806" spans="1:8" x14ac:dyDescent="0.25">
      <c r="A806" s="2" t="s">
        <v>6454</v>
      </c>
      <c r="B806" t="str">
        <f>_xlfn.XLOOKUP(TBL_USUARIOS[[#This Row],[ID_MASSA]],tbl_de_massas[id_massa],tbl_de_massas[cpf],"--",0,1)</f>
        <v>84560585806</v>
      </c>
      <c r="C806" t="s">
        <v>12</v>
      </c>
      <c r="D806" t="str">
        <f>_xlfn.XLOOKUP(TBL_USUARIOS[[#This Row],[ID_MASSA]],tbl_de_massas[id_massa],tbl_de_massas[nome_completo],"--",0,1)</f>
        <v>Lei Yang Zhu</v>
      </c>
      <c r="E806" t="str">
        <f>_xlfn.XLOOKUP(TBL_USUARIOS[[#This Row],[ID_MASSA]],tbl_de_massas[id_massa],tbl_de_massas[cartao_fisico_numero],"--",0,1)</f>
        <v/>
      </c>
      <c r="F806" t="str">
        <f>_xlfn.XLOOKUP(TBL_USUARIOS[[#This Row],[ID_MASSA]],tbl_de_massas[id_massa],tbl_de_massas[nome_completo],"--",0,1)</f>
        <v>Lei Yang Zhu</v>
      </c>
      <c r="G806" s="47">
        <f>_xlfn.XLOOKUP(TBL_USUARIOS[[#This Row],[ID_MASSA]],tbl_de_massas[id_massa],tbl_de_massas[saldo_conta],"--",0,1)</f>
        <v>9872.56</v>
      </c>
      <c r="H806" t="str">
        <f>_xlfn.XLOOKUP(TBL_USUARIOS[[#This Row],[ID_MASSA]],tbl_de_massas[id_massa],tbl_de_massas[nome_completo],"--",0,1)</f>
        <v>Lei Yang Zhu</v>
      </c>
    </row>
    <row r="807" spans="1:8" x14ac:dyDescent="0.25">
      <c r="A807" s="2" t="s">
        <v>2944</v>
      </c>
      <c r="B807" t="str">
        <f>_xlfn.XLOOKUP(TBL_USUARIOS[[#This Row],[ID_MASSA]],tbl_de_massas[id_massa],tbl_de_massas[cpf],"--",0,1)</f>
        <v>20840762003</v>
      </c>
      <c r="C807" t="s">
        <v>12</v>
      </c>
      <c r="D807" t="str">
        <f>_xlfn.XLOOKUP(TBL_USUARIOS[[#This Row],[ID_MASSA]],tbl_de_massas[id_massa],tbl_de_massas[nome_completo],"--",0,1)</f>
        <v>Juliana Almeida Moura</v>
      </c>
      <c r="E807" t="str">
        <f>_xlfn.XLOOKUP(TBL_USUARIOS[[#This Row],[ID_MASSA]],tbl_de_massas[id_massa],tbl_de_massas[cartao_fisico_numero],"--",0,1)</f>
        <v>6505 0666 3139 3312</v>
      </c>
      <c r="F807" t="str">
        <f>_xlfn.XLOOKUP(TBL_USUARIOS[[#This Row],[ID_MASSA]],tbl_de_massas[id_massa],tbl_de_massas[nome_completo],"--",0,1)</f>
        <v>Juliana Almeida Moura</v>
      </c>
      <c r="G807" s="47">
        <f>_xlfn.XLOOKUP(TBL_USUARIOS[[#This Row],[ID_MASSA]],tbl_de_massas[id_massa],tbl_de_massas[saldo_conta],"--",0,1)</f>
        <v>6772.56</v>
      </c>
      <c r="H807" t="str">
        <f>_xlfn.XLOOKUP(TBL_USUARIOS[[#This Row],[ID_MASSA]],tbl_de_massas[id_massa],tbl_de_massas[nome_completo],"--",0,1)</f>
        <v>Juliana Almeida Moura</v>
      </c>
    </row>
    <row r="808" spans="1:8" x14ac:dyDescent="0.25">
      <c r="A808" s="2" t="s">
        <v>5530</v>
      </c>
      <c r="B808" t="str">
        <f>_xlfn.XLOOKUP(TBL_USUARIOS[[#This Row],[ID_MASSA]],tbl_de_massas[id_massa],tbl_de_massas[cpf],"--",0,1)</f>
        <v>74984840803</v>
      </c>
      <c r="C808" t="s">
        <v>12</v>
      </c>
      <c r="D808" t="str">
        <f>_xlfn.XLOOKUP(TBL_USUARIOS[[#This Row],[ID_MASSA]],tbl_de_massas[id_massa],tbl_de_massas[nome_completo],"--",0,1)</f>
        <v>Mariana Rocha</v>
      </c>
      <c r="E808" t="str">
        <f>_xlfn.XLOOKUP(TBL_USUARIOS[[#This Row],[ID_MASSA]],tbl_de_massas[id_massa],tbl_de_massas[cartao_fisico_numero],"--",0,1)</f>
        <v/>
      </c>
      <c r="F808" t="str">
        <f>_xlfn.XLOOKUP(TBL_USUARIOS[[#This Row],[ID_MASSA]],tbl_de_massas[id_massa],tbl_de_massas[nome_completo],"--",0,1)</f>
        <v>Mariana Rocha</v>
      </c>
      <c r="G808" s="47">
        <f>_xlfn.XLOOKUP(TBL_USUARIOS[[#This Row],[ID_MASSA]],tbl_de_massas[id_massa],tbl_de_massas[saldo_conta],"--",0,1)</f>
        <v>9894.4599999999991</v>
      </c>
      <c r="H808" t="str">
        <f>_xlfn.XLOOKUP(TBL_USUARIOS[[#This Row],[ID_MASSA]],tbl_de_massas[id_massa],tbl_de_massas[nome_completo],"--",0,1)</f>
        <v>Mariana Rocha</v>
      </c>
    </row>
    <row r="809" spans="1:8" x14ac:dyDescent="0.25">
      <c r="A809" s="2" t="s">
        <v>6288</v>
      </c>
      <c r="B809" t="str">
        <f>_xlfn.XLOOKUP(TBL_USUARIOS[[#This Row],[ID_MASSA]],tbl_de_massas[id_massa],tbl_de_massas[cpf],"--",0,1)</f>
        <v>23644909873</v>
      </c>
      <c r="C809" t="s">
        <v>12</v>
      </c>
      <c r="D809" t="str">
        <f>_xlfn.XLOOKUP(TBL_USUARIOS[[#This Row],[ID_MASSA]],tbl_de_massas[id_massa],tbl_de_massas[nome_completo],"--",0,1)</f>
        <v>Sophia Jones</v>
      </c>
      <c r="E809" t="str">
        <f>_xlfn.XLOOKUP(TBL_USUARIOS[[#This Row],[ID_MASSA]],tbl_de_massas[id_massa],tbl_de_massas[cartao_fisico_numero],"--",0,1)</f>
        <v/>
      </c>
      <c r="F809" t="str">
        <f>_xlfn.XLOOKUP(TBL_USUARIOS[[#This Row],[ID_MASSA]],tbl_de_massas[id_massa],tbl_de_massas[nome_completo],"--",0,1)</f>
        <v>Sophia Jones</v>
      </c>
      <c r="G809" s="47">
        <f>_xlfn.XLOOKUP(TBL_USUARIOS[[#This Row],[ID_MASSA]],tbl_de_massas[id_massa],tbl_de_massas[saldo_conta],"--",0,1)</f>
        <v>9896.73</v>
      </c>
      <c r="H809" t="str">
        <f>_xlfn.XLOOKUP(TBL_USUARIOS[[#This Row],[ID_MASSA]],tbl_de_massas[id_massa],tbl_de_massas[nome_completo],"--",0,1)</f>
        <v>Sophia Jones</v>
      </c>
    </row>
    <row r="810" spans="1:8" x14ac:dyDescent="0.25">
      <c r="A810" s="2" t="s">
        <v>3350</v>
      </c>
      <c r="B810" t="str">
        <f>_xlfn.XLOOKUP(TBL_USUARIOS[[#This Row],[ID_MASSA]],tbl_de_massas[id_massa],tbl_de_massas[cpf],"--",0,1)</f>
        <v>08489356165</v>
      </c>
      <c r="C810" t="s">
        <v>12</v>
      </c>
      <c r="D810" t="str">
        <f>_xlfn.XLOOKUP(TBL_USUARIOS[[#This Row],[ID_MASSA]],tbl_de_massas[id_massa],tbl_de_massas[nome_completo],"--",0,1)</f>
        <v>Jessica Martins Fernandes</v>
      </c>
      <c r="E810" t="str">
        <f>_xlfn.XLOOKUP(TBL_USUARIOS[[#This Row],[ID_MASSA]],tbl_de_massas[id_massa],tbl_de_massas[cartao_fisico_numero],"--",0,1)</f>
        <v>4576 7460 8980 0057</v>
      </c>
      <c r="F810" t="str">
        <f>_xlfn.XLOOKUP(TBL_USUARIOS[[#This Row],[ID_MASSA]],tbl_de_massas[id_massa],tbl_de_massas[nome_completo],"--",0,1)</f>
        <v>Jessica Martins Fernandes</v>
      </c>
      <c r="G810" s="47">
        <f>_xlfn.XLOOKUP(TBL_USUARIOS[[#This Row],[ID_MASSA]],tbl_de_massas[id_massa],tbl_de_massas[saldo_conta],"--",0,1)</f>
        <v>9900.4</v>
      </c>
      <c r="H810" t="str">
        <f>_xlfn.XLOOKUP(TBL_USUARIOS[[#This Row],[ID_MASSA]],tbl_de_massas[id_massa],tbl_de_massas[nome_completo],"--",0,1)</f>
        <v>Jessica Martins Fernandes</v>
      </c>
    </row>
    <row r="811" spans="1:8" x14ac:dyDescent="0.25">
      <c r="A811" s="2" t="s">
        <v>4304</v>
      </c>
      <c r="B811" t="str">
        <f>_xlfn.XLOOKUP(TBL_USUARIOS[[#This Row],[ID_MASSA]],tbl_de_massas[id_massa],tbl_de_massas[cpf],"--",0,1)</f>
        <v>09993741680</v>
      </c>
      <c r="C811" t="s">
        <v>12</v>
      </c>
      <c r="D811" t="str">
        <f>_xlfn.XLOOKUP(TBL_USUARIOS[[#This Row],[ID_MASSA]],tbl_de_massas[id_massa],tbl_de_massas[nome_completo],"--",0,1)</f>
        <v>Fabio Pinto Nascimento</v>
      </c>
      <c r="E811" t="str">
        <f>_xlfn.XLOOKUP(TBL_USUARIOS[[#This Row],[ID_MASSA]],tbl_de_massas[id_massa],tbl_de_massas[cartao_fisico_numero],"--",0,1)</f>
        <v>6505 0666 4039 0485</v>
      </c>
      <c r="F811" t="str">
        <f>_xlfn.XLOOKUP(TBL_USUARIOS[[#This Row],[ID_MASSA]],tbl_de_massas[id_massa],tbl_de_massas[nome_completo],"--",0,1)</f>
        <v>Fabio Pinto Nascimento</v>
      </c>
      <c r="G811" s="47">
        <f>_xlfn.XLOOKUP(TBL_USUARIOS[[#This Row],[ID_MASSA]],tbl_de_massas[id_massa],tbl_de_massas[saldo_conta],"--",0,1)</f>
        <v>9923.98</v>
      </c>
      <c r="H811" t="str">
        <f>_xlfn.XLOOKUP(TBL_USUARIOS[[#This Row],[ID_MASSA]],tbl_de_massas[id_massa],tbl_de_massas[nome_completo],"--",0,1)</f>
        <v>Fabio Pinto Nascimento</v>
      </c>
    </row>
    <row r="812" spans="1:8" x14ac:dyDescent="0.25">
      <c r="A812" s="2" t="s">
        <v>3906</v>
      </c>
      <c r="B812" t="str">
        <f>_xlfn.XLOOKUP(TBL_USUARIOS[[#This Row],[ID_MASSA]],tbl_de_massas[id_massa],tbl_de_massas[cpf],"--",0,1)</f>
        <v>96261693382</v>
      </c>
      <c r="C812" t="s">
        <v>12</v>
      </c>
      <c r="D812" t="str">
        <f>_xlfn.XLOOKUP(TBL_USUARIOS[[#This Row],[ID_MASSA]],tbl_de_massas[id_massa],tbl_de_massas[nome_completo],"--",0,1)</f>
        <v>Priscila Carvalho</v>
      </c>
      <c r="E812" t="str">
        <f>_xlfn.XLOOKUP(TBL_USUARIOS[[#This Row],[ID_MASSA]],tbl_de_massas[id_massa],tbl_de_massas[cartao_fisico_numero],"--",0,1)</f>
        <v>6062 8200 9452 5027</v>
      </c>
      <c r="F812" t="str">
        <f>_xlfn.XLOOKUP(TBL_USUARIOS[[#This Row],[ID_MASSA]],tbl_de_massas[id_massa],tbl_de_massas[nome_completo],"--",0,1)</f>
        <v>Priscila Carvalho</v>
      </c>
      <c r="G812" s="47">
        <f>_xlfn.XLOOKUP(TBL_USUARIOS[[#This Row],[ID_MASSA]],tbl_de_massas[id_massa],tbl_de_massas[saldo_conta],"--",0,1)</f>
        <v>1637.09</v>
      </c>
      <c r="H812" t="str">
        <f>_xlfn.XLOOKUP(TBL_USUARIOS[[#This Row],[ID_MASSA]],tbl_de_massas[id_massa],tbl_de_massas[nome_completo],"--",0,1)</f>
        <v>Priscila Carvalho</v>
      </c>
    </row>
    <row r="813" spans="1:8" x14ac:dyDescent="0.25">
      <c r="A813" s="2" t="s">
        <v>6542</v>
      </c>
      <c r="B813" t="str">
        <f>_xlfn.XLOOKUP(TBL_USUARIOS[[#This Row],[ID_MASSA]],tbl_de_massas[id_massa],tbl_de_massas[cpf],"--",0,1)</f>
        <v>03231668140</v>
      </c>
      <c r="C813" t="s">
        <v>12</v>
      </c>
      <c r="D813" t="str">
        <f>_xlfn.XLOOKUP(TBL_USUARIOS[[#This Row],[ID_MASSA]],tbl_de_massas[id_massa],tbl_de_massas[nome_completo],"--",0,1)</f>
        <v>Lei Zhang</v>
      </c>
      <c r="E813" t="str">
        <f>_xlfn.XLOOKUP(TBL_USUARIOS[[#This Row],[ID_MASSA]],tbl_de_massas[id_massa],tbl_de_massas[cartao_fisico_numero],"--",0,1)</f>
        <v>6062 8200 5811 8087</v>
      </c>
      <c r="F813" t="str">
        <f>_xlfn.XLOOKUP(TBL_USUARIOS[[#This Row],[ID_MASSA]],tbl_de_massas[id_massa],tbl_de_massas[nome_completo],"--",0,1)</f>
        <v>Lei Zhang</v>
      </c>
      <c r="G813" s="47">
        <f>_xlfn.XLOOKUP(TBL_USUARIOS[[#This Row],[ID_MASSA]],tbl_de_massas[id_massa],tbl_de_massas[saldo_conta],"--",0,1)</f>
        <v>9950.2800000000007</v>
      </c>
      <c r="H813" t="str">
        <f>_xlfn.XLOOKUP(TBL_USUARIOS[[#This Row],[ID_MASSA]],tbl_de_massas[id_massa],tbl_de_massas[nome_completo],"--",0,1)</f>
        <v>Lei Zhang</v>
      </c>
    </row>
    <row r="814" spans="1:8" x14ac:dyDescent="0.25">
      <c r="A814" s="2" t="s">
        <v>7008</v>
      </c>
      <c r="B814" t="str">
        <f>_xlfn.XLOOKUP(TBL_USUARIOS[[#This Row],[ID_MASSA]],tbl_de_massas[id_massa],tbl_de_massas[cpf],"--",0,1)</f>
        <v>60040338550</v>
      </c>
      <c r="C814" t="s">
        <v>12</v>
      </c>
      <c r="D814" t="str">
        <f>_xlfn.XLOOKUP(TBL_USUARIOS[[#This Row],[ID_MASSA]],tbl_de_massas[id_massa],tbl_de_massas[nome_completo],"--",0,1)</f>
        <v>Aline Monteiro</v>
      </c>
      <c r="E814" t="str">
        <f>_xlfn.XLOOKUP(TBL_USUARIOS[[#This Row],[ID_MASSA]],tbl_de_massas[id_massa],tbl_de_massas[cartao_fisico_numero],"--",0,1)</f>
        <v/>
      </c>
      <c r="F814" t="str">
        <f>_xlfn.XLOOKUP(TBL_USUARIOS[[#This Row],[ID_MASSA]],tbl_de_massas[id_massa],tbl_de_massas[nome_completo],"--",0,1)</f>
        <v>Aline Monteiro</v>
      </c>
      <c r="G814" s="47">
        <f>_xlfn.XLOOKUP(TBL_USUARIOS[[#This Row],[ID_MASSA]],tbl_de_massas[id_massa],tbl_de_massas[saldo_conta],"--",0,1)</f>
        <v>9956</v>
      </c>
      <c r="H814" t="str">
        <f>_xlfn.XLOOKUP(TBL_USUARIOS[[#This Row],[ID_MASSA]],tbl_de_massas[id_massa],tbl_de_massas[nome_completo],"--",0,1)</f>
        <v>Aline Monteiro</v>
      </c>
    </row>
    <row r="815" spans="1:8" x14ac:dyDescent="0.25">
      <c r="A815" s="2" t="s">
        <v>7137</v>
      </c>
      <c r="B815" t="str">
        <f>_xlfn.XLOOKUP(TBL_USUARIOS[[#This Row],[ID_MASSA]],tbl_de_massas[id_massa],tbl_de_massas[cpf],"--",0,1)</f>
        <v>18339010883</v>
      </c>
      <c r="C815" t="s">
        <v>12</v>
      </c>
      <c r="D815" t="str">
        <f>_xlfn.XLOOKUP(TBL_USUARIOS[[#This Row],[ID_MASSA]],tbl_de_massas[id_massa],tbl_de_massas[nome_completo],"--",0,1)</f>
        <v>Renato Lima</v>
      </c>
      <c r="E815" t="str">
        <f>_xlfn.XLOOKUP(TBL_USUARIOS[[#This Row],[ID_MASSA]],tbl_de_massas[id_massa],tbl_de_massas[cartao_fisico_numero],"--",0,1)</f>
        <v>6062 8200 3651 5349</v>
      </c>
      <c r="F815" t="str">
        <f>_xlfn.XLOOKUP(TBL_USUARIOS[[#This Row],[ID_MASSA]],tbl_de_massas[id_massa],tbl_de_massas[nome_completo],"--",0,1)</f>
        <v>Renato Lima</v>
      </c>
      <c r="G815" s="47">
        <f>_xlfn.XLOOKUP(TBL_USUARIOS[[#This Row],[ID_MASSA]],tbl_de_massas[id_massa],tbl_de_massas[saldo_conta],"--",0,1)</f>
        <v>9963.6299999999992</v>
      </c>
      <c r="H815" t="str">
        <f>_xlfn.XLOOKUP(TBL_USUARIOS[[#This Row],[ID_MASSA]],tbl_de_massas[id_massa],tbl_de_massas[nome_completo],"--",0,1)</f>
        <v>Renato Lima</v>
      </c>
    </row>
    <row r="816" spans="1:8" x14ac:dyDescent="0.25">
      <c r="A816" s="2" t="s">
        <v>7012</v>
      </c>
      <c r="B816" t="str">
        <f>_xlfn.XLOOKUP(TBL_USUARIOS[[#This Row],[ID_MASSA]],tbl_de_massas[id_massa],tbl_de_massas[cpf],"--",0,1)</f>
        <v>83530009032</v>
      </c>
      <c r="C816" t="s">
        <v>12</v>
      </c>
      <c r="D816" t="str">
        <f>_xlfn.XLOOKUP(TBL_USUARIOS[[#This Row],[ID_MASSA]],tbl_de_massas[id_massa],tbl_de_massas[nome_completo],"--",0,1)</f>
        <v>Vivian Barbosa</v>
      </c>
      <c r="E816" t="str">
        <f>_xlfn.XLOOKUP(TBL_USUARIOS[[#This Row],[ID_MASSA]],tbl_de_massas[id_massa],tbl_de_massas[cartao_fisico_numero],"--",0,1)</f>
        <v>4576 7460 7626 9864</v>
      </c>
      <c r="F816" t="str">
        <f>_xlfn.XLOOKUP(TBL_USUARIOS[[#This Row],[ID_MASSA]],tbl_de_massas[id_massa],tbl_de_massas[nome_completo],"--",0,1)</f>
        <v>Vivian Barbosa</v>
      </c>
      <c r="G816" s="47">
        <f>_xlfn.XLOOKUP(TBL_USUARIOS[[#This Row],[ID_MASSA]],tbl_de_massas[id_massa],tbl_de_massas[saldo_conta],"--",0,1)</f>
        <v>9966.7199999999993</v>
      </c>
      <c r="H816" t="str">
        <f>_xlfn.XLOOKUP(TBL_USUARIOS[[#This Row],[ID_MASSA]],tbl_de_massas[id_massa],tbl_de_massas[nome_completo],"--",0,1)</f>
        <v>Vivian Barbosa</v>
      </c>
    </row>
    <row r="817" spans="1:8" x14ac:dyDescent="0.25">
      <c r="A817" s="2" t="s">
        <v>7145</v>
      </c>
      <c r="B817" t="str">
        <f>_xlfn.XLOOKUP(TBL_USUARIOS[[#This Row],[ID_MASSA]],tbl_de_massas[id_massa],tbl_de_massas[cpf],"--",0,1)</f>
        <v>22735312143</v>
      </c>
      <c r="C817" t="s">
        <v>12</v>
      </c>
      <c r="D817" t="str">
        <f>_xlfn.XLOOKUP(TBL_USUARIOS[[#This Row],[ID_MASSA]],tbl_de_massas[id_massa],tbl_de_massas[nome_completo],"--",0,1)</f>
        <v>Eduardo Rodrigues Nunes</v>
      </c>
      <c r="E817" t="str">
        <f>_xlfn.XLOOKUP(TBL_USUARIOS[[#This Row],[ID_MASSA]],tbl_de_massas[id_massa],tbl_de_massas[cartao_fisico_numero],"--",0,1)</f>
        <v/>
      </c>
      <c r="F817" t="str">
        <f>_xlfn.XLOOKUP(TBL_USUARIOS[[#This Row],[ID_MASSA]],tbl_de_massas[id_massa],tbl_de_massas[nome_completo],"--",0,1)</f>
        <v>Eduardo Rodrigues Nunes</v>
      </c>
      <c r="G817" s="47">
        <f>_xlfn.XLOOKUP(TBL_USUARIOS[[#This Row],[ID_MASSA]],tbl_de_massas[id_massa],tbl_de_massas[saldo_conta],"--",0,1)</f>
        <v>9969.2099999999991</v>
      </c>
      <c r="H817" t="str">
        <f>_xlfn.XLOOKUP(TBL_USUARIOS[[#This Row],[ID_MASSA]],tbl_de_massas[id_massa],tbl_de_massas[nome_completo],"--",0,1)</f>
        <v>Eduardo Rodrigues Nunes</v>
      </c>
    </row>
    <row r="818" spans="1:8" x14ac:dyDescent="0.25">
      <c r="A818" s="2" t="s">
        <v>2595</v>
      </c>
      <c r="B818" s="14" t="str">
        <f>_xlfn.XLOOKUP(TBL_USUARIOS[[#This Row],[ID_MASSA]],tbl_de_massas[id_massa],tbl_de_massas[cpf],"--",0,1)</f>
        <v>29033722682</v>
      </c>
      <c r="C818" t="s">
        <v>12</v>
      </c>
      <c r="D818" t="str">
        <f>_xlfn.XLOOKUP(TBL_USUARIOS[[#This Row],[ID_MASSA]],tbl_de_massas[id_massa],tbl_de_massas[nome_completo],"--",0,1)</f>
        <v>Mauximilian Mueller</v>
      </c>
      <c r="E818" t="str">
        <f>_xlfn.XLOOKUP(TBL_USUARIOS[[#This Row],[ID_MASSA]],tbl_de_massas[id_massa],tbl_de_massas[cartao_fisico_numero],"--",0,1)</f>
        <v>3782 369765 8397</v>
      </c>
      <c r="F818" t="str">
        <f>_xlfn.XLOOKUP(TBL_USUARIOS[[#This Row],[ID_MASSA]],tbl_de_massas[id_massa],tbl_de_massas[nome_completo],"--",0,1)</f>
        <v>Mauximilian Mueller</v>
      </c>
      <c r="G818" s="47">
        <f>_xlfn.XLOOKUP(TBL_USUARIOS[[#This Row],[ID_MASSA]],tbl_de_massas[id_massa],tbl_de_massas[saldo_conta],"--",0,1)</f>
        <v>9970.2099999999991</v>
      </c>
      <c r="H818" t="str">
        <f>_xlfn.XLOOKUP(TBL_USUARIOS[[#This Row],[ID_MASSA]],tbl_de_massas[id_massa],tbl_de_massas[nome_completo],"--",0,1)</f>
        <v>Mauximilian Mueller</v>
      </c>
    </row>
    <row r="819" spans="1:8" x14ac:dyDescent="0.25">
      <c r="A819" s="2" t="s">
        <v>5730</v>
      </c>
      <c r="B819" t="str">
        <f>_xlfn.XLOOKUP(TBL_USUARIOS[[#This Row],[ID_MASSA]],tbl_de_massas[id_massa],tbl_de_massas[cpf],"--",0,1)</f>
        <v>59938424740</v>
      </c>
      <c r="C819" t="s">
        <v>12</v>
      </c>
      <c r="D819" t="str">
        <f>_xlfn.XLOOKUP(TBL_USUARIOS[[#This Row],[ID_MASSA]],tbl_de_massas[id_massa],tbl_de_massas[nome_completo],"--",0,1)</f>
        <v>Matheus Rodrigues Almeida</v>
      </c>
      <c r="E819" t="str">
        <f>_xlfn.XLOOKUP(TBL_USUARIOS[[#This Row],[ID_MASSA]],tbl_de_massas[id_massa],tbl_de_massas[cartao_fisico_numero],"--",0,1)</f>
        <v>4576 7460 1837 5401</v>
      </c>
      <c r="F819" t="str">
        <f>_xlfn.XLOOKUP(TBL_USUARIOS[[#This Row],[ID_MASSA]],tbl_de_massas[id_massa],tbl_de_massas[nome_completo],"--",0,1)</f>
        <v>Matheus Rodrigues Almeida</v>
      </c>
      <c r="G819" s="47">
        <f>_xlfn.XLOOKUP(TBL_USUARIOS[[#This Row],[ID_MASSA]],tbl_de_massas[id_massa],tbl_de_massas[saldo_conta],"--",0,1)</f>
        <v>9991.58</v>
      </c>
      <c r="H819" t="str">
        <f>_xlfn.XLOOKUP(TBL_USUARIOS[[#This Row],[ID_MASSA]],tbl_de_massas[id_massa],tbl_de_massas[nome_completo],"--",0,1)</f>
        <v>Matheus Rodrigues Almeida</v>
      </c>
    </row>
    <row r="820" spans="1:8" x14ac:dyDescent="0.25">
      <c r="A820" s="2" t="s">
        <v>3945</v>
      </c>
      <c r="B820" t="str">
        <f>_xlfn.XLOOKUP(TBL_USUARIOS[[#This Row],[ID_MASSA]],tbl_de_massas[id_massa],tbl_de_massas[cpf],"--",0,1)</f>
        <v>67536228708</v>
      </c>
      <c r="C820" t="s">
        <v>12</v>
      </c>
      <c r="D820" t="str">
        <f>_xlfn.XLOOKUP(TBL_USUARIOS[[#This Row],[ID_MASSA]],tbl_de_massas[id_massa],tbl_de_massas[nome_completo],"--",0,1)</f>
        <v>Felipe Borges Teixeira</v>
      </c>
      <c r="E820" t="str">
        <f>_xlfn.XLOOKUP(TBL_USUARIOS[[#This Row],[ID_MASSA]],tbl_de_massas[id_massa],tbl_de_massas[cartao_fisico_numero],"--",0,1)</f>
        <v/>
      </c>
      <c r="F820" t="str">
        <f>_xlfn.XLOOKUP(TBL_USUARIOS[[#This Row],[ID_MASSA]],tbl_de_massas[id_massa],tbl_de_massas[nome_completo],"--",0,1)</f>
        <v>Felipe Borges Teixeira</v>
      </c>
      <c r="G820" s="47">
        <f>_xlfn.XLOOKUP(TBL_USUARIOS[[#This Row],[ID_MASSA]],tbl_de_massas[id_massa],tbl_de_massas[saldo_conta],"--",0,1)</f>
        <v>9359.9699999999993</v>
      </c>
      <c r="H820" t="str">
        <f>_xlfn.XLOOKUP(TBL_USUARIOS[[#This Row],[ID_MASSA]],tbl_de_massas[id_massa],tbl_de_massas[nome_completo],"--",0,1)</f>
        <v>Felipe Borges Teixeira</v>
      </c>
    </row>
    <row r="821" spans="1:8" x14ac:dyDescent="0.25">
      <c r="A821" s="2" t="s">
        <v>3342</v>
      </c>
      <c r="B821" t="str">
        <f>_xlfn.XLOOKUP(TBL_USUARIOS[[#This Row],[ID_MASSA]],tbl_de_massas[id_massa],tbl_de_massas[cpf],"--",0,1)</f>
        <v>52295510031</v>
      </c>
      <c r="C821" t="s">
        <v>12</v>
      </c>
      <c r="D821" t="str">
        <f>_xlfn.XLOOKUP(TBL_USUARIOS[[#This Row],[ID_MASSA]],tbl_de_massas[id_massa],tbl_de_massas[nome_completo],"--",0,1)</f>
        <v>Beatriz Borges Freitas</v>
      </c>
      <c r="E821" t="str">
        <f>_xlfn.XLOOKUP(TBL_USUARIOS[[#This Row],[ID_MASSA]],tbl_de_massas[id_massa],tbl_de_massas[cartao_fisico_numero],"--",0,1)</f>
        <v/>
      </c>
      <c r="F821" t="str">
        <f>_xlfn.XLOOKUP(TBL_USUARIOS[[#This Row],[ID_MASSA]],tbl_de_massas[id_massa],tbl_de_massas[nome_completo],"--",0,1)</f>
        <v>Beatriz Borges Freitas</v>
      </c>
      <c r="G821" s="47">
        <f>_xlfn.XLOOKUP(TBL_USUARIOS[[#This Row],[ID_MASSA]],tbl_de_massas[id_massa],tbl_de_massas[saldo_conta],"--",0,1)</f>
        <v>9997.3700000000008</v>
      </c>
      <c r="H821" t="str">
        <f>_xlfn.XLOOKUP(TBL_USUARIOS[[#This Row],[ID_MASSA]],tbl_de_massas[id_massa],tbl_de_massas[nome_completo],"--",0,1)</f>
        <v>Beatriz Borges Freitas</v>
      </c>
    </row>
    <row r="822" spans="1:8" x14ac:dyDescent="0.25">
      <c r="A822" s="2" t="s">
        <v>3640</v>
      </c>
      <c r="B822" t="str">
        <f>_xlfn.XLOOKUP(TBL_USUARIOS[[#This Row],[ID_MASSA]],tbl_de_massas[id_massa],tbl_de_massas[cpf],"--",0,1)</f>
        <v>14495297040</v>
      </c>
      <c r="C822" t="s">
        <v>12</v>
      </c>
      <c r="D822" t="str">
        <f>_xlfn.XLOOKUP(TBL_USUARIOS[[#This Row],[ID_MASSA]],tbl_de_massas[id_massa],tbl_de_massas[nome_completo],"--",0,1)</f>
        <v>Mariana Dias Souza</v>
      </c>
      <c r="E822" t="str">
        <f>_xlfn.XLOOKUP(TBL_USUARIOS[[#This Row],[ID_MASSA]],tbl_de_massas[id_massa],tbl_de_massas[cartao_fisico_numero],"--",0,1)</f>
        <v>6505 0666 6816 0428</v>
      </c>
      <c r="F822" t="str">
        <f>_xlfn.XLOOKUP(TBL_USUARIOS[[#This Row],[ID_MASSA]],tbl_de_massas[id_massa],tbl_de_massas[nome_completo],"--",0,1)</f>
        <v>Mariana Dias Souza</v>
      </c>
      <c r="G822" s="47">
        <f>_xlfn.XLOOKUP(TBL_USUARIOS[[#This Row],[ID_MASSA]],tbl_de_massas[id_massa],tbl_de_massas[saldo_conta],"--",0,1)</f>
        <v>9997.48</v>
      </c>
      <c r="H822" t="str">
        <f>_xlfn.XLOOKUP(TBL_USUARIOS[[#This Row],[ID_MASSA]],tbl_de_massas[id_massa],tbl_de_massas[nome_completo],"--",0,1)</f>
        <v>Mariana Dias Souza</v>
      </c>
    </row>
    <row r="823" spans="1:8" x14ac:dyDescent="0.25">
      <c r="A823" s="2" t="s">
        <v>2319</v>
      </c>
      <c r="B823" s="14" t="str">
        <f>_xlfn.XLOOKUP(TBL_USUARIOS[[#This Row],[ID_MASSA]],tbl_de_massas[id_massa],tbl_de_massas[cpf],"--",0,1)</f>
        <v>77766655544</v>
      </c>
      <c r="C823" t="s">
        <v>12</v>
      </c>
      <c r="D823" t="str">
        <f>_xlfn.XLOOKUP(TBL_USUARIOS[[#This Row],[ID_MASSA]],tbl_de_massas[id_massa],tbl_de_massas[nome_completo],"--",0,1)</f>
        <v>Cliente Cartao Teste</v>
      </c>
      <c r="E823" t="str">
        <f>_xlfn.XLOOKUP(TBL_USUARIOS[[#This Row],[ID_MASSA]],tbl_de_massas[id_massa],tbl_de_massas[cartao_fisico_numero],"--",0,1)</f>
        <v>5442 7460 1135 2723</v>
      </c>
      <c r="F823" t="str">
        <f>_xlfn.XLOOKUP(TBL_USUARIOS[[#This Row],[ID_MASSA]],tbl_de_massas[id_massa],tbl_de_massas[nome_completo],"--",0,1)</f>
        <v>Cliente Cartao Teste</v>
      </c>
      <c r="G823" s="47">
        <f>_xlfn.XLOOKUP(TBL_USUARIOS[[#This Row],[ID_MASSA]],tbl_de_massas[id_massa],tbl_de_massas[saldo_conta],"--",0,1)</f>
        <v>10000</v>
      </c>
      <c r="H823" t="str">
        <f>_xlfn.XLOOKUP(TBL_USUARIOS[[#This Row],[ID_MASSA]],tbl_de_massas[id_massa],tbl_de_massas[nome_completo],"--",0,1)</f>
        <v>Cliente Cartao Teste</v>
      </c>
    </row>
    <row r="824" spans="1:8" x14ac:dyDescent="0.25">
      <c r="A824" s="2" t="s">
        <v>2320</v>
      </c>
      <c r="B824" s="14" t="str">
        <f>_xlfn.XLOOKUP(TBL_USUARIOS[[#This Row],[ID_MASSA]],tbl_de_massas[id_massa],tbl_de_massas[cpf],"--",0,1)</f>
        <v>77766655599</v>
      </c>
      <c r="C824" t="s">
        <v>12</v>
      </c>
      <c r="D824" t="str">
        <f>_xlfn.XLOOKUP(TBL_USUARIOS[[#This Row],[ID_MASSA]],tbl_de_massas[id_massa],tbl_de_massas[nome_completo],"--",0,1)</f>
        <v>Cliente Cartao Teste</v>
      </c>
      <c r="E824" t="str">
        <f>_xlfn.XLOOKUP(TBL_USUARIOS[[#This Row],[ID_MASSA]],tbl_de_massas[id_massa],tbl_de_massas[cartao_fisico_numero],"--",0,1)</f>
        <v>5981 0124 9999 8888</v>
      </c>
      <c r="F824" t="str">
        <f>_xlfn.XLOOKUP(TBL_USUARIOS[[#This Row],[ID_MASSA]],tbl_de_massas[id_massa],tbl_de_massas[nome_completo],"--",0,1)</f>
        <v>Cliente Cartao Teste</v>
      </c>
      <c r="G824" s="47">
        <f>_xlfn.XLOOKUP(TBL_USUARIOS[[#This Row],[ID_MASSA]],tbl_de_massas[id_massa],tbl_de_massas[saldo_conta],"--",0,1)</f>
        <v>6828.25</v>
      </c>
      <c r="H824" t="str">
        <f>_xlfn.XLOOKUP(TBL_USUARIOS[[#This Row],[ID_MASSA]],tbl_de_massas[id_massa],tbl_de_massas[nome_completo],"--",0,1)</f>
        <v>Cliente Cartao Teste</v>
      </c>
    </row>
    <row r="825" spans="1:8" x14ac:dyDescent="0.25">
      <c r="A825" s="2" t="s">
        <v>6728</v>
      </c>
      <c r="B825" t="str">
        <f>_xlfn.XLOOKUP(TBL_USUARIOS[[#This Row],[ID_MASSA]],tbl_de_massas[id_massa],tbl_de_massas[cpf],"--",0,1)</f>
        <v>10424896028</v>
      </c>
      <c r="C825" t="s">
        <v>12</v>
      </c>
      <c r="D825" t="str">
        <f>_xlfn.XLOOKUP(TBL_USUARIOS[[#This Row],[ID_MASSA]],tbl_de_massas[id_massa],tbl_de_massas[nome_completo],"--",0,1)</f>
        <v>Ines Bertrand</v>
      </c>
      <c r="E825" t="str">
        <f>_xlfn.XLOOKUP(TBL_USUARIOS[[#This Row],[ID_MASSA]],tbl_de_massas[id_massa],tbl_de_massas[cartao_fisico_numero],"--",0,1)</f>
        <v>5442 7460 5008 1666</v>
      </c>
      <c r="F825" t="str">
        <f>_xlfn.XLOOKUP(TBL_USUARIOS[[#This Row],[ID_MASSA]],tbl_de_massas[id_massa],tbl_de_massas[nome_completo],"--",0,1)</f>
        <v>Ines Bertrand</v>
      </c>
      <c r="G825" s="47">
        <f>_xlfn.XLOOKUP(TBL_USUARIOS[[#This Row],[ID_MASSA]],tbl_de_massas[id_massa],tbl_de_massas[saldo_conta],"--",0,1)</f>
        <v>10000</v>
      </c>
      <c r="H825" t="str">
        <f>_xlfn.XLOOKUP(TBL_USUARIOS[[#This Row],[ID_MASSA]],tbl_de_massas[id_massa],tbl_de_massas[nome_completo],"--",0,1)</f>
        <v>Ines Bertrand</v>
      </c>
    </row>
    <row r="826" spans="1:8" x14ac:dyDescent="0.25">
      <c r="A826" s="2" t="s">
        <v>6733</v>
      </c>
      <c r="B826" t="str">
        <f>_xlfn.XLOOKUP(TBL_USUARIOS[[#This Row],[ID_MASSA]],tbl_de_massas[id_massa],tbl_de_massas[cpf],"--",0,1)</f>
        <v>38546908192</v>
      </c>
      <c r="C826" t="s">
        <v>12</v>
      </c>
      <c r="D826" t="str">
        <f>_xlfn.XLOOKUP(TBL_USUARIOS[[#This Row],[ID_MASSA]],tbl_de_massas[id_massa],tbl_de_massas[nome_completo],"--",0,1)</f>
        <v>Lea Lambert</v>
      </c>
      <c r="E826" t="str">
        <f>_xlfn.XLOOKUP(TBL_USUARIOS[[#This Row],[ID_MASSA]],tbl_de_massas[id_massa],tbl_de_massas[cartao_fisico_numero],"--",0,1)</f>
        <v>6505 0666 3442 4399</v>
      </c>
      <c r="F826" t="str">
        <f>_xlfn.XLOOKUP(TBL_USUARIOS[[#This Row],[ID_MASSA]],tbl_de_massas[id_massa],tbl_de_massas[nome_completo],"--",0,1)</f>
        <v>Lea Lambert</v>
      </c>
      <c r="G826" s="47">
        <f>_xlfn.XLOOKUP(TBL_USUARIOS[[#This Row],[ID_MASSA]],tbl_de_massas[id_massa],tbl_de_massas[saldo_conta],"--",0,1)</f>
        <v>10000</v>
      </c>
      <c r="H826" t="str">
        <f>_xlfn.XLOOKUP(TBL_USUARIOS[[#This Row],[ID_MASSA]],tbl_de_massas[id_massa],tbl_de_massas[nome_completo],"--",0,1)</f>
        <v>Lea Lambert</v>
      </c>
    </row>
    <row r="827" spans="1:8" x14ac:dyDescent="0.25">
      <c r="A827" s="2" t="s">
        <v>6738</v>
      </c>
      <c r="B827" t="str">
        <f>_xlfn.XLOOKUP(TBL_USUARIOS[[#This Row],[ID_MASSA]],tbl_de_massas[id_massa],tbl_de_massas[cpf],"--",0,1)</f>
        <v>45351147491</v>
      </c>
      <c r="C827" t="s">
        <v>12</v>
      </c>
      <c r="D827" t="str">
        <f>_xlfn.XLOOKUP(TBL_USUARIOS[[#This Row],[ID_MASSA]],tbl_de_massas[id_massa],tbl_de_massas[nome_completo],"--",0,1)</f>
        <v>Louise Leroy</v>
      </c>
      <c r="E827" t="str">
        <f>_xlfn.XLOOKUP(TBL_USUARIOS[[#This Row],[ID_MASSA]],tbl_de_massas[id_massa],tbl_de_massas[cartao_fisico_numero],"--",0,1)</f>
        <v>3782 821905 4386</v>
      </c>
      <c r="F827" t="str">
        <f>_xlfn.XLOOKUP(TBL_USUARIOS[[#This Row],[ID_MASSA]],tbl_de_massas[id_massa],tbl_de_massas[nome_completo],"--",0,1)</f>
        <v>Louise Leroy</v>
      </c>
      <c r="G827" s="47">
        <f>_xlfn.XLOOKUP(TBL_USUARIOS[[#This Row],[ID_MASSA]],tbl_de_massas[id_massa],tbl_de_massas[saldo_conta],"--",0,1)</f>
        <v>10000</v>
      </c>
      <c r="H827" t="str">
        <f>_xlfn.XLOOKUP(TBL_USUARIOS[[#This Row],[ID_MASSA]],tbl_de_massas[id_massa],tbl_de_massas[nome_completo],"--",0,1)</f>
        <v>Louise Leroy</v>
      </c>
    </row>
    <row r="828" spans="1:8" x14ac:dyDescent="0.25">
      <c r="A828" s="2" t="s">
        <v>6742</v>
      </c>
      <c r="B828" t="str">
        <f>_xlfn.XLOOKUP(TBL_USUARIOS[[#This Row],[ID_MASSA]],tbl_de_massas[id_massa],tbl_de_massas[cpf],"--",0,1)</f>
        <v>89218146807</v>
      </c>
      <c r="C828" t="s">
        <v>12</v>
      </c>
      <c r="D828" t="str">
        <f>_xlfn.XLOOKUP(TBL_USUARIOS[[#This Row],[ID_MASSA]],tbl_de_massas[id_massa],tbl_de_massas[nome_completo],"--",0,1)</f>
        <v>Camille Girard Fournier</v>
      </c>
      <c r="E828" t="str">
        <f>_xlfn.XLOOKUP(TBL_USUARIOS[[#This Row],[ID_MASSA]],tbl_de_massas[id_massa],tbl_de_massas[cartao_fisico_numero],"--",0,1)</f>
        <v/>
      </c>
      <c r="F828" t="str">
        <f>_xlfn.XLOOKUP(TBL_USUARIOS[[#This Row],[ID_MASSA]],tbl_de_massas[id_massa],tbl_de_massas[nome_completo],"--",0,1)</f>
        <v>Camille Girard Fournier</v>
      </c>
      <c r="G828" s="47">
        <f>_xlfn.XLOOKUP(TBL_USUARIOS[[#This Row],[ID_MASSA]],tbl_de_massas[id_massa],tbl_de_massas[saldo_conta],"--",0,1)</f>
        <v>10000</v>
      </c>
      <c r="H828" t="str">
        <f>_xlfn.XLOOKUP(TBL_USUARIOS[[#This Row],[ID_MASSA]],tbl_de_massas[id_massa],tbl_de_massas[nome_completo],"--",0,1)</f>
        <v>Camille Girard Fournier</v>
      </c>
    </row>
    <row r="829" spans="1:8" x14ac:dyDescent="0.25">
      <c r="A829" s="2" t="s">
        <v>6746</v>
      </c>
      <c r="B829" t="str">
        <f>_xlfn.XLOOKUP(TBL_USUARIOS[[#This Row],[ID_MASSA]],tbl_de_massas[id_massa],tbl_de_massas[cpf],"--",0,1)</f>
        <v>16440859099</v>
      </c>
      <c r="C829" t="s">
        <v>12</v>
      </c>
      <c r="D829" t="str">
        <f>_xlfn.XLOOKUP(TBL_USUARIOS[[#This Row],[ID_MASSA]],tbl_de_massas[id_massa],tbl_de_massas[nome_completo],"--",0,1)</f>
        <v>Jade Michel Morel</v>
      </c>
      <c r="E829" t="str">
        <f>_xlfn.XLOOKUP(TBL_USUARIOS[[#This Row],[ID_MASSA]],tbl_de_massas[id_massa],tbl_de_massas[cartao_fisico_numero],"--",0,1)</f>
        <v>6505 0666 5619 7514</v>
      </c>
      <c r="F829" t="str">
        <f>_xlfn.XLOOKUP(TBL_USUARIOS[[#This Row],[ID_MASSA]],tbl_de_massas[id_massa],tbl_de_massas[nome_completo],"--",0,1)</f>
        <v>Jade Michel Morel</v>
      </c>
      <c r="G829" s="47">
        <f>_xlfn.XLOOKUP(TBL_USUARIOS[[#This Row],[ID_MASSA]],tbl_de_massas[id_massa],tbl_de_massas[saldo_conta],"--",0,1)</f>
        <v>10000</v>
      </c>
      <c r="H829" t="str">
        <f>_xlfn.XLOOKUP(TBL_USUARIOS[[#This Row],[ID_MASSA]],tbl_de_massas[id_massa],tbl_de_massas[nome_completo],"--",0,1)</f>
        <v>Jade Michel Morel</v>
      </c>
    </row>
    <row r="830" spans="1:8" x14ac:dyDescent="0.25">
      <c r="A830" s="2" t="s">
        <v>6751</v>
      </c>
      <c r="B830" t="str">
        <f>_xlfn.XLOOKUP(TBL_USUARIOS[[#This Row],[ID_MASSA]],tbl_de_massas[id_massa],tbl_de_massas[cpf],"--",0,1)</f>
        <v>61985637405</v>
      </c>
      <c r="C830" t="s">
        <v>12</v>
      </c>
      <c r="D830" t="str">
        <f>_xlfn.XLOOKUP(TBL_USUARIOS[[#This Row],[ID_MASSA]],tbl_de_massas[id_massa],tbl_de_massas[nome_completo],"--",0,1)</f>
        <v>Camille Dubois</v>
      </c>
      <c r="E830" t="str">
        <f>_xlfn.XLOOKUP(TBL_USUARIOS[[#This Row],[ID_MASSA]],tbl_de_massas[id_massa],tbl_de_massas[cartao_fisico_numero],"--",0,1)</f>
        <v>6505 0666 4387 1331</v>
      </c>
      <c r="F830" t="str">
        <f>_xlfn.XLOOKUP(TBL_USUARIOS[[#This Row],[ID_MASSA]],tbl_de_massas[id_massa],tbl_de_massas[nome_completo],"--",0,1)</f>
        <v>Camille Dubois</v>
      </c>
      <c r="G830" s="47">
        <f>_xlfn.XLOOKUP(TBL_USUARIOS[[#This Row],[ID_MASSA]],tbl_de_massas[id_massa],tbl_de_massas[saldo_conta],"--",0,1)</f>
        <v>10000</v>
      </c>
      <c r="H830" t="str">
        <f>_xlfn.XLOOKUP(TBL_USUARIOS[[#This Row],[ID_MASSA]],tbl_de_massas[id_massa],tbl_de_massas[nome_completo],"--",0,1)</f>
        <v>Camille Dubois</v>
      </c>
    </row>
    <row r="831" spans="1:8" x14ac:dyDescent="0.25">
      <c r="A831" s="2" t="s">
        <v>6755</v>
      </c>
      <c r="B831" t="str">
        <f>_xlfn.XLOOKUP(TBL_USUARIOS[[#This Row],[ID_MASSA]],tbl_de_massas[id_massa],tbl_de_massas[cpf],"--",0,1)</f>
        <v>50683273604</v>
      </c>
      <c r="C831" t="s">
        <v>12</v>
      </c>
      <c r="D831" t="str">
        <f>_xlfn.XLOOKUP(TBL_USUARIOS[[#This Row],[ID_MASSA]],tbl_de_massas[id_massa],tbl_de_massas[nome_completo],"--",0,1)</f>
        <v>Jean Dubois Fontaine</v>
      </c>
      <c r="E831" t="str">
        <f>_xlfn.XLOOKUP(TBL_USUARIOS[[#This Row],[ID_MASSA]],tbl_de_massas[id_massa],tbl_de_massas[cartao_fisico_numero],"--",0,1)</f>
        <v>5442 7460 1188 0366</v>
      </c>
      <c r="F831" t="str">
        <f>_xlfn.XLOOKUP(TBL_USUARIOS[[#This Row],[ID_MASSA]],tbl_de_massas[id_massa],tbl_de_massas[nome_completo],"--",0,1)</f>
        <v>Jean Dubois Fontaine</v>
      </c>
      <c r="G831" s="47">
        <f>_xlfn.XLOOKUP(TBL_USUARIOS[[#This Row],[ID_MASSA]],tbl_de_massas[id_massa],tbl_de_massas[saldo_conta],"--",0,1)</f>
        <v>10000</v>
      </c>
      <c r="H831" t="str">
        <f>_xlfn.XLOOKUP(TBL_USUARIOS[[#This Row],[ID_MASSA]],tbl_de_massas[id_massa],tbl_de_massas[nome_completo],"--",0,1)</f>
        <v>Jean Dubois Fontaine</v>
      </c>
    </row>
    <row r="832" spans="1:8" x14ac:dyDescent="0.25">
      <c r="A832" s="2" t="s">
        <v>6760</v>
      </c>
      <c r="B832" t="str">
        <f>_xlfn.XLOOKUP(TBL_USUARIOS[[#This Row],[ID_MASSA]],tbl_de_massas[id_massa],tbl_de_massas[cpf],"--",0,1)</f>
        <v>09703349668</v>
      </c>
      <c r="C832" t="s">
        <v>12</v>
      </c>
      <c r="D832" t="str">
        <f>_xlfn.XLOOKUP(TBL_USUARIOS[[#This Row],[ID_MASSA]],tbl_de_massas[id_massa],tbl_de_massas[nome_completo],"--",0,1)</f>
        <v>Chloe Martin Michel</v>
      </c>
      <c r="E832" t="str">
        <f>_xlfn.XLOOKUP(TBL_USUARIOS[[#This Row],[ID_MASSA]],tbl_de_massas[id_massa],tbl_de_massas[cartao_fisico_numero],"--",0,1)</f>
        <v/>
      </c>
      <c r="F832" t="str">
        <f>_xlfn.XLOOKUP(TBL_USUARIOS[[#This Row],[ID_MASSA]],tbl_de_massas[id_massa],tbl_de_massas[nome_completo],"--",0,1)</f>
        <v>Chloe Martin Michel</v>
      </c>
      <c r="G832" s="47">
        <f>_xlfn.XLOOKUP(TBL_USUARIOS[[#This Row],[ID_MASSA]],tbl_de_massas[id_massa],tbl_de_massas[saldo_conta],"--",0,1)</f>
        <v>10000</v>
      </c>
      <c r="H832" t="str">
        <f>_xlfn.XLOOKUP(TBL_USUARIOS[[#This Row],[ID_MASSA]],tbl_de_massas[id_massa],tbl_de_massas[nome_completo],"--",0,1)</f>
        <v>Chloe Martin Michel</v>
      </c>
    </row>
    <row r="833" spans="1:8" x14ac:dyDescent="0.25">
      <c r="A833" s="2" t="s">
        <v>6764</v>
      </c>
      <c r="B833" t="str">
        <f>_xlfn.XLOOKUP(TBL_USUARIOS[[#This Row],[ID_MASSA]],tbl_de_massas[id_massa],tbl_de_massas[cpf],"--",0,1)</f>
        <v>12028034742</v>
      </c>
      <c r="C833" t="s">
        <v>12</v>
      </c>
      <c r="D833" t="str">
        <f>_xlfn.XLOOKUP(TBL_USUARIOS[[#This Row],[ID_MASSA]],tbl_de_massas[id_massa],tbl_de_massas[nome_completo],"--",0,1)</f>
        <v>Jules Dupont</v>
      </c>
      <c r="E833" t="str">
        <f>_xlfn.XLOOKUP(TBL_USUARIOS[[#This Row],[ID_MASSA]],tbl_de_massas[id_massa],tbl_de_massas[cartao_fisico_numero],"--",0,1)</f>
        <v/>
      </c>
      <c r="F833" t="str">
        <f>_xlfn.XLOOKUP(TBL_USUARIOS[[#This Row],[ID_MASSA]],tbl_de_massas[id_massa],tbl_de_massas[nome_completo],"--",0,1)</f>
        <v>Jules Dupont</v>
      </c>
      <c r="G833" s="47">
        <f>_xlfn.XLOOKUP(TBL_USUARIOS[[#This Row],[ID_MASSA]],tbl_de_massas[id_massa],tbl_de_massas[saldo_conta],"--",0,1)</f>
        <v>10000</v>
      </c>
      <c r="H833" t="str">
        <f>_xlfn.XLOOKUP(TBL_USUARIOS[[#This Row],[ID_MASSA]],tbl_de_massas[id_massa],tbl_de_massas[nome_completo],"--",0,1)</f>
        <v>Jules Dupont</v>
      </c>
    </row>
    <row r="834" spans="1:8" x14ac:dyDescent="0.25">
      <c r="A834" s="2" t="s">
        <v>6768</v>
      </c>
      <c r="B834" t="str">
        <f>_xlfn.XLOOKUP(TBL_USUARIOS[[#This Row],[ID_MASSA]],tbl_de_massas[id_massa],tbl_de_massas[cpf],"--",0,1)</f>
        <v>68646821617</v>
      </c>
      <c r="C834" t="s">
        <v>12</v>
      </c>
      <c r="D834" t="str">
        <f>_xlfn.XLOOKUP(TBL_USUARIOS[[#This Row],[ID_MASSA]],tbl_de_massas[id_massa],tbl_de_massas[nome_completo],"--",0,1)</f>
        <v>Hugo Morel</v>
      </c>
      <c r="E834" t="str">
        <f>_xlfn.XLOOKUP(TBL_USUARIOS[[#This Row],[ID_MASSA]],tbl_de_massas[id_massa],tbl_de_massas[cartao_fisico_numero],"--",0,1)</f>
        <v>6505 0666 3461 0521</v>
      </c>
      <c r="F834" t="str">
        <f>_xlfn.XLOOKUP(TBL_USUARIOS[[#This Row],[ID_MASSA]],tbl_de_massas[id_massa],tbl_de_massas[nome_completo],"--",0,1)</f>
        <v>Hugo Morel</v>
      </c>
      <c r="G834" s="47">
        <f>_xlfn.XLOOKUP(TBL_USUARIOS[[#This Row],[ID_MASSA]],tbl_de_massas[id_massa],tbl_de_massas[saldo_conta],"--",0,1)</f>
        <v>10000</v>
      </c>
      <c r="H834" t="str">
        <f>_xlfn.XLOOKUP(TBL_USUARIOS[[#This Row],[ID_MASSA]],tbl_de_massas[id_massa],tbl_de_massas[nome_completo],"--",0,1)</f>
        <v>Hugo Morel</v>
      </c>
    </row>
    <row r="835" spans="1:8" x14ac:dyDescent="0.25">
      <c r="A835" s="2" t="s">
        <v>6772</v>
      </c>
      <c r="B835" t="str">
        <f>_xlfn.XLOOKUP(TBL_USUARIOS[[#This Row],[ID_MASSA]],tbl_de_massas[id_massa],tbl_de_massas[cpf],"--",0,1)</f>
        <v>28701853244</v>
      </c>
      <c r="C835" t="s">
        <v>12</v>
      </c>
      <c r="D835" t="str">
        <f>_xlfn.XLOOKUP(TBL_USUARIOS[[#This Row],[ID_MASSA]],tbl_de_massas[id_massa],tbl_de_massas[nome_completo],"--",0,1)</f>
        <v>Hugo Bonnet</v>
      </c>
      <c r="E835" t="str">
        <f>_xlfn.XLOOKUP(TBL_USUARIOS[[#This Row],[ID_MASSA]],tbl_de_massas[id_massa],tbl_de_massas[cartao_fisico_numero],"--",0,1)</f>
        <v/>
      </c>
      <c r="F835" t="str">
        <f>_xlfn.XLOOKUP(TBL_USUARIOS[[#This Row],[ID_MASSA]],tbl_de_massas[id_massa],tbl_de_massas[nome_completo],"--",0,1)</f>
        <v>Hugo Bonnet</v>
      </c>
      <c r="G835" s="47">
        <f>_xlfn.XLOOKUP(TBL_USUARIOS[[#This Row],[ID_MASSA]],tbl_de_massas[id_massa],tbl_de_massas[saldo_conta],"--",0,1)</f>
        <v>10000</v>
      </c>
      <c r="H835" t="str">
        <f>_xlfn.XLOOKUP(TBL_USUARIOS[[#This Row],[ID_MASSA]],tbl_de_massas[id_massa],tbl_de_massas[nome_completo],"--",0,1)</f>
        <v>Hugo Bonnet</v>
      </c>
    </row>
    <row r="836" spans="1:8" x14ac:dyDescent="0.25">
      <c r="A836" s="2" t="s">
        <v>6776</v>
      </c>
      <c r="B836" t="str">
        <f>_xlfn.XLOOKUP(TBL_USUARIOS[[#This Row],[ID_MASSA]],tbl_de_massas[id_massa],tbl_de_massas[cpf],"--",0,1)</f>
        <v>83518088904</v>
      </c>
      <c r="C836" t="s">
        <v>12</v>
      </c>
      <c r="D836" t="str">
        <f>_xlfn.XLOOKUP(TBL_USUARIOS[[#This Row],[ID_MASSA]],tbl_de_massas[id_massa],tbl_de_massas[nome_completo],"--",0,1)</f>
        <v>Ines Bernard</v>
      </c>
      <c r="E836" t="str">
        <f>_xlfn.XLOOKUP(TBL_USUARIOS[[#This Row],[ID_MASSA]],tbl_de_massas[id_massa],tbl_de_massas[cartao_fisico_numero],"--",0,1)</f>
        <v>5442 7460 2891 7847</v>
      </c>
      <c r="F836" t="str">
        <f>_xlfn.XLOOKUP(TBL_USUARIOS[[#This Row],[ID_MASSA]],tbl_de_massas[id_massa],tbl_de_massas[nome_completo],"--",0,1)</f>
        <v>Ines Bernard</v>
      </c>
      <c r="G836" s="47">
        <f>_xlfn.XLOOKUP(TBL_USUARIOS[[#This Row],[ID_MASSA]],tbl_de_massas[id_massa],tbl_de_massas[saldo_conta],"--",0,1)</f>
        <v>10000</v>
      </c>
      <c r="H836" t="str">
        <f>_xlfn.XLOOKUP(TBL_USUARIOS[[#This Row],[ID_MASSA]],tbl_de_massas[id_massa],tbl_de_massas[nome_completo],"--",0,1)</f>
        <v>Ines Bernard</v>
      </c>
    </row>
    <row r="837" spans="1:8" x14ac:dyDescent="0.25">
      <c r="A837" s="2" t="s">
        <v>6780</v>
      </c>
      <c r="B837" t="str">
        <f>_xlfn.XLOOKUP(TBL_USUARIOS[[#This Row],[ID_MASSA]],tbl_de_massas[id_massa],tbl_de_massas[cpf],"--",0,1)</f>
        <v>52740394489</v>
      </c>
      <c r="C837" t="s">
        <v>12</v>
      </c>
      <c r="D837" t="str">
        <f>_xlfn.XLOOKUP(TBL_USUARIOS[[#This Row],[ID_MASSA]],tbl_de_massas[id_massa],tbl_de_massas[nome_completo],"--",0,1)</f>
        <v>Arthur Bonnet</v>
      </c>
      <c r="E837" t="str">
        <f>_xlfn.XLOOKUP(TBL_USUARIOS[[#This Row],[ID_MASSA]],tbl_de_massas[id_massa],tbl_de_massas[cartao_fisico_numero],"--",0,1)</f>
        <v/>
      </c>
      <c r="F837" t="str">
        <f>_xlfn.XLOOKUP(TBL_USUARIOS[[#This Row],[ID_MASSA]],tbl_de_massas[id_massa],tbl_de_massas[nome_completo],"--",0,1)</f>
        <v>Arthur Bonnet</v>
      </c>
      <c r="G837" s="47">
        <f>_xlfn.XLOOKUP(TBL_USUARIOS[[#This Row],[ID_MASSA]],tbl_de_massas[id_massa],tbl_de_massas[saldo_conta],"--",0,1)</f>
        <v>10000</v>
      </c>
      <c r="H837" t="str">
        <f>_xlfn.XLOOKUP(TBL_USUARIOS[[#This Row],[ID_MASSA]],tbl_de_massas[id_massa],tbl_de_massas[nome_completo],"--",0,1)</f>
        <v>Arthur Bonnet</v>
      </c>
    </row>
    <row r="838" spans="1:8" x14ac:dyDescent="0.25">
      <c r="A838" s="2" t="s">
        <v>6784</v>
      </c>
      <c r="B838" t="str">
        <f>_xlfn.XLOOKUP(TBL_USUARIOS[[#This Row],[ID_MASSA]],tbl_de_massas[id_massa],tbl_de_massas[cpf],"--",0,1)</f>
        <v>82316485421</v>
      </c>
      <c r="C838" t="s">
        <v>12</v>
      </c>
      <c r="D838" t="str">
        <f>_xlfn.XLOOKUP(TBL_USUARIOS[[#This Row],[ID_MASSA]],tbl_de_massas[id_massa],tbl_de_massas[nome_completo],"--",0,1)</f>
        <v>Camille Fournier Moreau</v>
      </c>
      <c r="E838" t="str">
        <f>_xlfn.XLOOKUP(TBL_USUARIOS[[#This Row],[ID_MASSA]],tbl_de_massas[id_massa],tbl_de_massas[cartao_fisico_numero],"--",0,1)</f>
        <v>6062 8200 4071 6284</v>
      </c>
      <c r="F838" t="str">
        <f>_xlfn.XLOOKUP(TBL_USUARIOS[[#This Row],[ID_MASSA]],tbl_de_massas[id_massa],tbl_de_massas[nome_completo],"--",0,1)</f>
        <v>Camille Fournier Moreau</v>
      </c>
      <c r="G838" s="47">
        <f>_xlfn.XLOOKUP(TBL_USUARIOS[[#This Row],[ID_MASSA]],tbl_de_massas[id_massa],tbl_de_massas[saldo_conta],"--",0,1)</f>
        <v>10000</v>
      </c>
      <c r="H838" t="str">
        <f>_xlfn.XLOOKUP(TBL_USUARIOS[[#This Row],[ID_MASSA]],tbl_de_massas[id_massa],tbl_de_massas[nome_completo],"--",0,1)</f>
        <v>Camille Fournier Moreau</v>
      </c>
    </row>
    <row r="839" spans="1:8" x14ac:dyDescent="0.25">
      <c r="A839" s="2" t="s">
        <v>6789</v>
      </c>
      <c r="B839" t="str">
        <f>_xlfn.XLOOKUP(TBL_USUARIOS[[#This Row],[ID_MASSA]],tbl_de_massas[id_massa],tbl_de_massas[cpf],"--",0,1)</f>
        <v>67328794054</v>
      </c>
      <c r="C839" t="s">
        <v>12</v>
      </c>
      <c r="D839" t="str">
        <f>_xlfn.XLOOKUP(TBL_USUARIOS[[#This Row],[ID_MASSA]],tbl_de_massas[id_massa],tbl_de_massas[nome_completo],"--",0,1)</f>
        <v>Zoe Bernard</v>
      </c>
      <c r="E839" t="str">
        <f>_xlfn.XLOOKUP(TBL_USUARIOS[[#This Row],[ID_MASSA]],tbl_de_massas[id_massa],tbl_de_massas[cartao_fisico_numero],"--",0,1)</f>
        <v>3782 730287 9701</v>
      </c>
      <c r="F839" t="str">
        <f>_xlfn.XLOOKUP(TBL_USUARIOS[[#This Row],[ID_MASSA]],tbl_de_massas[id_massa],tbl_de_massas[nome_completo],"--",0,1)</f>
        <v>Zoe Bernard</v>
      </c>
      <c r="G839" s="47">
        <f>_xlfn.XLOOKUP(TBL_USUARIOS[[#This Row],[ID_MASSA]],tbl_de_massas[id_massa],tbl_de_massas[saldo_conta],"--",0,1)</f>
        <v>10000</v>
      </c>
      <c r="H839" t="str">
        <f>_xlfn.XLOOKUP(TBL_USUARIOS[[#This Row],[ID_MASSA]],tbl_de_massas[id_massa],tbl_de_massas[nome_completo],"--",0,1)</f>
        <v>Zoe Bernard</v>
      </c>
    </row>
    <row r="840" spans="1:8" x14ac:dyDescent="0.25">
      <c r="A840" s="2" t="s">
        <v>6794</v>
      </c>
      <c r="B840" t="str">
        <f>_xlfn.XLOOKUP(TBL_USUARIOS[[#This Row],[ID_MASSA]],tbl_de_massas[id_massa],tbl_de_massas[cpf],"--",0,1)</f>
        <v>01225161924</v>
      </c>
      <c r="C840" t="s">
        <v>12</v>
      </c>
      <c r="D840" t="str">
        <f>_xlfn.XLOOKUP(TBL_USUARIOS[[#This Row],[ID_MASSA]],tbl_de_massas[id_massa],tbl_de_massas[nome_completo],"--",0,1)</f>
        <v>Jade David</v>
      </c>
      <c r="E840" t="str">
        <f>_xlfn.XLOOKUP(TBL_USUARIOS[[#This Row],[ID_MASSA]],tbl_de_massas[id_massa],tbl_de_massas[cartao_fisico_numero],"--",0,1)</f>
        <v/>
      </c>
      <c r="F840" t="str">
        <f>_xlfn.XLOOKUP(TBL_USUARIOS[[#This Row],[ID_MASSA]],tbl_de_massas[id_massa],tbl_de_massas[nome_completo],"--",0,1)</f>
        <v>Jade David</v>
      </c>
      <c r="G840" s="47">
        <f>_xlfn.XLOOKUP(TBL_USUARIOS[[#This Row],[ID_MASSA]],tbl_de_massas[id_massa],tbl_de_massas[saldo_conta],"--",0,1)</f>
        <v>10000</v>
      </c>
      <c r="H840" t="str">
        <f>_xlfn.XLOOKUP(TBL_USUARIOS[[#This Row],[ID_MASSA]],tbl_de_massas[id_massa],tbl_de_massas[nome_completo],"--",0,1)</f>
        <v>Jade David</v>
      </c>
    </row>
    <row r="841" spans="1:8" x14ac:dyDescent="0.25">
      <c r="A841" s="2" t="s">
        <v>6798</v>
      </c>
      <c r="B841" t="str">
        <f>_xlfn.XLOOKUP(TBL_USUARIOS[[#This Row],[ID_MASSA]],tbl_de_massas[id_massa],tbl_de_massas[cpf],"--",0,1)</f>
        <v>21275975593</v>
      </c>
      <c r="C841" t="s">
        <v>12</v>
      </c>
      <c r="D841" t="str">
        <f>_xlfn.XLOOKUP(TBL_USUARIOS[[#This Row],[ID_MASSA]],tbl_de_massas[id_massa],tbl_de_massas[nome_completo],"--",0,1)</f>
        <v>Camille Bonnet Martin</v>
      </c>
      <c r="E841" t="str">
        <f>_xlfn.XLOOKUP(TBL_USUARIOS[[#This Row],[ID_MASSA]],tbl_de_massas[id_massa],tbl_de_massas[cartao_fisico_numero],"--",0,1)</f>
        <v>6505 0666 6772 8976</v>
      </c>
      <c r="F841" t="str">
        <f>_xlfn.XLOOKUP(TBL_USUARIOS[[#This Row],[ID_MASSA]],tbl_de_massas[id_massa],tbl_de_massas[nome_completo],"--",0,1)</f>
        <v>Camille Bonnet Martin</v>
      </c>
      <c r="G841" s="47">
        <f>_xlfn.XLOOKUP(TBL_USUARIOS[[#This Row],[ID_MASSA]],tbl_de_massas[id_massa],tbl_de_massas[saldo_conta],"--",0,1)</f>
        <v>10000</v>
      </c>
      <c r="H841" t="str">
        <f>_xlfn.XLOOKUP(TBL_USUARIOS[[#This Row],[ID_MASSA]],tbl_de_massas[id_massa],tbl_de_massas[nome_completo],"--",0,1)</f>
        <v>Camille Bonnet Martin</v>
      </c>
    </row>
    <row r="842" spans="1:8" x14ac:dyDescent="0.25">
      <c r="A842" s="2" t="s">
        <v>6802</v>
      </c>
      <c r="B842" t="str">
        <f>_xlfn.XLOOKUP(TBL_USUARIOS[[#This Row],[ID_MASSA]],tbl_de_massas[id_massa],tbl_de_massas[cpf],"--",0,1)</f>
        <v>18644594680</v>
      </c>
      <c r="C842" t="s">
        <v>12</v>
      </c>
      <c r="D842" t="str">
        <f>_xlfn.XLOOKUP(TBL_USUARIOS[[#This Row],[ID_MASSA]],tbl_de_massas[id_massa],tbl_de_massas[nome_completo],"--",0,1)</f>
        <v>Sarah Fournier</v>
      </c>
      <c r="E842" t="str">
        <f>_xlfn.XLOOKUP(TBL_USUARIOS[[#This Row],[ID_MASSA]],tbl_de_massas[id_massa],tbl_de_massas[cartao_fisico_numero],"--",0,1)</f>
        <v>3782 563466 1703</v>
      </c>
      <c r="F842" t="str">
        <f>_xlfn.XLOOKUP(TBL_USUARIOS[[#This Row],[ID_MASSA]],tbl_de_massas[id_massa],tbl_de_massas[nome_completo],"--",0,1)</f>
        <v>Sarah Fournier</v>
      </c>
      <c r="G842" s="47">
        <f>_xlfn.XLOOKUP(TBL_USUARIOS[[#This Row],[ID_MASSA]],tbl_de_massas[id_massa],tbl_de_massas[saldo_conta],"--",0,1)</f>
        <v>10000</v>
      </c>
      <c r="H842" t="str">
        <f>_xlfn.XLOOKUP(TBL_USUARIOS[[#This Row],[ID_MASSA]],tbl_de_massas[id_massa],tbl_de_massas[nome_completo],"--",0,1)</f>
        <v>Sarah Fournier</v>
      </c>
    </row>
    <row r="843" spans="1:8" x14ac:dyDescent="0.25">
      <c r="A843" s="2" t="s">
        <v>6807</v>
      </c>
      <c r="B843" t="str">
        <f>_xlfn.XLOOKUP(TBL_USUARIOS[[#This Row],[ID_MASSA]],tbl_de_massas[id_massa],tbl_de_massas[cpf],"--",0,1)</f>
        <v>91854527266</v>
      </c>
      <c r="C843" t="s">
        <v>12</v>
      </c>
      <c r="D843" t="str">
        <f>_xlfn.XLOOKUP(TBL_USUARIOS[[#This Row],[ID_MASSA]],tbl_de_massas[id_massa],tbl_de_massas[nome_completo],"--",0,1)</f>
        <v>Arthur Vincent</v>
      </c>
      <c r="E843" t="str">
        <f>_xlfn.XLOOKUP(TBL_USUARIOS[[#This Row],[ID_MASSA]],tbl_de_massas[id_massa],tbl_de_massas[cartao_fisico_numero],"--",0,1)</f>
        <v>4576 7460 8392 8194</v>
      </c>
      <c r="F843" t="str">
        <f>_xlfn.XLOOKUP(TBL_USUARIOS[[#This Row],[ID_MASSA]],tbl_de_massas[id_massa],tbl_de_massas[nome_completo],"--",0,1)</f>
        <v>Arthur Vincent</v>
      </c>
      <c r="G843" s="47">
        <f>_xlfn.XLOOKUP(TBL_USUARIOS[[#This Row],[ID_MASSA]],tbl_de_massas[id_massa],tbl_de_massas[saldo_conta],"--",0,1)</f>
        <v>10000</v>
      </c>
      <c r="H843" t="str">
        <f>_xlfn.XLOOKUP(TBL_USUARIOS[[#This Row],[ID_MASSA]],tbl_de_massas[id_massa],tbl_de_massas[nome_completo],"--",0,1)</f>
        <v>Arthur Vincent</v>
      </c>
    </row>
    <row r="844" spans="1:8" x14ac:dyDescent="0.25">
      <c r="A844" s="2" t="s">
        <v>6811</v>
      </c>
      <c r="B844" t="str">
        <f>_xlfn.XLOOKUP(TBL_USUARIOS[[#This Row],[ID_MASSA]],tbl_de_massas[id_massa],tbl_de_massas[cpf],"--",0,1)</f>
        <v>67237338439</v>
      </c>
      <c r="C844" t="s">
        <v>12</v>
      </c>
      <c r="D844" t="str">
        <f>_xlfn.XLOOKUP(TBL_USUARIOS[[#This Row],[ID_MASSA]],tbl_de_massas[id_massa],tbl_de_massas[nome_completo],"--",0,1)</f>
        <v>Emma Fournier</v>
      </c>
      <c r="E844" t="str">
        <f>_xlfn.XLOOKUP(TBL_USUARIOS[[#This Row],[ID_MASSA]],tbl_de_massas[id_massa],tbl_de_massas[cartao_fisico_numero],"--",0,1)</f>
        <v>4576 7460 7149 4515</v>
      </c>
      <c r="F844" t="str">
        <f>_xlfn.XLOOKUP(TBL_USUARIOS[[#This Row],[ID_MASSA]],tbl_de_massas[id_massa],tbl_de_massas[nome_completo],"--",0,1)</f>
        <v>Emma Fournier</v>
      </c>
      <c r="G844" s="47">
        <f>_xlfn.XLOOKUP(TBL_USUARIOS[[#This Row],[ID_MASSA]],tbl_de_massas[id_massa],tbl_de_massas[saldo_conta],"--",0,1)</f>
        <v>10000</v>
      </c>
      <c r="H844" t="str">
        <f>_xlfn.XLOOKUP(TBL_USUARIOS[[#This Row],[ID_MASSA]],tbl_de_massas[id_massa],tbl_de_massas[nome_completo],"--",0,1)</f>
        <v>Emma Fournier</v>
      </c>
    </row>
    <row r="845" spans="1:8" x14ac:dyDescent="0.25">
      <c r="A845" s="2" t="s">
        <v>6815</v>
      </c>
      <c r="B845" t="str">
        <f>_xlfn.XLOOKUP(TBL_USUARIOS[[#This Row],[ID_MASSA]],tbl_de_massas[id_massa],tbl_de_massas[cpf],"--",0,1)</f>
        <v>06689718000</v>
      </c>
      <c r="C845" t="s">
        <v>12</v>
      </c>
      <c r="D845" t="str">
        <f>_xlfn.XLOOKUP(TBL_USUARIOS[[#This Row],[ID_MASSA]],tbl_de_massas[id_massa],tbl_de_massas[nome_completo],"--",0,1)</f>
        <v>Jean Dubois</v>
      </c>
      <c r="E845" t="str">
        <f>_xlfn.XLOOKUP(TBL_USUARIOS[[#This Row],[ID_MASSA]],tbl_de_massas[id_massa],tbl_de_massas[cartao_fisico_numero],"--",0,1)</f>
        <v>6062 8200 5944 6574</v>
      </c>
      <c r="F845" t="str">
        <f>_xlfn.XLOOKUP(TBL_USUARIOS[[#This Row],[ID_MASSA]],tbl_de_massas[id_massa],tbl_de_massas[nome_completo],"--",0,1)</f>
        <v>Jean Dubois</v>
      </c>
      <c r="G845" s="47">
        <f>_xlfn.XLOOKUP(TBL_USUARIOS[[#This Row],[ID_MASSA]],tbl_de_massas[id_massa],tbl_de_massas[saldo_conta],"--",0,1)</f>
        <v>10000</v>
      </c>
      <c r="H845" t="str">
        <f>_xlfn.XLOOKUP(TBL_USUARIOS[[#This Row],[ID_MASSA]],tbl_de_massas[id_massa],tbl_de_massas[nome_completo],"--",0,1)</f>
        <v>Jean Dubois</v>
      </c>
    </row>
    <row r="846" spans="1:8" x14ac:dyDescent="0.25">
      <c r="A846" s="2" t="s">
        <v>6819</v>
      </c>
      <c r="B846" t="str">
        <f>_xlfn.XLOOKUP(TBL_USUARIOS[[#This Row],[ID_MASSA]],tbl_de_massas[id_massa],tbl_de_massas[cpf],"--",0,1)</f>
        <v>86754163500</v>
      </c>
      <c r="C846" t="s">
        <v>12</v>
      </c>
      <c r="D846" t="str">
        <f>_xlfn.XLOOKUP(TBL_USUARIOS[[#This Row],[ID_MASSA]],tbl_de_massas[id_massa],tbl_de_massas[nome_completo],"--",0,1)</f>
        <v>Lucas Martin</v>
      </c>
      <c r="E846" t="str">
        <f>_xlfn.XLOOKUP(TBL_USUARIOS[[#This Row],[ID_MASSA]],tbl_de_massas[id_massa],tbl_de_massas[cartao_fisico_numero],"--",0,1)</f>
        <v>6505 0666 9804 4743</v>
      </c>
      <c r="F846" t="str">
        <f>_xlfn.XLOOKUP(TBL_USUARIOS[[#This Row],[ID_MASSA]],tbl_de_massas[id_massa],tbl_de_massas[nome_completo],"--",0,1)</f>
        <v>Lucas Martin</v>
      </c>
      <c r="G846" s="47">
        <f>_xlfn.XLOOKUP(TBL_USUARIOS[[#This Row],[ID_MASSA]],tbl_de_massas[id_massa],tbl_de_massas[saldo_conta],"--",0,1)</f>
        <v>10000</v>
      </c>
      <c r="H846" t="str">
        <f>_xlfn.XLOOKUP(TBL_USUARIOS[[#This Row],[ID_MASSA]],tbl_de_massas[id_massa],tbl_de_massas[nome_completo],"--",0,1)</f>
        <v>Lucas Martin</v>
      </c>
    </row>
    <row r="847" spans="1:8" x14ac:dyDescent="0.25">
      <c r="A847" s="2" t="s">
        <v>6823</v>
      </c>
      <c r="B847" t="str">
        <f>_xlfn.XLOOKUP(TBL_USUARIOS[[#This Row],[ID_MASSA]],tbl_de_massas[id_massa],tbl_de_massas[cpf],"--",0,1)</f>
        <v>76021727797</v>
      </c>
      <c r="C847" t="s">
        <v>12</v>
      </c>
      <c r="D847" t="str">
        <f>_xlfn.XLOOKUP(TBL_USUARIOS[[#This Row],[ID_MASSA]],tbl_de_massas[id_massa],tbl_de_massas[nome_completo],"--",0,1)</f>
        <v>Hugo Bernard</v>
      </c>
      <c r="E847" t="str">
        <f>_xlfn.XLOOKUP(TBL_USUARIOS[[#This Row],[ID_MASSA]],tbl_de_massas[id_massa],tbl_de_massas[cartao_fisico_numero],"--",0,1)</f>
        <v>5442 7460 5654 2235</v>
      </c>
      <c r="F847" t="str">
        <f>_xlfn.XLOOKUP(TBL_USUARIOS[[#This Row],[ID_MASSA]],tbl_de_massas[id_massa],tbl_de_massas[nome_completo],"--",0,1)</f>
        <v>Hugo Bernard</v>
      </c>
      <c r="G847" s="47">
        <f>_xlfn.XLOOKUP(TBL_USUARIOS[[#This Row],[ID_MASSA]],tbl_de_massas[id_massa],tbl_de_massas[saldo_conta],"--",0,1)</f>
        <v>10000</v>
      </c>
      <c r="H847" t="str">
        <f>_xlfn.XLOOKUP(TBL_USUARIOS[[#This Row],[ID_MASSA]],tbl_de_massas[id_massa],tbl_de_massas[nome_completo],"--",0,1)</f>
        <v>Hugo Bernard</v>
      </c>
    </row>
    <row r="848" spans="1:8" x14ac:dyDescent="0.25">
      <c r="A848" s="2" t="s">
        <v>6828</v>
      </c>
      <c r="B848" t="str">
        <f>_xlfn.XLOOKUP(TBL_USUARIOS[[#This Row],[ID_MASSA]],tbl_de_massas[id_massa],tbl_de_massas[cpf],"--",0,1)</f>
        <v>98157570328</v>
      </c>
      <c r="C848" t="s">
        <v>12</v>
      </c>
      <c r="D848" t="str">
        <f>_xlfn.XLOOKUP(TBL_USUARIOS[[#This Row],[ID_MASSA]],tbl_de_massas[id_massa],tbl_de_massas[nome_completo],"--",0,1)</f>
        <v>Jean Girard</v>
      </c>
      <c r="E848" t="str">
        <f>_xlfn.XLOOKUP(TBL_USUARIOS[[#This Row],[ID_MASSA]],tbl_de_massas[id_massa],tbl_de_massas[cartao_fisico_numero],"--",0,1)</f>
        <v>6505 0666 2234 8886</v>
      </c>
      <c r="F848" t="str">
        <f>_xlfn.XLOOKUP(TBL_USUARIOS[[#This Row],[ID_MASSA]],tbl_de_massas[id_massa],tbl_de_massas[nome_completo],"--",0,1)</f>
        <v>Jean Girard</v>
      </c>
      <c r="G848" s="47">
        <f>_xlfn.XLOOKUP(TBL_USUARIOS[[#This Row],[ID_MASSA]],tbl_de_massas[id_massa],tbl_de_massas[saldo_conta],"--",0,1)</f>
        <v>10000</v>
      </c>
      <c r="H848" t="str">
        <f>_xlfn.XLOOKUP(TBL_USUARIOS[[#This Row],[ID_MASSA]],tbl_de_massas[id_massa],tbl_de_massas[nome_completo],"--",0,1)</f>
        <v>Jean Girard</v>
      </c>
    </row>
    <row r="849" spans="1:8" x14ac:dyDescent="0.25">
      <c r="A849" s="2" t="s">
        <v>6832</v>
      </c>
      <c r="B849" t="str">
        <f>_xlfn.XLOOKUP(TBL_USUARIOS[[#This Row],[ID_MASSA]],tbl_de_massas[id_massa],tbl_de_massas[cpf],"--",0,1)</f>
        <v>98020514384</v>
      </c>
      <c r="C849" t="s">
        <v>12</v>
      </c>
      <c r="D849" t="str">
        <f>_xlfn.XLOOKUP(TBL_USUARIOS[[#This Row],[ID_MASSA]],tbl_de_massas[id_massa],tbl_de_massas[nome_completo],"--",0,1)</f>
        <v>Chloe Martin</v>
      </c>
      <c r="E849" t="str">
        <f>_xlfn.XLOOKUP(TBL_USUARIOS[[#This Row],[ID_MASSA]],tbl_de_massas[id_massa],tbl_de_massas[cartao_fisico_numero],"--",0,1)</f>
        <v>5442 7460 6750 0855</v>
      </c>
      <c r="F849" t="str">
        <f>_xlfn.XLOOKUP(TBL_USUARIOS[[#This Row],[ID_MASSA]],tbl_de_massas[id_massa],tbl_de_massas[nome_completo],"--",0,1)</f>
        <v>Chloe Martin</v>
      </c>
      <c r="G849" s="47">
        <f>_xlfn.XLOOKUP(TBL_USUARIOS[[#This Row],[ID_MASSA]],tbl_de_massas[id_massa],tbl_de_massas[saldo_conta],"--",0,1)</f>
        <v>10000</v>
      </c>
      <c r="H849" t="str">
        <f>_xlfn.XLOOKUP(TBL_USUARIOS[[#This Row],[ID_MASSA]],tbl_de_massas[id_massa],tbl_de_massas[nome_completo],"--",0,1)</f>
        <v>Chloe Martin</v>
      </c>
    </row>
    <row r="850" spans="1:8" x14ac:dyDescent="0.25">
      <c r="A850" s="2" t="s">
        <v>6837</v>
      </c>
      <c r="B850" t="str">
        <f>_xlfn.XLOOKUP(TBL_USUARIOS[[#This Row],[ID_MASSA]],tbl_de_massas[id_massa],tbl_de_massas[cpf],"--",0,1)</f>
        <v>14904252179</v>
      </c>
      <c r="C850" t="s">
        <v>12</v>
      </c>
      <c r="D850" t="str">
        <f>_xlfn.XLOOKUP(TBL_USUARIOS[[#This Row],[ID_MASSA]],tbl_de_massas[id_massa],tbl_de_massas[nome_completo],"--",0,1)</f>
        <v>Jules Morel</v>
      </c>
      <c r="E850" t="str">
        <f>_xlfn.XLOOKUP(TBL_USUARIOS[[#This Row],[ID_MASSA]],tbl_de_massas[id_massa],tbl_de_massas[cartao_fisico_numero],"--",0,1)</f>
        <v>3782 859635 1473</v>
      </c>
      <c r="F850" t="str">
        <f>_xlfn.XLOOKUP(TBL_USUARIOS[[#This Row],[ID_MASSA]],tbl_de_massas[id_massa],tbl_de_massas[nome_completo],"--",0,1)</f>
        <v>Jules Morel</v>
      </c>
      <c r="G850" s="47">
        <f>_xlfn.XLOOKUP(TBL_USUARIOS[[#This Row],[ID_MASSA]],tbl_de_massas[id_massa],tbl_de_massas[saldo_conta],"--",0,1)</f>
        <v>10000</v>
      </c>
      <c r="H850" t="str">
        <f>_xlfn.XLOOKUP(TBL_USUARIOS[[#This Row],[ID_MASSA]],tbl_de_massas[id_massa],tbl_de_massas[nome_completo],"--",0,1)</f>
        <v>Jules Morel</v>
      </c>
    </row>
    <row r="851" spans="1:8" x14ac:dyDescent="0.25">
      <c r="A851" s="2" t="s">
        <v>6841</v>
      </c>
      <c r="B851" t="str">
        <f>_xlfn.XLOOKUP(TBL_USUARIOS[[#This Row],[ID_MASSA]],tbl_de_massas[id_massa],tbl_de_massas[cpf],"--",0,1)</f>
        <v>68917679544</v>
      </c>
      <c r="C851" t="s">
        <v>12</v>
      </c>
      <c r="D851" t="str">
        <f>_xlfn.XLOOKUP(TBL_USUARIOS[[#This Row],[ID_MASSA]],tbl_de_massas[id_massa],tbl_de_massas[nome_completo],"--",0,1)</f>
        <v>Lucas Morel</v>
      </c>
      <c r="E851" t="str">
        <f>_xlfn.XLOOKUP(TBL_USUARIOS[[#This Row],[ID_MASSA]],tbl_de_massas[id_massa],tbl_de_massas[cartao_fisico_numero],"--",0,1)</f>
        <v>3782 436161 1313</v>
      </c>
      <c r="F851" t="str">
        <f>_xlfn.XLOOKUP(TBL_USUARIOS[[#This Row],[ID_MASSA]],tbl_de_massas[id_massa],tbl_de_massas[nome_completo],"--",0,1)</f>
        <v>Lucas Morel</v>
      </c>
      <c r="G851" s="47">
        <f>_xlfn.XLOOKUP(TBL_USUARIOS[[#This Row],[ID_MASSA]],tbl_de_massas[id_massa],tbl_de_massas[saldo_conta],"--",0,1)</f>
        <v>10000</v>
      </c>
      <c r="H851" t="str">
        <f>_xlfn.XLOOKUP(TBL_USUARIOS[[#This Row],[ID_MASSA]],tbl_de_massas[id_massa],tbl_de_massas[nome_completo],"--",0,1)</f>
        <v>Lucas Morel</v>
      </c>
    </row>
    <row r="852" spans="1:8" x14ac:dyDescent="0.25">
      <c r="A852" s="2" t="s">
        <v>6845</v>
      </c>
      <c r="B852" t="str">
        <f>_xlfn.XLOOKUP(TBL_USUARIOS[[#This Row],[ID_MASSA]],tbl_de_massas[id_massa],tbl_de_massas[cpf],"--",0,1)</f>
        <v>88471689103</v>
      </c>
      <c r="C852" t="s">
        <v>12</v>
      </c>
      <c r="D852" t="str">
        <f>_xlfn.XLOOKUP(TBL_USUARIOS[[#This Row],[ID_MASSA]],tbl_de_massas[id_massa],tbl_de_massas[nome_completo],"--",0,1)</f>
        <v>Jade Simon</v>
      </c>
      <c r="E852" t="str">
        <f>_xlfn.XLOOKUP(TBL_USUARIOS[[#This Row],[ID_MASSA]],tbl_de_massas[id_massa],tbl_de_massas[cartao_fisico_numero],"--",0,1)</f>
        <v/>
      </c>
      <c r="F852" t="str">
        <f>_xlfn.XLOOKUP(TBL_USUARIOS[[#This Row],[ID_MASSA]],tbl_de_massas[id_massa],tbl_de_massas[nome_completo],"--",0,1)</f>
        <v>Jade Simon</v>
      </c>
      <c r="G852" s="47">
        <f>_xlfn.XLOOKUP(TBL_USUARIOS[[#This Row],[ID_MASSA]],tbl_de_massas[id_massa],tbl_de_massas[saldo_conta],"--",0,1)</f>
        <v>10000</v>
      </c>
      <c r="H852" t="str">
        <f>_xlfn.XLOOKUP(TBL_USUARIOS[[#This Row],[ID_MASSA]],tbl_de_massas[id_massa],tbl_de_massas[nome_completo],"--",0,1)</f>
        <v>Jade Simon</v>
      </c>
    </row>
    <row r="853" spans="1:8" x14ac:dyDescent="0.25">
      <c r="A853" s="2" t="s">
        <v>6849</v>
      </c>
      <c r="B853" t="str">
        <f>_xlfn.XLOOKUP(TBL_USUARIOS[[#This Row],[ID_MASSA]],tbl_de_massas[id_massa],tbl_de_massas[cpf],"--",0,1)</f>
        <v>74923620056</v>
      </c>
      <c r="C853" t="s">
        <v>12</v>
      </c>
      <c r="D853" t="str">
        <f>_xlfn.XLOOKUP(TBL_USUARIOS[[#This Row],[ID_MASSA]],tbl_de_massas[id_massa],tbl_de_massas[nome_completo],"--",0,1)</f>
        <v>Jean Lefebvre</v>
      </c>
      <c r="E853" t="str">
        <f>_xlfn.XLOOKUP(TBL_USUARIOS[[#This Row],[ID_MASSA]],tbl_de_massas[id_massa],tbl_de_massas[cartao_fisico_numero],"--",0,1)</f>
        <v/>
      </c>
      <c r="F853" t="str">
        <f>_xlfn.XLOOKUP(TBL_USUARIOS[[#This Row],[ID_MASSA]],tbl_de_massas[id_massa],tbl_de_massas[nome_completo],"--",0,1)</f>
        <v>Jean Lefebvre</v>
      </c>
      <c r="G853" s="47">
        <f>_xlfn.XLOOKUP(TBL_USUARIOS[[#This Row],[ID_MASSA]],tbl_de_massas[id_massa],tbl_de_massas[saldo_conta],"--",0,1)</f>
        <v>10000</v>
      </c>
      <c r="H853" t="str">
        <f>_xlfn.XLOOKUP(TBL_USUARIOS[[#This Row],[ID_MASSA]],tbl_de_massas[id_massa],tbl_de_massas[nome_completo],"--",0,1)</f>
        <v>Jean Lefebvre</v>
      </c>
    </row>
    <row r="854" spans="1:8" x14ac:dyDescent="0.25">
      <c r="A854" s="2" t="s">
        <v>6853</v>
      </c>
      <c r="B854" t="str">
        <f>_xlfn.XLOOKUP(TBL_USUARIOS[[#This Row],[ID_MASSA]],tbl_de_massas[id_massa],tbl_de_massas[cpf],"--",0,1)</f>
        <v>19974186226</v>
      </c>
      <c r="C854" t="s">
        <v>12</v>
      </c>
      <c r="D854" t="str">
        <f>_xlfn.XLOOKUP(TBL_USUARIOS[[#This Row],[ID_MASSA]],tbl_de_massas[id_massa],tbl_de_massas[nome_completo],"--",0,1)</f>
        <v>Thomas Fontaine</v>
      </c>
      <c r="E854" t="str">
        <f>_xlfn.XLOOKUP(TBL_USUARIOS[[#This Row],[ID_MASSA]],tbl_de_massas[id_massa],tbl_de_massas[cartao_fisico_numero],"--",0,1)</f>
        <v>3782 115491 5377</v>
      </c>
      <c r="F854" t="str">
        <f>_xlfn.XLOOKUP(TBL_USUARIOS[[#This Row],[ID_MASSA]],tbl_de_massas[id_massa],tbl_de_massas[nome_completo],"--",0,1)</f>
        <v>Thomas Fontaine</v>
      </c>
      <c r="G854" s="47">
        <f>_xlfn.XLOOKUP(TBL_USUARIOS[[#This Row],[ID_MASSA]],tbl_de_massas[id_massa],tbl_de_massas[saldo_conta],"--",0,1)</f>
        <v>10000</v>
      </c>
      <c r="H854" t="str">
        <f>_xlfn.XLOOKUP(TBL_USUARIOS[[#This Row],[ID_MASSA]],tbl_de_massas[id_massa],tbl_de_massas[nome_completo],"--",0,1)</f>
        <v>Thomas Fontaine</v>
      </c>
    </row>
    <row r="855" spans="1:8" x14ac:dyDescent="0.25">
      <c r="A855" s="2" t="s">
        <v>6857</v>
      </c>
      <c r="B855" t="str">
        <f>_xlfn.XLOOKUP(TBL_USUARIOS[[#This Row],[ID_MASSA]],tbl_de_massas[id_massa],tbl_de_massas[cpf],"--",0,1)</f>
        <v>03973500070</v>
      </c>
      <c r="C855" t="s">
        <v>12</v>
      </c>
      <c r="D855" t="str">
        <f>_xlfn.XLOOKUP(TBL_USUARIOS[[#This Row],[ID_MASSA]],tbl_de_massas[id_massa],tbl_de_massas[nome_completo],"--",0,1)</f>
        <v>Jade Fournier</v>
      </c>
      <c r="E855" t="str">
        <f>_xlfn.XLOOKUP(TBL_USUARIOS[[#This Row],[ID_MASSA]],tbl_de_massas[id_massa],tbl_de_massas[cartao_fisico_numero],"--",0,1)</f>
        <v>6505 0666 8952 6109</v>
      </c>
      <c r="F855" t="str">
        <f>_xlfn.XLOOKUP(TBL_USUARIOS[[#This Row],[ID_MASSA]],tbl_de_massas[id_massa],tbl_de_massas[nome_completo],"--",0,1)</f>
        <v>Jade Fournier</v>
      </c>
      <c r="G855" s="47">
        <f>_xlfn.XLOOKUP(TBL_USUARIOS[[#This Row],[ID_MASSA]],tbl_de_massas[id_massa],tbl_de_massas[saldo_conta],"--",0,1)</f>
        <v>10000</v>
      </c>
      <c r="H855" t="str">
        <f>_xlfn.XLOOKUP(TBL_USUARIOS[[#This Row],[ID_MASSA]],tbl_de_massas[id_massa],tbl_de_massas[nome_completo],"--",0,1)</f>
        <v>Jade Fournier</v>
      </c>
    </row>
    <row r="856" spans="1:8" x14ac:dyDescent="0.25">
      <c r="A856" s="2" t="s">
        <v>6861</v>
      </c>
      <c r="B856" t="str">
        <f>_xlfn.XLOOKUP(TBL_USUARIOS[[#This Row],[ID_MASSA]],tbl_de_massas[id_massa],tbl_de_massas[cpf],"--",0,1)</f>
        <v>41930726490</v>
      </c>
      <c r="C856" t="s">
        <v>12</v>
      </c>
      <c r="D856" t="str">
        <f>_xlfn.XLOOKUP(TBL_USUARIOS[[#This Row],[ID_MASSA]],tbl_de_massas[id_massa],tbl_de_massas[nome_completo],"--",0,1)</f>
        <v>Manon Leroy Bernard</v>
      </c>
      <c r="E856" t="str">
        <f>_xlfn.XLOOKUP(TBL_USUARIOS[[#This Row],[ID_MASSA]],tbl_de_massas[id_massa],tbl_de_massas[cartao_fisico_numero],"--",0,1)</f>
        <v>6062 8200 8394 2440</v>
      </c>
      <c r="F856" t="str">
        <f>_xlfn.XLOOKUP(TBL_USUARIOS[[#This Row],[ID_MASSA]],tbl_de_massas[id_massa],tbl_de_massas[nome_completo],"--",0,1)</f>
        <v>Manon Leroy Bernard</v>
      </c>
      <c r="G856" s="47">
        <f>_xlfn.XLOOKUP(TBL_USUARIOS[[#This Row],[ID_MASSA]],tbl_de_massas[id_massa],tbl_de_massas[saldo_conta],"--",0,1)</f>
        <v>10000</v>
      </c>
      <c r="H856" t="str">
        <f>_xlfn.XLOOKUP(TBL_USUARIOS[[#This Row],[ID_MASSA]],tbl_de_massas[id_massa],tbl_de_massas[nome_completo],"--",0,1)</f>
        <v>Manon Leroy Bernard</v>
      </c>
    </row>
    <row r="857" spans="1:8" x14ac:dyDescent="0.25">
      <c r="A857" s="2" t="s">
        <v>6865</v>
      </c>
      <c r="B857" t="str">
        <f>_xlfn.XLOOKUP(TBL_USUARIOS[[#This Row],[ID_MASSA]],tbl_de_massas[id_massa],tbl_de_massas[cpf],"--",0,1)</f>
        <v>33327581797</v>
      </c>
      <c r="C857" t="s">
        <v>12</v>
      </c>
      <c r="D857" t="str">
        <f>_xlfn.XLOOKUP(TBL_USUARIOS[[#This Row],[ID_MASSA]],tbl_de_massas[id_massa],tbl_de_massas[nome_completo],"--",0,1)</f>
        <v>Chloe Dubois Moreau</v>
      </c>
      <c r="E857" t="str">
        <f>_xlfn.XLOOKUP(TBL_USUARIOS[[#This Row],[ID_MASSA]],tbl_de_massas[id_massa],tbl_de_massas[cartao_fisico_numero],"--",0,1)</f>
        <v/>
      </c>
      <c r="F857" t="str">
        <f>_xlfn.XLOOKUP(TBL_USUARIOS[[#This Row],[ID_MASSA]],tbl_de_massas[id_massa],tbl_de_massas[nome_completo],"--",0,1)</f>
        <v>Chloe Dubois Moreau</v>
      </c>
      <c r="G857" s="47">
        <f>_xlfn.XLOOKUP(TBL_USUARIOS[[#This Row],[ID_MASSA]],tbl_de_massas[id_massa],tbl_de_massas[saldo_conta],"--",0,1)</f>
        <v>10000</v>
      </c>
      <c r="H857" t="str">
        <f>_xlfn.XLOOKUP(TBL_USUARIOS[[#This Row],[ID_MASSA]],tbl_de_massas[id_massa],tbl_de_massas[nome_completo],"--",0,1)</f>
        <v>Chloe Dubois Moreau</v>
      </c>
    </row>
    <row r="858" spans="1:8" x14ac:dyDescent="0.25">
      <c r="A858" s="2" t="s">
        <v>6869</v>
      </c>
      <c r="B858" t="str">
        <f>_xlfn.XLOOKUP(TBL_USUARIOS[[#This Row],[ID_MASSA]],tbl_de_massas[id_massa],tbl_de_massas[cpf],"--",0,1)</f>
        <v>94909356207</v>
      </c>
      <c r="C858" t="s">
        <v>12</v>
      </c>
      <c r="D858" t="str">
        <f>_xlfn.XLOOKUP(TBL_USUARIOS[[#This Row],[ID_MASSA]],tbl_de_massas[id_massa],tbl_de_massas[nome_completo],"--",0,1)</f>
        <v>Jean Dubois</v>
      </c>
      <c r="E858" t="str">
        <f>_xlfn.XLOOKUP(TBL_USUARIOS[[#This Row],[ID_MASSA]],tbl_de_massas[id_massa],tbl_de_massas[cartao_fisico_numero],"--",0,1)</f>
        <v>5442 7460 1862 0464</v>
      </c>
      <c r="F858" t="str">
        <f>_xlfn.XLOOKUP(TBL_USUARIOS[[#This Row],[ID_MASSA]],tbl_de_massas[id_massa],tbl_de_massas[nome_completo],"--",0,1)</f>
        <v>Jean Dubois</v>
      </c>
      <c r="G858" s="47">
        <f>_xlfn.XLOOKUP(TBL_USUARIOS[[#This Row],[ID_MASSA]],tbl_de_massas[id_massa],tbl_de_massas[saldo_conta],"--",0,1)</f>
        <v>10000</v>
      </c>
      <c r="H858" t="str">
        <f>_xlfn.XLOOKUP(TBL_USUARIOS[[#This Row],[ID_MASSA]],tbl_de_massas[id_massa],tbl_de_massas[nome_completo],"--",0,1)</f>
        <v>Jean Dubois</v>
      </c>
    </row>
    <row r="859" spans="1:8" x14ac:dyDescent="0.25">
      <c r="A859" s="2" t="s">
        <v>6873</v>
      </c>
      <c r="B859" t="str">
        <f>_xlfn.XLOOKUP(TBL_USUARIOS[[#This Row],[ID_MASSA]],tbl_de_massas[id_massa],tbl_de_massas[cpf],"--",0,1)</f>
        <v>54427855393</v>
      </c>
      <c r="C859" t="s">
        <v>12</v>
      </c>
      <c r="D859" t="str">
        <f>_xlfn.XLOOKUP(TBL_USUARIOS[[#This Row],[ID_MASSA]],tbl_de_massas[id_massa],tbl_de_massas[nome_completo],"--",0,1)</f>
        <v>Thomas Girard</v>
      </c>
      <c r="E859" t="str">
        <f>_xlfn.XLOOKUP(TBL_USUARIOS[[#This Row],[ID_MASSA]],tbl_de_massas[id_massa],tbl_de_massas[cartao_fisico_numero],"--",0,1)</f>
        <v>4576 7460 5774 3964</v>
      </c>
      <c r="F859" t="str">
        <f>_xlfn.XLOOKUP(TBL_USUARIOS[[#This Row],[ID_MASSA]],tbl_de_massas[id_massa],tbl_de_massas[nome_completo],"--",0,1)</f>
        <v>Thomas Girard</v>
      </c>
      <c r="G859" s="47">
        <f>_xlfn.XLOOKUP(TBL_USUARIOS[[#This Row],[ID_MASSA]],tbl_de_massas[id_massa],tbl_de_massas[saldo_conta],"--",0,1)</f>
        <v>10000</v>
      </c>
      <c r="H859" t="str">
        <f>_xlfn.XLOOKUP(TBL_USUARIOS[[#This Row],[ID_MASSA]],tbl_de_massas[id_massa],tbl_de_massas[nome_completo],"--",0,1)</f>
        <v>Thomas Girard</v>
      </c>
    </row>
    <row r="860" spans="1:8" x14ac:dyDescent="0.25">
      <c r="A860" s="2" t="s">
        <v>6878</v>
      </c>
      <c r="B860" t="str">
        <f>_xlfn.XLOOKUP(TBL_USUARIOS[[#This Row],[ID_MASSA]],tbl_de_massas[id_massa],tbl_de_massas[cpf],"--",0,1)</f>
        <v>54234474886</v>
      </c>
      <c r="C860" t="s">
        <v>12</v>
      </c>
      <c r="D860" t="str">
        <f>_xlfn.XLOOKUP(TBL_USUARIOS[[#This Row],[ID_MASSA]],tbl_de_massas[id_massa],tbl_de_massas[nome_completo],"--",0,1)</f>
        <v>Gabriel David Fontaine</v>
      </c>
      <c r="E860" t="str">
        <f>_xlfn.XLOOKUP(TBL_USUARIOS[[#This Row],[ID_MASSA]],tbl_de_massas[id_massa],tbl_de_massas[cartao_fisico_numero],"--",0,1)</f>
        <v>3782 519302 7936</v>
      </c>
      <c r="F860" t="str">
        <f>_xlfn.XLOOKUP(TBL_USUARIOS[[#This Row],[ID_MASSA]],tbl_de_massas[id_massa],tbl_de_massas[nome_completo],"--",0,1)</f>
        <v>Gabriel David Fontaine</v>
      </c>
      <c r="G860" s="47">
        <f>_xlfn.XLOOKUP(TBL_USUARIOS[[#This Row],[ID_MASSA]],tbl_de_massas[id_massa],tbl_de_massas[saldo_conta],"--",0,1)</f>
        <v>10000</v>
      </c>
      <c r="H860" t="str">
        <f>_xlfn.XLOOKUP(TBL_USUARIOS[[#This Row],[ID_MASSA]],tbl_de_massas[id_massa],tbl_de_massas[nome_completo],"--",0,1)</f>
        <v>Gabriel David Fontaine</v>
      </c>
    </row>
    <row r="861" spans="1:8" x14ac:dyDescent="0.25">
      <c r="A861" s="2" t="s">
        <v>6883</v>
      </c>
      <c r="B861" t="str">
        <f>_xlfn.XLOOKUP(TBL_USUARIOS[[#This Row],[ID_MASSA]],tbl_de_massas[id_massa],tbl_de_massas[cpf],"--",0,1)</f>
        <v>14868276166</v>
      </c>
      <c r="C861" t="s">
        <v>12</v>
      </c>
      <c r="D861" t="str">
        <f>_xlfn.XLOOKUP(TBL_USUARIOS[[#This Row],[ID_MASSA]],tbl_de_massas[id_massa],tbl_de_massas[nome_completo],"--",0,1)</f>
        <v>Chloe Dubois</v>
      </c>
      <c r="E861" t="str">
        <f>_xlfn.XLOOKUP(TBL_USUARIOS[[#This Row],[ID_MASSA]],tbl_de_massas[id_massa],tbl_de_massas[cartao_fisico_numero],"--",0,1)</f>
        <v>3782 986276 6739</v>
      </c>
      <c r="F861" t="str">
        <f>_xlfn.XLOOKUP(TBL_USUARIOS[[#This Row],[ID_MASSA]],tbl_de_massas[id_massa],tbl_de_massas[nome_completo],"--",0,1)</f>
        <v>Chloe Dubois</v>
      </c>
      <c r="G861" s="47">
        <f>_xlfn.XLOOKUP(TBL_USUARIOS[[#This Row],[ID_MASSA]],tbl_de_massas[id_massa],tbl_de_massas[saldo_conta],"--",0,1)</f>
        <v>10000</v>
      </c>
      <c r="H861" t="str">
        <f>_xlfn.XLOOKUP(TBL_USUARIOS[[#This Row],[ID_MASSA]],tbl_de_massas[id_massa],tbl_de_massas[nome_completo],"--",0,1)</f>
        <v>Chloe Dubois</v>
      </c>
    </row>
    <row r="862" spans="1:8" x14ac:dyDescent="0.25">
      <c r="A862" s="2" t="s">
        <v>6886</v>
      </c>
      <c r="B862" t="str">
        <f>_xlfn.XLOOKUP(TBL_USUARIOS[[#This Row],[ID_MASSA]],tbl_de_massas[id_massa],tbl_de_massas[cpf],"--",0,1)</f>
        <v>54360125402</v>
      </c>
      <c r="C862" t="s">
        <v>12</v>
      </c>
      <c r="D862" t="str">
        <f>_xlfn.XLOOKUP(TBL_USUARIOS[[#This Row],[ID_MASSA]],tbl_de_massas[id_massa],tbl_de_massas[nome_completo],"--",0,1)</f>
        <v>Louise Bertrand</v>
      </c>
      <c r="E862" t="str">
        <f>_xlfn.XLOOKUP(TBL_USUARIOS[[#This Row],[ID_MASSA]],tbl_de_massas[id_massa],tbl_de_massas[cartao_fisico_numero],"--",0,1)</f>
        <v>4576 7460 2852 6038</v>
      </c>
      <c r="F862" t="str">
        <f>_xlfn.XLOOKUP(TBL_USUARIOS[[#This Row],[ID_MASSA]],tbl_de_massas[id_massa],tbl_de_massas[nome_completo],"--",0,1)</f>
        <v>Louise Bertrand</v>
      </c>
      <c r="G862" s="47">
        <f>_xlfn.XLOOKUP(TBL_USUARIOS[[#This Row],[ID_MASSA]],tbl_de_massas[id_massa],tbl_de_massas[saldo_conta],"--",0,1)</f>
        <v>10000</v>
      </c>
      <c r="H862" t="str">
        <f>_xlfn.XLOOKUP(TBL_USUARIOS[[#This Row],[ID_MASSA]],tbl_de_massas[id_massa],tbl_de_massas[nome_completo],"--",0,1)</f>
        <v>Louise Bertrand</v>
      </c>
    </row>
    <row r="863" spans="1:8" x14ac:dyDescent="0.25">
      <c r="A863" s="2" t="s">
        <v>6890</v>
      </c>
      <c r="B863" t="str">
        <f>_xlfn.XLOOKUP(TBL_USUARIOS[[#This Row],[ID_MASSA]],tbl_de_massas[id_massa],tbl_de_massas[cpf],"--",0,1)</f>
        <v>98129553058</v>
      </c>
      <c r="C863" t="s">
        <v>12</v>
      </c>
      <c r="D863" t="str">
        <f>_xlfn.XLOOKUP(TBL_USUARIOS[[#This Row],[ID_MASSA]],tbl_de_massas[id_massa],tbl_de_massas[nome_completo],"--",0,1)</f>
        <v>Jean Morel</v>
      </c>
      <c r="E863" t="str">
        <f>_xlfn.XLOOKUP(TBL_USUARIOS[[#This Row],[ID_MASSA]],tbl_de_massas[id_massa],tbl_de_massas[cartao_fisico_numero],"--",0,1)</f>
        <v>3782 957264 8783</v>
      </c>
      <c r="F863" t="str">
        <f>_xlfn.XLOOKUP(TBL_USUARIOS[[#This Row],[ID_MASSA]],tbl_de_massas[id_massa],tbl_de_massas[nome_completo],"--",0,1)</f>
        <v>Jean Morel</v>
      </c>
      <c r="G863" s="47">
        <f>_xlfn.XLOOKUP(TBL_USUARIOS[[#This Row],[ID_MASSA]],tbl_de_massas[id_massa],tbl_de_massas[saldo_conta],"--",0,1)</f>
        <v>10000</v>
      </c>
      <c r="H863" t="str">
        <f>_xlfn.XLOOKUP(TBL_USUARIOS[[#This Row],[ID_MASSA]],tbl_de_massas[id_massa],tbl_de_massas[nome_completo],"--",0,1)</f>
        <v>Jean Morel</v>
      </c>
    </row>
    <row r="864" spans="1:8" x14ac:dyDescent="0.25">
      <c r="A864" s="2" t="s">
        <v>6894</v>
      </c>
      <c r="B864" t="str">
        <f>_xlfn.XLOOKUP(TBL_USUARIOS[[#This Row],[ID_MASSA]],tbl_de_massas[id_massa],tbl_de_massas[cpf],"--",0,1)</f>
        <v>49213216556</v>
      </c>
      <c r="C864" t="s">
        <v>12</v>
      </c>
      <c r="D864" t="str">
        <f>_xlfn.XLOOKUP(TBL_USUARIOS[[#This Row],[ID_MASSA]],tbl_de_massas[id_massa],tbl_de_massas[nome_completo],"--",0,1)</f>
        <v>Jean Simon</v>
      </c>
      <c r="E864" t="str">
        <f>_xlfn.XLOOKUP(TBL_USUARIOS[[#This Row],[ID_MASSA]],tbl_de_massas[id_massa],tbl_de_massas[cartao_fisico_numero],"--",0,1)</f>
        <v>4576 7460 3031 9452</v>
      </c>
      <c r="F864" t="str">
        <f>_xlfn.XLOOKUP(TBL_USUARIOS[[#This Row],[ID_MASSA]],tbl_de_massas[id_massa],tbl_de_massas[nome_completo],"--",0,1)</f>
        <v>Jean Simon</v>
      </c>
      <c r="G864" s="47">
        <f>_xlfn.XLOOKUP(TBL_USUARIOS[[#This Row],[ID_MASSA]],tbl_de_massas[id_massa],tbl_de_massas[saldo_conta],"--",0,1)</f>
        <v>10000</v>
      </c>
      <c r="H864" t="str">
        <f>_xlfn.XLOOKUP(TBL_USUARIOS[[#This Row],[ID_MASSA]],tbl_de_massas[id_massa],tbl_de_massas[nome_completo],"--",0,1)</f>
        <v>Jean Simon</v>
      </c>
    </row>
    <row r="865" spans="1:8" x14ac:dyDescent="0.25">
      <c r="A865" s="2" t="s">
        <v>6898</v>
      </c>
      <c r="B865" t="str">
        <f>_xlfn.XLOOKUP(TBL_USUARIOS[[#This Row],[ID_MASSA]],tbl_de_massas[id_massa],tbl_de_massas[cpf],"--",0,1)</f>
        <v>20354808176</v>
      </c>
      <c r="C865" t="s">
        <v>12</v>
      </c>
      <c r="D865" t="str">
        <f>_xlfn.XLOOKUP(TBL_USUARIOS[[#This Row],[ID_MASSA]],tbl_de_massas[id_massa],tbl_de_massas[nome_completo],"--",0,1)</f>
        <v>Ines Michel</v>
      </c>
      <c r="E865" t="str">
        <f>_xlfn.XLOOKUP(TBL_USUARIOS[[#This Row],[ID_MASSA]],tbl_de_massas[id_massa],tbl_de_massas[cartao_fisico_numero],"--",0,1)</f>
        <v/>
      </c>
      <c r="F865" t="str">
        <f>_xlfn.XLOOKUP(TBL_USUARIOS[[#This Row],[ID_MASSA]],tbl_de_massas[id_massa],tbl_de_massas[nome_completo],"--",0,1)</f>
        <v>Ines Michel</v>
      </c>
      <c r="G865" s="47">
        <f>_xlfn.XLOOKUP(TBL_USUARIOS[[#This Row],[ID_MASSA]],tbl_de_massas[id_massa],tbl_de_massas[saldo_conta],"--",0,1)</f>
        <v>10000</v>
      </c>
      <c r="H865" t="str">
        <f>_xlfn.XLOOKUP(TBL_USUARIOS[[#This Row],[ID_MASSA]],tbl_de_massas[id_massa],tbl_de_massas[nome_completo],"--",0,1)</f>
        <v>Ines Michel</v>
      </c>
    </row>
    <row r="866" spans="1:8" x14ac:dyDescent="0.25">
      <c r="A866" s="2" t="s">
        <v>6902</v>
      </c>
      <c r="B866" t="str">
        <f>_xlfn.XLOOKUP(TBL_USUARIOS[[#This Row],[ID_MASSA]],tbl_de_massas[id_massa],tbl_de_massas[cpf],"--",0,1)</f>
        <v>75763726480</v>
      </c>
      <c r="C866" t="s">
        <v>12</v>
      </c>
      <c r="D866" t="str">
        <f>_xlfn.XLOOKUP(TBL_USUARIOS[[#This Row],[ID_MASSA]],tbl_de_massas[id_massa],tbl_de_massas[nome_completo],"--",0,1)</f>
        <v>Arthur Bertrand</v>
      </c>
      <c r="E866" t="str">
        <f>_xlfn.XLOOKUP(TBL_USUARIOS[[#This Row],[ID_MASSA]],tbl_de_massas[id_massa],tbl_de_massas[cartao_fisico_numero],"--",0,1)</f>
        <v/>
      </c>
      <c r="F866" t="str">
        <f>_xlfn.XLOOKUP(TBL_USUARIOS[[#This Row],[ID_MASSA]],tbl_de_massas[id_massa],tbl_de_massas[nome_completo],"--",0,1)</f>
        <v>Arthur Bertrand</v>
      </c>
      <c r="G866" s="47">
        <f>_xlfn.XLOOKUP(TBL_USUARIOS[[#This Row],[ID_MASSA]],tbl_de_massas[id_massa],tbl_de_massas[saldo_conta],"--",0,1)</f>
        <v>10000</v>
      </c>
      <c r="H866" t="str">
        <f>_xlfn.XLOOKUP(TBL_USUARIOS[[#This Row],[ID_MASSA]],tbl_de_massas[id_massa],tbl_de_massas[nome_completo],"--",0,1)</f>
        <v>Arthur Bertrand</v>
      </c>
    </row>
    <row r="867" spans="1:8" x14ac:dyDescent="0.25">
      <c r="A867" s="2" t="s">
        <v>6906</v>
      </c>
      <c r="B867" t="str">
        <f>_xlfn.XLOOKUP(TBL_USUARIOS[[#This Row],[ID_MASSA]],tbl_de_massas[id_massa],tbl_de_massas[cpf],"--",0,1)</f>
        <v>38588493322</v>
      </c>
      <c r="C867" t="s">
        <v>12</v>
      </c>
      <c r="D867" t="str">
        <f>_xlfn.XLOOKUP(TBL_USUARIOS[[#This Row],[ID_MASSA]],tbl_de_massas[id_massa],tbl_de_massas[nome_completo],"--",0,1)</f>
        <v>Sarah Fontaine</v>
      </c>
      <c r="E867" t="str">
        <f>_xlfn.XLOOKUP(TBL_USUARIOS[[#This Row],[ID_MASSA]],tbl_de_massas[id_massa],tbl_de_massas[cartao_fisico_numero],"--",0,1)</f>
        <v>6062 8200 8275 2302</v>
      </c>
      <c r="F867" t="str">
        <f>_xlfn.XLOOKUP(TBL_USUARIOS[[#This Row],[ID_MASSA]],tbl_de_massas[id_massa],tbl_de_massas[nome_completo],"--",0,1)</f>
        <v>Sarah Fontaine</v>
      </c>
      <c r="G867" s="47">
        <f>_xlfn.XLOOKUP(TBL_USUARIOS[[#This Row],[ID_MASSA]],tbl_de_massas[id_massa],tbl_de_massas[saldo_conta],"--",0,1)</f>
        <v>10000</v>
      </c>
      <c r="H867" t="str">
        <f>_xlfn.XLOOKUP(TBL_USUARIOS[[#This Row],[ID_MASSA]],tbl_de_massas[id_massa],tbl_de_massas[nome_completo],"--",0,1)</f>
        <v>Sarah Fontaine</v>
      </c>
    </row>
    <row r="868" spans="1:8" x14ac:dyDescent="0.25">
      <c r="A868" s="2" t="s">
        <v>6911</v>
      </c>
      <c r="B868" t="str">
        <f>_xlfn.XLOOKUP(TBL_USUARIOS[[#This Row],[ID_MASSA]],tbl_de_massas[id_massa],tbl_de_massas[cpf],"--",0,1)</f>
        <v>31693344505</v>
      </c>
      <c r="C868" t="s">
        <v>12</v>
      </c>
      <c r="D868" t="str">
        <f>_xlfn.XLOOKUP(TBL_USUARIOS[[#This Row],[ID_MASSA]],tbl_de_massas[id_massa],tbl_de_massas[nome_completo],"--",0,1)</f>
        <v>Jade Bertrand</v>
      </c>
      <c r="E868" t="str">
        <f>_xlfn.XLOOKUP(TBL_USUARIOS[[#This Row],[ID_MASSA]],tbl_de_massas[id_massa],tbl_de_massas[cartao_fisico_numero],"--",0,1)</f>
        <v>5442 7460 7475 5536</v>
      </c>
      <c r="F868" t="str">
        <f>_xlfn.XLOOKUP(TBL_USUARIOS[[#This Row],[ID_MASSA]],tbl_de_massas[id_massa],tbl_de_massas[nome_completo],"--",0,1)</f>
        <v>Jade Bertrand</v>
      </c>
      <c r="G868" s="47">
        <f>_xlfn.XLOOKUP(TBL_USUARIOS[[#This Row],[ID_MASSA]],tbl_de_massas[id_massa],tbl_de_massas[saldo_conta],"--",0,1)</f>
        <v>10000</v>
      </c>
      <c r="H868" t="str">
        <f>_xlfn.XLOOKUP(TBL_USUARIOS[[#This Row],[ID_MASSA]],tbl_de_massas[id_massa],tbl_de_massas[nome_completo],"--",0,1)</f>
        <v>Jade Bertrand</v>
      </c>
    </row>
    <row r="869" spans="1:8" x14ac:dyDescent="0.25">
      <c r="A869" s="2" t="s">
        <v>6915</v>
      </c>
      <c r="B869" t="str">
        <f>_xlfn.XLOOKUP(TBL_USUARIOS[[#This Row],[ID_MASSA]],tbl_de_massas[id_massa],tbl_de_massas[cpf],"--",0,1)</f>
        <v>97902019747</v>
      </c>
      <c r="C869" t="s">
        <v>12</v>
      </c>
      <c r="D869" t="str">
        <f>_xlfn.XLOOKUP(TBL_USUARIOS[[#This Row],[ID_MASSA]],tbl_de_massas[id_massa],tbl_de_massas[nome_completo],"--",0,1)</f>
        <v>Louise Lefebvre Roux</v>
      </c>
      <c r="E869" t="str">
        <f>_xlfn.XLOOKUP(TBL_USUARIOS[[#This Row],[ID_MASSA]],tbl_de_massas[id_massa],tbl_de_massas[cartao_fisico_numero],"--",0,1)</f>
        <v/>
      </c>
      <c r="F869" t="str">
        <f>_xlfn.XLOOKUP(TBL_USUARIOS[[#This Row],[ID_MASSA]],tbl_de_massas[id_massa],tbl_de_massas[nome_completo],"--",0,1)</f>
        <v>Louise Lefebvre Roux</v>
      </c>
      <c r="G869" s="47">
        <f>_xlfn.XLOOKUP(TBL_USUARIOS[[#This Row],[ID_MASSA]],tbl_de_massas[id_massa],tbl_de_massas[saldo_conta],"--",0,1)</f>
        <v>10000</v>
      </c>
      <c r="H869" t="str">
        <f>_xlfn.XLOOKUP(TBL_USUARIOS[[#This Row],[ID_MASSA]],tbl_de_massas[id_massa],tbl_de_massas[nome_completo],"--",0,1)</f>
        <v>Louise Lefebvre Roux</v>
      </c>
    </row>
    <row r="870" spans="1:8" x14ac:dyDescent="0.25">
      <c r="A870" s="2" t="s">
        <v>6919</v>
      </c>
      <c r="B870" t="str">
        <f>_xlfn.XLOOKUP(TBL_USUARIOS[[#This Row],[ID_MASSA]],tbl_de_massas[id_massa],tbl_de_massas[cpf],"--",0,1)</f>
        <v>56370708739</v>
      </c>
      <c r="C870" t="s">
        <v>12</v>
      </c>
      <c r="D870" t="str">
        <f>_xlfn.XLOOKUP(TBL_USUARIOS[[#This Row],[ID_MASSA]],tbl_de_massas[id_massa],tbl_de_massas[nome_completo],"--",0,1)</f>
        <v>Ines Vincent</v>
      </c>
      <c r="E870" t="str">
        <f>_xlfn.XLOOKUP(TBL_USUARIOS[[#This Row],[ID_MASSA]],tbl_de_massas[id_massa],tbl_de_massas[cartao_fisico_numero],"--",0,1)</f>
        <v/>
      </c>
      <c r="F870" t="str">
        <f>_xlfn.XLOOKUP(TBL_USUARIOS[[#This Row],[ID_MASSA]],tbl_de_massas[id_massa],tbl_de_massas[nome_completo],"--",0,1)</f>
        <v>Ines Vincent</v>
      </c>
      <c r="G870" s="47">
        <f>_xlfn.XLOOKUP(TBL_USUARIOS[[#This Row],[ID_MASSA]],tbl_de_massas[id_massa],tbl_de_massas[saldo_conta],"--",0,1)</f>
        <v>10000</v>
      </c>
      <c r="H870" t="str">
        <f>_xlfn.XLOOKUP(TBL_USUARIOS[[#This Row],[ID_MASSA]],tbl_de_massas[id_massa],tbl_de_massas[nome_completo],"--",0,1)</f>
        <v>Ines Vincent</v>
      </c>
    </row>
    <row r="871" spans="1:8" x14ac:dyDescent="0.25">
      <c r="A871" s="2" t="s">
        <v>6923</v>
      </c>
      <c r="B871" t="str">
        <f>_xlfn.XLOOKUP(TBL_USUARIOS[[#This Row],[ID_MASSA]],tbl_de_massas[id_massa],tbl_de_massas[cpf],"--",0,1)</f>
        <v>74422694278</v>
      </c>
      <c r="C871" t="s">
        <v>12</v>
      </c>
      <c r="D871" t="str">
        <f>_xlfn.XLOOKUP(TBL_USUARIOS[[#This Row],[ID_MASSA]],tbl_de_massas[id_massa],tbl_de_massas[nome_completo],"--",0,1)</f>
        <v>Louise David</v>
      </c>
      <c r="E871" t="str">
        <f>_xlfn.XLOOKUP(TBL_USUARIOS[[#This Row],[ID_MASSA]],tbl_de_massas[id_massa],tbl_de_massas[cartao_fisico_numero],"--",0,1)</f>
        <v>6062 8200 9099 3594</v>
      </c>
      <c r="F871" t="str">
        <f>_xlfn.XLOOKUP(TBL_USUARIOS[[#This Row],[ID_MASSA]],tbl_de_massas[id_massa],tbl_de_massas[nome_completo],"--",0,1)</f>
        <v>Louise David</v>
      </c>
      <c r="G871" s="47">
        <f>_xlfn.XLOOKUP(TBL_USUARIOS[[#This Row],[ID_MASSA]],tbl_de_massas[id_massa],tbl_de_massas[saldo_conta],"--",0,1)</f>
        <v>10000</v>
      </c>
      <c r="H871" t="str">
        <f>_xlfn.XLOOKUP(TBL_USUARIOS[[#This Row],[ID_MASSA]],tbl_de_massas[id_massa],tbl_de_massas[nome_completo],"--",0,1)</f>
        <v>Louise David</v>
      </c>
    </row>
    <row r="872" spans="1:8" x14ac:dyDescent="0.25">
      <c r="A872" s="2" t="s">
        <v>6928</v>
      </c>
      <c r="B872" t="str">
        <f>_xlfn.XLOOKUP(TBL_USUARIOS[[#This Row],[ID_MASSA]],tbl_de_massas[id_massa],tbl_de_massas[cpf],"--",0,1)</f>
        <v>41889781398</v>
      </c>
      <c r="C872" t="s">
        <v>12</v>
      </c>
      <c r="D872" t="str">
        <f>_xlfn.XLOOKUP(TBL_USUARIOS[[#This Row],[ID_MASSA]],tbl_de_massas[id_massa],tbl_de_massas[nome_completo],"--",0,1)</f>
        <v>Louise Fontaine</v>
      </c>
      <c r="E872" t="str">
        <f>_xlfn.XLOOKUP(TBL_USUARIOS[[#This Row],[ID_MASSA]],tbl_de_massas[id_massa],tbl_de_massas[cartao_fisico_numero],"--",0,1)</f>
        <v/>
      </c>
      <c r="F872" t="str">
        <f>_xlfn.XLOOKUP(TBL_USUARIOS[[#This Row],[ID_MASSA]],tbl_de_massas[id_massa],tbl_de_massas[nome_completo],"--",0,1)</f>
        <v>Louise Fontaine</v>
      </c>
      <c r="G872" s="47">
        <f>_xlfn.XLOOKUP(TBL_USUARIOS[[#This Row],[ID_MASSA]],tbl_de_massas[id_massa],tbl_de_massas[saldo_conta],"--",0,1)</f>
        <v>10000</v>
      </c>
      <c r="H872" t="str">
        <f>_xlfn.XLOOKUP(TBL_USUARIOS[[#This Row],[ID_MASSA]],tbl_de_massas[id_massa],tbl_de_massas[nome_completo],"--",0,1)</f>
        <v>Louise Fontaine</v>
      </c>
    </row>
    <row r="873" spans="1:8" x14ac:dyDescent="0.25">
      <c r="A873" s="2" t="s">
        <v>6932</v>
      </c>
      <c r="B873" t="str">
        <f>_xlfn.XLOOKUP(TBL_USUARIOS[[#This Row],[ID_MASSA]],tbl_de_massas[id_massa],tbl_de_massas[cpf],"--",0,1)</f>
        <v>73012838228</v>
      </c>
      <c r="C873" t="s">
        <v>12</v>
      </c>
      <c r="D873" t="str">
        <f>_xlfn.XLOOKUP(TBL_USUARIOS[[#This Row],[ID_MASSA]],tbl_de_massas[id_massa],tbl_de_massas[nome_completo],"--",0,1)</f>
        <v>Louis Bernard Laurent</v>
      </c>
      <c r="E873" t="str">
        <f>_xlfn.XLOOKUP(TBL_USUARIOS[[#This Row],[ID_MASSA]],tbl_de_massas[id_massa],tbl_de_massas[cartao_fisico_numero],"--",0,1)</f>
        <v>3782 225175 5993</v>
      </c>
      <c r="F873" t="str">
        <f>_xlfn.XLOOKUP(TBL_USUARIOS[[#This Row],[ID_MASSA]],tbl_de_massas[id_massa],tbl_de_massas[nome_completo],"--",0,1)</f>
        <v>Louis Bernard Laurent</v>
      </c>
      <c r="G873" s="47">
        <f>_xlfn.XLOOKUP(TBL_USUARIOS[[#This Row],[ID_MASSA]],tbl_de_massas[id_massa],tbl_de_massas[saldo_conta],"--",0,1)</f>
        <v>10000</v>
      </c>
      <c r="H873" t="str">
        <f>_xlfn.XLOOKUP(TBL_USUARIOS[[#This Row],[ID_MASSA]],tbl_de_massas[id_massa],tbl_de_massas[nome_completo],"--",0,1)</f>
        <v>Louis Bernard Laurent</v>
      </c>
    </row>
    <row r="874" spans="1:8" x14ac:dyDescent="0.25">
      <c r="A874" s="2" t="s">
        <v>6936</v>
      </c>
      <c r="B874" t="str">
        <f>_xlfn.XLOOKUP(TBL_USUARIOS[[#This Row],[ID_MASSA]],tbl_de_massas[id_massa],tbl_de_massas[cpf],"--",0,1)</f>
        <v>28758092889</v>
      </c>
      <c r="C874" t="s">
        <v>12</v>
      </c>
      <c r="D874" t="str">
        <f>_xlfn.XLOOKUP(TBL_USUARIOS[[#This Row],[ID_MASSA]],tbl_de_massas[id_massa],tbl_de_massas[nome_completo],"--",0,1)</f>
        <v>Jules Dupont</v>
      </c>
      <c r="E874" t="str">
        <f>_xlfn.XLOOKUP(TBL_USUARIOS[[#This Row],[ID_MASSA]],tbl_de_massas[id_massa],tbl_de_massas[cartao_fisico_numero],"--",0,1)</f>
        <v>5442 7460 7150 1902</v>
      </c>
      <c r="F874" t="str">
        <f>_xlfn.XLOOKUP(TBL_USUARIOS[[#This Row],[ID_MASSA]],tbl_de_massas[id_massa],tbl_de_massas[nome_completo],"--",0,1)</f>
        <v>Jules Dupont</v>
      </c>
      <c r="G874" s="47">
        <f>_xlfn.XLOOKUP(TBL_USUARIOS[[#This Row],[ID_MASSA]],tbl_de_massas[id_massa],tbl_de_massas[saldo_conta],"--",0,1)</f>
        <v>10000</v>
      </c>
      <c r="H874" t="str">
        <f>_xlfn.XLOOKUP(TBL_USUARIOS[[#This Row],[ID_MASSA]],tbl_de_massas[id_massa],tbl_de_massas[nome_completo],"--",0,1)</f>
        <v>Jules Dupont</v>
      </c>
    </row>
    <row r="875" spans="1:8" x14ac:dyDescent="0.25">
      <c r="A875" s="2" t="s">
        <v>6939</v>
      </c>
      <c r="B875" t="str">
        <f>_xlfn.XLOOKUP(TBL_USUARIOS[[#This Row],[ID_MASSA]],tbl_de_massas[id_massa],tbl_de_massas[cpf],"--",0,1)</f>
        <v>47921114806</v>
      </c>
      <c r="C875" t="s">
        <v>12</v>
      </c>
      <c r="D875" t="str">
        <f>_xlfn.XLOOKUP(TBL_USUARIOS[[#This Row],[ID_MASSA]],tbl_de_massas[id_massa],tbl_de_massas[nome_completo],"--",0,1)</f>
        <v>Thomas Girard</v>
      </c>
      <c r="E875" t="str">
        <f>_xlfn.XLOOKUP(TBL_USUARIOS[[#This Row],[ID_MASSA]],tbl_de_massas[id_massa],tbl_de_massas[cartao_fisico_numero],"--",0,1)</f>
        <v>4576 7460 7159 2417</v>
      </c>
      <c r="F875" t="str">
        <f>_xlfn.XLOOKUP(TBL_USUARIOS[[#This Row],[ID_MASSA]],tbl_de_massas[id_massa],tbl_de_massas[nome_completo],"--",0,1)</f>
        <v>Thomas Girard</v>
      </c>
      <c r="G875" s="47">
        <f>_xlfn.XLOOKUP(TBL_USUARIOS[[#This Row],[ID_MASSA]],tbl_de_massas[id_massa],tbl_de_massas[saldo_conta],"--",0,1)</f>
        <v>10000</v>
      </c>
      <c r="H875" t="str">
        <f>_xlfn.XLOOKUP(TBL_USUARIOS[[#This Row],[ID_MASSA]],tbl_de_massas[id_massa],tbl_de_massas[nome_completo],"--",0,1)</f>
        <v>Thomas Girard</v>
      </c>
    </row>
    <row r="876" spans="1:8" x14ac:dyDescent="0.25">
      <c r="A876" s="2" t="s">
        <v>6943</v>
      </c>
      <c r="B876" t="str">
        <f>_xlfn.XLOOKUP(TBL_USUARIOS[[#This Row],[ID_MASSA]],tbl_de_massas[id_massa],tbl_de_massas[cpf],"--",0,1)</f>
        <v>87488631226</v>
      </c>
      <c r="C876" t="s">
        <v>12</v>
      </c>
      <c r="D876" t="str">
        <f>_xlfn.XLOOKUP(TBL_USUARIOS[[#This Row],[ID_MASSA]],tbl_de_massas[id_massa],tbl_de_massas[nome_completo],"--",0,1)</f>
        <v>Gabriel David Morel</v>
      </c>
      <c r="E876" t="str">
        <f>_xlfn.XLOOKUP(TBL_USUARIOS[[#This Row],[ID_MASSA]],tbl_de_massas[id_massa],tbl_de_massas[cartao_fisico_numero],"--",0,1)</f>
        <v>3782 452595 1493</v>
      </c>
      <c r="F876" t="str">
        <f>_xlfn.XLOOKUP(TBL_USUARIOS[[#This Row],[ID_MASSA]],tbl_de_massas[id_massa],tbl_de_massas[nome_completo],"--",0,1)</f>
        <v>Gabriel David Morel</v>
      </c>
      <c r="G876" s="47">
        <f>_xlfn.XLOOKUP(TBL_USUARIOS[[#This Row],[ID_MASSA]],tbl_de_massas[id_massa],tbl_de_massas[saldo_conta],"--",0,1)</f>
        <v>10000</v>
      </c>
      <c r="H876" t="str">
        <f>_xlfn.XLOOKUP(TBL_USUARIOS[[#This Row],[ID_MASSA]],tbl_de_massas[id_massa],tbl_de_massas[nome_completo],"--",0,1)</f>
        <v>Gabriel David Morel</v>
      </c>
    </row>
    <row r="877" spans="1:8" x14ac:dyDescent="0.25">
      <c r="A877" s="2" t="s">
        <v>6948</v>
      </c>
      <c r="B877" t="str">
        <f>_xlfn.XLOOKUP(TBL_USUARIOS[[#This Row],[ID_MASSA]],tbl_de_massas[id_massa],tbl_de_massas[cpf],"--",0,1)</f>
        <v>72155568592</v>
      </c>
      <c r="C877" t="s">
        <v>12</v>
      </c>
      <c r="D877" t="str">
        <f>_xlfn.XLOOKUP(TBL_USUARIOS[[#This Row],[ID_MASSA]],tbl_de_massas[id_massa],tbl_de_massas[nome_completo],"--",0,1)</f>
        <v>Louis Lambert</v>
      </c>
      <c r="E877" t="str">
        <f>_xlfn.XLOOKUP(TBL_USUARIOS[[#This Row],[ID_MASSA]],tbl_de_massas[id_massa],tbl_de_massas[cartao_fisico_numero],"--",0,1)</f>
        <v/>
      </c>
      <c r="F877" t="str">
        <f>_xlfn.XLOOKUP(TBL_USUARIOS[[#This Row],[ID_MASSA]],tbl_de_massas[id_massa],tbl_de_massas[nome_completo],"--",0,1)</f>
        <v>Louis Lambert</v>
      </c>
      <c r="G877" s="47">
        <f>_xlfn.XLOOKUP(TBL_USUARIOS[[#This Row],[ID_MASSA]],tbl_de_massas[id_massa],tbl_de_massas[saldo_conta],"--",0,1)</f>
        <v>10000</v>
      </c>
      <c r="H877" t="str">
        <f>_xlfn.XLOOKUP(TBL_USUARIOS[[#This Row],[ID_MASSA]],tbl_de_massas[id_massa],tbl_de_massas[nome_completo],"--",0,1)</f>
        <v>Louis Lambert</v>
      </c>
    </row>
    <row r="878" spans="1:8" x14ac:dyDescent="0.25">
      <c r="A878" s="2" t="s">
        <v>6952</v>
      </c>
      <c r="B878" t="str">
        <f>_xlfn.XLOOKUP(TBL_USUARIOS[[#This Row],[ID_MASSA]],tbl_de_massas[id_massa],tbl_de_massas[cpf],"--",0,1)</f>
        <v>95517481078</v>
      </c>
      <c r="C878" t="s">
        <v>12</v>
      </c>
      <c r="D878" t="str">
        <f>_xlfn.XLOOKUP(TBL_USUARIOS[[#This Row],[ID_MASSA]],tbl_de_massas[id_massa],tbl_de_massas[nome_completo],"--",0,1)</f>
        <v>Emma Bertrand</v>
      </c>
      <c r="E878" t="str">
        <f>_xlfn.XLOOKUP(TBL_USUARIOS[[#This Row],[ID_MASSA]],tbl_de_massas[id_massa],tbl_de_massas[cartao_fisico_numero],"--",0,1)</f>
        <v>5442 7460 5982 7751</v>
      </c>
      <c r="F878" t="str">
        <f>_xlfn.XLOOKUP(TBL_USUARIOS[[#This Row],[ID_MASSA]],tbl_de_massas[id_massa],tbl_de_massas[nome_completo],"--",0,1)</f>
        <v>Emma Bertrand</v>
      </c>
      <c r="G878" s="47">
        <f>_xlfn.XLOOKUP(TBL_USUARIOS[[#This Row],[ID_MASSA]],tbl_de_massas[id_massa],tbl_de_massas[saldo_conta],"--",0,1)</f>
        <v>10000</v>
      </c>
      <c r="H878" t="str">
        <f>_xlfn.XLOOKUP(TBL_USUARIOS[[#This Row],[ID_MASSA]],tbl_de_massas[id_massa],tbl_de_massas[nome_completo],"--",0,1)</f>
        <v>Emma Bertrand</v>
      </c>
    </row>
    <row r="879" spans="1:8" x14ac:dyDescent="0.25">
      <c r="A879" s="2" t="s">
        <v>6956</v>
      </c>
      <c r="B879" t="str">
        <f>_xlfn.XLOOKUP(TBL_USUARIOS[[#This Row],[ID_MASSA]],tbl_de_massas[id_massa],tbl_de_massas[cpf],"--",0,1)</f>
        <v>76487516155</v>
      </c>
      <c r="C879" t="s">
        <v>12</v>
      </c>
      <c r="D879" t="str">
        <f>_xlfn.XLOOKUP(TBL_USUARIOS[[#This Row],[ID_MASSA]],tbl_de_massas[id_massa],tbl_de_massas[nome_completo],"--",0,1)</f>
        <v>Jules Bernard</v>
      </c>
      <c r="E879" t="str">
        <f>_xlfn.XLOOKUP(TBL_USUARIOS[[#This Row],[ID_MASSA]],tbl_de_massas[id_massa],tbl_de_massas[cartao_fisico_numero],"--",0,1)</f>
        <v/>
      </c>
      <c r="F879" t="str">
        <f>_xlfn.XLOOKUP(TBL_USUARIOS[[#This Row],[ID_MASSA]],tbl_de_massas[id_massa],tbl_de_massas[nome_completo],"--",0,1)</f>
        <v>Jules Bernard</v>
      </c>
      <c r="G879" s="47">
        <f>_xlfn.XLOOKUP(TBL_USUARIOS[[#This Row],[ID_MASSA]],tbl_de_massas[id_massa],tbl_de_massas[saldo_conta],"--",0,1)</f>
        <v>10000</v>
      </c>
      <c r="H879" t="str">
        <f>_xlfn.XLOOKUP(TBL_USUARIOS[[#This Row],[ID_MASSA]],tbl_de_massas[id_massa],tbl_de_massas[nome_completo],"--",0,1)</f>
        <v>Jules Bernard</v>
      </c>
    </row>
    <row r="880" spans="1:8" x14ac:dyDescent="0.25">
      <c r="A880" s="2" t="s">
        <v>6960</v>
      </c>
      <c r="B880" t="str">
        <f>_xlfn.XLOOKUP(TBL_USUARIOS[[#This Row],[ID_MASSA]],tbl_de_massas[id_massa],tbl_de_massas[cpf],"--",0,1)</f>
        <v>28046226300</v>
      </c>
      <c r="C880" t="s">
        <v>12</v>
      </c>
      <c r="D880" t="str">
        <f>_xlfn.XLOOKUP(TBL_USUARIOS[[#This Row],[ID_MASSA]],tbl_de_massas[id_massa],tbl_de_massas[nome_completo],"--",0,1)</f>
        <v>Leonardo Araujo Barbosa</v>
      </c>
      <c r="E880" t="str">
        <f>_xlfn.XLOOKUP(TBL_USUARIOS[[#This Row],[ID_MASSA]],tbl_de_massas[id_massa],tbl_de_massas[cartao_fisico_numero],"--",0,1)</f>
        <v>4576 7460 8639 5547</v>
      </c>
      <c r="F880" t="str">
        <f>_xlfn.XLOOKUP(TBL_USUARIOS[[#This Row],[ID_MASSA]],tbl_de_massas[id_massa],tbl_de_massas[nome_completo],"--",0,1)</f>
        <v>Leonardo Araujo Barbosa</v>
      </c>
      <c r="G880" s="47">
        <f>_xlfn.XLOOKUP(TBL_USUARIOS[[#This Row],[ID_MASSA]],tbl_de_massas[id_massa],tbl_de_massas[saldo_conta],"--",0,1)</f>
        <v>9576.94</v>
      </c>
      <c r="H880" t="str">
        <f>_xlfn.XLOOKUP(TBL_USUARIOS[[#This Row],[ID_MASSA]],tbl_de_massas[id_massa],tbl_de_massas[nome_completo],"--",0,1)</f>
        <v>Leonardo Araujo Barbosa</v>
      </c>
    </row>
    <row r="881" spans="1:8" x14ac:dyDescent="0.25">
      <c r="A881" s="2" t="s">
        <v>6965</v>
      </c>
      <c r="B881" t="str">
        <f>_xlfn.XLOOKUP(TBL_USUARIOS[[#This Row],[ID_MASSA]],tbl_de_massas[id_massa],tbl_de_massas[cpf],"--",0,1)</f>
        <v>94972948833</v>
      </c>
      <c r="C881" t="s">
        <v>12</v>
      </c>
      <c r="D881" t="str">
        <f>_xlfn.XLOOKUP(TBL_USUARIOS[[#This Row],[ID_MASSA]],tbl_de_massas[id_massa],tbl_de_massas[nome_completo],"--",0,1)</f>
        <v>Eduardo Silva</v>
      </c>
      <c r="E881" t="str">
        <f>_xlfn.XLOOKUP(TBL_USUARIOS[[#This Row],[ID_MASSA]],tbl_de_massas[id_massa],tbl_de_massas[cartao_fisico_numero],"--",0,1)</f>
        <v/>
      </c>
      <c r="F881" t="str">
        <f>_xlfn.XLOOKUP(TBL_USUARIOS[[#This Row],[ID_MASSA]],tbl_de_massas[id_massa],tbl_de_massas[nome_completo],"--",0,1)</f>
        <v>Eduardo Silva</v>
      </c>
      <c r="G881" s="47">
        <f>_xlfn.XLOOKUP(TBL_USUARIOS[[#This Row],[ID_MASSA]],tbl_de_massas[id_massa],tbl_de_massas[saldo_conta],"--",0,1)</f>
        <v>9964.15</v>
      </c>
      <c r="H881" t="str">
        <f>_xlfn.XLOOKUP(TBL_USUARIOS[[#This Row],[ID_MASSA]],tbl_de_massas[id_massa],tbl_de_massas[nome_completo],"--",0,1)</f>
        <v>Eduardo Silva</v>
      </c>
    </row>
    <row r="882" spans="1:8" x14ac:dyDescent="0.25">
      <c r="A882" s="2" t="s">
        <v>6969</v>
      </c>
      <c r="B882" t="str">
        <f>_xlfn.XLOOKUP(TBL_USUARIOS[[#This Row],[ID_MASSA]],tbl_de_massas[id_massa],tbl_de_massas[cpf],"--",0,1)</f>
        <v>34013028506</v>
      </c>
      <c r="C882" t="s">
        <v>12</v>
      </c>
      <c r="D882" t="str">
        <f>_xlfn.XLOOKUP(TBL_USUARIOS[[#This Row],[ID_MASSA]],tbl_de_massas[id_massa],tbl_de_massas[nome_completo],"--",0,1)</f>
        <v>Juliana Almeida</v>
      </c>
      <c r="E882" t="str">
        <f>_xlfn.XLOOKUP(TBL_USUARIOS[[#This Row],[ID_MASSA]],tbl_de_massas[id_massa],tbl_de_massas[cartao_fisico_numero],"--",0,1)</f>
        <v/>
      </c>
      <c r="F882" t="str">
        <f>_xlfn.XLOOKUP(TBL_USUARIOS[[#This Row],[ID_MASSA]],tbl_de_massas[id_massa],tbl_de_massas[nome_completo],"--",0,1)</f>
        <v>Juliana Almeida</v>
      </c>
      <c r="G882" s="47">
        <f>_xlfn.XLOOKUP(TBL_USUARIOS[[#This Row],[ID_MASSA]],tbl_de_massas[id_massa],tbl_de_massas[saldo_conta],"--",0,1)</f>
        <v>9814.4500000000007</v>
      </c>
      <c r="H882" t="str">
        <f>_xlfn.XLOOKUP(TBL_USUARIOS[[#This Row],[ID_MASSA]],tbl_de_massas[id_massa],tbl_de_massas[nome_completo],"--",0,1)</f>
        <v>Juliana Almeida</v>
      </c>
    </row>
    <row r="883" spans="1:8" x14ac:dyDescent="0.25">
      <c r="A883" s="2" t="s">
        <v>6973</v>
      </c>
      <c r="B883" t="str">
        <f>_xlfn.XLOOKUP(TBL_USUARIOS[[#This Row],[ID_MASSA]],tbl_de_massas[id_massa],tbl_de_massas[cpf],"--",0,1)</f>
        <v>90917289730</v>
      </c>
      <c r="C883" t="s">
        <v>12</v>
      </c>
      <c r="D883" t="str">
        <f>_xlfn.XLOOKUP(TBL_USUARIOS[[#This Row],[ID_MASSA]],tbl_de_massas[id_massa],tbl_de_massas[nome_completo],"--",0,1)</f>
        <v>Debora Almeida</v>
      </c>
      <c r="E883" t="str">
        <f>_xlfn.XLOOKUP(TBL_USUARIOS[[#This Row],[ID_MASSA]],tbl_de_massas[id_massa],tbl_de_massas[cartao_fisico_numero],"--",0,1)</f>
        <v>4576 7460 9000 0179</v>
      </c>
      <c r="F883" t="str">
        <f>_xlfn.XLOOKUP(TBL_USUARIOS[[#This Row],[ID_MASSA]],tbl_de_massas[id_massa],tbl_de_massas[nome_completo],"--",0,1)</f>
        <v>Debora Almeida</v>
      </c>
      <c r="G883" s="47">
        <f>_xlfn.XLOOKUP(TBL_USUARIOS[[#This Row],[ID_MASSA]],tbl_de_massas[id_massa],tbl_de_massas[saldo_conta],"--",0,1)</f>
        <v>9782.36</v>
      </c>
      <c r="H883" t="str">
        <f>_xlfn.XLOOKUP(TBL_USUARIOS[[#This Row],[ID_MASSA]],tbl_de_massas[id_massa],tbl_de_massas[nome_completo],"--",0,1)</f>
        <v>Debora Almeida</v>
      </c>
    </row>
    <row r="884" spans="1:8" x14ac:dyDescent="0.25">
      <c r="A884" s="2" t="s">
        <v>6978</v>
      </c>
      <c r="B884" t="str">
        <f>_xlfn.XLOOKUP(TBL_USUARIOS[[#This Row],[ID_MASSA]],tbl_de_massas[id_massa],tbl_de_massas[cpf],"--",0,1)</f>
        <v>75579917457</v>
      </c>
      <c r="C884" t="s">
        <v>12</v>
      </c>
      <c r="D884" t="str">
        <f>_xlfn.XLOOKUP(TBL_USUARIOS[[#This Row],[ID_MASSA]],tbl_de_massas[id_massa],tbl_de_massas[nome_completo],"--",0,1)</f>
        <v>Lucas Teixeira Dias</v>
      </c>
      <c r="E884" t="str">
        <f>_xlfn.XLOOKUP(TBL_USUARIOS[[#This Row],[ID_MASSA]],tbl_de_massas[id_massa],tbl_de_massas[cartao_fisico_numero],"--",0,1)</f>
        <v>6505 0666 1485 1798</v>
      </c>
      <c r="F884" t="str">
        <f>_xlfn.XLOOKUP(TBL_USUARIOS[[#This Row],[ID_MASSA]],tbl_de_massas[id_massa],tbl_de_massas[nome_completo],"--",0,1)</f>
        <v>Lucas Teixeira Dias</v>
      </c>
      <c r="G884" s="47">
        <f>_xlfn.XLOOKUP(TBL_USUARIOS[[#This Row],[ID_MASSA]],tbl_de_massas[id_massa],tbl_de_massas[saldo_conta],"--",0,1)</f>
        <v>9967.77</v>
      </c>
      <c r="H884" t="str">
        <f>_xlfn.XLOOKUP(TBL_USUARIOS[[#This Row],[ID_MASSA]],tbl_de_massas[id_massa],tbl_de_massas[nome_completo],"--",0,1)</f>
        <v>Lucas Teixeira Dias</v>
      </c>
    </row>
    <row r="885" spans="1:8" x14ac:dyDescent="0.25">
      <c r="A885" s="2" t="s">
        <v>6987</v>
      </c>
      <c r="B885" t="str">
        <f>_xlfn.XLOOKUP(TBL_USUARIOS[[#This Row],[ID_MASSA]],tbl_de_massas[id_massa],tbl_de_massas[cpf],"--",0,1)</f>
        <v>94518914201</v>
      </c>
      <c r="C885" t="s">
        <v>12</v>
      </c>
      <c r="D885" t="str">
        <f>_xlfn.XLOOKUP(TBL_USUARIOS[[#This Row],[ID_MASSA]],tbl_de_massas[id_massa],tbl_de_massas[nome_completo],"--",0,1)</f>
        <v>Debora Alves Santos</v>
      </c>
      <c r="E885" t="str">
        <f>_xlfn.XLOOKUP(TBL_USUARIOS[[#This Row],[ID_MASSA]],tbl_de_massas[id_massa],tbl_de_massas[cartao_fisico_numero],"--",0,1)</f>
        <v>5442 7460 6099 0972</v>
      </c>
      <c r="F885" t="str">
        <f>_xlfn.XLOOKUP(TBL_USUARIOS[[#This Row],[ID_MASSA]],tbl_de_massas[id_massa],tbl_de_massas[nome_completo],"--",0,1)</f>
        <v>Debora Alves Santos</v>
      </c>
      <c r="G885" s="47">
        <f>_xlfn.XLOOKUP(TBL_USUARIOS[[#This Row],[ID_MASSA]],tbl_de_massas[id_massa],tbl_de_massas[saldo_conta],"--",0,1)</f>
        <v>9789.3700000000008</v>
      </c>
      <c r="H885" t="str">
        <f>_xlfn.XLOOKUP(TBL_USUARIOS[[#This Row],[ID_MASSA]],tbl_de_massas[id_massa],tbl_de_massas[nome_completo],"--",0,1)</f>
        <v>Debora Alves Santos</v>
      </c>
    </row>
    <row r="886" spans="1:8" x14ac:dyDescent="0.25">
      <c r="A886" s="2" t="s">
        <v>6992</v>
      </c>
      <c r="B886" t="str">
        <f>_xlfn.XLOOKUP(TBL_USUARIOS[[#This Row],[ID_MASSA]],tbl_de_massas[id_massa],tbl_de_massas[cpf],"--",0,1)</f>
        <v>46588250070</v>
      </c>
      <c r="C886" t="s">
        <v>12</v>
      </c>
      <c r="D886" t="str">
        <f>_xlfn.XLOOKUP(TBL_USUARIOS[[#This Row],[ID_MASSA]],tbl_de_massas[id_massa],tbl_de_massas[nome_completo],"--",0,1)</f>
        <v>Isabela Monteiro</v>
      </c>
      <c r="E886" t="str">
        <f>_xlfn.XLOOKUP(TBL_USUARIOS[[#This Row],[ID_MASSA]],tbl_de_massas[id_massa],tbl_de_massas[cartao_fisico_numero],"--",0,1)</f>
        <v/>
      </c>
      <c r="F886" t="str">
        <f>_xlfn.XLOOKUP(TBL_USUARIOS[[#This Row],[ID_MASSA]],tbl_de_massas[id_massa],tbl_de_massas[nome_completo],"--",0,1)</f>
        <v>Isabela Monteiro</v>
      </c>
      <c r="G886" s="47">
        <f>_xlfn.XLOOKUP(TBL_USUARIOS[[#This Row],[ID_MASSA]],tbl_de_massas[id_massa],tbl_de_massas[saldo_conta],"--",0,1)</f>
        <v>9681.39</v>
      </c>
      <c r="H886" t="str">
        <f>_xlfn.XLOOKUP(TBL_USUARIOS[[#This Row],[ID_MASSA]],tbl_de_massas[id_massa],tbl_de_massas[nome_completo],"--",0,1)</f>
        <v>Isabela Monteiro</v>
      </c>
    </row>
    <row r="887" spans="1:8" x14ac:dyDescent="0.25">
      <c r="A887" s="2" t="s">
        <v>6996</v>
      </c>
      <c r="B887" t="str">
        <f>_xlfn.XLOOKUP(TBL_USUARIOS[[#This Row],[ID_MASSA]],tbl_de_massas[id_massa],tbl_de_massas[cpf],"--",0,1)</f>
        <v>60772129118</v>
      </c>
      <c r="C887" t="s">
        <v>12</v>
      </c>
      <c r="D887" t="str">
        <f>_xlfn.XLOOKUP(TBL_USUARIOS[[#This Row],[ID_MASSA]],tbl_de_massas[id_massa],tbl_de_massas[nome_completo],"--",0,1)</f>
        <v>Guilherme Cardoso</v>
      </c>
      <c r="E887" t="str">
        <f>_xlfn.XLOOKUP(TBL_USUARIOS[[#This Row],[ID_MASSA]],tbl_de_massas[id_massa],tbl_de_massas[cartao_fisico_numero],"--",0,1)</f>
        <v>6505 0666 6340 9962</v>
      </c>
      <c r="F887" t="str">
        <f>_xlfn.XLOOKUP(TBL_USUARIOS[[#This Row],[ID_MASSA]],tbl_de_massas[id_massa],tbl_de_massas[nome_completo],"--",0,1)</f>
        <v>Guilherme Cardoso</v>
      </c>
      <c r="G887" s="47">
        <f>_xlfn.XLOOKUP(TBL_USUARIOS[[#This Row],[ID_MASSA]],tbl_de_massas[id_massa],tbl_de_massas[saldo_conta],"--",0,1)</f>
        <v>9964.25</v>
      </c>
      <c r="H887" t="str">
        <f>_xlfn.XLOOKUP(TBL_USUARIOS[[#This Row],[ID_MASSA]],tbl_de_massas[id_massa],tbl_de_massas[nome_completo],"--",0,1)</f>
        <v>Guilherme Cardoso</v>
      </c>
    </row>
    <row r="888" spans="1:8" x14ac:dyDescent="0.25">
      <c r="A888" s="2" t="s">
        <v>6999</v>
      </c>
      <c r="B888" t="str">
        <f>_xlfn.XLOOKUP(TBL_USUARIOS[[#This Row],[ID_MASSA]],tbl_de_massas[id_massa],tbl_de_massas[cpf],"--",0,1)</f>
        <v>80902100661</v>
      </c>
      <c r="C888" t="s">
        <v>12</v>
      </c>
      <c r="D888" t="str">
        <f>_xlfn.XLOOKUP(TBL_USUARIOS[[#This Row],[ID_MASSA]],tbl_de_massas[id_massa],tbl_de_massas[nome_completo],"--",0,1)</f>
        <v>Diego Araujo Teixeira</v>
      </c>
      <c r="E888" t="str">
        <f>_xlfn.XLOOKUP(TBL_USUARIOS[[#This Row],[ID_MASSA]],tbl_de_massas[id_massa],tbl_de_massas[cartao_fisico_numero],"--",0,1)</f>
        <v>6505 0666 8543 9826</v>
      </c>
      <c r="F888" t="str">
        <f>_xlfn.XLOOKUP(TBL_USUARIOS[[#This Row],[ID_MASSA]],tbl_de_massas[id_massa],tbl_de_massas[nome_completo],"--",0,1)</f>
        <v>Diego Araujo Teixeira</v>
      </c>
      <c r="G888" s="47">
        <f>_xlfn.XLOOKUP(TBL_USUARIOS[[#This Row],[ID_MASSA]],tbl_de_massas[id_massa],tbl_de_massas[saldo_conta],"--",0,1)</f>
        <v>9836.31</v>
      </c>
      <c r="H888" t="str">
        <f>_xlfn.XLOOKUP(TBL_USUARIOS[[#This Row],[ID_MASSA]],tbl_de_massas[id_massa],tbl_de_massas[nome_completo],"--",0,1)</f>
        <v>Diego Araujo Teixeira</v>
      </c>
    </row>
    <row r="889" spans="1:8" x14ac:dyDescent="0.25">
      <c r="A889" s="2" t="s">
        <v>7003</v>
      </c>
      <c r="B889" t="str">
        <f>_xlfn.XLOOKUP(TBL_USUARIOS[[#This Row],[ID_MASSA]],tbl_de_massas[id_massa],tbl_de_massas[cpf],"--",0,1)</f>
        <v>66202527102</v>
      </c>
      <c r="C889" t="s">
        <v>12</v>
      </c>
      <c r="D889" t="str">
        <f>_xlfn.XLOOKUP(TBL_USUARIOS[[#This Row],[ID_MASSA]],tbl_de_massas[id_massa],tbl_de_massas[nome_completo],"--",0,1)</f>
        <v>Sabrina Ribeiro Fernandes</v>
      </c>
      <c r="E889" t="str">
        <f>_xlfn.XLOOKUP(TBL_USUARIOS[[#This Row],[ID_MASSA]],tbl_de_massas[id_massa],tbl_de_massas[cartao_fisico_numero],"--",0,1)</f>
        <v>6062 8200 1918 9665</v>
      </c>
      <c r="F889" t="str">
        <f>_xlfn.XLOOKUP(TBL_USUARIOS[[#This Row],[ID_MASSA]],tbl_de_massas[id_massa],tbl_de_massas[nome_completo],"--",0,1)</f>
        <v>Sabrina Ribeiro Fernandes</v>
      </c>
      <c r="G889" s="47">
        <f>_xlfn.XLOOKUP(TBL_USUARIOS[[#This Row],[ID_MASSA]],tbl_de_massas[id_massa],tbl_de_massas[saldo_conta],"--",0,1)</f>
        <v>9974.16</v>
      </c>
      <c r="H889" t="str">
        <f>_xlfn.XLOOKUP(TBL_USUARIOS[[#This Row],[ID_MASSA]],tbl_de_massas[id_massa],tbl_de_massas[nome_completo],"--",0,1)</f>
        <v>Sabrina Ribeiro Fernandes</v>
      </c>
    </row>
    <row r="890" spans="1:8" x14ac:dyDescent="0.25">
      <c r="A890" s="2" t="s">
        <v>7016</v>
      </c>
      <c r="B890" t="str">
        <f>_xlfn.XLOOKUP(TBL_USUARIOS[[#This Row],[ID_MASSA]],tbl_de_massas[id_massa],tbl_de_massas[cpf],"--",0,1)</f>
        <v>34601489423</v>
      </c>
      <c r="C890" t="s">
        <v>12</v>
      </c>
      <c r="D890" t="str">
        <f>_xlfn.XLOOKUP(TBL_USUARIOS[[#This Row],[ID_MASSA]],tbl_de_massas[id_massa],tbl_de_massas[nome_completo],"--",0,1)</f>
        <v>Bianca Costa</v>
      </c>
      <c r="E890" t="str">
        <f>_xlfn.XLOOKUP(TBL_USUARIOS[[#This Row],[ID_MASSA]],tbl_de_massas[id_massa],tbl_de_massas[cartao_fisico_numero],"--",0,1)</f>
        <v>3782 808212 6517</v>
      </c>
      <c r="F890" t="str">
        <f>_xlfn.XLOOKUP(TBL_USUARIOS[[#This Row],[ID_MASSA]],tbl_de_massas[id_massa],tbl_de_massas[nome_completo],"--",0,1)</f>
        <v>Bianca Costa</v>
      </c>
      <c r="G890" s="47">
        <f>_xlfn.XLOOKUP(TBL_USUARIOS[[#This Row],[ID_MASSA]],tbl_de_massas[id_massa],tbl_de_massas[saldo_conta],"--",0,1)</f>
        <v>9801.85</v>
      </c>
      <c r="H890" t="str">
        <f>_xlfn.XLOOKUP(TBL_USUARIOS[[#This Row],[ID_MASSA]],tbl_de_massas[id_massa],tbl_de_massas[nome_completo],"--",0,1)</f>
        <v>Bianca Costa</v>
      </c>
    </row>
    <row r="891" spans="1:8" x14ac:dyDescent="0.25">
      <c r="A891" s="2" t="s">
        <v>7021</v>
      </c>
      <c r="B891" t="str">
        <f>_xlfn.XLOOKUP(TBL_USUARIOS[[#This Row],[ID_MASSA]],tbl_de_massas[id_massa],tbl_de_massas[cpf],"--",0,1)</f>
        <v>71745778306</v>
      </c>
      <c r="C891" t="s">
        <v>12</v>
      </c>
      <c r="D891" t="str">
        <f>_xlfn.XLOOKUP(TBL_USUARIOS[[#This Row],[ID_MASSA]],tbl_de_massas[id_massa],tbl_de_massas[nome_completo],"--",0,1)</f>
        <v>Leandro Gomes Almeida</v>
      </c>
      <c r="E891" t="str">
        <f>_xlfn.XLOOKUP(TBL_USUARIOS[[#This Row],[ID_MASSA]],tbl_de_massas[id_massa],tbl_de_massas[cartao_fisico_numero],"--",0,1)</f>
        <v/>
      </c>
      <c r="F891" t="str">
        <f>_xlfn.XLOOKUP(TBL_USUARIOS[[#This Row],[ID_MASSA]],tbl_de_massas[id_massa],tbl_de_massas[nome_completo],"--",0,1)</f>
        <v>Leandro Gomes Almeida</v>
      </c>
      <c r="G891" s="47">
        <f>_xlfn.XLOOKUP(TBL_USUARIOS[[#This Row],[ID_MASSA]],tbl_de_massas[id_massa],tbl_de_massas[saldo_conta],"--",0,1)</f>
        <v>10000</v>
      </c>
      <c r="H891" t="str">
        <f>_xlfn.XLOOKUP(TBL_USUARIOS[[#This Row],[ID_MASSA]],tbl_de_massas[id_massa],tbl_de_massas[nome_completo],"--",0,1)</f>
        <v>Leandro Gomes Almeida</v>
      </c>
    </row>
    <row r="892" spans="1:8" x14ac:dyDescent="0.25">
      <c r="A892" s="2" t="s">
        <v>7025</v>
      </c>
      <c r="B892" t="str">
        <f>_xlfn.XLOOKUP(TBL_USUARIOS[[#This Row],[ID_MASSA]],tbl_de_massas[id_massa],tbl_de_massas[cpf],"--",0,1)</f>
        <v>57650116670</v>
      </c>
      <c r="C892" t="s">
        <v>12</v>
      </c>
      <c r="D892" t="str">
        <f>_xlfn.XLOOKUP(TBL_USUARIOS[[#This Row],[ID_MASSA]],tbl_de_massas[id_massa],tbl_de_massas[nome_completo],"--",0,1)</f>
        <v>Marcelo Vieira Moura</v>
      </c>
      <c r="E892" t="str">
        <f>_xlfn.XLOOKUP(TBL_USUARIOS[[#This Row],[ID_MASSA]],tbl_de_massas[id_massa],tbl_de_massas[cartao_fisico_numero],"--",0,1)</f>
        <v>6062 8200 6859 8321</v>
      </c>
      <c r="F892" t="str">
        <f>_xlfn.XLOOKUP(TBL_USUARIOS[[#This Row],[ID_MASSA]],tbl_de_massas[id_massa],tbl_de_massas[nome_completo],"--",0,1)</f>
        <v>Marcelo Vieira Moura</v>
      </c>
      <c r="G892" s="47">
        <f>_xlfn.XLOOKUP(TBL_USUARIOS[[#This Row],[ID_MASSA]],tbl_de_massas[id_massa],tbl_de_massas[saldo_conta],"--",0,1)</f>
        <v>10000</v>
      </c>
      <c r="H892" t="str">
        <f>_xlfn.XLOOKUP(TBL_USUARIOS[[#This Row],[ID_MASSA]],tbl_de_massas[id_massa],tbl_de_massas[nome_completo],"--",0,1)</f>
        <v>Marcelo Vieira Moura</v>
      </c>
    </row>
    <row r="893" spans="1:8" x14ac:dyDescent="0.25">
      <c r="A893" s="2" t="s">
        <v>7030</v>
      </c>
      <c r="B893" t="str">
        <f>_xlfn.XLOOKUP(TBL_USUARIOS[[#This Row],[ID_MASSA]],tbl_de_massas[id_massa],tbl_de_massas[cpf],"--",0,1)</f>
        <v>41263253792</v>
      </c>
      <c r="C893" t="s">
        <v>12</v>
      </c>
      <c r="D893" t="str">
        <f>_xlfn.XLOOKUP(TBL_USUARIOS[[#This Row],[ID_MASSA]],tbl_de_massas[id_massa],tbl_de_massas[nome_completo],"--",0,1)</f>
        <v>Juliana Freitas Araujo</v>
      </c>
      <c r="E893" t="str">
        <f>_xlfn.XLOOKUP(TBL_USUARIOS[[#This Row],[ID_MASSA]],tbl_de_massas[id_massa],tbl_de_massas[cartao_fisico_numero],"--",0,1)</f>
        <v>4576 7460 3788 1093</v>
      </c>
      <c r="F893" t="str">
        <f>_xlfn.XLOOKUP(TBL_USUARIOS[[#This Row],[ID_MASSA]],tbl_de_massas[id_massa],tbl_de_massas[nome_completo],"--",0,1)</f>
        <v>Juliana Freitas Araujo</v>
      </c>
      <c r="G893" s="47">
        <f>_xlfn.XLOOKUP(TBL_USUARIOS[[#This Row],[ID_MASSA]],tbl_de_massas[id_massa],tbl_de_massas[saldo_conta],"--",0,1)</f>
        <v>10000</v>
      </c>
      <c r="H893" t="str">
        <f>_xlfn.XLOOKUP(TBL_USUARIOS[[#This Row],[ID_MASSA]],tbl_de_massas[id_massa],tbl_de_massas[nome_completo],"--",0,1)</f>
        <v>Juliana Freitas Araujo</v>
      </c>
    </row>
    <row r="894" spans="1:8" x14ac:dyDescent="0.25">
      <c r="A894" s="2" t="s">
        <v>7034</v>
      </c>
      <c r="B894" t="str">
        <f>_xlfn.XLOOKUP(TBL_USUARIOS[[#This Row],[ID_MASSA]],tbl_de_massas[id_massa],tbl_de_massas[cpf],"--",0,1)</f>
        <v>60045391980</v>
      </c>
      <c r="C894" t="s">
        <v>12</v>
      </c>
      <c r="D894" t="str">
        <f>_xlfn.XLOOKUP(TBL_USUARIOS[[#This Row],[ID_MASSA]],tbl_de_massas[id_massa],tbl_de_massas[nome_completo],"--",0,1)</f>
        <v>Marcelo Borges Gomes</v>
      </c>
      <c r="E894" t="str">
        <f>_xlfn.XLOOKUP(TBL_USUARIOS[[#This Row],[ID_MASSA]],tbl_de_massas[id_massa],tbl_de_massas[cartao_fisico_numero],"--",0,1)</f>
        <v/>
      </c>
      <c r="F894" t="str">
        <f>_xlfn.XLOOKUP(TBL_USUARIOS[[#This Row],[ID_MASSA]],tbl_de_massas[id_massa],tbl_de_massas[nome_completo],"--",0,1)</f>
        <v>Marcelo Borges Gomes</v>
      </c>
      <c r="G894" s="47">
        <f>_xlfn.XLOOKUP(TBL_USUARIOS[[#This Row],[ID_MASSA]],tbl_de_massas[id_massa],tbl_de_massas[saldo_conta],"--",0,1)</f>
        <v>10000</v>
      </c>
      <c r="H894" t="str">
        <f>_xlfn.XLOOKUP(TBL_USUARIOS[[#This Row],[ID_MASSA]],tbl_de_massas[id_massa],tbl_de_massas[nome_completo],"--",0,1)</f>
        <v>Marcelo Borges Gomes</v>
      </c>
    </row>
    <row r="895" spans="1:8" x14ac:dyDescent="0.25">
      <c r="A895" s="2" t="s">
        <v>7042</v>
      </c>
      <c r="B895" t="str">
        <f>_xlfn.XLOOKUP(TBL_USUARIOS[[#This Row],[ID_MASSA]],tbl_de_massas[id_massa],tbl_de_massas[cpf],"--",0,1)</f>
        <v>73137558301</v>
      </c>
      <c r="C895" t="s">
        <v>12</v>
      </c>
      <c r="D895" t="str">
        <f>_xlfn.XLOOKUP(TBL_USUARIOS[[#This Row],[ID_MASSA]],tbl_de_massas[id_massa],tbl_de_massas[nome_completo],"--",0,1)</f>
        <v>Fabio Campos Araujo</v>
      </c>
      <c r="E895" t="str">
        <f>_xlfn.XLOOKUP(TBL_USUARIOS[[#This Row],[ID_MASSA]],tbl_de_massas[id_massa],tbl_de_massas[cartao_fisico_numero],"--",0,1)</f>
        <v>4576 7460 2344 5348</v>
      </c>
      <c r="F895" t="str">
        <f>_xlfn.XLOOKUP(TBL_USUARIOS[[#This Row],[ID_MASSA]],tbl_de_massas[id_massa],tbl_de_massas[nome_completo],"--",0,1)</f>
        <v>Fabio Campos Araujo</v>
      </c>
      <c r="G895" s="47">
        <f>_xlfn.XLOOKUP(TBL_USUARIOS[[#This Row],[ID_MASSA]],tbl_de_massas[id_massa],tbl_de_massas[saldo_conta],"--",0,1)</f>
        <v>10000</v>
      </c>
      <c r="H895" t="str">
        <f>_xlfn.XLOOKUP(TBL_USUARIOS[[#This Row],[ID_MASSA]],tbl_de_massas[id_massa],tbl_de_massas[nome_completo],"--",0,1)</f>
        <v>Fabio Campos Araujo</v>
      </c>
    </row>
    <row r="896" spans="1:8" x14ac:dyDescent="0.25">
      <c r="A896" s="2" t="s">
        <v>7047</v>
      </c>
      <c r="B896" t="str">
        <f>_xlfn.XLOOKUP(TBL_USUARIOS[[#This Row],[ID_MASSA]],tbl_de_massas[id_massa],tbl_de_massas[cpf],"--",0,1)</f>
        <v>18536058757</v>
      </c>
      <c r="C896" t="s">
        <v>12</v>
      </c>
      <c r="D896" t="str">
        <f>_xlfn.XLOOKUP(TBL_USUARIOS[[#This Row],[ID_MASSA]],tbl_de_massas[id_massa],tbl_de_massas[nome_completo],"--",0,1)</f>
        <v>Camila Castro Fernandes</v>
      </c>
      <c r="E896" t="str">
        <f>_xlfn.XLOOKUP(TBL_USUARIOS[[#This Row],[ID_MASSA]],tbl_de_massas[id_massa],tbl_de_massas[cartao_fisico_numero],"--",0,1)</f>
        <v>6062 8200 7762 4659</v>
      </c>
      <c r="F896" t="str">
        <f>_xlfn.XLOOKUP(TBL_USUARIOS[[#This Row],[ID_MASSA]],tbl_de_massas[id_massa],tbl_de_massas[nome_completo],"--",0,1)</f>
        <v>Camila Castro Fernandes</v>
      </c>
      <c r="G896" s="47">
        <f>_xlfn.XLOOKUP(TBL_USUARIOS[[#This Row],[ID_MASSA]],tbl_de_massas[id_massa],tbl_de_massas[saldo_conta],"--",0,1)</f>
        <v>10000</v>
      </c>
      <c r="H896" t="str">
        <f>_xlfn.XLOOKUP(TBL_USUARIOS[[#This Row],[ID_MASSA]],tbl_de_massas[id_massa],tbl_de_massas[nome_completo],"--",0,1)</f>
        <v>Camila Castro Fernandes</v>
      </c>
    </row>
    <row r="897" spans="1:8" x14ac:dyDescent="0.25">
      <c r="A897" s="2" t="s">
        <v>7051</v>
      </c>
      <c r="B897" t="str">
        <f>_xlfn.XLOOKUP(TBL_USUARIOS[[#This Row],[ID_MASSA]],tbl_de_massas[id_massa],tbl_de_massas[cpf],"--",0,1)</f>
        <v>21555939104</v>
      </c>
      <c r="C897" t="s">
        <v>12</v>
      </c>
      <c r="D897" t="str">
        <f>_xlfn.XLOOKUP(TBL_USUARIOS[[#This Row],[ID_MASSA]],tbl_de_massas[id_massa],tbl_de_massas[nome_completo],"--",0,1)</f>
        <v>Gabriel Oliveira Carvalho</v>
      </c>
      <c r="E897" t="str">
        <f>_xlfn.XLOOKUP(TBL_USUARIOS[[#This Row],[ID_MASSA]],tbl_de_massas[id_massa],tbl_de_massas[cartao_fisico_numero],"--",0,1)</f>
        <v>4576 7460 5723 0157</v>
      </c>
      <c r="F897" t="str">
        <f>_xlfn.XLOOKUP(TBL_USUARIOS[[#This Row],[ID_MASSA]],tbl_de_massas[id_massa],tbl_de_massas[nome_completo],"--",0,1)</f>
        <v>Gabriel Oliveira Carvalho</v>
      </c>
      <c r="G897" s="47">
        <f>_xlfn.XLOOKUP(TBL_USUARIOS[[#This Row],[ID_MASSA]],tbl_de_massas[id_massa],tbl_de_massas[saldo_conta],"--",0,1)</f>
        <v>9612.77</v>
      </c>
      <c r="H897" t="str">
        <f>_xlfn.XLOOKUP(TBL_USUARIOS[[#This Row],[ID_MASSA]],tbl_de_massas[id_massa],tbl_de_massas[nome_completo],"--",0,1)</f>
        <v>Gabriel Oliveira Carvalho</v>
      </c>
    </row>
    <row r="898" spans="1:8" x14ac:dyDescent="0.25">
      <c r="A898" s="2" t="s">
        <v>7056</v>
      </c>
      <c r="B898" t="str">
        <f>_xlfn.XLOOKUP(TBL_USUARIOS[[#This Row],[ID_MASSA]],tbl_de_massas[id_massa],tbl_de_massas[cpf],"--",0,1)</f>
        <v>98301272228</v>
      </c>
      <c r="C898" t="s">
        <v>12</v>
      </c>
      <c r="D898" t="str">
        <f>_xlfn.XLOOKUP(TBL_USUARIOS[[#This Row],[ID_MASSA]],tbl_de_massas[id_massa],tbl_de_massas[nome_completo],"--",0,1)</f>
        <v>Gustavo Nascimento Araujo</v>
      </c>
      <c r="E898" t="str">
        <f>_xlfn.XLOOKUP(TBL_USUARIOS[[#This Row],[ID_MASSA]],tbl_de_massas[id_massa],tbl_de_massas[cartao_fisico_numero],"--",0,1)</f>
        <v>6062 8200 3817 1575</v>
      </c>
      <c r="F898" t="str">
        <f>_xlfn.XLOOKUP(TBL_USUARIOS[[#This Row],[ID_MASSA]],tbl_de_massas[id_massa],tbl_de_massas[nome_completo],"--",0,1)</f>
        <v>Gustavo Nascimento Araujo</v>
      </c>
      <c r="G898" s="47">
        <f>_xlfn.XLOOKUP(TBL_USUARIOS[[#This Row],[ID_MASSA]],tbl_de_massas[id_massa],tbl_de_massas[saldo_conta],"--",0,1)</f>
        <v>10000</v>
      </c>
      <c r="H898" t="str">
        <f>_xlfn.XLOOKUP(TBL_USUARIOS[[#This Row],[ID_MASSA]],tbl_de_massas[id_massa],tbl_de_massas[nome_completo],"--",0,1)</f>
        <v>Gustavo Nascimento Araujo</v>
      </c>
    </row>
    <row r="899" spans="1:8" x14ac:dyDescent="0.25">
      <c r="A899" s="2" t="s">
        <v>7060</v>
      </c>
      <c r="B899" t="str">
        <f>_xlfn.XLOOKUP(TBL_USUARIOS[[#This Row],[ID_MASSA]],tbl_de_massas[id_massa],tbl_de_massas[cpf],"--",0,1)</f>
        <v>80308777654</v>
      </c>
      <c r="C899" t="s">
        <v>12</v>
      </c>
      <c r="D899" t="str">
        <f>_xlfn.XLOOKUP(TBL_USUARIOS[[#This Row],[ID_MASSA]],tbl_de_massas[id_massa],tbl_de_massas[nome_completo],"--",0,1)</f>
        <v>Patricia Almeida</v>
      </c>
      <c r="E899" t="str">
        <f>_xlfn.XLOOKUP(TBL_USUARIOS[[#This Row],[ID_MASSA]],tbl_de_massas[id_massa],tbl_de_massas[cartao_fisico_numero],"--",0,1)</f>
        <v>4576 7460 6467 0120</v>
      </c>
      <c r="F899" t="str">
        <f>_xlfn.XLOOKUP(TBL_USUARIOS[[#This Row],[ID_MASSA]],tbl_de_massas[id_massa],tbl_de_massas[nome_completo],"--",0,1)</f>
        <v>Patricia Almeida</v>
      </c>
      <c r="G899" s="47">
        <f>_xlfn.XLOOKUP(TBL_USUARIOS[[#This Row],[ID_MASSA]],tbl_de_massas[id_massa],tbl_de_massas[saldo_conta],"--",0,1)</f>
        <v>10000</v>
      </c>
      <c r="H899" t="str">
        <f>_xlfn.XLOOKUP(TBL_USUARIOS[[#This Row],[ID_MASSA]],tbl_de_massas[id_massa],tbl_de_massas[nome_completo],"--",0,1)</f>
        <v>Patricia Almeida</v>
      </c>
    </row>
    <row r="900" spans="1:8" x14ac:dyDescent="0.25">
      <c r="A900" s="2" t="s">
        <v>7065</v>
      </c>
      <c r="B900" t="str">
        <f>_xlfn.XLOOKUP(TBL_USUARIOS[[#This Row],[ID_MASSA]],tbl_de_massas[id_massa],tbl_de_massas[cpf],"--",0,1)</f>
        <v>60982161000</v>
      </c>
      <c r="C900" t="s">
        <v>12</v>
      </c>
      <c r="D900" t="str">
        <f>_xlfn.XLOOKUP(TBL_USUARIOS[[#This Row],[ID_MASSA]],tbl_de_massas[id_massa],tbl_de_massas[nome_completo],"--",0,1)</f>
        <v>Thiago Silva Pinto</v>
      </c>
      <c r="E900" t="str">
        <f>_xlfn.XLOOKUP(TBL_USUARIOS[[#This Row],[ID_MASSA]],tbl_de_massas[id_massa],tbl_de_massas[cartao_fisico_numero],"--",0,1)</f>
        <v>4576 7460 3776 3529</v>
      </c>
      <c r="F900" t="str">
        <f>_xlfn.XLOOKUP(TBL_USUARIOS[[#This Row],[ID_MASSA]],tbl_de_massas[id_massa],tbl_de_massas[nome_completo],"--",0,1)</f>
        <v>Thiago Silva Pinto</v>
      </c>
      <c r="G900" s="47">
        <f>_xlfn.XLOOKUP(TBL_USUARIOS[[#This Row],[ID_MASSA]],tbl_de_massas[id_massa],tbl_de_massas[saldo_conta],"--",0,1)</f>
        <v>10000</v>
      </c>
      <c r="H900" t="str">
        <f>_xlfn.XLOOKUP(TBL_USUARIOS[[#This Row],[ID_MASSA]],tbl_de_massas[id_massa],tbl_de_massas[nome_completo],"--",0,1)</f>
        <v>Thiago Silva Pinto</v>
      </c>
    </row>
    <row r="901" spans="1:8" x14ac:dyDescent="0.25">
      <c r="A901" s="2" t="s">
        <v>7070</v>
      </c>
      <c r="B901" t="str">
        <f>_xlfn.XLOOKUP(TBL_USUARIOS[[#This Row],[ID_MASSA]],tbl_de_massas[id_massa],tbl_de_massas[cpf],"--",0,1)</f>
        <v>83132219924</v>
      </c>
      <c r="C901" t="s">
        <v>12</v>
      </c>
      <c r="D901" t="str">
        <f>_xlfn.XLOOKUP(TBL_USUARIOS[[#This Row],[ID_MASSA]],tbl_de_massas[id_massa],tbl_de_massas[nome_completo],"--",0,1)</f>
        <v>Sabrina Rocha</v>
      </c>
      <c r="E901" t="str">
        <f>_xlfn.XLOOKUP(TBL_USUARIOS[[#This Row],[ID_MASSA]],tbl_de_massas[id_massa],tbl_de_massas[cartao_fisico_numero],"--",0,1)</f>
        <v>4576 7460 7749 9625</v>
      </c>
      <c r="F901" t="str">
        <f>_xlfn.XLOOKUP(TBL_USUARIOS[[#This Row],[ID_MASSA]],tbl_de_massas[id_massa],tbl_de_massas[nome_completo],"--",0,1)</f>
        <v>Sabrina Rocha</v>
      </c>
      <c r="G901" s="47">
        <f>_xlfn.XLOOKUP(TBL_USUARIOS[[#This Row],[ID_MASSA]],tbl_de_massas[id_massa],tbl_de_massas[saldo_conta],"--",0,1)</f>
        <v>10000</v>
      </c>
      <c r="H901" t="str">
        <f>_xlfn.XLOOKUP(TBL_USUARIOS[[#This Row],[ID_MASSA]],tbl_de_massas[id_massa],tbl_de_massas[nome_completo],"--",0,1)</f>
        <v>Sabrina Rocha</v>
      </c>
    </row>
    <row r="902" spans="1:8" x14ac:dyDescent="0.25">
      <c r="A902" s="2" t="s">
        <v>7074</v>
      </c>
      <c r="B902" t="str">
        <f>_xlfn.XLOOKUP(TBL_USUARIOS[[#This Row],[ID_MASSA]],tbl_de_massas[id_massa],tbl_de_massas[cpf],"--",0,1)</f>
        <v>35717904304</v>
      </c>
      <c r="C902" t="s">
        <v>12</v>
      </c>
      <c r="D902" t="str">
        <f>_xlfn.XLOOKUP(TBL_USUARIOS[[#This Row],[ID_MASSA]],tbl_de_massas[id_massa],tbl_de_massas[nome_completo],"--",0,1)</f>
        <v>Leonardo Campos</v>
      </c>
      <c r="E902" t="str">
        <f>_xlfn.XLOOKUP(TBL_USUARIOS[[#This Row],[ID_MASSA]],tbl_de_massas[id_massa],tbl_de_massas[cartao_fisico_numero],"--",0,1)</f>
        <v/>
      </c>
      <c r="F902" t="str">
        <f>_xlfn.XLOOKUP(TBL_USUARIOS[[#This Row],[ID_MASSA]],tbl_de_massas[id_massa],tbl_de_massas[nome_completo],"--",0,1)</f>
        <v>Leonardo Campos</v>
      </c>
      <c r="G902" s="47">
        <f>_xlfn.XLOOKUP(TBL_USUARIOS[[#This Row],[ID_MASSA]],tbl_de_massas[id_massa],tbl_de_massas[saldo_conta],"--",0,1)</f>
        <v>10000</v>
      </c>
      <c r="H902" t="str">
        <f>_xlfn.XLOOKUP(TBL_USUARIOS[[#This Row],[ID_MASSA]],tbl_de_massas[id_massa],tbl_de_massas[nome_completo],"--",0,1)</f>
        <v>Leonardo Campos</v>
      </c>
    </row>
    <row r="903" spans="1:8" x14ac:dyDescent="0.25">
      <c r="A903" s="2" t="s">
        <v>7078</v>
      </c>
      <c r="B903" t="str">
        <f>_xlfn.XLOOKUP(TBL_USUARIOS[[#This Row],[ID_MASSA]],tbl_de_massas[id_massa],tbl_de_massas[cpf],"--",0,1)</f>
        <v>95989501072</v>
      </c>
      <c r="C903" t="s">
        <v>12</v>
      </c>
      <c r="D903" t="str">
        <f>_xlfn.XLOOKUP(TBL_USUARIOS[[#This Row],[ID_MASSA]],tbl_de_massas[id_massa],tbl_de_massas[nome_completo],"--",0,1)</f>
        <v>Sabrina Lima Castro</v>
      </c>
      <c r="E903" t="str">
        <f>_xlfn.XLOOKUP(TBL_USUARIOS[[#This Row],[ID_MASSA]],tbl_de_massas[id_massa],tbl_de_massas[cartao_fisico_numero],"--",0,1)</f>
        <v>6062 8200 2478 8604</v>
      </c>
      <c r="F903" t="str">
        <f>_xlfn.XLOOKUP(TBL_USUARIOS[[#This Row],[ID_MASSA]],tbl_de_massas[id_massa],tbl_de_massas[nome_completo],"--",0,1)</f>
        <v>Sabrina Lima Castro</v>
      </c>
      <c r="G903" s="47">
        <f>_xlfn.XLOOKUP(TBL_USUARIOS[[#This Row],[ID_MASSA]],tbl_de_massas[id_massa],tbl_de_massas[saldo_conta],"--",0,1)</f>
        <v>10000</v>
      </c>
      <c r="H903" t="str">
        <f>_xlfn.XLOOKUP(TBL_USUARIOS[[#This Row],[ID_MASSA]],tbl_de_massas[id_massa],tbl_de_massas[nome_completo],"--",0,1)</f>
        <v>Sabrina Lima Castro</v>
      </c>
    </row>
    <row r="904" spans="1:8" x14ac:dyDescent="0.25">
      <c r="A904" s="2" t="s">
        <v>7086</v>
      </c>
      <c r="B904" t="str">
        <f>_xlfn.XLOOKUP(TBL_USUARIOS[[#This Row],[ID_MASSA]],tbl_de_massas[id_massa],tbl_de_massas[cpf],"--",0,1)</f>
        <v>14571590156</v>
      </c>
      <c r="C904" t="s">
        <v>12</v>
      </c>
      <c r="D904" t="str">
        <f>_xlfn.XLOOKUP(TBL_USUARIOS[[#This Row],[ID_MASSA]],tbl_de_massas[id_massa],tbl_de_massas[nome_completo],"--",0,1)</f>
        <v>Carolina Nascimento Silva</v>
      </c>
      <c r="E904" t="str">
        <f>_xlfn.XLOOKUP(TBL_USUARIOS[[#This Row],[ID_MASSA]],tbl_de_massas[id_massa],tbl_de_massas[cartao_fisico_numero],"--",0,1)</f>
        <v/>
      </c>
      <c r="F904" t="str">
        <f>_xlfn.XLOOKUP(TBL_USUARIOS[[#This Row],[ID_MASSA]],tbl_de_massas[id_massa],tbl_de_massas[nome_completo],"--",0,1)</f>
        <v>Carolina Nascimento Silva</v>
      </c>
      <c r="G904" s="47">
        <f>_xlfn.XLOOKUP(TBL_USUARIOS[[#This Row],[ID_MASSA]],tbl_de_massas[id_massa],tbl_de_massas[saldo_conta],"--",0,1)</f>
        <v>10000</v>
      </c>
      <c r="H904" t="str">
        <f>_xlfn.XLOOKUP(TBL_USUARIOS[[#This Row],[ID_MASSA]],tbl_de_massas[id_massa],tbl_de_massas[nome_completo],"--",0,1)</f>
        <v>Carolina Nascimento Silva</v>
      </c>
    </row>
    <row r="905" spans="1:8" x14ac:dyDescent="0.25">
      <c r="A905" s="2" t="s">
        <v>7090</v>
      </c>
      <c r="B905" t="str">
        <f>_xlfn.XLOOKUP(TBL_USUARIOS[[#This Row],[ID_MASSA]],tbl_de_massas[id_massa],tbl_de_massas[cpf],"--",0,1)</f>
        <v>08833365026</v>
      </c>
      <c r="C905" t="s">
        <v>12</v>
      </c>
      <c r="D905" t="str">
        <f>_xlfn.XLOOKUP(TBL_USUARIOS[[#This Row],[ID_MASSA]],tbl_de_massas[id_massa],tbl_de_massas[nome_completo],"--",0,1)</f>
        <v>Rodrigo Santos</v>
      </c>
      <c r="E905" t="str">
        <f>_xlfn.XLOOKUP(TBL_USUARIOS[[#This Row],[ID_MASSA]],tbl_de_massas[id_massa],tbl_de_massas[cartao_fisico_numero],"--",0,1)</f>
        <v/>
      </c>
      <c r="F905" t="str">
        <f>_xlfn.XLOOKUP(TBL_USUARIOS[[#This Row],[ID_MASSA]],tbl_de_massas[id_massa],tbl_de_massas[nome_completo],"--",0,1)</f>
        <v>Rodrigo Santos</v>
      </c>
      <c r="G905" s="47">
        <f>_xlfn.XLOOKUP(TBL_USUARIOS[[#This Row],[ID_MASSA]],tbl_de_massas[id_massa],tbl_de_massas[saldo_conta],"--",0,1)</f>
        <v>10000</v>
      </c>
      <c r="H905" t="str">
        <f>_xlfn.XLOOKUP(TBL_USUARIOS[[#This Row],[ID_MASSA]],tbl_de_massas[id_massa],tbl_de_massas[nome_completo],"--",0,1)</f>
        <v>Rodrigo Santos</v>
      </c>
    </row>
    <row r="906" spans="1:8" x14ac:dyDescent="0.25">
      <c r="A906" s="2" t="s">
        <v>7093</v>
      </c>
      <c r="B906" t="str">
        <f>_xlfn.XLOOKUP(TBL_USUARIOS[[#This Row],[ID_MASSA]],tbl_de_massas[id_massa],tbl_de_massas[cpf],"--",0,1)</f>
        <v>88289613172</v>
      </c>
      <c r="C906" t="s">
        <v>12</v>
      </c>
      <c r="D906" t="str">
        <f>_xlfn.XLOOKUP(TBL_USUARIOS[[#This Row],[ID_MASSA]],tbl_de_massas[id_massa],tbl_de_massas[nome_completo],"--",0,1)</f>
        <v>Guilherme Nunes Araujo</v>
      </c>
      <c r="E906" t="str">
        <f>_xlfn.XLOOKUP(TBL_USUARIOS[[#This Row],[ID_MASSA]],tbl_de_massas[id_massa],tbl_de_massas[cartao_fisico_numero],"--",0,1)</f>
        <v>3782 704044 9468</v>
      </c>
      <c r="F906" t="str">
        <f>_xlfn.XLOOKUP(TBL_USUARIOS[[#This Row],[ID_MASSA]],tbl_de_massas[id_massa],tbl_de_massas[nome_completo],"--",0,1)</f>
        <v>Guilherme Nunes Araujo</v>
      </c>
      <c r="G906" s="47">
        <f>_xlfn.XLOOKUP(TBL_USUARIOS[[#This Row],[ID_MASSA]],tbl_de_massas[id_massa],tbl_de_massas[saldo_conta],"--",0,1)</f>
        <v>9973.44</v>
      </c>
      <c r="H906" t="str">
        <f>_xlfn.XLOOKUP(TBL_USUARIOS[[#This Row],[ID_MASSA]],tbl_de_massas[id_massa],tbl_de_massas[nome_completo],"--",0,1)</f>
        <v>Guilherme Nunes Araujo</v>
      </c>
    </row>
    <row r="907" spans="1:8" x14ac:dyDescent="0.25">
      <c r="A907" s="2" t="s">
        <v>7102</v>
      </c>
      <c r="B907" t="str">
        <f>_xlfn.XLOOKUP(TBL_USUARIOS[[#This Row],[ID_MASSA]],tbl_de_massas[id_massa],tbl_de_massas[cpf],"--",0,1)</f>
        <v>03275873695</v>
      </c>
      <c r="C907" t="s">
        <v>12</v>
      </c>
      <c r="D907" t="str">
        <f>_xlfn.XLOOKUP(TBL_USUARIOS[[#This Row],[ID_MASSA]],tbl_de_massas[id_massa],tbl_de_massas[nome_completo],"--",0,1)</f>
        <v>Vanessa Mendes Monteiro</v>
      </c>
      <c r="E907" t="str">
        <f>_xlfn.XLOOKUP(TBL_USUARIOS[[#This Row],[ID_MASSA]],tbl_de_massas[id_massa],tbl_de_massas[cartao_fisico_numero],"--",0,1)</f>
        <v>6062 8200 8803 5720</v>
      </c>
      <c r="F907" t="str">
        <f>_xlfn.XLOOKUP(TBL_USUARIOS[[#This Row],[ID_MASSA]],tbl_de_massas[id_massa],tbl_de_massas[nome_completo],"--",0,1)</f>
        <v>Vanessa Mendes Monteiro</v>
      </c>
      <c r="G907" s="47">
        <f>_xlfn.XLOOKUP(TBL_USUARIOS[[#This Row],[ID_MASSA]],tbl_de_massas[id_massa],tbl_de_massas[saldo_conta],"--",0,1)</f>
        <v>10000</v>
      </c>
      <c r="H907" t="str">
        <f>_xlfn.XLOOKUP(TBL_USUARIOS[[#This Row],[ID_MASSA]],tbl_de_massas[id_massa],tbl_de_massas[nome_completo],"--",0,1)</f>
        <v>Vanessa Mendes Monteiro</v>
      </c>
    </row>
    <row r="908" spans="1:8" x14ac:dyDescent="0.25">
      <c r="A908" s="2" t="s">
        <v>7112</v>
      </c>
      <c r="B908" t="str">
        <f>_xlfn.XLOOKUP(TBL_USUARIOS[[#This Row],[ID_MASSA]],tbl_de_massas[id_massa],tbl_de_massas[cpf],"--",0,1)</f>
        <v>00023975601</v>
      </c>
      <c r="C908" t="s">
        <v>12</v>
      </c>
      <c r="D908" t="str">
        <f>_xlfn.XLOOKUP(TBL_USUARIOS[[#This Row],[ID_MASSA]],tbl_de_massas[id_massa],tbl_de_massas[nome_completo],"--",0,1)</f>
        <v>Gustavo Almeida Vieira</v>
      </c>
      <c r="E908" t="str">
        <f>_xlfn.XLOOKUP(TBL_USUARIOS[[#This Row],[ID_MASSA]],tbl_de_massas[id_massa],tbl_de_massas[cartao_fisico_numero],"--",0,1)</f>
        <v>4576 7460 9372 7023</v>
      </c>
      <c r="F908" t="str">
        <f>_xlfn.XLOOKUP(TBL_USUARIOS[[#This Row],[ID_MASSA]],tbl_de_massas[id_massa],tbl_de_massas[nome_completo],"--",0,1)</f>
        <v>Gustavo Almeida Vieira</v>
      </c>
      <c r="G908" s="47">
        <f>_xlfn.XLOOKUP(TBL_USUARIOS[[#This Row],[ID_MASSA]],tbl_de_massas[id_massa],tbl_de_massas[saldo_conta],"--",0,1)</f>
        <v>10000</v>
      </c>
      <c r="H908" t="str">
        <f>_xlfn.XLOOKUP(TBL_USUARIOS[[#This Row],[ID_MASSA]],tbl_de_massas[id_massa],tbl_de_massas[nome_completo],"--",0,1)</f>
        <v>Gustavo Almeida Vieira</v>
      </c>
    </row>
    <row r="909" spans="1:8" x14ac:dyDescent="0.25">
      <c r="A909" s="2" t="s">
        <v>7117</v>
      </c>
      <c r="B909" t="str">
        <f>_xlfn.XLOOKUP(TBL_USUARIOS[[#This Row],[ID_MASSA]],tbl_de_massas[id_massa],tbl_de_massas[cpf],"--",0,1)</f>
        <v>16635315284</v>
      </c>
      <c r="C909" t="s">
        <v>12</v>
      </c>
      <c r="D909" t="str">
        <f>_xlfn.XLOOKUP(TBL_USUARIOS[[#This Row],[ID_MASSA]],tbl_de_massas[id_massa],tbl_de_massas[nome_completo],"--",0,1)</f>
        <v>Juliana Fernandes Freitas</v>
      </c>
      <c r="E909" t="str">
        <f>_xlfn.XLOOKUP(TBL_USUARIOS[[#This Row],[ID_MASSA]],tbl_de_massas[id_massa],tbl_de_massas[cartao_fisico_numero],"--",0,1)</f>
        <v>6062 8200 9032 3986</v>
      </c>
      <c r="F909" t="str">
        <f>_xlfn.XLOOKUP(TBL_USUARIOS[[#This Row],[ID_MASSA]],tbl_de_massas[id_massa],tbl_de_massas[nome_completo],"--",0,1)</f>
        <v>Juliana Fernandes Freitas</v>
      </c>
      <c r="G909" s="47">
        <f>_xlfn.XLOOKUP(TBL_USUARIOS[[#This Row],[ID_MASSA]],tbl_de_massas[id_massa],tbl_de_massas[saldo_conta],"--",0,1)</f>
        <v>10000</v>
      </c>
      <c r="H909" t="str">
        <f>_xlfn.XLOOKUP(TBL_USUARIOS[[#This Row],[ID_MASSA]],tbl_de_massas[id_massa],tbl_de_massas[nome_completo],"--",0,1)</f>
        <v>Juliana Fernandes Freitas</v>
      </c>
    </row>
    <row r="910" spans="1:8" x14ac:dyDescent="0.25">
      <c r="A910" s="2" t="s">
        <v>7121</v>
      </c>
      <c r="B910" t="str">
        <f>_xlfn.XLOOKUP(TBL_USUARIOS[[#This Row],[ID_MASSA]],tbl_de_massas[id_massa],tbl_de_massas[cpf],"--",0,1)</f>
        <v>05823227078</v>
      </c>
      <c r="C910" t="s">
        <v>12</v>
      </c>
      <c r="D910" t="str">
        <f>_xlfn.XLOOKUP(TBL_USUARIOS[[#This Row],[ID_MASSA]],tbl_de_massas[id_massa],tbl_de_massas[nome_completo],"--",0,1)</f>
        <v>Gabriel Monteiro</v>
      </c>
      <c r="E910" t="str">
        <f>_xlfn.XLOOKUP(TBL_USUARIOS[[#This Row],[ID_MASSA]],tbl_de_massas[id_massa],tbl_de_massas[cartao_fisico_numero],"--",0,1)</f>
        <v/>
      </c>
      <c r="F910" t="str">
        <f>_xlfn.XLOOKUP(TBL_USUARIOS[[#This Row],[ID_MASSA]],tbl_de_massas[id_massa],tbl_de_massas[nome_completo],"--",0,1)</f>
        <v>Gabriel Monteiro</v>
      </c>
      <c r="G910" s="47">
        <f>_xlfn.XLOOKUP(TBL_USUARIOS[[#This Row],[ID_MASSA]],tbl_de_massas[id_massa],tbl_de_massas[saldo_conta],"--",0,1)</f>
        <v>10000</v>
      </c>
      <c r="H910" t="str">
        <f>_xlfn.XLOOKUP(TBL_USUARIOS[[#This Row],[ID_MASSA]],tbl_de_massas[id_massa],tbl_de_massas[nome_completo],"--",0,1)</f>
        <v>Gabriel Monteiro</v>
      </c>
    </row>
    <row r="911" spans="1:8" x14ac:dyDescent="0.25">
      <c r="A911" s="2" t="s">
        <v>7125</v>
      </c>
      <c r="B911" t="str">
        <f>_xlfn.XLOOKUP(TBL_USUARIOS[[#This Row],[ID_MASSA]],tbl_de_massas[id_massa],tbl_de_massas[cpf],"--",0,1)</f>
        <v>95301704400</v>
      </c>
      <c r="C911" t="s">
        <v>12</v>
      </c>
      <c r="D911" t="str">
        <f>_xlfn.XLOOKUP(TBL_USUARIOS[[#This Row],[ID_MASSA]],tbl_de_massas[id_massa],tbl_de_massas[nome_completo],"--",0,1)</f>
        <v>Tatiane Barbosa</v>
      </c>
      <c r="E911" t="str">
        <f>_xlfn.XLOOKUP(TBL_USUARIOS[[#This Row],[ID_MASSA]],tbl_de_massas[id_massa],tbl_de_massas[cartao_fisico_numero],"--",0,1)</f>
        <v>3782 469398 1675</v>
      </c>
      <c r="F911" t="str">
        <f>_xlfn.XLOOKUP(TBL_USUARIOS[[#This Row],[ID_MASSA]],tbl_de_massas[id_massa],tbl_de_massas[nome_completo],"--",0,1)</f>
        <v>Tatiane Barbosa</v>
      </c>
      <c r="G911" s="47">
        <f>_xlfn.XLOOKUP(TBL_USUARIOS[[#This Row],[ID_MASSA]],tbl_de_massas[id_massa],tbl_de_massas[saldo_conta],"--",0,1)</f>
        <v>10000</v>
      </c>
      <c r="H911" t="str">
        <f>_xlfn.XLOOKUP(TBL_USUARIOS[[#This Row],[ID_MASSA]],tbl_de_massas[id_massa],tbl_de_massas[nome_completo],"--",0,1)</f>
        <v>Tatiane Barbosa</v>
      </c>
    </row>
    <row r="912" spans="1:8" x14ac:dyDescent="0.25">
      <c r="A912" s="2" t="s">
        <v>7129</v>
      </c>
      <c r="B912" t="str">
        <f>_xlfn.XLOOKUP(TBL_USUARIOS[[#This Row],[ID_MASSA]],tbl_de_massas[id_massa],tbl_de_massas[cpf],"--",0,1)</f>
        <v>31221851217</v>
      </c>
      <c r="C912" t="s">
        <v>12</v>
      </c>
      <c r="D912" t="str">
        <f>_xlfn.XLOOKUP(TBL_USUARIOS[[#This Row],[ID_MASSA]],tbl_de_massas[id_massa],tbl_de_massas[nome_completo],"--",0,1)</f>
        <v>Rafael Santos Lima</v>
      </c>
      <c r="E912" t="str">
        <f>_xlfn.XLOOKUP(TBL_USUARIOS[[#This Row],[ID_MASSA]],tbl_de_massas[id_massa],tbl_de_massas[cartao_fisico_numero],"--",0,1)</f>
        <v>6062 8200 1581 5823</v>
      </c>
      <c r="F912" t="str">
        <f>_xlfn.XLOOKUP(TBL_USUARIOS[[#This Row],[ID_MASSA]],tbl_de_massas[id_massa],tbl_de_massas[nome_completo],"--",0,1)</f>
        <v>Rafael Santos Lima</v>
      </c>
      <c r="G912" s="47">
        <f>_xlfn.XLOOKUP(TBL_USUARIOS[[#This Row],[ID_MASSA]],tbl_de_massas[id_massa],tbl_de_massas[saldo_conta],"--",0,1)</f>
        <v>9787.7000000000007</v>
      </c>
      <c r="H912" t="str">
        <f>_xlfn.XLOOKUP(TBL_USUARIOS[[#This Row],[ID_MASSA]],tbl_de_massas[id_massa],tbl_de_massas[nome_completo],"--",0,1)</f>
        <v>Rafael Santos Lima</v>
      </c>
    </row>
    <row r="913" spans="1:8" x14ac:dyDescent="0.25">
      <c r="A913" s="2" t="s">
        <v>7133</v>
      </c>
      <c r="B913" t="str">
        <f>_xlfn.XLOOKUP(TBL_USUARIOS[[#This Row],[ID_MASSA]],tbl_de_massas[id_massa],tbl_de_massas[cpf],"--",0,1)</f>
        <v>16672446800</v>
      </c>
      <c r="C913" t="s">
        <v>12</v>
      </c>
      <c r="D913" t="str">
        <f>_xlfn.XLOOKUP(TBL_USUARIOS[[#This Row],[ID_MASSA]],tbl_de_massas[id_massa],tbl_de_massas[nome_completo],"--",0,1)</f>
        <v>Camila Monteiro</v>
      </c>
      <c r="E913" t="str">
        <f>_xlfn.XLOOKUP(TBL_USUARIOS[[#This Row],[ID_MASSA]],tbl_de_massas[id_massa],tbl_de_massas[cartao_fisico_numero],"--",0,1)</f>
        <v>5442 7460 9834 0440</v>
      </c>
      <c r="F913" t="str">
        <f>_xlfn.XLOOKUP(TBL_USUARIOS[[#This Row],[ID_MASSA]],tbl_de_massas[id_massa],tbl_de_massas[nome_completo],"--",0,1)</f>
        <v>Camila Monteiro</v>
      </c>
      <c r="G913" s="47">
        <f>_xlfn.XLOOKUP(TBL_USUARIOS[[#This Row],[ID_MASSA]],tbl_de_massas[id_massa],tbl_de_massas[saldo_conta],"--",0,1)</f>
        <v>10000</v>
      </c>
      <c r="H913" t="str">
        <f>_xlfn.XLOOKUP(TBL_USUARIOS[[#This Row],[ID_MASSA]],tbl_de_massas[id_massa],tbl_de_massas[nome_completo],"--",0,1)</f>
        <v>Camila Monteiro</v>
      </c>
    </row>
    <row r="914" spans="1:8" x14ac:dyDescent="0.25">
      <c r="A914" s="2" t="s">
        <v>7140</v>
      </c>
      <c r="B914" t="str">
        <f>_xlfn.XLOOKUP(TBL_USUARIOS[[#This Row],[ID_MASSA]],tbl_de_massas[id_massa],tbl_de_massas[cpf],"--",0,1)</f>
        <v>78600022487</v>
      </c>
      <c r="C914" t="s">
        <v>12</v>
      </c>
      <c r="D914" t="str">
        <f>_xlfn.XLOOKUP(TBL_USUARIOS[[#This Row],[ID_MASSA]],tbl_de_massas[id_massa],tbl_de_massas[nome_completo],"--",0,1)</f>
        <v>Danilo Cavalcanti Borges</v>
      </c>
      <c r="E914" t="str">
        <f>_xlfn.XLOOKUP(TBL_USUARIOS[[#This Row],[ID_MASSA]],tbl_de_massas[id_massa],tbl_de_massas[cartao_fisico_numero],"--",0,1)</f>
        <v>6062 8200 8583 2076</v>
      </c>
      <c r="F914" t="str">
        <f>_xlfn.XLOOKUP(TBL_USUARIOS[[#This Row],[ID_MASSA]],tbl_de_massas[id_massa],tbl_de_massas[nome_completo],"--",0,1)</f>
        <v>Danilo Cavalcanti Borges</v>
      </c>
      <c r="G914" s="47">
        <f>_xlfn.XLOOKUP(TBL_USUARIOS[[#This Row],[ID_MASSA]],tbl_de_massas[id_massa],tbl_de_massas[saldo_conta],"--",0,1)</f>
        <v>10000</v>
      </c>
      <c r="H914" t="str">
        <f>_xlfn.XLOOKUP(TBL_USUARIOS[[#This Row],[ID_MASSA]],tbl_de_massas[id_massa],tbl_de_massas[nome_completo],"--",0,1)</f>
        <v>Danilo Cavalcanti Borges</v>
      </c>
    </row>
    <row r="915" spans="1:8" x14ac:dyDescent="0.25">
      <c r="A915" s="2" t="s">
        <v>7149</v>
      </c>
      <c r="B915" t="str">
        <f>_xlfn.XLOOKUP(TBL_USUARIOS[[#This Row],[ID_MASSA]],tbl_de_massas[id_massa],tbl_de_massas[cpf],"--",0,1)</f>
        <v>95139875071</v>
      </c>
      <c r="C915" t="s">
        <v>12</v>
      </c>
      <c r="D915" t="str">
        <f>_xlfn.XLOOKUP(TBL_USUARIOS[[#This Row],[ID_MASSA]],tbl_de_massas[id_massa],tbl_de_massas[nome_completo],"--",0,1)</f>
        <v>Rafael Cavalcanti Fernandes</v>
      </c>
      <c r="E915" t="str">
        <f>_xlfn.XLOOKUP(TBL_USUARIOS[[#This Row],[ID_MASSA]],tbl_de_massas[id_massa],tbl_de_massas[cartao_fisico_numero],"--",0,1)</f>
        <v>5442 7460 1580 0320</v>
      </c>
      <c r="F915" t="str">
        <f>_xlfn.XLOOKUP(TBL_USUARIOS[[#This Row],[ID_MASSA]],tbl_de_massas[id_massa],tbl_de_massas[nome_completo],"--",0,1)</f>
        <v>Rafael Cavalcanti Fernandes</v>
      </c>
      <c r="G915" s="47">
        <f>_xlfn.XLOOKUP(TBL_USUARIOS[[#This Row],[ID_MASSA]],tbl_de_massas[id_massa],tbl_de_massas[saldo_conta],"--",0,1)</f>
        <v>10000</v>
      </c>
      <c r="H915" t="str">
        <f>_xlfn.XLOOKUP(TBL_USUARIOS[[#This Row],[ID_MASSA]],tbl_de_massas[id_massa],tbl_de_massas[nome_completo],"--",0,1)</f>
        <v>Rafael Cavalcanti Fernandes</v>
      </c>
    </row>
    <row r="916" spans="1:8" x14ac:dyDescent="0.25">
      <c r="A916" s="2" t="s">
        <v>7154</v>
      </c>
      <c r="B916" t="str">
        <f>_xlfn.XLOOKUP(TBL_USUARIOS[[#This Row],[ID_MASSA]],tbl_de_massas[id_massa],tbl_de_massas[cpf],"--",0,1)</f>
        <v>97860040603</v>
      </c>
      <c r="C916" t="s">
        <v>12</v>
      </c>
      <c r="D916" t="str">
        <f>_xlfn.XLOOKUP(TBL_USUARIOS[[#This Row],[ID_MASSA]],tbl_de_massas[id_massa],tbl_de_massas[nome_completo],"--",0,1)</f>
        <v>Bruno Pinto Silva</v>
      </c>
      <c r="E916" t="str">
        <f>_xlfn.XLOOKUP(TBL_USUARIOS[[#This Row],[ID_MASSA]],tbl_de_massas[id_massa],tbl_de_massas[cartao_fisico_numero],"--",0,1)</f>
        <v>5442 7460 6505 1294</v>
      </c>
      <c r="F916" t="str">
        <f>_xlfn.XLOOKUP(TBL_USUARIOS[[#This Row],[ID_MASSA]],tbl_de_massas[id_massa],tbl_de_massas[nome_completo],"--",0,1)</f>
        <v>Bruno Pinto Silva</v>
      </c>
      <c r="G916" s="47">
        <f>_xlfn.XLOOKUP(TBL_USUARIOS[[#This Row],[ID_MASSA]],tbl_de_massas[id_massa],tbl_de_massas[saldo_conta],"--",0,1)</f>
        <v>9970.1299999999992</v>
      </c>
      <c r="H916" t="str">
        <f>_xlfn.XLOOKUP(TBL_USUARIOS[[#This Row],[ID_MASSA]],tbl_de_massas[id_massa],tbl_de_massas[nome_completo],"--",0,1)</f>
        <v>Bruno Pinto Silva</v>
      </c>
    </row>
    <row r="917" spans="1:8" x14ac:dyDescent="0.25">
      <c r="A917" s="2" t="s">
        <v>7163</v>
      </c>
      <c r="B917" t="str">
        <f>_xlfn.XLOOKUP(TBL_USUARIOS[[#This Row],[ID_MASSA]],tbl_de_massas[id_massa],tbl_de_massas[cpf],"--",0,1)</f>
        <v>77111648900</v>
      </c>
      <c r="C917" t="s">
        <v>12</v>
      </c>
      <c r="D917" t="str">
        <f>_xlfn.XLOOKUP(TBL_USUARIOS[[#This Row],[ID_MASSA]],tbl_de_massas[id_massa],tbl_de_massas[nome_completo],"--",0,1)</f>
        <v>Jessica Silva Carvalho</v>
      </c>
      <c r="E917" t="str">
        <f>_xlfn.XLOOKUP(TBL_USUARIOS[[#This Row],[ID_MASSA]],tbl_de_massas[id_massa],tbl_de_massas[cartao_fisico_numero],"--",0,1)</f>
        <v/>
      </c>
      <c r="F917" t="str">
        <f>_xlfn.XLOOKUP(TBL_USUARIOS[[#This Row],[ID_MASSA]],tbl_de_massas[id_massa],tbl_de_massas[nome_completo],"--",0,1)</f>
        <v>Jessica Silva Carvalho</v>
      </c>
      <c r="G917" s="47">
        <f>_xlfn.XLOOKUP(TBL_USUARIOS[[#This Row],[ID_MASSA]],tbl_de_massas[id_massa],tbl_de_massas[saldo_conta],"--",0,1)</f>
        <v>10000</v>
      </c>
      <c r="H917" t="str">
        <f>_xlfn.XLOOKUP(TBL_USUARIOS[[#This Row],[ID_MASSA]],tbl_de_massas[id_massa],tbl_de_massas[nome_completo],"--",0,1)</f>
        <v>Jessica Silva Carvalho</v>
      </c>
    </row>
    <row r="918" spans="1:8" x14ac:dyDescent="0.25">
      <c r="A918" s="2" t="s">
        <v>7167</v>
      </c>
      <c r="B918" t="str">
        <f>_xlfn.XLOOKUP(TBL_USUARIOS[[#This Row],[ID_MASSA]],tbl_de_massas[id_massa],tbl_de_massas[cpf],"--",0,1)</f>
        <v>75631033925</v>
      </c>
      <c r="C918" t="s">
        <v>12</v>
      </c>
      <c r="D918" t="str">
        <f>_xlfn.XLOOKUP(TBL_USUARIOS[[#This Row],[ID_MASSA]],tbl_de_massas[id_massa],tbl_de_massas[nome_completo],"--",0,1)</f>
        <v>Marcelo Souza Moreira</v>
      </c>
      <c r="E918" t="str">
        <f>_xlfn.XLOOKUP(TBL_USUARIOS[[#This Row],[ID_MASSA]],tbl_de_massas[id_massa],tbl_de_massas[cartao_fisico_numero],"--",0,1)</f>
        <v>3782 485630 5852</v>
      </c>
      <c r="F918" t="str">
        <f>_xlfn.XLOOKUP(TBL_USUARIOS[[#This Row],[ID_MASSA]],tbl_de_massas[id_massa],tbl_de_massas[nome_completo],"--",0,1)</f>
        <v>Marcelo Souza Moreira</v>
      </c>
      <c r="G918" s="47">
        <f>_xlfn.XLOOKUP(TBL_USUARIOS[[#This Row],[ID_MASSA]],tbl_de_massas[id_massa],tbl_de_massas[saldo_conta],"--",0,1)</f>
        <v>10000</v>
      </c>
      <c r="H918" t="str">
        <f>_xlfn.XLOOKUP(TBL_USUARIOS[[#This Row],[ID_MASSA]],tbl_de_massas[id_massa],tbl_de_massas[nome_completo],"--",0,1)</f>
        <v>Marcelo Souza Moreira</v>
      </c>
    </row>
    <row r="919" spans="1:8" x14ac:dyDescent="0.25">
      <c r="A919" s="2" t="s">
        <v>7171</v>
      </c>
      <c r="B919" t="str">
        <f>_xlfn.XLOOKUP(TBL_USUARIOS[[#This Row],[ID_MASSA]],tbl_de_massas[id_massa],tbl_de_massas[cpf],"--",0,1)</f>
        <v>69092128864</v>
      </c>
      <c r="C919" t="s">
        <v>12</v>
      </c>
      <c r="D919" t="str">
        <f>_xlfn.XLOOKUP(TBL_USUARIOS[[#This Row],[ID_MASSA]],tbl_de_massas[id_massa],tbl_de_massas[nome_completo],"--",0,1)</f>
        <v>Vivian Moura Dias</v>
      </c>
      <c r="E919" t="str">
        <f>_xlfn.XLOOKUP(TBL_USUARIOS[[#This Row],[ID_MASSA]],tbl_de_massas[id_massa],tbl_de_massas[cartao_fisico_numero],"--",0,1)</f>
        <v>6062 8200 3331 5870</v>
      </c>
      <c r="F919" t="str">
        <f>_xlfn.XLOOKUP(TBL_USUARIOS[[#This Row],[ID_MASSA]],tbl_de_massas[id_massa],tbl_de_massas[nome_completo],"--",0,1)</f>
        <v>Vivian Moura Dias</v>
      </c>
      <c r="G919" s="47">
        <f>_xlfn.XLOOKUP(TBL_USUARIOS[[#This Row],[ID_MASSA]],tbl_de_massas[id_massa],tbl_de_massas[saldo_conta],"--",0,1)</f>
        <v>10000</v>
      </c>
      <c r="H919" t="str">
        <f>_xlfn.XLOOKUP(TBL_USUARIOS[[#This Row],[ID_MASSA]],tbl_de_massas[id_massa],tbl_de_massas[nome_completo],"--",0,1)</f>
        <v>Vivian Moura Dias</v>
      </c>
    </row>
    <row r="920" spans="1:8" x14ac:dyDescent="0.25">
      <c r="A920" s="2" t="s">
        <v>7176</v>
      </c>
      <c r="B920" t="str">
        <f>_xlfn.XLOOKUP(TBL_USUARIOS[[#This Row],[ID_MASSA]],tbl_de_massas[id_massa],tbl_de_massas[cpf],"--",0,1)</f>
        <v>14475637600</v>
      </c>
      <c r="C920" t="s">
        <v>12</v>
      </c>
      <c r="D920" t="str">
        <f>_xlfn.XLOOKUP(TBL_USUARIOS[[#This Row],[ID_MASSA]],tbl_de_massas[id_massa],tbl_de_massas[nome_completo],"--",0,1)</f>
        <v>Ren Yamada</v>
      </c>
      <c r="E920" t="str">
        <f>_xlfn.XLOOKUP(TBL_USUARIOS[[#This Row],[ID_MASSA]],tbl_de_massas[id_massa],tbl_de_massas[cartao_fisico_numero],"--",0,1)</f>
        <v>5442 7460 7521 7899</v>
      </c>
      <c r="F920" t="str">
        <f>_xlfn.XLOOKUP(TBL_USUARIOS[[#This Row],[ID_MASSA]],tbl_de_massas[id_massa],tbl_de_massas[nome_completo],"--",0,1)</f>
        <v>Ren Yamada</v>
      </c>
      <c r="G920" s="47">
        <f>_xlfn.XLOOKUP(TBL_USUARIOS[[#This Row],[ID_MASSA]],tbl_de_massas[id_massa],tbl_de_massas[saldo_conta],"--",0,1)</f>
        <v>10000</v>
      </c>
      <c r="H920" t="str">
        <f>_xlfn.XLOOKUP(TBL_USUARIOS[[#This Row],[ID_MASSA]],tbl_de_massas[id_massa],tbl_de_massas[nome_completo],"--",0,1)</f>
        <v>Ren Yamada</v>
      </c>
    </row>
    <row r="921" spans="1:8" x14ac:dyDescent="0.25">
      <c r="A921" s="2" t="s">
        <v>7181</v>
      </c>
      <c r="B921" t="str">
        <f>_xlfn.XLOOKUP(TBL_USUARIOS[[#This Row],[ID_MASSA]],tbl_de_massas[id_massa],tbl_de_massas[cpf],"--",0,1)</f>
        <v>78906497709</v>
      </c>
      <c r="C921" t="s">
        <v>12</v>
      </c>
      <c r="D921" t="str">
        <f>_xlfn.XLOOKUP(TBL_USUARIOS[[#This Row],[ID_MASSA]],tbl_de_massas[id_massa],tbl_de_massas[nome_completo],"--",0,1)</f>
        <v>Sota Kimura</v>
      </c>
      <c r="E921" t="str">
        <f>_xlfn.XLOOKUP(TBL_USUARIOS[[#This Row],[ID_MASSA]],tbl_de_massas[id_massa],tbl_de_massas[cartao_fisico_numero],"--",0,1)</f>
        <v>3782 253127 0149</v>
      </c>
      <c r="F921" t="str">
        <f>_xlfn.XLOOKUP(TBL_USUARIOS[[#This Row],[ID_MASSA]],tbl_de_massas[id_massa],tbl_de_massas[nome_completo],"--",0,1)</f>
        <v>Sota Kimura</v>
      </c>
      <c r="G921" s="47">
        <f>_xlfn.XLOOKUP(TBL_USUARIOS[[#This Row],[ID_MASSA]],tbl_de_massas[id_massa],tbl_de_massas[saldo_conta],"--",0,1)</f>
        <v>10000</v>
      </c>
      <c r="H921" t="str">
        <f>_xlfn.XLOOKUP(TBL_USUARIOS[[#This Row],[ID_MASSA]],tbl_de_massas[id_massa],tbl_de_massas[nome_completo],"--",0,1)</f>
        <v>Sota Kimura</v>
      </c>
    </row>
    <row r="922" spans="1:8" x14ac:dyDescent="0.25">
      <c r="A922" s="2" t="s">
        <v>7185</v>
      </c>
      <c r="B922" t="str">
        <f>_xlfn.XLOOKUP(TBL_USUARIOS[[#This Row],[ID_MASSA]],tbl_de_massas[id_massa],tbl_de_massas[cpf],"--",0,1)</f>
        <v>99150375970</v>
      </c>
      <c r="C922" t="s">
        <v>12</v>
      </c>
      <c r="D922" t="str">
        <f>_xlfn.XLOOKUP(TBL_USUARIOS[[#This Row],[ID_MASSA]],tbl_de_massas[id_massa],tbl_de_massas[nome_completo],"--",0,1)</f>
        <v>Aoi Kato Matsumoto</v>
      </c>
      <c r="E922" t="str">
        <f>_xlfn.XLOOKUP(TBL_USUARIOS[[#This Row],[ID_MASSA]],tbl_de_massas[id_massa],tbl_de_massas[cartao_fisico_numero],"--",0,1)</f>
        <v/>
      </c>
      <c r="F922" t="str">
        <f>_xlfn.XLOOKUP(TBL_USUARIOS[[#This Row],[ID_MASSA]],tbl_de_massas[id_massa],tbl_de_massas[nome_completo],"--",0,1)</f>
        <v>Aoi Kato Matsumoto</v>
      </c>
      <c r="G922" s="47">
        <f>_xlfn.XLOOKUP(TBL_USUARIOS[[#This Row],[ID_MASSA]],tbl_de_massas[id_massa],tbl_de_massas[saldo_conta],"--",0,1)</f>
        <v>10000</v>
      </c>
      <c r="H922" t="str">
        <f>_xlfn.XLOOKUP(TBL_USUARIOS[[#This Row],[ID_MASSA]],tbl_de_massas[id_massa],tbl_de_massas[nome_completo],"--",0,1)</f>
        <v>Aoi Kato Matsumoto</v>
      </c>
    </row>
    <row r="923" spans="1:8" x14ac:dyDescent="0.25">
      <c r="A923" s="2" t="s">
        <v>7189</v>
      </c>
      <c r="B923" t="str">
        <f>_xlfn.XLOOKUP(TBL_USUARIOS[[#This Row],[ID_MASSA]],tbl_de_massas[id_massa],tbl_de_massas[cpf],"--",0,1)</f>
        <v>33556569922</v>
      </c>
      <c r="C923" t="s">
        <v>12</v>
      </c>
      <c r="D923" t="str">
        <f>_xlfn.XLOOKUP(TBL_USUARIOS[[#This Row],[ID_MASSA]],tbl_de_massas[id_massa],tbl_de_massas[nome_completo],"--",0,1)</f>
        <v>Hina Yamada</v>
      </c>
      <c r="E923" t="str">
        <f>_xlfn.XLOOKUP(TBL_USUARIOS[[#This Row],[ID_MASSA]],tbl_de_massas[id_massa],tbl_de_massas[cartao_fisico_numero],"--",0,1)</f>
        <v>4576 7460 5342 2305</v>
      </c>
      <c r="F923" t="str">
        <f>_xlfn.XLOOKUP(TBL_USUARIOS[[#This Row],[ID_MASSA]],tbl_de_massas[id_massa],tbl_de_massas[nome_completo],"--",0,1)</f>
        <v>Hina Yamada</v>
      </c>
      <c r="G923" s="47">
        <f>_xlfn.XLOOKUP(TBL_USUARIOS[[#This Row],[ID_MASSA]],tbl_de_massas[id_massa],tbl_de_massas[saldo_conta],"--",0,1)</f>
        <v>10000</v>
      </c>
      <c r="H923" t="str">
        <f>_xlfn.XLOOKUP(TBL_USUARIOS[[#This Row],[ID_MASSA]],tbl_de_massas[id_massa],tbl_de_massas[nome_completo],"--",0,1)</f>
        <v>Hina Yamada</v>
      </c>
    </row>
    <row r="924" spans="1:8" x14ac:dyDescent="0.25">
      <c r="A924" s="2" t="s">
        <v>7194</v>
      </c>
      <c r="B924" t="str">
        <f>_xlfn.XLOOKUP(TBL_USUARIOS[[#This Row],[ID_MASSA]],tbl_de_massas[id_massa],tbl_de_massas[cpf],"--",0,1)</f>
        <v>00535826320</v>
      </c>
      <c r="C924" t="s">
        <v>12</v>
      </c>
      <c r="D924" t="str">
        <f>_xlfn.XLOOKUP(TBL_USUARIOS[[#This Row],[ID_MASSA]],tbl_de_massas[id_massa],tbl_de_massas[nome_completo],"--",0,1)</f>
        <v>Sakura Shimizu</v>
      </c>
      <c r="E924" t="str">
        <f>_xlfn.XLOOKUP(TBL_USUARIOS[[#This Row],[ID_MASSA]],tbl_de_massas[id_massa],tbl_de_massas[cartao_fisico_numero],"--",0,1)</f>
        <v>6062 8200 2696 2118</v>
      </c>
      <c r="F924" t="str">
        <f>_xlfn.XLOOKUP(TBL_USUARIOS[[#This Row],[ID_MASSA]],tbl_de_massas[id_massa],tbl_de_massas[nome_completo],"--",0,1)</f>
        <v>Sakura Shimizu</v>
      </c>
      <c r="G924" s="47">
        <f>_xlfn.XLOOKUP(TBL_USUARIOS[[#This Row],[ID_MASSA]],tbl_de_massas[id_massa],tbl_de_massas[saldo_conta],"--",0,1)</f>
        <v>10000</v>
      </c>
      <c r="H924" t="str">
        <f>_xlfn.XLOOKUP(TBL_USUARIOS[[#This Row],[ID_MASSA]],tbl_de_massas[id_massa],tbl_de_massas[nome_completo],"--",0,1)</f>
        <v>Sakura Shimizu</v>
      </c>
    </row>
    <row r="925" spans="1:8" x14ac:dyDescent="0.25">
      <c r="A925" s="2" t="s">
        <v>7198</v>
      </c>
      <c r="B925" t="str">
        <f>_xlfn.XLOOKUP(TBL_USUARIOS[[#This Row],[ID_MASSA]],tbl_de_massas[id_massa],tbl_de_massas[cpf],"--",0,1)</f>
        <v>83247222383</v>
      </c>
      <c r="C925" t="s">
        <v>12</v>
      </c>
      <c r="D925" t="str">
        <f>_xlfn.XLOOKUP(TBL_USUARIOS[[#This Row],[ID_MASSA]],tbl_de_massas[id_massa],tbl_de_massas[nome_completo],"--",0,1)</f>
        <v>Rio Yamamoto</v>
      </c>
      <c r="E925" t="str">
        <f>_xlfn.XLOOKUP(TBL_USUARIOS[[#This Row],[ID_MASSA]],tbl_de_massas[id_massa],tbl_de_massas[cartao_fisico_numero],"--",0,1)</f>
        <v>6505 0666 5188 9314</v>
      </c>
      <c r="F925" t="str">
        <f>_xlfn.XLOOKUP(TBL_USUARIOS[[#This Row],[ID_MASSA]],tbl_de_massas[id_massa],tbl_de_massas[nome_completo],"--",0,1)</f>
        <v>Rio Yamamoto</v>
      </c>
      <c r="G925" s="47">
        <f>_xlfn.XLOOKUP(TBL_USUARIOS[[#This Row],[ID_MASSA]],tbl_de_massas[id_massa],tbl_de_massas[saldo_conta],"--",0,1)</f>
        <v>10000</v>
      </c>
      <c r="H925" t="str">
        <f>_xlfn.XLOOKUP(TBL_USUARIOS[[#This Row],[ID_MASSA]],tbl_de_massas[id_massa],tbl_de_massas[nome_completo],"--",0,1)</f>
        <v>Rio Yamamoto</v>
      </c>
    </row>
    <row r="926" spans="1:8" x14ac:dyDescent="0.25">
      <c r="A926" s="2" t="s">
        <v>7202</v>
      </c>
      <c r="B926" t="str">
        <f>_xlfn.XLOOKUP(TBL_USUARIOS[[#This Row],[ID_MASSA]],tbl_de_massas[id_massa],tbl_de_massas[cpf],"--",0,1)</f>
        <v>28315538730</v>
      </c>
      <c r="C926" t="s">
        <v>12</v>
      </c>
      <c r="D926" t="str">
        <f>_xlfn.XLOOKUP(TBL_USUARIOS[[#This Row],[ID_MASSA]],tbl_de_massas[id_massa],tbl_de_massas[nome_completo],"--",0,1)</f>
        <v>Nana Kato</v>
      </c>
      <c r="E926" t="str">
        <f>_xlfn.XLOOKUP(TBL_USUARIOS[[#This Row],[ID_MASSA]],tbl_de_massas[id_massa],tbl_de_massas[cartao_fisico_numero],"--",0,1)</f>
        <v/>
      </c>
      <c r="F926" t="str">
        <f>_xlfn.XLOOKUP(TBL_USUARIOS[[#This Row],[ID_MASSA]],tbl_de_massas[id_massa],tbl_de_massas[nome_completo],"--",0,1)</f>
        <v>Nana Kato</v>
      </c>
      <c r="G926" s="47">
        <f>_xlfn.XLOOKUP(TBL_USUARIOS[[#This Row],[ID_MASSA]],tbl_de_massas[id_massa],tbl_de_massas[saldo_conta],"--",0,1)</f>
        <v>10000</v>
      </c>
      <c r="H926" t="str">
        <f>_xlfn.XLOOKUP(TBL_USUARIOS[[#This Row],[ID_MASSA]],tbl_de_massas[id_massa],tbl_de_massas[nome_completo],"--",0,1)</f>
        <v>Nana Kato</v>
      </c>
    </row>
    <row r="927" spans="1:8" x14ac:dyDescent="0.25">
      <c r="A927" s="2" t="s">
        <v>7206</v>
      </c>
      <c r="B927" t="str">
        <f>_xlfn.XLOOKUP(TBL_USUARIOS[[#This Row],[ID_MASSA]],tbl_de_massas[id_massa],tbl_de_massas[cpf],"--",0,1)</f>
        <v>11674112939</v>
      </c>
      <c r="C927" t="s">
        <v>12</v>
      </c>
      <c r="D927" t="str">
        <f>_xlfn.XLOOKUP(TBL_USUARIOS[[#This Row],[ID_MASSA]],tbl_de_massas[id_massa],tbl_de_massas[nome_completo],"--",0,1)</f>
        <v>Yui Kobayashi</v>
      </c>
      <c r="E927" t="str">
        <f>_xlfn.XLOOKUP(TBL_USUARIOS[[#This Row],[ID_MASSA]],tbl_de_massas[id_massa],tbl_de_massas[cartao_fisico_numero],"--",0,1)</f>
        <v>6062 8200 9817 2977</v>
      </c>
      <c r="F927" t="str">
        <f>_xlfn.XLOOKUP(TBL_USUARIOS[[#This Row],[ID_MASSA]],tbl_de_massas[id_massa],tbl_de_massas[nome_completo],"--",0,1)</f>
        <v>Yui Kobayashi</v>
      </c>
      <c r="G927" s="47">
        <f>_xlfn.XLOOKUP(TBL_USUARIOS[[#This Row],[ID_MASSA]],tbl_de_massas[id_massa],tbl_de_massas[saldo_conta],"--",0,1)</f>
        <v>10000</v>
      </c>
      <c r="H927" t="str">
        <f>_xlfn.XLOOKUP(TBL_USUARIOS[[#This Row],[ID_MASSA]],tbl_de_massas[id_massa],tbl_de_massas[nome_completo],"--",0,1)</f>
        <v>Yui Kobayashi</v>
      </c>
    </row>
    <row r="928" spans="1:8" x14ac:dyDescent="0.25">
      <c r="A928" s="2" t="s">
        <v>7210</v>
      </c>
      <c r="B928" t="str">
        <f>_xlfn.XLOOKUP(TBL_USUARIOS[[#This Row],[ID_MASSA]],tbl_de_massas[id_massa],tbl_de_massas[cpf],"--",0,1)</f>
        <v>93224731931</v>
      </c>
      <c r="C928" t="s">
        <v>12</v>
      </c>
      <c r="D928" t="str">
        <f>_xlfn.XLOOKUP(TBL_USUARIOS[[#This Row],[ID_MASSA]],tbl_de_massas[id_massa],tbl_de_massas[nome_completo],"--",0,1)</f>
        <v>Ren Kato</v>
      </c>
      <c r="E928" t="str">
        <f>_xlfn.XLOOKUP(TBL_USUARIOS[[#This Row],[ID_MASSA]],tbl_de_massas[id_massa],tbl_de_massas[cartao_fisico_numero],"--",0,1)</f>
        <v>3782 936362 6915</v>
      </c>
      <c r="F928" t="str">
        <f>_xlfn.XLOOKUP(TBL_USUARIOS[[#This Row],[ID_MASSA]],tbl_de_massas[id_massa],tbl_de_massas[nome_completo],"--",0,1)</f>
        <v>Ren Kato</v>
      </c>
      <c r="G928" s="47">
        <f>_xlfn.XLOOKUP(TBL_USUARIOS[[#This Row],[ID_MASSA]],tbl_de_massas[id_massa],tbl_de_massas[saldo_conta],"--",0,1)</f>
        <v>10000</v>
      </c>
      <c r="H928" t="str">
        <f>_xlfn.XLOOKUP(TBL_USUARIOS[[#This Row],[ID_MASSA]],tbl_de_massas[id_massa],tbl_de_massas[nome_completo],"--",0,1)</f>
        <v>Ren Kato</v>
      </c>
    </row>
    <row r="929" spans="1:8" x14ac:dyDescent="0.25">
      <c r="A929" s="2" t="s">
        <v>7215</v>
      </c>
      <c r="B929" t="str">
        <f>_xlfn.XLOOKUP(TBL_USUARIOS[[#This Row],[ID_MASSA]],tbl_de_massas[id_massa],tbl_de_massas[cpf],"--",0,1)</f>
        <v>27465813964</v>
      </c>
      <c r="C929" t="s">
        <v>12</v>
      </c>
      <c r="D929" t="str">
        <f>_xlfn.XLOOKUP(TBL_USUARIOS[[#This Row],[ID_MASSA]],tbl_de_massas[id_massa],tbl_de_massas[nome_completo],"--",0,1)</f>
        <v>Aoi Yamazaki</v>
      </c>
      <c r="E929" t="str">
        <f>_xlfn.XLOOKUP(TBL_USUARIOS[[#This Row],[ID_MASSA]],tbl_de_massas[id_massa],tbl_de_massas[cartao_fisico_numero],"--",0,1)</f>
        <v/>
      </c>
      <c r="F929" t="str">
        <f>_xlfn.XLOOKUP(TBL_USUARIOS[[#This Row],[ID_MASSA]],tbl_de_massas[id_massa],tbl_de_massas[nome_completo],"--",0,1)</f>
        <v>Aoi Yamazaki</v>
      </c>
      <c r="G929" s="47">
        <f>_xlfn.XLOOKUP(TBL_USUARIOS[[#This Row],[ID_MASSA]],tbl_de_massas[id_massa],tbl_de_massas[saldo_conta],"--",0,1)</f>
        <v>10000</v>
      </c>
      <c r="H929" t="str">
        <f>_xlfn.XLOOKUP(TBL_USUARIOS[[#This Row],[ID_MASSA]],tbl_de_massas[id_massa],tbl_de_massas[nome_completo],"--",0,1)</f>
        <v>Aoi Yamazaki</v>
      </c>
    </row>
    <row r="930" spans="1:8" x14ac:dyDescent="0.25">
      <c r="A930" s="2" t="s">
        <v>7219</v>
      </c>
      <c r="B930" t="str">
        <f>_xlfn.XLOOKUP(TBL_USUARIOS[[#This Row],[ID_MASSA]],tbl_de_massas[id_massa],tbl_de_massas[cpf],"--",0,1)</f>
        <v>38931669801</v>
      </c>
      <c r="C930" t="s">
        <v>12</v>
      </c>
      <c r="D930" t="str">
        <f>_xlfn.XLOOKUP(TBL_USUARIOS[[#This Row],[ID_MASSA]],tbl_de_massas[id_massa],tbl_de_massas[nome_completo],"--",0,1)</f>
        <v>Ren Watanabe Saito</v>
      </c>
      <c r="E930" t="str">
        <f>_xlfn.XLOOKUP(TBL_USUARIOS[[#This Row],[ID_MASSA]],tbl_de_massas[id_massa],tbl_de_massas[cartao_fisico_numero],"--",0,1)</f>
        <v>3782 632423 3099</v>
      </c>
      <c r="F930" t="str">
        <f>_xlfn.XLOOKUP(TBL_USUARIOS[[#This Row],[ID_MASSA]],tbl_de_massas[id_massa],tbl_de_massas[nome_completo],"--",0,1)</f>
        <v>Ren Watanabe Saito</v>
      </c>
      <c r="G930" s="47">
        <f>_xlfn.XLOOKUP(TBL_USUARIOS[[#This Row],[ID_MASSA]],tbl_de_massas[id_massa],tbl_de_massas[saldo_conta],"--",0,1)</f>
        <v>10000</v>
      </c>
      <c r="H930" t="str">
        <f>_xlfn.XLOOKUP(TBL_USUARIOS[[#This Row],[ID_MASSA]],tbl_de_massas[id_massa],tbl_de_massas[nome_completo],"--",0,1)</f>
        <v>Ren Watanabe Saito</v>
      </c>
    </row>
    <row r="931" spans="1:8" x14ac:dyDescent="0.25">
      <c r="A931" s="2" t="s">
        <v>7223</v>
      </c>
      <c r="B931" t="str">
        <f>_xlfn.XLOOKUP(TBL_USUARIOS[[#This Row],[ID_MASSA]],tbl_de_massas[id_massa],tbl_de_massas[cpf],"--",0,1)</f>
        <v>44016225701</v>
      </c>
      <c r="C931" t="s">
        <v>12</v>
      </c>
      <c r="D931" t="str">
        <f>_xlfn.XLOOKUP(TBL_USUARIOS[[#This Row],[ID_MASSA]],tbl_de_massas[id_massa],tbl_de_massas[nome_completo],"--",0,1)</f>
        <v>Kaito Yamazaki</v>
      </c>
      <c r="E931" t="str">
        <f>_xlfn.XLOOKUP(TBL_USUARIOS[[#This Row],[ID_MASSA]],tbl_de_massas[id_massa],tbl_de_massas[cartao_fisico_numero],"--",0,1)</f>
        <v>6505 0666 9282 9022</v>
      </c>
      <c r="F931" t="str">
        <f>_xlfn.XLOOKUP(TBL_USUARIOS[[#This Row],[ID_MASSA]],tbl_de_massas[id_massa],tbl_de_massas[nome_completo],"--",0,1)</f>
        <v>Kaito Yamazaki</v>
      </c>
      <c r="G931" s="47">
        <f>_xlfn.XLOOKUP(TBL_USUARIOS[[#This Row],[ID_MASSA]],tbl_de_massas[id_massa],tbl_de_massas[saldo_conta],"--",0,1)</f>
        <v>10000</v>
      </c>
      <c r="H931" t="str">
        <f>_xlfn.XLOOKUP(TBL_USUARIOS[[#This Row],[ID_MASSA]],tbl_de_massas[id_massa],tbl_de_massas[nome_completo],"--",0,1)</f>
        <v>Kaito Yamazaki</v>
      </c>
    </row>
    <row r="932" spans="1:8" x14ac:dyDescent="0.25">
      <c r="A932" s="2" t="s">
        <v>7228</v>
      </c>
      <c r="B932" t="str">
        <f>_xlfn.XLOOKUP(TBL_USUARIOS[[#This Row],[ID_MASSA]],tbl_de_massas[id_massa],tbl_de_massas[cpf],"--",0,1)</f>
        <v>37489248108</v>
      </c>
      <c r="C932" t="s">
        <v>12</v>
      </c>
      <c r="D932" t="str">
        <f>_xlfn.XLOOKUP(TBL_USUARIOS[[#This Row],[ID_MASSA]],tbl_de_massas[id_massa],tbl_de_massas[nome_completo],"--",0,1)</f>
        <v>Ren Yoshida</v>
      </c>
      <c r="E932" t="str">
        <f>_xlfn.XLOOKUP(TBL_USUARIOS[[#This Row],[ID_MASSA]],tbl_de_massas[id_massa],tbl_de_massas[cartao_fisico_numero],"--",0,1)</f>
        <v/>
      </c>
      <c r="F932" t="str">
        <f>_xlfn.XLOOKUP(TBL_USUARIOS[[#This Row],[ID_MASSA]],tbl_de_massas[id_massa],tbl_de_massas[nome_completo],"--",0,1)</f>
        <v>Ren Yoshida</v>
      </c>
      <c r="G932" s="47">
        <f>_xlfn.XLOOKUP(TBL_USUARIOS[[#This Row],[ID_MASSA]],tbl_de_massas[id_massa],tbl_de_massas[saldo_conta],"--",0,1)</f>
        <v>10000</v>
      </c>
      <c r="H932" t="str">
        <f>_xlfn.XLOOKUP(TBL_USUARIOS[[#This Row],[ID_MASSA]],tbl_de_massas[id_massa],tbl_de_massas[nome_completo],"--",0,1)</f>
        <v>Ren Yoshida</v>
      </c>
    </row>
    <row r="933" spans="1:8" x14ac:dyDescent="0.25">
      <c r="A933" s="2" t="s">
        <v>7232</v>
      </c>
      <c r="B933" t="str">
        <f>_xlfn.XLOOKUP(TBL_USUARIOS[[#This Row],[ID_MASSA]],tbl_de_massas[id_massa],tbl_de_massas[cpf],"--",0,1)</f>
        <v>10551804513</v>
      </c>
      <c r="C933" t="s">
        <v>12</v>
      </c>
      <c r="D933" t="str">
        <f>_xlfn.XLOOKUP(TBL_USUARIOS[[#This Row],[ID_MASSA]],tbl_de_massas[id_massa],tbl_de_massas[nome_completo],"--",0,1)</f>
        <v>Akari Kobayashi</v>
      </c>
      <c r="E933" t="str">
        <f>_xlfn.XLOOKUP(TBL_USUARIOS[[#This Row],[ID_MASSA]],tbl_de_massas[id_massa],tbl_de_massas[cartao_fisico_numero],"--",0,1)</f>
        <v>5442 7460 1835 8850</v>
      </c>
      <c r="F933" t="str">
        <f>_xlfn.XLOOKUP(TBL_USUARIOS[[#This Row],[ID_MASSA]],tbl_de_massas[id_massa],tbl_de_massas[nome_completo],"--",0,1)</f>
        <v>Akari Kobayashi</v>
      </c>
      <c r="G933" s="47">
        <f>_xlfn.XLOOKUP(TBL_USUARIOS[[#This Row],[ID_MASSA]],tbl_de_massas[id_massa],tbl_de_massas[saldo_conta],"--",0,1)</f>
        <v>10000</v>
      </c>
      <c r="H933" t="str">
        <f>_xlfn.XLOOKUP(TBL_USUARIOS[[#This Row],[ID_MASSA]],tbl_de_massas[id_massa],tbl_de_massas[nome_completo],"--",0,1)</f>
        <v>Akari Kobayashi</v>
      </c>
    </row>
    <row r="934" spans="1:8" x14ac:dyDescent="0.25">
      <c r="A934" s="2" t="s">
        <v>7236</v>
      </c>
      <c r="B934" t="str">
        <f>_xlfn.XLOOKUP(TBL_USUARIOS[[#This Row],[ID_MASSA]],tbl_de_massas[id_massa],tbl_de_massas[cpf],"--",0,1)</f>
        <v>38989339030</v>
      </c>
      <c r="C934" t="s">
        <v>12</v>
      </c>
      <c r="D934" t="str">
        <f>_xlfn.XLOOKUP(TBL_USUARIOS[[#This Row],[ID_MASSA]],tbl_de_massas[id_massa],tbl_de_massas[nome_completo],"--",0,1)</f>
        <v>Hanako Yoshida</v>
      </c>
      <c r="E934" t="str">
        <f>_xlfn.XLOOKUP(TBL_USUARIOS[[#This Row],[ID_MASSA]],tbl_de_massas[id_massa],tbl_de_massas[cartao_fisico_numero],"--",0,1)</f>
        <v/>
      </c>
      <c r="F934" t="str">
        <f>_xlfn.XLOOKUP(TBL_USUARIOS[[#This Row],[ID_MASSA]],tbl_de_massas[id_massa],tbl_de_massas[nome_completo],"--",0,1)</f>
        <v>Hanako Yoshida</v>
      </c>
      <c r="G934" s="47">
        <f>_xlfn.XLOOKUP(TBL_USUARIOS[[#This Row],[ID_MASSA]],tbl_de_massas[id_massa],tbl_de_massas[saldo_conta],"--",0,1)</f>
        <v>10000</v>
      </c>
      <c r="H934" t="str">
        <f>_xlfn.XLOOKUP(TBL_USUARIOS[[#This Row],[ID_MASSA]],tbl_de_massas[id_massa],tbl_de_massas[nome_completo],"--",0,1)</f>
        <v>Hanako Yoshida</v>
      </c>
    </row>
    <row r="935" spans="1:8" x14ac:dyDescent="0.25">
      <c r="A935" s="2" t="s">
        <v>7240</v>
      </c>
      <c r="B935" t="str">
        <f>_xlfn.XLOOKUP(TBL_USUARIOS[[#This Row],[ID_MASSA]],tbl_de_massas[id_massa],tbl_de_massas[cpf],"--",0,1)</f>
        <v>58711445513</v>
      </c>
      <c r="C935" t="s">
        <v>12</v>
      </c>
      <c r="D935" t="str">
        <f>_xlfn.XLOOKUP(TBL_USUARIOS[[#This Row],[ID_MASSA]],tbl_de_massas[id_massa],tbl_de_massas[nome_completo],"--",0,1)</f>
        <v>Taro Hayashi Yamada</v>
      </c>
      <c r="E935" t="str">
        <f>_xlfn.XLOOKUP(TBL_USUARIOS[[#This Row],[ID_MASSA]],tbl_de_massas[id_massa],tbl_de_massas[cartao_fisico_numero],"--",0,1)</f>
        <v/>
      </c>
      <c r="F935" t="str">
        <f>_xlfn.XLOOKUP(TBL_USUARIOS[[#This Row],[ID_MASSA]],tbl_de_massas[id_massa],tbl_de_massas[nome_completo],"--",0,1)</f>
        <v>Taro Hayashi Yamada</v>
      </c>
      <c r="G935" s="47">
        <f>_xlfn.XLOOKUP(TBL_USUARIOS[[#This Row],[ID_MASSA]],tbl_de_massas[id_massa],tbl_de_massas[saldo_conta],"--",0,1)</f>
        <v>10000</v>
      </c>
      <c r="H935" t="str">
        <f>_xlfn.XLOOKUP(TBL_USUARIOS[[#This Row],[ID_MASSA]],tbl_de_massas[id_massa],tbl_de_massas[nome_completo],"--",0,1)</f>
        <v>Taro Hayashi Yamada</v>
      </c>
    </row>
    <row r="936" spans="1:8" x14ac:dyDescent="0.25">
      <c r="A936" s="2" t="s">
        <v>7244</v>
      </c>
      <c r="B936" t="str">
        <f>_xlfn.XLOOKUP(TBL_USUARIOS[[#This Row],[ID_MASSA]],tbl_de_massas[id_massa],tbl_de_massas[cpf],"--",0,1)</f>
        <v>88478454756</v>
      </c>
      <c r="C936" t="s">
        <v>12</v>
      </c>
      <c r="D936" t="str">
        <f>_xlfn.XLOOKUP(TBL_USUARIOS[[#This Row],[ID_MASSA]],tbl_de_massas[id_massa],tbl_de_massas[nome_completo],"--",0,1)</f>
        <v>Sakura Kobayashi</v>
      </c>
      <c r="E936" t="str">
        <f>_xlfn.XLOOKUP(TBL_USUARIOS[[#This Row],[ID_MASSA]],tbl_de_massas[id_massa],tbl_de_massas[cartao_fisico_numero],"--",0,1)</f>
        <v>4576 7460 3361 7323</v>
      </c>
      <c r="F936" t="str">
        <f>_xlfn.XLOOKUP(TBL_USUARIOS[[#This Row],[ID_MASSA]],tbl_de_massas[id_massa],tbl_de_massas[nome_completo],"--",0,1)</f>
        <v>Sakura Kobayashi</v>
      </c>
      <c r="G936" s="47">
        <f>_xlfn.XLOOKUP(TBL_USUARIOS[[#This Row],[ID_MASSA]],tbl_de_massas[id_massa],tbl_de_massas[saldo_conta],"--",0,1)</f>
        <v>10000</v>
      </c>
      <c r="H936" t="str">
        <f>_xlfn.XLOOKUP(TBL_USUARIOS[[#This Row],[ID_MASSA]],tbl_de_massas[id_massa],tbl_de_massas[nome_completo],"--",0,1)</f>
        <v>Sakura Kobayashi</v>
      </c>
    </row>
    <row r="937" spans="1:8" x14ac:dyDescent="0.25">
      <c r="A937" s="2" t="s">
        <v>7248</v>
      </c>
      <c r="B937" t="str">
        <f>_xlfn.XLOOKUP(TBL_USUARIOS[[#This Row],[ID_MASSA]],tbl_de_massas[id_massa],tbl_de_massas[cpf],"--",0,1)</f>
        <v>94944224060</v>
      </c>
      <c r="C937" t="s">
        <v>12</v>
      </c>
      <c r="D937" t="str">
        <f>_xlfn.XLOOKUP(TBL_USUARIOS[[#This Row],[ID_MASSA]],tbl_de_massas[id_massa],tbl_de_massas[nome_completo],"--",0,1)</f>
        <v>Sakura Matsumoto</v>
      </c>
      <c r="E937" t="str">
        <f>_xlfn.XLOOKUP(TBL_USUARIOS[[#This Row],[ID_MASSA]],tbl_de_massas[id_massa],tbl_de_massas[cartao_fisico_numero],"--",0,1)</f>
        <v/>
      </c>
      <c r="F937" t="str">
        <f>_xlfn.XLOOKUP(TBL_USUARIOS[[#This Row],[ID_MASSA]],tbl_de_massas[id_massa],tbl_de_massas[nome_completo],"--",0,1)</f>
        <v>Sakura Matsumoto</v>
      </c>
      <c r="G937" s="47">
        <f>_xlfn.XLOOKUP(TBL_USUARIOS[[#This Row],[ID_MASSA]],tbl_de_massas[id_massa],tbl_de_massas[saldo_conta],"--",0,1)</f>
        <v>10000</v>
      </c>
      <c r="H937" t="str">
        <f>_xlfn.XLOOKUP(TBL_USUARIOS[[#This Row],[ID_MASSA]],tbl_de_massas[id_massa],tbl_de_massas[nome_completo],"--",0,1)</f>
        <v>Sakura Matsumoto</v>
      </c>
    </row>
    <row r="938" spans="1:8" x14ac:dyDescent="0.25">
      <c r="A938" s="2" t="s">
        <v>7252</v>
      </c>
      <c r="B938" t="str">
        <f>_xlfn.XLOOKUP(TBL_USUARIOS[[#This Row],[ID_MASSA]],tbl_de_massas[id_massa],tbl_de_massas[cpf],"--",0,1)</f>
        <v>86563088155</v>
      </c>
      <c r="C938" t="s">
        <v>12</v>
      </c>
      <c r="D938" t="str">
        <f>_xlfn.XLOOKUP(TBL_USUARIOS[[#This Row],[ID_MASSA]],tbl_de_massas[id_massa],tbl_de_massas[nome_completo],"--",0,1)</f>
        <v>Hiroshi Yamaguchi</v>
      </c>
      <c r="E938" t="str">
        <f>_xlfn.XLOOKUP(TBL_USUARIOS[[#This Row],[ID_MASSA]],tbl_de_massas[id_massa],tbl_de_massas[cartao_fisico_numero],"--",0,1)</f>
        <v>4576 7460 9972 7234</v>
      </c>
      <c r="F938" t="str">
        <f>_xlfn.XLOOKUP(TBL_USUARIOS[[#This Row],[ID_MASSA]],tbl_de_massas[id_massa],tbl_de_massas[nome_completo],"--",0,1)</f>
        <v>Hiroshi Yamaguchi</v>
      </c>
      <c r="G938" s="47">
        <f>_xlfn.XLOOKUP(TBL_USUARIOS[[#This Row],[ID_MASSA]],tbl_de_massas[id_massa],tbl_de_massas[saldo_conta],"--",0,1)</f>
        <v>10000</v>
      </c>
      <c r="H938" t="str">
        <f>_xlfn.XLOOKUP(TBL_USUARIOS[[#This Row],[ID_MASSA]],tbl_de_massas[id_massa],tbl_de_massas[nome_completo],"--",0,1)</f>
        <v>Hiroshi Yamaguchi</v>
      </c>
    </row>
    <row r="939" spans="1:8" x14ac:dyDescent="0.25">
      <c r="A939" s="2" t="s">
        <v>7256</v>
      </c>
      <c r="B939" t="str">
        <f>_xlfn.XLOOKUP(TBL_USUARIOS[[#This Row],[ID_MASSA]],tbl_de_massas[id_massa],tbl_de_massas[cpf],"--",0,1)</f>
        <v>81130739651</v>
      </c>
      <c r="C939" t="s">
        <v>12</v>
      </c>
      <c r="D939" t="str">
        <f>_xlfn.XLOOKUP(TBL_USUARIOS[[#This Row],[ID_MASSA]],tbl_de_massas[id_massa],tbl_de_massas[nome_completo],"--",0,1)</f>
        <v>Hanako Ito</v>
      </c>
      <c r="E939" t="str">
        <f>_xlfn.XLOOKUP(TBL_USUARIOS[[#This Row],[ID_MASSA]],tbl_de_massas[id_massa],tbl_de_massas[cartao_fisico_numero],"--",0,1)</f>
        <v>6062 8200 9516 9480</v>
      </c>
      <c r="F939" t="str">
        <f>_xlfn.XLOOKUP(TBL_USUARIOS[[#This Row],[ID_MASSA]],tbl_de_massas[id_massa],tbl_de_massas[nome_completo],"--",0,1)</f>
        <v>Hanako Ito</v>
      </c>
      <c r="G939" s="47">
        <f>_xlfn.XLOOKUP(TBL_USUARIOS[[#This Row],[ID_MASSA]],tbl_de_massas[id_massa],tbl_de_massas[saldo_conta],"--",0,1)</f>
        <v>10000</v>
      </c>
      <c r="H939" t="str">
        <f>_xlfn.XLOOKUP(TBL_USUARIOS[[#This Row],[ID_MASSA]],tbl_de_massas[id_massa],tbl_de_massas[nome_completo],"--",0,1)</f>
        <v>Hanako Ito</v>
      </c>
    </row>
    <row r="940" spans="1:8" x14ac:dyDescent="0.25">
      <c r="A940" s="2" t="s">
        <v>7260</v>
      </c>
      <c r="B940" t="str">
        <f>_xlfn.XLOOKUP(TBL_USUARIOS[[#This Row],[ID_MASSA]],tbl_de_massas[id_massa],tbl_de_massas[cpf],"--",0,1)</f>
        <v>43283480435</v>
      </c>
      <c r="C940" t="s">
        <v>12</v>
      </c>
      <c r="D940" t="str">
        <f>_xlfn.XLOOKUP(TBL_USUARIOS[[#This Row],[ID_MASSA]],tbl_de_massas[id_massa],tbl_de_massas[nome_completo],"--",0,1)</f>
        <v>Riku Kimura</v>
      </c>
      <c r="E940" t="str">
        <f>_xlfn.XLOOKUP(TBL_USUARIOS[[#This Row],[ID_MASSA]],tbl_de_massas[id_massa],tbl_de_massas[cartao_fisico_numero],"--",0,1)</f>
        <v/>
      </c>
      <c r="F940" t="str">
        <f>_xlfn.XLOOKUP(TBL_USUARIOS[[#This Row],[ID_MASSA]],tbl_de_massas[id_massa],tbl_de_massas[nome_completo],"--",0,1)</f>
        <v>Riku Kimura</v>
      </c>
      <c r="G940" s="47">
        <f>_xlfn.XLOOKUP(TBL_USUARIOS[[#This Row],[ID_MASSA]],tbl_de_massas[id_massa],tbl_de_massas[saldo_conta],"--",0,1)</f>
        <v>10000</v>
      </c>
      <c r="H940" t="str">
        <f>_xlfn.XLOOKUP(TBL_USUARIOS[[#This Row],[ID_MASSA]],tbl_de_massas[id_massa],tbl_de_massas[nome_completo],"--",0,1)</f>
        <v>Riku Kimura</v>
      </c>
    </row>
    <row r="941" spans="1:8" x14ac:dyDescent="0.25">
      <c r="A941" s="2" t="s">
        <v>7263</v>
      </c>
      <c r="B941" t="str">
        <f>_xlfn.XLOOKUP(TBL_USUARIOS[[#This Row],[ID_MASSA]],tbl_de_massas[id_massa],tbl_de_massas[cpf],"--",0,1)</f>
        <v>58981116547</v>
      </c>
      <c r="C941" t="s">
        <v>12</v>
      </c>
      <c r="D941" t="str">
        <f>_xlfn.XLOOKUP(TBL_USUARIOS[[#This Row],[ID_MASSA]],tbl_de_massas[id_massa],tbl_de_massas[nome_completo],"--",0,1)</f>
        <v>Daiki Yamazaki</v>
      </c>
      <c r="E941" t="str">
        <f>_xlfn.XLOOKUP(TBL_USUARIOS[[#This Row],[ID_MASSA]],tbl_de_massas[id_massa],tbl_de_massas[cartao_fisico_numero],"--",0,1)</f>
        <v>3782 124827 5443</v>
      </c>
      <c r="F941" t="str">
        <f>_xlfn.XLOOKUP(TBL_USUARIOS[[#This Row],[ID_MASSA]],tbl_de_massas[id_massa],tbl_de_massas[nome_completo],"--",0,1)</f>
        <v>Daiki Yamazaki</v>
      </c>
      <c r="G941" s="47">
        <f>_xlfn.XLOOKUP(TBL_USUARIOS[[#This Row],[ID_MASSA]],tbl_de_massas[id_massa],tbl_de_massas[saldo_conta],"--",0,1)</f>
        <v>10000</v>
      </c>
      <c r="H941" t="str">
        <f>_xlfn.XLOOKUP(TBL_USUARIOS[[#This Row],[ID_MASSA]],tbl_de_massas[id_massa],tbl_de_massas[nome_completo],"--",0,1)</f>
        <v>Daiki Yamazaki</v>
      </c>
    </row>
    <row r="942" spans="1:8" x14ac:dyDescent="0.25">
      <c r="A942" s="2" t="s">
        <v>7267</v>
      </c>
      <c r="B942" t="str">
        <f>_xlfn.XLOOKUP(TBL_USUARIOS[[#This Row],[ID_MASSA]],tbl_de_massas[id_massa],tbl_de_massas[cpf],"--",0,1)</f>
        <v>58704560965</v>
      </c>
      <c r="C942" t="s">
        <v>12</v>
      </c>
      <c r="D942" t="str">
        <f>_xlfn.XLOOKUP(TBL_USUARIOS[[#This Row],[ID_MASSA]],tbl_de_massas[id_massa],tbl_de_massas[nome_completo],"--",0,1)</f>
        <v>Hiroshi Matsumoto</v>
      </c>
      <c r="E942" t="str">
        <f>_xlfn.XLOOKUP(TBL_USUARIOS[[#This Row],[ID_MASSA]],tbl_de_massas[id_massa],tbl_de_massas[cartao_fisico_numero],"--",0,1)</f>
        <v>3782 629052 4447</v>
      </c>
      <c r="F942" t="str">
        <f>_xlfn.XLOOKUP(TBL_USUARIOS[[#This Row],[ID_MASSA]],tbl_de_massas[id_massa],tbl_de_massas[nome_completo],"--",0,1)</f>
        <v>Hiroshi Matsumoto</v>
      </c>
      <c r="G942" s="47">
        <f>_xlfn.XLOOKUP(TBL_USUARIOS[[#This Row],[ID_MASSA]],tbl_de_massas[id_massa],tbl_de_massas[saldo_conta],"--",0,1)</f>
        <v>10000</v>
      </c>
      <c r="H942" t="str">
        <f>_xlfn.XLOOKUP(TBL_USUARIOS[[#This Row],[ID_MASSA]],tbl_de_massas[id_massa],tbl_de_massas[nome_completo],"--",0,1)</f>
        <v>Hiroshi Matsumoto</v>
      </c>
    </row>
    <row r="943" spans="1:8" x14ac:dyDescent="0.25">
      <c r="A943" s="2" t="s">
        <v>7272</v>
      </c>
      <c r="B943" t="str">
        <f>_xlfn.XLOOKUP(TBL_USUARIOS[[#This Row],[ID_MASSA]],tbl_de_massas[id_massa],tbl_de_massas[cpf],"--",0,1)</f>
        <v>81137599308</v>
      </c>
      <c r="C943" t="s">
        <v>12</v>
      </c>
      <c r="D943" t="str">
        <f>_xlfn.XLOOKUP(TBL_USUARIOS[[#This Row],[ID_MASSA]],tbl_de_massas[id_massa],tbl_de_massas[nome_completo],"--",0,1)</f>
        <v>Yuki Kimura</v>
      </c>
      <c r="E943" t="str">
        <f>_xlfn.XLOOKUP(TBL_USUARIOS[[#This Row],[ID_MASSA]],tbl_de_massas[id_massa],tbl_de_massas[cartao_fisico_numero],"--",0,1)</f>
        <v/>
      </c>
      <c r="F943" t="str">
        <f>_xlfn.XLOOKUP(TBL_USUARIOS[[#This Row],[ID_MASSA]],tbl_de_massas[id_massa],tbl_de_massas[nome_completo],"--",0,1)</f>
        <v>Yuki Kimura</v>
      </c>
      <c r="G943" s="47">
        <f>_xlfn.XLOOKUP(TBL_USUARIOS[[#This Row],[ID_MASSA]],tbl_de_massas[id_massa],tbl_de_massas[saldo_conta],"--",0,1)</f>
        <v>10000</v>
      </c>
      <c r="H943" t="str">
        <f>_xlfn.XLOOKUP(TBL_USUARIOS[[#This Row],[ID_MASSA]],tbl_de_massas[id_massa],tbl_de_massas[nome_completo],"--",0,1)</f>
        <v>Yuki Kimura</v>
      </c>
    </row>
    <row r="944" spans="1:8" x14ac:dyDescent="0.25">
      <c r="A944" s="2" t="s">
        <v>7276</v>
      </c>
      <c r="B944" t="str">
        <f>_xlfn.XLOOKUP(TBL_USUARIOS[[#This Row],[ID_MASSA]],tbl_de_massas[id_massa],tbl_de_massas[cpf],"--",0,1)</f>
        <v>16885060801</v>
      </c>
      <c r="C944" t="s">
        <v>12</v>
      </c>
      <c r="D944" t="str">
        <f>_xlfn.XLOOKUP(TBL_USUARIOS[[#This Row],[ID_MASSA]],tbl_de_massas[id_massa],tbl_de_massas[nome_completo],"--",0,1)</f>
        <v>Akari Kato</v>
      </c>
      <c r="E944" t="str">
        <f>_xlfn.XLOOKUP(TBL_USUARIOS[[#This Row],[ID_MASSA]],tbl_de_massas[id_massa],tbl_de_massas[cartao_fisico_numero],"--",0,1)</f>
        <v>6505 0666 5908 4660</v>
      </c>
      <c r="F944" t="str">
        <f>_xlfn.XLOOKUP(TBL_USUARIOS[[#This Row],[ID_MASSA]],tbl_de_massas[id_massa],tbl_de_massas[nome_completo],"--",0,1)</f>
        <v>Akari Kato</v>
      </c>
      <c r="G944" s="47">
        <f>_xlfn.XLOOKUP(TBL_USUARIOS[[#This Row],[ID_MASSA]],tbl_de_massas[id_massa],tbl_de_massas[saldo_conta],"--",0,1)</f>
        <v>10000</v>
      </c>
      <c r="H944" t="str">
        <f>_xlfn.XLOOKUP(TBL_USUARIOS[[#This Row],[ID_MASSA]],tbl_de_massas[id_massa],tbl_de_massas[nome_completo],"--",0,1)</f>
        <v>Akari Kato</v>
      </c>
    </row>
    <row r="945" spans="1:8" x14ac:dyDescent="0.25">
      <c r="A945" s="2" t="s">
        <v>7280</v>
      </c>
      <c r="B945" t="str">
        <f>_xlfn.XLOOKUP(TBL_USUARIOS[[#This Row],[ID_MASSA]],tbl_de_massas[id_massa],tbl_de_massas[cpf],"--",0,1)</f>
        <v>69089279385</v>
      </c>
      <c r="C945" t="s">
        <v>12</v>
      </c>
      <c r="D945" t="str">
        <f>_xlfn.XLOOKUP(TBL_USUARIOS[[#This Row],[ID_MASSA]],tbl_de_massas[id_massa],tbl_de_massas[nome_completo],"--",0,1)</f>
        <v>Hina Yamamoto Watanabe</v>
      </c>
      <c r="E945" t="str">
        <f>_xlfn.XLOOKUP(TBL_USUARIOS[[#This Row],[ID_MASSA]],tbl_de_massas[id_massa],tbl_de_massas[cartao_fisico_numero],"--",0,1)</f>
        <v/>
      </c>
      <c r="F945" t="str">
        <f>_xlfn.XLOOKUP(TBL_USUARIOS[[#This Row],[ID_MASSA]],tbl_de_massas[id_massa],tbl_de_massas[nome_completo],"--",0,1)</f>
        <v>Hina Yamamoto Watanabe</v>
      </c>
      <c r="G945" s="47">
        <f>_xlfn.XLOOKUP(TBL_USUARIOS[[#This Row],[ID_MASSA]],tbl_de_massas[id_massa],tbl_de_massas[saldo_conta],"--",0,1)</f>
        <v>10000</v>
      </c>
      <c r="H945" t="str">
        <f>_xlfn.XLOOKUP(TBL_USUARIOS[[#This Row],[ID_MASSA]],tbl_de_massas[id_massa],tbl_de_massas[nome_completo],"--",0,1)</f>
        <v>Hina Yamamoto Watanabe</v>
      </c>
    </row>
    <row r="946" spans="1:8" x14ac:dyDescent="0.25">
      <c r="A946" s="2" t="s">
        <v>7284</v>
      </c>
      <c r="B946" t="str">
        <f>_xlfn.XLOOKUP(TBL_USUARIOS[[#This Row],[ID_MASSA]],tbl_de_massas[id_massa],tbl_de_massas[cpf],"--",0,1)</f>
        <v>36155207852</v>
      </c>
      <c r="C946" t="s">
        <v>12</v>
      </c>
      <c r="D946" t="str">
        <f>_xlfn.XLOOKUP(TBL_USUARIOS[[#This Row],[ID_MASSA]],tbl_de_massas[id_massa],tbl_de_massas[nome_completo],"--",0,1)</f>
        <v>Nana Tanaka</v>
      </c>
      <c r="E946" t="str">
        <f>_xlfn.XLOOKUP(TBL_USUARIOS[[#This Row],[ID_MASSA]],tbl_de_massas[id_massa],tbl_de_massas[cartao_fisico_numero],"--",0,1)</f>
        <v>3782 761195 2636</v>
      </c>
      <c r="F946" t="str">
        <f>_xlfn.XLOOKUP(TBL_USUARIOS[[#This Row],[ID_MASSA]],tbl_de_massas[id_massa],tbl_de_massas[nome_completo],"--",0,1)</f>
        <v>Nana Tanaka</v>
      </c>
      <c r="G946" s="47">
        <f>_xlfn.XLOOKUP(TBL_USUARIOS[[#This Row],[ID_MASSA]],tbl_de_massas[id_massa],tbl_de_massas[saldo_conta],"--",0,1)</f>
        <v>10000</v>
      </c>
      <c r="H946" t="str">
        <f>_xlfn.XLOOKUP(TBL_USUARIOS[[#This Row],[ID_MASSA]],tbl_de_massas[id_massa],tbl_de_massas[nome_completo],"--",0,1)</f>
        <v>Nana Tanaka</v>
      </c>
    </row>
    <row r="947" spans="1:8" x14ac:dyDescent="0.25">
      <c r="A947" s="2" t="s">
        <v>7289</v>
      </c>
      <c r="B947" t="str">
        <f>_xlfn.XLOOKUP(TBL_USUARIOS[[#This Row],[ID_MASSA]],tbl_de_massas[id_massa],tbl_de_massas[cpf],"--",0,1)</f>
        <v>77237265202</v>
      </c>
      <c r="C947" t="s">
        <v>12</v>
      </c>
      <c r="D947" t="str">
        <f>_xlfn.XLOOKUP(TBL_USUARIOS[[#This Row],[ID_MASSA]],tbl_de_massas[id_massa],tbl_de_massas[nome_completo],"--",0,1)</f>
        <v>Kaito Kato</v>
      </c>
      <c r="E947" t="str">
        <f>_xlfn.XLOOKUP(TBL_USUARIOS[[#This Row],[ID_MASSA]],tbl_de_massas[id_massa],tbl_de_massas[cartao_fisico_numero],"--",0,1)</f>
        <v>5442 7460 7168 9097</v>
      </c>
      <c r="F947" t="str">
        <f>_xlfn.XLOOKUP(TBL_USUARIOS[[#This Row],[ID_MASSA]],tbl_de_massas[id_massa],tbl_de_massas[nome_completo],"--",0,1)</f>
        <v>Kaito Kato</v>
      </c>
      <c r="G947" s="47">
        <f>_xlfn.XLOOKUP(TBL_USUARIOS[[#This Row],[ID_MASSA]],tbl_de_massas[id_massa],tbl_de_massas[saldo_conta],"--",0,1)</f>
        <v>10000</v>
      </c>
      <c r="H947" t="str">
        <f>_xlfn.XLOOKUP(TBL_USUARIOS[[#This Row],[ID_MASSA]],tbl_de_massas[id_massa],tbl_de_massas[nome_completo],"--",0,1)</f>
        <v>Kaito Kato</v>
      </c>
    </row>
    <row r="948" spans="1:8" x14ac:dyDescent="0.25">
      <c r="A948" s="2" t="s">
        <v>7293</v>
      </c>
      <c r="B948" t="str">
        <f>_xlfn.XLOOKUP(TBL_USUARIOS[[#This Row],[ID_MASSA]],tbl_de_massas[id_massa],tbl_de_massas[cpf],"--",0,1)</f>
        <v>10199243735</v>
      </c>
      <c r="C948" t="s">
        <v>12</v>
      </c>
      <c r="D948" t="str">
        <f>_xlfn.XLOOKUP(TBL_USUARIOS[[#This Row],[ID_MASSA]],tbl_de_massas[id_massa],tbl_de_massas[nome_completo],"--",0,1)</f>
        <v>Hiroshi Takahashi Inoue</v>
      </c>
      <c r="E948" t="str">
        <f>_xlfn.XLOOKUP(TBL_USUARIOS[[#This Row],[ID_MASSA]],tbl_de_massas[id_massa],tbl_de_massas[cartao_fisico_numero],"--",0,1)</f>
        <v/>
      </c>
      <c r="F948" t="str">
        <f>_xlfn.XLOOKUP(TBL_USUARIOS[[#This Row],[ID_MASSA]],tbl_de_massas[id_massa],tbl_de_massas[nome_completo],"--",0,1)</f>
        <v>Hiroshi Takahashi Inoue</v>
      </c>
      <c r="G948" s="47">
        <f>_xlfn.XLOOKUP(TBL_USUARIOS[[#This Row],[ID_MASSA]],tbl_de_massas[id_massa],tbl_de_massas[saldo_conta],"--",0,1)</f>
        <v>10000</v>
      </c>
      <c r="H948" t="str">
        <f>_xlfn.XLOOKUP(TBL_USUARIOS[[#This Row],[ID_MASSA]],tbl_de_massas[id_massa],tbl_de_massas[nome_completo],"--",0,1)</f>
        <v>Hiroshi Takahashi Inoue</v>
      </c>
    </row>
    <row r="949" spans="1:8" x14ac:dyDescent="0.25">
      <c r="A949" s="2" t="s">
        <v>7297</v>
      </c>
      <c r="B949" t="str">
        <f>_xlfn.XLOOKUP(TBL_USUARIOS[[#This Row],[ID_MASSA]],tbl_de_massas[id_massa],tbl_de_massas[cpf],"--",0,1)</f>
        <v>97380693433</v>
      </c>
      <c r="C949" t="s">
        <v>12</v>
      </c>
      <c r="D949" t="str">
        <f>_xlfn.XLOOKUP(TBL_USUARIOS[[#This Row],[ID_MASSA]],tbl_de_massas[id_massa],tbl_de_massas[nome_completo],"--",0,1)</f>
        <v>Hina Nakamura Sato</v>
      </c>
      <c r="E949" t="str">
        <f>_xlfn.XLOOKUP(TBL_USUARIOS[[#This Row],[ID_MASSA]],tbl_de_massas[id_massa],tbl_de_massas[cartao_fisico_numero],"--",0,1)</f>
        <v/>
      </c>
      <c r="F949" t="str">
        <f>_xlfn.XLOOKUP(TBL_USUARIOS[[#This Row],[ID_MASSA]],tbl_de_massas[id_massa],tbl_de_massas[nome_completo],"--",0,1)</f>
        <v>Hina Nakamura Sato</v>
      </c>
      <c r="G949" s="47">
        <f>_xlfn.XLOOKUP(TBL_USUARIOS[[#This Row],[ID_MASSA]],tbl_de_massas[id_massa],tbl_de_massas[saldo_conta],"--",0,1)</f>
        <v>10000</v>
      </c>
      <c r="H949" t="str">
        <f>_xlfn.XLOOKUP(TBL_USUARIOS[[#This Row],[ID_MASSA]],tbl_de_massas[id_massa],tbl_de_massas[nome_completo],"--",0,1)</f>
        <v>Hina Nakamura Sato</v>
      </c>
    </row>
    <row r="950" spans="1:8" x14ac:dyDescent="0.25">
      <c r="A950" s="2" t="s">
        <v>7301</v>
      </c>
      <c r="B950" t="str">
        <f>_xlfn.XLOOKUP(TBL_USUARIOS[[#This Row],[ID_MASSA]],tbl_de_massas[id_massa],tbl_de_massas[cpf],"--",0,1)</f>
        <v>87801178130</v>
      </c>
      <c r="C950" t="s">
        <v>12</v>
      </c>
      <c r="D950" t="str">
        <f>_xlfn.XLOOKUP(TBL_USUARIOS[[#This Row],[ID_MASSA]],tbl_de_massas[id_massa],tbl_de_massas[nome_completo],"--",0,1)</f>
        <v>Kaito Watanabe</v>
      </c>
      <c r="E950" t="str">
        <f>_xlfn.XLOOKUP(TBL_USUARIOS[[#This Row],[ID_MASSA]],tbl_de_massas[id_massa],tbl_de_massas[cartao_fisico_numero],"--",0,1)</f>
        <v/>
      </c>
      <c r="F950" t="str">
        <f>_xlfn.XLOOKUP(TBL_USUARIOS[[#This Row],[ID_MASSA]],tbl_de_massas[id_massa],tbl_de_massas[nome_completo],"--",0,1)</f>
        <v>Kaito Watanabe</v>
      </c>
      <c r="G950" s="47">
        <f>_xlfn.XLOOKUP(TBL_USUARIOS[[#This Row],[ID_MASSA]],tbl_de_massas[id_massa],tbl_de_massas[saldo_conta],"--",0,1)</f>
        <v>10000</v>
      </c>
      <c r="H950" t="str">
        <f>_xlfn.XLOOKUP(TBL_USUARIOS[[#This Row],[ID_MASSA]],tbl_de_massas[id_massa],tbl_de_massas[nome_completo],"--",0,1)</f>
        <v>Kaito Watanabe</v>
      </c>
    </row>
    <row r="951" spans="1:8" x14ac:dyDescent="0.25">
      <c r="A951" s="2" t="s">
        <v>7305</v>
      </c>
      <c r="B951" t="str">
        <f>_xlfn.XLOOKUP(TBL_USUARIOS[[#This Row],[ID_MASSA]],tbl_de_massas[id_massa],tbl_de_massas[cpf],"--",0,1)</f>
        <v>84664743823</v>
      </c>
      <c r="C951" t="s">
        <v>12</v>
      </c>
      <c r="D951" t="str">
        <f>_xlfn.XLOOKUP(TBL_USUARIOS[[#This Row],[ID_MASSA]],tbl_de_massas[id_massa],tbl_de_massas[nome_completo],"--",0,1)</f>
        <v>Kaito Yamazaki</v>
      </c>
      <c r="E951" t="str">
        <f>_xlfn.XLOOKUP(TBL_USUARIOS[[#This Row],[ID_MASSA]],tbl_de_massas[id_massa],tbl_de_massas[cartao_fisico_numero],"--",0,1)</f>
        <v>3782 378509 7213</v>
      </c>
      <c r="F951" t="str">
        <f>_xlfn.XLOOKUP(TBL_USUARIOS[[#This Row],[ID_MASSA]],tbl_de_massas[id_massa],tbl_de_massas[nome_completo],"--",0,1)</f>
        <v>Kaito Yamazaki</v>
      </c>
      <c r="G951" s="47">
        <f>_xlfn.XLOOKUP(TBL_USUARIOS[[#This Row],[ID_MASSA]],tbl_de_massas[id_massa],tbl_de_massas[saldo_conta],"--",0,1)</f>
        <v>10000</v>
      </c>
      <c r="H951" t="str">
        <f>_xlfn.XLOOKUP(TBL_USUARIOS[[#This Row],[ID_MASSA]],tbl_de_massas[id_massa],tbl_de_massas[nome_completo],"--",0,1)</f>
        <v>Kaito Yamazaki</v>
      </c>
    </row>
    <row r="952" spans="1:8" x14ac:dyDescent="0.25">
      <c r="A952" s="2" t="s">
        <v>7308</v>
      </c>
      <c r="B952" t="str">
        <f>_xlfn.XLOOKUP(TBL_USUARIOS[[#This Row],[ID_MASSA]],tbl_de_massas[id_massa],tbl_de_massas[cpf],"--",0,1)</f>
        <v>41797159704</v>
      </c>
      <c r="C952" t="s">
        <v>12</v>
      </c>
      <c r="D952" t="str">
        <f>_xlfn.XLOOKUP(TBL_USUARIOS[[#This Row],[ID_MASSA]],tbl_de_massas[id_massa],tbl_de_massas[nome_completo],"--",0,1)</f>
        <v>Haruto Kobayashi Yamazaki</v>
      </c>
      <c r="E952" t="str">
        <f>_xlfn.XLOOKUP(TBL_USUARIOS[[#This Row],[ID_MASSA]],tbl_de_massas[id_massa],tbl_de_massas[cartao_fisico_numero],"--",0,1)</f>
        <v/>
      </c>
      <c r="F952" t="str">
        <f>_xlfn.XLOOKUP(TBL_USUARIOS[[#This Row],[ID_MASSA]],tbl_de_massas[id_massa],tbl_de_massas[nome_completo],"--",0,1)</f>
        <v>Haruto Kobayashi Yamazaki</v>
      </c>
      <c r="G952" s="47">
        <f>_xlfn.XLOOKUP(TBL_USUARIOS[[#This Row],[ID_MASSA]],tbl_de_massas[id_massa],tbl_de_massas[saldo_conta],"--",0,1)</f>
        <v>10000</v>
      </c>
      <c r="H952" t="str">
        <f>_xlfn.XLOOKUP(TBL_USUARIOS[[#This Row],[ID_MASSA]],tbl_de_massas[id_massa],tbl_de_massas[nome_completo],"--",0,1)</f>
        <v>Haruto Kobayashi Yamazaki</v>
      </c>
    </row>
    <row r="953" spans="1:8" x14ac:dyDescent="0.25">
      <c r="A953" s="2" t="s">
        <v>7312</v>
      </c>
      <c r="B953" t="str">
        <f>_xlfn.XLOOKUP(TBL_USUARIOS[[#This Row],[ID_MASSA]],tbl_de_massas[id_massa],tbl_de_massas[cpf],"--",0,1)</f>
        <v>90492713081</v>
      </c>
      <c r="C953" t="s">
        <v>12</v>
      </c>
      <c r="D953" t="str">
        <f>_xlfn.XLOOKUP(TBL_USUARIOS[[#This Row],[ID_MASSA]],tbl_de_massas[id_massa],tbl_de_massas[nome_completo],"--",0,1)</f>
        <v>Yuki Yamada</v>
      </c>
      <c r="E953" t="str">
        <f>_xlfn.XLOOKUP(TBL_USUARIOS[[#This Row],[ID_MASSA]],tbl_de_massas[id_massa],tbl_de_massas[cartao_fisico_numero],"--",0,1)</f>
        <v>3782 276780 8133</v>
      </c>
      <c r="F953" t="str">
        <f>_xlfn.XLOOKUP(TBL_USUARIOS[[#This Row],[ID_MASSA]],tbl_de_massas[id_massa],tbl_de_massas[nome_completo],"--",0,1)</f>
        <v>Yuki Yamada</v>
      </c>
      <c r="G953" s="47">
        <f>_xlfn.XLOOKUP(TBL_USUARIOS[[#This Row],[ID_MASSA]],tbl_de_massas[id_massa],tbl_de_massas[saldo_conta],"--",0,1)</f>
        <v>10000</v>
      </c>
      <c r="H953" t="str">
        <f>_xlfn.XLOOKUP(TBL_USUARIOS[[#This Row],[ID_MASSA]],tbl_de_massas[id_massa],tbl_de_massas[nome_completo],"--",0,1)</f>
        <v>Yuki Yamada</v>
      </c>
    </row>
    <row r="954" spans="1:8" x14ac:dyDescent="0.25">
      <c r="A954" s="2" t="s">
        <v>7317</v>
      </c>
      <c r="B954" t="str">
        <f>_xlfn.XLOOKUP(TBL_USUARIOS[[#This Row],[ID_MASSA]],tbl_de_massas[id_massa],tbl_de_massas[cpf],"--",0,1)</f>
        <v>54358930891</v>
      </c>
      <c r="C954" t="s">
        <v>12</v>
      </c>
      <c r="D954" t="str">
        <f>_xlfn.XLOOKUP(TBL_USUARIOS[[#This Row],[ID_MASSA]],tbl_de_massas[id_massa],tbl_de_massas[nome_completo],"--",0,1)</f>
        <v>Hanako Hayashi</v>
      </c>
      <c r="E954" t="str">
        <f>_xlfn.XLOOKUP(TBL_USUARIOS[[#This Row],[ID_MASSA]],tbl_de_massas[id_massa],tbl_de_massas[cartao_fisico_numero],"--",0,1)</f>
        <v>6505 0666 5678 0851</v>
      </c>
      <c r="F954" t="str">
        <f>_xlfn.XLOOKUP(TBL_USUARIOS[[#This Row],[ID_MASSA]],tbl_de_massas[id_massa],tbl_de_massas[nome_completo],"--",0,1)</f>
        <v>Hanako Hayashi</v>
      </c>
      <c r="G954" s="47">
        <f>_xlfn.XLOOKUP(TBL_USUARIOS[[#This Row],[ID_MASSA]],tbl_de_massas[id_massa],tbl_de_massas[saldo_conta],"--",0,1)</f>
        <v>10000</v>
      </c>
      <c r="H954" t="str">
        <f>_xlfn.XLOOKUP(TBL_USUARIOS[[#This Row],[ID_MASSA]],tbl_de_massas[id_massa],tbl_de_massas[nome_completo],"--",0,1)</f>
        <v>Hanako Hayashi</v>
      </c>
    </row>
    <row r="955" spans="1:8" x14ac:dyDescent="0.25">
      <c r="A955" s="2" t="s">
        <v>7322</v>
      </c>
      <c r="B955" t="str">
        <f>_xlfn.XLOOKUP(TBL_USUARIOS[[#This Row],[ID_MASSA]],tbl_de_massas[id_massa],tbl_de_massas[cpf],"--",0,1)</f>
        <v>14957021627</v>
      </c>
      <c r="C955" t="s">
        <v>12</v>
      </c>
      <c r="D955" t="str">
        <f>_xlfn.XLOOKUP(TBL_USUARIOS[[#This Row],[ID_MASSA]],tbl_de_massas[id_massa],tbl_de_massas[nome_completo],"--",0,1)</f>
        <v>Hina Sato</v>
      </c>
      <c r="E955" t="str">
        <f>_xlfn.XLOOKUP(TBL_USUARIOS[[#This Row],[ID_MASSA]],tbl_de_massas[id_massa],tbl_de_massas[cartao_fisico_numero],"--",0,1)</f>
        <v>4576 7460 7188 1535</v>
      </c>
      <c r="F955" t="str">
        <f>_xlfn.XLOOKUP(TBL_USUARIOS[[#This Row],[ID_MASSA]],tbl_de_massas[id_massa],tbl_de_massas[nome_completo],"--",0,1)</f>
        <v>Hina Sato</v>
      </c>
      <c r="G955" s="47">
        <f>_xlfn.XLOOKUP(TBL_USUARIOS[[#This Row],[ID_MASSA]],tbl_de_massas[id_massa],tbl_de_massas[saldo_conta],"--",0,1)</f>
        <v>10000</v>
      </c>
      <c r="H955" t="str">
        <f>_xlfn.XLOOKUP(TBL_USUARIOS[[#This Row],[ID_MASSA]],tbl_de_massas[id_massa],tbl_de_massas[nome_completo],"--",0,1)</f>
        <v>Hina Sato</v>
      </c>
    </row>
    <row r="956" spans="1:8" x14ac:dyDescent="0.25">
      <c r="A956" s="2" t="s">
        <v>7326</v>
      </c>
      <c r="B956" t="str">
        <f>_xlfn.XLOOKUP(TBL_USUARIOS[[#This Row],[ID_MASSA]],tbl_de_massas[id_massa],tbl_de_massas[cpf],"--",0,1)</f>
        <v>19573622947</v>
      </c>
      <c r="C956" t="s">
        <v>12</v>
      </c>
      <c r="D956" t="str">
        <f>_xlfn.XLOOKUP(TBL_USUARIOS[[#This Row],[ID_MASSA]],tbl_de_massas[id_massa],tbl_de_massas[nome_completo],"--",0,1)</f>
        <v>Kaito Nakamura</v>
      </c>
      <c r="E956" t="str">
        <f>_xlfn.XLOOKUP(TBL_USUARIOS[[#This Row],[ID_MASSA]],tbl_de_massas[id_massa],tbl_de_massas[cartao_fisico_numero],"--",0,1)</f>
        <v>6505 0666 4282 7509</v>
      </c>
      <c r="F956" t="str">
        <f>_xlfn.XLOOKUP(TBL_USUARIOS[[#This Row],[ID_MASSA]],tbl_de_massas[id_massa],tbl_de_massas[nome_completo],"--",0,1)</f>
        <v>Kaito Nakamura</v>
      </c>
      <c r="G956" s="47">
        <f>_xlfn.XLOOKUP(TBL_USUARIOS[[#This Row],[ID_MASSA]],tbl_de_massas[id_massa],tbl_de_massas[saldo_conta],"--",0,1)</f>
        <v>10000</v>
      </c>
      <c r="H956" t="str">
        <f>_xlfn.XLOOKUP(TBL_USUARIOS[[#This Row],[ID_MASSA]],tbl_de_massas[id_massa],tbl_de_massas[nome_completo],"--",0,1)</f>
        <v>Kaito Nakamura</v>
      </c>
    </row>
    <row r="957" spans="1:8" x14ac:dyDescent="0.25">
      <c r="A957" s="2" t="s">
        <v>7330</v>
      </c>
      <c r="B957" t="str">
        <f>_xlfn.XLOOKUP(TBL_USUARIOS[[#This Row],[ID_MASSA]],tbl_de_massas[id_massa],tbl_de_massas[cpf],"--",0,1)</f>
        <v>78650073883</v>
      </c>
      <c r="C957" t="s">
        <v>12</v>
      </c>
      <c r="D957" t="str">
        <f>_xlfn.XLOOKUP(TBL_USUARIOS[[#This Row],[ID_MASSA]],tbl_de_massas[id_massa],tbl_de_massas[nome_completo],"--",0,1)</f>
        <v>Taro Yamamoto</v>
      </c>
      <c r="E957" t="str">
        <f>_xlfn.XLOOKUP(TBL_USUARIOS[[#This Row],[ID_MASSA]],tbl_de_massas[id_massa],tbl_de_massas[cartao_fisico_numero],"--",0,1)</f>
        <v/>
      </c>
      <c r="F957" t="str">
        <f>_xlfn.XLOOKUP(TBL_USUARIOS[[#This Row],[ID_MASSA]],tbl_de_massas[id_massa],tbl_de_massas[nome_completo],"--",0,1)</f>
        <v>Taro Yamamoto</v>
      </c>
      <c r="G957" s="47">
        <f>_xlfn.XLOOKUP(TBL_USUARIOS[[#This Row],[ID_MASSA]],tbl_de_massas[id_massa],tbl_de_massas[saldo_conta],"--",0,1)</f>
        <v>10000</v>
      </c>
      <c r="H957" t="str">
        <f>_xlfn.XLOOKUP(TBL_USUARIOS[[#This Row],[ID_MASSA]],tbl_de_massas[id_massa],tbl_de_massas[nome_completo],"--",0,1)</f>
        <v>Taro Yamamoto</v>
      </c>
    </row>
    <row r="958" spans="1:8" x14ac:dyDescent="0.25">
      <c r="A958" s="2" t="s">
        <v>7334</v>
      </c>
      <c r="B958" t="str">
        <f>_xlfn.XLOOKUP(TBL_USUARIOS[[#This Row],[ID_MASSA]],tbl_de_massas[id_massa],tbl_de_massas[cpf],"--",0,1)</f>
        <v>03527839828</v>
      </c>
      <c r="C958" t="s">
        <v>12</v>
      </c>
      <c r="D958" t="str">
        <f>_xlfn.XLOOKUP(TBL_USUARIOS[[#This Row],[ID_MASSA]],tbl_de_massas[id_massa],tbl_de_massas[nome_completo],"--",0,1)</f>
        <v>Hina Kato</v>
      </c>
      <c r="E958" t="str">
        <f>_xlfn.XLOOKUP(TBL_USUARIOS[[#This Row],[ID_MASSA]],tbl_de_massas[id_massa],tbl_de_massas[cartao_fisico_numero],"--",0,1)</f>
        <v>5442 7460 6289 9466</v>
      </c>
      <c r="F958" t="str">
        <f>_xlfn.XLOOKUP(TBL_USUARIOS[[#This Row],[ID_MASSA]],tbl_de_massas[id_massa],tbl_de_massas[nome_completo],"--",0,1)</f>
        <v>Hina Kato</v>
      </c>
      <c r="G958" s="47">
        <f>_xlfn.XLOOKUP(TBL_USUARIOS[[#This Row],[ID_MASSA]],tbl_de_massas[id_massa],tbl_de_massas[saldo_conta],"--",0,1)</f>
        <v>10000</v>
      </c>
      <c r="H958" t="str">
        <f>_xlfn.XLOOKUP(TBL_USUARIOS[[#This Row],[ID_MASSA]],tbl_de_massas[id_massa],tbl_de_massas[nome_completo],"--",0,1)</f>
        <v>Hina Kato</v>
      </c>
    </row>
    <row r="959" spans="1:8" x14ac:dyDescent="0.25">
      <c r="A959" s="2" t="s">
        <v>7339</v>
      </c>
      <c r="B959" t="str">
        <f>_xlfn.XLOOKUP(TBL_USUARIOS[[#This Row],[ID_MASSA]],tbl_de_massas[id_massa],tbl_de_massas[cpf],"--",0,1)</f>
        <v>92636056459</v>
      </c>
      <c r="C959" t="s">
        <v>12</v>
      </c>
      <c r="D959" t="str">
        <f>_xlfn.XLOOKUP(TBL_USUARIOS[[#This Row],[ID_MASSA]],tbl_de_massas[id_massa],tbl_de_massas[nome_completo],"--",0,1)</f>
        <v>Riku Yamamoto Yamaguchi</v>
      </c>
      <c r="E959" t="str">
        <f>_xlfn.XLOOKUP(TBL_USUARIOS[[#This Row],[ID_MASSA]],tbl_de_massas[id_massa],tbl_de_massas[cartao_fisico_numero],"--",0,1)</f>
        <v>6062 8200 1141 2949</v>
      </c>
      <c r="F959" t="str">
        <f>_xlfn.XLOOKUP(TBL_USUARIOS[[#This Row],[ID_MASSA]],tbl_de_massas[id_massa],tbl_de_massas[nome_completo],"--",0,1)</f>
        <v>Riku Yamamoto Yamaguchi</v>
      </c>
      <c r="G959" s="47">
        <f>_xlfn.XLOOKUP(TBL_USUARIOS[[#This Row],[ID_MASSA]],tbl_de_massas[id_massa],tbl_de_massas[saldo_conta],"--",0,1)</f>
        <v>10000</v>
      </c>
      <c r="H959" t="str">
        <f>_xlfn.XLOOKUP(TBL_USUARIOS[[#This Row],[ID_MASSA]],tbl_de_massas[id_massa],tbl_de_massas[nome_completo],"--",0,1)</f>
        <v>Riku Yamamoto Yamaguchi</v>
      </c>
    </row>
    <row r="960" spans="1:8" x14ac:dyDescent="0.25">
      <c r="A960" s="2" t="s">
        <v>7344</v>
      </c>
      <c r="B960" t="str">
        <f>_xlfn.XLOOKUP(TBL_USUARIOS[[#This Row],[ID_MASSA]],tbl_de_massas[id_massa],tbl_de_massas[cpf],"--",0,1)</f>
        <v>77282729182</v>
      </c>
      <c r="C960" t="s">
        <v>12</v>
      </c>
      <c r="D960" t="str">
        <f>_xlfn.XLOOKUP(TBL_USUARIOS[[#This Row],[ID_MASSA]],tbl_de_massas[id_massa],tbl_de_massas[nome_completo],"--",0,1)</f>
        <v>Riku Inoue Nakamura</v>
      </c>
      <c r="E960" t="str">
        <f>_xlfn.XLOOKUP(TBL_USUARIOS[[#This Row],[ID_MASSA]],tbl_de_massas[id_massa],tbl_de_massas[cartao_fisico_numero],"--",0,1)</f>
        <v>6062 8200 2209 5689</v>
      </c>
      <c r="F960" t="str">
        <f>_xlfn.XLOOKUP(TBL_USUARIOS[[#This Row],[ID_MASSA]],tbl_de_massas[id_massa],tbl_de_massas[nome_completo],"--",0,1)</f>
        <v>Riku Inoue Nakamura</v>
      </c>
      <c r="G960" s="47">
        <f>_xlfn.XLOOKUP(TBL_USUARIOS[[#This Row],[ID_MASSA]],tbl_de_massas[id_massa],tbl_de_massas[saldo_conta],"--",0,1)</f>
        <v>10000</v>
      </c>
      <c r="H960" t="str">
        <f>_xlfn.XLOOKUP(TBL_USUARIOS[[#This Row],[ID_MASSA]],tbl_de_massas[id_massa],tbl_de_massas[nome_completo],"--",0,1)</f>
        <v>Riku Inoue Nakamura</v>
      </c>
    </row>
    <row r="961" spans="1:8" x14ac:dyDescent="0.25">
      <c r="A961" s="2" t="s">
        <v>7349</v>
      </c>
      <c r="B961" t="str">
        <f>_xlfn.XLOOKUP(TBL_USUARIOS[[#This Row],[ID_MASSA]],tbl_de_massas[id_massa],tbl_de_massas[cpf],"--",0,1)</f>
        <v>56155704589</v>
      </c>
      <c r="C961" t="s">
        <v>12</v>
      </c>
      <c r="D961" t="str">
        <f>_xlfn.XLOOKUP(TBL_USUARIOS[[#This Row],[ID_MASSA]],tbl_de_massas[id_massa],tbl_de_massas[nome_completo],"--",0,1)</f>
        <v>Taro Matsumoto</v>
      </c>
      <c r="E961" t="str">
        <f>_xlfn.XLOOKUP(TBL_USUARIOS[[#This Row],[ID_MASSA]],tbl_de_massas[id_massa],tbl_de_massas[cartao_fisico_numero],"--",0,1)</f>
        <v>6505 0666 1944 8862</v>
      </c>
      <c r="F961" t="str">
        <f>_xlfn.XLOOKUP(TBL_USUARIOS[[#This Row],[ID_MASSA]],tbl_de_massas[id_massa],tbl_de_massas[nome_completo],"--",0,1)</f>
        <v>Taro Matsumoto</v>
      </c>
      <c r="G961" s="47">
        <f>_xlfn.XLOOKUP(TBL_USUARIOS[[#This Row],[ID_MASSA]],tbl_de_massas[id_massa],tbl_de_massas[saldo_conta],"--",0,1)</f>
        <v>10000</v>
      </c>
      <c r="H961" t="str">
        <f>_xlfn.XLOOKUP(TBL_USUARIOS[[#This Row],[ID_MASSA]],tbl_de_massas[id_massa],tbl_de_massas[nome_completo],"--",0,1)</f>
        <v>Taro Matsumoto</v>
      </c>
    </row>
    <row r="962" spans="1:8" x14ac:dyDescent="0.25">
      <c r="A962" s="2" t="s">
        <v>7353</v>
      </c>
      <c r="B962" t="str">
        <f>_xlfn.XLOOKUP(TBL_USUARIOS[[#This Row],[ID_MASSA]],tbl_de_massas[id_massa],tbl_de_massas[cpf],"--",0,1)</f>
        <v>84119371603</v>
      </c>
      <c r="C962" t="s">
        <v>12</v>
      </c>
      <c r="D962" t="str">
        <f>_xlfn.XLOOKUP(TBL_USUARIOS[[#This Row],[ID_MASSA]],tbl_de_massas[id_massa],tbl_de_massas[nome_completo],"--",0,1)</f>
        <v>Hiroshi Inoue</v>
      </c>
      <c r="E962" t="str">
        <f>_xlfn.XLOOKUP(TBL_USUARIOS[[#This Row],[ID_MASSA]],tbl_de_massas[id_massa],tbl_de_massas[cartao_fisico_numero],"--",0,1)</f>
        <v/>
      </c>
      <c r="F962" t="str">
        <f>_xlfn.XLOOKUP(TBL_USUARIOS[[#This Row],[ID_MASSA]],tbl_de_massas[id_massa],tbl_de_massas[nome_completo],"--",0,1)</f>
        <v>Hiroshi Inoue</v>
      </c>
      <c r="G962" s="47">
        <f>_xlfn.XLOOKUP(TBL_USUARIOS[[#This Row],[ID_MASSA]],tbl_de_massas[id_massa],tbl_de_massas[saldo_conta],"--",0,1)</f>
        <v>10000</v>
      </c>
      <c r="H962" t="str">
        <f>_xlfn.XLOOKUP(TBL_USUARIOS[[#This Row],[ID_MASSA]],tbl_de_massas[id_massa],tbl_de_massas[nome_completo],"--",0,1)</f>
        <v>Hiroshi Inoue</v>
      </c>
    </row>
    <row r="963" spans="1:8" x14ac:dyDescent="0.25">
      <c r="A963" s="2" t="s">
        <v>7357</v>
      </c>
      <c r="B963" t="str">
        <f>_xlfn.XLOOKUP(TBL_USUARIOS[[#This Row],[ID_MASSA]],tbl_de_massas[id_massa],tbl_de_massas[cpf],"--",0,1)</f>
        <v>53195693003</v>
      </c>
      <c r="C963" t="s">
        <v>12</v>
      </c>
      <c r="D963" t="str">
        <f>_xlfn.XLOOKUP(TBL_USUARIOS[[#This Row],[ID_MASSA]],tbl_de_massas[id_massa],tbl_de_massas[nome_completo],"--",0,1)</f>
        <v>Takumi Hayashi Kimura</v>
      </c>
      <c r="E963" t="str">
        <f>_xlfn.XLOOKUP(TBL_USUARIOS[[#This Row],[ID_MASSA]],tbl_de_massas[id_massa],tbl_de_massas[cartao_fisico_numero],"--",0,1)</f>
        <v>6505 0666 5740 5860</v>
      </c>
      <c r="F963" t="str">
        <f>_xlfn.XLOOKUP(TBL_USUARIOS[[#This Row],[ID_MASSA]],tbl_de_massas[id_massa],tbl_de_massas[nome_completo],"--",0,1)</f>
        <v>Takumi Hayashi Kimura</v>
      </c>
      <c r="G963" s="47">
        <f>_xlfn.XLOOKUP(TBL_USUARIOS[[#This Row],[ID_MASSA]],tbl_de_massas[id_massa],tbl_de_massas[saldo_conta],"--",0,1)</f>
        <v>10000</v>
      </c>
      <c r="H963" t="str">
        <f>_xlfn.XLOOKUP(TBL_USUARIOS[[#This Row],[ID_MASSA]],tbl_de_massas[id_massa],tbl_de_massas[nome_completo],"--",0,1)</f>
        <v>Takumi Hayashi Kimura</v>
      </c>
    </row>
    <row r="964" spans="1:8" x14ac:dyDescent="0.25">
      <c r="A964" s="2" t="s">
        <v>7361</v>
      </c>
      <c r="B964" t="str">
        <f>_xlfn.XLOOKUP(TBL_USUARIOS[[#This Row],[ID_MASSA]],tbl_de_massas[id_massa],tbl_de_massas[cpf],"--",0,1)</f>
        <v>24177215546</v>
      </c>
      <c r="C964" t="s">
        <v>12</v>
      </c>
      <c r="D964" t="str">
        <f>_xlfn.XLOOKUP(TBL_USUARIOS[[#This Row],[ID_MASSA]],tbl_de_massas[id_massa],tbl_de_massas[nome_completo],"--",0,1)</f>
        <v>Hina Inoue</v>
      </c>
      <c r="E964" t="str">
        <f>_xlfn.XLOOKUP(TBL_USUARIOS[[#This Row],[ID_MASSA]],tbl_de_massas[id_massa],tbl_de_massas[cartao_fisico_numero],"--",0,1)</f>
        <v/>
      </c>
      <c r="F964" t="str">
        <f>_xlfn.XLOOKUP(TBL_USUARIOS[[#This Row],[ID_MASSA]],tbl_de_massas[id_massa],tbl_de_massas[nome_completo],"--",0,1)</f>
        <v>Hina Inoue</v>
      </c>
      <c r="G964" s="47">
        <f>_xlfn.XLOOKUP(TBL_USUARIOS[[#This Row],[ID_MASSA]],tbl_de_massas[id_massa],tbl_de_massas[saldo_conta],"--",0,1)</f>
        <v>10000</v>
      </c>
      <c r="H964" t="str">
        <f>_xlfn.XLOOKUP(TBL_USUARIOS[[#This Row],[ID_MASSA]],tbl_de_massas[id_massa],tbl_de_massas[nome_completo],"--",0,1)</f>
        <v>Hina Inoue</v>
      </c>
    </row>
    <row r="965" spans="1:8" x14ac:dyDescent="0.25">
      <c r="A965" s="2" t="s">
        <v>7364</v>
      </c>
      <c r="B965" t="str">
        <f>_xlfn.XLOOKUP(TBL_USUARIOS[[#This Row],[ID_MASSA]],tbl_de_massas[id_massa],tbl_de_massas[cpf],"--",0,1)</f>
        <v>74267188246</v>
      </c>
      <c r="C965" t="s">
        <v>12</v>
      </c>
      <c r="D965" t="str">
        <f>_xlfn.XLOOKUP(TBL_USUARIOS[[#This Row],[ID_MASSA]],tbl_de_massas[id_massa],tbl_de_massas[nome_completo],"--",0,1)</f>
        <v>Akari Ito Watanabe</v>
      </c>
      <c r="E965" t="str">
        <f>_xlfn.XLOOKUP(TBL_USUARIOS[[#This Row],[ID_MASSA]],tbl_de_massas[id_massa],tbl_de_massas[cartao_fisico_numero],"--",0,1)</f>
        <v/>
      </c>
      <c r="F965" t="str">
        <f>_xlfn.XLOOKUP(TBL_USUARIOS[[#This Row],[ID_MASSA]],tbl_de_massas[id_massa],tbl_de_massas[nome_completo],"--",0,1)</f>
        <v>Akari Ito Watanabe</v>
      </c>
      <c r="G965" s="47">
        <f>_xlfn.XLOOKUP(TBL_USUARIOS[[#This Row],[ID_MASSA]],tbl_de_massas[id_massa],tbl_de_massas[saldo_conta],"--",0,1)</f>
        <v>10000</v>
      </c>
      <c r="H965" t="str">
        <f>_xlfn.XLOOKUP(TBL_USUARIOS[[#This Row],[ID_MASSA]],tbl_de_massas[id_massa],tbl_de_massas[nome_completo],"--",0,1)</f>
        <v>Akari Ito Watanabe</v>
      </c>
    </row>
    <row r="966" spans="1:8" x14ac:dyDescent="0.25">
      <c r="A966" s="2" t="s">
        <v>7368</v>
      </c>
      <c r="B966" t="str">
        <f>_xlfn.XLOOKUP(TBL_USUARIOS[[#This Row],[ID_MASSA]],tbl_de_massas[id_massa],tbl_de_massas[cpf],"--",0,1)</f>
        <v>66656473660</v>
      </c>
      <c r="C966" t="s">
        <v>12</v>
      </c>
      <c r="D966" t="str">
        <f>_xlfn.XLOOKUP(TBL_USUARIOS[[#This Row],[ID_MASSA]],tbl_de_massas[id_massa],tbl_de_massas[nome_completo],"--",0,1)</f>
        <v>Taro Kobayashi</v>
      </c>
      <c r="E966" t="str">
        <f>_xlfn.XLOOKUP(TBL_USUARIOS[[#This Row],[ID_MASSA]],tbl_de_massas[id_massa],tbl_de_massas[cartao_fisico_numero],"--",0,1)</f>
        <v/>
      </c>
      <c r="F966" t="str">
        <f>_xlfn.XLOOKUP(TBL_USUARIOS[[#This Row],[ID_MASSA]],tbl_de_massas[id_massa],tbl_de_massas[nome_completo],"--",0,1)</f>
        <v>Taro Kobayashi</v>
      </c>
      <c r="G966" s="47">
        <f>_xlfn.XLOOKUP(TBL_USUARIOS[[#This Row],[ID_MASSA]],tbl_de_massas[id_massa],tbl_de_massas[saldo_conta],"--",0,1)</f>
        <v>10000</v>
      </c>
      <c r="H966" t="str">
        <f>_xlfn.XLOOKUP(TBL_USUARIOS[[#This Row],[ID_MASSA]],tbl_de_massas[id_massa],tbl_de_massas[nome_completo],"--",0,1)</f>
        <v>Taro Kobayashi</v>
      </c>
    </row>
    <row r="967" spans="1:8" x14ac:dyDescent="0.25">
      <c r="A967" s="2" t="s">
        <v>7372</v>
      </c>
      <c r="B967" t="str">
        <f>_xlfn.XLOOKUP(TBL_USUARIOS[[#This Row],[ID_MASSA]],tbl_de_massas[id_massa],tbl_de_massas[cpf],"--",0,1)</f>
        <v>00165484934</v>
      </c>
      <c r="C967" t="s">
        <v>12</v>
      </c>
      <c r="D967" t="str">
        <f>_xlfn.XLOOKUP(TBL_USUARIOS[[#This Row],[ID_MASSA]],tbl_de_massas[id_massa],tbl_de_massas[nome_completo],"--",0,1)</f>
        <v>Ren Yamazaki</v>
      </c>
      <c r="E967" t="str">
        <f>_xlfn.XLOOKUP(TBL_USUARIOS[[#This Row],[ID_MASSA]],tbl_de_massas[id_massa],tbl_de_massas[cartao_fisico_numero],"--",0,1)</f>
        <v>6505 0666 5805 5975</v>
      </c>
      <c r="F967" t="str">
        <f>_xlfn.XLOOKUP(TBL_USUARIOS[[#This Row],[ID_MASSA]],tbl_de_massas[id_massa],tbl_de_massas[nome_completo],"--",0,1)</f>
        <v>Ren Yamazaki</v>
      </c>
      <c r="G967" s="47">
        <f>_xlfn.XLOOKUP(TBL_USUARIOS[[#This Row],[ID_MASSA]],tbl_de_massas[id_massa],tbl_de_massas[saldo_conta],"--",0,1)</f>
        <v>10000</v>
      </c>
      <c r="H967" t="str">
        <f>_xlfn.XLOOKUP(TBL_USUARIOS[[#This Row],[ID_MASSA]],tbl_de_massas[id_massa],tbl_de_massas[nome_completo],"--",0,1)</f>
        <v>Ren Yamazaki</v>
      </c>
    </row>
    <row r="968" spans="1:8" x14ac:dyDescent="0.25">
      <c r="A968" s="2" t="s">
        <v>7377</v>
      </c>
      <c r="B968" t="str">
        <f>_xlfn.XLOOKUP(TBL_USUARIOS[[#This Row],[ID_MASSA]],tbl_de_massas[id_massa],tbl_de_massas[cpf],"--",0,1)</f>
        <v>78335290873</v>
      </c>
      <c r="C968" t="s">
        <v>12</v>
      </c>
      <c r="D968" t="str">
        <f>_xlfn.XLOOKUP(TBL_USUARIOS[[#This Row],[ID_MASSA]],tbl_de_massas[id_massa],tbl_de_massas[nome_completo],"--",0,1)</f>
        <v>Daiki Matsumoto</v>
      </c>
      <c r="E968" t="str">
        <f>_xlfn.XLOOKUP(TBL_USUARIOS[[#This Row],[ID_MASSA]],tbl_de_massas[id_massa],tbl_de_massas[cartao_fisico_numero],"--",0,1)</f>
        <v/>
      </c>
      <c r="F968" t="str">
        <f>_xlfn.XLOOKUP(TBL_USUARIOS[[#This Row],[ID_MASSA]],tbl_de_massas[id_massa],tbl_de_massas[nome_completo],"--",0,1)</f>
        <v>Daiki Matsumoto</v>
      </c>
      <c r="G968" s="47">
        <f>_xlfn.XLOOKUP(TBL_USUARIOS[[#This Row],[ID_MASSA]],tbl_de_massas[id_massa],tbl_de_massas[saldo_conta],"--",0,1)</f>
        <v>10000</v>
      </c>
      <c r="H968" t="str">
        <f>_xlfn.XLOOKUP(TBL_USUARIOS[[#This Row],[ID_MASSA]],tbl_de_massas[id_massa],tbl_de_massas[nome_completo],"--",0,1)</f>
        <v>Daiki Matsumoto</v>
      </c>
    </row>
    <row r="969" spans="1:8" x14ac:dyDescent="0.25">
      <c r="A969" s="2" t="s">
        <v>7381</v>
      </c>
      <c r="B969" t="str">
        <f>_xlfn.XLOOKUP(TBL_USUARIOS[[#This Row],[ID_MASSA]],tbl_de_massas[id_massa],tbl_de_massas[cpf],"--",0,1)</f>
        <v>86619438415</v>
      </c>
      <c r="C969" t="s">
        <v>12</v>
      </c>
      <c r="D969" t="str">
        <f>_xlfn.XLOOKUP(TBL_USUARIOS[[#This Row],[ID_MASSA]],tbl_de_massas[id_massa],tbl_de_massas[nome_completo],"--",0,1)</f>
        <v>Aoi Ito</v>
      </c>
      <c r="E969" t="str">
        <f>_xlfn.XLOOKUP(TBL_USUARIOS[[#This Row],[ID_MASSA]],tbl_de_massas[id_massa],tbl_de_massas[cartao_fisico_numero],"--",0,1)</f>
        <v>3782 116285 8923</v>
      </c>
      <c r="F969" t="str">
        <f>_xlfn.XLOOKUP(TBL_USUARIOS[[#This Row],[ID_MASSA]],tbl_de_massas[id_massa],tbl_de_massas[nome_completo],"--",0,1)</f>
        <v>Aoi Ito</v>
      </c>
      <c r="G969" s="47">
        <f>_xlfn.XLOOKUP(TBL_USUARIOS[[#This Row],[ID_MASSA]],tbl_de_massas[id_massa],tbl_de_massas[saldo_conta],"--",0,1)</f>
        <v>10000</v>
      </c>
      <c r="H969" t="str">
        <f>_xlfn.XLOOKUP(TBL_USUARIOS[[#This Row],[ID_MASSA]],tbl_de_massas[id_massa],tbl_de_massas[nome_completo],"--",0,1)</f>
        <v>Aoi Ito</v>
      </c>
    </row>
    <row r="970" spans="1:8" x14ac:dyDescent="0.25">
      <c r="A970" s="2" t="s">
        <v>2133</v>
      </c>
      <c r="B970" s="14" t="str">
        <f>_xlfn.XLOOKUP(TBL_USUARIOS[[#This Row],[ID_MASSA]],tbl_de_massas[id_massa],tbl_de_massas[cpf],"--",0,1)</f>
        <v>41649264658</v>
      </c>
      <c r="C970" t="s">
        <v>12</v>
      </c>
      <c r="D970" t="str">
        <f>_xlfn.XLOOKUP(TBL_USUARIOS[[#This Row],[ID_MASSA]],tbl_de_massas[id_massa],tbl_de_massas[nome_completo],"--",0,1)</f>
        <v>Ren Ito</v>
      </c>
      <c r="E970" t="str">
        <f>_xlfn.XLOOKUP(TBL_USUARIOS[[#This Row],[ID_MASSA]],tbl_de_massas[id_massa],tbl_de_massas[cartao_fisico_numero],"--",0,1)</f>
        <v>6505 0666 7023 0156</v>
      </c>
      <c r="F970" t="str">
        <f>_xlfn.XLOOKUP(TBL_USUARIOS[[#This Row],[ID_MASSA]],tbl_de_massas[id_massa],tbl_de_massas[nome_completo],"--",0,1)</f>
        <v>Ren Ito</v>
      </c>
      <c r="G970" s="47">
        <f>_xlfn.XLOOKUP(TBL_USUARIOS[[#This Row],[ID_MASSA]],tbl_de_massas[id_massa],tbl_de_massas[saldo_conta],"--",0,1)</f>
        <v>10010.49</v>
      </c>
      <c r="H970" t="str">
        <f>_xlfn.XLOOKUP(TBL_USUARIOS[[#This Row],[ID_MASSA]],tbl_de_massas[id_massa],tbl_de_massas[nome_completo],"--",0,1)</f>
        <v>Ren Ito</v>
      </c>
    </row>
    <row r="971" spans="1:8" x14ac:dyDescent="0.25">
      <c r="A971" s="2" t="s">
        <v>4890</v>
      </c>
      <c r="B971" t="str">
        <f>_xlfn.XLOOKUP(TBL_USUARIOS[[#This Row],[ID_MASSA]],tbl_de_massas[id_massa],tbl_de_massas[cpf],"--",0,1)</f>
        <v>99453252484</v>
      </c>
      <c r="C971" t="s">
        <v>12</v>
      </c>
      <c r="D971" t="str">
        <f>_xlfn.XLOOKUP(TBL_USUARIOS[[#This Row],[ID_MASSA]],tbl_de_massas[id_massa],tbl_de_massas[nome_completo],"--",0,1)</f>
        <v>Bianca Almeida Moreira</v>
      </c>
      <c r="E971" t="str">
        <f>_xlfn.XLOOKUP(TBL_USUARIOS[[#This Row],[ID_MASSA]],tbl_de_massas[id_massa],tbl_de_massas[cartao_fisico_numero],"--",0,1)</f>
        <v>6505 0666 6557 4823</v>
      </c>
      <c r="F971" t="str">
        <f>_xlfn.XLOOKUP(TBL_USUARIOS[[#This Row],[ID_MASSA]],tbl_de_massas[id_massa],tbl_de_massas[nome_completo],"--",0,1)</f>
        <v>Bianca Almeida Moreira</v>
      </c>
      <c r="G971" s="47">
        <f>_xlfn.XLOOKUP(TBL_USUARIOS[[#This Row],[ID_MASSA]],tbl_de_massas[id_massa],tbl_de_massas[saldo_conta],"--",0,1)</f>
        <v>10017.9</v>
      </c>
      <c r="H971" t="str">
        <f>_xlfn.XLOOKUP(TBL_USUARIOS[[#This Row],[ID_MASSA]],tbl_de_massas[id_massa],tbl_de_massas[nome_completo],"--",0,1)</f>
        <v>Bianca Almeida Moreira</v>
      </c>
    </row>
    <row r="972" spans="1:8" x14ac:dyDescent="0.25">
      <c r="A972" s="2" t="s">
        <v>5566</v>
      </c>
      <c r="B972" t="str">
        <f>_xlfn.XLOOKUP(TBL_USUARIOS[[#This Row],[ID_MASSA]],tbl_de_massas[id_massa],tbl_de_massas[cpf],"--",0,1)</f>
        <v>38748322369</v>
      </c>
      <c r="C972" t="s">
        <v>12</v>
      </c>
      <c r="D972" t="str">
        <f>_xlfn.XLOOKUP(TBL_USUARIOS[[#This Row],[ID_MASSA]],tbl_de_massas[id_massa],tbl_de_massas[nome_completo],"--",0,1)</f>
        <v>Vinicius Barbosa Nunes</v>
      </c>
      <c r="E972" t="str">
        <f>_xlfn.XLOOKUP(TBL_USUARIOS[[#This Row],[ID_MASSA]],tbl_de_massas[id_massa],tbl_de_massas[cartao_fisico_numero],"--",0,1)</f>
        <v/>
      </c>
      <c r="F972" t="str">
        <f>_xlfn.XLOOKUP(TBL_USUARIOS[[#This Row],[ID_MASSA]],tbl_de_massas[id_massa],tbl_de_massas[nome_completo],"--",0,1)</f>
        <v>Vinicius Barbosa Nunes</v>
      </c>
      <c r="G972" s="47">
        <f>_xlfn.XLOOKUP(TBL_USUARIOS[[#This Row],[ID_MASSA]],tbl_de_massas[id_massa],tbl_de_massas[saldo_conta],"--",0,1)</f>
        <v>10018.81</v>
      </c>
      <c r="H972" t="str">
        <f>_xlfn.XLOOKUP(TBL_USUARIOS[[#This Row],[ID_MASSA]],tbl_de_massas[id_massa],tbl_de_massas[nome_completo],"--",0,1)</f>
        <v>Vinicius Barbosa Nunes</v>
      </c>
    </row>
    <row r="973" spans="1:8" x14ac:dyDescent="0.25">
      <c r="A973" s="2" t="s">
        <v>5680</v>
      </c>
      <c r="B973" t="str">
        <f>_xlfn.XLOOKUP(TBL_USUARIOS[[#This Row],[ID_MASSA]],tbl_de_massas[id_massa],tbl_de_massas[cpf],"--",0,1)</f>
        <v>03295714940</v>
      </c>
      <c r="C973" t="s">
        <v>12</v>
      </c>
      <c r="D973" t="str">
        <f>_xlfn.XLOOKUP(TBL_USUARIOS[[#This Row],[ID_MASSA]],tbl_de_massas[id_massa],tbl_de_massas[nome_completo],"--",0,1)</f>
        <v>Alexandre Souza Araujo</v>
      </c>
      <c r="E973" t="str">
        <f>_xlfn.XLOOKUP(TBL_USUARIOS[[#This Row],[ID_MASSA]],tbl_de_massas[id_massa],tbl_de_massas[cartao_fisico_numero],"--",0,1)</f>
        <v>5442 7460 6849 7651</v>
      </c>
      <c r="F973" t="str">
        <f>_xlfn.XLOOKUP(TBL_USUARIOS[[#This Row],[ID_MASSA]],tbl_de_massas[id_massa],tbl_de_massas[nome_completo],"--",0,1)</f>
        <v>Alexandre Souza Araujo</v>
      </c>
      <c r="G973" s="47">
        <f>_xlfn.XLOOKUP(TBL_USUARIOS[[#This Row],[ID_MASSA]],tbl_de_massas[id_massa],tbl_de_massas[saldo_conta],"--",0,1)</f>
        <v>10019.629999999999</v>
      </c>
      <c r="H973" t="str">
        <f>_xlfn.XLOOKUP(TBL_USUARIOS[[#This Row],[ID_MASSA]],tbl_de_massas[id_massa],tbl_de_massas[nome_completo],"--",0,1)</f>
        <v>Alexandre Souza Araujo</v>
      </c>
    </row>
    <row r="974" spans="1:8" x14ac:dyDescent="0.25">
      <c r="A974" s="2" t="s">
        <v>5286</v>
      </c>
      <c r="B974" t="str">
        <f>_xlfn.XLOOKUP(TBL_USUARIOS[[#This Row],[ID_MASSA]],tbl_de_massas[id_massa],tbl_de_massas[cpf],"--",0,1)</f>
        <v>51308293100</v>
      </c>
      <c r="C974" t="s">
        <v>12</v>
      </c>
      <c r="D974" t="str">
        <f>_xlfn.XLOOKUP(TBL_USUARIOS[[#This Row],[ID_MASSA]],tbl_de_massas[id_massa],tbl_de_massas[nome_completo],"--",0,1)</f>
        <v>Marcos Cavalcanti Almeida</v>
      </c>
      <c r="E974" t="str">
        <f>_xlfn.XLOOKUP(TBL_USUARIOS[[#This Row],[ID_MASSA]],tbl_de_massas[id_massa],tbl_de_massas[cartao_fisico_numero],"--",0,1)</f>
        <v>4576 7460 4780 6687</v>
      </c>
      <c r="F974" t="str">
        <f>_xlfn.XLOOKUP(TBL_USUARIOS[[#This Row],[ID_MASSA]],tbl_de_massas[id_massa],tbl_de_massas[nome_completo],"--",0,1)</f>
        <v>Marcos Cavalcanti Almeida</v>
      </c>
      <c r="G974" s="47">
        <f>_xlfn.XLOOKUP(TBL_USUARIOS[[#This Row],[ID_MASSA]],tbl_de_massas[id_massa],tbl_de_massas[saldo_conta],"--",0,1)</f>
        <v>10020.06</v>
      </c>
      <c r="H974" t="str">
        <f>_xlfn.XLOOKUP(TBL_USUARIOS[[#This Row],[ID_MASSA]],tbl_de_massas[id_massa],tbl_de_massas[nome_completo],"--",0,1)</f>
        <v>Marcos Cavalcanti Almeida</v>
      </c>
    </row>
    <row r="975" spans="1:8" x14ac:dyDescent="0.25">
      <c r="A975" s="2" t="s">
        <v>3936</v>
      </c>
      <c r="B975" t="str">
        <f>_xlfn.XLOOKUP(TBL_USUARIOS[[#This Row],[ID_MASSA]],tbl_de_massas[id_massa],tbl_de_massas[cpf],"--",0,1)</f>
        <v>65415312188</v>
      </c>
      <c r="C975" t="s">
        <v>12</v>
      </c>
      <c r="D975" t="str">
        <f>_xlfn.XLOOKUP(TBL_USUARIOS[[#This Row],[ID_MASSA]],tbl_de_massas[id_massa],tbl_de_massas[nome_completo],"--",0,1)</f>
        <v>Tatiane Castro Pinto</v>
      </c>
      <c r="E975" t="str">
        <f>_xlfn.XLOOKUP(TBL_USUARIOS[[#This Row],[ID_MASSA]],tbl_de_massas[id_massa],tbl_de_massas[cartao_fisico_numero],"--",0,1)</f>
        <v/>
      </c>
      <c r="F975" t="str">
        <f>_xlfn.XLOOKUP(TBL_USUARIOS[[#This Row],[ID_MASSA]],tbl_de_massas[id_massa],tbl_de_massas[nome_completo],"--",0,1)</f>
        <v>Tatiane Castro Pinto</v>
      </c>
      <c r="G975" s="47">
        <f>_xlfn.XLOOKUP(TBL_USUARIOS[[#This Row],[ID_MASSA]],tbl_de_massas[id_massa],tbl_de_massas[saldo_conta],"--",0,1)</f>
        <v>10042.64</v>
      </c>
      <c r="H975" t="str">
        <f>_xlfn.XLOOKUP(TBL_USUARIOS[[#This Row],[ID_MASSA]],tbl_de_massas[id_massa],tbl_de_massas[nome_completo],"--",0,1)</f>
        <v>Tatiane Castro Pinto</v>
      </c>
    </row>
    <row r="976" spans="1:8" x14ac:dyDescent="0.25">
      <c r="A976" s="2" t="s">
        <v>4132</v>
      </c>
      <c r="B976" t="str">
        <f>_xlfn.XLOOKUP(TBL_USUARIOS[[#This Row],[ID_MASSA]],tbl_de_massas[id_massa],tbl_de_massas[cpf],"--",0,1)</f>
        <v>71337412295</v>
      </c>
      <c r="C976" t="s">
        <v>12</v>
      </c>
      <c r="D976" t="str">
        <f>_xlfn.XLOOKUP(TBL_USUARIOS[[#This Row],[ID_MASSA]],tbl_de_massas[id_massa],tbl_de_massas[nome_completo],"--",0,1)</f>
        <v>Amanda Cardoso</v>
      </c>
      <c r="E976" t="str">
        <f>_xlfn.XLOOKUP(TBL_USUARIOS[[#This Row],[ID_MASSA]],tbl_de_massas[id_massa],tbl_de_massas[cartao_fisico_numero],"--",0,1)</f>
        <v>3782 229068 5626</v>
      </c>
      <c r="F976" t="str">
        <f>_xlfn.XLOOKUP(TBL_USUARIOS[[#This Row],[ID_MASSA]],tbl_de_massas[id_massa],tbl_de_massas[nome_completo],"--",0,1)</f>
        <v>Amanda Cardoso</v>
      </c>
      <c r="G976" s="47">
        <f>_xlfn.XLOOKUP(TBL_USUARIOS[[#This Row],[ID_MASSA]],tbl_de_massas[id_massa],tbl_de_massas[saldo_conta],"--",0,1)</f>
        <v>10060.56</v>
      </c>
      <c r="H976" t="str">
        <f>_xlfn.XLOOKUP(TBL_USUARIOS[[#This Row],[ID_MASSA]],tbl_de_massas[id_massa],tbl_de_massas[nome_completo],"--",0,1)</f>
        <v>Amanda Cardoso</v>
      </c>
    </row>
    <row r="977" spans="1:8" x14ac:dyDescent="0.25">
      <c r="A977" s="2" t="s">
        <v>4856</v>
      </c>
      <c r="B977" t="str">
        <f>_xlfn.XLOOKUP(TBL_USUARIOS[[#This Row],[ID_MASSA]],tbl_de_massas[id_massa],tbl_de_massas[cpf],"--",0,1)</f>
        <v>46282119812</v>
      </c>
      <c r="C977" t="s">
        <v>12</v>
      </c>
      <c r="D977" t="str">
        <f>_xlfn.XLOOKUP(TBL_USUARIOS[[#This Row],[ID_MASSA]],tbl_de_massas[id_massa],tbl_de_massas[nome_completo],"--",0,1)</f>
        <v>Carolina Rocha Mendes</v>
      </c>
      <c r="E977" t="str">
        <f>_xlfn.XLOOKUP(TBL_USUARIOS[[#This Row],[ID_MASSA]],tbl_de_massas[id_massa],tbl_de_massas[cartao_fisico_numero],"--",0,1)</f>
        <v/>
      </c>
      <c r="F977" t="str">
        <f>_xlfn.XLOOKUP(TBL_USUARIOS[[#This Row],[ID_MASSA]],tbl_de_massas[id_massa],tbl_de_massas[nome_completo],"--",0,1)</f>
        <v>Carolina Rocha Mendes</v>
      </c>
      <c r="G977" s="47">
        <f>_xlfn.XLOOKUP(TBL_USUARIOS[[#This Row],[ID_MASSA]],tbl_de_massas[id_massa],tbl_de_massas[saldo_conta],"--",0,1)</f>
        <v>10061.64</v>
      </c>
      <c r="H977" t="str">
        <f>_xlfn.XLOOKUP(TBL_USUARIOS[[#This Row],[ID_MASSA]],tbl_de_massas[id_massa],tbl_de_massas[nome_completo],"--",0,1)</f>
        <v>Carolina Rocha Mendes</v>
      </c>
    </row>
    <row r="978" spans="1:8" x14ac:dyDescent="0.25">
      <c r="A978" s="2" t="s">
        <v>4326</v>
      </c>
      <c r="B978" t="str">
        <f>_xlfn.XLOOKUP(TBL_USUARIOS[[#This Row],[ID_MASSA]],tbl_de_massas[id_massa],tbl_de_massas[cpf],"--",0,1)</f>
        <v>17974911131</v>
      </c>
      <c r="C978" t="s">
        <v>12</v>
      </c>
      <c r="D978" t="str">
        <f>_xlfn.XLOOKUP(TBL_USUARIOS[[#This Row],[ID_MASSA]],tbl_de_massas[id_massa],tbl_de_massas[nome_completo],"--",0,1)</f>
        <v>Gustavo Vieira</v>
      </c>
      <c r="E978" t="str">
        <f>_xlfn.XLOOKUP(TBL_USUARIOS[[#This Row],[ID_MASSA]],tbl_de_massas[id_massa],tbl_de_massas[cartao_fisico_numero],"--",0,1)</f>
        <v/>
      </c>
      <c r="F978" t="str">
        <f>_xlfn.XLOOKUP(TBL_USUARIOS[[#This Row],[ID_MASSA]],tbl_de_massas[id_massa],tbl_de_massas[nome_completo],"--",0,1)</f>
        <v>Gustavo Vieira</v>
      </c>
      <c r="G978" s="47">
        <f>_xlfn.XLOOKUP(TBL_USUARIOS[[#This Row],[ID_MASSA]],tbl_de_massas[id_massa],tbl_de_massas[saldo_conta],"--",0,1)</f>
        <v>10067.44</v>
      </c>
      <c r="H978" t="str">
        <f>_xlfn.XLOOKUP(TBL_USUARIOS[[#This Row],[ID_MASSA]],tbl_de_massas[id_massa],tbl_de_massas[nome_completo],"--",0,1)</f>
        <v>Gustavo Vieira</v>
      </c>
    </row>
    <row r="979" spans="1:8" x14ac:dyDescent="0.25">
      <c r="A979" s="2" t="s">
        <v>4838</v>
      </c>
      <c r="B979" t="str">
        <f>_xlfn.XLOOKUP(TBL_USUARIOS[[#This Row],[ID_MASSA]],tbl_de_massas[id_massa],tbl_de_massas[cpf],"--",0,1)</f>
        <v>01766628710</v>
      </c>
      <c r="C979" t="s">
        <v>12</v>
      </c>
      <c r="D979" t="str">
        <f>_xlfn.XLOOKUP(TBL_USUARIOS[[#This Row],[ID_MASSA]],tbl_de_massas[id_massa],tbl_de_massas[nome_completo],"--",0,1)</f>
        <v>Marcos Moura Freitas</v>
      </c>
      <c r="E979" t="str">
        <f>_xlfn.XLOOKUP(TBL_USUARIOS[[#This Row],[ID_MASSA]],tbl_de_massas[id_massa],tbl_de_massas[cartao_fisico_numero],"--",0,1)</f>
        <v>6062 8200 3923 8787</v>
      </c>
      <c r="F979" t="str">
        <f>_xlfn.XLOOKUP(TBL_USUARIOS[[#This Row],[ID_MASSA]],tbl_de_massas[id_massa],tbl_de_massas[nome_completo],"--",0,1)</f>
        <v>Marcos Moura Freitas</v>
      </c>
      <c r="G979" s="47">
        <f>_xlfn.XLOOKUP(TBL_USUARIOS[[#This Row],[ID_MASSA]],tbl_de_massas[id_massa],tbl_de_massas[saldo_conta],"--",0,1)</f>
        <v>10075.42</v>
      </c>
      <c r="H979" t="str">
        <f>_xlfn.XLOOKUP(TBL_USUARIOS[[#This Row],[ID_MASSA]],tbl_de_massas[id_massa],tbl_de_massas[nome_completo],"--",0,1)</f>
        <v>Marcos Moura Freitas</v>
      </c>
    </row>
    <row r="980" spans="1:8" x14ac:dyDescent="0.25">
      <c r="A980" s="2" t="s">
        <v>4677</v>
      </c>
      <c r="B980" t="str">
        <f>_xlfn.XLOOKUP(TBL_USUARIOS[[#This Row],[ID_MASSA]],tbl_de_massas[id_massa],tbl_de_massas[cpf],"--",0,1)</f>
        <v>05461641105</v>
      </c>
      <c r="C980" t="s">
        <v>12</v>
      </c>
      <c r="D980" t="str">
        <f>_xlfn.XLOOKUP(TBL_USUARIOS[[#This Row],[ID_MASSA]],tbl_de_massas[id_massa],tbl_de_massas[nome_completo],"--",0,1)</f>
        <v>Fabio Castro Costa</v>
      </c>
      <c r="E980" t="str">
        <f>_xlfn.XLOOKUP(TBL_USUARIOS[[#This Row],[ID_MASSA]],tbl_de_massas[id_massa],tbl_de_massas[cartao_fisico_numero],"--",0,1)</f>
        <v>5442 7460 9275 9154</v>
      </c>
      <c r="F980" t="str">
        <f>_xlfn.XLOOKUP(TBL_USUARIOS[[#This Row],[ID_MASSA]],tbl_de_massas[id_massa],tbl_de_massas[nome_completo],"--",0,1)</f>
        <v>Fabio Castro Costa</v>
      </c>
      <c r="G980" s="47">
        <f>_xlfn.XLOOKUP(TBL_USUARIOS[[#This Row],[ID_MASSA]],tbl_de_massas[id_massa],tbl_de_massas[saldo_conta],"--",0,1)</f>
        <v>7664.09</v>
      </c>
      <c r="H980" t="str">
        <f>_xlfn.XLOOKUP(TBL_USUARIOS[[#This Row],[ID_MASSA]],tbl_de_massas[id_massa],tbl_de_massas[nome_completo],"--",0,1)</f>
        <v>Fabio Castro Costa</v>
      </c>
    </row>
    <row r="981" spans="1:8" x14ac:dyDescent="0.25">
      <c r="A981" s="2" t="s">
        <v>6297</v>
      </c>
      <c r="B981" t="str">
        <f>_xlfn.XLOOKUP(TBL_USUARIOS[[#This Row],[ID_MASSA]],tbl_de_massas[id_massa],tbl_de_massas[cpf],"--",0,1)</f>
        <v>21757137254</v>
      </c>
      <c r="C981" t="s">
        <v>12</v>
      </c>
      <c r="D981" t="str">
        <f>_xlfn.XLOOKUP(TBL_USUARIOS[[#This Row],[ID_MASSA]],tbl_de_massas[id_massa],tbl_de_massas[nome_completo],"--",0,1)</f>
        <v>Michael Jones White</v>
      </c>
      <c r="E981" t="str">
        <f>_xlfn.XLOOKUP(TBL_USUARIOS[[#This Row],[ID_MASSA]],tbl_de_massas[id_massa],tbl_de_massas[cartao_fisico_numero],"--",0,1)</f>
        <v>6505 0666 3382 5615</v>
      </c>
      <c r="F981" t="str">
        <f>_xlfn.XLOOKUP(TBL_USUARIOS[[#This Row],[ID_MASSA]],tbl_de_massas[id_massa],tbl_de_massas[nome_completo],"--",0,1)</f>
        <v>Michael Jones White</v>
      </c>
      <c r="G981" s="47">
        <f>_xlfn.XLOOKUP(TBL_USUARIOS[[#This Row],[ID_MASSA]],tbl_de_massas[id_massa],tbl_de_massas[saldo_conta],"--",0,1)</f>
        <v>10126.89</v>
      </c>
      <c r="H981" t="str">
        <f>_xlfn.XLOOKUP(TBL_USUARIOS[[#This Row],[ID_MASSA]],tbl_de_massas[id_massa],tbl_de_massas[nome_completo],"--",0,1)</f>
        <v>Michael Jones White</v>
      </c>
    </row>
    <row r="982" spans="1:8" x14ac:dyDescent="0.25">
      <c r="A982" s="2" t="s">
        <v>6647</v>
      </c>
      <c r="B982" t="str">
        <f>_xlfn.XLOOKUP(TBL_USUARIOS[[#This Row],[ID_MASSA]],tbl_de_massas[id_massa],tbl_de_massas[cpf],"--",0,1)</f>
        <v>44514236942</v>
      </c>
      <c r="C982" t="s">
        <v>12</v>
      </c>
      <c r="D982" t="str">
        <f>_xlfn.XLOOKUP(TBL_USUARIOS[[#This Row],[ID_MASSA]],tbl_de_massas[id_massa],tbl_de_massas[nome_completo],"--",0,1)</f>
        <v>Yui Yamazaki Yamaguchi</v>
      </c>
      <c r="E982" t="str">
        <f>_xlfn.XLOOKUP(TBL_USUARIOS[[#This Row],[ID_MASSA]],tbl_de_massas[id_massa],tbl_de_massas[cartao_fisico_numero],"--",0,1)</f>
        <v/>
      </c>
      <c r="F982" t="str">
        <f>_xlfn.XLOOKUP(TBL_USUARIOS[[#This Row],[ID_MASSA]],tbl_de_massas[id_massa],tbl_de_massas[nome_completo],"--",0,1)</f>
        <v>Yui Yamazaki Yamaguchi</v>
      </c>
      <c r="G982" s="47">
        <f>_xlfn.XLOOKUP(TBL_USUARIOS[[#This Row],[ID_MASSA]],tbl_de_massas[id_massa],tbl_de_massas[saldo_conta],"--",0,1)</f>
        <v>10165.629999999999</v>
      </c>
      <c r="H982" t="str">
        <f>_xlfn.XLOOKUP(TBL_USUARIOS[[#This Row],[ID_MASSA]],tbl_de_massas[id_massa],tbl_de_massas[nome_completo],"--",0,1)</f>
        <v>Yui Yamazaki Yamaguchi</v>
      </c>
    </row>
    <row r="983" spans="1:8" x14ac:dyDescent="0.25">
      <c r="A983" s="2" t="s">
        <v>6236</v>
      </c>
      <c r="B983" t="str">
        <f>_xlfn.XLOOKUP(TBL_USUARIOS[[#This Row],[ID_MASSA]],tbl_de_massas[id_massa],tbl_de_massas[cpf],"--",0,1)</f>
        <v>52761775899</v>
      </c>
      <c r="C983" t="s">
        <v>12</v>
      </c>
      <c r="D983" t="str">
        <f>_xlfn.XLOOKUP(TBL_USUARIOS[[#This Row],[ID_MASSA]],tbl_de_massas[id_massa],tbl_de_massas[nome_completo],"--",0,1)</f>
        <v>Alexander Jones Wright</v>
      </c>
      <c r="E983" t="str">
        <f>_xlfn.XLOOKUP(TBL_USUARIOS[[#This Row],[ID_MASSA]],tbl_de_massas[id_massa],tbl_de_massas[cartao_fisico_numero],"--",0,1)</f>
        <v>6505 0666 1153 3959</v>
      </c>
      <c r="F983" t="str">
        <f>_xlfn.XLOOKUP(TBL_USUARIOS[[#This Row],[ID_MASSA]],tbl_de_massas[id_massa],tbl_de_massas[nome_completo],"--",0,1)</f>
        <v>Alexander Jones Wright</v>
      </c>
      <c r="G983" s="47">
        <f>_xlfn.XLOOKUP(TBL_USUARIOS[[#This Row],[ID_MASSA]],tbl_de_massas[id_massa],tbl_de_massas[saldo_conta],"--",0,1)</f>
        <v>10176.040000000001</v>
      </c>
      <c r="H983" t="str">
        <f>_xlfn.XLOOKUP(TBL_USUARIOS[[#This Row],[ID_MASSA]],tbl_de_massas[id_massa],tbl_de_massas[nome_completo],"--",0,1)</f>
        <v>Alexander Jones Wright</v>
      </c>
    </row>
    <row r="984" spans="1:8" x14ac:dyDescent="0.25">
      <c r="A984" s="2" t="s">
        <v>6327</v>
      </c>
      <c r="B984" t="str">
        <f>_xlfn.XLOOKUP(TBL_USUARIOS[[#This Row],[ID_MASSA]],tbl_de_massas[id_massa],tbl_de_massas[cpf],"--",0,1)</f>
        <v>50563867582</v>
      </c>
      <c r="C984" t="s">
        <v>12</v>
      </c>
      <c r="D984" t="str">
        <f>_xlfn.XLOOKUP(TBL_USUARIOS[[#This Row],[ID_MASSA]],tbl_de_massas[id_massa],tbl_de_massas[nome_completo],"--",0,1)</f>
        <v>Charlotte Harris</v>
      </c>
      <c r="E984" t="str">
        <f>_xlfn.XLOOKUP(TBL_USUARIOS[[#This Row],[ID_MASSA]],tbl_de_massas[id_massa],tbl_de_massas[cartao_fisico_numero],"--",0,1)</f>
        <v/>
      </c>
      <c r="F984" t="str">
        <f>_xlfn.XLOOKUP(TBL_USUARIOS[[#This Row],[ID_MASSA]],tbl_de_massas[id_massa],tbl_de_massas[nome_completo],"--",0,1)</f>
        <v>Charlotte Harris</v>
      </c>
      <c r="G984" s="47">
        <f>_xlfn.XLOOKUP(TBL_USUARIOS[[#This Row],[ID_MASSA]],tbl_de_massas[id_massa],tbl_de_massas[saldo_conta],"--",0,1)</f>
        <v>10193.68</v>
      </c>
      <c r="H984" t="str">
        <f>_xlfn.XLOOKUP(TBL_USUARIOS[[#This Row],[ID_MASSA]],tbl_de_massas[id_massa],tbl_de_massas[nome_completo],"--",0,1)</f>
        <v>Charlotte Harris</v>
      </c>
    </row>
    <row r="985" spans="1:8" x14ac:dyDescent="0.25">
      <c r="A985" s="2" t="s">
        <v>2316</v>
      </c>
      <c r="B985" s="14" t="str">
        <f>_xlfn.XLOOKUP(TBL_USUARIOS[[#This Row],[ID_MASSA]],tbl_de_massas[id_massa],tbl_de_massas[cpf],"--",0,1)</f>
        <v>82499572612</v>
      </c>
      <c r="C985" t="s">
        <v>12</v>
      </c>
      <c r="D985" t="str">
        <f>_xlfn.XLOOKUP(TBL_USUARIOS[[#This Row],[ID_MASSA]],tbl_de_massas[id_massa],tbl_de_massas[nome_completo],"--",0,1)</f>
        <v>Camille Martin</v>
      </c>
      <c r="E985" t="str">
        <f>_xlfn.XLOOKUP(TBL_USUARIOS[[#This Row],[ID_MASSA]],tbl_de_massas[id_massa],tbl_de_massas[cartao_fisico_numero],"--",0,1)</f>
        <v>5442 7460 4229 7284</v>
      </c>
      <c r="F985" t="str">
        <f>_xlfn.XLOOKUP(TBL_USUARIOS[[#This Row],[ID_MASSA]],tbl_de_massas[id_massa],tbl_de_massas[nome_completo],"--",0,1)</f>
        <v>Camille Martin</v>
      </c>
      <c r="G985" s="47">
        <f>_xlfn.XLOOKUP(TBL_USUARIOS[[#This Row],[ID_MASSA]],tbl_de_massas[id_massa],tbl_de_massas[saldo_conta],"--",0,1)</f>
        <v>9394.58</v>
      </c>
      <c r="H985" t="str">
        <f>_xlfn.XLOOKUP(TBL_USUARIOS[[#This Row],[ID_MASSA]],tbl_de_massas[id_massa],tbl_de_massas[nome_completo],"--",0,1)</f>
        <v>Camille Martin</v>
      </c>
    </row>
    <row r="986" spans="1:8" x14ac:dyDescent="0.25">
      <c r="A986" s="2" t="s">
        <v>3839</v>
      </c>
      <c r="B986" t="str">
        <f>_xlfn.XLOOKUP(TBL_USUARIOS[[#This Row],[ID_MASSA]],tbl_de_massas[id_massa],tbl_de_massas[cpf],"--",0,1)</f>
        <v>67392936271</v>
      </c>
      <c r="C986" t="s">
        <v>12</v>
      </c>
      <c r="D986" t="str">
        <f>_xlfn.XLOOKUP(TBL_USUARIOS[[#This Row],[ID_MASSA]],tbl_de_massas[id_massa],tbl_de_massas[nome_completo],"--",0,1)</f>
        <v>Sabrina Castro Cavalcanti</v>
      </c>
      <c r="E986" t="str">
        <f>_xlfn.XLOOKUP(TBL_USUARIOS[[#This Row],[ID_MASSA]],tbl_de_massas[id_massa],tbl_de_massas[cartao_fisico_numero],"--",0,1)</f>
        <v>5442 7460 5212 1027</v>
      </c>
      <c r="F986" t="str">
        <f>_xlfn.XLOOKUP(TBL_USUARIOS[[#This Row],[ID_MASSA]],tbl_de_massas[id_massa],tbl_de_massas[nome_completo],"--",0,1)</f>
        <v>Sabrina Castro Cavalcanti</v>
      </c>
      <c r="G986" s="47">
        <f>_xlfn.XLOOKUP(TBL_USUARIOS[[#This Row],[ID_MASSA]],tbl_de_massas[id_massa],tbl_de_massas[saldo_conta],"--",0,1)</f>
        <v>7308.53</v>
      </c>
      <c r="H986" t="str">
        <f>_xlfn.XLOOKUP(TBL_USUARIOS[[#This Row],[ID_MASSA]],tbl_de_massas[id_massa],tbl_de_massas[nome_completo],"--",0,1)</f>
        <v>Sabrina Castro Cavalcanti</v>
      </c>
    </row>
    <row r="987" spans="1:8" x14ac:dyDescent="0.25">
      <c r="A987" s="2" t="s">
        <v>5281</v>
      </c>
      <c r="B987" t="str">
        <f>_xlfn.XLOOKUP(TBL_USUARIOS[[#This Row],[ID_MASSA]],tbl_de_massas[id_massa],tbl_de_massas[cpf],"--",0,1)</f>
        <v>75706448086</v>
      </c>
      <c r="C987" t="s">
        <v>12</v>
      </c>
      <c r="D987" t="str">
        <f>_xlfn.XLOOKUP(TBL_USUARIOS[[#This Row],[ID_MASSA]],tbl_de_massas[id_massa],tbl_de_massas[nome_completo],"--",0,1)</f>
        <v>Marcelo Moreira Araujo</v>
      </c>
      <c r="E987" t="str">
        <f>_xlfn.XLOOKUP(TBL_USUARIOS[[#This Row],[ID_MASSA]],tbl_de_massas[id_massa],tbl_de_massas[cartao_fisico_numero],"--",0,1)</f>
        <v>4576 7460 2820 7141</v>
      </c>
      <c r="F987" t="str">
        <f>_xlfn.XLOOKUP(TBL_USUARIOS[[#This Row],[ID_MASSA]],tbl_de_massas[id_massa],tbl_de_massas[nome_completo],"--",0,1)</f>
        <v>Marcelo Moreira Araujo</v>
      </c>
      <c r="G987" s="47">
        <f>_xlfn.XLOOKUP(TBL_USUARIOS[[#This Row],[ID_MASSA]],tbl_de_massas[id_massa],tbl_de_massas[saldo_conta],"--",0,1)</f>
        <v>10216.14</v>
      </c>
      <c r="H987" t="str">
        <f>_xlfn.XLOOKUP(TBL_USUARIOS[[#This Row],[ID_MASSA]],tbl_de_massas[id_massa],tbl_de_massas[nome_completo],"--",0,1)</f>
        <v>Marcelo Moreira Araujo</v>
      </c>
    </row>
    <row r="988" spans="1:8" x14ac:dyDescent="0.25">
      <c r="A988" s="2" t="s">
        <v>2838</v>
      </c>
      <c r="B988" t="str">
        <f>_xlfn.XLOOKUP(TBL_USUARIOS[[#This Row],[ID_MASSA]],tbl_de_massas[id_massa],tbl_de_massas[cpf],"--",0,1)</f>
        <v>80917197011</v>
      </c>
      <c r="C988" t="s">
        <v>12</v>
      </c>
      <c r="D988" t="str">
        <f>_xlfn.XLOOKUP(TBL_USUARIOS[[#This Row],[ID_MASSA]],tbl_de_massas[id_massa],tbl_de_massas[nome_completo],"--",0,1)</f>
        <v>Andre Nascimento</v>
      </c>
      <c r="E988" t="str">
        <f>_xlfn.XLOOKUP(TBL_USUARIOS[[#This Row],[ID_MASSA]],tbl_de_massas[id_massa],tbl_de_massas[cartao_fisico_numero],"--",0,1)</f>
        <v>6505 0666 3995 5356</v>
      </c>
      <c r="F988" t="str">
        <f>_xlfn.XLOOKUP(TBL_USUARIOS[[#This Row],[ID_MASSA]],tbl_de_massas[id_massa],tbl_de_massas[nome_completo],"--",0,1)</f>
        <v>Andre Nascimento</v>
      </c>
      <c r="G988" s="47">
        <f>_xlfn.XLOOKUP(TBL_USUARIOS[[#This Row],[ID_MASSA]],tbl_de_massas[id_massa],tbl_de_massas[saldo_conta],"--",0,1)</f>
        <v>9829.2800000000007</v>
      </c>
      <c r="H988" t="str">
        <f>_xlfn.XLOOKUP(TBL_USUARIOS[[#This Row],[ID_MASSA]],tbl_de_massas[id_massa],tbl_de_massas[nome_completo],"--",0,1)</f>
        <v>Andre Nascimento</v>
      </c>
    </row>
    <row r="989" spans="1:8" x14ac:dyDescent="0.25">
      <c r="A989" s="2" t="s">
        <v>5477</v>
      </c>
      <c r="B989" t="str">
        <f>_xlfn.XLOOKUP(TBL_USUARIOS[[#This Row],[ID_MASSA]],tbl_de_massas[id_massa],tbl_de_massas[cpf],"--",0,1)</f>
        <v>91096654717</v>
      </c>
      <c r="C989" t="s">
        <v>12</v>
      </c>
      <c r="D989" t="str">
        <f>_xlfn.XLOOKUP(TBL_USUARIOS[[#This Row],[ID_MASSA]],tbl_de_massas[id_massa],tbl_de_massas[nome_completo],"--",0,1)</f>
        <v>Alexandre Santos</v>
      </c>
      <c r="E989" t="str">
        <f>_xlfn.XLOOKUP(TBL_USUARIOS[[#This Row],[ID_MASSA]],tbl_de_massas[id_massa],tbl_de_massas[cartao_fisico_numero],"--",0,1)</f>
        <v/>
      </c>
      <c r="F989" t="str">
        <f>_xlfn.XLOOKUP(TBL_USUARIOS[[#This Row],[ID_MASSA]],tbl_de_massas[id_massa],tbl_de_massas[nome_completo],"--",0,1)</f>
        <v>Alexandre Santos</v>
      </c>
      <c r="G989" s="47">
        <f>_xlfn.XLOOKUP(TBL_USUARIOS[[#This Row],[ID_MASSA]],tbl_de_massas[id_massa],tbl_de_massas[saldo_conta],"--",0,1)</f>
        <v>10217.799999999999</v>
      </c>
      <c r="H989" t="str">
        <f>_xlfn.XLOOKUP(TBL_USUARIOS[[#This Row],[ID_MASSA]],tbl_de_massas[id_massa],tbl_de_massas[nome_completo],"--",0,1)</f>
        <v>Alexandre Santos</v>
      </c>
    </row>
    <row r="990" spans="1:8" x14ac:dyDescent="0.25">
      <c r="A990" s="2" t="s">
        <v>2772</v>
      </c>
      <c r="B990" t="str">
        <f>_xlfn.XLOOKUP(TBL_USUARIOS[[#This Row],[ID_MASSA]],tbl_de_massas[id_massa],tbl_de_massas[cpf],"--",0,1)</f>
        <v>70776504800</v>
      </c>
      <c r="C990" t="s">
        <v>12</v>
      </c>
      <c r="D990" t="str">
        <f>_xlfn.XLOOKUP(TBL_USUARIOS[[#This Row],[ID_MASSA]],tbl_de_massas[id_massa],tbl_de_massas[nome_completo],"--",0,1)</f>
        <v>Renato Araujo Rocha</v>
      </c>
      <c r="E990" t="str">
        <f>_xlfn.XLOOKUP(TBL_USUARIOS[[#This Row],[ID_MASSA]],tbl_de_massas[id_massa],tbl_de_massas[cartao_fisico_numero],"--",0,1)</f>
        <v/>
      </c>
      <c r="F990" t="str">
        <f>_xlfn.XLOOKUP(TBL_USUARIOS[[#This Row],[ID_MASSA]],tbl_de_massas[id_massa],tbl_de_massas[nome_completo],"--",0,1)</f>
        <v>Renato Araujo Rocha</v>
      </c>
      <c r="G990" s="47">
        <f>_xlfn.XLOOKUP(TBL_USUARIOS[[#This Row],[ID_MASSA]],tbl_de_massas[id_massa],tbl_de_massas[saldo_conta],"--",0,1)</f>
        <v>10219.98</v>
      </c>
      <c r="H990" t="str">
        <f>_xlfn.XLOOKUP(TBL_USUARIOS[[#This Row],[ID_MASSA]],tbl_de_massas[id_massa],tbl_de_massas[nome_completo],"--",0,1)</f>
        <v>Renato Araujo Rocha</v>
      </c>
    </row>
    <row r="991" spans="1:8" x14ac:dyDescent="0.25">
      <c r="A991" s="2" t="s">
        <v>2956</v>
      </c>
      <c r="B991" t="str">
        <f>_xlfn.XLOOKUP(TBL_USUARIOS[[#This Row],[ID_MASSA]],tbl_de_massas[id_massa],tbl_de_massas[cpf],"--",0,1)</f>
        <v>57621538350</v>
      </c>
      <c r="C991" t="s">
        <v>12</v>
      </c>
      <c r="D991" t="str">
        <f>_xlfn.XLOOKUP(TBL_USUARIOS[[#This Row],[ID_MASSA]],tbl_de_massas[id_massa],tbl_de_massas[nome_completo],"--",0,1)</f>
        <v>Bianca Vieira</v>
      </c>
      <c r="E991" t="str">
        <f>_xlfn.XLOOKUP(TBL_USUARIOS[[#This Row],[ID_MASSA]],tbl_de_massas[id_massa],tbl_de_massas[cartao_fisico_numero],"--",0,1)</f>
        <v>4576 7460 4384 2431</v>
      </c>
      <c r="F991" t="str">
        <f>_xlfn.XLOOKUP(TBL_USUARIOS[[#This Row],[ID_MASSA]],tbl_de_massas[id_massa],tbl_de_massas[nome_completo],"--",0,1)</f>
        <v>Bianca Vieira</v>
      </c>
      <c r="G991" s="47">
        <f>_xlfn.XLOOKUP(TBL_USUARIOS[[#This Row],[ID_MASSA]],tbl_de_massas[id_massa],tbl_de_massas[saldo_conta],"--",0,1)</f>
        <v>9953.18</v>
      </c>
      <c r="H991" t="str">
        <f>_xlfn.XLOOKUP(TBL_USUARIOS[[#This Row],[ID_MASSA]],tbl_de_massas[id_massa],tbl_de_massas[nome_completo],"--",0,1)</f>
        <v>Bianca Vieira</v>
      </c>
    </row>
    <row r="992" spans="1:8" x14ac:dyDescent="0.25">
      <c r="A992" s="2" t="s">
        <v>2594</v>
      </c>
      <c r="B992" s="14" t="str">
        <f>_xlfn.XLOOKUP(TBL_USUARIOS[[#This Row],[ID_MASSA]],tbl_de_massas[id_massa],tbl_de_massas[cpf],"--",0,1)</f>
        <v>35711606492</v>
      </c>
      <c r="C992" t="s">
        <v>12</v>
      </c>
      <c r="D992" t="str">
        <f>_xlfn.XLOOKUP(TBL_USUARIOS[[#This Row],[ID_MASSA]],tbl_de_massas[id_massa],tbl_de_massas[nome_completo],"--",0,1)</f>
        <v>William Robert Muiller</v>
      </c>
      <c r="E992" t="str">
        <f>_xlfn.XLOOKUP(TBL_USUARIOS[[#This Row],[ID_MASSA]],tbl_de_massas[id_massa],tbl_de_massas[cartao_fisico_numero],"--",0,1)</f>
        <v/>
      </c>
      <c r="F992" t="str">
        <f>_xlfn.XLOOKUP(TBL_USUARIOS[[#This Row],[ID_MASSA]],tbl_de_massas[id_massa],tbl_de_massas[nome_completo],"--",0,1)</f>
        <v>William Robert Muiller</v>
      </c>
      <c r="G992" s="47">
        <f>_xlfn.XLOOKUP(TBL_USUARIOS[[#This Row],[ID_MASSA]],tbl_de_massas[id_massa],tbl_de_massas[saldo_conta],"--",0,1)</f>
        <v>10298.299999999999</v>
      </c>
      <c r="H992" t="str">
        <f>_xlfn.XLOOKUP(TBL_USUARIOS[[#This Row],[ID_MASSA]],tbl_de_massas[id_massa],tbl_de_massas[nome_completo],"--",0,1)</f>
        <v>William Robert Muiller</v>
      </c>
    </row>
    <row r="993" spans="1:8" x14ac:dyDescent="0.25">
      <c r="A993" s="2" t="s">
        <v>4352</v>
      </c>
      <c r="B993" t="str">
        <f>_xlfn.XLOOKUP(TBL_USUARIOS[[#This Row],[ID_MASSA]],tbl_de_massas[id_massa],tbl_de_massas[cpf],"--",0,1)</f>
        <v>66642838246</v>
      </c>
      <c r="C993" t="s">
        <v>12</v>
      </c>
      <c r="D993" t="str">
        <f>_xlfn.XLOOKUP(TBL_USUARIOS[[#This Row],[ID_MASSA]],tbl_de_massas[id_massa],tbl_de_massas[nome_completo],"--",0,1)</f>
        <v>Larissa Vieira Moreira</v>
      </c>
      <c r="E993" t="str">
        <f>_xlfn.XLOOKUP(TBL_USUARIOS[[#This Row],[ID_MASSA]],tbl_de_massas[id_massa],tbl_de_massas[cartao_fisico_numero],"--",0,1)</f>
        <v>6062 8200 8739 2650</v>
      </c>
      <c r="F993" t="str">
        <f>_xlfn.XLOOKUP(TBL_USUARIOS[[#This Row],[ID_MASSA]],tbl_de_massas[id_massa],tbl_de_massas[nome_completo],"--",0,1)</f>
        <v>Larissa Vieira Moreira</v>
      </c>
      <c r="G993" s="47">
        <f>_xlfn.XLOOKUP(TBL_USUARIOS[[#This Row],[ID_MASSA]],tbl_de_massas[id_massa],tbl_de_massas[saldo_conta],"--",0,1)</f>
        <v>10306.83</v>
      </c>
      <c r="H993" t="str">
        <f>_xlfn.XLOOKUP(TBL_USUARIOS[[#This Row],[ID_MASSA]],tbl_de_massas[id_massa],tbl_de_massas[nome_completo],"--",0,1)</f>
        <v>Larissa Vieira Moreira</v>
      </c>
    </row>
    <row r="994" spans="1:8" x14ac:dyDescent="0.25">
      <c r="A994" s="2" t="s">
        <v>5131</v>
      </c>
      <c r="B994" t="str">
        <f>_xlfn.XLOOKUP(TBL_USUARIOS[[#This Row],[ID_MASSA]],tbl_de_massas[id_massa],tbl_de_massas[cpf],"--",0,1)</f>
        <v>17340104445</v>
      </c>
      <c r="C994" t="s">
        <v>12</v>
      </c>
      <c r="D994" t="str">
        <f>_xlfn.XLOOKUP(TBL_USUARIOS[[#This Row],[ID_MASSA]],tbl_de_massas[id_massa],tbl_de_massas[nome_completo],"--",0,1)</f>
        <v>Bianca Cavalcanti</v>
      </c>
      <c r="E994" t="str">
        <f>_xlfn.XLOOKUP(TBL_USUARIOS[[#This Row],[ID_MASSA]],tbl_de_massas[id_massa],tbl_de_massas[cartao_fisico_numero],"--",0,1)</f>
        <v/>
      </c>
      <c r="F994" t="str">
        <f>_xlfn.XLOOKUP(TBL_USUARIOS[[#This Row],[ID_MASSA]],tbl_de_massas[id_massa],tbl_de_massas[nome_completo],"--",0,1)</f>
        <v>Bianca Cavalcanti</v>
      </c>
      <c r="G994" s="47">
        <f>_xlfn.XLOOKUP(TBL_USUARIOS[[#This Row],[ID_MASSA]],tbl_de_massas[id_massa],tbl_de_massas[saldo_conta],"--",0,1)</f>
        <v>4384.7700000000004</v>
      </c>
      <c r="H994" t="str">
        <f>_xlfn.XLOOKUP(TBL_USUARIOS[[#This Row],[ID_MASSA]],tbl_de_massas[id_massa],tbl_de_massas[nome_completo],"--",0,1)</f>
        <v>Bianca Cavalcanti</v>
      </c>
    </row>
    <row r="995" spans="1:8" x14ac:dyDescent="0.25">
      <c r="A995" s="2" t="s">
        <v>3924</v>
      </c>
      <c r="B995" t="str">
        <f>_xlfn.XLOOKUP(TBL_USUARIOS[[#This Row],[ID_MASSA]],tbl_de_massas[id_massa],tbl_de_massas[cpf],"--",0,1)</f>
        <v>53025312599</v>
      </c>
      <c r="C995" t="s">
        <v>12</v>
      </c>
      <c r="D995" t="str">
        <f>_xlfn.XLOOKUP(TBL_USUARIOS[[#This Row],[ID_MASSA]],tbl_de_massas[id_massa],tbl_de_massas[nome_completo],"--",0,1)</f>
        <v>Isabela Gomes Alves</v>
      </c>
      <c r="E995" t="str">
        <f>_xlfn.XLOOKUP(TBL_USUARIOS[[#This Row],[ID_MASSA]],tbl_de_massas[id_massa],tbl_de_massas[cartao_fisico_numero],"--",0,1)</f>
        <v/>
      </c>
      <c r="F995" t="str">
        <f>_xlfn.XLOOKUP(TBL_USUARIOS[[#This Row],[ID_MASSA]],tbl_de_massas[id_massa],tbl_de_massas[nome_completo],"--",0,1)</f>
        <v>Isabela Gomes Alves</v>
      </c>
      <c r="G995" s="47">
        <f>_xlfn.XLOOKUP(TBL_USUARIOS[[#This Row],[ID_MASSA]],tbl_de_massas[id_massa],tbl_de_massas[saldo_conta],"--",0,1)</f>
        <v>10337.030000000001</v>
      </c>
      <c r="H995" t="str">
        <f>_xlfn.XLOOKUP(TBL_USUARIOS[[#This Row],[ID_MASSA]],tbl_de_massas[id_massa],tbl_de_massas[nome_completo],"--",0,1)</f>
        <v>Isabela Gomes Alves</v>
      </c>
    </row>
    <row r="996" spans="1:8" x14ac:dyDescent="0.25">
      <c r="A996" s="2" t="s">
        <v>4144</v>
      </c>
      <c r="B996" t="str">
        <f>_xlfn.XLOOKUP(TBL_USUARIOS[[#This Row],[ID_MASSA]],tbl_de_massas[id_massa],tbl_de_massas[cpf],"--",0,1)</f>
        <v>35718242372</v>
      </c>
      <c r="C996" t="s">
        <v>12</v>
      </c>
      <c r="D996" t="str">
        <f>_xlfn.XLOOKUP(TBL_USUARIOS[[#This Row],[ID_MASSA]],tbl_de_massas[id_massa],tbl_de_massas[nome_completo],"--",0,1)</f>
        <v>Leonardo Santos</v>
      </c>
      <c r="E996" t="str">
        <f>_xlfn.XLOOKUP(TBL_USUARIOS[[#This Row],[ID_MASSA]],tbl_de_massas[id_massa],tbl_de_massas[cartao_fisico_numero],"--",0,1)</f>
        <v>6062 8200 2712 8988</v>
      </c>
      <c r="F996" t="str">
        <f>_xlfn.XLOOKUP(TBL_USUARIOS[[#This Row],[ID_MASSA]],tbl_de_massas[id_massa],tbl_de_massas[nome_completo],"--",0,1)</f>
        <v>Leonardo Santos</v>
      </c>
      <c r="G996" s="47">
        <f>_xlfn.XLOOKUP(TBL_USUARIOS[[#This Row],[ID_MASSA]],tbl_de_massas[id_massa],tbl_de_massas[saldo_conta],"--",0,1)</f>
        <v>6472.46</v>
      </c>
      <c r="H996" t="str">
        <f>_xlfn.XLOOKUP(TBL_USUARIOS[[#This Row],[ID_MASSA]],tbl_de_massas[id_massa],tbl_de_massas[nome_completo],"--",0,1)</f>
        <v>Leonardo Santos</v>
      </c>
    </row>
    <row r="997" spans="1:8" x14ac:dyDescent="0.25">
      <c r="A997" s="2" t="s">
        <v>4860</v>
      </c>
      <c r="B997" t="str">
        <f>_xlfn.XLOOKUP(TBL_USUARIOS[[#This Row],[ID_MASSA]],tbl_de_massas[id_massa],tbl_de_massas[cpf],"--",0,1)</f>
        <v>59983280000</v>
      </c>
      <c r="C997" t="s">
        <v>12</v>
      </c>
      <c r="D997" t="str">
        <f>_xlfn.XLOOKUP(TBL_USUARIOS[[#This Row],[ID_MASSA]],tbl_de_massas[id_massa],tbl_de_massas[nome_completo],"--",0,1)</f>
        <v>Caio Pinto</v>
      </c>
      <c r="E997" t="str">
        <f>_xlfn.XLOOKUP(TBL_USUARIOS[[#This Row],[ID_MASSA]],tbl_de_massas[id_massa],tbl_de_massas[cartao_fisico_numero],"--",0,1)</f>
        <v/>
      </c>
      <c r="F997" t="str">
        <f>_xlfn.XLOOKUP(TBL_USUARIOS[[#This Row],[ID_MASSA]],tbl_de_massas[id_massa],tbl_de_massas[nome_completo],"--",0,1)</f>
        <v>Caio Pinto</v>
      </c>
      <c r="G997" s="47">
        <f>_xlfn.XLOOKUP(TBL_USUARIOS[[#This Row],[ID_MASSA]],tbl_de_massas[id_massa],tbl_de_massas[saldo_conta],"--",0,1)</f>
        <v>10356.91</v>
      </c>
      <c r="H997" t="str">
        <f>_xlfn.XLOOKUP(TBL_USUARIOS[[#This Row],[ID_MASSA]],tbl_de_massas[id_massa],tbl_de_massas[nome_completo],"--",0,1)</f>
        <v>Caio Pinto</v>
      </c>
    </row>
    <row r="998" spans="1:8" x14ac:dyDescent="0.25">
      <c r="A998" s="2" t="s">
        <v>6362</v>
      </c>
      <c r="B998" t="str">
        <f>_xlfn.XLOOKUP(TBL_USUARIOS[[#This Row],[ID_MASSA]],tbl_de_massas[id_massa],tbl_de_massas[cpf],"--",0,1)</f>
        <v>87012306033</v>
      </c>
      <c r="C998" t="s">
        <v>12</v>
      </c>
      <c r="D998" t="str">
        <f>_xlfn.XLOOKUP(TBL_USUARIOS[[#This Row],[ID_MASSA]],tbl_de_massas[id_massa],tbl_de_massas[nome_completo],"--",0,1)</f>
        <v>Abigail Thomas</v>
      </c>
      <c r="E998" t="str">
        <f>_xlfn.XLOOKUP(TBL_USUARIOS[[#This Row],[ID_MASSA]],tbl_de_massas[id_massa],tbl_de_massas[cartao_fisico_numero],"--",0,1)</f>
        <v>6505 0666 1630 5649</v>
      </c>
      <c r="F998" t="str">
        <f>_xlfn.XLOOKUP(TBL_USUARIOS[[#This Row],[ID_MASSA]],tbl_de_massas[id_massa],tbl_de_massas[nome_completo],"--",0,1)</f>
        <v>Abigail Thomas</v>
      </c>
      <c r="G998" s="47">
        <f>_xlfn.XLOOKUP(TBL_USUARIOS[[#This Row],[ID_MASSA]],tbl_de_massas[id_massa],tbl_de_massas[saldo_conta],"--",0,1)</f>
        <v>10359.58</v>
      </c>
      <c r="H998" t="str">
        <f>_xlfn.XLOOKUP(TBL_USUARIOS[[#This Row],[ID_MASSA]],tbl_de_massas[id_massa],tbl_de_massas[nome_completo],"--",0,1)</f>
        <v>Abigail Thomas</v>
      </c>
    </row>
    <row r="999" spans="1:8" x14ac:dyDescent="0.25">
      <c r="A999" s="2" t="s">
        <v>3195</v>
      </c>
      <c r="B999" t="str">
        <f>_xlfn.XLOOKUP(TBL_USUARIOS[[#This Row],[ID_MASSA]],tbl_de_massas[id_massa],tbl_de_massas[cpf],"--",0,1)</f>
        <v>77639901804</v>
      </c>
      <c r="C999" t="s">
        <v>12</v>
      </c>
      <c r="D999" t="str">
        <f>_xlfn.XLOOKUP(TBL_USUARIOS[[#This Row],[ID_MASSA]],tbl_de_massas[id_massa],tbl_de_massas[nome_completo],"--",0,1)</f>
        <v>Andre Freitas Campos</v>
      </c>
      <c r="E999" t="str">
        <f>_xlfn.XLOOKUP(TBL_USUARIOS[[#This Row],[ID_MASSA]],tbl_de_massas[id_massa],tbl_de_massas[cartao_fisico_numero],"--",0,1)</f>
        <v/>
      </c>
      <c r="F999" t="str">
        <f>_xlfn.XLOOKUP(TBL_USUARIOS[[#This Row],[ID_MASSA]],tbl_de_massas[id_massa],tbl_de_massas[nome_completo],"--",0,1)</f>
        <v>Andre Freitas Campos</v>
      </c>
      <c r="G999" s="47">
        <f>_xlfn.XLOOKUP(TBL_USUARIOS[[#This Row],[ID_MASSA]],tbl_de_massas[id_massa],tbl_de_massas[saldo_conta],"--",0,1)</f>
        <v>10367.209999999999</v>
      </c>
      <c r="H999" t="str">
        <f>_xlfn.XLOOKUP(TBL_USUARIOS[[#This Row],[ID_MASSA]],tbl_de_massas[id_massa],tbl_de_massas[nome_completo],"--",0,1)</f>
        <v>Andre Freitas Campos</v>
      </c>
    </row>
    <row r="1000" spans="1:8" x14ac:dyDescent="0.25">
      <c r="A1000" s="2" t="s">
        <v>6187</v>
      </c>
      <c r="B1000" t="str">
        <f>_xlfn.XLOOKUP(TBL_USUARIOS[[#This Row],[ID_MASSA]],tbl_de_massas[id_massa],tbl_de_massas[cpf],"--",0,1)</f>
        <v>53385920108</v>
      </c>
      <c r="C1000" t="s">
        <v>12</v>
      </c>
      <c r="D1000" t="str">
        <f>_xlfn.XLOOKUP(TBL_USUARIOS[[#This Row],[ID_MASSA]],tbl_de_massas[id_massa],tbl_de_massas[nome_completo],"--",0,1)</f>
        <v>Michael Scott</v>
      </c>
      <c r="E1000" t="str">
        <f>_xlfn.XLOOKUP(TBL_USUARIOS[[#This Row],[ID_MASSA]],tbl_de_massas[id_massa],tbl_de_massas[cartao_fisico_numero],"--",0,1)</f>
        <v>6505 0666 4153 4030</v>
      </c>
      <c r="F1000" t="str">
        <f>_xlfn.XLOOKUP(TBL_USUARIOS[[#This Row],[ID_MASSA]],tbl_de_massas[id_massa],tbl_de_massas[nome_completo],"--",0,1)</f>
        <v>Michael Scott</v>
      </c>
      <c r="G1000" s="47">
        <f>_xlfn.XLOOKUP(TBL_USUARIOS[[#This Row],[ID_MASSA]],tbl_de_massas[id_massa],tbl_de_massas[saldo_conta],"--",0,1)</f>
        <v>10372.290000000001</v>
      </c>
      <c r="H1000" t="str">
        <f>_xlfn.XLOOKUP(TBL_USUARIOS[[#This Row],[ID_MASSA]],tbl_de_massas[id_massa],tbl_de_massas[nome_completo],"--",0,1)</f>
        <v>Michael Scott</v>
      </c>
    </row>
    <row r="1001" spans="1:8" x14ac:dyDescent="0.25">
      <c r="A1001" s="2" t="s">
        <v>6467</v>
      </c>
      <c r="B1001" t="str">
        <f>_xlfn.XLOOKUP(TBL_USUARIOS[[#This Row],[ID_MASSA]],tbl_de_massas[id_massa],tbl_de_massas[cpf],"--",0,1)</f>
        <v>35056754234</v>
      </c>
      <c r="C1001" t="s">
        <v>12</v>
      </c>
      <c r="D1001" t="str">
        <f>_xlfn.XLOOKUP(TBL_USUARIOS[[#This Row],[ID_MASSA]],tbl_de_massas[id_massa],tbl_de_massas[nome_completo],"--",0,1)</f>
        <v>Xiu Ying Wang</v>
      </c>
      <c r="E1001" t="str">
        <f>_xlfn.XLOOKUP(TBL_USUARIOS[[#This Row],[ID_MASSA]],tbl_de_massas[id_massa],tbl_de_massas[cartao_fisico_numero],"--",0,1)</f>
        <v/>
      </c>
      <c r="F1001" t="str">
        <f>_xlfn.XLOOKUP(TBL_USUARIOS[[#This Row],[ID_MASSA]],tbl_de_massas[id_massa],tbl_de_massas[nome_completo],"--",0,1)</f>
        <v>Xiu Ying Wang</v>
      </c>
      <c r="G1001" s="47">
        <f>_xlfn.XLOOKUP(TBL_USUARIOS[[#This Row],[ID_MASSA]],tbl_de_massas[id_massa],tbl_de_massas[saldo_conta],"--",0,1)</f>
        <v>10372.85</v>
      </c>
      <c r="H1001" t="str">
        <f>_xlfn.XLOOKUP(TBL_USUARIOS[[#This Row],[ID_MASSA]],tbl_de_massas[id_massa],tbl_de_massas[nome_completo],"--",0,1)</f>
        <v>Xiu Ying Wang</v>
      </c>
    </row>
    <row r="1002" spans="1:8" x14ac:dyDescent="0.25">
      <c r="A1002" s="2" t="s">
        <v>4665</v>
      </c>
      <c r="B1002" t="str">
        <f>_xlfn.XLOOKUP(TBL_USUARIOS[[#This Row],[ID_MASSA]],tbl_de_massas[id_massa],tbl_de_massas[cpf],"--",0,1)</f>
        <v>13056957478</v>
      </c>
      <c r="C1002" t="s">
        <v>12</v>
      </c>
      <c r="D1002" t="str">
        <f>_xlfn.XLOOKUP(TBL_USUARIOS[[#This Row],[ID_MASSA]],tbl_de_massas[id_massa],tbl_de_massas[nome_completo],"--",0,1)</f>
        <v>Guilherme Cardoso</v>
      </c>
      <c r="E1002" t="str">
        <f>_xlfn.XLOOKUP(TBL_USUARIOS[[#This Row],[ID_MASSA]],tbl_de_massas[id_massa],tbl_de_massas[cartao_fisico_numero],"--",0,1)</f>
        <v>3782 152496 6389</v>
      </c>
      <c r="F1002" t="str">
        <f>_xlfn.XLOOKUP(TBL_USUARIOS[[#This Row],[ID_MASSA]],tbl_de_massas[id_massa],tbl_de_massas[nome_completo],"--",0,1)</f>
        <v>Guilherme Cardoso</v>
      </c>
      <c r="G1002" s="47">
        <f>_xlfn.XLOOKUP(TBL_USUARIOS[[#This Row],[ID_MASSA]],tbl_de_massas[id_massa],tbl_de_massas[saldo_conta],"--",0,1)</f>
        <v>10388.23</v>
      </c>
      <c r="H1002" t="str">
        <f>_xlfn.XLOOKUP(TBL_USUARIOS[[#This Row],[ID_MASSA]],tbl_de_massas[id_massa],tbl_de_massas[nome_completo],"--",0,1)</f>
        <v>Guilherme Cardoso</v>
      </c>
    </row>
    <row r="1003" spans="1:8" x14ac:dyDescent="0.25">
      <c r="A1003" s="2" t="s">
        <v>2150</v>
      </c>
      <c r="B1003" s="14" t="str">
        <f>_xlfn.XLOOKUP(TBL_USUARIOS[[#This Row],[ID_MASSA]],tbl_de_massas[id_massa],tbl_de_massas[cpf],"--",0,1)</f>
        <v>29910306743</v>
      </c>
      <c r="C1003" t="s">
        <v>12</v>
      </c>
      <c r="D1003" t="str">
        <f>_xlfn.XLOOKUP(TBL_USUARIOS[[#This Row],[ID_MASSA]],tbl_de_massas[id_massa],tbl_de_massas[nome_completo],"--",0,1)</f>
        <v>William Robert Miller</v>
      </c>
      <c r="E1003" t="str">
        <f>_xlfn.XLOOKUP(TBL_USUARIOS[[#This Row],[ID_MASSA]],tbl_de_massas[id_massa],tbl_de_massas[cartao_fisico_numero],"--",0,1)</f>
        <v>6505 0666 6048 3970</v>
      </c>
      <c r="F1003" t="str">
        <f>_xlfn.XLOOKUP(TBL_USUARIOS[[#This Row],[ID_MASSA]],tbl_de_massas[id_massa],tbl_de_massas[nome_completo],"--",0,1)</f>
        <v>William Robert Miller</v>
      </c>
      <c r="G1003" s="47">
        <f>_xlfn.XLOOKUP(TBL_USUARIOS[[#This Row],[ID_MASSA]],tbl_de_massas[id_massa],tbl_de_massas[saldo_conta],"--",0,1)</f>
        <v>10406.83</v>
      </c>
      <c r="H1003" t="str">
        <f>_xlfn.XLOOKUP(TBL_USUARIOS[[#This Row],[ID_MASSA]],tbl_de_massas[id_massa],tbl_de_massas[nome_completo],"--",0,1)</f>
        <v>William Robert Miller</v>
      </c>
    </row>
    <row r="1004" spans="1:8" x14ac:dyDescent="0.25">
      <c r="A1004" s="2" t="s">
        <v>6367</v>
      </c>
      <c r="B1004" t="str">
        <f>_xlfn.XLOOKUP(TBL_USUARIOS[[#This Row],[ID_MASSA]],tbl_de_massas[id_massa],tbl_de_massas[cpf],"--",0,1)</f>
        <v>62600915834</v>
      </c>
      <c r="C1004" t="s">
        <v>12</v>
      </c>
      <c r="D1004" t="str">
        <f>_xlfn.XLOOKUP(TBL_USUARIOS[[#This Row],[ID_MASSA]],tbl_de_massas[id_massa],tbl_de_massas[nome_completo],"--",0,1)</f>
        <v>Matthew Walker</v>
      </c>
      <c r="E1004" t="str">
        <f>_xlfn.XLOOKUP(TBL_USUARIOS[[#This Row],[ID_MASSA]],tbl_de_massas[id_massa],tbl_de_massas[cartao_fisico_numero],"--",0,1)</f>
        <v>5442 7460 5302 0488</v>
      </c>
      <c r="F1004" t="str">
        <f>_xlfn.XLOOKUP(TBL_USUARIOS[[#This Row],[ID_MASSA]],tbl_de_massas[id_massa],tbl_de_massas[nome_completo],"--",0,1)</f>
        <v>Matthew Walker</v>
      </c>
      <c r="G1004" s="47">
        <f>_xlfn.XLOOKUP(TBL_USUARIOS[[#This Row],[ID_MASSA]],tbl_de_massas[id_massa],tbl_de_massas[saldo_conta],"--",0,1)</f>
        <v>10431.77</v>
      </c>
      <c r="H1004" t="str">
        <f>_xlfn.XLOOKUP(TBL_USUARIOS[[#This Row],[ID_MASSA]],tbl_de_massas[id_massa],tbl_de_massas[nome_completo],"--",0,1)</f>
        <v>Matthew Walker</v>
      </c>
    </row>
    <row r="1005" spans="1:8" x14ac:dyDescent="0.25">
      <c r="A1005" s="2" t="s">
        <v>6506</v>
      </c>
      <c r="B1005" t="str">
        <f>_xlfn.XLOOKUP(TBL_USUARIOS[[#This Row],[ID_MASSA]],tbl_de_massas[id_massa],tbl_de_massas[cpf],"--",0,1)</f>
        <v>92466855470</v>
      </c>
      <c r="C1005" t="s">
        <v>12</v>
      </c>
      <c r="D1005" t="str">
        <f>_xlfn.XLOOKUP(TBL_USUARIOS[[#This Row],[ID_MASSA]],tbl_de_massas[id_massa],tbl_de_massas[nome_completo],"--",0,1)</f>
        <v>Yan Wu</v>
      </c>
      <c r="E1005" t="str">
        <f>_xlfn.XLOOKUP(TBL_USUARIOS[[#This Row],[ID_MASSA]],tbl_de_massas[id_massa],tbl_de_massas[cartao_fisico_numero],"--",0,1)</f>
        <v/>
      </c>
      <c r="F1005" t="str">
        <f>_xlfn.XLOOKUP(TBL_USUARIOS[[#This Row],[ID_MASSA]],tbl_de_massas[id_massa],tbl_de_massas[nome_completo],"--",0,1)</f>
        <v>Yan Wu</v>
      </c>
      <c r="G1005" s="47">
        <f>_xlfn.XLOOKUP(TBL_USUARIOS[[#This Row],[ID_MASSA]],tbl_de_massas[id_massa],tbl_de_massas[saldo_conta],"--",0,1)</f>
        <v>10433.23</v>
      </c>
      <c r="H1005" t="str">
        <f>_xlfn.XLOOKUP(TBL_USUARIOS[[#This Row],[ID_MASSA]],tbl_de_massas[id_massa],tbl_de_massas[nome_completo],"--",0,1)</f>
        <v>Yan Wu</v>
      </c>
    </row>
    <row r="1006" spans="1:8" x14ac:dyDescent="0.25">
      <c r="A1006" s="2" t="s">
        <v>3373</v>
      </c>
      <c r="B1006" t="str">
        <f>_xlfn.XLOOKUP(TBL_USUARIOS[[#This Row],[ID_MASSA]],tbl_de_massas[id_massa],tbl_de_massas[cpf],"--",0,1)</f>
        <v>23822908118</v>
      </c>
      <c r="C1006" t="s">
        <v>12</v>
      </c>
      <c r="D1006" t="str">
        <f>_xlfn.XLOOKUP(TBL_USUARIOS[[#This Row],[ID_MASSA]],tbl_de_massas[id_massa],tbl_de_massas[nome_completo],"--",0,1)</f>
        <v>Marcelo Martins Gomes</v>
      </c>
      <c r="E1006" t="str">
        <f>_xlfn.XLOOKUP(TBL_USUARIOS[[#This Row],[ID_MASSA]],tbl_de_massas[id_massa],tbl_de_massas[cartao_fisico_numero],"--",0,1)</f>
        <v/>
      </c>
      <c r="F1006" t="str">
        <f>_xlfn.XLOOKUP(TBL_USUARIOS[[#This Row],[ID_MASSA]],tbl_de_massas[id_massa],tbl_de_massas[nome_completo],"--",0,1)</f>
        <v>Marcelo Martins Gomes</v>
      </c>
      <c r="G1006" s="47">
        <f>_xlfn.XLOOKUP(TBL_USUARIOS[[#This Row],[ID_MASSA]],tbl_de_massas[id_massa],tbl_de_massas[saldo_conta],"--",0,1)</f>
        <v>4515.0200000000004</v>
      </c>
      <c r="H1006" t="str">
        <f>_xlfn.XLOOKUP(TBL_USUARIOS[[#This Row],[ID_MASSA]],tbl_de_massas[id_massa],tbl_de_massas[nome_completo],"--",0,1)</f>
        <v>Marcelo Martins Gomes</v>
      </c>
    </row>
    <row r="1007" spans="1:8" x14ac:dyDescent="0.25">
      <c r="A1007" s="2" t="s">
        <v>3438</v>
      </c>
      <c r="B1007" t="str">
        <f>_xlfn.XLOOKUP(TBL_USUARIOS[[#This Row],[ID_MASSA]],tbl_de_massas[id_massa],tbl_de_massas[cpf],"--",0,1)</f>
        <v>77043495202</v>
      </c>
      <c r="C1007" t="s">
        <v>12</v>
      </c>
      <c r="D1007" t="str">
        <f>_xlfn.XLOOKUP(TBL_USUARIOS[[#This Row],[ID_MASSA]],tbl_de_massas[id_massa],tbl_de_massas[nome_completo],"--",0,1)</f>
        <v>Mariana Nascimento</v>
      </c>
      <c r="E1007" t="str">
        <f>_xlfn.XLOOKUP(TBL_USUARIOS[[#This Row],[ID_MASSA]],tbl_de_massas[id_massa],tbl_de_massas[cartao_fisico_numero],"--",0,1)</f>
        <v>3782 673973 4229</v>
      </c>
      <c r="F1007" t="str">
        <f>_xlfn.XLOOKUP(TBL_USUARIOS[[#This Row],[ID_MASSA]],tbl_de_massas[id_massa],tbl_de_massas[nome_completo],"--",0,1)</f>
        <v>Mariana Nascimento</v>
      </c>
      <c r="G1007" s="47">
        <f>_xlfn.XLOOKUP(TBL_USUARIOS[[#This Row],[ID_MASSA]],tbl_de_massas[id_massa],tbl_de_massas[saldo_conta],"--",0,1)</f>
        <v>10438.469999999999</v>
      </c>
      <c r="H1007" t="str">
        <f>_xlfn.XLOOKUP(TBL_USUARIOS[[#This Row],[ID_MASSA]],tbl_de_massas[id_massa],tbl_de_massas[nome_completo],"--",0,1)</f>
        <v>Mariana Nascimento</v>
      </c>
    </row>
    <row r="1008" spans="1:8" x14ac:dyDescent="0.25">
      <c r="A1008" s="2" t="s">
        <v>6205</v>
      </c>
      <c r="B1008" t="str">
        <f>_xlfn.XLOOKUP(TBL_USUARIOS[[#This Row],[ID_MASSA]],tbl_de_massas[id_massa],tbl_de_massas[cpf],"--",0,1)</f>
        <v>84857152177</v>
      </c>
      <c r="C1008" t="s">
        <v>12</v>
      </c>
      <c r="D1008" t="str">
        <f>_xlfn.XLOOKUP(TBL_USUARIOS[[#This Row],[ID_MASSA]],tbl_de_massas[id_massa],tbl_de_massas[nome_completo],"--",0,1)</f>
        <v>Ethan Wilson</v>
      </c>
      <c r="E1008" t="str">
        <f>_xlfn.XLOOKUP(TBL_USUARIOS[[#This Row],[ID_MASSA]],tbl_de_massas[id_massa],tbl_de_massas[cartao_fisico_numero],"--",0,1)</f>
        <v/>
      </c>
      <c r="F1008" t="str">
        <f>_xlfn.XLOOKUP(TBL_USUARIOS[[#This Row],[ID_MASSA]],tbl_de_massas[id_massa],tbl_de_massas[nome_completo],"--",0,1)</f>
        <v>Ethan Wilson</v>
      </c>
      <c r="G1008" s="47">
        <f>_xlfn.XLOOKUP(TBL_USUARIOS[[#This Row],[ID_MASSA]],tbl_de_massas[id_massa],tbl_de_massas[saldo_conta],"--",0,1)</f>
        <v>10442.26</v>
      </c>
      <c r="H1008" t="str">
        <f>_xlfn.XLOOKUP(TBL_USUARIOS[[#This Row],[ID_MASSA]],tbl_de_massas[id_massa],tbl_de_massas[nome_completo],"--",0,1)</f>
        <v>Ethan Wilson</v>
      </c>
    </row>
    <row r="1009" spans="1:8" x14ac:dyDescent="0.25">
      <c r="A1009" s="2" t="s">
        <v>4299</v>
      </c>
      <c r="B1009" t="str">
        <f>_xlfn.XLOOKUP(TBL_USUARIOS[[#This Row],[ID_MASSA]],tbl_de_massas[id_massa],tbl_de_massas[cpf],"--",0,1)</f>
        <v>23790874400</v>
      </c>
      <c r="C1009" t="s">
        <v>12</v>
      </c>
      <c r="D1009" t="str">
        <f>_xlfn.XLOOKUP(TBL_USUARIOS[[#This Row],[ID_MASSA]],tbl_de_massas[id_massa],tbl_de_massas[nome_completo],"--",0,1)</f>
        <v>Beatriz Vieira Dias</v>
      </c>
      <c r="E1009" t="str">
        <f>_xlfn.XLOOKUP(TBL_USUARIOS[[#This Row],[ID_MASSA]],tbl_de_massas[id_massa],tbl_de_massas[cartao_fisico_numero],"--",0,1)</f>
        <v>4576 7460 1893 0834</v>
      </c>
      <c r="F1009" t="str">
        <f>_xlfn.XLOOKUP(TBL_USUARIOS[[#This Row],[ID_MASSA]],tbl_de_massas[id_massa],tbl_de_massas[nome_completo],"--",0,1)</f>
        <v>Beatriz Vieira Dias</v>
      </c>
      <c r="G1009" s="47">
        <f>_xlfn.XLOOKUP(TBL_USUARIOS[[#This Row],[ID_MASSA]],tbl_de_massas[id_massa],tbl_de_massas[saldo_conta],"--",0,1)</f>
        <v>10442.76</v>
      </c>
      <c r="H1009" t="str">
        <f>_xlfn.XLOOKUP(TBL_USUARIOS[[#This Row],[ID_MASSA]],tbl_de_massas[id_massa],tbl_de_massas[nome_completo],"--",0,1)</f>
        <v>Beatriz Vieira Dias</v>
      </c>
    </row>
    <row r="1010" spans="1:8" x14ac:dyDescent="0.25">
      <c r="A1010" s="2" t="s">
        <v>6153</v>
      </c>
      <c r="B1010" t="str">
        <f>_xlfn.XLOOKUP(TBL_USUARIOS[[#This Row],[ID_MASSA]],tbl_de_massas[id_massa],tbl_de_massas[cpf],"--",0,1)</f>
        <v>45756620036</v>
      </c>
      <c r="C1010" t="s">
        <v>12</v>
      </c>
      <c r="D1010" t="str">
        <f>_xlfn.XLOOKUP(TBL_USUARIOS[[#This Row],[ID_MASSA]],tbl_de_massas[id_massa],tbl_de_massas[nome_completo],"--",0,1)</f>
        <v>Emma Harris Robinson</v>
      </c>
      <c r="E1010" t="str">
        <f>_xlfn.XLOOKUP(TBL_USUARIOS[[#This Row],[ID_MASSA]],tbl_de_massas[id_massa],tbl_de_massas[cartao_fisico_numero],"--",0,1)</f>
        <v>5442 7460 4319 5082</v>
      </c>
      <c r="F1010" t="str">
        <f>_xlfn.XLOOKUP(TBL_USUARIOS[[#This Row],[ID_MASSA]],tbl_de_massas[id_massa],tbl_de_massas[nome_completo],"--",0,1)</f>
        <v>Emma Harris Robinson</v>
      </c>
      <c r="G1010" s="47">
        <f>_xlfn.XLOOKUP(TBL_USUARIOS[[#This Row],[ID_MASSA]],tbl_de_massas[id_massa],tbl_de_massas[saldo_conta],"--",0,1)</f>
        <v>10443.11</v>
      </c>
      <c r="H1010" t="str">
        <f>_xlfn.XLOOKUP(TBL_USUARIOS[[#This Row],[ID_MASSA]],tbl_de_massas[id_massa],tbl_de_massas[nome_completo],"--",0,1)</f>
        <v>Emma Harris Robinson</v>
      </c>
    </row>
    <row r="1011" spans="1:8" x14ac:dyDescent="0.25">
      <c r="A1011" s="2" t="s">
        <v>4161</v>
      </c>
      <c r="B1011" t="str">
        <f>_xlfn.XLOOKUP(TBL_USUARIOS[[#This Row],[ID_MASSA]],tbl_de_massas[id_massa],tbl_de_massas[cpf],"--",0,1)</f>
        <v>17175312105</v>
      </c>
      <c r="C1011" t="s">
        <v>12</v>
      </c>
      <c r="D1011" t="str">
        <f>_xlfn.XLOOKUP(TBL_USUARIOS[[#This Row],[ID_MASSA]],tbl_de_massas[id_massa],tbl_de_massas[nome_completo],"--",0,1)</f>
        <v>Jessica Silva</v>
      </c>
      <c r="E1011" t="str">
        <f>_xlfn.XLOOKUP(TBL_USUARIOS[[#This Row],[ID_MASSA]],tbl_de_massas[id_massa],tbl_de_massas[cartao_fisico_numero],"--",0,1)</f>
        <v>3782 785739 4525</v>
      </c>
      <c r="F1011" t="str">
        <f>_xlfn.XLOOKUP(TBL_USUARIOS[[#This Row],[ID_MASSA]],tbl_de_massas[id_massa],tbl_de_massas[nome_completo],"--",0,1)</f>
        <v>Jessica Silva</v>
      </c>
      <c r="G1011" s="47">
        <f>_xlfn.XLOOKUP(TBL_USUARIOS[[#This Row],[ID_MASSA]],tbl_de_massas[id_massa],tbl_de_massas[saldo_conta],"--",0,1)</f>
        <v>10446.58</v>
      </c>
      <c r="H1011" t="str">
        <f>_xlfn.XLOOKUP(TBL_USUARIOS[[#This Row],[ID_MASSA]],tbl_de_massas[id_massa],tbl_de_massas[nome_completo],"--",0,1)</f>
        <v>Jessica Silva</v>
      </c>
    </row>
    <row r="1012" spans="1:8" x14ac:dyDescent="0.25">
      <c r="A1012" s="2" t="s">
        <v>5676</v>
      </c>
      <c r="B1012" t="str">
        <f>_xlfn.XLOOKUP(TBL_USUARIOS[[#This Row],[ID_MASSA]],tbl_de_massas[id_massa],tbl_de_massas[cpf],"--",0,1)</f>
        <v>62534321412</v>
      </c>
      <c r="C1012" t="s">
        <v>12</v>
      </c>
      <c r="D1012" t="str">
        <f>_xlfn.XLOOKUP(TBL_USUARIOS[[#This Row],[ID_MASSA]],tbl_de_massas[id_massa],tbl_de_massas[nome_completo],"--",0,1)</f>
        <v>Vinicius Rocha</v>
      </c>
      <c r="E1012" t="str">
        <f>_xlfn.XLOOKUP(TBL_USUARIOS[[#This Row],[ID_MASSA]],tbl_de_massas[id_massa],tbl_de_massas[cartao_fisico_numero],"--",0,1)</f>
        <v>3782 746257 9753</v>
      </c>
      <c r="F1012" t="str">
        <f>_xlfn.XLOOKUP(TBL_USUARIOS[[#This Row],[ID_MASSA]],tbl_de_massas[id_massa],tbl_de_massas[nome_completo],"--",0,1)</f>
        <v>Vinicius Rocha</v>
      </c>
      <c r="G1012" s="47">
        <f>_xlfn.XLOOKUP(TBL_USUARIOS[[#This Row],[ID_MASSA]],tbl_de_massas[id_massa],tbl_de_massas[saldo_conta],"--",0,1)</f>
        <v>10447.280000000001</v>
      </c>
      <c r="H1012" t="str">
        <f>_xlfn.XLOOKUP(TBL_USUARIOS[[#This Row],[ID_MASSA]],tbl_de_massas[id_massa],tbl_de_massas[nome_completo],"--",0,1)</f>
        <v>Vinicius Rocha</v>
      </c>
    </row>
    <row r="1013" spans="1:8" x14ac:dyDescent="0.25">
      <c r="A1013" s="2" t="s">
        <v>6510</v>
      </c>
      <c r="B1013" t="str">
        <f>_xlfn.XLOOKUP(TBL_USUARIOS[[#This Row],[ID_MASSA]],tbl_de_massas[id_massa],tbl_de_massas[cpf],"--",0,1)</f>
        <v>11092935185</v>
      </c>
      <c r="C1013" t="s">
        <v>12</v>
      </c>
      <c r="D1013" t="str">
        <f>_xlfn.XLOOKUP(TBL_USUARIOS[[#This Row],[ID_MASSA]],tbl_de_massas[id_massa],tbl_de_massas[nome_completo],"--",0,1)</f>
        <v>Xiu Ying Hu</v>
      </c>
      <c r="E1013" t="str">
        <f>_xlfn.XLOOKUP(TBL_USUARIOS[[#This Row],[ID_MASSA]],tbl_de_massas[id_massa],tbl_de_massas[cartao_fisico_numero],"--",0,1)</f>
        <v>5442 7460 9700 8606</v>
      </c>
      <c r="F1013" t="str">
        <f>_xlfn.XLOOKUP(TBL_USUARIOS[[#This Row],[ID_MASSA]],tbl_de_massas[id_massa],tbl_de_massas[nome_completo],"--",0,1)</f>
        <v>Xiu Ying Hu</v>
      </c>
      <c r="G1013" s="47">
        <f>_xlfn.XLOOKUP(TBL_USUARIOS[[#This Row],[ID_MASSA]],tbl_de_massas[id_massa],tbl_de_massas[saldo_conta],"--",0,1)</f>
        <v>10460.67</v>
      </c>
      <c r="H1013" t="str">
        <f>_xlfn.XLOOKUP(TBL_USUARIOS[[#This Row],[ID_MASSA]],tbl_de_massas[id_massa],tbl_de_massas[nome_completo],"--",0,1)</f>
        <v>Xiu Ying Hu</v>
      </c>
    </row>
    <row r="1014" spans="1:8" x14ac:dyDescent="0.25">
      <c r="A1014" s="2" t="s">
        <v>4338</v>
      </c>
      <c r="B1014" t="str">
        <f>_xlfn.XLOOKUP(TBL_USUARIOS[[#This Row],[ID_MASSA]],tbl_de_massas[id_massa],tbl_de_massas[cpf],"--",0,1)</f>
        <v>24125265160</v>
      </c>
      <c r="C1014" t="s">
        <v>12</v>
      </c>
      <c r="D1014" t="str">
        <f>_xlfn.XLOOKUP(TBL_USUARIOS[[#This Row],[ID_MASSA]],tbl_de_massas[id_massa],tbl_de_massas[nome_completo],"--",0,1)</f>
        <v>Marcos Almeida</v>
      </c>
      <c r="E1014" t="str">
        <f>_xlfn.XLOOKUP(TBL_USUARIOS[[#This Row],[ID_MASSA]],tbl_de_massas[id_massa],tbl_de_massas[cartao_fisico_numero],"--",0,1)</f>
        <v>6505 0666 8478 9064</v>
      </c>
      <c r="F1014" t="str">
        <f>_xlfn.XLOOKUP(TBL_USUARIOS[[#This Row],[ID_MASSA]],tbl_de_massas[id_massa],tbl_de_massas[nome_completo],"--",0,1)</f>
        <v>Marcos Almeida</v>
      </c>
      <c r="G1014" s="47">
        <f>_xlfn.XLOOKUP(TBL_USUARIOS[[#This Row],[ID_MASSA]],tbl_de_massas[id_massa],tbl_de_massas[saldo_conta],"--",0,1)</f>
        <v>10472.81</v>
      </c>
      <c r="H1014" t="str">
        <f>_xlfn.XLOOKUP(TBL_USUARIOS[[#This Row],[ID_MASSA]],tbl_de_massas[id_massa],tbl_de_massas[nome_completo],"--",0,1)</f>
        <v>Marcos Almeida</v>
      </c>
    </row>
    <row r="1015" spans="1:8" x14ac:dyDescent="0.25">
      <c r="A1015" s="2" t="s">
        <v>3627</v>
      </c>
      <c r="B1015" t="str">
        <f>_xlfn.XLOOKUP(TBL_USUARIOS[[#This Row],[ID_MASSA]],tbl_de_massas[id_massa],tbl_de_massas[cpf],"--",0,1)</f>
        <v>93535047919</v>
      </c>
      <c r="C1015" t="s">
        <v>12</v>
      </c>
      <c r="D1015" t="str">
        <f>_xlfn.XLOOKUP(TBL_USUARIOS[[#This Row],[ID_MASSA]],tbl_de_massas[id_massa],tbl_de_massas[nome_completo],"--",0,1)</f>
        <v>Eduardo Borges Gomes</v>
      </c>
      <c r="E1015" t="str">
        <f>_xlfn.XLOOKUP(TBL_USUARIOS[[#This Row],[ID_MASSA]],tbl_de_massas[id_massa],tbl_de_massas[cartao_fisico_numero],"--",0,1)</f>
        <v>5442 7460 6488 3185</v>
      </c>
      <c r="F1015" t="str">
        <f>_xlfn.XLOOKUP(TBL_USUARIOS[[#This Row],[ID_MASSA]],tbl_de_massas[id_massa],tbl_de_massas[nome_completo],"--",0,1)</f>
        <v>Eduardo Borges Gomes</v>
      </c>
      <c r="G1015" s="47">
        <f>_xlfn.XLOOKUP(TBL_USUARIOS[[#This Row],[ID_MASSA]],tbl_de_massas[id_massa],tbl_de_massas[saldo_conta],"--",0,1)</f>
        <v>10203.32</v>
      </c>
      <c r="H1015" t="str">
        <f>_xlfn.XLOOKUP(TBL_USUARIOS[[#This Row],[ID_MASSA]],tbl_de_massas[id_massa],tbl_de_massas[nome_completo],"--",0,1)</f>
        <v>Eduardo Borges Gomes</v>
      </c>
    </row>
    <row r="1016" spans="1:8" x14ac:dyDescent="0.25">
      <c r="A1016" s="2" t="s">
        <v>2330</v>
      </c>
      <c r="B1016" s="14" t="str">
        <f>_xlfn.XLOOKUP(TBL_USUARIOS[[#This Row],[ID_MASSA]],tbl_de_massas[id_massa],tbl_de_massas[cpf],"--",0,1)</f>
        <v>73129536620</v>
      </c>
      <c r="C1016" t="s">
        <v>12</v>
      </c>
      <c r="D1016" t="str">
        <f>_xlfn.XLOOKUP(TBL_USUARIOS[[#This Row],[ID_MASSA]],tbl_de_massas[id_massa],tbl_de_massas[nome_completo],"--",0,1)</f>
        <v>Juliana Lima Rezende</v>
      </c>
      <c r="E1016" t="str">
        <f>_xlfn.XLOOKUP(TBL_USUARIOS[[#This Row],[ID_MASSA]],tbl_de_massas[id_massa],tbl_de_massas[cartao_fisico_numero],"--",0,1)</f>
        <v>4576 7460 1295 1259</v>
      </c>
      <c r="F1016" t="str">
        <f>_xlfn.XLOOKUP(TBL_USUARIOS[[#This Row],[ID_MASSA]],tbl_de_massas[id_massa],tbl_de_massas[nome_completo],"--",0,1)</f>
        <v>Juliana Lima Rezende</v>
      </c>
      <c r="G1016" s="47">
        <f>_xlfn.XLOOKUP(TBL_USUARIOS[[#This Row],[ID_MASSA]],tbl_de_massas[id_massa],tbl_de_massas[saldo_conta],"--",0,1)</f>
        <v>10499.7</v>
      </c>
      <c r="H1016" t="str">
        <f>_xlfn.XLOOKUP(TBL_USUARIOS[[#This Row],[ID_MASSA]],tbl_de_massas[id_massa],tbl_de_massas[nome_completo],"--",0,1)</f>
        <v>Juliana Lima Rezende</v>
      </c>
    </row>
    <row r="1017" spans="1:8" x14ac:dyDescent="0.25">
      <c r="A1017" s="2" t="s">
        <v>4905</v>
      </c>
      <c r="B1017" t="str">
        <f>_xlfn.XLOOKUP(TBL_USUARIOS[[#This Row],[ID_MASSA]],tbl_de_massas[id_massa],tbl_de_massas[cpf],"--",0,1)</f>
        <v>80190304332</v>
      </c>
      <c r="C1017" t="s">
        <v>12</v>
      </c>
      <c r="D1017" t="str">
        <f>_xlfn.XLOOKUP(TBL_USUARIOS[[#This Row],[ID_MASSA]],tbl_de_massas[id_massa],tbl_de_massas[nome_completo],"--",0,1)</f>
        <v>Gabriela Fernandes Nunes</v>
      </c>
      <c r="E1017" t="str">
        <f>_xlfn.XLOOKUP(TBL_USUARIOS[[#This Row],[ID_MASSA]],tbl_de_massas[id_massa],tbl_de_massas[cartao_fisico_numero],"--",0,1)</f>
        <v>6505 0666 8660 6722</v>
      </c>
      <c r="F1017" t="str">
        <f>_xlfn.XLOOKUP(TBL_USUARIOS[[#This Row],[ID_MASSA]],tbl_de_massas[id_massa],tbl_de_massas[nome_completo],"--",0,1)</f>
        <v>Gabriela Fernandes Nunes</v>
      </c>
      <c r="G1017" s="47">
        <f>_xlfn.XLOOKUP(TBL_USUARIOS[[#This Row],[ID_MASSA]],tbl_de_massas[id_massa],tbl_de_massas[saldo_conta],"--",0,1)</f>
        <v>10520.77</v>
      </c>
      <c r="H1017" t="str">
        <f>_xlfn.XLOOKUP(TBL_USUARIOS[[#This Row],[ID_MASSA]],tbl_de_massas[id_massa],tbl_de_massas[nome_completo],"--",0,1)</f>
        <v>Gabriela Fernandes Nunes</v>
      </c>
    </row>
    <row r="1018" spans="1:8" x14ac:dyDescent="0.25">
      <c r="A1018" s="2" t="s">
        <v>2829</v>
      </c>
      <c r="B1018" t="str">
        <f>_xlfn.XLOOKUP(TBL_USUARIOS[[#This Row],[ID_MASSA]],tbl_de_massas[id_massa],tbl_de_massas[cpf],"--",0,1)</f>
        <v>81845701399</v>
      </c>
      <c r="C1018" t="s">
        <v>12</v>
      </c>
      <c r="D1018" t="str">
        <f>_xlfn.XLOOKUP(TBL_USUARIOS[[#This Row],[ID_MASSA]],tbl_de_massas[id_massa],tbl_de_massas[nome_completo],"--",0,1)</f>
        <v>Vivian Nunes Carvalho</v>
      </c>
      <c r="E1018" t="str">
        <f>_xlfn.XLOOKUP(TBL_USUARIOS[[#This Row],[ID_MASSA]],tbl_de_massas[id_massa],tbl_de_massas[cartao_fisico_numero],"--",0,1)</f>
        <v>3782 471775 3748</v>
      </c>
      <c r="F1018" t="str">
        <f>_xlfn.XLOOKUP(TBL_USUARIOS[[#This Row],[ID_MASSA]],tbl_de_massas[id_massa],tbl_de_massas[nome_completo],"--",0,1)</f>
        <v>Vivian Nunes Carvalho</v>
      </c>
      <c r="G1018" s="47">
        <f>_xlfn.XLOOKUP(TBL_USUARIOS[[#This Row],[ID_MASSA]],tbl_de_massas[id_massa],tbl_de_massas[saldo_conta],"--",0,1)</f>
        <v>10538.56</v>
      </c>
      <c r="H1018" t="str">
        <f>_xlfn.XLOOKUP(TBL_USUARIOS[[#This Row],[ID_MASSA]],tbl_de_massas[id_massa],tbl_de_massas[nome_completo],"--",0,1)</f>
        <v>Vivian Nunes Carvalho</v>
      </c>
    </row>
    <row r="1019" spans="1:8" x14ac:dyDescent="0.25">
      <c r="A1019" s="2" t="s">
        <v>5291</v>
      </c>
      <c r="B1019" t="str">
        <f>_xlfn.XLOOKUP(TBL_USUARIOS[[#This Row],[ID_MASSA]],tbl_de_massas[id_massa],tbl_de_massas[cpf],"--",0,1)</f>
        <v>53123000982</v>
      </c>
      <c r="C1019" t="s">
        <v>12</v>
      </c>
      <c r="D1019" t="str">
        <f>_xlfn.XLOOKUP(TBL_USUARIOS[[#This Row],[ID_MASSA]],tbl_de_massas[id_massa],tbl_de_massas[nome_completo],"--",0,1)</f>
        <v>Vivian Barbosa Vieira</v>
      </c>
      <c r="E1019" t="str">
        <f>_xlfn.XLOOKUP(TBL_USUARIOS[[#This Row],[ID_MASSA]],tbl_de_massas[id_massa],tbl_de_massas[cartao_fisico_numero],"--",0,1)</f>
        <v>6062 8200 5877 1875</v>
      </c>
      <c r="F1019" t="str">
        <f>_xlfn.XLOOKUP(TBL_USUARIOS[[#This Row],[ID_MASSA]],tbl_de_massas[id_massa],tbl_de_massas[nome_completo],"--",0,1)</f>
        <v>Vivian Barbosa Vieira</v>
      </c>
      <c r="G1019" s="47">
        <f>_xlfn.XLOOKUP(TBL_USUARIOS[[#This Row],[ID_MASSA]],tbl_de_massas[id_massa],tbl_de_massas[saldo_conta],"--",0,1)</f>
        <v>10556.88</v>
      </c>
      <c r="H1019" t="str">
        <f>_xlfn.XLOOKUP(TBL_USUARIOS[[#This Row],[ID_MASSA]],tbl_de_massas[id_massa],tbl_de_massas[nome_completo],"--",0,1)</f>
        <v>Vivian Barbosa Vieira</v>
      </c>
    </row>
    <row r="1020" spans="1:8" x14ac:dyDescent="0.25">
      <c r="A1020" s="2" t="s">
        <v>2915</v>
      </c>
      <c r="B1020" t="str">
        <f>_xlfn.XLOOKUP(TBL_USUARIOS[[#This Row],[ID_MASSA]],tbl_de_massas[id_massa],tbl_de_massas[cpf],"--",0,1)</f>
        <v>87865862466</v>
      </c>
      <c r="C1020" t="s">
        <v>12</v>
      </c>
      <c r="D1020" t="str">
        <f>_xlfn.XLOOKUP(TBL_USUARIOS[[#This Row],[ID_MASSA]],tbl_de_massas[id_massa],tbl_de_massas[nome_completo],"--",0,1)</f>
        <v>Rodrigo Gomes</v>
      </c>
      <c r="E1020" t="str">
        <f>_xlfn.XLOOKUP(TBL_USUARIOS[[#This Row],[ID_MASSA]],tbl_de_massas[id_massa],tbl_de_massas[cartao_fisico_numero],"--",0,1)</f>
        <v/>
      </c>
      <c r="F1020" t="str">
        <f>_xlfn.XLOOKUP(TBL_USUARIOS[[#This Row],[ID_MASSA]],tbl_de_massas[id_massa],tbl_de_massas[nome_completo],"--",0,1)</f>
        <v>Rodrigo Gomes</v>
      </c>
      <c r="G1020" s="47">
        <f>_xlfn.XLOOKUP(TBL_USUARIOS[[#This Row],[ID_MASSA]],tbl_de_massas[id_massa],tbl_de_massas[saldo_conta],"--",0,1)</f>
        <v>7662.37</v>
      </c>
      <c r="H1020" t="str">
        <f>_xlfn.XLOOKUP(TBL_USUARIOS[[#This Row],[ID_MASSA]],tbl_de_massas[id_massa],tbl_de_massas[nome_completo],"--",0,1)</f>
        <v>Rodrigo Gomes</v>
      </c>
    </row>
    <row r="1021" spans="1:8" x14ac:dyDescent="0.25">
      <c r="A1021" s="2" t="s">
        <v>3806</v>
      </c>
      <c r="B1021" t="str">
        <f>_xlfn.XLOOKUP(TBL_USUARIOS[[#This Row],[ID_MASSA]],tbl_de_massas[id_massa],tbl_de_massas[cpf],"--",0,1)</f>
        <v>64108319788</v>
      </c>
      <c r="C1021" t="s">
        <v>12</v>
      </c>
      <c r="D1021" t="str">
        <f>_xlfn.XLOOKUP(TBL_USUARIOS[[#This Row],[ID_MASSA]],tbl_de_massas[id_massa],tbl_de_massas[nome_completo],"--",0,1)</f>
        <v>Rodrigo Castro</v>
      </c>
      <c r="E1021" t="str">
        <f>_xlfn.XLOOKUP(TBL_USUARIOS[[#This Row],[ID_MASSA]],tbl_de_massas[id_massa],tbl_de_massas[cartao_fisico_numero],"--",0,1)</f>
        <v>5442 7460 7260 9407</v>
      </c>
      <c r="F1021" t="str">
        <f>_xlfn.XLOOKUP(TBL_USUARIOS[[#This Row],[ID_MASSA]],tbl_de_massas[id_massa],tbl_de_massas[nome_completo],"--",0,1)</f>
        <v>Rodrigo Castro</v>
      </c>
      <c r="G1021" s="47">
        <f>_xlfn.XLOOKUP(TBL_USUARIOS[[#This Row],[ID_MASSA]],tbl_de_massas[id_massa],tbl_de_massas[saldo_conta],"--",0,1)</f>
        <v>10193.879999999999</v>
      </c>
      <c r="H1021" t="str">
        <f>_xlfn.XLOOKUP(TBL_USUARIOS[[#This Row],[ID_MASSA]],tbl_de_massas[id_massa],tbl_de_massas[nome_completo],"--",0,1)</f>
        <v>Rodrigo Castro</v>
      </c>
    </row>
    <row r="1022" spans="1:8" x14ac:dyDescent="0.25">
      <c r="A1022" s="2" t="s">
        <v>4486</v>
      </c>
      <c r="B1022" t="str">
        <f>_xlfn.XLOOKUP(TBL_USUARIOS[[#This Row],[ID_MASSA]],tbl_de_massas[id_massa],tbl_de_massas[cpf],"--",0,1)</f>
        <v>96440538772</v>
      </c>
      <c r="C1022" t="s">
        <v>12</v>
      </c>
      <c r="D1022" t="str">
        <f>_xlfn.XLOOKUP(TBL_USUARIOS[[#This Row],[ID_MASSA]],tbl_de_massas[id_massa],tbl_de_massas[nome_completo],"--",0,1)</f>
        <v>Mariana Lima</v>
      </c>
      <c r="E1022" t="str">
        <f>_xlfn.XLOOKUP(TBL_USUARIOS[[#This Row],[ID_MASSA]],tbl_de_massas[id_massa],tbl_de_massas[cartao_fisico_numero],"--",0,1)</f>
        <v>3782 621369 4180</v>
      </c>
      <c r="F1022" t="str">
        <f>_xlfn.XLOOKUP(TBL_USUARIOS[[#This Row],[ID_MASSA]],tbl_de_massas[id_massa],tbl_de_massas[nome_completo],"--",0,1)</f>
        <v>Mariana Lima</v>
      </c>
      <c r="G1022" s="47">
        <f>_xlfn.XLOOKUP(TBL_USUARIOS[[#This Row],[ID_MASSA]],tbl_de_massas[id_massa],tbl_de_massas[saldo_conta],"--",0,1)</f>
        <v>10600.39</v>
      </c>
      <c r="H1022" t="str">
        <f>_xlfn.XLOOKUP(TBL_USUARIOS[[#This Row],[ID_MASSA]],tbl_de_massas[id_massa],tbl_de_massas[nome_completo],"--",0,1)</f>
        <v>Mariana Lima</v>
      </c>
    </row>
    <row r="1023" spans="1:8" x14ac:dyDescent="0.25">
      <c r="A1023" s="2" t="s">
        <v>4272</v>
      </c>
      <c r="B1023" t="str">
        <f>_xlfn.XLOOKUP(TBL_USUARIOS[[#This Row],[ID_MASSA]],tbl_de_massas[id_massa],tbl_de_massas[cpf],"--",0,1)</f>
        <v>84446387650</v>
      </c>
      <c r="C1023" t="s">
        <v>12</v>
      </c>
      <c r="D1023" t="str">
        <f>_xlfn.XLOOKUP(TBL_USUARIOS[[#This Row],[ID_MASSA]],tbl_de_massas[id_massa],tbl_de_massas[nome_completo],"--",0,1)</f>
        <v>Guilherme Lima</v>
      </c>
      <c r="E1023" t="str">
        <f>_xlfn.XLOOKUP(TBL_USUARIOS[[#This Row],[ID_MASSA]],tbl_de_massas[id_massa],tbl_de_massas[cartao_fisico_numero],"--",0,1)</f>
        <v>4576 7460 2368 6220</v>
      </c>
      <c r="F1023" t="str">
        <f>_xlfn.XLOOKUP(TBL_USUARIOS[[#This Row],[ID_MASSA]],tbl_de_massas[id_massa],tbl_de_massas[nome_completo],"--",0,1)</f>
        <v>Guilherme Lima</v>
      </c>
      <c r="G1023" s="47">
        <f>_xlfn.XLOOKUP(TBL_USUARIOS[[#This Row],[ID_MASSA]],tbl_de_massas[id_massa],tbl_de_massas[saldo_conta],"--",0,1)</f>
        <v>10611.97</v>
      </c>
      <c r="H1023" t="str">
        <f>_xlfn.XLOOKUP(TBL_USUARIOS[[#This Row],[ID_MASSA]],tbl_de_massas[id_massa],tbl_de_massas[nome_completo],"--",0,1)</f>
        <v>Guilherme Lima</v>
      </c>
    </row>
    <row r="1024" spans="1:8" x14ac:dyDescent="0.25">
      <c r="A1024" s="2" t="s">
        <v>3674</v>
      </c>
      <c r="B1024" t="str">
        <f>_xlfn.XLOOKUP(TBL_USUARIOS[[#This Row],[ID_MASSA]],tbl_de_massas[id_massa],tbl_de_massas[cpf],"--",0,1)</f>
        <v>95695394376</v>
      </c>
      <c r="C1024" t="s">
        <v>12</v>
      </c>
      <c r="D1024" t="str">
        <f>_xlfn.XLOOKUP(TBL_USUARIOS[[#This Row],[ID_MASSA]],tbl_de_massas[id_massa],tbl_de_massas[nome_completo],"--",0,1)</f>
        <v>Danilo Pinto</v>
      </c>
      <c r="E1024" t="str">
        <f>_xlfn.XLOOKUP(TBL_USUARIOS[[#This Row],[ID_MASSA]],tbl_de_massas[id_massa],tbl_de_massas[cartao_fisico_numero],"--",0,1)</f>
        <v>5442 7460 7210 2246</v>
      </c>
      <c r="F1024" t="str">
        <f>_xlfn.XLOOKUP(TBL_USUARIOS[[#This Row],[ID_MASSA]],tbl_de_massas[id_massa],tbl_de_massas[nome_completo],"--",0,1)</f>
        <v>Danilo Pinto</v>
      </c>
      <c r="G1024" s="47">
        <f>_xlfn.XLOOKUP(TBL_USUARIOS[[#This Row],[ID_MASSA]],tbl_de_massas[id_massa],tbl_de_massas[saldo_conta],"--",0,1)</f>
        <v>10618.8</v>
      </c>
      <c r="H1024" t="str">
        <f>_xlfn.XLOOKUP(TBL_USUARIOS[[#This Row],[ID_MASSA]],tbl_de_massas[id_massa],tbl_de_massas[nome_completo],"--",0,1)</f>
        <v>Danilo Pinto</v>
      </c>
    </row>
    <row r="1025" spans="1:8" x14ac:dyDescent="0.25">
      <c r="A1025" s="2" t="s">
        <v>4112</v>
      </c>
      <c r="B1025" t="str">
        <f>_xlfn.XLOOKUP(TBL_USUARIOS[[#This Row],[ID_MASSA]],tbl_de_massas[id_massa],tbl_de_massas[cpf],"--",0,1)</f>
        <v>73156870927</v>
      </c>
      <c r="C1025" t="s">
        <v>12</v>
      </c>
      <c r="D1025" t="str">
        <f>_xlfn.XLOOKUP(TBL_USUARIOS[[#This Row],[ID_MASSA]],tbl_de_massas[id_massa],tbl_de_massas[nome_completo],"--",0,1)</f>
        <v>Bianca Moreira</v>
      </c>
      <c r="E1025" t="str">
        <f>_xlfn.XLOOKUP(TBL_USUARIOS[[#This Row],[ID_MASSA]],tbl_de_massas[id_massa],tbl_de_massas[cartao_fisico_numero],"--",0,1)</f>
        <v>6062 8200 7395 2458</v>
      </c>
      <c r="F1025" t="str">
        <f>_xlfn.XLOOKUP(TBL_USUARIOS[[#This Row],[ID_MASSA]],tbl_de_massas[id_massa],tbl_de_massas[nome_completo],"--",0,1)</f>
        <v>Bianca Moreira</v>
      </c>
      <c r="G1025" s="47">
        <f>_xlfn.XLOOKUP(TBL_USUARIOS[[#This Row],[ID_MASSA]],tbl_de_massas[id_massa],tbl_de_massas[saldo_conta],"--",0,1)</f>
        <v>10642.43</v>
      </c>
      <c r="H1025" t="str">
        <f>_xlfn.XLOOKUP(TBL_USUARIOS[[#This Row],[ID_MASSA]],tbl_de_massas[id_massa],tbl_de_massas[nome_completo],"--",0,1)</f>
        <v>Bianca Moreira</v>
      </c>
    </row>
    <row r="1026" spans="1:8" x14ac:dyDescent="0.25">
      <c r="A1026" s="2" t="s">
        <v>5817</v>
      </c>
      <c r="B1026" t="str">
        <f>_xlfn.XLOOKUP(TBL_USUARIOS[[#This Row],[ID_MASSA]],tbl_de_massas[id_massa],tbl_de_massas[cpf],"--",0,1)</f>
        <v>75573435302</v>
      </c>
      <c r="C1026" t="s">
        <v>12</v>
      </c>
      <c r="D1026" t="str">
        <f>_xlfn.XLOOKUP(TBL_USUARIOS[[#This Row],[ID_MASSA]],tbl_de_massas[id_massa],tbl_de_massas[nome_completo],"--",0,1)</f>
        <v>Mariana Mendes Araujo</v>
      </c>
      <c r="E1026" t="str">
        <f>_xlfn.XLOOKUP(TBL_USUARIOS[[#This Row],[ID_MASSA]],tbl_de_massas[id_massa],tbl_de_massas[cartao_fisico_numero],"--",0,1)</f>
        <v>6505 0666 6248 5500</v>
      </c>
      <c r="F1026" t="str">
        <f>_xlfn.XLOOKUP(TBL_USUARIOS[[#This Row],[ID_MASSA]],tbl_de_massas[id_massa],tbl_de_massas[nome_completo],"--",0,1)</f>
        <v>Mariana Mendes Araujo</v>
      </c>
      <c r="G1026" s="47">
        <f>_xlfn.XLOOKUP(TBL_USUARIOS[[#This Row],[ID_MASSA]],tbl_de_massas[id_massa],tbl_de_massas[saldo_conta],"--",0,1)</f>
        <v>10655.33</v>
      </c>
      <c r="H1026" t="str">
        <f>_xlfn.XLOOKUP(TBL_USUARIOS[[#This Row],[ID_MASSA]],tbl_de_massas[id_massa],tbl_de_massas[nome_completo],"--",0,1)</f>
        <v>Mariana Mendes Araujo</v>
      </c>
    </row>
    <row r="1027" spans="1:8" x14ac:dyDescent="0.25">
      <c r="A1027" s="2" t="s">
        <v>6196</v>
      </c>
      <c r="B1027" t="str">
        <f>_xlfn.XLOOKUP(TBL_USUARIOS[[#This Row],[ID_MASSA]],tbl_de_massas[id_massa],tbl_de_massas[cpf],"--",0,1)</f>
        <v>45807973704</v>
      </c>
      <c r="C1027" t="s">
        <v>12</v>
      </c>
      <c r="D1027" t="str">
        <f>_xlfn.XLOOKUP(TBL_USUARIOS[[#This Row],[ID_MASSA]],tbl_de_massas[id_massa],tbl_de_massas[nome_completo],"--",0,1)</f>
        <v>Evelyn Garcia</v>
      </c>
      <c r="E1027" t="str">
        <f>_xlfn.XLOOKUP(TBL_USUARIOS[[#This Row],[ID_MASSA]],tbl_de_massas[id_massa],tbl_de_massas[cartao_fisico_numero],"--",0,1)</f>
        <v/>
      </c>
      <c r="F1027" t="str">
        <f>_xlfn.XLOOKUP(TBL_USUARIOS[[#This Row],[ID_MASSA]],tbl_de_massas[id_massa],tbl_de_massas[nome_completo],"--",0,1)</f>
        <v>Evelyn Garcia</v>
      </c>
      <c r="G1027" s="47">
        <f>_xlfn.XLOOKUP(TBL_USUARIOS[[#This Row],[ID_MASSA]],tbl_de_massas[id_massa],tbl_de_massas[saldo_conta],"--",0,1)</f>
        <v>10660.59</v>
      </c>
      <c r="H1027" t="str">
        <f>_xlfn.XLOOKUP(TBL_USUARIOS[[#This Row],[ID_MASSA]],tbl_de_massas[id_massa],tbl_de_massas[nome_completo],"--",0,1)</f>
        <v>Evelyn Garcia</v>
      </c>
    </row>
    <row r="1028" spans="1:8" x14ac:dyDescent="0.25">
      <c r="A1028" s="2" t="s">
        <v>3898</v>
      </c>
      <c r="B1028" t="str">
        <f>_xlfn.XLOOKUP(TBL_USUARIOS[[#This Row],[ID_MASSA]],tbl_de_massas[id_massa],tbl_de_massas[cpf],"--",0,1)</f>
        <v>36021809300</v>
      </c>
      <c r="C1028" t="s">
        <v>12</v>
      </c>
      <c r="D1028" t="str">
        <f>_xlfn.XLOOKUP(TBL_USUARIOS[[#This Row],[ID_MASSA]],tbl_de_massas[id_massa],tbl_de_massas[nome_completo],"--",0,1)</f>
        <v>Gustavo Campos Almeida</v>
      </c>
      <c r="E1028" t="str">
        <f>_xlfn.XLOOKUP(TBL_USUARIOS[[#This Row],[ID_MASSA]],tbl_de_massas[id_massa],tbl_de_massas[cartao_fisico_numero],"--",0,1)</f>
        <v/>
      </c>
      <c r="F1028" t="str">
        <f>_xlfn.XLOOKUP(TBL_USUARIOS[[#This Row],[ID_MASSA]],tbl_de_massas[id_massa],tbl_de_massas[nome_completo],"--",0,1)</f>
        <v>Gustavo Campos Almeida</v>
      </c>
      <c r="G1028" s="47">
        <f>_xlfn.XLOOKUP(TBL_USUARIOS[[#This Row],[ID_MASSA]],tbl_de_massas[id_massa],tbl_de_massas[saldo_conta],"--",0,1)</f>
        <v>10690.66</v>
      </c>
      <c r="H1028" t="str">
        <f>_xlfn.XLOOKUP(TBL_USUARIOS[[#This Row],[ID_MASSA]],tbl_de_massas[id_massa],tbl_de_massas[nome_completo],"--",0,1)</f>
        <v>Gustavo Campos Almeida</v>
      </c>
    </row>
    <row r="1029" spans="1:8" x14ac:dyDescent="0.25">
      <c r="A1029" s="2" t="s">
        <v>3111</v>
      </c>
      <c r="B1029" t="str">
        <f>_xlfn.XLOOKUP(TBL_USUARIOS[[#This Row],[ID_MASSA]],tbl_de_massas[id_massa],tbl_de_massas[cpf],"--",0,1)</f>
        <v>60506090710</v>
      </c>
      <c r="C1029" t="s">
        <v>12</v>
      </c>
      <c r="D1029" t="str">
        <f>_xlfn.XLOOKUP(TBL_USUARIOS[[#This Row],[ID_MASSA]],tbl_de_massas[id_massa],tbl_de_massas[nome_completo],"--",0,1)</f>
        <v>Marcelo Santos</v>
      </c>
      <c r="E1029" t="str">
        <f>_xlfn.XLOOKUP(TBL_USUARIOS[[#This Row],[ID_MASSA]],tbl_de_massas[id_massa],tbl_de_massas[cartao_fisico_numero],"--",0,1)</f>
        <v/>
      </c>
      <c r="F1029" t="str">
        <f>_xlfn.XLOOKUP(TBL_USUARIOS[[#This Row],[ID_MASSA]],tbl_de_massas[id_massa],tbl_de_massas[nome_completo],"--",0,1)</f>
        <v>Marcelo Santos</v>
      </c>
      <c r="G1029" s="47">
        <f>_xlfn.XLOOKUP(TBL_USUARIOS[[#This Row],[ID_MASSA]],tbl_de_massas[id_massa],tbl_de_massas[saldo_conta],"--",0,1)</f>
        <v>10693.9</v>
      </c>
      <c r="H1029" t="str">
        <f>_xlfn.XLOOKUP(TBL_USUARIOS[[#This Row],[ID_MASSA]],tbl_de_massas[id_massa],tbl_de_massas[nome_completo],"--",0,1)</f>
        <v>Marcelo Santos</v>
      </c>
    </row>
    <row r="1030" spans="1:8" x14ac:dyDescent="0.25">
      <c r="A1030" s="2" t="s">
        <v>4157</v>
      </c>
      <c r="B1030" t="str">
        <f>_xlfn.XLOOKUP(TBL_USUARIOS[[#This Row],[ID_MASSA]],tbl_de_massas[id_massa],tbl_de_massas[cpf],"--",0,1)</f>
        <v>94737966924</v>
      </c>
      <c r="C1030" t="s">
        <v>12</v>
      </c>
      <c r="D1030" t="str">
        <f>_xlfn.XLOOKUP(TBL_USUARIOS[[#This Row],[ID_MASSA]],tbl_de_massas[id_massa],tbl_de_massas[nome_completo],"--",0,1)</f>
        <v>Aline Pereira Almeida</v>
      </c>
      <c r="E1030" t="str">
        <f>_xlfn.XLOOKUP(TBL_USUARIOS[[#This Row],[ID_MASSA]],tbl_de_massas[id_massa],tbl_de_massas[cartao_fisico_numero],"--",0,1)</f>
        <v>6505 0666 1028 7316</v>
      </c>
      <c r="F1030" t="str">
        <f>_xlfn.XLOOKUP(TBL_USUARIOS[[#This Row],[ID_MASSA]],tbl_de_massas[id_massa],tbl_de_massas[nome_completo],"--",0,1)</f>
        <v>Aline Pereira Almeida</v>
      </c>
      <c r="G1030" s="47">
        <f>_xlfn.XLOOKUP(TBL_USUARIOS[[#This Row],[ID_MASSA]],tbl_de_massas[id_massa],tbl_de_massas[saldo_conta],"--",0,1)</f>
        <v>7794.95</v>
      </c>
      <c r="H1030" t="str">
        <f>_xlfn.XLOOKUP(TBL_USUARIOS[[#This Row],[ID_MASSA]],tbl_de_massas[id_massa],tbl_de_massas[nome_completo],"--",0,1)</f>
        <v>Aline Pereira Almeida</v>
      </c>
    </row>
    <row r="1031" spans="1:8" x14ac:dyDescent="0.25">
      <c r="A1031" s="2" t="s">
        <v>2498</v>
      </c>
      <c r="B1031" s="14" t="str">
        <f>_xlfn.XLOOKUP(TBL_USUARIOS[[#This Row],[ID_MASSA]],tbl_de_massas[id_massa],tbl_de_massas[cpf],"--",0,1)</f>
        <v>28260181401</v>
      </c>
      <c r="C1031" t="s">
        <v>12</v>
      </c>
      <c r="D1031" t="str">
        <f>_xlfn.XLOOKUP(TBL_USUARIOS[[#This Row],[ID_MASSA]],tbl_de_massas[id_massa],tbl_de_massas[nome_completo],"--",0,1)</f>
        <v>Mateo Fernandez</v>
      </c>
      <c r="E1031" t="str">
        <f>_xlfn.XLOOKUP(TBL_USUARIOS[[#This Row],[ID_MASSA]],tbl_de_massas[id_massa],tbl_de_massas[cartao_fisico_numero],"--",0,1)</f>
        <v>6505 0666 5159 2007</v>
      </c>
      <c r="F1031" t="str">
        <f>_xlfn.XLOOKUP(TBL_USUARIOS[[#This Row],[ID_MASSA]],tbl_de_massas[id_massa],tbl_de_massas[nome_completo],"--",0,1)</f>
        <v>Mateo Fernandez</v>
      </c>
      <c r="G1031" s="47">
        <f>_xlfn.XLOOKUP(TBL_USUARIOS[[#This Row],[ID_MASSA]],tbl_de_massas[id_massa],tbl_de_massas[saldo_conta],"--",0,1)</f>
        <v>10311.98</v>
      </c>
      <c r="H1031" t="str">
        <f>_xlfn.XLOOKUP(TBL_USUARIOS[[#This Row],[ID_MASSA]],tbl_de_massas[id_massa],tbl_de_massas[nome_completo],"--",0,1)</f>
        <v>Mateo Fernandez</v>
      </c>
    </row>
    <row r="1032" spans="1:8" x14ac:dyDescent="0.25">
      <c r="A1032" s="2" t="s">
        <v>2470</v>
      </c>
      <c r="B1032" s="14" t="str">
        <f>_xlfn.XLOOKUP(TBL_USUARIOS[[#This Row],[ID_MASSA]],tbl_de_massas[id_massa],tbl_de_massas[cpf],"--",0,1)</f>
        <v>55966997640</v>
      </c>
      <c r="C1032" t="s">
        <v>12</v>
      </c>
      <c r="D1032" t="str">
        <f>_xlfn.XLOOKUP(TBL_USUARIOS[[#This Row],[ID_MASSA]],tbl_de_massas[id_massa],tbl_de_massas[nome_completo],"--",0,1)</f>
        <v>Giulia Russo</v>
      </c>
      <c r="E1032" t="str">
        <f>_xlfn.XLOOKUP(TBL_USUARIOS[[#This Row],[ID_MASSA]],tbl_de_massas[id_massa],tbl_de_massas[cartao_fisico_numero],"--",0,1)</f>
        <v>6062 8200 9195 3714</v>
      </c>
      <c r="F1032" t="str">
        <f>_xlfn.XLOOKUP(TBL_USUARIOS[[#This Row],[ID_MASSA]],tbl_de_massas[id_massa],tbl_de_massas[nome_completo],"--",0,1)</f>
        <v>Giulia Russo</v>
      </c>
      <c r="G1032" s="47">
        <f>_xlfn.XLOOKUP(TBL_USUARIOS[[#This Row],[ID_MASSA]],tbl_de_massas[id_massa],tbl_de_massas[saldo_conta],"--",0,1)</f>
        <v>10367</v>
      </c>
      <c r="H1032" t="str">
        <f>_xlfn.XLOOKUP(TBL_USUARIOS[[#This Row],[ID_MASSA]],tbl_de_massas[id_massa],tbl_de_massas[nome_completo],"--",0,1)</f>
        <v>Giulia Russo</v>
      </c>
    </row>
    <row r="1033" spans="1:8" x14ac:dyDescent="0.25">
      <c r="A1033" s="2" t="s">
        <v>4308</v>
      </c>
      <c r="B1033" t="str">
        <f>_xlfn.XLOOKUP(TBL_USUARIOS[[#This Row],[ID_MASSA]],tbl_de_massas[id_massa],tbl_de_massas[cpf],"--",0,1)</f>
        <v>08281029536</v>
      </c>
      <c r="C1033" t="s">
        <v>12</v>
      </c>
      <c r="D1033" t="str">
        <f>_xlfn.XLOOKUP(TBL_USUARIOS[[#This Row],[ID_MASSA]],tbl_de_massas[id_massa],tbl_de_massas[nome_completo],"--",0,1)</f>
        <v>Carolina Oliveira</v>
      </c>
      <c r="E1033" t="str">
        <f>_xlfn.XLOOKUP(TBL_USUARIOS[[#This Row],[ID_MASSA]],tbl_de_massas[id_massa],tbl_de_massas[cartao_fisico_numero],"--",0,1)</f>
        <v>4576 7460 5625 6624</v>
      </c>
      <c r="F1033" t="str">
        <f>_xlfn.XLOOKUP(TBL_USUARIOS[[#This Row],[ID_MASSA]],tbl_de_massas[id_massa],tbl_de_massas[nome_completo],"--",0,1)</f>
        <v>Carolina Oliveira</v>
      </c>
      <c r="G1033" s="47">
        <f>_xlfn.XLOOKUP(TBL_USUARIOS[[#This Row],[ID_MASSA]],tbl_de_massas[id_massa],tbl_de_massas[saldo_conta],"--",0,1)</f>
        <v>10735.61</v>
      </c>
      <c r="H1033" t="str">
        <f>_xlfn.XLOOKUP(TBL_USUARIOS[[#This Row],[ID_MASSA]],tbl_de_massas[id_massa],tbl_de_massas[nome_completo],"--",0,1)</f>
        <v>Carolina Oliveira</v>
      </c>
    </row>
    <row r="1034" spans="1:8" x14ac:dyDescent="0.25">
      <c r="A1034" s="2" t="s">
        <v>3214</v>
      </c>
      <c r="B1034" t="str">
        <f>_xlfn.XLOOKUP(TBL_USUARIOS[[#This Row],[ID_MASSA]],tbl_de_massas[id_massa],tbl_de_massas[cpf],"--",0,1)</f>
        <v>70014787768</v>
      </c>
      <c r="C1034" t="s">
        <v>12</v>
      </c>
      <c r="D1034" t="str">
        <f>_xlfn.XLOOKUP(TBL_USUARIOS[[#This Row],[ID_MASSA]],tbl_de_massas[id_massa],tbl_de_massas[nome_completo],"--",0,1)</f>
        <v>Mariana Dias Carvalho</v>
      </c>
      <c r="E1034" t="str">
        <f>_xlfn.XLOOKUP(TBL_USUARIOS[[#This Row],[ID_MASSA]],tbl_de_massas[id_massa],tbl_de_massas[cartao_fisico_numero],"--",0,1)</f>
        <v>6062 8200 2973 1585</v>
      </c>
      <c r="F1034" t="str">
        <f>_xlfn.XLOOKUP(TBL_USUARIOS[[#This Row],[ID_MASSA]],tbl_de_massas[id_massa],tbl_de_massas[nome_completo],"--",0,1)</f>
        <v>Mariana Dias Carvalho</v>
      </c>
      <c r="G1034" s="47">
        <f>_xlfn.XLOOKUP(TBL_USUARIOS[[#This Row],[ID_MASSA]],tbl_de_massas[id_massa],tbl_de_massas[saldo_conta],"--",0,1)</f>
        <v>10735.86</v>
      </c>
      <c r="H1034" t="str">
        <f>_xlfn.XLOOKUP(TBL_USUARIOS[[#This Row],[ID_MASSA]],tbl_de_massas[id_massa],tbl_de_massas[nome_completo],"--",0,1)</f>
        <v>Mariana Dias Carvalho</v>
      </c>
    </row>
    <row r="1035" spans="1:8" x14ac:dyDescent="0.25">
      <c r="A1035" s="2" t="s">
        <v>4630</v>
      </c>
      <c r="B1035" t="str">
        <f>_xlfn.XLOOKUP(TBL_USUARIOS[[#This Row],[ID_MASSA]],tbl_de_massas[id_massa],tbl_de_massas[cpf],"--",0,1)</f>
        <v>74478551626</v>
      </c>
      <c r="C1035" t="s">
        <v>12</v>
      </c>
      <c r="D1035" t="str">
        <f>_xlfn.XLOOKUP(TBL_USUARIOS[[#This Row],[ID_MASSA]],tbl_de_massas[id_massa],tbl_de_massas[nome_completo],"--",0,1)</f>
        <v>Eduardo Rodrigues</v>
      </c>
      <c r="E1035" t="str">
        <f>_xlfn.XLOOKUP(TBL_USUARIOS[[#This Row],[ID_MASSA]],tbl_de_massas[id_massa],tbl_de_massas[cartao_fisico_numero],"--",0,1)</f>
        <v>6505 0666 1927 0601</v>
      </c>
      <c r="F1035" t="str">
        <f>_xlfn.XLOOKUP(TBL_USUARIOS[[#This Row],[ID_MASSA]],tbl_de_massas[id_massa],tbl_de_massas[nome_completo],"--",0,1)</f>
        <v>Eduardo Rodrigues</v>
      </c>
      <c r="G1035" s="47">
        <f>_xlfn.XLOOKUP(TBL_USUARIOS[[#This Row],[ID_MASSA]],tbl_de_massas[id_massa],tbl_de_massas[saldo_conta],"--",0,1)</f>
        <v>6872.24</v>
      </c>
      <c r="H1035" t="str">
        <f>_xlfn.XLOOKUP(TBL_USUARIOS[[#This Row],[ID_MASSA]],tbl_de_massas[id_massa],tbl_de_massas[nome_completo],"--",0,1)</f>
        <v>Eduardo Rodrigues</v>
      </c>
    </row>
    <row r="1036" spans="1:8" x14ac:dyDescent="0.25">
      <c r="A1036" s="2" t="s">
        <v>4622</v>
      </c>
      <c r="B1036" t="str">
        <f>_xlfn.XLOOKUP(TBL_USUARIOS[[#This Row],[ID_MASSA]],tbl_de_massas[id_massa],tbl_de_massas[cpf],"--",0,1)</f>
        <v>90948890304</v>
      </c>
      <c r="C1036" t="s">
        <v>12</v>
      </c>
      <c r="D1036" t="str">
        <f>_xlfn.XLOOKUP(TBL_USUARIOS[[#This Row],[ID_MASSA]],tbl_de_massas[id_massa],tbl_de_massas[nome_completo],"--",0,1)</f>
        <v>Fabio Monteiro</v>
      </c>
      <c r="E1036" t="str">
        <f>_xlfn.XLOOKUP(TBL_USUARIOS[[#This Row],[ID_MASSA]],tbl_de_massas[id_massa],tbl_de_massas[cartao_fisico_numero],"--",0,1)</f>
        <v>3782 797662 5698</v>
      </c>
      <c r="F1036" t="str">
        <f>_xlfn.XLOOKUP(TBL_USUARIOS[[#This Row],[ID_MASSA]],tbl_de_massas[id_massa],tbl_de_massas[nome_completo],"--",0,1)</f>
        <v>Fabio Monteiro</v>
      </c>
      <c r="G1036" s="47">
        <f>_xlfn.XLOOKUP(TBL_USUARIOS[[#This Row],[ID_MASSA]],tbl_de_massas[id_massa],tbl_de_massas[saldo_conta],"--",0,1)</f>
        <v>10747.99</v>
      </c>
      <c r="H1036" t="str">
        <f>_xlfn.XLOOKUP(TBL_USUARIOS[[#This Row],[ID_MASSA]],tbl_de_massas[id_massa],tbl_de_massas[nome_completo],"--",0,1)</f>
        <v>Fabio Monteiro</v>
      </c>
    </row>
    <row r="1037" spans="1:8" x14ac:dyDescent="0.25">
      <c r="A1037" s="2" t="s">
        <v>2592</v>
      </c>
      <c r="B1037" s="14" t="str">
        <f>_xlfn.XLOOKUP(TBL_USUARIOS[[#This Row],[ID_MASSA]],tbl_de_massas[id_massa],tbl_de_massas[cpf],"--",0,1)</f>
        <v>60083980768</v>
      </c>
      <c r="C1037" t="s">
        <v>12</v>
      </c>
      <c r="D1037" t="str">
        <f>_xlfn.XLOOKUP(TBL_USUARIOS[[#This Row],[ID_MASSA]],tbl_de_massas[id_massa],tbl_de_massas[nome_completo],"--",0,1)</f>
        <v>Kuihalid Al-Zahrani</v>
      </c>
      <c r="E1037" t="str">
        <f>_xlfn.XLOOKUP(TBL_USUARIOS[[#This Row],[ID_MASSA]],tbl_de_massas[id_massa],tbl_de_massas[cartao_fisico_numero],"--",0,1)</f>
        <v>4576 7460 6654 3213</v>
      </c>
      <c r="F1037" t="str">
        <f>_xlfn.XLOOKUP(TBL_USUARIOS[[#This Row],[ID_MASSA]],tbl_de_massas[id_massa],tbl_de_massas[nome_completo],"--",0,1)</f>
        <v>Kuihalid Al-Zahrani</v>
      </c>
      <c r="G1037" s="47">
        <f>_xlfn.XLOOKUP(TBL_USUARIOS[[#This Row],[ID_MASSA]],tbl_de_massas[id_massa],tbl_de_massas[saldo_conta],"--",0,1)</f>
        <v>10755.37</v>
      </c>
      <c r="H1037" t="str">
        <f>_xlfn.XLOOKUP(TBL_USUARIOS[[#This Row],[ID_MASSA]],tbl_de_massas[id_massa],tbl_de_massas[nome_completo],"--",0,1)</f>
        <v>Kuihalid Al-Zahrani</v>
      </c>
    </row>
    <row r="1038" spans="1:8" x14ac:dyDescent="0.25">
      <c r="A1038" s="2" t="s">
        <v>4170</v>
      </c>
      <c r="B1038" t="str">
        <f>_xlfn.XLOOKUP(TBL_USUARIOS[[#This Row],[ID_MASSA]],tbl_de_massas[id_massa],tbl_de_massas[cpf],"--",0,1)</f>
        <v>02351678273</v>
      </c>
      <c r="C1038" t="s">
        <v>12</v>
      </c>
      <c r="D1038" t="str">
        <f>_xlfn.XLOOKUP(TBL_USUARIOS[[#This Row],[ID_MASSA]],tbl_de_massas[id_massa],tbl_de_massas[nome_completo],"--",0,1)</f>
        <v>Priscila Rocha Fernandes</v>
      </c>
      <c r="E1038" t="str">
        <f>_xlfn.XLOOKUP(TBL_USUARIOS[[#This Row],[ID_MASSA]],tbl_de_massas[id_massa],tbl_de_massas[cartao_fisico_numero],"--",0,1)</f>
        <v/>
      </c>
      <c r="F1038" t="str">
        <f>_xlfn.XLOOKUP(TBL_USUARIOS[[#This Row],[ID_MASSA]],tbl_de_massas[id_massa],tbl_de_massas[nome_completo],"--",0,1)</f>
        <v>Priscila Rocha Fernandes</v>
      </c>
      <c r="G1038" s="47">
        <f>_xlfn.XLOOKUP(TBL_USUARIOS[[#This Row],[ID_MASSA]],tbl_de_massas[id_massa],tbl_de_massas[saldo_conta],"--",0,1)</f>
        <v>10759.46</v>
      </c>
      <c r="H1038" t="str">
        <f>_xlfn.XLOOKUP(TBL_USUARIOS[[#This Row],[ID_MASSA]],tbl_de_massas[id_massa],tbl_de_massas[nome_completo],"--",0,1)</f>
        <v>Priscila Rocha Fernandes</v>
      </c>
    </row>
    <row r="1039" spans="1:8" x14ac:dyDescent="0.25">
      <c r="A1039" s="2" t="s">
        <v>3505</v>
      </c>
      <c r="B1039" t="str">
        <f>_xlfn.XLOOKUP(TBL_USUARIOS[[#This Row],[ID_MASSA]],tbl_de_massas[id_massa],tbl_de_massas[cpf],"--",0,1)</f>
        <v>36016578053</v>
      </c>
      <c r="C1039" t="s">
        <v>12</v>
      </c>
      <c r="D1039" t="str">
        <f>_xlfn.XLOOKUP(TBL_USUARIOS[[#This Row],[ID_MASSA]],tbl_de_massas[id_massa],tbl_de_massas[nome_completo],"--",0,1)</f>
        <v>Carolina Monteiro Moreira</v>
      </c>
      <c r="E1039" t="str">
        <f>_xlfn.XLOOKUP(TBL_USUARIOS[[#This Row],[ID_MASSA]],tbl_de_massas[id_massa],tbl_de_massas[cartao_fisico_numero],"--",0,1)</f>
        <v/>
      </c>
      <c r="F1039" t="str">
        <f>_xlfn.XLOOKUP(TBL_USUARIOS[[#This Row],[ID_MASSA]],tbl_de_massas[id_massa],tbl_de_massas[nome_completo],"--",0,1)</f>
        <v>Carolina Monteiro Moreira</v>
      </c>
      <c r="G1039" s="47">
        <f>_xlfn.XLOOKUP(TBL_USUARIOS[[#This Row],[ID_MASSA]],tbl_de_massas[id_massa],tbl_de_massas[saldo_conta],"--",0,1)</f>
        <v>10768.79</v>
      </c>
      <c r="H1039" t="str">
        <f>_xlfn.XLOOKUP(TBL_USUARIOS[[#This Row],[ID_MASSA]],tbl_de_massas[id_massa],tbl_de_massas[nome_completo],"--",0,1)</f>
        <v>Carolina Monteiro Moreira</v>
      </c>
    </row>
    <row r="1040" spans="1:8" x14ac:dyDescent="0.25">
      <c r="A1040" s="2" t="s">
        <v>2764</v>
      </c>
      <c r="B1040" t="str">
        <f>_xlfn.XLOOKUP(TBL_USUARIOS[[#This Row],[ID_MASSA]],tbl_de_massas[id_massa],tbl_de_massas[cpf],"--",0,1)</f>
        <v>96466674738</v>
      </c>
      <c r="C1040" t="s">
        <v>12</v>
      </c>
      <c r="D1040" t="str">
        <f>_xlfn.XLOOKUP(TBL_USUARIOS[[#This Row],[ID_MASSA]],tbl_de_massas[id_massa],tbl_de_massas[nome_completo],"--",0,1)</f>
        <v>Vinicius Cardoso Barros</v>
      </c>
      <c r="E1040" t="str">
        <f>_xlfn.XLOOKUP(TBL_USUARIOS[[#This Row],[ID_MASSA]],tbl_de_massas[id_massa],tbl_de_massas[cartao_fisico_numero],"--",0,1)</f>
        <v/>
      </c>
      <c r="F1040" t="str">
        <f>_xlfn.XLOOKUP(TBL_USUARIOS[[#This Row],[ID_MASSA]],tbl_de_massas[id_massa],tbl_de_massas[nome_completo],"--",0,1)</f>
        <v>Vinicius Cardoso Barros</v>
      </c>
      <c r="G1040" s="47">
        <f>_xlfn.XLOOKUP(TBL_USUARIOS[[#This Row],[ID_MASSA]],tbl_de_massas[id_massa],tbl_de_massas[saldo_conta],"--",0,1)</f>
        <v>10264.33</v>
      </c>
      <c r="H1040" t="str">
        <f>_xlfn.XLOOKUP(TBL_USUARIOS[[#This Row],[ID_MASSA]],tbl_de_massas[id_massa],tbl_de_massas[nome_completo],"--",0,1)</f>
        <v>Vinicius Cardoso Barros</v>
      </c>
    </row>
    <row r="1041" spans="1:8" x14ac:dyDescent="0.25">
      <c r="A1041" s="2" t="s">
        <v>2807</v>
      </c>
      <c r="B1041" t="str">
        <f>_xlfn.XLOOKUP(TBL_USUARIOS[[#This Row],[ID_MASSA]],tbl_de_massas[id_massa],tbl_de_massas[cpf],"--",0,1)</f>
        <v>22562791622</v>
      </c>
      <c r="C1041" t="s">
        <v>12</v>
      </c>
      <c r="D1041" t="str">
        <f>_xlfn.XLOOKUP(TBL_USUARIOS[[#This Row],[ID_MASSA]],tbl_de_massas[id_massa],tbl_de_massas[nome_completo],"--",0,1)</f>
        <v>Diego Vieira</v>
      </c>
      <c r="E1041" t="str">
        <f>_xlfn.XLOOKUP(TBL_USUARIOS[[#This Row],[ID_MASSA]],tbl_de_massas[id_massa],tbl_de_massas[cartao_fisico_numero],"--",0,1)</f>
        <v>6505 0666 8470 1715</v>
      </c>
      <c r="F1041" t="str">
        <f>_xlfn.XLOOKUP(TBL_USUARIOS[[#This Row],[ID_MASSA]],tbl_de_massas[id_massa],tbl_de_massas[nome_completo],"--",0,1)</f>
        <v>Diego Vieira</v>
      </c>
      <c r="G1041" s="47">
        <f>_xlfn.XLOOKUP(TBL_USUARIOS[[#This Row],[ID_MASSA]],tbl_de_massas[id_massa],tbl_de_massas[saldo_conta],"--",0,1)</f>
        <v>10789.37</v>
      </c>
      <c r="H1041" t="str">
        <f>_xlfn.XLOOKUP(TBL_USUARIOS[[#This Row],[ID_MASSA]],tbl_de_massas[id_massa],tbl_de_massas[nome_completo],"--",0,1)</f>
        <v>Diego Vieira</v>
      </c>
    </row>
    <row r="1042" spans="1:8" x14ac:dyDescent="0.25">
      <c r="A1042" s="2" t="s">
        <v>6266</v>
      </c>
      <c r="B1042" t="str">
        <f>_xlfn.XLOOKUP(TBL_USUARIOS[[#This Row],[ID_MASSA]],tbl_de_massas[id_massa],tbl_de_massas[cpf],"--",0,1)</f>
        <v>07831751670</v>
      </c>
      <c r="C1042" t="s">
        <v>12</v>
      </c>
      <c r="D1042" t="str">
        <f>_xlfn.XLOOKUP(TBL_USUARIOS[[#This Row],[ID_MASSA]],tbl_de_massas[id_massa],tbl_de_massas[nome_completo],"--",0,1)</f>
        <v>Harper Allen</v>
      </c>
      <c r="E1042" t="str">
        <f>_xlfn.XLOOKUP(TBL_USUARIOS[[#This Row],[ID_MASSA]],tbl_de_massas[id_massa],tbl_de_massas[cartao_fisico_numero],"--",0,1)</f>
        <v>5442 7460 8150 5378</v>
      </c>
      <c r="F1042" t="str">
        <f>_xlfn.XLOOKUP(TBL_USUARIOS[[#This Row],[ID_MASSA]],tbl_de_massas[id_massa],tbl_de_massas[nome_completo],"--",0,1)</f>
        <v>Harper Allen</v>
      </c>
      <c r="G1042" s="47">
        <f>_xlfn.XLOOKUP(TBL_USUARIOS[[#This Row],[ID_MASSA]],tbl_de_massas[id_massa],tbl_de_massas[saldo_conta],"--",0,1)</f>
        <v>10816.01</v>
      </c>
      <c r="H1042" t="str">
        <f>_xlfn.XLOOKUP(TBL_USUARIOS[[#This Row],[ID_MASSA]],tbl_de_massas[id_massa],tbl_de_massas[nome_completo],"--",0,1)</f>
        <v>Harper Allen</v>
      </c>
    </row>
    <row r="1043" spans="1:8" x14ac:dyDescent="0.25">
      <c r="A1043" s="2" t="s">
        <v>3490</v>
      </c>
      <c r="B1043" t="str">
        <f>_xlfn.XLOOKUP(TBL_USUARIOS[[#This Row],[ID_MASSA]],tbl_de_massas[id_massa],tbl_de_massas[cpf],"--",0,1)</f>
        <v>00253817765</v>
      </c>
      <c r="C1043" t="s">
        <v>12</v>
      </c>
      <c r="D1043" t="str">
        <f>_xlfn.XLOOKUP(TBL_USUARIOS[[#This Row],[ID_MASSA]],tbl_de_massas[id_massa],tbl_de_massas[nome_completo],"--",0,1)</f>
        <v>Rodrigo Mendes Cavalcanti</v>
      </c>
      <c r="E1043" t="str">
        <f>_xlfn.XLOOKUP(TBL_USUARIOS[[#This Row],[ID_MASSA]],tbl_de_massas[id_massa],tbl_de_massas[cartao_fisico_numero],"--",0,1)</f>
        <v>5442 7460 8734 3751</v>
      </c>
      <c r="F1043" t="str">
        <f>_xlfn.XLOOKUP(TBL_USUARIOS[[#This Row],[ID_MASSA]],tbl_de_massas[id_massa],tbl_de_massas[nome_completo],"--",0,1)</f>
        <v>Rodrigo Mendes Cavalcanti</v>
      </c>
      <c r="G1043" s="47">
        <f>_xlfn.XLOOKUP(TBL_USUARIOS[[#This Row],[ID_MASSA]],tbl_de_massas[id_massa],tbl_de_massas[saldo_conta],"--",0,1)</f>
        <v>10819.96</v>
      </c>
      <c r="H1043" t="str">
        <f>_xlfn.XLOOKUP(TBL_USUARIOS[[#This Row],[ID_MASSA]],tbl_de_massas[id_massa],tbl_de_massas[nome_completo],"--",0,1)</f>
        <v>Rodrigo Mendes Cavalcanti</v>
      </c>
    </row>
    <row r="1044" spans="1:8" x14ac:dyDescent="0.25">
      <c r="A1044" s="2" t="s">
        <v>4817</v>
      </c>
      <c r="B1044" t="str">
        <f>_xlfn.XLOOKUP(TBL_USUARIOS[[#This Row],[ID_MASSA]],tbl_de_massas[id_massa],tbl_de_massas[cpf],"--",0,1)</f>
        <v>23969258901</v>
      </c>
      <c r="C1044" t="s">
        <v>12</v>
      </c>
      <c r="D1044" t="str">
        <f>_xlfn.XLOOKUP(TBL_USUARIOS[[#This Row],[ID_MASSA]],tbl_de_massas[id_massa],tbl_de_massas[nome_completo],"--",0,1)</f>
        <v>Alexandre Teixeira Dias</v>
      </c>
      <c r="E1044" t="str">
        <f>_xlfn.XLOOKUP(TBL_USUARIOS[[#This Row],[ID_MASSA]],tbl_de_massas[id_massa],tbl_de_massas[cartao_fisico_numero],"--",0,1)</f>
        <v/>
      </c>
      <c r="F1044" t="str">
        <f>_xlfn.XLOOKUP(TBL_USUARIOS[[#This Row],[ID_MASSA]],tbl_de_massas[id_massa],tbl_de_massas[nome_completo],"--",0,1)</f>
        <v>Alexandre Teixeira Dias</v>
      </c>
      <c r="G1044" s="47">
        <f>_xlfn.XLOOKUP(TBL_USUARIOS[[#This Row],[ID_MASSA]],tbl_de_massas[id_massa],tbl_de_massas[saldo_conta],"--",0,1)</f>
        <v>10820.16</v>
      </c>
      <c r="H1044" t="str">
        <f>_xlfn.XLOOKUP(TBL_USUARIOS[[#This Row],[ID_MASSA]],tbl_de_massas[id_massa],tbl_de_massas[nome_completo],"--",0,1)</f>
        <v>Alexandre Teixeira Dias</v>
      </c>
    </row>
    <row r="1045" spans="1:8" x14ac:dyDescent="0.25">
      <c r="A1045" s="2" t="s">
        <v>3566</v>
      </c>
      <c r="B1045" t="str">
        <f>_xlfn.XLOOKUP(TBL_USUARIOS[[#This Row],[ID_MASSA]],tbl_de_massas[id_massa],tbl_de_massas[cpf],"--",0,1)</f>
        <v>80446749346</v>
      </c>
      <c r="C1045" t="s">
        <v>12</v>
      </c>
      <c r="D1045" t="str">
        <f>_xlfn.XLOOKUP(TBL_USUARIOS[[#This Row],[ID_MASSA]],tbl_de_massas[id_massa],tbl_de_massas[nome_completo],"--",0,1)</f>
        <v>Gustavo Mendes Almeida</v>
      </c>
      <c r="E1045" t="str">
        <f>_xlfn.XLOOKUP(TBL_USUARIOS[[#This Row],[ID_MASSA]],tbl_de_massas[id_massa],tbl_de_massas[cartao_fisico_numero],"--",0,1)</f>
        <v/>
      </c>
      <c r="F1045" t="str">
        <f>_xlfn.XLOOKUP(TBL_USUARIOS[[#This Row],[ID_MASSA]],tbl_de_massas[id_massa],tbl_de_massas[nome_completo],"--",0,1)</f>
        <v>Gustavo Mendes Almeida</v>
      </c>
      <c r="G1045" s="47">
        <f>_xlfn.XLOOKUP(TBL_USUARIOS[[#This Row],[ID_MASSA]],tbl_de_massas[id_massa],tbl_de_massas[saldo_conta],"--",0,1)</f>
        <v>10825.32</v>
      </c>
      <c r="H1045" t="str">
        <f>_xlfn.XLOOKUP(TBL_USUARIOS[[#This Row],[ID_MASSA]],tbl_de_massas[id_massa],tbl_de_massas[nome_completo],"--",0,1)</f>
        <v>Gustavo Mendes Almeida</v>
      </c>
    </row>
    <row r="1046" spans="1:8" x14ac:dyDescent="0.25">
      <c r="A1046" s="2" t="s">
        <v>6141</v>
      </c>
      <c r="B1046" t="str">
        <f>_xlfn.XLOOKUP(TBL_USUARIOS[[#This Row],[ID_MASSA]],tbl_de_massas[id_massa],tbl_de_massas[cpf],"--",0,1)</f>
        <v>26203741388</v>
      </c>
      <c r="C1046" t="s">
        <v>12</v>
      </c>
      <c r="D1046" t="str">
        <f>_xlfn.XLOOKUP(TBL_USUARIOS[[#This Row],[ID_MASSA]],tbl_de_massas[id_massa],tbl_de_massas[nome_completo],"--",0,1)</f>
        <v>Valentina Ramirez</v>
      </c>
      <c r="E1046" t="str">
        <f>_xlfn.XLOOKUP(TBL_USUARIOS[[#This Row],[ID_MASSA]],tbl_de_massas[id_massa],tbl_de_massas[cartao_fisico_numero],"--",0,1)</f>
        <v/>
      </c>
      <c r="F1046" t="str">
        <f>_xlfn.XLOOKUP(TBL_USUARIOS[[#This Row],[ID_MASSA]],tbl_de_massas[id_massa],tbl_de_massas[nome_completo],"--",0,1)</f>
        <v>Valentina Ramirez</v>
      </c>
      <c r="G1046" s="47">
        <f>_xlfn.XLOOKUP(TBL_USUARIOS[[#This Row],[ID_MASSA]],tbl_de_massas[id_massa],tbl_de_massas[saldo_conta],"--",0,1)</f>
        <v>10837.91</v>
      </c>
      <c r="H1046" t="str">
        <f>_xlfn.XLOOKUP(TBL_USUARIOS[[#This Row],[ID_MASSA]],tbl_de_massas[id_massa],tbl_de_massas[nome_completo],"--",0,1)</f>
        <v>Valentina Ramirez</v>
      </c>
    </row>
    <row r="1047" spans="1:8" x14ac:dyDescent="0.25">
      <c r="A1047" s="2" t="s">
        <v>3933</v>
      </c>
      <c r="B1047" t="str">
        <f>_xlfn.XLOOKUP(TBL_USUARIOS[[#This Row],[ID_MASSA]],tbl_de_massas[id_massa],tbl_de_massas[cpf],"--",0,1)</f>
        <v>22437206124</v>
      </c>
      <c r="C1047" t="s">
        <v>12</v>
      </c>
      <c r="D1047" t="str">
        <f>_xlfn.XLOOKUP(TBL_USUARIOS[[#This Row],[ID_MASSA]],tbl_de_massas[id_massa],tbl_de_massas[nome_completo],"--",0,1)</f>
        <v>Beatriz Carvalho</v>
      </c>
      <c r="E1047" t="str">
        <f>_xlfn.XLOOKUP(TBL_USUARIOS[[#This Row],[ID_MASSA]],tbl_de_massas[id_massa],tbl_de_massas[cartao_fisico_numero],"--",0,1)</f>
        <v/>
      </c>
      <c r="F1047" t="str">
        <f>_xlfn.XLOOKUP(TBL_USUARIOS[[#This Row],[ID_MASSA]],tbl_de_massas[id_massa],tbl_de_massas[nome_completo],"--",0,1)</f>
        <v>Beatriz Carvalho</v>
      </c>
      <c r="G1047" s="47">
        <f>_xlfn.XLOOKUP(TBL_USUARIOS[[#This Row],[ID_MASSA]],tbl_de_massas[id_massa],tbl_de_massas[saldo_conta],"--",0,1)</f>
        <v>10842.18</v>
      </c>
      <c r="H1047" t="str">
        <f>_xlfn.XLOOKUP(TBL_USUARIOS[[#This Row],[ID_MASSA]],tbl_de_massas[id_massa],tbl_de_massas[nome_completo],"--",0,1)</f>
        <v>Beatriz Carvalho</v>
      </c>
    </row>
    <row r="1048" spans="1:8" x14ac:dyDescent="0.25">
      <c r="A1048" s="2" t="s">
        <v>5999</v>
      </c>
      <c r="B1048" t="str">
        <f>_xlfn.XLOOKUP(TBL_USUARIOS[[#This Row],[ID_MASSA]],tbl_de_massas[id_massa],tbl_de_massas[cpf],"--",0,1)</f>
        <v>33480005640</v>
      </c>
      <c r="C1048" t="s">
        <v>12</v>
      </c>
      <c r="D1048" t="str">
        <f>_xlfn.XLOOKUP(TBL_USUARIOS[[#This Row],[ID_MASSA]],tbl_de_massas[id_massa],tbl_de_massas[nome_completo],"--",0,1)</f>
        <v>Aline Teixeira</v>
      </c>
      <c r="E1048" t="str">
        <f>_xlfn.XLOOKUP(TBL_USUARIOS[[#This Row],[ID_MASSA]],tbl_de_massas[id_massa],tbl_de_massas[cartao_fisico_numero],"--",0,1)</f>
        <v>5442 7460 8945 2473</v>
      </c>
      <c r="F1048" t="str">
        <f>_xlfn.XLOOKUP(TBL_USUARIOS[[#This Row],[ID_MASSA]],tbl_de_massas[id_massa],tbl_de_massas[nome_completo],"--",0,1)</f>
        <v>Aline Teixeira</v>
      </c>
      <c r="G1048" s="47">
        <f>_xlfn.XLOOKUP(TBL_USUARIOS[[#This Row],[ID_MASSA]],tbl_de_massas[id_massa],tbl_de_massas[saldo_conta],"--",0,1)</f>
        <v>10848.91</v>
      </c>
      <c r="H1048" t="str">
        <f>_xlfn.XLOOKUP(TBL_USUARIOS[[#This Row],[ID_MASSA]],tbl_de_massas[id_massa],tbl_de_massas[nome_completo],"--",0,1)</f>
        <v>Aline Teixeira</v>
      </c>
    </row>
    <row r="1049" spans="1:8" x14ac:dyDescent="0.25">
      <c r="A1049" s="2" t="s">
        <v>6432</v>
      </c>
      <c r="B1049" t="str">
        <f>_xlfn.XLOOKUP(TBL_USUARIOS[[#This Row],[ID_MASSA]],tbl_de_massas[id_massa],tbl_de_massas[cpf],"--",0,1)</f>
        <v>51851685600</v>
      </c>
      <c r="C1049" t="s">
        <v>12</v>
      </c>
      <c r="D1049" t="str">
        <f>_xlfn.XLOOKUP(TBL_USUARIOS[[#This Row],[ID_MASSA]],tbl_de_massas[id_massa],tbl_de_massas[nome_completo],"--",0,1)</f>
        <v>Xin Zhou Guo</v>
      </c>
      <c r="E1049" t="str">
        <f>_xlfn.XLOOKUP(TBL_USUARIOS[[#This Row],[ID_MASSA]],tbl_de_massas[id_massa],tbl_de_massas[cartao_fisico_numero],"--",0,1)</f>
        <v>5442 7460 8604 4342</v>
      </c>
      <c r="F1049" t="str">
        <f>_xlfn.XLOOKUP(TBL_USUARIOS[[#This Row],[ID_MASSA]],tbl_de_massas[id_massa],tbl_de_massas[nome_completo],"--",0,1)</f>
        <v>Xin Zhou Guo</v>
      </c>
      <c r="G1049" s="47">
        <f>_xlfn.XLOOKUP(TBL_USUARIOS[[#This Row],[ID_MASSA]],tbl_de_massas[id_massa],tbl_de_massas[saldo_conta],"--",0,1)</f>
        <v>10882.67</v>
      </c>
      <c r="H1049" t="str">
        <f>_xlfn.XLOOKUP(TBL_USUARIOS[[#This Row],[ID_MASSA]],tbl_de_massas[id_massa],tbl_de_massas[nome_completo],"--",0,1)</f>
        <v>Xin Zhou Guo</v>
      </c>
    </row>
    <row r="1050" spans="1:8" x14ac:dyDescent="0.25">
      <c r="A1050" s="2" t="s">
        <v>2167</v>
      </c>
      <c r="B1050" s="14" t="str">
        <f>_xlfn.XLOOKUP(TBL_USUARIOS[[#This Row],[ID_MASSA]],tbl_de_massas[id_massa],tbl_de_massas[cpf],"--",0,1)</f>
        <v>45447544025</v>
      </c>
      <c r="C1050" t="s">
        <v>12</v>
      </c>
      <c r="D1050" t="str">
        <f>_xlfn.XLOOKUP(TBL_USUARIOS[[#This Row],[ID_MASSA]],tbl_de_massas[id_massa],tbl_de_massas[nome_completo],"--",0,1)</f>
        <v>Jian Liu</v>
      </c>
      <c r="E1050" t="str">
        <f>_xlfn.XLOOKUP(TBL_USUARIOS[[#This Row],[ID_MASSA]],tbl_de_massas[id_massa],tbl_de_massas[cartao_fisico_numero],"--",0,1)</f>
        <v>6505 0666 6165 7964</v>
      </c>
      <c r="F1050" t="str">
        <f>_xlfn.XLOOKUP(TBL_USUARIOS[[#This Row],[ID_MASSA]],tbl_de_massas[id_massa],tbl_de_massas[nome_completo],"--",0,1)</f>
        <v>Jian Liu</v>
      </c>
      <c r="G1050" s="47">
        <f>_xlfn.XLOOKUP(TBL_USUARIOS[[#This Row],[ID_MASSA]],tbl_de_massas[id_massa],tbl_de_massas[saldo_conta],"--",0,1)</f>
        <v>10908.02</v>
      </c>
      <c r="H1050" t="str">
        <f>_xlfn.XLOOKUP(TBL_USUARIOS[[#This Row],[ID_MASSA]],tbl_de_massas[id_massa],tbl_de_massas[nome_completo],"--",0,1)</f>
        <v>Jian Liu</v>
      </c>
    </row>
    <row r="1051" spans="1:8" x14ac:dyDescent="0.25">
      <c r="A1051" s="2" t="s">
        <v>4821</v>
      </c>
      <c r="B1051" t="str">
        <f>_xlfn.XLOOKUP(TBL_USUARIOS[[#This Row],[ID_MASSA]],tbl_de_massas[id_massa],tbl_de_massas[cpf],"--",0,1)</f>
        <v>71477745408</v>
      </c>
      <c r="C1051" t="s">
        <v>12</v>
      </c>
      <c r="D1051" t="str">
        <f>_xlfn.XLOOKUP(TBL_USUARIOS[[#This Row],[ID_MASSA]],tbl_de_massas[id_massa],tbl_de_massas[nome_completo],"--",0,1)</f>
        <v>Caio Moura</v>
      </c>
      <c r="E1051" t="str">
        <f>_xlfn.XLOOKUP(TBL_USUARIOS[[#This Row],[ID_MASSA]],tbl_de_massas[id_massa],tbl_de_massas[cartao_fisico_numero],"--",0,1)</f>
        <v/>
      </c>
      <c r="F1051" t="str">
        <f>_xlfn.XLOOKUP(TBL_USUARIOS[[#This Row],[ID_MASSA]],tbl_de_massas[id_massa],tbl_de_massas[nome_completo],"--",0,1)</f>
        <v>Caio Moura</v>
      </c>
      <c r="G1051" s="47">
        <f>_xlfn.XLOOKUP(TBL_USUARIOS[[#This Row],[ID_MASSA]],tbl_de_massas[id_massa],tbl_de_massas[saldo_conta],"--",0,1)</f>
        <v>10920.97</v>
      </c>
      <c r="H1051" t="str">
        <f>_xlfn.XLOOKUP(TBL_USUARIOS[[#This Row],[ID_MASSA]],tbl_de_massas[id_massa],tbl_de_massas[nome_completo],"--",0,1)</f>
        <v>Caio Moura</v>
      </c>
    </row>
    <row r="1052" spans="1:8" x14ac:dyDescent="0.25">
      <c r="A1052" s="2" t="s">
        <v>4825</v>
      </c>
      <c r="B1052" t="str">
        <f>_xlfn.XLOOKUP(TBL_USUARIOS[[#This Row],[ID_MASSA]],tbl_de_massas[id_massa],tbl_de_massas[cpf],"--",0,1)</f>
        <v>92971464300</v>
      </c>
      <c r="C1052" t="s">
        <v>12</v>
      </c>
      <c r="D1052" t="str">
        <f>_xlfn.XLOOKUP(TBL_USUARIOS[[#This Row],[ID_MASSA]],tbl_de_massas[id_massa],tbl_de_massas[nome_completo],"--",0,1)</f>
        <v>Camila Nascimento Almeida</v>
      </c>
      <c r="E1052" t="str">
        <f>_xlfn.XLOOKUP(TBL_USUARIOS[[#This Row],[ID_MASSA]],tbl_de_massas[id_massa],tbl_de_massas[cartao_fisico_numero],"--",0,1)</f>
        <v>6062 8200 5899 7720</v>
      </c>
      <c r="F1052" t="str">
        <f>_xlfn.XLOOKUP(TBL_USUARIOS[[#This Row],[ID_MASSA]],tbl_de_massas[id_massa],tbl_de_massas[nome_completo],"--",0,1)</f>
        <v>Camila Nascimento Almeida</v>
      </c>
      <c r="G1052" s="47">
        <f>_xlfn.XLOOKUP(TBL_USUARIOS[[#This Row],[ID_MASSA]],tbl_de_massas[id_massa],tbl_de_massas[saldo_conta],"--",0,1)</f>
        <v>10930.36</v>
      </c>
      <c r="H1052" t="str">
        <f>_xlfn.XLOOKUP(TBL_USUARIOS[[#This Row],[ID_MASSA]],tbl_de_massas[id_massa],tbl_de_massas[nome_completo],"--",0,1)</f>
        <v>Camila Nascimento Almeida</v>
      </c>
    </row>
    <row r="1053" spans="1:8" x14ac:dyDescent="0.25">
      <c r="A1053" s="2" t="s">
        <v>2843</v>
      </c>
      <c r="B1053" t="str">
        <f>_xlfn.XLOOKUP(TBL_USUARIOS[[#This Row],[ID_MASSA]],tbl_de_massas[id_massa],tbl_de_massas[cpf],"--",0,1)</f>
        <v>71040451128</v>
      </c>
      <c r="C1053" t="s">
        <v>12</v>
      </c>
      <c r="D1053" t="str">
        <f>_xlfn.XLOOKUP(TBL_USUARIOS[[#This Row],[ID_MASSA]],tbl_de_massas[id_massa],tbl_de_massas[nome_completo],"--",0,1)</f>
        <v>Matheus Pereira Monteiro</v>
      </c>
      <c r="E1053" t="str">
        <f>_xlfn.XLOOKUP(TBL_USUARIOS[[#This Row],[ID_MASSA]],tbl_de_massas[id_massa],tbl_de_massas[cartao_fisico_numero],"--",0,1)</f>
        <v>6062 8200 1917 8530</v>
      </c>
      <c r="F1053" t="str">
        <f>_xlfn.XLOOKUP(TBL_USUARIOS[[#This Row],[ID_MASSA]],tbl_de_massas[id_massa],tbl_de_massas[nome_completo],"--",0,1)</f>
        <v>Matheus Pereira Monteiro</v>
      </c>
      <c r="G1053" s="47">
        <f>_xlfn.XLOOKUP(TBL_USUARIOS[[#This Row],[ID_MASSA]],tbl_de_massas[id_massa],tbl_de_massas[saldo_conta],"--",0,1)</f>
        <v>11131.93</v>
      </c>
      <c r="H1053" t="str">
        <f>_xlfn.XLOOKUP(TBL_USUARIOS[[#This Row],[ID_MASSA]],tbl_de_massas[id_massa],tbl_de_massas[nome_completo],"--",0,1)</f>
        <v>Matheus Pereira Monteiro</v>
      </c>
    </row>
    <row r="1054" spans="1:8" x14ac:dyDescent="0.25">
      <c r="A1054" s="2" t="s">
        <v>4473</v>
      </c>
      <c r="B1054" t="str">
        <f>_xlfn.XLOOKUP(TBL_USUARIOS[[#This Row],[ID_MASSA]],tbl_de_massas[id_massa],tbl_de_massas[cpf],"--",0,1)</f>
        <v>52818083036</v>
      </c>
      <c r="C1054" t="s">
        <v>12</v>
      </c>
      <c r="D1054" t="str">
        <f>_xlfn.XLOOKUP(TBL_USUARIOS[[#This Row],[ID_MASSA]],tbl_de_massas[id_massa],tbl_de_massas[nome_completo],"--",0,1)</f>
        <v>Fernanda Castro Almeida</v>
      </c>
      <c r="E1054" t="str">
        <f>_xlfn.XLOOKUP(TBL_USUARIOS[[#This Row],[ID_MASSA]],tbl_de_massas[id_massa],tbl_de_massas[cartao_fisico_numero],"--",0,1)</f>
        <v>5442 7460 7248 1894</v>
      </c>
      <c r="F1054" t="str">
        <f>_xlfn.XLOOKUP(TBL_USUARIOS[[#This Row],[ID_MASSA]],tbl_de_massas[id_massa],tbl_de_massas[nome_completo],"--",0,1)</f>
        <v>Fernanda Castro Almeida</v>
      </c>
      <c r="G1054" s="47">
        <f>_xlfn.XLOOKUP(TBL_USUARIOS[[#This Row],[ID_MASSA]],tbl_de_massas[id_massa],tbl_de_massas[saldo_conta],"--",0,1)</f>
        <v>10952.16</v>
      </c>
      <c r="H1054" t="str">
        <f>_xlfn.XLOOKUP(TBL_USUARIOS[[#This Row],[ID_MASSA]],tbl_de_massas[id_massa],tbl_de_massas[nome_completo],"--",0,1)</f>
        <v>Fernanda Castro Almeida</v>
      </c>
    </row>
    <row r="1055" spans="1:8" x14ac:dyDescent="0.25">
      <c r="A1055" s="2" t="s">
        <v>3802</v>
      </c>
      <c r="B1055" t="str">
        <f>_xlfn.XLOOKUP(TBL_USUARIOS[[#This Row],[ID_MASSA]],tbl_de_massas[id_massa],tbl_de_massas[cpf],"--",0,1)</f>
        <v>32200759320</v>
      </c>
      <c r="C1055" t="s">
        <v>12</v>
      </c>
      <c r="D1055" t="str">
        <f>_xlfn.XLOOKUP(TBL_USUARIOS[[#This Row],[ID_MASSA]],tbl_de_massas[id_massa],tbl_de_massas[nome_completo],"--",0,1)</f>
        <v>Marcelo Lima</v>
      </c>
      <c r="E1055" t="str">
        <f>_xlfn.XLOOKUP(TBL_USUARIOS[[#This Row],[ID_MASSA]],tbl_de_massas[id_massa],tbl_de_massas[cartao_fisico_numero],"--",0,1)</f>
        <v>6062 8200 5001 3045</v>
      </c>
      <c r="F1055" t="str">
        <f>_xlfn.XLOOKUP(TBL_USUARIOS[[#This Row],[ID_MASSA]],tbl_de_massas[id_massa],tbl_de_massas[nome_completo],"--",0,1)</f>
        <v>Marcelo Lima</v>
      </c>
      <c r="G1055" s="47">
        <f>_xlfn.XLOOKUP(TBL_USUARIOS[[#This Row],[ID_MASSA]],tbl_de_massas[id_massa],tbl_de_massas[saldo_conta],"--",0,1)</f>
        <v>10960.16</v>
      </c>
      <c r="H1055" t="str">
        <f>_xlfn.XLOOKUP(TBL_USUARIOS[[#This Row],[ID_MASSA]],tbl_de_massas[id_massa],tbl_de_massas[nome_completo],"--",0,1)</f>
        <v>Marcelo Lima</v>
      </c>
    </row>
    <row r="1056" spans="1:8" x14ac:dyDescent="0.25">
      <c r="A1056" s="2" t="s">
        <v>5018</v>
      </c>
      <c r="B1056" t="str">
        <f>_xlfn.XLOOKUP(TBL_USUARIOS[[#This Row],[ID_MASSA]],tbl_de_massas[id_massa],tbl_de_massas[cpf],"--",0,1)</f>
        <v>76303715788</v>
      </c>
      <c r="C1056" t="s">
        <v>12</v>
      </c>
      <c r="D1056" t="str">
        <f>_xlfn.XLOOKUP(TBL_USUARIOS[[#This Row],[ID_MASSA]],tbl_de_massas[id_massa],tbl_de_massas[nome_completo],"--",0,1)</f>
        <v>Leonardo Barros Lima</v>
      </c>
      <c r="E1056" t="str">
        <f>_xlfn.XLOOKUP(TBL_USUARIOS[[#This Row],[ID_MASSA]],tbl_de_massas[id_massa],tbl_de_massas[cartao_fisico_numero],"--",0,1)</f>
        <v/>
      </c>
      <c r="F1056" t="str">
        <f>_xlfn.XLOOKUP(TBL_USUARIOS[[#This Row],[ID_MASSA]],tbl_de_massas[id_massa],tbl_de_massas[nome_completo],"--",0,1)</f>
        <v>Leonardo Barros Lima</v>
      </c>
      <c r="G1056" s="47">
        <f>_xlfn.XLOOKUP(TBL_USUARIOS[[#This Row],[ID_MASSA]],tbl_de_massas[id_massa],tbl_de_massas[saldo_conta],"--",0,1)</f>
        <v>11001.88</v>
      </c>
      <c r="H1056" t="str">
        <f>_xlfn.XLOOKUP(TBL_USUARIOS[[#This Row],[ID_MASSA]],tbl_de_massas[id_massa],tbl_de_massas[nome_completo],"--",0,1)</f>
        <v>Leonardo Barros Lima</v>
      </c>
    </row>
    <row r="1057" spans="1:8" x14ac:dyDescent="0.25">
      <c r="A1057" s="2" t="s">
        <v>3261</v>
      </c>
      <c r="B1057" t="str">
        <f>_xlfn.XLOOKUP(TBL_USUARIOS[[#This Row],[ID_MASSA]],tbl_de_massas[id_massa],tbl_de_massas[cpf],"--",0,1)</f>
        <v>58190814982</v>
      </c>
      <c r="C1057" t="s">
        <v>12</v>
      </c>
      <c r="D1057" t="str">
        <f>_xlfn.XLOOKUP(TBL_USUARIOS[[#This Row],[ID_MASSA]],tbl_de_massas[id_massa],tbl_de_massas[nome_completo],"--",0,1)</f>
        <v>Alexandre Nascimento</v>
      </c>
      <c r="E1057" t="str">
        <f>_xlfn.XLOOKUP(TBL_USUARIOS[[#This Row],[ID_MASSA]],tbl_de_massas[id_massa],tbl_de_massas[cartao_fisico_numero],"--",0,1)</f>
        <v>6062 8200 4443 9931</v>
      </c>
      <c r="F1057" t="str">
        <f>_xlfn.XLOOKUP(TBL_USUARIOS[[#This Row],[ID_MASSA]],tbl_de_massas[id_massa],tbl_de_massas[nome_completo],"--",0,1)</f>
        <v>Alexandre Nascimento</v>
      </c>
      <c r="G1057" s="47">
        <f>_xlfn.XLOOKUP(TBL_USUARIOS[[#This Row],[ID_MASSA]],tbl_de_massas[id_massa],tbl_de_massas[saldo_conta],"--",0,1)</f>
        <v>11021.9</v>
      </c>
      <c r="H1057" t="str">
        <f>_xlfn.XLOOKUP(TBL_USUARIOS[[#This Row],[ID_MASSA]],tbl_de_massas[id_massa],tbl_de_massas[nome_completo],"--",0,1)</f>
        <v>Alexandre Nascimento</v>
      </c>
    </row>
    <row r="1058" spans="1:8" x14ac:dyDescent="0.25">
      <c r="A1058" s="2" t="s">
        <v>4399</v>
      </c>
      <c r="B1058" t="str">
        <f>_xlfn.XLOOKUP(TBL_USUARIOS[[#This Row],[ID_MASSA]],tbl_de_massas[id_massa],tbl_de_massas[cpf],"--",0,1)</f>
        <v>58845963322</v>
      </c>
      <c r="C1058" t="s">
        <v>12</v>
      </c>
      <c r="D1058" t="str">
        <f>_xlfn.XLOOKUP(TBL_USUARIOS[[#This Row],[ID_MASSA]],tbl_de_massas[id_massa],tbl_de_massas[nome_completo],"--",0,1)</f>
        <v>Gabriel Fernandes Nascimento</v>
      </c>
      <c r="E1058" t="str">
        <f>_xlfn.XLOOKUP(TBL_USUARIOS[[#This Row],[ID_MASSA]],tbl_de_massas[id_massa],tbl_de_massas[cartao_fisico_numero],"--",0,1)</f>
        <v>5442 7460 9337 4694</v>
      </c>
      <c r="F1058" t="str">
        <f>_xlfn.XLOOKUP(TBL_USUARIOS[[#This Row],[ID_MASSA]],tbl_de_massas[id_massa],tbl_de_massas[nome_completo],"--",0,1)</f>
        <v>Gabriel Fernandes Nascimento</v>
      </c>
      <c r="G1058" s="47">
        <f>_xlfn.XLOOKUP(TBL_USUARIOS[[#This Row],[ID_MASSA]],tbl_de_massas[id_massa],tbl_de_massas[saldo_conta],"--",0,1)</f>
        <v>11046.59</v>
      </c>
      <c r="H1058" t="str">
        <f>_xlfn.XLOOKUP(TBL_USUARIOS[[#This Row],[ID_MASSA]],tbl_de_massas[id_massa],tbl_de_massas[nome_completo],"--",0,1)</f>
        <v>Gabriel Fernandes Nascimento</v>
      </c>
    </row>
    <row r="1059" spans="1:8" x14ac:dyDescent="0.25">
      <c r="A1059" s="2" t="s">
        <v>4531</v>
      </c>
      <c r="B1059" t="str">
        <f>_xlfn.XLOOKUP(TBL_USUARIOS[[#This Row],[ID_MASSA]],tbl_de_massas[id_massa],tbl_de_massas[cpf],"--",0,1)</f>
        <v>79661708452</v>
      </c>
      <c r="C1059" t="s">
        <v>12</v>
      </c>
      <c r="D1059" t="str">
        <f>_xlfn.XLOOKUP(TBL_USUARIOS[[#This Row],[ID_MASSA]],tbl_de_massas[id_massa],tbl_de_massas[nome_completo],"--",0,1)</f>
        <v>Danilo Barros Cardoso</v>
      </c>
      <c r="E1059" t="str">
        <f>_xlfn.XLOOKUP(TBL_USUARIOS[[#This Row],[ID_MASSA]],tbl_de_massas[id_massa],tbl_de_massas[cartao_fisico_numero],"--",0,1)</f>
        <v>5442 7460 6909 8083</v>
      </c>
      <c r="F1059" t="str">
        <f>_xlfn.XLOOKUP(TBL_USUARIOS[[#This Row],[ID_MASSA]],tbl_de_massas[id_massa],tbl_de_massas[nome_completo],"--",0,1)</f>
        <v>Danilo Barros Cardoso</v>
      </c>
      <c r="G1059" s="47">
        <f>_xlfn.XLOOKUP(TBL_USUARIOS[[#This Row],[ID_MASSA]],tbl_de_massas[id_massa],tbl_de_massas[saldo_conta],"--",0,1)</f>
        <v>11059.02</v>
      </c>
      <c r="H1059" t="str">
        <f>_xlfn.XLOOKUP(TBL_USUARIOS[[#This Row],[ID_MASSA]],tbl_de_massas[id_massa],tbl_de_massas[nome_completo],"--",0,1)</f>
        <v>Danilo Barros Cardoso</v>
      </c>
    </row>
    <row r="1060" spans="1:8" x14ac:dyDescent="0.25">
      <c r="A1060" s="2" t="s">
        <v>6004</v>
      </c>
      <c r="B1060" t="str">
        <f>_xlfn.XLOOKUP(TBL_USUARIOS[[#This Row],[ID_MASSA]],tbl_de_massas[id_massa],tbl_de_massas[cpf],"--",0,1)</f>
        <v>33371743454</v>
      </c>
      <c r="C1060" t="s">
        <v>12</v>
      </c>
      <c r="D1060" t="str">
        <f>_xlfn.XLOOKUP(TBL_USUARIOS[[#This Row],[ID_MASSA]],tbl_de_massas[id_massa],tbl_de_massas[nome_completo],"--",0,1)</f>
        <v>Danilo Carvalho</v>
      </c>
      <c r="E1060" t="str">
        <f>_xlfn.XLOOKUP(TBL_USUARIOS[[#This Row],[ID_MASSA]],tbl_de_massas[id_massa],tbl_de_massas[cartao_fisico_numero],"--",0,1)</f>
        <v>6505 0666 6922 4084</v>
      </c>
      <c r="F1060" t="str">
        <f>_xlfn.XLOOKUP(TBL_USUARIOS[[#This Row],[ID_MASSA]],tbl_de_massas[id_massa],tbl_de_massas[nome_completo],"--",0,1)</f>
        <v>Danilo Carvalho</v>
      </c>
      <c r="G1060" s="47">
        <f>_xlfn.XLOOKUP(TBL_USUARIOS[[#This Row],[ID_MASSA]],tbl_de_massas[id_massa],tbl_de_massas[saldo_conta],"--",0,1)</f>
        <v>11066.92</v>
      </c>
      <c r="H1060" t="str">
        <f>_xlfn.XLOOKUP(TBL_USUARIOS[[#This Row],[ID_MASSA]],tbl_de_massas[id_massa],tbl_de_massas[nome_completo],"--",0,1)</f>
        <v>Danilo Carvalho</v>
      </c>
    </row>
    <row r="1061" spans="1:8" x14ac:dyDescent="0.25">
      <c r="A1061" s="2" t="s">
        <v>2747</v>
      </c>
      <c r="B1061" t="str">
        <f>_xlfn.XLOOKUP(TBL_USUARIOS[[#This Row],[ID_MASSA]],tbl_de_massas[id_massa],tbl_de_massas[cpf],"--",0,1)</f>
        <v>25699189033</v>
      </c>
      <c r="C1061" t="s">
        <v>12</v>
      </c>
      <c r="D1061" t="str">
        <f>_xlfn.XLOOKUP(TBL_USUARIOS[[#This Row],[ID_MASSA]],tbl_de_massas[id_massa],tbl_de_massas[nome_completo],"--",0,1)</f>
        <v>Camila Rodrigues Pereira</v>
      </c>
      <c r="E1061" t="str">
        <f>_xlfn.XLOOKUP(TBL_USUARIOS[[#This Row],[ID_MASSA]],tbl_de_massas[id_massa],tbl_de_massas[cartao_fisico_numero],"--",0,1)</f>
        <v>6505 0666 8151 9921</v>
      </c>
      <c r="F1061" t="str">
        <f>_xlfn.XLOOKUP(TBL_USUARIOS[[#This Row],[ID_MASSA]],tbl_de_massas[id_massa],tbl_de_massas[nome_completo],"--",0,1)</f>
        <v>Camila Rodrigues Pereira</v>
      </c>
      <c r="G1061" s="47">
        <f>_xlfn.XLOOKUP(TBL_USUARIOS[[#This Row],[ID_MASSA]],tbl_de_massas[id_massa],tbl_de_massas[saldo_conta],"--",0,1)</f>
        <v>11076.13</v>
      </c>
      <c r="H1061" t="str">
        <f>_xlfn.XLOOKUP(TBL_USUARIOS[[#This Row],[ID_MASSA]],tbl_de_massas[id_massa],tbl_de_massas[nome_completo],"--",0,1)</f>
        <v>Camila Rodrigues Pereira</v>
      </c>
    </row>
    <row r="1062" spans="1:8" x14ac:dyDescent="0.25">
      <c r="A1062" s="2" t="s">
        <v>2335</v>
      </c>
      <c r="B1062" s="14" t="str">
        <f>_xlfn.XLOOKUP(TBL_USUARIOS[[#This Row],[ID_MASSA]],tbl_de_massas[id_massa],tbl_de_massas[cpf],"--",0,1)</f>
        <v>34310951783</v>
      </c>
      <c r="C1062" t="s">
        <v>12</v>
      </c>
      <c r="D1062" t="str">
        <f>_xlfn.XLOOKUP(TBL_USUARIOS[[#This Row],[ID_MASSA]],tbl_de_massas[id_massa],tbl_de_massas[nome_completo],"--",0,1)</f>
        <v>Michael David Williams</v>
      </c>
      <c r="E1062" t="str">
        <f>_xlfn.XLOOKUP(TBL_USUARIOS[[#This Row],[ID_MASSA]],tbl_de_massas[id_massa],tbl_de_massas[cartao_fisico_numero],"--",0,1)</f>
        <v>6062 8200 9426 0604</v>
      </c>
      <c r="F1062" t="str">
        <f>_xlfn.XLOOKUP(TBL_USUARIOS[[#This Row],[ID_MASSA]],tbl_de_massas[id_massa],tbl_de_massas[nome_completo],"--",0,1)</f>
        <v>Michael David Williams</v>
      </c>
      <c r="G1062" s="47">
        <f>_xlfn.XLOOKUP(TBL_USUARIOS[[#This Row],[ID_MASSA]],tbl_de_massas[id_massa],tbl_de_massas[saldo_conta],"--",0,1)</f>
        <v>10921.39</v>
      </c>
      <c r="H1062" t="str">
        <f>_xlfn.XLOOKUP(TBL_USUARIOS[[#This Row],[ID_MASSA]],tbl_de_massas[id_massa],tbl_de_massas[nome_completo],"--",0,1)</f>
        <v>Michael David Williams</v>
      </c>
    </row>
    <row r="1063" spans="1:8" x14ac:dyDescent="0.25">
      <c r="A1063" s="2" t="s">
        <v>5098</v>
      </c>
      <c r="B1063" t="str">
        <f>_xlfn.XLOOKUP(TBL_USUARIOS[[#This Row],[ID_MASSA]],tbl_de_massas[id_massa],tbl_de_massas[cpf],"--",0,1)</f>
        <v>57674516725</v>
      </c>
      <c r="C1063" t="s">
        <v>12</v>
      </c>
      <c r="D1063" t="str">
        <f>_xlfn.XLOOKUP(TBL_USUARIOS[[#This Row],[ID_MASSA]],tbl_de_massas[id_massa],tbl_de_massas[nome_completo],"--",0,1)</f>
        <v>Priscila Teixeira Monteiro</v>
      </c>
      <c r="E1063" t="str">
        <f>_xlfn.XLOOKUP(TBL_USUARIOS[[#This Row],[ID_MASSA]],tbl_de_massas[id_massa],tbl_de_massas[cartao_fisico_numero],"--",0,1)</f>
        <v>6062 8200 9351 1855</v>
      </c>
      <c r="F1063" t="str">
        <f>_xlfn.XLOOKUP(TBL_USUARIOS[[#This Row],[ID_MASSA]],tbl_de_massas[id_massa],tbl_de_massas[nome_completo],"--",0,1)</f>
        <v>Priscila Teixeira Monteiro</v>
      </c>
      <c r="G1063" s="47">
        <f>_xlfn.XLOOKUP(TBL_USUARIOS[[#This Row],[ID_MASSA]],tbl_de_massas[id_massa],tbl_de_massas[saldo_conta],"--",0,1)</f>
        <v>11136.41</v>
      </c>
      <c r="H1063" t="str">
        <f>_xlfn.XLOOKUP(TBL_USUARIOS[[#This Row],[ID_MASSA]],tbl_de_massas[id_massa],tbl_de_massas[nome_completo],"--",0,1)</f>
        <v>Priscila Teixeira Monteiro</v>
      </c>
    </row>
    <row r="1064" spans="1:8" x14ac:dyDescent="0.25">
      <c r="A1064" s="2" t="s">
        <v>2455</v>
      </c>
      <c r="B1064" s="14" t="str">
        <f>_xlfn.XLOOKUP(TBL_USUARIOS[[#This Row],[ID_MASSA]],tbl_de_massas[id_massa],tbl_de_massas[cpf],"--",0,1)</f>
        <v>49189459024</v>
      </c>
      <c r="C1064" t="s">
        <v>12</v>
      </c>
      <c r="D1064" t="str">
        <f>_xlfn.XLOOKUP(TBL_USUARIOS[[#This Row],[ID_MASSA]],tbl_de_massas[id_massa],tbl_de_massas[nome_completo],"--",0,1)</f>
        <v>Sophie Schmidt</v>
      </c>
      <c r="E1064" t="str">
        <f>_xlfn.XLOOKUP(TBL_USUARIOS[[#This Row],[ID_MASSA]],tbl_de_massas[id_massa],tbl_de_massas[cartao_fisico_numero],"--",0,1)</f>
        <v/>
      </c>
      <c r="F1064" t="str">
        <f>_xlfn.XLOOKUP(TBL_USUARIOS[[#This Row],[ID_MASSA]],tbl_de_massas[id_massa],tbl_de_massas[nome_completo],"--",0,1)</f>
        <v>Sophie Schmidt</v>
      </c>
      <c r="G1064" s="47">
        <f>_xlfn.XLOOKUP(TBL_USUARIOS[[#This Row],[ID_MASSA]],tbl_de_massas[id_massa],tbl_de_massas[saldo_conta],"--",0,1)</f>
        <v>9011.68</v>
      </c>
      <c r="H1064" t="str">
        <f>_xlfn.XLOOKUP(TBL_USUARIOS[[#This Row],[ID_MASSA]],tbl_de_massas[id_massa],tbl_de_massas[nome_completo],"--",0,1)</f>
        <v>Sophie Schmidt</v>
      </c>
    </row>
    <row r="1065" spans="1:8" x14ac:dyDescent="0.25">
      <c r="A1065" s="2" t="s">
        <v>4070</v>
      </c>
      <c r="B1065" t="str">
        <f>_xlfn.XLOOKUP(TBL_USUARIOS[[#This Row],[ID_MASSA]],tbl_de_massas[id_massa],tbl_de_massas[cpf],"--",0,1)</f>
        <v>67060533508</v>
      </c>
      <c r="C1065" t="s">
        <v>12</v>
      </c>
      <c r="D1065" t="str">
        <f>_xlfn.XLOOKUP(TBL_USUARIOS[[#This Row],[ID_MASSA]],tbl_de_massas[id_massa],tbl_de_massas[nome_completo],"--",0,1)</f>
        <v>Gustavo Freitas</v>
      </c>
      <c r="E1065" t="str">
        <f>_xlfn.XLOOKUP(TBL_USUARIOS[[#This Row],[ID_MASSA]],tbl_de_massas[id_massa],tbl_de_massas[cartao_fisico_numero],"--",0,1)</f>
        <v/>
      </c>
      <c r="F1065" t="str">
        <f>_xlfn.XLOOKUP(TBL_USUARIOS[[#This Row],[ID_MASSA]],tbl_de_massas[id_massa],tbl_de_massas[nome_completo],"--",0,1)</f>
        <v>Gustavo Freitas</v>
      </c>
      <c r="G1065" s="47">
        <f>_xlfn.XLOOKUP(TBL_USUARIOS[[#This Row],[ID_MASSA]],tbl_de_massas[id_massa],tbl_de_massas[saldo_conta],"--",0,1)</f>
        <v>11143.42</v>
      </c>
      <c r="H1065" t="str">
        <f>_xlfn.XLOOKUP(TBL_USUARIOS[[#This Row],[ID_MASSA]],tbl_de_massas[id_massa],tbl_de_massas[nome_completo],"--",0,1)</f>
        <v>Gustavo Freitas</v>
      </c>
    </row>
    <row r="1066" spans="1:8" x14ac:dyDescent="0.25">
      <c r="A1066" s="2" t="s">
        <v>2724</v>
      </c>
      <c r="B1066" t="str">
        <f>_xlfn.XLOOKUP(TBL_USUARIOS[[#This Row],[ID_MASSA]],tbl_de_massas[id_massa],tbl_de_massas[cpf],"--",0,1)</f>
        <v>10725586109</v>
      </c>
      <c r="C1066" t="s">
        <v>12</v>
      </c>
      <c r="D1066" t="str">
        <f>_xlfn.XLOOKUP(TBL_USUARIOS[[#This Row],[ID_MASSA]],tbl_de_massas[id_massa],tbl_de_massas[nome_completo],"--",0,1)</f>
        <v>Mateo Fernandez</v>
      </c>
      <c r="E1066" t="str">
        <f>_xlfn.XLOOKUP(TBL_USUARIOS[[#This Row],[ID_MASSA]],tbl_de_massas[id_massa],tbl_de_massas[cartao_fisico_numero],"--",0,1)</f>
        <v>6505 0666 3989 9309</v>
      </c>
      <c r="F1066" t="str">
        <f>_xlfn.XLOOKUP(TBL_USUARIOS[[#This Row],[ID_MASSA]],tbl_de_massas[id_massa],tbl_de_massas[nome_completo],"--",0,1)</f>
        <v>Mateo Fernandez</v>
      </c>
      <c r="G1066" s="47">
        <f>_xlfn.XLOOKUP(TBL_USUARIOS[[#This Row],[ID_MASSA]],tbl_de_massas[id_massa],tbl_de_massas[saldo_conta],"--",0,1)</f>
        <v>3715.39</v>
      </c>
      <c r="H1066" t="str">
        <f>_xlfn.XLOOKUP(TBL_USUARIOS[[#This Row],[ID_MASSA]],tbl_de_massas[id_massa],tbl_de_massas[nome_completo],"--",0,1)</f>
        <v>Mateo Fernandez</v>
      </c>
    </row>
    <row r="1067" spans="1:8" x14ac:dyDescent="0.25">
      <c r="A1067" s="2" t="s">
        <v>4369</v>
      </c>
      <c r="B1067" t="str">
        <f>_xlfn.XLOOKUP(TBL_USUARIOS[[#This Row],[ID_MASSA]],tbl_de_massas[id_massa],tbl_de_massas[cpf],"--",0,1)</f>
        <v>74872985745</v>
      </c>
      <c r="C1067" t="s">
        <v>12</v>
      </c>
      <c r="D1067" t="str">
        <f>_xlfn.XLOOKUP(TBL_USUARIOS[[#This Row],[ID_MASSA]],tbl_de_massas[id_massa],tbl_de_massas[nome_completo],"--",0,1)</f>
        <v>Caio Barros</v>
      </c>
      <c r="E1067" t="str">
        <f>_xlfn.XLOOKUP(TBL_USUARIOS[[#This Row],[ID_MASSA]],tbl_de_massas[id_massa],tbl_de_massas[cartao_fisico_numero],"--",0,1)</f>
        <v>4576 7460 7250 4894</v>
      </c>
      <c r="F1067" t="str">
        <f>_xlfn.XLOOKUP(TBL_USUARIOS[[#This Row],[ID_MASSA]],tbl_de_massas[id_massa],tbl_de_massas[nome_completo],"--",0,1)</f>
        <v>Caio Barros</v>
      </c>
      <c r="G1067" s="47">
        <f>_xlfn.XLOOKUP(TBL_USUARIOS[[#This Row],[ID_MASSA]],tbl_de_massas[id_massa],tbl_de_massas[saldo_conta],"--",0,1)</f>
        <v>11173.26</v>
      </c>
      <c r="H1067" t="str">
        <f>_xlfn.XLOOKUP(TBL_USUARIOS[[#This Row],[ID_MASSA]],tbl_de_massas[id_massa],tbl_de_massas[nome_completo],"--",0,1)</f>
        <v>Caio Barros</v>
      </c>
    </row>
    <row r="1068" spans="1:8" x14ac:dyDescent="0.25">
      <c r="A1068" s="2" t="s">
        <v>6271</v>
      </c>
      <c r="B1068" t="str">
        <f>_xlfn.XLOOKUP(TBL_USUARIOS[[#This Row],[ID_MASSA]],tbl_de_massas[id_massa],tbl_de_massas[cpf],"--",0,1)</f>
        <v>32766438475</v>
      </c>
      <c r="C1068" t="s">
        <v>12</v>
      </c>
      <c r="D1068" t="str">
        <f>_xlfn.XLOOKUP(TBL_USUARIOS[[#This Row],[ID_MASSA]],tbl_de_massas[id_massa],tbl_de_massas[nome_completo],"--",0,1)</f>
        <v>Victoria Smith</v>
      </c>
      <c r="E1068" t="str">
        <f>_xlfn.XLOOKUP(TBL_USUARIOS[[#This Row],[ID_MASSA]],tbl_de_massas[id_massa],tbl_de_massas[cartao_fisico_numero],"--",0,1)</f>
        <v>6505 0666 1823 6882</v>
      </c>
      <c r="F1068" t="str">
        <f>_xlfn.XLOOKUP(TBL_USUARIOS[[#This Row],[ID_MASSA]],tbl_de_massas[id_massa],tbl_de_massas[nome_completo],"--",0,1)</f>
        <v>Victoria Smith</v>
      </c>
      <c r="G1068" s="47">
        <f>_xlfn.XLOOKUP(TBL_USUARIOS[[#This Row],[ID_MASSA]],tbl_de_massas[id_massa],tbl_de_massas[saldo_conta],"--",0,1)</f>
        <v>11175.73</v>
      </c>
      <c r="H1068" t="str">
        <f>_xlfn.XLOOKUP(TBL_USUARIOS[[#This Row],[ID_MASSA]],tbl_de_massas[id_massa],tbl_de_massas[nome_completo],"--",0,1)</f>
        <v>Victoria Smith</v>
      </c>
    </row>
    <row r="1069" spans="1:8" x14ac:dyDescent="0.25">
      <c r="A1069" s="2" t="s">
        <v>2449</v>
      </c>
      <c r="B1069" s="14" t="str">
        <f>_xlfn.XLOOKUP(TBL_USUARIOS[[#This Row],[ID_MASSA]],tbl_de_massas[id_massa],tbl_de_massas[cpf],"--",0,1)</f>
        <v>09044605330</v>
      </c>
      <c r="C1069" t="s">
        <v>12</v>
      </c>
      <c r="D1069" t="str">
        <f>_xlfn.XLOOKUP(TBL_USUARIOS[[#This Row],[ID_MASSA]],tbl_de_massas[id_massa],tbl_de_massas[nome_completo],"--",0,1)</f>
        <v>Pierre Bernard</v>
      </c>
      <c r="E1069" t="str">
        <f>_xlfn.XLOOKUP(TBL_USUARIOS[[#This Row],[ID_MASSA]],tbl_de_massas[id_massa],tbl_de_massas[cartao_fisico_numero],"--",0,1)</f>
        <v>6505 0666 6856 2270</v>
      </c>
      <c r="F1069" t="str">
        <f>_xlfn.XLOOKUP(TBL_USUARIOS[[#This Row],[ID_MASSA]],tbl_de_massas[id_massa],tbl_de_massas[nome_completo],"--",0,1)</f>
        <v>Pierre Bernard</v>
      </c>
      <c r="G1069" s="47">
        <f>_xlfn.XLOOKUP(TBL_USUARIOS[[#This Row],[ID_MASSA]],tbl_de_massas[id_massa],tbl_de_massas[saldo_conta],"--",0,1)</f>
        <v>11225.86</v>
      </c>
      <c r="H1069" t="str">
        <f>_xlfn.XLOOKUP(TBL_USUARIOS[[#This Row],[ID_MASSA]],tbl_de_massas[id_massa],tbl_de_massas[nome_completo],"--",0,1)</f>
        <v>Pierre Bernard</v>
      </c>
    </row>
    <row r="1070" spans="1:8" x14ac:dyDescent="0.25">
      <c r="A1070" s="2" t="s">
        <v>4395</v>
      </c>
      <c r="B1070" t="str">
        <f>_xlfn.XLOOKUP(TBL_USUARIOS[[#This Row],[ID_MASSA]],tbl_de_massas[id_massa],tbl_de_massas[cpf],"--",0,1)</f>
        <v>59146816429</v>
      </c>
      <c r="C1070" t="s">
        <v>12</v>
      </c>
      <c r="D1070" t="str">
        <f>_xlfn.XLOOKUP(TBL_USUARIOS[[#This Row],[ID_MASSA]],tbl_de_massas[id_massa],tbl_de_massas[nome_completo],"--",0,1)</f>
        <v>Isabela Araujo Cavalcanti</v>
      </c>
      <c r="E1070" t="str">
        <f>_xlfn.XLOOKUP(TBL_USUARIOS[[#This Row],[ID_MASSA]],tbl_de_massas[id_massa],tbl_de_massas[cartao_fisico_numero],"--",0,1)</f>
        <v>5442 7460 5603 9530</v>
      </c>
      <c r="F1070" t="str">
        <f>_xlfn.XLOOKUP(TBL_USUARIOS[[#This Row],[ID_MASSA]],tbl_de_massas[id_massa],tbl_de_massas[nome_completo],"--",0,1)</f>
        <v>Isabela Araujo Cavalcanti</v>
      </c>
      <c r="G1070" s="47">
        <f>_xlfn.XLOOKUP(TBL_USUARIOS[[#This Row],[ID_MASSA]],tbl_de_massas[id_massa],tbl_de_massas[saldo_conta],"--",0,1)</f>
        <v>11228.16</v>
      </c>
      <c r="H1070" t="str">
        <f>_xlfn.XLOOKUP(TBL_USUARIOS[[#This Row],[ID_MASSA]],tbl_de_massas[id_massa],tbl_de_massas[nome_completo],"--",0,1)</f>
        <v>Isabela Araujo Cavalcanti</v>
      </c>
    </row>
    <row r="1071" spans="1:8" x14ac:dyDescent="0.25">
      <c r="A1071" s="2" t="s">
        <v>4037</v>
      </c>
      <c r="B1071" t="str">
        <f>_xlfn.XLOOKUP(TBL_USUARIOS[[#This Row],[ID_MASSA]],tbl_de_massas[id_massa],tbl_de_massas[cpf],"--",0,1)</f>
        <v>06567449365</v>
      </c>
      <c r="C1071" t="s">
        <v>12</v>
      </c>
      <c r="D1071" t="str">
        <f>_xlfn.XLOOKUP(TBL_USUARIOS[[#This Row],[ID_MASSA]],tbl_de_massas[id_massa],tbl_de_massas[nome_completo],"--",0,1)</f>
        <v>Leandro Monteiro</v>
      </c>
      <c r="E1071" t="str">
        <f>_xlfn.XLOOKUP(TBL_USUARIOS[[#This Row],[ID_MASSA]],tbl_de_massas[id_massa],tbl_de_massas[cartao_fisico_numero],"--",0,1)</f>
        <v/>
      </c>
      <c r="F1071" t="str">
        <f>_xlfn.XLOOKUP(TBL_USUARIOS[[#This Row],[ID_MASSA]],tbl_de_massas[id_massa],tbl_de_massas[nome_completo],"--",0,1)</f>
        <v>Leandro Monteiro</v>
      </c>
      <c r="G1071" s="47">
        <f>_xlfn.XLOOKUP(TBL_USUARIOS[[#This Row],[ID_MASSA]],tbl_de_massas[id_massa],tbl_de_massas[saldo_conta],"--",0,1)</f>
        <v>11230.11</v>
      </c>
      <c r="H1071" t="str">
        <f>_xlfn.XLOOKUP(TBL_USUARIOS[[#This Row],[ID_MASSA]],tbl_de_massas[id_massa],tbl_de_massas[nome_completo],"--",0,1)</f>
        <v>Leandro Monteiro</v>
      </c>
    </row>
    <row r="1072" spans="1:8" x14ac:dyDescent="0.25">
      <c r="A1072" s="2" t="s">
        <v>4153</v>
      </c>
      <c r="B1072" t="str">
        <f>_xlfn.XLOOKUP(TBL_USUARIOS[[#This Row],[ID_MASSA]],tbl_de_massas[id_massa],tbl_de_massas[cpf],"--",0,1)</f>
        <v>95600801211</v>
      </c>
      <c r="C1072" t="s">
        <v>12</v>
      </c>
      <c r="D1072" t="str">
        <f>_xlfn.XLOOKUP(TBL_USUARIOS[[#This Row],[ID_MASSA]],tbl_de_massas[id_massa],tbl_de_massas[nome_completo],"--",0,1)</f>
        <v>Tatiane Oliveira Nunes</v>
      </c>
      <c r="E1072" t="str">
        <f>_xlfn.XLOOKUP(TBL_USUARIOS[[#This Row],[ID_MASSA]],tbl_de_massas[id_massa],tbl_de_massas[cartao_fisico_numero],"--",0,1)</f>
        <v>5442 7460 8750 1856</v>
      </c>
      <c r="F1072" t="str">
        <f>_xlfn.XLOOKUP(TBL_USUARIOS[[#This Row],[ID_MASSA]],tbl_de_massas[id_massa],tbl_de_massas[nome_completo],"--",0,1)</f>
        <v>Tatiane Oliveira Nunes</v>
      </c>
      <c r="G1072" s="47">
        <f>_xlfn.XLOOKUP(TBL_USUARIOS[[#This Row],[ID_MASSA]],tbl_de_massas[id_massa],tbl_de_massas[saldo_conta],"--",0,1)</f>
        <v>11235.11</v>
      </c>
      <c r="H1072" t="str">
        <f>_xlfn.XLOOKUP(TBL_USUARIOS[[#This Row],[ID_MASSA]],tbl_de_massas[id_massa],tbl_de_massas[nome_completo],"--",0,1)</f>
        <v>Tatiane Oliveira Nunes</v>
      </c>
    </row>
    <row r="1073" spans="1:8" x14ac:dyDescent="0.25">
      <c r="A1073" s="2" t="s">
        <v>3481</v>
      </c>
      <c r="B1073" t="str">
        <f>_xlfn.XLOOKUP(TBL_USUARIOS[[#This Row],[ID_MASSA]],tbl_de_massas[id_massa],tbl_de_massas[cpf],"--",0,1)</f>
        <v>43375327811</v>
      </c>
      <c r="C1073" t="s">
        <v>12</v>
      </c>
      <c r="D1073" t="str">
        <f>_xlfn.XLOOKUP(TBL_USUARIOS[[#This Row],[ID_MASSA]],tbl_de_massas[id_massa],tbl_de_massas[nome_completo],"--",0,1)</f>
        <v>Guilherme Rocha</v>
      </c>
      <c r="E1073" t="str">
        <f>_xlfn.XLOOKUP(TBL_USUARIOS[[#This Row],[ID_MASSA]],tbl_de_massas[id_massa],tbl_de_massas[cartao_fisico_numero],"--",0,1)</f>
        <v>6505 0666 7662 2151</v>
      </c>
      <c r="F1073" t="str">
        <f>_xlfn.XLOOKUP(TBL_USUARIOS[[#This Row],[ID_MASSA]],tbl_de_massas[id_massa],tbl_de_massas[nome_completo],"--",0,1)</f>
        <v>Guilherme Rocha</v>
      </c>
      <c r="G1073" s="47">
        <f>_xlfn.XLOOKUP(TBL_USUARIOS[[#This Row],[ID_MASSA]],tbl_de_massas[id_massa],tbl_de_massas[saldo_conta],"--",0,1)</f>
        <v>11283.73</v>
      </c>
      <c r="H1073" t="str">
        <f>_xlfn.XLOOKUP(TBL_USUARIOS[[#This Row],[ID_MASSA]],tbl_de_massas[id_massa],tbl_de_massas[nome_completo],"--",0,1)</f>
        <v>Guilherme Rocha</v>
      </c>
    </row>
    <row r="1074" spans="1:8" x14ac:dyDescent="0.25">
      <c r="A1074" s="2" t="s">
        <v>3218</v>
      </c>
      <c r="B1074" t="str">
        <f>_xlfn.XLOOKUP(TBL_USUARIOS[[#This Row],[ID_MASSA]],tbl_de_massas[id_massa],tbl_de_massas[cpf],"--",0,1)</f>
        <v>94395822606</v>
      </c>
      <c r="C1074" t="s">
        <v>12</v>
      </c>
      <c r="D1074" t="str">
        <f>_xlfn.XLOOKUP(TBL_USUARIOS[[#This Row],[ID_MASSA]],tbl_de_massas[id_massa],tbl_de_massas[nome_completo],"--",0,1)</f>
        <v>Carolina Gomes Vieira</v>
      </c>
      <c r="E1074" t="str">
        <f>_xlfn.XLOOKUP(TBL_USUARIOS[[#This Row],[ID_MASSA]],tbl_de_massas[id_massa],tbl_de_massas[cartao_fisico_numero],"--",0,1)</f>
        <v>3782 918093 0567</v>
      </c>
      <c r="F1074" t="str">
        <f>_xlfn.XLOOKUP(TBL_USUARIOS[[#This Row],[ID_MASSA]],tbl_de_massas[id_massa],tbl_de_massas[nome_completo],"--",0,1)</f>
        <v>Carolina Gomes Vieira</v>
      </c>
      <c r="G1074" s="47">
        <f>_xlfn.XLOOKUP(TBL_USUARIOS[[#This Row],[ID_MASSA]],tbl_de_massas[id_massa],tbl_de_massas[saldo_conta],"--",0,1)</f>
        <v>11304.23</v>
      </c>
      <c r="H1074" t="str">
        <f>_xlfn.XLOOKUP(TBL_USUARIOS[[#This Row],[ID_MASSA]],tbl_de_massas[id_massa],tbl_de_massas[nome_completo],"--",0,1)</f>
        <v>Carolina Gomes Vieira</v>
      </c>
    </row>
    <row r="1075" spans="1:8" x14ac:dyDescent="0.25">
      <c r="A1075" s="2" t="s">
        <v>5735</v>
      </c>
      <c r="B1075" t="str">
        <f>_xlfn.XLOOKUP(TBL_USUARIOS[[#This Row],[ID_MASSA]],tbl_de_massas[id_massa],tbl_de_massas[cpf],"--",0,1)</f>
        <v>21424586291</v>
      </c>
      <c r="C1075" t="s">
        <v>12</v>
      </c>
      <c r="D1075" t="str">
        <f>_xlfn.XLOOKUP(TBL_USUARIOS[[#This Row],[ID_MASSA]],tbl_de_massas[id_massa],tbl_de_massas[nome_completo],"--",0,1)</f>
        <v>Matheus Barbosa Pereira</v>
      </c>
      <c r="E1075" t="str">
        <f>_xlfn.XLOOKUP(TBL_USUARIOS[[#This Row],[ID_MASSA]],tbl_de_massas[id_massa],tbl_de_massas[cartao_fisico_numero],"--",0,1)</f>
        <v>4576 7460 3168 4032</v>
      </c>
      <c r="F1075" t="str">
        <f>_xlfn.XLOOKUP(TBL_USUARIOS[[#This Row],[ID_MASSA]],tbl_de_massas[id_massa],tbl_de_massas[nome_completo],"--",0,1)</f>
        <v>Matheus Barbosa Pereira</v>
      </c>
      <c r="G1075" s="47">
        <f>_xlfn.XLOOKUP(TBL_USUARIOS[[#This Row],[ID_MASSA]],tbl_de_massas[id_massa],tbl_de_massas[saldo_conta],"--",0,1)</f>
        <v>11306.9</v>
      </c>
      <c r="H1075" t="str">
        <f>_xlfn.XLOOKUP(TBL_USUARIOS[[#This Row],[ID_MASSA]],tbl_de_massas[id_massa],tbl_de_massas[nome_completo],"--",0,1)</f>
        <v>Matheus Barbosa Pereira</v>
      </c>
    </row>
    <row r="1076" spans="1:8" x14ac:dyDescent="0.25">
      <c r="A1076" s="2" t="s">
        <v>3425</v>
      </c>
      <c r="B1076" t="str">
        <f>_xlfn.XLOOKUP(TBL_USUARIOS[[#This Row],[ID_MASSA]],tbl_de_massas[id_massa],tbl_de_massas[cpf],"--",0,1)</f>
        <v>77842530955</v>
      </c>
      <c r="C1076" t="s">
        <v>12</v>
      </c>
      <c r="D1076" t="str">
        <f>_xlfn.XLOOKUP(TBL_USUARIOS[[#This Row],[ID_MASSA]],tbl_de_massas[id_massa],tbl_de_massas[nome_completo],"--",0,1)</f>
        <v>Alexandre Mendes Campos</v>
      </c>
      <c r="E1076" t="str">
        <f>_xlfn.XLOOKUP(TBL_USUARIOS[[#This Row],[ID_MASSA]],tbl_de_massas[id_massa],tbl_de_massas[cartao_fisico_numero],"--",0,1)</f>
        <v/>
      </c>
      <c r="F1076" t="str">
        <f>_xlfn.XLOOKUP(TBL_USUARIOS[[#This Row],[ID_MASSA]],tbl_de_massas[id_massa],tbl_de_massas[nome_completo],"--",0,1)</f>
        <v>Alexandre Mendes Campos</v>
      </c>
      <c r="G1076" s="47">
        <f>_xlfn.XLOOKUP(TBL_USUARIOS[[#This Row],[ID_MASSA]],tbl_de_massas[id_massa],tbl_de_massas[saldo_conta],"--",0,1)</f>
        <v>11308.07</v>
      </c>
      <c r="H1076" t="str">
        <f>_xlfn.XLOOKUP(TBL_USUARIOS[[#This Row],[ID_MASSA]],tbl_de_massas[id_massa],tbl_de_massas[nome_completo],"--",0,1)</f>
        <v>Alexandre Mendes Campos</v>
      </c>
    </row>
    <row r="1077" spans="1:8" x14ac:dyDescent="0.25">
      <c r="A1077" s="2" t="s">
        <v>6012</v>
      </c>
      <c r="B1077" t="str">
        <f>_xlfn.XLOOKUP(TBL_USUARIOS[[#This Row],[ID_MASSA]],tbl_de_massas[id_massa],tbl_de_massas[cpf],"--",0,1)</f>
        <v>16628754600</v>
      </c>
      <c r="C1077" t="s">
        <v>12</v>
      </c>
      <c r="D1077" t="str">
        <f>_xlfn.XLOOKUP(TBL_USUARIOS[[#This Row],[ID_MASSA]],tbl_de_massas[id_massa],tbl_de_massas[nome_completo],"--",0,1)</f>
        <v>Leonardo Castro</v>
      </c>
      <c r="E1077" t="str">
        <f>_xlfn.XLOOKUP(TBL_USUARIOS[[#This Row],[ID_MASSA]],tbl_de_massas[id_massa],tbl_de_massas[cartao_fisico_numero],"--",0,1)</f>
        <v>4576 7460 6313 5365</v>
      </c>
      <c r="F1077" t="str">
        <f>_xlfn.XLOOKUP(TBL_USUARIOS[[#This Row],[ID_MASSA]],tbl_de_massas[id_massa],tbl_de_massas[nome_completo],"--",0,1)</f>
        <v>Leonardo Castro</v>
      </c>
      <c r="G1077" s="47">
        <f>_xlfn.XLOOKUP(TBL_USUARIOS[[#This Row],[ID_MASSA]],tbl_de_massas[id_massa],tbl_de_massas[saldo_conta],"--",0,1)</f>
        <v>11310.84</v>
      </c>
      <c r="H1077" t="str">
        <f>_xlfn.XLOOKUP(TBL_USUARIOS[[#This Row],[ID_MASSA]],tbl_de_massas[id_massa],tbl_de_massas[nome_completo],"--",0,1)</f>
        <v>Leonardo Castro</v>
      </c>
    </row>
    <row r="1078" spans="1:8" x14ac:dyDescent="0.25">
      <c r="A1078" s="2" t="s">
        <v>3920</v>
      </c>
      <c r="B1078" t="str">
        <f>_xlfn.XLOOKUP(TBL_USUARIOS[[#This Row],[ID_MASSA]],tbl_de_massas[id_massa],tbl_de_massas[cpf],"--",0,1)</f>
        <v>73150347491</v>
      </c>
      <c r="C1078" t="s">
        <v>12</v>
      </c>
      <c r="D1078" t="str">
        <f>_xlfn.XLOOKUP(TBL_USUARIOS[[#This Row],[ID_MASSA]],tbl_de_massas[id_massa],tbl_de_massas[nome_completo],"--",0,1)</f>
        <v>Matheus Fernandes</v>
      </c>
      <c r="E1078" t="str">
        <f>_xlfn.XLOOKUP(TBL_USUARIOS[[#This Row],[ID_MASSA]],tbl_de_massas[id_massa],tbl_de_massas[cartao_fisico_numero],"--",0,1)</f>
        <v/>
      </c>
      <c r="F1078" t="str">
        <f>_xlfn.XLOOKUP(TBL_USUARIOS[[#This Row],[ID_MASSA]],tbl_de_massas[id_massa],tbl_de_massas[nome_completo],"--",0,1)</f>
        <v>Matheus Fernandes</v>
      </c>
      <c r="G1078" s="47">
        <f>_xlfn.XLOOKUP(TBL_USUARIOS[[#This Row],[ID_MASSA]],tbl_de_massas[id_massa],tbl_de_massas[saldo_conta],"--",0,1)</f>
        <v>11312.31</v>
      </c>
      <c r="H1078" t="str">
        <f>_xlfn.XLOOKUP(TBL_USUARIOS[[#This Row],[ID_MASSA]],tbl_de_massas[id_massa],tbl_de_massas[nome_completo],"--",0,1)</f>
        <v>Matheus Fernandes</v>
      </c>
    </row>
    <row r="1079" spans="1:8" x14ac:dyDescent="0.25">
      <c r="A1079" s="2" t="s">
        <v>5351</v>
      </c>
      <c r="B1079" t="str">
        <f>_xlfn.XLOOKUP(TBL_USUARIOS[[#This Row],[ID_MASSA]],tbl_de_massas[id_massa],tbl_de_massas[cpf],"--",0,1)</f>
        <v>98847457220</v>
      </c>
      <c r="C1079" t="s">
        <v>12</v>
      </c>
      <c r="D1079" t="str">
        <f>_xlfn.XLOOKUP(TBL_USUARIOS[[#This Row],[ID_MASSA]],tbl_de_massas[id_massa],tbl_de_massas[nome_completo],"--",0,1)</f>
        <v>Rodrigo Rodrigues Teixeira</v>
      </c>
      <c r="E1079" t="str">
        <f>_xlfn.XLOOKUP(TBL_USUARIOS[[#This Row],[ID_MASSA]],tbl_de_massas[id_massa],tbl_de_massas[cartao_fisico_numero],"--",0,1)</f>
        <v>6062 8200 2432 5481</v>
      </c>
      <c r="F1079" t="str">
        <f>_xlfn.XLOOKUP(TBL_USUARIOS[[#This Row],[ID_MASSA]],tbl_de_massas[id_massa],tbl_de_massas[nome_completo],"--",0,1)</f>
        <v>Rodrigo Rodrigues Teixeira</v>
      </c>
      <c r="G1079" s="47">
        <f>_xlfn.XLOOKUP(TBL_USUARIOS[[#This Row],[ID_MASSA]],tbl_de_massas[id_massa],tbl_de_massas[saldo_conta],"--",0,1)</f>
        <v>11314.17</v>
      </c>
      <c r="H1079" t="str">
        <f>_xlfn.XLOOKUP(TBL_USUARIOS[[#This Row],[ID_MASSA]],tbl_de_massas[id_massa],tbl_de_massas[nome_completo],"--",0,1)</f>
        <v>Rodrigo Rodrigues Teixeira</v>
      </c>
    </row>
    <row r="1080" spans="1:8" x14ac:dyDescent="0.25">
      <c r="A1080" s="2" t="s">
        <v>2568</v>
      </c>
      <c r="B1080" s="14" t="str">
        <f>_xlfn.XLOOKUP(TBL_USUARIOS[[#This Row],[ID_MASSA]],tbl_de_massas[id_massa],tbl_de_massas[cpf],"--",0,1)</f>
        <v>58379245580</v>
      </c>
      <c r="C1080" t="s">
        <v>12</v>
      </c>
      <c r="D1080" t="str">
        <f>_xlfn.XLOOKUP(TBL_USUARIOS[[#This Row],[ID_MASSA]],tbl_de_massas[id_massa],tbl_de_massas[nome_completo],"--",0,1)</f>
        <v>Ren Itoqw</v>
      </c>
      <c r="E1080" t="str">
        <f>_xlfn.XLOOKUP(TBL_USUARIOS[[#This Row],[ID_MASSA]],tbl_de_massas[id_massa],tbl_de_massas[cartao_fisico_numero],"--",0,1)</f>
        <v>6062 8200 1212 0475</v>
      </c>
      <c r="F1080" t="str">
        <f>_xlfn.XLOOKUP(TBL_USUARIOS[[#This Row],[ID_MASSA]],tbl_de_massas[id_massa],tbl_de_massas[nome_completo],"--",0,1)</f>
        <v>Ren Itoqw</v>
      </c>
      <c r="G1080" s="47">
        <f>_xlfn.XLOOKUP(TBL_USUARIOS[[#This Row],[ID_MASSA]],tbl_de_massas[id_massa],tbl_de_massas[saldo_conta],"--",0,1)</f>
        <v>11317.4</v>
      </c>
      <c r="H1080" t="str">
        <f>_xlfn.XLOOKUP(TBL_USUARIOS[[#This Row],[ID_MASSA]],tbl_de_massas[id_massa],tbl_de_massas[nome_completo],"--",0,1)</f>
        <v>Ren Itoqw</v>
      </c>
    </row>
    <row r="1081" spans="1:8" x14ac:dyDescent="0.25">
      <c r="A1081" s="2" t="s">
        <v>3038</v>
      </c>
      <c r="B1081" t="str">
        <f>_xlfn.XLOOKUP(TBL_USUARIOS[[#This Row],[ID_MASSA]],tbl_de_massas[id_massa],tbl_de_massas[cpf],"--",0,1)</f>
        <v>03671429887</v>
      </c>
      <c r="C1081" t="s">
        <v>12</v>
      </c>
      <c r="D1081" t="str">
        <f>_xlfn.XLOOKUP(TBL_USUARIOS[[#This Row],[ID_MASSA]],tbl_de_massas[id_massa],tbl_de_massas[nome_completo],"--",0,1)</f>
        <v>Thiago Cavalcanti</v>
      </c>
      <c r="E1081" t="str">
        <f>_xlfn.XLOOKUP(TBL_USUARIOS[[#This Row],[ID_MASSA]],tbl_de_massas[id_massa],tbl_de_massas[cartao_fisico_numero],"--",0,1)</f>
        <v>5442 7460 3507 4277</v>
      </c>
      <c r="F1081" t="str">
        <f>_xlfn.XLOOKUP(TBL_USUARIOS[[#This Row],[ID_MASSA]],tbl_de_massas[id_massa],tbl_de_massas[nome_completo],"--",0,1)</f>
        <v>Thiago Cavalcanti</v>
      </c>
      <c r="G1081" s="47">
        <f>_xlfn.XLOOKUP(TBL_USUARIOS[[#This Row],[ID_MASSA]],tbl_de_massas[id_massa],tbl_de_massas[saldo_conta],"--",0,1)</f>
        <v>11318.34</v>
      </c>
      <c r="H1081" t="str">
        <f>_xlfn.XLOOKUP(TBL_USUARIOS[[#This Row],[ID_MASSA]],tbl_de_massas[id_massa],tbl_de_massas[nome_completo],"--",0,1)</f>
        <v>Thiago Cavalcanti</v>
      </c>
    </row>
    <row r="1082" spans="1:8" x14ac:dyDescent="0.25">
      <c r="A1082" s="2" t="s">
        <v>6301</v>
      </c>
      <c r="B1082" t="str">
        <f>_xlfn.XLOOKUP(TBL_USUARIOS[[#This Row],[ID_MASSA]],tbl_de_massas[id_massa],tbl_de_massas[cpf],"--",0,1)</f>
        <v>80397069200</v>
      </c>
      <c r="C1082" t="s">
        <v>12</v>
      </c>
      <c r="D1082" t="str">
        <f>_xlfn.XLOOKUP(TBL_USUARIOS[[#This Row],[ID_MASSA]],tbl_de_massas[id_massa],tbl_de_massas[nome_completo],"--",0,1)</f>
        <v>Isabella Thomas</v>
      </c>
      <c r="E1082" t="str">
        <f>_xlfn.XLOOKUP(TBL_USUARIOS[[#This Row],[ID_MASSA]],tbl_de_massas[id_massa],tbl_de_massas[cartao_fisico_numero],"--",0,1)</f>
        <v>4576 7460 7325 8852</v>
      </c>
      <c r="F1082" t="str">
        <f>_xlfn.XLOOKUP(TBL_USUARIOS[[#This Row],[ID_MASSA]],tbl_de_massas[id_massa],tbl_de_massas[nome_completo],"--",0,1)</f>
        <v>Isabella Thomas</v>
      </c>
      <c r="G1082" s="47">
        <f>_xlfn.XLOOKUP(TBL_USUARIOS[[#This Row],[ID_MASSA]],tbl_de_massas[id_massa],tbl_de_massas[saldo_conta],"--",0,1)</f>
        <v>11319.89</v>
      </c>
      <c r="H1082" t="str">
        <f>_xlfn.XLOOKUP(TBL_USUARIOS[[#This Row],[ID_MASSA]],tbl_de_massas[id_massa],tbl_de_massas[nome_completo],"--",0,1)</f>
        <v>Isabella Thomas</v>
      </c>
    </row>
    <row r="1083" spans="1:8" x14ac:dyDescent="0.25">
      <c r="A1083" s="2" t="s">
        <v>2644</v>
      </c>
      <c r="B1083" s="14" t="str">
        <f>_xlfn.XLOOKUP(TBL_USUARIOS[[#This Row],[ID_MASSA]],tbl_de_massas[id_massa],tbl_de_massas[cpf],"--",0,1)</f>
        <v>01802088458</v>
      </c>
      <c r="C1083" t="s">
        <v>12</v>
      </c>
      <c r="D1083" t="str">
        <f>_xlfn.XLOOKUP(TBL_USUARIOS[[#This Row],[ID_MASSA]],tbl_de_massas[id_massa],tbl_de_massas[nome_completo],"--",0,1)</f>
        <v>Mariweana Costa Silva</v>
      </c>
      <c r="E1083" t="str">
        <f>_xlfn.XLOOKUP(TBL_USUARIOS[[#This Row],[ID_MASSA]],tbl_de_massas[id_massa],tbl_de_massas[cartao_fisico_numero],"--",0,1)</f>
        <v/>
      </c>
      <c r="F1083" t="str">
        <f>_xlfn.XLOOKUP(TBL_USUARIOS[[#This Row],[ID_MASSA]],tbl_de_massas[id_massa],tbl_de_massas[nome_completo],"--",0,1)</f>
        <v>Mariweana Costa Silva</v>
      </c>
      <c r="G1083" s="47">
        <f>_xlfn.XLOOKUP(TBL_USUARIOS[[#This Row],[ID_MASSA]],tbl_de_massas[id_massa],tbl_de_massas[saldo_conta],"--",0,1)</f>
        <v>7452.39</v>
      </c>
      <c r="H1083" t="str">
        <f>_xlfn.XLOOKUP(TBL_USUARIOS[[#This Row],[ID_MASSA]],tbl_de_massas[id_massa],tbl_de_massas[nome_completo],"--",0,1)</f>
        <v>Mariweana Costa Silva</v>
      </c>
    </row>
    <row r="1084" spans="1:8" x14ac:dyDescent="0.25">
      <c r="A1084" s="2" t="s">
        <v>6572</v>
      </c>
      <c r="B1084" t="str">
        <f>_xlfn.XLOOKUP(TBL_USUARIOS[[#This Row],[ID_MASSA]],tbl_de_massas[id_massa],tbl_de_massas[cpf],"--",0,1)</f>
        <v>37761638446</v>
      </c>
      <c r="C1084" t="s">
        <v>12</v>
      </c>
      <c r="D1084" t="str">
        <f>_xlfn.XLOOKUP(TBL_USUARIOS[[#This Row],[ID_MASSA]],tbl_de_massas[id_massa],tbl_de_massas[nome_completo],"--",0,1)</f>
        <v>Bo Gao</v>
      </c>
      <c r="E1084" t="str">
        <f>_xlfn.XLOOKUP(TBL_USUARIOS[[#This Row],[ID_MASSA]],tbl_de_massas[id_massa],tbl_de_massas[cartao_fisico_numero],"--",0,1)</f>
        <v>5442 7460 5421 4154</v>
      </c>
      <c r="F1084" t="str">
        <f>_xlfn.XLOOKUP(TBL_USUARIOS[[#This Row],[ID_MASSA]],tbl_de_massas[id_massa],tbl_de_massas[nome_completo],"--",0,1)</f>
        <v>Bo Gao</v>
      </c>
      <c r="G1084" s="47">
        <f>_xlfn.XLOOKUP(TBL_USUARIOS[[#This Row],[ID_MASSA]],tbl_de_massas[id_massa],tbl_de_massas[saldo_conta],"--",0,1)</f>
        <v>11336.28</v>
      </c>
      <c r="H1084" t="str">
        <f>_xlfn.XLOOKUP(TBL_USUARIOS[[#This Row],[ID_MASSA]],tbl_de_massas[id_massa],tbl_de_massas[nome_completo],"--",0,1)</f>
        <v>Bo Gao</v>
      </c>
    </row>
    <row r="1085" spans="1:8" x14ac:dyDescent="0.25">
      <c r="A1085" s="2" t="s">
        <v>2181</v>
      </c>
      <c r="B1085" s="14" t="str">
        <f>_xlfn.XLOOKUP(TBL_USUARIOS[[#This Row],[ID_MASSA]],tbl_de_massas[id_massa],tbl_de_massas[cpf],"--",0,1)</f>
        <v>47783749321</v>
      </c>
      <c r="C1085" t="s">
        <v>12</v>
      </c>
      <c r="D1085" t="str">
        <f>_xlfn.XLOOKUP(TBL_USUARIOS[[#This Row],[ID_MASSA]],tbl_de_massas[id_massa],tbl_de_massas[nome_completo],"--",0,1)</f>
        <v>Haewon Jung</v>
      </c>
      <c r="E1085" t="str">
        <f>_xlfn.XLOOKUP(TBL_USUARIOS[[#This Row],[ID_MASSA]],tbl_de_massas[id_massa],tbl_de_massas[cartao_fisico_numero],"--",0,1)</f>
        <v>5442 7460 2604 6712</v>
      </c>
      <c r="F1085" t="str">
        <f>_xlfn.XLOOKUP(TBL_USUARIOS[[#This Row],[ID_MASSA]],tbl_de_massas[id_massa],tbl_de_massas[nome_completo],"--",0,1)</f>
        <v>Haewon Jung</v>
      </c>
      <c r="G1085" s="47">
        <f>_xlfn.XLOOKUP(TBL_USUARIOS[[#This Row],[ID_MASSA]],tbl_de_massas[id_massa],tbl_de_massas[saldo_conta],"--",0,1)</f>
        <v>11338.54</v>
      </c>
      <c r="H1085" t="str">
        <f>_xlfn.XLOOKUP(TBL_USUARIOS[[#This Row],[ID_MASSA]],tbl_de_massas[id_massa],tbl_de_massas[nome_completo],"--",0,1)</f>
        <v>Haewon Jung</v>
      </c>
    </row>
    <row r="1086" spans="1:8" x14ac:dyDescent="0.25">
      <c r="A1086" s="2" t="s">
        <v>6484</v>
      </c>
      <c r="B1086" t="str">
        <f>_xlfn.XLOOKUP(TBL_USUARIOS[[#This Row],[ID_MASSA]],tbl_de_massas[id_massa],tbl_de_massas[cpf],"--",0,1)</f>
        <v>90082020507</v>
      </c>
      <c r="C1086" t="s">
        <v>12</v>
      </c>
      <c r="D1086" t="str">
        <f>_xlfn.XLOOKUP(TBL_USUARIOS[[#This Row],[ID_MASSA]],tbl_de_massas[id_massa],tbl_de_massas[nome_completo],"--",0,1)</f>
        <v>Tao Hu</v>
      </c>
      <c r="E1086" t="str">
        <f>_xlfn.XLOOKUP(TBL_USUARIOS[[#This Row],[ID_MASSA]],tbl_de_massas[id_massa],tbl_de_massas[cartao_fisico_numero],"--",0,1)</f>
        <v>3782 204329 2460</v>
      </c>
      <c r="F1086" t="str">
        <f>_xlfn.XLOOKUP(TBL_USUARIOS[[#This Row],[ID_MASSA]],tbl_de_massas[id_massa],tbl_de_massas[nome_completo],"--",0,1)</f>
        <v>Tao Hu</v>
      </c>
      <c r="G1086" s="47">
        <f>_xlfn.XLOOKUP(TBL_USUARIOS[[#This Row],[ID_MASSA]],tbl_de_massas[id_massa],tbl_de_massas[saldo_conta],"--",0,1)</f>
        <v>11346.44</v>
      </c>
      <c r="H1086" t="str">
        <f>_xlfn.XLOOKUP(TBL_USUARIOS[[#This Row],[ID_MASSA]],tbl_de_massas[id_massa],tbl_de_massas[nome_completo],"--",0,1)</f>
        <v>Tao Hu</v>
      </c>
    </row>
    <row r="1087" spans="1:8" x14ac:dyDescent="0.25">
      <c r="A1087" s="2" t="s">
        <v>2848</v>
      </c>
      <c r="B1087" t="str">
        <f>_xlfn.XLOOKUP(TBL_USUARIOS[[#This Row],[ID_MASSA]],tbl_de_massas[id_massa],tbl_de_massas[cpf],"--",0,1)</f>
        <v>56807084420</v>
      </c>
      <c r="C1087" t="s">
        <v>12</v>
      </c>
      <c r="D1087" t="str">
        <f>_xlfn.XLOOKUP(TBL_USUARIOS[[#This Row],[ID_MASSA]],tbl_de_massas[id_massa],tbl_de_massas[nome_completo],"--",0,1)</f>
        <v>Leonardo Pinto Souza</v>
      </c>
      <c r="E1087" t="str">
        <f>_xlfn.XLOOKUP(TBL_USUARIOS[[#This Row],[ID_MASSA]],tbl_de_massas[id_massa],tbl_de_massas[cartao_fisico_numero],"--",0,1)</f>
        <v>6062 8200 2945 2542</v>
      </c>
      <c r="F1087" t="str">
        <f>_xlfn.XLOOKUP(TBL_USUARIOS[[#This Row],[ID_MASSA]],tbl_de_massas[id_massa],tbl_de_massas[nome_completo],"--",0,1)</f>
        <v>Leonardo Pinto Souza</v>
      </c>
      <c r="G1087" s="47">
        <f>_xlfn.XLOOKUP(TBL_USUARIOS[[#This Row],[ID_MASSA]],tbl_de_massas[id_massa],tbl_de_massas[saldo_conta],"--",0,1)</f>
        <v>8447.32</v>
      </c>
      <c r="H1087" t="str">
        <f>_xlfn.XLOOKUP(TBL_USUARIOS[[#This Row],[ID_MASSA]],tbl_de_massas[id_massa],tbl_de_massas[nome_completo],"--",0,1)</f>
        <v>Leonardo Pinto Souza</v>
      </c>
    </row>
    <row r="1088" spans="1:8" x14ac:dyDescent="0.25">
      <c r="A1088" s="2" t="s">
        <v>2559</v>
      </c>
      <c r="B1088" s="14" t="str">
        <f>_xlfn.XLOOKUP(TBL_USUARIOS[[#This Row],[ID_MASSA]],tbl_de_massas[id_massa],tbl_de_massas[cpf],"--",0,1)</f>
        <v>39088866783</v>
      </c>
      <c r="C1088" t="s">
        <v>12</v>
      </c>
      <c r="D1088" t="str">
        <f>_xlfn.XLOOKUP(TBL_USUARIOS[[#This Row],[ID_MASSA]],tbl_de_massas[id_massa],tbl_de_massas[nome_completo],"--",0,1)</f>
        <v>Camille Martinwe</v>
      </c>
      <c r="E1088" t="str">
        <f>_xlfn.XLOOKUP(TBL_USUARIOS[[#This Row],[ID_MASSA]],tbl_de_massas[id_massa],tbl_de_massas[cartao_fisico_numero],"--",0,1)</f>
        <v/>
      </c>
      <c r="F1088" t="str">
        <f>_xlfn.XLOOKUP(TBL_USUARIOS[[#This Row],[ID_MASSA]],tbl_de_massas[id_massa],tbl_de_massas[nome_completo],"--",0,1)</f>
        <v>Camille Martinwe</v>
      </c>
      <c r="G1088" s="47">
        <f>_xlfn.XLOOKUP(TBL_USUARIOS[[#This Row],[ID_MASSA]],tbl_de_massas[id_massa],tbl_de_massas[saldo_conta],"--",0,1)</f>
        <v>11350.58</v>
      </c>
      <c r="H1088" t="str">
        <f>_xlfn.XLOOKUP(TBL_USUARIOS[[#This Row],[ID_MASSA]],tbl_de_massas[id_massa],tbl_de_massas[nome_completo],"--",0,1)</f>
        <v>Camille Martinwe</v>
      </c>
    </row>
    <row r="1089" spans="1:8" x14ac:dyDescent="0.25">
      <c r="A1089" s="2" t="s">
        <v>4444</v>
      </c>
      <c r="B1089" t="str">
        <f>_xlfn.XLOOKUP(TBL_USUARIOS[[#This Row],[ID_MASSA]],tbl_de_massas[id_massa],tbl_de_massas[cpf],"--",0,1)</f>
        <v>94196243070</v>
      </c>
      <c r="C1089" t="s">
        <v>12</v>
      </c>
      <c r="D1089" t="str">
        <f>_xlfn.XLOOKUP(TBL_USUARIOS[[#This Row],[ID_MASSA]],tbl_de_massas[id_massa],tbl_de_massas[nome_completo],"--",0,1)</f>
        <v>Juliana Barbosa Mendes</v>
      </c>
      <c r="E1089" t="str">
        <f>_xlfn.XLOOKUP(TBL_USUARIOS[[#This Row],[ID_MASSA]],tbl_de_massas[id_massa],tbl_de_massas[cartao_fisico_numero],"--",0,1)</f>
        <v/>
      </c>
      <c r="F1089" t="str">
        <f>_xlfn.XLOOKUP(TBL_USUARIOS[[#This Row],[ID_MASSA]],tbl_de_massas[id_massa],tbl_de_massas[nome_completo],"--",0,1)</f>
        <v>Juliana Barbosa Mendes</v>
      </c>
      <c r="G1089" s="47">
        <f>_xlfn.XLOOKUP(TBL_USUARIOS[[#This Row],[ID_MASSA]],tbl_de_massas[id_massa],tbl_de_massas[saldo_conta],"--",0,1)</f>
        <v>11352.68</v>
      </c>
      <c r="H1089" t="str">
        <f>_xlfn.XLOOKUP(TBL_USUARIOS[[#This Row],[ID_MASSA]],tbl_de_massas[id_massa],tbl_de_massas[nome_completo],"--",0,1)</f>
        <v>Juliana Barbosa Mendes</v>
      </c>
    </row>
    <row r="1090" spans="1:8" x14ac:dyDescent="0.25">
      <c r="A1090" s="2" t="s">
        <v>4801</v>
      </c>
      <c r="B1090" t="str">
        <f>_xlfn.XLOOKUP(TBL_USUARIOS[[#This Row],[ID_MASSA]],tbl_de_massas[id_massa],tbl_de_massas[cpf],"--",0,1)</f>
        <v>27559718604</v>
      </c>
      <c r="C1090" t="s">
        <v>12</v>
      </c>
      <c r="D1090" t="str">
        <f>_xlfn.XLOOKUP(TBL_USUARIOS[[#This Row],[ID_MASSA]],tbl_de_massas[id_massa],tbl_de_massas[nome_completo],"--",0,1)</f>
        <v>Bianca Santos</v>
      </c>
      <c r="E1090" t="str">
        <f>_xlfn.XLOOKUP(TBL_USUARIOS[[#This Row],[ID_MASSA]],tbl_de_massas[id_massa],tbl_de_massas[cartao_fisico_numero],"--",0,1)</f>
        <v/>
      </c>
      <c r="F1090" t="str">
        <f>_xlfn.XLOOKUP(TBL_USUARIOS[[#This Row],[ID_MASSA]],tbl_de_massas[id_massa],tbl_de_massas[nome_completo],"--",0,1)</f>
        <v>Bianca Santos</v>
      </c>
      <c r="G1090" s="47">
        <f>_xlfn.XLOOKUP(TBL_USUARIOS[[#This Row],[ID_MASSA]],tbl_de_massas[id_massa],tbl_de_massas[saldo_conta],"--",0,1)</f>
        <v>11355.3</v>
      </c>
      <c r="H1090" t="str">
        <f>_xlfn.XLOOKUP(TBL_USUARIOS[[#This Row],[ID_MASSA]],tbl_de_massas[id_massa],tbl_de_massas[nome_completo],"--",0,1)</f>
        <v>Bianca Santos</v>
      </c>
    </row>
    <row r="1091" spans="1:8" x14ac:dyDescent="0.25">
      <c r="A1091" s="2" t="s">
        <v>6318</v>
      </c>
      <c r="B1091" t="str">
        <f>_xlfn.XLOOKUP(TBL_USUARIOS[[#This Row],[ID_MASSA]],tbl_de_massas[id_massa],tbl_de_massas[cpf],"--",0,1)</f>
        <v>83208209959</v>
      </c>
      <c r="C1091" t="s">
        <v>12</v>
      </c>
      <c r="D1091" t="str">
        <f>_xlfn.XLOOKUP(TBL_USUARIOS[[#This Row],[ID_MASSA]],tbl_de_massas[id_massa],tbl_de_massas[nome_completo],"--",0,1)</f>
        <v>Charlotte King</v>
      </c>
      <c r="E1091" t="str">
        <f>_xlfn.XLOOKUP(TBL_USUARIOS[[#This Row],[ID_MASSA]],tbl_de_massas[id_massa],tbl_de_massas[cartao_fisico_numero],"--",0,1)</f>
        <v>3782 789608 0704</v>
      </c>
      <c r="F1091" t="str">
        <f>_xlfn.XLOOKUP(TBL_USUARIOS[[#This Row],[ID_MASSA]],tbl_de_massas[id_massa],tbl_de_massas[nome_completo],"--",0,1)</f>
        <v>Charlotte King</v>
      </c>
      <c r="G1091" s="47">
        <f>_xlfn.XLOOKUP(TBL_USUARIOS[[#This Row],[ID_MASSA]],tbl_de_massas[id_massa],tbl_de_massas[saldo_conta],"--",0,1)</f>
        <v>11362.7</v>
      </c>
      <c r="H1091" t="str">
        <f>_xlfn.XLOOKUP(TBL_USUARIOS[[#This Row],[ID_MASSA]],tbl_de_massas[id_massa],tbl_de_massas[nome_completo],"--",0,1)</f>
        <v>Charlotte King</v>
      </c>
    </row>
    <row r="1092" spans="1:8" x14ac:dyDescent="0.25">
      <c r="A1092" s="2" t="s">
        <v>4387</v>
      </c>
      <c r="B1092" t="str">
        <f>_xlfn.XLOOKUP(TBL_USUARIOS[[#This Row],[ID_MASSA]],tbl_de_massas[id_massa],tbl_de_massas[cpf],"--",0,1)</f>
        <v>35101471208</v>
      </c>
      <c r="C1092" t="s">
        <v>12</v>
      </c>
      <c r="D1092" t="str">
        <f>_xlfn.XLOOKUP(TBL_USUARIOS[[#This Row],[ID_MASSA]],tbl_de_massas[id_massa],tbl_de_massas[nome_completo],"--",0,1)</f>
        <v>Bruno Freitas</v>
      </c>
      <c r="E1092" t="str">
        <f>_xlfn.XLOOKUP(TBL_USUARIOS[[#This Row],[ID_MASSA]],tbl_de_massas[id_massa],tbl_de_massas[cartao_fisico_numero],"--",0,1)</f>
        <v>3782 161532 0472</v>
      </c>
      <c r="F1092" t="str">
        <f>_xlfn.XLOOKUP(TBL_USUARIOS[[#This Row],[ID_MASSA]],tbl_de_massas[id_massa],tbl_de_massas[nome_completo],"--",0,1)</f>
        <v>Bruno Freitas</v>
      </c>
      <c r="G1092" s="47">
        <f>_xlfn.XLOOKUP(TBL_USUARIOS[[#This Row],[ID_MASSA]],tbl_de_massas[id_massa],tbl_de_massas[saldo_conta],"--",0,1)</f>
        <v>11386.63</v>
      </c>
      <c r="H1092" t="str">
        <f>_xlfn.XLOOKUP(TBL_USUARIOS[[#This Row],[ID_MASSA]],tbl_de_massas[id_massa],tbl_de_massas[nome_completo],"--",0,1)</f>
        <v>Bruno Freitas</v>
      </c>
    </row>
    <row r="1093" spans="1:8" x14ac:dyDescent="0.25">
      <c r="A1093" s="2" t="s">
        <v>4456</v>
      </c>
      <c r="B1093" t="str">
        <f>_xlfn.XLOOKUP(TBL_USUARIOS[[#This Row],[ID_MASSA]],tbl_de_massas[id_massa],tbl_de_massas[cpf],"--",0,1)</f>
        <v>66720557033</v>
      </c>
      <c r="C1093" t="s">
        <v>12</v>
      </c>
      <c r="D1093" t="str">
        <f>_xlfn.XLOOKUP(TBL_USUARIOS[[#This Row],[ID_MASSA]],tbl_de_massas[id_massa],tbl_de_massas[nome_completo],"--",0,1)</f>
        <v>Rafael Costa Cardoso</v>
      </c>
      <c r="E1093" t="str">
        <f>_xlfn.XLOOKUP(TBL_USUARIOS[[#This Row],[ID_MASSA]],tbl_de_massas[id_massa],tbl_de_massas[cartao_fisico_numero],"--",0,1)</f>
        <v>6505 0666 9408 2032</v>
      </c>
      <c r="F1093" t="str">
        <f>_xlfn.XLOOKUP(TBL_USUARIOS[[#This Row],[ID_MASSA]],tbl_de_massas[id_massa],tbl_de_massas[nome_completo],"--",0,1)</f>
        <v>Rafael Costa Cardoso</v>
      </c>
      <c r="G1093" s="47">
        <f>_xlfn.XLOOKUP(TBL_USUARIOS[[#This Row],[ID_MASSA]],tbl_de_massas[id_massa],tbl_de_massas[saldo_conta],"--",0,1)</f>
        <v>11387.74</v>
      </c>
      <c r="H1093" t="str">
        <f>_xlfn.XLOOKUP(TBL_USUARIOS[[#This Row],[ID_MASSA]],tbl_de_massas[id_massa],tbl_de_massas[nome_completo],"--",0,1)</f>
        <v>Rafael Costa Cardoso</v>
      </c>
    </row>
    <row r="1094" spans="1:8" x14ac:dyDescent="0.25">
      <c r="A1094" s="2" t="s">
        <v>2997</v>
      </c>
      <c r="B1094" t="str">
        <f>_xlfn.XLOOKUP(TBL_USUARIOS[[#This Row],[ID_MASSA]],tbl_de_massas[id_massa],tbl_de_massas[cpf],"--",0,1)</f>
        <v>74919619405</v>
      </c>
      <c r="C1094" t="s">
        <v>12</v>
      </c>
      <c r="D1094" t="str">
        <f>_xlfn.XLOOKUP(TBL_USUARIOS[[#This Row],[ID_MASSA]],tbl_de_massas[id_massa],tbl_de_massas[nome_completo],"--",0,1)</f>
        <v>Tatiane Almeida Oliveira</v>
      </c>
      <c r="E1094" t="str">
        <f>_xlfn.XLOOKUP(TBL_USUARIOS[[#This Row],[ID_MASSA]],tbl_de_massas[id_massa],tbl_de_massas[cartao_fisico_numero],"--",0,1)</f>
        <v>3782 832270 8166</v>
      </c>
      <c r="F1094" t="str">
        <f>_xlfn.XLOOKUP(TBL_USUARIOS[[#This Row],[ID_MASSA]],tbl_de_massas[id_massa],tbl_de_massas[nome_completo],"--",0,1)</f>
        <v>Tatiane Almeida Oliveira</v>
      </c>
      <c r="G1094" s="47">
        <f>_xlfn.XLOOKUP(TBL_USUARIOS[[#This Row],[ID_MASSA]],tbl_de_massas[id_massa],tbl_de_massas[saldo_conta],"--",0,1)</f>
        <v>9283.83</v>
      </c>
      <c r="H1094" t="str">
        <f>_xlfn.XLOOKUP(TBL_USUARIOS[[#This Row],[ID_MASSA]],tbl_de_massas[id_massa],tbl_de_massas[nome_completo],"--",0,1)</f>
        <v>Tatiane Almeida Oliveira</v>
      </c>
    </row>
    <row r="1095" spans="1:8" x14ac:dyDescent="0.25">
      <c r="A1095" s="2" t="s">
        <v>2458</v>
      </c>
      <c r="B1095" s="14" t="str">
        <f>_xlfn.XLOOKUP(TBL_USUARIOS[[#This Row],[ID_MASSA]],tbl_de_massas[id_massa],tbl_de_massas[cpf],"--",0,1)</f>
        <v>39121865108</v>
      </c>
      <c r="C1095" t="s">
        <v>12</v>
      </c>
      <c r="D1095" t="str">
        <f>_xlfn.XLOOKUP(TBL_USUARIOS[[#This Row],[ID_MASSA]],tbl_de_massas[id_massa],tbl_de_massas[nome_completo],"--",0,1)</f>
        <v>Goncalo Santos</v>
      </c>
      <c r="E1095" t="str">
        <f>_xlfn.XLOOKUP(TBL_USUARIOS[[#This Row],[ID_MASSA]],tbl_de_massas[id_massa],tbl_de_massas[cartao_fisico_numero],"--",0,1)</f>
        <v>6505 0666 1671 6546</v>
      </c>
      <c r="F1095" t="str">
        <f>_xlfn.XLOOKUP(TBL_USUARIOS[[#This Row],[ID_MASSA]],tbl_de_massas[id_massa],tbl_de_massas[nome_completo],"--",0,1)</f>
        <v>Goncalo Santos</v>
      </c>
      <c r="G1095" s="47">
        <f>_xlfn.XLOOKUP(TBL_USUARIOS[[#This Row],[ID_MASSA]],tbl_de_massas[id_massa],tbl_de_massas[saldo_conta],"--",0,1)</f>
        <v>11026.34</v>
      </c>
      <c r="H1095" t="str">
        <f>_xlfn.XLOOKUP(TBL_USUARIOS[[#This Row],[ID_MASSA]],tbl_de_massas[id_massa],tbl_de_massas[nome_completo],"--",0,1)</f>
        <v>Goncalo Santos</v>
      </c>
    </row>
    <row r="1096" spans="1:8" x14ac:dyDescent="0.25">
      <c r="A1096" s="2" t="s">
        <v>2870</v>
      </c>
      <c r="B1096" t="str">
        <f>_xlfn.XLOOKUP(TBL_USUARIOS[[#This Row],[ID_MASSA]],tbl_de_massas[id_massa],tbl_de_massas[cpf],"--",0,1)</f>
        <v>48451571956</v>
      </c>
      <c r="C1096" t="s">
        <v>12</v>
      </c>
      <c r="D1096" t="str">
        <f>_xlfn.XLOOKUP(TBL_USUARIOS[[#This Row],[ID_MASSA]],tbl_de_massas[id_massa],tbl_de_massas[nome_completo],"--",0,1)</f>
        <v>Renato Dias Araujo</v>
      </c>
      <c r="E1096" t="str">
        <f>_xlfn.XLOOKUP(TBL_USUARIOS[[#This Row],[ID_MASSA]],tbl_de_massas[id_massa],tbl_de_massas[cartao_fisico_numero],"--",0,1)</f>
        <v/>
      </c>
      <c r="F1096" t="str">
        <f>_xlfn.XLOOKUP(TBL_USUARIOS[[#This Row],[ID_MASSA]],tbl_de_massas[id_massa],tbl_de_massas[nome_completo],"--",0,1)</f>
        <v>Renato Dias Araujo</v>
      </c>
      <c r="G1096" s="47">
        <f>_xlfn.XLOOKUP(TBL_USUARIOS[[#This Row],[ID_MASSA]],tbl_de_massas[id_massa],tbl_de_massas[saldo_conta],"--",0,1)</f>
        <v>11420.98</v>
      </c>
      <c r="H1096" t="str">
        <f>_xlfn.XLOOKUP(TBL_USUARIOS[[#This Row],[ID_MASSA]],tbl_de_massas[id_massa],tbl_de_massas[nome_completo],"--",0,1)</f>
        <v>Renato Dias Araujo</v>
      </c>
    </row>
    <row r="1097" spans="1:8" x14ac:dyDescent="0.25">
      <c r="A1097" s="2" t="s">
        <v>2970</v>
      </c>
      <c r="B1097" t="str">
        <f>_xlfn.XLOOKUP(TBL_USUARIOS[[#This Row],[ID_MASSA]],tbl_de_massas[id_massa],tbl_de_massas[cpf],"--",0,1)</f>
        <v>26779115231</v>
      </c>
      <c r="C1097" t="s">
        <v>12</v>
      </c>
      <c r="D1097" t="str">
        <f>_xlfn.XLOOKUP(TBL_USUARIOS[[#This Row],[ID_MASSA]],tbl_de_massas[id_massa],tbl_de_massas[nome_completo],"--",0,1)</f>
        <v>Juliana Freitas Borges</v>
      </c>
      <c r="E1097" t="str">
        <f>_xlfn.XLOOKUP(TBL_USUARIOS[[#This Row],[ID_MASSA]],tbl_de_massas[id_massa],tbl_de_massas[cartao_fisico_numero],"--",0,1)</f>
        <v>6062 8200 7259 2950</v>
      </c>
      <c r="F1097" t="str">
        <f>_xlfn.XLOOKUP(TBL_USUARIOS[[#This Row],[ID_MASSA]],tbl_de_massas[id_massa],tbl_de_massas[nome_completo],"--",0,1)</f>
        <v>Juliana Freitas Borges</v>
      </c>
      <c r="G1097" s="47">
        <f>_xlfn.XLOOKUP(TBL_USUARIOS[[#This Row],[ID_MASSA]],tbl_de_massas[id_massa],tbl_de_massas[saldo_conta],"--",0,1)</f>
        <v>9327.66</v>
      </c>
      <c r="H1097" t="str">
        <f>_xlfn.XLOOKUP(TBL_USUARIOS[[#This Row],[ID_MASSA]],tbl_de_massas[id_massa],tbl_de_massas[nome_completo],"--",0,1)</f>
        <v>Juliana Freitas Borges</v>
      </c>
    </row>
    <row r="1098" spans="1:8" x14ac:dyDescent="0.25">
      <c r="A1098" s="2" t="s">
        <v>6175</v>
      </c>
      <c r="B1098" t="str">
        <f>_xlfn.XLOOKUP(TBL_USUARIOS[[#This Row],[ID_MASSA]],tbl_de_massas[id_massa],tbl_de_massas[cpf],"--",0,1)</f>
        <v>22043570064</v>
      </c>
      <c r="C1098" t="s">
        <v>12</v>
      </c>
      <c r="D1098" t="str">
        <f>_xlfn.XLOOKUP(TBL_USUARIOS[[#This Row],[ID_MASSA]],tbl_de_massas[id_massa],tbl_de_massas[nome_completo],"--",0,1)</f>
        <v>Victoria Miller Martinez</v>
      </c>
      <c r="E1098" t="str">
        <f>_xlfn.XLOOKUP(TBL_USUARIOS[[#This Row],[ID_MASSA]],tbl_de_massas[id_massa],tbl_de_massas[cartao_fisico_numero],"--",0,1)</f>
        <v/>
      </c>
      <c r="F1098" t="str">
        <f>_xlfn.XLOOKUP(TBL_USUARIOS[[#This Row],[ID_MASSA]],tbl_de_massas[id_massa],tbl_de_massas[nome_completo],"--",0,1)</f>
        <v>Victoria Miller Martinez</v>
      </c>
      <c r="G1098" s="47">
        <f>_xlfn.XLOOKUP(TBL_USUARIOS[[#This Row],[ID_MASSA]],tbl_de_massas[id_massa],tbl_de_massas[saldo_conta],"--",0,1)</f>
        <v>11464.71</v>
      </c>
      <c r="H1098" t="str">
        <f>_xlfn.XLOOKUP(TBL_USUARIOS[[#This Row],[ID_MASSA]],tbl_de_massas[id_massa],tbl_de_massas[nome_completo],"--",0,1)</f>
        <v>Victoria Miller Martinez</v>
      </c>
    </row>
    <row r="1099" spans="1:8" x14ac:dyDescent="0.25">
      <c r="A1099" s="2" t="s">
        <v>5625</v>
      </c>
      <c r="B1099" t="str">
        <f>_xlfn.XLOOKUP(TBL_USUARIOS[[#This Row],[ID_MASSA]],tbl_de_massas[id_massa],tbl_de_massas[cpf],"--",0,1)</f>
        <v>35721436247</v>
      </c>
      <c r="C1099" t="s">
        <v>12</v>
      </c>
      <c r="D1099" t="str">
        <f>_xlfn.XLOOKUP(TBL_USUARIOS[[#This Row],[ID_MASSA]],tbl_de_massas[id_massa],tbl_de_massas[nome_completo],"--",0,1)</f>
        <v>Tatiane Cavalcanti Souza</v>
      </c>
      <c r="E1099" t="str">
        <f>_xlfn.XLOOKUP(TBL_USUARIOS[[#This Row],[ID_MASSA]],tbl_de_massas[id_massa],tbl_de_massas[cartao_fisico_numero],"--",0,1)</f>
        <v/>
      </c>
      <c r="F1099" t="str">
        <f>_xlfn.XLOOKUP(TBL_USUARIOS[[#This Row],[ID_MASSA]],tbl_de_massas[id_massa],tbl_de_massas[nome_completo],"--",0,1)</f>
        <v>Tatiane Cavalcanti Souza</v>
      </c>
      <c r="G1099" s="47">
        <f>_xlfn.XLOOKUP(TBL_USUARIOS[[#This Row],[ID_MASSA]],tbl_de_massas[id_massa],tbl_de_massas[saldo_conta],"--",0,1)</f>
        <v>11487.91</v>
      </c>
      <c r="H1099" t="str">
        <f>_xlfn.XLOOKUP(TBL_USUARIOS[[#This Row],[ID_MASSA]],tbl_de_massas[id_massa],tbl_de_massas[nome_completo],"--",0,1)</f>
        <v>Tatiane Cavalcanti Souza</v>
      </c>
    </row>
    <row r="1100" spans="1:8" x14ac:dyDescent="0.25">
      <c r="A1100" s="2" t="s">
        <v>5197</v>
      </c>
      <c r="B1100" t="str">
        <f>_xlfn.XLOOKUP(TBL_USUARIOS[[#This Row],[ID_MASSA]],tbl_de_massas[id_massa],tbl_de_massas[cpf],"--",0,1)</f>
        <v>11993171959</v>
      </c>
      <c r="C1100" t="s">
        <v>12</v>
      </c>
      <c r="D1100" t="str">
        <f>_xlfn.XLOOKUP(TBL_USUARIOS[[#This Row],[ID_MASSA]],tbl_de_massas[id_massa],tbl_de_massas[nome_completo],"--",0,1)</f>
        <v>Caio Nascimento</v>
      </c>
      <c r="E1100" t="str">
        <f>_xlfn.XLOOKUP(TBL_USUARIOS[[#This Row],[ID_MASSA]],tbl_de_massas[id_massa],tbl_de_massas[cartao_fisico_numero],"--",0,1)</f>
        <v>4576 7460 9385 6677</v>
      </c>
      <c r="F1100" t="str">
        <f>_xlfn.XLOOKUP(TBL_USUARIOS[[#This Row],[ID_MASSA]],tbl_de_massas[id_massa],tbl_de_massas[nome_completo],"--",0,1)</f>
        <v>Caio Nascimento</v>
      </c>
      <c r="G1100" s="47">
        <f>_xlfn.XLOOKUP(TBL_USUARIOS[[#This Row],[ID_MASSA]],tbl_de_massas[id_massa],tbl_de_massas[saldo_conta],"--",0,1)</f>
        <v>11494.07</v>
      </c>
      <c r="H1100" t="str">
        <f>_xlfn.XLOOKUP(TBL_USUARIOS[[#This Row],[ID_MASSA]],tbl_de_massas[id_massa],tbl_de_massas[nome_completo],"--",0,1)</f>
        <v>Caio Nascimento</v>
      </c>
    </row>
    <row r="1101" spans="1:8" x14ac:dyDescent="0.25">
      <c r="A1101" s="2" t="s">
        <v>15</v>
      </c>
      <c r="B1101" s="14" t="str">
        <f>_xlfn.XLOOKUP(TBL_USUARIOS[[#This Row],[ID_MASSA]],tbl_de_massas[id_massa],tbl_de_massas[cpf],"--",0,1)</f>
        <v>33333333333</v>
      </c>
      <c r="C1101" t="s">
        <v>12</v>
      </c>
      <c r="D1101" t="str">
        <f>_xlfn.XLOOKUP(TBL_USUARIOS[[#This Row],[ID_MASSA]],tbl_de_massas[id_massa],tbl_de_massas[nome_completo],"--",0,1)</f>
        <v>Daniel Costa</v>
      </c>
      <c r="E1101" t="str">
        <f>_xlfn.XLOOKUP(TBL_USUARIOS[[#This Row],[ID_MASSA]],tbl_de_massas[id_massa],tbl_de_massas[cartao_fisico_numero],"--",0,1)</f>
        <v>5981 0126 7625 2833</v>
      </c>
      <c r="F1101" t="str">
        <f>_xlfn.XLOOKUP(TBL_USUARIOS[[#This Row],[ID_MASSA]],tbl_de_massas[id_massa],tbl_de_massas[nome_completo],"--",0,1)</f>
        <v>Daniel Costa</v>
      </c>
      <c r="G1101" s="47">
        <f>_xlfn.XLOOKUP(TBL_USUARIOS[[#This Row],[ID_MASSA]],tbl_de_massas[id_massa],tbl_de_massas[saldo_conta],"--",0,1)</f>
        <v>11500</v>
      </c>
      <c r="H1101" t="str">
        <f>_xlfn.XLOOKUP(TBL_USUARIOS[[#This Row],[ID_MASSA]],tbl_de_massas[id_massa],tbl_de_massas[nome_completo],"--",0,1)</f>
        <v>Daniel Costa</v>
      </c>
    </row>
    <row r="1102" spans="1:8" x14ac:dyDescent="0.25">
      <c r="A1102" s="2" t="s">
        <v>3473</v>
      </c>
      <c r="B1102" t="str">
        <f>_xlfn.XLOOKUP(TBL_USUARIOS[[#This Row],[ID_MASSA]],tbl_de_massas[id_massa],tbl_de_massas[cpf],"--",0,1)</f>
        <v>85191797892</v>
      </c>
      <c r="C1102" t="s">
        <v>12</v>
      </c>
      <c r="D1102" t="str">
        <f>_xlfn.XLOOKUP(TBL_USUARIOS[[#This Row],[ID_MASSA]],tbl_de_massas[id_massa],tbl_de_massas[nome_completo],"--",0,1)</f>
        <v>Renata Campos</v>
      </c>
      <c r="E1102" t="str">
        <f>_xlfn.XLOOKUP(TBL_USUARIOS[[#This Row],[ID_MASSA]],tbl_de_massas[id_massa],tbl_de_massas[cartao_fisico_numero],"--",0,1)</f>
        <v/>
      </c>
      <c r="F1102" t="str">
        <f>_xlfn.XLOOKUP(TBL_USUARIOS[[#This Row],[ID_MASSA]],tbl_de_massas[id_massa],tbl_de_massas[nome_completo],"--",0,1)</f>
        <v>Renata Campos</v>
      </c>
      <c r="G1102" s="47">
        <f>_xlfn.XLOOKUP(TBL_USUARIOS[[#This Row],[ID_MASSA]],tbl_de_massas[id_massa],tbl_de_massas[saldo_conta],"--",0,1)</f>
        <v>11536.96</v>
      </c>
      <c r="H1102" t="str">
        <f>_xlfn.XLOOKUP(TBL_USUARIOS[[#This Row],[ID_MASSA]],tbl_de_massas[id_massa],tbl_de_massas[nome_completo],"--",0,1)</f>
        <v>Renata Campos</v>
      </c>
    </row>
    <row r="1103" spans="1:8" x14ac:dyDescent="0.25">
      <c r="A1103" s="2" t="s">
        <v>2340</v>
      </c>
      <c r="B1103" s="14" t="str">
        <f>_xlfn.XLOOKUP(TBL_USUARIOS[[#This Row],[ID_MASSA]],tbl_de_massas[id_massa],tbl_de_massas[cpf],"--",0,1)</f>
        <v>58480256907</v>
      </c>
      <c r="C1103" t="s">
        <v>12</v>
      </c>
      <c r="D1103" t="str">
        <f>_xlfn.XLOOKUP(TBL_USUARIOS[[#This Row],[ID_MASSA]],tbl_de_massas[id_massa],tbl_de_massas[nome_completo],"--",0,1)</f>
        <v>Dohyun Choi</v>
      </c>
      <c r="E1103" t="str">
        <f>_xlfn.XLOOKUP(TBL_USUARIOS[[#This Row],[ID_MASSA]],tbl_de_massas[id_massa],tbl_de_massas[cartao_fisico_numero],"--",0,1)</f>
        <v>3782 431206 7566</v>
      </c>
      <c r="F1103" t="str">
        <f>_xlfn.XLOOKUP(TBL_USUARIOS[[#This Row],[ID_MASSA]],tbl_de_massas[id_massa],tbl_de_massas[nome_completo],"--",0,1)</f>
        <v>Dohyun Choi</v>
      </c>
      <c r="G1103" s="47">
        <f>_xlfn.XLOOKUP(TBL_USUARIOS[[#This Row],[ID_MASSA]],tbl_de_massas[id_massa],tbl_de_massas[saldo_conta],"--",0,1)</f>
        <v>11537.34</v>
      </c>
      <c r="H1103" t="str">
        <f>_xlfn.XLOOKUP(TBL_USUARIOS[[#This Row],[ID_MASSA]],tbl_de_massas[id_massa],tbl_de_massas[nome_completo],"--",0,1)</f>
        <v>Dohyun Choi</v>
      </c>
    </row>
    <row r="1104" spans="1:8" x14ac:dyDescent="0.25">
      <c r="A1104" s="2" t="s">
        <v>6214</v>
      </c>
      <c r="B1104" t="str">
        <f>_xlfn.XLOOKUP(TBL_USUARIOS[[#This Row],[ID_MASSA]],tbl_de_massas[id_massa],tbl_de_massas[cpf],"--",0,1)</f>
        <v>42906851965</v>
      </c>
      <c r="C1104" t="s">
        <v>12</v>
      </c>
      <c r="D1104" t="str">
        <f>_xlfn.XLOOKUP(TBL_USUARIOS[[#This Row],[ID_MASSA]],tbl_de_massas[id_massa],tbl_de_massas[nome_completo],"--",0,1)</f>
        <v>Ethan Robinson Martinez</v>
      </c>
      <c r="E1104" t="str">
        <f>_xlfn.XLOOKUP(TBL_USUARIOS[[#This Row],[ID_MASSA]],tbl_de_massas[id_massa],tbl_de_massas[cartao_fisico_numero],"--",0,1)</f>
        <v>6505 0666 5140 1628</v>
      </c>
      <c r="F1104" t="str">
        <f>_xlfn.XLOOKUP(TBL_USUARIOS[[#This Row],[ID_MASSA]],tbl_de_massas[id_massa],tbl_de_massas[nome_completo],"--",0,1)</f>
        <v>Ethan Robinson Martinez</v>
      </c>
      <c r="G1104" s="47">
        <f>_xlfn.XLOOKUP(TBL_USUARIOS[[#This Row],[ID_MASSA]],tbl_de_massas[id_massa],tbl_de_massas[saldo_conta],"--",0,1)</f>
        <v>11539.83</v>
      </c>
      <c r="H1104" t="str">
        <f>_xlfn.XLOOKUP(TBL_USUARIOS[[#This Row],[ID_MASSA]],tbl_de_massas[id_massa],tbl_de_massas[nome_completo],"--",0,1)</f>
        <v>Ethan Robinson Martinez</v>
      </c>
    </row>
    <row r="1105" spans="1:8" x14ac:dyDescent="0.25">
      <c r="A1105" s="2" t="s">
        <v>2993</v>
      </c>
      <c r="B1105" t="str">
        <f>_xlfn.XLOOKUP(TBL_USUARIOS[[#This Row],[ID_MASSA]],tbl_de_massas[id_massa],tbl_de_massas[cpf],"--",0,1)</f>
        <v>10323669743</v>
      </c>
      <c r="C1105" t="s">
        <v>12</v>
      </c>
      <c r="D1105" t="str">
        <f>_xlfn.XLOOKUP(TBL_USUARIOS[[#This Row],[ID_MASSA]],tbl_de_massas[id_massa],tbl_de_massas[nome_completo],"--",0,1)</f>
        <v>Gustavo Castro</v>
      </c>
      <c r="E1105" t="str">
        <f>_xlfn.XLOOKUP(TBL_USUARIOS[[#This Row],[ID_MASSA]],tbl_de_massas[id_massa],tbl_de_massas[cartao_fisico_numero],"--",0,1)</f>
        <v>3782 937433 9965</v>
      </c>
      <c r="F1105" t="str">
        <f>_xlfn.XLOOKUP(TBL_USUARIOS[[#This Row],[ID_MASSA]],tbl_de_massas[id_massa],tbl_de_massas[nome_completo],"--",0,1)</f>
        <v>Gustavo Castro</v>
      </c>
      <c r="G1105" s="47">
        <f>_xlfn.XLOOKUP(TBL_USUARIOS[[#This Row],[ID_MASSA]],tbl_de_massas[id_massa],tbl_de_massas[saldo_conta],"--",0,1)</f>
        <v>11571.59</v>
      </c>
      <c r="H1105" t="str">
        <f>_xlfn.XLOOKUP(TBL_USUARIOS[[#This Row],[ID_MASSA]],tbl_de_massas[id_massa],tbl_de_massas[nome_completo],"--",0,1)</f>
        <v>Gustavo Castro</v>
      </c>
    </row>
    <row r="1106" spans="1:8" x14ac:dyDescent="0.25">
      <c r="A1106" s="2" t="s">
        <v>3399</v>
      </c>
      <c r="B1106" t="str">
        <f>_xlfn.XLOOKUP(TBL_USUARIOS[[#This Row],[ID_MASSA]],tbl_de_massas[id_massa],tbl_de_massas[cpf],"--",0,1)</f>
        <v>18460763749</v>
      </c>
      <c r="C1106" t="s">
        <v>12</v>
      </c>
      <c r="D1106" t="str">
        <f>_xlfn.XLOOKUP(TBL_USUARIOS[[#This Row],[ID_MASSA]],tbl_de_massas[id_massa],tbl_de_massas[nome_completo],"--",0,1)</f>
        <v>Jessica Dias Costa</v>
      </c>
      <c r="E1106" t="str">
        <f>_xlfn.XLOOKUP(TBL_USUARIOS[[#This Row],[ID_MASSA]],tbl_de_massas[id_massa],tbl_de_massas[cartao_fisico_numero],"--",0,1)</f>
        <v>3782 778159 2949</v>
      </c>
      <c r="F1106" t="str">
        <f>_xlfn.XLOOKUP(TBL_USUARIOS[[#This Row],[ID_MASSA]],tbl_de_massas[id_massa],tbl_de_massas[nome_completo],"--",0,1)</f>
        <v>Jessica Dias Costa</v>
      </c>
      <c r="G1106" s="47">
        <f>_xlfn.XLOOKUP(TBL_USUARIOS[[#This Row],[ID_MASSA]],tbl_de_massas[id_massa],tbl_de_massas[saldo_conta],"--",0,1)</f>
        <v>11571.92</v>
      </c>
      <c r="H1106" t="str">
        <f>_xlfn.XLOOKUP(TBL_USUARIOS[[#This Row],[ID_MASSA]],tbl_de_massas[id_massa],tbl_de_massas[nome_completo],"--",0,1)</f>
        <v>Jessica Dias Costa</v>
      </c>
    </row>
    <row r="1107" spans="1:8" x14ac:dyDescent="0.25">
      <c r="A1107" s="2" t="s">
        <v>2144</v>
      </c>
      <c r="B1107" s="14" t="str">
        <f>_xlfn.XLOOKUP(TBL_USUARIOS[[#This Row],[ID_MASSA]],tbl_de_massas[id_massa],tbl_de_massas[cpf],"--",0,1)</f>
        <v>95167270006</v>
      </c>
      <c r="C1107" t="s">
        <v>12</v>
      </c>
      <c r="D1107" t="str">
        <f>_xlfn.XLOOKUP(TBL_USUARIOS[[#This Row],[ID_MASSA]],tbl_de_massas[id_massa],tbl_de_massas[nome_completo],"--",0,1)</f>
        <v>Hannah Fischer</v>
      </c>
      <c r="E1107" t="str">
        <f>_xlfn.XLOOKUP(TBL_USUARIOS[[#This Row],[ID_MASSA]],tbl_de_massas[id_massa],tbl_de_massas[cartao_fisico_numero],"--",0,1)</f>
        <v>5442 7460 5925 5475</v>
      </c>
      <c r="F1107" t="str">
        <f>_xlfn.XLOOKUP(TBL_USUARIOS[[#This Row],[ID_MASSA]],tbl_de_massas[id_massa],tbl_de_massas[nome_completo],"--",0,1)</f>
        <v>Hannah Fischer</v>
      </c>
      <c r="G1107" s="47">
        <f>_xlfn.XLOOKUP(TBL_USUARIOS[[#This Row],[ID_MASSA]],tbl_de_massas[id_massa],tbl_de_massas[saldo_conta],"--",0,1)</f>
        <v>11583.44</v>
      </c>
      <c r="H1107" t="str">
        <f>_xlfn.XLOOKUP(TBL_USUARIOS[[#This Row],[ID_MASSA]],tbl_de_massas[id_massa],tbl_de_massas[nome_completo],"--",0,1)</f>
        <v>Hannah Fischer</v>
      </c>
    </row>
    <row r="1108" spans="1:8" x14ac:dyDescent="0.25">
      <c r="A1108" s="2" t="s">
        <v>2170</v>
      </c>
      <c r="B1108" s="14" t="str">
        <f>_xlfn.XLOOKUP(TBL_USUARIOS[[#This Row],[ID_MASSA]],tbl_de_massas[id_massa],tbl_de_massas[cpf],"--",0,1)</f>
        <v>01086796160</v>
      </c>
      <c r="C1108" t="s">
        <v>12</v>
      </c>
      <c r="D1108" t="str">
        <f>_xlfn.XLOOKUP(TBL_USUARIOS[[#This Row],[ID_MASSA]],tbl_de_massas[id_massa],tbl_de_massas[nome_completo],"--",0,1)</f>
        <v>Joao Pedro Silva</v>
      </c>
      <c r="E1108" t="str">
        <f>_xlfn.XLOOKUP(TBL_USUARIOS[[#This Row],[ID_MASSA]],tbl_de_massas[id_massa],tbl_de_massas[cartao_fisico_numero],"--",0,1)</f>
        <v>3782 810474 1016</v>
      </c>
      <c r="F1108" t="str">
        <f>_xlfn.XLOOKUP(TBL_USUARIOS[[#This Row],[ID_MASSA]],tbl_de_massas[id_massa],tbl_de_massas[nome_completo],"--",0,1)</f>
        <v>Joao Pedro Silva</v>
      </c>
      <c r="G1108" s="47">
        <f>_xlfn.XLOOKUP(TBL_USUARIOS[[#This Row],[ID_MASSA]],tbl_de_massas[id_massa],tbl_de_massas[saldo_conta],"--",0,1)</f>
        <v>11592.85</v>
      </c>
      <c r="H1108" t="str">
        <f>_xlfn.XLOOKUP(TBL_USUARIOS[[#This Row],[ID_MASSA]],tbl_de_massas[id_massa],tbl_de_massas[nome_completo],"--",0,1)</f>
        <v>Joao Pedro Silva</v>
      </c>
    </row>
    <row r="1109" spans="1:8" x14ac:dyDescent="0.25">
      <c r="A1109" s="2" t="s">
        <v>4116</v>
      </c>
      <c r="B1109" t="str">
        <f>_xlfn.XLOOKUP(TBL_USUARIOS[[#This Row],[ID_MASSA]],tbl_de_massas[id_massa],tbl_de_massas[cpf],"--",0,1)</f>
        <v>36804378709</v>
      </c>
      <c r="C1109" t="s">
        <v>12</v>
      </c>
      <c r="D1109" t="str">
        <f>_xlfn.XLOOKUP(TBL_USUARIOS[[#This Row],[ID_MASSA]],tbl_de_massas[id_massa],tbl_de_massas[nome_completo],"--",0,1)</f>
        <v>Rodrigo Pinto</v>
      </c>
      <c r="E1109" t="str">
        <f>_xlfn.XLOOKUP(TBL_USUARIOS[[#This Row],[ID_MASSA]],tbl_de_massas[id_massa],tbl_de_massas[cartao_fisico_numero],"--",0,1)</f>
        <v>5442 7460 5700 8680</v>
      </c>
      <c r="F1109" t="str">
        <f>_xlfn.XLOOKUP(TBL_USUARIOS[[#This Row],[ID_MASSA]],tbl_de_massas[id_massa],tbl_de_massas[nome_completo],"--",0,1)</f>
        <v>Rodrigo Pinto</v>
      </c>
      <c r="G1109" s="47">
        <f>_xlfn.XLOOKUP(TBL_USUARIOS[[#This Row],[ID_MASSA]],tbl_de_massas[id_massa],tbl_de_massas[saldo_conta],"--",0,1)</f>
        <v>11597.5</v>
      </c>
      <c r="H1109" t="str">
        <f>_xlfn.XLOOKUP(TBL_USUARIOS[[#This Row],[ID_MASSA]],tbl_de_massas[id_massa],tbl_de_massas[nome_completo],"--",0,1)</f>
        <v>Rodrigo Pinto</v>
      </c>
    </row>
    <row r="1110" spans="1:8" x14ac:dyDescent="0.25">
      <c r="A1110" s="2" t="s">
        <v>2338</v>
      </c>
      <c r="B1110" s="14" t="str">
        <f>_xlfn.XLOOKUP(TBL_USUARIOS[[#This Row],[ID_MASSA]],tbl_de_massas[id_massa],tbl_de_massas[cpf],"--",0,1)</f>
        <v>46945365409</v>
      </c>
      <c r="C1110" t="s">
        <v>12</v>
      </c>
      <c r="D1110" t="str">
        <f>_xlfn.XLOOKUP(TBL_USUARIOS[[#This Row],[ID_MASSA]],tbl_de_massas[id_massa],tbl_de_massas[nome_completo],"--",0,1)</f>
        <v>Valentina Rodriguez</v>
      </c>
      <c r="E1110" t="str">
        <f>_xlfn.XLOOKUP(TBL_USUARIOS[[#This Row],[ID_MASSA]],tbl_de_massas[id_massa],tbl_de_massas[cartao_fisico_numero],"--",0,1)</f>
        <v>4576 7460 2148 2328</v>
      </c>
      <c r="F1110" t="str">
        <f>_xlfn.XLOOKUP(TBL_USUARIOS[[#This Row],[ID_MASSA]],tbl_de_massas[id_massa],tbl_de_massas[nome_completo],"--",0,1)</f>
        <v>Valentina Rodriguez</v>
      </c>
      <c r="G1110" s="47">
        <f>_xlfn.XLOOKUP(TBL_USUARIOS[[#This Row],[ID_MASSA]],tbl_de_massas[id_massa],tbl_de_massas[saldo_conta],"--",0,1)</f>
        <v>11461.3</v>
      </c>
      <c r="H1110" t="str">
        <f>_xlfn.XLOOKUP(TBL_USUARIOS[[#This Row],[ID_MASSA]],tbl_de_massas[id_massa],tbl_de_massas[nome_completo],"--",0,1)</f>
        <v>Valentina Rodriguez</v>
      </c>
    </row>
    <row r="1111" spans="1:8" x14ac:dyDescent="0.25">
      <c r="A1111" s="2" t="s">
        <v>6458</v>
      </c>
      <c r="B1111" t="str">
        <f>_xlfn.XLOOKUP(TBL_USUARIOS[[#This Row],[ID_MASSA]],tbl_de_massas[id_massa],tbl_de_massas[cpf],"--",0,1)</f>
        <v>65706103763</v>
      </c>
      <c r="C1111" t="s">
        <v>12</v>
      </c>
      <c r="D1111" t="str">
        <f>_xlfn.XLOOKUP(TBL_USUARIOS[[#This Row],[ID_MASSA]],tbl_de_massas[id_massa],tbl_de_massas[nome_completo],"--",0,1)</f>
        <v>Jing Chen Li</v>
      </c>
      <c r="E1111" t="str">
        <f>_xlfn.XLOOKUP(TBL_USUARIOS[[#This Row],[ID_MASSA]],tbl_de_massas[id_massa],tbl_de_massas[cartao_fisico_numero],"--",0,1)</f>
        <v>6062 8200 4018 7245</v>
      </c>
      <c r="F1111" t="str">
        <f>_xlfn.XLOOKUP(TBL_USUARIOS[[#This Row],[ID_MASSA]],tbl_de_massas[id_massa],tbl_de_massas[nome_completo],"--",0,1)</f>
        <v>Jing Chen Li</v>
      </c>
      <c r="G1111" s="47">
        <f>_xlfn.XLOOKUP(TBL_USUARIOS[[#This Row],[ID_MASSA]],tbl_de_massas[id_massa],tbl_de_massas[saldo_conta],"--",0,1)</f>
        <v>11632.58</v>
      </c>
      <c r="H1111" t="str">
        <f>_xlfn.XLOOKUP(TBL_USUARIOS[[#This Row],[ID_MASSA]],tbl_de_massas[id_massa],tbl_de_massas[nome_completo],"--",0,1)</f>
        <v>Jing Chen Li</v>
      </c>
    </row>
    <row r="1112" spans="1:8" x14ac:dyDescent="0.25">
      <c r="A1112" s="2" t="s">
        <v>2337</v>
      </c>
      <c r="B1112" s="14" t="str">
        <f>_xlfn.XLOOKUP(TBL_USUARIOS[[#This Row],[ID_MASSA]],tbl_de_massas[id_massa],tbl_de_massas[cpf],"--",0,1)</f>
        <v>23626419533</v>
      </c>
      <c r="C1112" t="s">
        <v>12</v>
      </c>
      <c r="D1112" t="str">
        <f>_xlfn.XLOOKUP(TBL_USUARIOS[[#This Row],[ID_MASSA]],tbl_de_massas[id_massa],tbl_de_massas[nome_completo],"--",0,1)</f>
        <v>Matteo Rossi</v>
      </c>
      <c r="E1112" t="str">
        <f>_xlfn.XLOOKUP(TBL_USUARIOS[[#This Row],[ID_MASSA]],tbl_de_massas[id_massa],tbl_de_massas[cartao_fisico_numero],"--",0,1)</f>
        <v>5442 7460 2709 5864</v>
      </c>
      <c r="F1112" t="str">
        <f>_xlfn.XLOOKUP(TBL_USUARIOS[[#This Row],[ID_MASSA]],tbl_de_massas[id_massa],tbl_de_massas[nome_completo],"--",0,1)</f>
        <v>Matteo Rossi</v>
      </c>
      <c r="G1112" s="47">
        <f>_xlfn.XLOOKUP(TBL_USUARIOS[[#This Row],[ID_MASSA]],tbl_de_massas[id_massa],tbl_de_massas[saldo_conta],"--",0,1)</f>
        <v>11655.22</v>
      </c>
      <c r="H1112" t="str">
        <f>_xlfn.XLOOKUP(TBL_USUARIOS[[#This Row],[ID_MASSA]],tbl_de_massas[id_massa],tbl_de_massas[nome_completo],"--",0,1)</f>
        <v>Matteo Rossi</v>
      </c>
    </row>
    <row r="1113" spans="1:8" x14ac:dyDescent="0.25">
      <c r="A1113" s="2" t="s">
        <v>3273</v>
      </c>
      <c r="B1113" t="str">
        <f>_xlfn.XLOOKUP(TBL_USUARIOS[[#This Row],[ID_MASSA]],tbl_de_massas[id_massa],tbl_de_massas[cpf],"--",0,1)</f>
        <v>30133043916</v>
      </c>
      <c r="C1113" t="s">
        <v>12</v>
      </c>
      <c r="D1113" t="str">
        <f>_xlfn.XLOOKUP(TBL_USUARIOS[[#This Row],[ID_MASSA]],tbl_de_massas[id_massa],tbl_de_massas[nome_completo],"--",0,1)</f>
        <v>Leandro Silva Araujo</v>
      </c>
      <c r="E1113" t="str">
        <f>_xlfn.XLOOKUP(TBL_USUARIOS[[#This Row],[ID_MASSA]],tbl_de_massas[id_massa],tbl_de_massas[cartao_fisico_numero],"--",0,1)</f>
        <v>3782 605506 9993</v>
      </c>
      <c r="F1113" t="str">
        <f>_xlfn.XLOOKUP(TBL_USUARIOS[[#This Row],[ID_MASSA]],tbl_de_massas[id_massa],tbl_de_massas[nome_completo],"--",0,1)</f>
        <v>Leandro Silva Araujo</v>
      </c>
      <c r="G1113" s="47">
        <f>_xlfn.XLOOKUP(TBL_USUARIOS[[#This Row],[ID_MASSA]],tbl_de_massas[id_massa],tbl_de_massas[saldo_conta],"--",0,1)</f>
        <v>11663.68</v>
      </c>
      <c r="H1113" t="str">
        <f>_xlfn.XLOOKUP(TBL_USUARIOS[[#This Row],[ID_MASSA]],tbl_de_massas[id_massa],tbl_de_massas[nome_completo],"--",0,1)</f>
        <v>Leandro Silva Araujo</v>
      </c>
    </row>
    <row r="1114" spans="1:8" x14ac:dyDescent="0.25">
      <c r="A1114" s="2" t="s">
        <v>4312</v>
      </c>
      <c r="B1114" t="str">
        <f>_xlfn.XLOOKUP(TBL_USUARIOS[[#This Row],[ID_MASSA]],tbl_de_massas[id_massa],tbl_de_massas[cpf],"--",0,1)</f>
        <v>78246324403</v>
      </c>
      <c r="C1114" t="s">
        <v>12</v>
      </c>
      <c r="D1114" t="str">
        <f>_xlfn.XLOOKUP(TBL_USUARIOS[[#This Row],[ID_MASSA]],tbl_de_massas[id_massa],tbl_de_massas[nome_completo],"--",0,1)</f>
        <v>Danilo Santos Araujo</v>
      </c>
      <c r="E1114" t="str">
        <f>_xlfn.XLOOKUP(TBL_USUARIOS[[#This Row],[ID_MASSA]],tbl_de_massas[id_massa],tbl_de_massas[cartao_fisico_numero],"--",0,1)</f>
        <v>4576 7460 4125 0572</v>
      </c>
      <c r="F1114" t="str">
        <f>_xlfn.XLOOKUP(TBL_USUARIOS[[#This Row],[ID_MASSA]],tbl_de_massas[id_massa],tbl_de_massas[nome_completo],"--",0,1)</f>
        <v>Danilo Santos Araujo</v>
      </c>
      <c r="G1114" s="47">
        <f>_xlfn.XLOOKUP(TBL_USUARIOS[[#This Row],[ID_MASSA]],tbl_de_massas[id_massa],tbl_de_massas[saldo_conta],"--",0,1)</f>
        <v>11683.12</v>
      </c>
      <c r="H1114" t="str">
        <f>_xlfn.XLOOKUP(TBL_USUARIOS[[#This Row],[ID_MASSA]],tbl_de_massas[id_massa],tbl_de_massas[nome_completo],"--",0,1)</f>
        <v>Danilo Santos Araujo</v>
      </c>
    </row>
    <row r="1115" spans="1:8" x14ac:dyDescent="0.25">
      <c r="A1115" s="2" t="s">
        <v>6218</v>
      </c>
      <c r="B1115" t="str">
        <f>_xlfn.XLOOKUP(TBL_USUARIOS[[#This Row],[ID_MASSA]],tbl_de_massas[id_massa],tbl_de_massas[cpf],"--",0,1)</f>
        <v>08714012235</v>
      </c>
      <c r="C1115" t="s">
        <v>12</v>
      </c>
      <c r="D1115" t="str">
        <f>_xlfn.XLOOKUP(TBL_USUARIOS[[#This Row],[ID_MASSA]],tbl_de_massas[id_massa],tbl_de_massas[nome_completo],"--",0,1)</f>
        <v>David Johnson Anderson</v>
      </c>
      <c r="E1115" t="str">
        <f>_xlfn.XLOOKUP(TBL_USUARIOS[[#This Row],[ID_MASSA]],tbl_de_massas[id_massa],tbl_de_massas[cartao_fisico_numero],"--",0,1)</f>
        <v>6062 8200 3211 9161</v>
      </c>
      <c r="F1115" t="str">
        <f>_xlfn.XLOOKUP(TBL_USUARIOS[[#This Row],[ID_MASSA]],tbl_de_massas[id_massa],tbl_de_massas[nome_completo],"--",0,1)</f>
        <v>David Johnson Anderson</v>
      </c>
      <c r="G1115" s="47">
        <f>_xlfn.XLOOKUP(TBL_USUARIOS[[#This Row],[ID_MASSA]],tbl_de_massas[id_massa],tbl_de_massas[saldo_conta],"--",0,1)</f>
        <v>11685.17</v>
      </c>
      <c r="H1115" t="str">
        <f>_xlfn.XLOOKUP(TBL_USUARIOS[[#This Row],[ID_MASSA]],tbl_de_massas[id_massa],tbl_de_massas[nome_completo],"--",0,1)</f>
        <v>David Johnson Anderson</v>
      </c>
    </row>
    <row r="1116" spans="1:8" x14ac:dyDescent="0.25">
      <c r="A1116" s="2" t="s">
        <v>5150</v>
      </c>
      <c r="B1116" t="str">
        <f>_xlfn.XLOOKUP(TBL_USUARIOS[[#This Row],[ID_MASSA]],tbl_de_massas[id_massa],tbl_de_massas[cpf],"--",0,1)</f>
        <v>14091727670</v>
      </c>
      <c r="C1116" t="s">
        <v>12</v>
      </c>
      <c r="D1116" t="str">
        <f>_xlfn.XLOOKUP(TBL_USUARIOS[[#This Row],[ID_MASSA]],tbl_de_massas[id_massa],tbl_de_massas[nome_completo],"--",0,1)</f>
        <v>Renato Pinto Monteiro</v>
      </c>
      <c r="E1116" t="str">
        <f>_xlfn.XLOOKUP(TBL_USUARIOS[[#This Row],[ID_MASSA]],tbl_de_massas[id_massa],tbl_de_massas[cartao_fisico_numero],"--",0,1)</f>
        <v>6062 8200 4000 2590</v>
      </c>
      <c r="F1116" t="str">
        <f>_xlfn.XLOOKUP(TBL_USUARIOS[[#This Row],[ID_MASSA]],tbl_de_massas[id_massa],tbl_de_massas[nome_completo],"--",0,1)</f>
        <v>Renato Pinto Monteiro</v>
      </c>
      <c r="G1116" s="47">
        <f>_xlfn.XLOOKUP(TBL_USUARIOS[[#This Row],[ID_MASSA]],tbl_de_massas[id_massa],tbl_de_massas[saldo_conta],"--",0,1)</f>
        <v>11690.96</v>
      </c>
      <c r="H1116" t="str">
        <f>_xlfn.XLOOKUP(TBL_USUARIOS[[#This Row],[ID_MASSA]],tbl_de_massas[id_massa],tbl_de_massas[nome_completo],"--",0,1)</f>
        <v>Renato Pinto Monteiro</v>
      </c>
    </row>
    <row r="1117" spans="1:8" x14ac:dyDescent="0.25">
      <c r="A1117" s="2" t="s">
        <v>5080</v>
      </c>
      <c r="B1117" t="str">
        <f>_xlfn.XLOOKUP(TBL_USUARIOS[[#This Row],[ID_MASSA]],tbl_de_massas[id_massa],tbl_de_massas[cpf],"--",0,1)</f>
        <v>61849141703</v>
      </c>
      <c r="C1117" t="s">
        <v>12</v>
      </c>
      <c r="D1117" t="str">
        <f>_xlfn.XLOOKUP(TBL_USUARIOS[[#This Row],[ID_MASSA]],tbl_de_massas[id_massa],tbl_de_massas[nome_completo],"--",0,1)</f>
        <v>Amanda Teixeira Lima</v>
      </c>
      <c r="E1117" t="str">
        <f>_xlfn.XLOOKUP(TBL_USUARIOS[[#This Row],[ID_MASSA]],tbl_de_massas[id_massa],tbl_de_massas[cartao_fisico_numero],"--",0,1)</f>
        <v>5442 7460 4010 2041</v>
      </c>
      <c r="F1117" t="str">
        <f>_xlfn.XLOOKUP(TBL_USUARIOS[[#This Row],[ID_MASSA]],tbl_de_massas[id_massa],tbl_de_massas[nome_completo],"--",0,1)</f>
        <v>Amanda Teixeira Lima</v>
      </c>
      <c r="G1117" s="47">
        <f>_xlfn.XLOOKUP(TBL_USUARIOS[[#This Row],[ID_MASSA]],tbl_de_massas[id_massa],tbl_de_massas[saldo_conta],"--",0,1)</f>
        <v>8931.94</v>
      </c>
      <c r="H1117" t="str">
        <f>_xlfn.XLOOKUP(TBL_USUARIOS[[#This Row],[ID_MASSA]],tbl_de_massas[id_massa],tbl_de_massas[nome_completo],"--",0,1)</f>
        <v>Amanda Teixeira Lima</v>
      </c>
    </row>
    <row r="1118" spans="1:8" x14ac:dyDescent="0.25">
      <c r="A1118" s="2" t="s">
        <v>5901</v>
      </c>
      <c r="B1118" t="str">
        <f>_xlfn.XLOOKUP(TBL_USUARIOS[[#This Row],[ID_MASSA]],tbl_de_massas[id_massa],tbl_de_massas[cpf],"--",0,1)</f>
        <v>32213735700</v>
      </c>
      <c r="C1118" t="s">
        <v>12</v>
      </c>
      <c r="D1118" t="str">
        <f>_xlfn.XLOOKUP(TBL_USUARIOS[[#This Row],[ID_MASSA]],tbl_de_massas[id_massa],tbl_de_massas[nome_completo],"--",0,1)</f>
        <v>Renata Carvalho Barbosa</v>
      </c>
      <c r="E1118" t="str">
        <f>_xlfn.XLOOKUP(TBL_USUARIOS[[#This Row],[ID_MASSA]],tbl_de_massas[id_massa],tbl_de_massas[cartao_fisico_numero],"--",0,1)</f>
        <v>3782 102588 6348</v>
      </c>
      <c r="F1118" t="str">
        <f>_xlfn.XLOOKUP(TBL_USUARIOS[[#This Row],[ID_MASSA]],tbl_de_massas[id_massa],tbl_de_massas[nome_completo],"--",0,1)</f>
        <v>Renata Carvalho Barbosa</v>
      </c>
      <c r="G1118" s="47">
        <f>_xlfn.XLOOKUP(TBL_USUARIOS[[#This Row],[ID_MASSA]],tbl_de_massas[id_massa],tbl_de_massas[saldo_conta],"--",0,1)</f>
        <v>9594.59</v>
      </c>
      <c r="H1118" t="str">
        <f>_xlfn.XLOOKUP(TBL_USUARIOS[[#This Row],[ID_MASSA]],tbl_de_massas[id_massa],tbl_de_massas[nome_completo],"--",0,1)</f>
        <v>Renata Carvalho Barbosa</v>
      </c>
    </row>
    <row r="1119" spans="1:8" x14ac:dyDescent="0.25">
      <c r="A1119" s="2" t="s">
        <v>2152</v>
      </c>
      <c r="B1119" s="14" t="str">
        <f>_xlfn.XLOOKUP(TBL_USUARIOS[[#This Row],[ID_MASSA]],tbl_de_massas[id_massa],tbl_de_massas[cpf],"--",0,1)</f>
        <v>65207037706</v>
      </c>
      <c r="C1119" t="s">
        <v>12</v>
      </c>
      <c r="D1119" t="str">
        <f>_xlfn.XLOOKUP(TBL_USUARIOS[[#This Row],[ID_MASSA]],tbl_de_massas[id_massa],tbl_de_massas[nome_completo],"--",0,1)</f>
        <v>Beatriz Ferreira</v>
      </c>
      <c r="E1119" t="str">
        <f>_xlfn.XLOOKUP(TBL_USUARIOS[[#This Row],[ID_MASSA]],tbl_de_massas[id_massa],tbl_de_massas[cartao_fisico_numero],"--",0,1)</f>
        <v>3782 685080 1425</v>
      </c>
      <c r="F1119" t="str">
        <f>_xlfn.XLOOKUP(TBL_USUARIOS[[#This Row],[ID_MASSA]],tbl_de_massas[id_massa],tbl_de_massas[nome_completo],"--",0,1)</f>
        <v>Beatriz Ferreira</v>
      </c>
      <c r="G1119" s="47">
        <f>_xlfn.XLOOKUP(TBL_USUARIOS[[#This Row],[ID_MASSA]],tbl_de_massas[id_massa],tbl_de_massas[saldo_conta],"--",0,1)</f>
        <v>11765.4</v>
      </c>
      <c r="H1119" t="str">
        <f>_xlfn.XLOOKUP(TBL_USUARIOS[[#This Row],[ID_MASSA]],tbl_de_massas[id_massa],tbl_de_massas[nome_completo],"--",0,1)</f>
        <v>Beatriz Ferreira</v>
      </c>
    </row>
    <row r="1120" spans="1:8" x14ac:dyDescent="0.25">
      <c r="A1120" s="2" t="s">
        <v>5956</v>
      </c>
      <c r="B1120" t="str">
        <f>_xlfn.XLOOKUP(TBL_USUARIOS[[#This Row],[ID_MASSA]],tbl_de_massas[id_massa],tbl_de_massas[cpf],"--",0,1)</f>
        <v>47212254746</v>
      </c>
      <c r="C1120" t="s">
        <v>12</v>
      </c>
      <c r="D1120" t="str">
        <f>_xlfn.XLOOKUP(TBL_USUARIOS[[#This Row],[ID_MASSA]],tbl_de_massas[id_massa],tbl_de_massas[nome_completo],"--",0,1)</f>
        <v>Guilherme Dias</v>
      </c>
      <c r="E1120" t="str">
        <f>_xlfn.XLOOKUP(TBL_USUARIOS[[#This Row],[ID_MASSA]],tbl_de_massas[id_massa],tbl_de_massas[cartao_fisico_numero],"--",0,1)</f>
        <v>5442 7460 2912 3925</v>
      </c>
      <c r="F1120" t="str">
        <f>_xlfn.XLOOKUP(TBL_USUARIOS[[#This Row],[ID_MASSA]],tbl_de_massas[id_massa],tbl_de_massas[nome_completo],"--",0,1)</f>
        <v>Guilherme Dias</v>
      </c>
      <c r="G1120" s="47">
        <f>_xlfn.XLOOKUP(TBL_USUARIOS[[#This Row],[ID_MASSA]],tbl_de_massas[id_massa],tbl_de_massas[saldo_conta],"--",0,1)</f>
        <v>11770.58</v>
      </c>
      <c r="H1120" t="str">
        <f>_xlfn.XLOOKUP(TBL_USUARIOS[[#This Row],[ID_MASSA]],tbl_de_massas[id_massa],tbl_de_massas[nome_completo],"--",0,1)</f>
        <v>Guilherme Dias</v>
      </c>
    </row>
    <row r="1121" spans="1:8" x14ac:dyDescent="0.25">
      <c r="A1121" s="2" t="s">
        <v>3530</v>
      </c>
      <c r="B1121" t="str">
        <f>_xlfn.XLOOKUP(TBL_USUARIOS[[#This Row],[ID_MASSA]],tbl_de_massas[id_massa],tbl_de_massas[cpf],"--",0,1)</f>
        <v>50545587727</v>
      </c>
      <c r="C1121" t="s">
        <v>12</v>
      </c>
      <c r="D1121" t="str">
        <f>_xlfn.XLOOKUP(TBL_USUARIOS[[#This Row],[ID_MASSA]],tbl_de_massas[id_massa],tbl_de_massas[nome_completo],"--",0,1)</f>
        <v>Mariana Souza Barbosa</v>
      </c>
      <c r="E1121" t="str">
        <f>_xlfn.XLOOKUP(TBL_USUARIOS[[#This Row],[ID_MASSA]],tbl_de_massas[id_massa],tbl_de_massas[cartao_fisico_numero],"--",0,1)</f>
        <v>3782 228779 6703</v>
      </c>
      <c r="F1121" t="str">
        <f>_xlfn.XLOOKUP(TBL_USUARIOS[[#This Row],[ID_MASSA]],tbl_de_massas[id_massa],tbl_de_massas[nome_completo],"--",0,1)</f>
        <v>Mariana Souza Barbosa</v>
      </c>
      <c r="G1121" s="47">
        <f>_xlfn.XLOOKUP(TBL_USUARIOS[[#This Row],[ID_MASSA]],tbl_de_massas[id_massa],tbl_de_massas[saldo_conta],"--",0,1)</f>
        <v>11783.26</v>
      </c>
      <c r="H1121" t="str">
        <f>_xlfn.XLOOKUP(TBL_USUARIOS[[#This Row],[ID_MASSA]],tbl_de_massas[id_massa],tbl_de_massas[nome_completo],"--",0,1)</f>
        <v>Mariana Souza Barbosa</v>
      </c>
    </row>
    <row r="1122" spans="1:8" x14ac:dyDescent="0.25">
      <c r="A1122" s="2" t="s">
        <v>5454</v>
      </c>
      <c r="B1122" t="str">
        <f>_xlfn.XLOOKUP(TBL_USUARIOS[[#This Row],[ID_MASSA]],tbl_de_massas[id_massa],tbl_de_massas[cpf],"--",0,1)</f>
        <v>10415006880</v>
      </c>
      <c r="C1122" t="s">
        <v>12</v>
      </c>
      <c r="D1122" t="str">
        <f>_xlfn.XLOOKUP(TBL_USUARIOS[[#This Row],[ID_MASSA]],tbl_de_massas[id_massa],tbl_de_massas[nome_completo],"--",0,1)</f>
        <v>Mariana Oliveira Rodrigues</v>
      </c>
      <c r="E1122" t="str">
        <f>_xlfn.XLOOKUP(TBL_USUARIOS[[#This Row],[ID_MASSA]],tbl_de_massas[id_massa],tbl_de_massas[cartao_fisico_numero],"--",0,1)</f>
        <v/>
      </c>
      <c r="F1122" t="str">
        <f>_xlfn.XLOOKUP(TBL_USUARIOS[[#This Row],[ID_MASSA]],tbl_de_massas[id_massa],tbl_de_massas[nome_completo],"--",0,1)</f>
        <v>Mariana Oliveira Rodrigues</v>
      </c>
      <c r="G1122" s="47">
        <f>_xlfn.XLOOKUP(TBL_USUARIOS[[#This Row],[ID_MASSA]],tbl_de_massas[id_massa],tbl_de_massas[saldo_conta],"--",0,1)</f>
        <v>11788.01</v>
      </c>
      <c r="H1122" t="str">
        <f>_xlfn.XLOOKUP(TBL_USUARIOS[[#This Row],[ID_MASSA]],tbl_de_massas[id_massa],tbl_de_massas[nome_completo],"--",0,1)</f>
        <v>Mariana Oliveira Rodrigues</v>
      </c>
    </row>
    <row r="1123" spans="1:8" x14ac:dyDescent="0.25">
      <c r="A1123" s="2" t="s">
        <v>6414</v>
      </c>
      <c r="B1123" t="str">
        <f>_xlfn.XLOOKUP(TBL_USUARIOS[[#This Row],[ID_MASSA]],tbl_de_massas[id_massa],tbl_de_massas[cpf],"--",0,1)</f>
        <v>92504200994</v>
      </c>
      <c r="C1123" t="s">
        <v>12</v>
      </c>
      <c r="D1123" t="str">
        <f>_xlfn.XLOOKUP(TBL_USUARIOS[[#This Row],[ID_MASSA]],tbl_de_massas[id_massa],tbl_de_massas[nome_completo],"--",0,1)</f>
        <v>Fang Lin Guo</v>
      </c>
      <c r="E1123" t="str">
        <f>_xlfn.XLOOKUP(TBL_USUARIOS[[#This Row],[ID_MASSA]],tbl_de_massas[id_massa],tbl_de_massas[cartao_fisico_numero],"--",0,1)</f>
        <v>3782 890561 1504</v>
      </c>
      <c r="F1123" t="str">
        <f>_xlfn.XLOOKUP(TBL_USUARIOS[[#This Row],[ID_MASSA]],tbl_de_massas[id_massa],tbl_de_massas[nome_completo],"--",0,1)</f>
        <v>Fang Lin Guo</v>
      </c>
      <c r="G1123" s="47">
        <f>_xlfn.XLOOKUP(TBL_USUARIOS[[#This Row],[ID_MASSA]],tbl_de_massas[id_massa],tbl_de_massas[saldo_conta],"--",0,1)</f>
        <v>11802.54</v>
      </c>
      <c r="H1123" t="str">
        <f>_xlfn.XLOOKUP(TBL_USUARIOS[[#This Row],[ID_MASSA]],tbl_de_massas[id_massa],tbl_de_massas[nome_completo],"--",0,1)</f>
        <v>Fang Lin Guo</v>
      </c>
    </row>
    <row r="1124" spans="1:8" x14ac:dyDescent="0.25">
      <c r="A1124" s="2" t="s">
        <v>2708</v>
      </c>
      <c r="B1124" t="str">
        <f>_xlfn.XLOOKUP(TBL_USUARIOS[[#This Row],[ID_MASSA]],tbl_de_massas[id_massa],tbl_de_massas[cpf],"--",0,1)</f>
        <v>08858964322</v>
      </c>
      <c r="C1124" t="s">
        <v>12</v>
      </c>
      <c r="D1124" t="str">
        <f>_xlfn.XLOOKUP(TBL_USUARIOS[[#This Row],[ID_MASSA]],tbl_de_massas[id_massa],tbl_de_massas[nome_completo],"--",0,1)</f>
        <v>Khalid Al-Zahrani</v>
      </c>
      <c r="E1124" t="str">
        <f>_xlfn.XLOOKUP(TBL_USUARIOS[[#This Row],[ID_MASSA]],tbl_de_massas[id_massa],tbl_de_massas[cartao_fisico_numero],"--",0,1)</f>
        <v>4576 7460 5925 3334</v>
      </c>
      <c r="F1124" t="str">
        <f>_xlfn.XLOOKUP(TBL_USUARIOS[[#This Row],[ID_MASSA]],tbl_de_massas[id_massa],tbl_de_massas[nome_completo],"--",0,1)</f>
        <v>Khalid Al-Zahrani</v>
      </c>
      <c r="G1124" s="47">
        <f>_xlfn.XLOOKUP(TBL_USUARIOS[[#This Row],[ID_MASSA]],tbl_de_massas[id_massa],tbl_de_massas[saldo_conta],"--",0,1)</f>
        <v>11812.19</v>
      </c>
      <c r="H1124" t="str">
        <f>_xlfn.XLOOKUP(TBL_USUARIOS[[#This Row],[ID_MASSA]],tbl_de_massas[id_massa],tbl_de_massas[nome_completo],"--",0,1)</f>
        <v>Khalid Al-Zahrani</v>
      </c>
    </row>
    <row r="1125" spans="1:8" x14ac:dyDescent="0.25">
      <c r="A1125" s="2" t="s">
        <v>6671</v>
      </c>
      <c r="B1125" t="str">
        <f>_xlfn.XLOOKUP(TBL_USUARIOS[[#This Row],[ID_MASSA]],tbl_de_massas[id_massa],tbl_de_massas[cpf],"--",0,1)</f>
        <v>68776887910</v>
      </c>
      <c r="C1125" t="s">
        <v>12</v>
      </c>
      <c r="D1125" t="str">
        <f>_xlfn.XLOOKUP(TBL_USUARIOS[[#This Row],[ID_MASSA]],tbl_de_massas[id_massa],tbl_de_massas[nome_completo],"--",0,1)</f>
        <v>Andrea Greco</v>
      </c>
      <c r="E1125" t="str">
        <f>_xlfn.XLOOKUP(TBL_USUARIOS[[#This Row],[ID_MASSA]],tbl_de_massas[id_massa],tbl_de_massas[cartao_fisico_numero],"--",0,1)</f>
        <v>6062 8200 7900 7360</v>
      </c>
      <c r="F1125" t="str">
        <f>_xlfn.XLOOKUP(TBL_USUARIOS[[#This Row],[ID_MASSA]],tbl_de_massas[id_massa],tbl_de_massas[nome_completo],"--",0,1)</f>
        <v>Andrea Greco</v>
      </c>
      <c r="G1125" s="47">
        <f>_xlfn.XLOOKUP(TBL_USUARIOS[[#This Row],[ID_MASSA]],tbl_de_massas[id_massa],tbl_de_massas[saldo_conta],"--",0,1)</f>
        <v>11819.43</v>
      </c>
      <c r="H1125" t="str">
        <f>_xlfn.XLOOKUP(TBL_USUARIOS[[#This Row],[ID_MASSA]],tbl_de_massas[id_massa],tbl_de_massas[nome_completo],"--",0,1)</f>
        <v>Andrea Greco</v>
      </c>
    </row>
    <row r="1126" spans="1:8" x14ac:dyDescent="0.25">
      <c r="A1126" s="2" t="s">
        <v>3162</v>
      </c>
      <c r="B1126" t="str">
        <f>_xlfn.XLOOKUP(TBL_USUARIOS[[#This Row],[ID_MASSA]],tbl_de_massas[id_massa],tbl_de_massas[cpf],"--",0,1)</f>
        <v>40854108815</v>
      </c>
      <c r="C1126" t="s">
        <v>12</v>
      </c>
      <c r="D1126" t="str">
        <f>_xlfn.XLOOKUP(TBL_USUARIOS[[#This Row],[ID_MASSA]],tbl_de_massas[id_massa],tbl_de_massas[nome_completo],"--",0,1)</f>
        <v>Marcelo Rodrigues Dias</v>
      </c>
      <c r="E1126" t="str">
        <f>_xlfn.XLOOKUP(TBL_USUARIOS[[#This Row],[ID_MASSA]],tbl_de_massas[id_massa],tbl_de_massas[cartao_fisico_numero],"--",0,1)</f>
        <v/>
      </c>
      <c r="F1126" t="str">
        <f>_xlfn.XLOOKUP(TBL_USUARIOS[[#This Row],[ID_MASSA]],tbl_de_massas[id_massa],tbl_de_massas[nome_completo],"--",0,1)</f>
        <v>Marcelo Rodrigues Dias</v>
      </c>
      <c r="G1126" s="47">
        <f>_xlfn.XLOOKUP(TBL_USUARIOS[[#This Row],[ID_MASSA]],tbl_de_massas[id_massa],tbl_de_massas[saldo_conta],"--",0,1)</f>
        <v>11822.2</v>
      </c>
      <c r="H1126" t="str">
        <f>_xlfn.XLOOKUP(TBL_USUARIOS[[#This Row],[ID_MASSA]],tbl_de_massas[id_massa],tbl_de_massas[nome_completo],"--",0,1)</f>
        <v>Marcelo Rodrigues Dias</v>
      </c>
    </row>
    <row r="1127" spans="1:8" x14ac:dyDescent="0.25">
      <c r="A1127" s="2" t="s">
        <v>5888</v>
      </c>
      <c r="B1127" t="str">
        <f>_xlfn.XLOOKUP(TBL_USUARIOS[[#This Row],[ID_MASSA]],tbl_de_massas[id_massa],tbl_de_massas[cpf],"--",0,1)</f>
        <v>03576833587</v>
      </c>
      <c r="C1127" t="s">
        <v>12</v>
      </c>
      <c r="D1127" t="str">
        <f>_xlfn.XLOOKUP(TBL_USUARIOS[[#This Row],[ID_MASSA]],tbl_de_massas[id_massa],tbl_de_massas[nome_completo],"--",0,1)</f>
        <v>Beatriz Barros Costa</v>
      </c>
      <c r="E1127" t="str">
        <f>_xlfn.XLOOKUP(TBL_USUARIOS[[#This Row],[ID_MASSA]],tbl_de_massas[id_massa],tbl_de_massas[cartao_fisico_numero],"--",0,1)</f>
        <v>6062 8200 1548 6267</v>
      </c>
      <c r="F1127" t="str">
        <f>_xlfn.XLOOKUP(TBL_USUARIOS[[#This Row],[ID_MASSA]],tbl_de_massas[id_massa],tbl_de_massas[nome_completo],"--",0,1)</f>
        <v>Beatriz Barros Costa</v>
      </c>
      <c r="G1127" s="47">
        <f>_xlfn.XLOOKUP(TBL_USUARIOS[[#This Row],[ID_MASSA]],tbl_de_massas[id_massa],tbl_de_massas[saldo_conta],"--",0,1)</f>
        <v>11866.44</v>
      </c>
      <c r="H1127" t="str">
        <f>_xlfn.XLOOKUP(TBL_USUARIOS[[#This Row],[ID_MASSA]],tbl_de_massas[id_massa],tbl_de_massas[nome_completo],"--",0,1)</f>
        <v>Beatriz Barros Costa</v>
      </c>
    </row>
    <row r="1128" spans="1:8" x14ac:dyDescent="0.25">
      <c r="A1128" s="2" t="s">
        <v>2952</v>
      </c>
      <c r="B1128" t="str">
        <f>_xlfn.XLOOKUP(TBL_USUARIOS[[#This Row],[ID_MASSA]],tbl_de_massas[id_massa],tbl_de_massas[cpf],"--",0,1)</f>
        <v>92391997485</v>
      </c>
      <c r="C1128" t="s">
        <v>12</v>
      </c>
      <c r="D1128" t="str">
        <f>_xlfn.XLOOKUP(TBL_USUARIOS[[#This Row],[ID_MASSA]],tbl_de_massas[id_massa],tbl_de_massas[nome_completo],"--",0,1)</f>
        <v>Tatiane Freitas Barbosa</v>
      </c>
      <c r="E1128" t="str">
        <f>_xlfn.XLOOKUP(TBL_USUARIOS[[#This Row],[ID_MASSA]],tbl_de_massas[id_massa],tbl_de_massas[cartao_fisico_numero],"--",0,1)</f>
        <v>6062 8200 4915 5573</v>
      </c>
      <c r="F1128" t="str">
        <f>_xlfn.XLOOKUP(TBL_USUARIOS[[#This Row],[ID_MASSA]],tbl_de_massas[id_massa],tbl_de_massas[nome_completo],"--",0,1)</f>
        <v>Tatiane Freitas Barbosa</v>
      </c>
      <c r="G1128" s="47">
        <f>_xlfn.XLOOKUP(TBL_USUARIOS[[#This Row],[ID_MASSA]],tbl_de_massas[id_massa],tbl_de_massas[saldo_conta],"--",0,1)</f>
        <v>11874.35</v>
      </c>
      <c r="H1128" t="str">
        <f>_xlfn.XLOOKUP(TBL_USUARIOS[[#This Row],[ID_MASSA]],tbl_de_massas[id_massa],tbl_de_massas[nome_completo],"--",0,1)</f>
        <v>Tatiane Freitas Barbosa</v>
      </c>
    </row>
    <row r="1129" spans="1:8" x14ac:dyDescent="0.25">
      <c r="A1129" s="2" t="s">
        <v>3248</v>
      </c>
      <c r="B1129" t="str">
        <f>_xlfn.XLOOKUP(TBL_USUARIOS[[#This Row],[ID_MASSA]],tbl_de_massas[id_massa],tbl_de_massas[cpf],"--",0,1)</f>
        <v>80863695795</v>
      </c>
      <c r="C1129" t="s">
        <v>12</v>
      </c>
      <c r="D1129" t="str">
        <f>_xlfn.XLOOKUP(TBL_USUARIOS[[#This Row],[ID_MASSA]],tbl_de_massas[id_massa],tbl_de_massas[nome_completo],"--",0,1)</f>
        <v>Sabrina Nunes</v>
      </c>
      <c r="E1129" t="str">
        <f>_xlfn.XLOOKUP(TBL_USUARIOS[[#This Row],[ID_MASSA]],tbl_de_massas[id_massa],tbl_de_massas[cartao_fisico_numero],"--",0,1)</f>
        <v>5442 7460 2601 7863</v>
      </c>
      <c r="F1129" t="str">
        <f>_xlfn.XLOOKUP(TBL_USUARIOS[[#This Row],[ID_MASSA]],tbl_de_massas[id_massa],tbl_de_massas[nome_completo],"--",0,1)</f>
        <v>Sabrina Nunes</v>
      </c>
      <c r="G1129" s="47">
        <f>_xlfn.XLOOKUP(TBL_USUARIOS[[#This Row],[ID_MASSA]],tbl_de_massas[id_massa],tbl_de_massas[saldo_conta],"--",0,1)</f>
        <v>11886.44</v>
      </c>
      <c r="H1129" t="str">
        <f>_xlfn.XLOOKUP(TBL_USUARIOS[[#This Row],[ID_MASSA]],tbl_de_massas[id_massa],tbl_de_massas[nome_completo],"--",0,1)</f>
        <v>Sabrina Nunes</v>
      </c>
    </row>
    <row r="1130" spans="1:8" x14ac:dyDescent="0.25">
      <c r="A1130" s="2" t="s">
        <v>4809</v>
      </c>
      <c r="B1130" t="str">
        <f>_xlfn.XLOOKUP(TBL_USUARIOS[[#This Row],[ID_MASSA]],tbl_de_massas[id_massa],tbl_de_massas[cpf],"--",0,1)</f>
        <v>03098375965</v>
      </c>
      <c r="C1130" t="s">
        <v>12</v>
      </c>
      <c r="D1130" t="str">
        <f>_xlfn.XLOOKUP(TBL_USUARIOS[[#This Row],[ID_MASSA]],tbl_de_massas[id_massa],tbl_de_massas[nome_completo],"--",0,1)</f>
        <v>Bianca Silva Fernandes</v>
      </c>
      <c r="E1130" t="str">
        <f>_xlfn.XLOOKUP(TBL_USUARIOS[[#This Row],[ID_MASSA]],tbl_de_massas[id_massa],tbl_de_massas[cartao_fisico_numero],"--",0,1)</f>
        <v>5442 7460 1690 6638</v>
      </c>
      <c r="F1130" t="str">
        <f>_xlfn.XLOOKUP(TBL_USUARIOS[[#This Row],[ID_MASSA]],tbl_de_massas[id_massa],tbl_de_massas[nome_completo],"--",0,1)</f>
        <v>Bianca Silva Fernandes</v>
      </c>
      <c r="G1130" s="47">
        <f>_xlfn.XLOOKUP(TBL_USUARIOS[[#This Row],[ID_MASSA]],tbl_de_massas[id_massa],tbl_de_massas[saldo_conta],"--",0,1)</f>
        <v>11888.62</v>
      </c>
      <c r="H1130" t="str">
        <f>_xlfn.XLOOKUP(TBL_USUARIOS[[#This Row],[ID_MASSA]],tbl_de_massas[id_massa],tbl_de_massas[nome_completo],"--",0,1)</f>
        <v>Bianca Silva Fernandes</v>
      </c>
    </row>
    <row r="1131" spans="1:8" x14ac:dyDescent="0.25">
      <c r="A1131" s="2" t="s">
        <v>6166</v>
      </c>
      <c r="B1131" t="str">
        <f>_xlfn.XLOOKUP(TBL_USUARIOS[[#This Row],[ID_MASSA]],tbl_de_massas[id_massa],tbl_de_massas[cpf],"--",0,1)</f>
        <v>55687484973</v>
      </c>
      <c r="C1131" t="s">
        <v>12</v>
      </c>
      <c r="D1131" t="str">
        <f>_xlfn.XLOOKUP(TBL_USUARIOS[[#This Row],[ID_MASSA]],tbl_de_massas[id_massa],tbl_de_massas[nome_completo],"--",0,1)</f>
        <v>David Clark</v>
      </c>
      <c r="E1131" t="str">
        <f>_xlfn.XLOOKUP(TBL_USUARIOS[[#This Row],[ID_MASSA]],tbl_de_massas[id_massa],tbl_de_massas[cartao_fisico_numero],"--",0,1)</f>
        <v/>
      </c>
      <c r="F1131" t="str">
        <f>_xlfn.XLOOKUP(TBL_USUARIOS[[#This Row],[ID_MASSA]],tbl_de_massas[id_massa],tbl_de_massas[nome_completo],"--",0,1)</f>
        <v>David Clark</v>
      </c>
      <c r="G1131" s="47">
        <f>_xlfn.XLOOKUP(TBL_USUARIOS[[#This Row],[ID_MASSA]],tbl_de_massas[id_massa],tbl_de_massas[saldo_conta],"--",0,1)</f>
        <v>11896.91</v>
      </c>
      <c r="H1131" t="str">
        <f>_xlfn.XLOOKUP(TBL_USUARIOS[[#This Row],[ID_MASSA]],tbl_de_massas[id_massa],tbl_de_massas[nome_completo],"--",0,1)</f>
        <v>David Clark</v>
      </c>
    </row>
    <row r="1132" spans="1:8" x14ac:dyDescent="0.25">
      <c r="A1132" s="2" t="s">
        <v>3358</v>
      </c>
      <c r="B1132" t="str">
        <f>_xlfn.XLOOKUP(TBL_USUARIOS[[#This Row],[ID_MASSA]],tbl_de_massas[id_massa],tbl_de_massas[cpf],"--",0,1)</f>
        <v>66067548879</v>
      </c>
      <c r="C1132" t="s">
        <v>12</v>
      </c>
      <c r="D1132" t="str">
        <f>_xlfn.XLOOKUP(TBL_USUARIOS[[#This Row],[ID_MASSA]],tbl_de_massas[id_massa],tbl_de_massas[nome_completo],"--",0,1)</f>
        <v>Renato Barros Vieira</v>
      </c>
      <c r="E1132" t="str">
        <f>_xlfn.XLOOKUP(TBL_USUARIOS[[#This Row],[ID_MASSA]],tbl_de_massas[id_massa],tbl_de_massas[cartao_fisico_numero],"--",0,1)</f>
        <v>6505 0666 4947 8268</v>
      </c>
      <c r="F1132" t="str">
        <f>_xlfn.XLOOKUP(TBL_USUARIOS[[#This Row],[ID_MASSA]],tbl_de_massas[id_massa],tbl_de_massas[nome_completo],"--",0,1)</f>
        <v>Renato Barros Vieira</v>
      </c>
      <c r="G1132" s="47">
        <f>_xlfn.XLOOKUP(TBL_USUARIOS[[#This Row],[ID_MASSA]],tbl_de_massas[id_massa],tbl_de_massas[saldo_conta],"--",0,1)</f>
        <v>11899.13</v>
      </c>
      <c r="H1132" t="str">
        <f>_xlfn.XLOOKUP(TBL_USUARIOS[[#This Row],[ID_MASSA]],tbl_de_massas[id_massa],tbl_de_massas[nome_completo],"--",0,1)</f>
        <v>Renato Barros Vieira</v>
      </c>
    </row>
    <row r="1133" spans="1:8" x14ac:dyDescent="0.25">
      <c r="A1133" s="2" t="s">
        <v>4736</v>
      </c>
      <c r="B1133" t="str">
        <f>_xlfn.XLOOKUP(TBL_USUARIOS[[#This Row],[ID_MASSA]],tbl_de_massas[id_massa],tbl_de_massas[cpf],"--",0,1)</f>
        <v>40120963973</v>
      </c>
      <c r="C1133" t="s">
        <v>12</v>
      </c>
      <c r="D1133" t="str">
        <f>_xlfn.XLOOKUP(TBL_USUARIOS[[#This Row],[ID_MASSA]],tbl_de_massas[id_massa],tbl_de_massas[nome_completo],"--",0,1)</f>
        <v>Debora Cavalcanti Freitas</v>
      </c>
      <c r="E1133" t="str">
        <f>_xlfn.XLOOKUP(TBL_USUARIOS[[#This Row],[ID_MASSA]],tbl_de_massas[id_massa],tbl_de_massas[cartao_fisico_numero],"--",0,1)</f>
        <v>6062 8200 9125 1937</v>
      </c>
      <c r="F1133" t="str">
        <f>_xlfn.XLOOKUP(TBL_USUARIOS[[#This Row],[ID_MASSA]],tbl_de_massas[id_massa],tbl_de_massas[nome_completo],"--",0,1)</f>
        <v>Debora Cavalcanti Freitas</v>
      </c>
      <c r="G1133" s="47">
        <f>_xlfn.XLOOKUP(TBL_USUARIOS[[#This Row],[ID_MASSA]],tbl_de_massas[id_massa],tbl_de_massas[saldo_conta],"--",0,1)</f>
        <v>11924.36</v>
      </c>
      <c r="H1133" t="str">
        <f>_xlfn.XLOOKUP(TBL_USUARIOS[[#This Row],[ID_MASSA]],tbl_de_massas[id_massa],tbl_de_massas[nome_completo],"--",0,1)</f>
        <v>Debora Cavalcanti Freitas</v>
      </c>
    </row>
    <row r="1134" spans="1:8" x14ac:dyDescent="0.25">
      <c r="A1134" s="2" t="s">
        <v>6380</v>
      </c>
      <c r="B1134" t="str">
        <f>_xlfn.XLOOKUP(TBL_USUARIOS[[#This Row],[ID_MASSA]],tbl_de_massas[id_massa],tbl_de_massas[cpf],"--",0,1)</f>
        <v>03042905802</v>
      </c>
      <c r="C1134" t="s">
        <v>12</v>
      </c>
      <c r="D1134" t="str">
        <f>_xlfn.XLOOKUP(TBL_USUARIOS[[#This Row],[ID_MASSA]],tbl_de_massas[id_massa],tbl_de_massas[nome_completo],"--",0,1)</f>
        <v>Xin Yang</v>
      </c>
      <c r="E1134" t="str">
        <f>_xlfn.XLOOKUP(TBL_USUARIOS[[#This Row],[ID_MASSA]],tbl_de_massas[id_massa],tbl_de_massas[cartao_fisico_numero],"--",0,1)</f>
        <v>6505 0666 1381 0904</v>
      </c>
      <c r="F1134" t="str">
        <f>_xlfn.XLOOKUP(TBL_USUARIOS[[#This Row],[ID_MASSA]],tbl_de_massas[id_massa],tbl_de_massas[nome_completo],"--",0,1)</f>
        <v>Xin Yang</v>
      </c>
      <c r="G1134" s="47">
        <f>_xlfn.XLOOKUP(TBL_USUARIOS[[#This Row],[ID_MASSA]],tbl_de_massas[id_massa],tbl_de_massas[saldo_conta],"--",0,1)</f>
        <v>11927.91</v>
      </c>
      <c r="H1134" t="str">
        <f>_xlfn.XLOOKUP(TBL_USUARIOS[[#This Row],[ID_MASSA]],tbl_de_massas[id_massa],tbl_de_massas[nome_completo],"--",0,1)</f>
        <v>Xin Yang</v>
      </c>
    </row>
    <row r="1135" spans="1:8" x14ac:dyDescent="0.25">
      <c r="A1135" s="2" t="s">
        <v>3253</v>
      </c>
      <c r="B1135" t="str">
        <f>_xlfn.XLOOKUP(TBL_USUARIOS[[#This Row],[ID_MASSA]],tbl_de_massas[id_massa],tbl_de_massas[cpf],"--",0,1)</f>
        <v>36311507099</v>
      </c>
      <c r="C1135" t="s">
        <v>12</v>
      </c>
      <c r="D1135" t="str">
        <f>_xlfn.XLOOKUP(TBL_USUARIOS[[#This Row],[ID_MASSA]],tbl_de_massas[id_massa],tbl_de_massas[nome_completo],"--",0,1)</f>
        <v>Eduardo Cavalcanti Cardoso</v>
      </c>
      <c r="E1135" t="str">
        <f>_xlfn.XLOOKUP(TBL_USUARIOS[[#This Row],[ID_MASSA]],tbl_de_massas[id_massa],tbl_de_massas[cartao_fisico_numero],"--",0,1)</f>
        <v>5442 7460 5663 2922</v>
      </c>
      <c r="F1135" t="str">
        <f>_xlfn.XLOOKUP(TBL_USUARIOS[[#This Row],[ID_MASSA]],tbl_de_massas[id_massa],tbl_de_massas[nome_completo],"--",0,1)</f>
        <v>Eduardo Cavalcanti Cardoso</v>
      </c>
      <c r="G1135" s="47">
        <f>_xlfn.XLOOKUP(TBL_USUARIOS[[#This Row],[ID_MASSA]],tbl_de_massas[id_massa],tbl_de_massas[saldo_conta],"--",0,1)</f>
        <v>7285.92</v>
      </c>
      <c r="H1135" t="str">
        <f>_xlfn.XLOOKUP(TBL_USUARIOS[[#This Row],[ID_MASSA]],tbl_de_massas[id_massa],tbl_de_massas[nome_completo],"--",0,1)</f>
        <v>Eduardo Cavalcanti Cardoso</v>
      </c>
    </row>
    <row r="1136" spans="1:8" x14ac:dyDescent="0.25">
      <c r="A1136" s="2" t="s">
        <v>5215</v>
      </c>
      <c r="B1136" t="str">
        <f>_xlfn.XLOOKUP(TBL_USUARIOS[[#This Row],[ID_MASSA]],tbl_de_massas[id_massa],tbl_de_massas[cpf],"--",0,1)</f>
        <v>05198183342</v>
      </c>
      <c r="C1136" t="s">
        <v>12</v>
      </c>
      <c r="D1136" t="str">
        <f>_xlfn.XLOOKUP(TBL_USUARIOS[[#This Row],[ID_MASSA]],tbl_de_massas[id_massa],tbl_de_massas[nome_completo],"--",0,1)</f>
        <v>Tatiane Campos Dias</v>
      </c>
      <c r="E1136" t="str">
        <f>_xlfn.XLOOKUP(TBL_USUARIOS[[#This Row],[ID_MASSA]],tbl_de_massas[id_massa],tbl_de_massas[cartao_fisico_numero],"--",0,1)</f>
        <v>4576 7460 7486 1706</v>
      </c>
      <c r="F1136" t="str">
        <f>_xlfn.XLOOKUP(TBL_USUARIOS[[#This Row],[ID_MASSA]],tbl_de_massas[id_massa],tbl_de_massas[nome_completo],"--",0,1)</f>
        <v>Tatiane Campos Dias</v>
      </c>
      <c r="G1136" s="47">
        <f>_xlfn.XLOOKUP(TBL_USUARIOS[[#This Row],[ID_MASSA]],tbl_de_massas[id_massa],tbl_de_massas[saldo_conta],"--",0,1)</f>
        <v>11928.61</v>
      </c>
      <c r="H1136" t="str">
        <f>_xlfn.XLOOKUP(TBL_USUARIOS[[#This Row],[ID_MASSA]],tbl_de_massas[id_massa],tbl_de_massas[nome_completo],"--",0,1)</f>
        <v>Tatiane Campos Dias</v>
      </c>
    </row>
    <row r="1137" spans="1:8" x14ac:dyDescent="0.25">
      <c r="A1137" s="2" t="s">
        <v>6638</v>
      </c>
      <c r="B1137" t="str">
        <f>_xlfn.XLOOKUP(TBL_USUARIOS[[#This Row],[ID_MASSA]],tbl_de_massas[id_massa],tbl_de_massas[cpf],"--",0,1)</f>
        <v>03853488862</v>
      </c>
      <c r="C1137" t="s">
        <v>12</v>
      </c>
      <c r="D1137" t="str">
        <f>_xlfn.XLOOKUP(TBL_USUARIOS[[#This Row],[ID_MASSA]],tbl_de_massas[id_massa],tbl_de_massas[nome_completo],"--",0,1)</f>
        <v>Yui Sasaki Ito</v>
      </c>
      <c r="E1137" t="str">
        <f>_xlfn.XLOOKUP(TBL_USUARIOS[[#This Row],[ID_MASSA]],tbl_de_massas[id_massa],tbl_de_massas[cartao_fisico_numero],"--",0,1)</f>
        <v/>
      </c>
      <c r="F1137" t="str">
        <f>_xlfn.XLOOKUP(TBL_USUARIOS[[#This Row],[ID_MASSA]],tbl_de_massas[id_massa],tbl_de_massas[nome_completo],"--",0,1)</f>
        <v>Yui Sasaki Ito</v>
      </c>
      <c r="G1137" s="47">
        <f>_xlfn.XLOOKUP(TBL_USUARIOS[[#This Row],[ID_MASSA]],tbl_de_massas[id_massa],tbl_de_massas[saldo_conta],"--",0,1)</f>
        <v>11974.16</v>
      </c>
      <c r="H1137" t="str">
        <f>_xlfn.XLOOKUP(TBL_USUARIOS[[#This Row],[ID_MASSA]],tbl_de_massas[id_massa],tbl_de_massas[nome_completo],"--",0,1)</f>
        <v>Yui Sasaki Ito</v>
      </c>
    </row>
    <row r="1138" spans="1:8" x14ac:dyDescent="0.25">
      <c r="A1138" s="2" t="s">
        <v>5616</v>
      </c>
      <c r="B1138" t="str">
        <f>_xlfn.XLOOKUP(TBL_USUARIOS[[#This Row],[ID_MASSA]],tbl_de_massas[id_massa],tbl_de_massas[cpf],"--",0,1)</f>
        <v>96941995653</v>
      </c>
      <c r="C1138" t="s">
        <v>12</v>
      </c>
      <c r="D1138" t="str">
        <f>_xlfn.XLOOKUP(TBL_USUARIOS[[#This Row],[ID_MASSA]],tbl_de_massas[id_massa],tbl_de_massas[nome_completo],"--",0,1)</f>
        <v>Renato Pinto Barbosa</v>
      </c>
      <c r="E1138" t="str">
        <f>_xlfn.XLOOKUP(TBL_USUARIOS[[#This Row],[ID_MASSA]],tbl_de_massas[id_massa],tbl_de_massas[cartao_fisico_numero],"--",0,1)</f>
        <v/>
      </c>
      <c r="F1138" t="str">
        <f>_xlfn.XLOOKUP(TBL_USUARIOS[[#This Row],[ID_MASSA]],tbl_de_massas[id_massa],tbl_de_massas[nome_completo],"--",0,1)</f>
        <v>Renato Pinto Barbosa</v>
      </c>
      <c r="G1138" s="47">
        <f>_xlfn.XLOOKUP(TBL_USUARIOS[[#This Row],[ID_MASSA]],tbl_de_massas[id_massa],tbl_de_massas[saldo_conta],"--",0,1)</f>
        <v>11975.42</v>
      </c>
      <c r="H1138" t="str">
        <f>_xlfn.XLOOKUP(TBL_USUARIOS[[#This Row],[ID_MASSA]],tbl_de_massas[id_massa],tbl_de_massas[nome_completo],"--",0,1)</f>
        <v>Renato Pinto Barbosa</v>
      </c>
    </row>
    <row r="1139" spans="1:8" x14ac:dyDescent="0.25">
      <c r="A1139" s="2" t="s">
        <v>4330</v>
      </c>
      <c r="B1139" t="str">
        <f>_xlfn.XLOOKUP(TBL_USUARIOS[[#This Row],[ID_MASSA]],tbl_de_massas[id_massa],tbl_de_massas[cpf],"--",0,1)</f>
        <v>03177015848</v>
      </c>
      <c r="C1139" t="s">
        <v>12</v>
      </c>
      <c r="D1139" t="str">
        <f>_xlfn.XLOOKUP(TBL_USUARIOS[[#This Row],[ID_MASSA]],tbl_de_massas[id_massa],tbl_de_massas[nome_completo],"--",0,1)</f>
        <v>Renata Castro Freitas</v>
      </c>
      <c r="E1139" t="str">
        <f>_xlfn.XLOOKUP(TBL_USUARIOS[[#This Row],[ID_MASSA]],tbl_de_massas[id_massa],tbl_de_massas[cartao_fisico_numero],"--",0,1)</f>
        <v/>
      </c>
      <c r="F1139" t="str">
        <f>_xlfn.XLOOKUP(TBL_USUARIOS[[#This Row],[ID_MASSA]],tbl_de_massas[id_massa],tbl_de_massas[nome_completo],"--",0,1)</f>
        <v>Renata Castro Freitas</v>
      </c>
      <c r="G1139" s="47">
        <f>_xlfn.XLOOKUP(TBL_USUARIOS[[#This Row],[ID_MASSA]],tbl_de_massas[id_massa],tbl_de_massas[saldo_conta],"--",0,1)</f>
        <v>12007.76</v>
      </c>
      <c r="H1139" t="str">
        <f>_xlfn.XLOOKUP(TBL_USUARIOS[[#This Row],[ID_MASSA]],tbl_de_massas[id_massa],tbl_de_massas[nome_completo],"--",0,1)</f>
        <v>Renata Castro Freitas</v>
      </c>
    </row>
    <row r="1140" spans="1:8" x14ac:dyDescent="0.25">
      <c r="A1140" s="2" t="s">
        <v>2160</v>
      </c>
      <c r="B1140" s="14" t="str">
        <f>_xlfn.XLOOKUP(TBL_USUARIOS[[#This Row],[ID_MASSA]],tbl_de_massas[id_massa],tbl_de_massas[cpf],"--",0,1)</f>
        <v>07154153601</v>
      </c>
      <c r="C1140" t="s">
        <v>12</v>
      </c>
      <c r="D1140" t="str">
        <f>_xlfn.XLOOKUP(TBL_USUARIOS[[#This Row],[ID_MASSA]],tbl_de_massas[id_massa],tbl_de_massas[nome_completo],"--",0,1)</f>
        <v>Goncalo Santos</v>
      </c>
      <c r="E1140" t="str">
        <f>_xlfn.XLOOKUP(TBL_USUARIOS[[#This Row],[ID_MASSA]],tbl_de_massas[id_massa],tbl_de_massas[cartao_fisico_numero],"--",0,1)</f>
        <v>6062 8200 9467 2268</v>
      </c>
      <c r="F1140" t="str">
        <f>_xlfn.XLOOKUP(TBL_USUARIOS[[#This Row],[ID_MASSA]],tbl_de_massas[id_massa],tbl_de_massas[nome_completo],"--",0,1)</f>
        <v>Goncalo Santos</v>
      </c>
      <c r="G1140" s="47">
        <f>_xlfn.XLOOKUP(TBL_USUARIOS[[#This Row],[ID_MASSA]],tbl_de_massas[id_massa],tbl_de_massas[saldo_conta],"--",0,1)</f>
        <v>12011.93</v>
      </c>
      <c r="H1140" t="str">
        <f>_xlfn.XLOOKUP(TBL_USUARIOS[[#This Row],[ID_MASSA]],tbl_de_massas[id_massa],tbl_de_massas[nome_completo],"--",0,1)</f>
        <v>Goncalo Santos</v>
      </c>
    </row>
    <row r="1141" spans="1:8" x14ac:dyDescent="0.25">
      <c r="A1141" s="2" t="s">
        <v>2508</v>
      </c>
      <c r="B1141" s="14" t="str">
        <f>_xlfn.XLOOKUP(TBL_USUARIOS[[#This Row],[ID_MASSA]],tbl_de_massas[id_massa],tbl_de_massas[cpf],"--",0,1)</f>
        <v>02840244063</v>
      </c>
      <c r="C1141" t="s">
        <v>12</v>
      </c>
      <c r="D1141" t="str">
        <f>_xlfn.XLOOKUP(TBL_USUARIOS[[#This Row],[ID_MASSA]],tbl_de_massas[id_massa],tbl_de_massas[nome_completo],"--",0,1)</f>
        <v>Wei Li</v>
      </c>
      <c r="E1141" t="str">
        <f>_xlfn.XLOOKUP(TBL_USUARIOS[[#This Row],[ID_MASSA]],tbl_de_massas[id_massa],tbl_de_massas[cartao_fisico_numero],"--",0,1)</f>
        <v>4576 7460 6093 5379</v>
      </c>
      <c r="F1141" t="str">
        <f>_xlfn.XLOOKUP(TBL_USUARIOS[[#This Row],[ID_MASSA]],tbl_de_massas[id_massa],tbl_de_massas[nome_completo],"--",0,1)</f>
        <v>Wei Li</v>
      </c>
      <c r="G1141" s="47">
        <f>_xlfn.XLOOKUP(TBL_USUARIOS[[#This Row],[ID_MASSA]],tbl_de_massas[id_massa],tbl_de_massas[saldo_conta],"--",0,1)</f>
        <v>11632.27</v>
      </c>
      <c r="H1141" t="str">
        <f>_xlfn.XLOOKUP(TBL_USUARIOS[[#This Row],[ID_MASSA]],tbl_de_massas[id_massa],tbl_de_massas[nome_completo],"--",0,1)</f>
        <v>Wei Li</v>
      </c>
    </row>
    <row r="1142" spans="1:8" x14ac:dyDescent="0.25">
      <c r="A1142" s="2" t="s">
        <v>6586</v>
      </c>
      <c r="B1142" t="str">
        <f>_xlfn.XLOOKUP(TBL_USUARIOS[[#This Row],[ID_MASSA]],tbl_de_massas[id_massa],tbl_de_massas[cpf],"--",0,1)</f>
        <v>20530844648</v>
      </c>
      <c r="C1142" t="s">
        <v>12</v>
      </c>
      <c r="D1142" t="str">
        <f>_xlfn.XLOOKUP(TBL_USUARIOS[[#This Row],[ID_MASSA]],tbl_de_massas[id_massa],tbl_de_massas[nome_completo],"--",0,1)</f>
        <v>Ming Huang</v>
      </c>
      <c r="E1142" t="str">
        <f>_xlfn.XLOOKUP(TBL_USUARIOS[[#This Row],[ID_MASSA]],tbl_de_massas[id_massa],tbl_de_massas[cartao_fisico_numero],"--",0,1)</f>
        <v>6062 8200 4793 9745</v>
      </c>
      <c r="F1142" t="str">
        <f>_xlfn.XLOOKUP(TBL_USUARIOS[[#This Row],[ID_MASSA]],tbl_de_massas[id_massa],tbl_de_massas[nome_completo],"--",0,1)</f>
        <v>Ming Huang</v>
      </c>
      <c r="G1142" s="47">
        <f>_xlfn.XLOOKUP(TBL_USUARIOS[[#This Row],[ID_MASSA]],tbl_de_massas[id_massa],tbl_de_massas[saldo_conta],"--",0,1)</f>
        <v>12060.58</v>
      </c>
      <c r="H1142" t="str">
        <f>_xlfn.XLOOKUP(TBL_USUARIOS[[#This Row],[ID_MASSA]],tbl_de_massas[id_massa],tbl_de_massas[nome_completo],"--",0,1)</f>
        <v>Ming Huang</v>
      </c>
    </row>
    <row r="1143" spans="1:8" x14ac:dyDescent="0.25">
      <c r="A1143" s="2" t="s">
        <v>3115</v>
      </c>
      <c r="B1143" t="str">
        <f>_xlfn.XLOOKUP(TBL_USUARIOS[[#This Row],[ID_MASSA]],tbl_de_massas[id_massa],tbl_de_massas[cpf],"--",0,1)</f>
        <v>75099245889</v>
      </c>
      <c r="C1143" t="s">
        <v>12</v>
      </c>
      <c r="D1143" t="str">
        <f>_xlfn.XLOOKUP(TBL_USUARIOS[[#This Row],[ID_MASSA]],tbl_de_massas[id_massa],tbl_de_massas[nome_completo],"--",0,1)</f>
        <v>Rodrigo Monteiro Araujo</v>
      </c>
      <c r="E1143" t="str">
        <f>_xlfn.XLOOKUP(TBL_USUARIOS[[#This Row],[ID_MASSA]],tbl_de_massas[id_massa],tbl_de_massas[cartao_fisico_numero],"--",0,1)</f>
        <v>3782 305854 4896</v>
      </c>
      <c r="F1143" t="str">
        <f>_xlfn.XLOOKUP(TBL_USUARIOS[[#This Row],[ID_MASSA]],tbl_de_massas[id_massa],tbl_de_massas[nome_completo],"--",0,1)</f>
        <v>Rodrigo Monteiro Araujo</v>
      </c>
      <c r="G1143" s="47">
        <f>_xlfn.XLOOKUP(TBL_USUARIOS[[#This Row],[ID_MASSA]],tbl_de_massas[id_massa],tbl_de_massas[saldo_conta],"--",0,1)</f>
        <v>12064.85</v>
      </c>
      <c r="H1143" t="str">
        <f>_xlfn.XLOOKUP(TBL_USUARIOS[[#This Row],[ID_MASSA]],tbl_de_massas[id_massa],tbl_de_massas[nome_completo],"--",0,1)</f>
        <v>Rodrigo Monteiro Araujo</v>
      </c>
    </row>
    <row r="1144" spans="1:8" x14ac:dyDescent="0.25">
      <c r="A1144" s="2" t="s">
        <v>3785</v>
      </c>
      <c r="B1144" t="str">
        <f>_xlfn.XLOOKUP(TBL_USUARIOS[[#This Row],[ID_MASSA]],tbl_de_massas[id_massa],tbl_de_massas[cpf],"--",0,1)</f>
        <v>50170102629</v>
      </c>
      <c r="C1144" t="s">
        <v>12</v>
      </c>
      <c r="D1144" t="str">
        <f>_xlfn.XLOOKUP(TBL_USUARIOS[[#This Row],[ID_MASSA]],tbl_de_massas[id_massa],tbl_de_massas[nome_completo],"--",0,1)</f>
        <v>Rodrigo Castro Teixeira</v>
      </c>
      <c r="E1144" t="str">
        <f>_xlfn.XLOOKUP(TBL_USUARIOS[[#This Row],[ID_MASSA]],tbl_de_massas[id_massa],tbl_de_massas[cartao_fisico_numero],"--",0,1)</f>
        <v>6062 8200 3337 0458</v>
      </c>
      <c r="F1144" t="str">
        <f>_xlfn.XLOOKUP(TBL_USUARIOS[[#This Row],[ID_MASSA]],tbl_de_massas[id_massa],tbl_de_massas[nome_completo],"--",0,1)</f>
        <v>Rodrigo Castro Teixeira</v>
      </c>
      <c r="G1144" s="47">
        <f>_xlfn.XLOOKUP(TBL_USUARIOS[[#This Row],[ID_MASSA]],tbl_de_massas[id_massa],tbl_de_massas[saldo_conta],"--",0,1)</f>
        <v>12090.58</v>
      </c>
      <c r="H1144" t="str">
        <f>_xlfn.XLOOKUP(TBL_USUARIOS[[#This Row],[ID_MASSA]],tbl_de_massas[id_massa],tbl_de_massas[nome_completo],"--",0,1)</f>
        <v>Rodrigo Castro Teixeira</v>
      </c>
    </row>
    <row r="1145" spans="1:8" x14ac:dyDescent="0.25">
      <c r="A1145" s="2" t="s">
        <v>4548</v>
      </c>
      <c r="B1145" t="str">
        <f>_xlfn.XLOOKUP(TBL_USUARIOS[[#This Row],[ID_MASSA]],tbl_de_massas[id_massa],tbl_de_massas[cpf],"--",0,1)</f>
        <v>51969856386</v>
      </c>
      <c r="C1145" t="s">
        <v>12</v>
      </c>
      <c r="D1145" t="str">
        <f>_xlfn.XLOOKUP(TBL_USUARIOS[[#This Row],[ID_MASSA]],tbl_de_massas[id_massa],tbl_de_massas[nome_completo],"--",0,1)</f>
        <v>Aline Carvalho Souza</v>
      </c>
      <c r="E1145" t="str">
        <f>_xlfn.XLOOKUP(TBL_USUARIOS[[#This Row],[ID_MASSA]],tbl_de_massas[id_massa],tbl_de_massas[cartao_fisico_numero],"--",0,1)</f>
        <v>6062 8200 5261 3847</v>
      </c>
      <c r="F1145" t="str">
        <f>_xlfn.XLOOKUP(TBL_USUARIOS[[#This Row],[ID_MASSA]],tbl_de_massas[id_massa],tbl_de_massas[nome_completo],"--",0,1)</f>
        <v>Aline Carvalho Souza</v>
      </c>
      <c r="G1145" s="47">
        <f>_xlfn.XLOOKUP(TBL_USUARIOS[[#This Row],[ID_MASSA]],tbl_de_massas[id_massa],tbl_de_massas[saldo_conta],"--",0,1)</f>
        <v>12099.2</v>
      </c>
      <c r="H1145" t="str">
        <f>_xlfn.XLOOKUP(TBL_USUARIOS[[#This Row],[ID_MASSA]],tbl_de_massas[id_massa],tbl_de_massas[nome_completo],"--",0,1)</f>
        <v>Aline Carvalho Souza</v>
      </c>
    </row>
    <row r="1146" spans="1:8" x14ac:dyDescent="0.25">
      <c r="A1146" s="2" t="s">
        <v>3469</v>
      </c>
      <c r="B1146" t="str">
        <f>_xlfn.XLOOKUP(TBL_USUARIOS[[#This Row],[ID_MASSA]],tbl_de_massas[id_massa],tbl_de_massas[cpf],"--",0,1)</f>
        <v>12202285245</v>
      </c>
      <c r="C1146" t="s">
        <v>12</v>
      </c>
      <c r="D1146" t="str">
        <f>_xlfn.XLOOKUP(TBL_USUARIOS[[#This Row],[ID_MASSA]],tbl_de_massas[id_massa],tbl_de_massas[nome_completo],"--",0,1)</f>
        <v>Tatiane Cardoso Rocha</v>
      </c>
      <c r="E1146" t="str">
        <f>_xlfn.XLOOKUP(TBL_USUARIOS[[#This Row],[ID_MASSA]],tbl_de_massas[id_massa],tbl_de_massas[cartao_fisico_numero],"--",0,1)</f>
        <v/>
      </c>
      <c r="F1146" t="str">
        <f>_xlfn.XLOOKUP(TBL_USUARIOS[[#This Row],[ID_MASSA]],tbl_de_massas[id_massa],tbl_de_massas[nome_completo],"--",0,1)</f>
        <v>Tatiane Cardoso Rocha</v>
      </c>
      <c r="G1146" s="47">
        <f>_xlfn.XLOOKUP(TBL_USUARIOS[[#This Row],[ID_MASSA]],tbl_de_massas[id_massa],tbl_de_massas[saldo_conta],"--",0,1)</f>
        <v>9227.2800000000007</v>
      </c>
      <c r="H1146" t="str">
        <f>_xlfn.XLOOKUP(TBL_USUARIOS[[#This Row],[ID_MASSA]],tbl_de_massas[id_massa],tbl_de_massas[nome_completo],"--",0,1)</f>
        <v>Tatiane Cardoso Rocha</v>
      </c>
    </row>
    <row r="1147" spans="1:8" x14ac:dyDescent="0.25">
      <c r="A1147" s="2" t="s">
        <v>5429</v>
      </c>
      <c r="B1147" t="str">
        <f>_xlfn.XLOOKUP(TBL_USUARIOS[[#This Row],[ID_MASSA]],tbl_de_massas[id_massa],tbl_de_massas[cpf],"--",0,1)</f>
        <v>51794481583</v>
      </c>
      <c r="C1147" t="s">
        <v>12</v>
      </c>
      <c r="D1147" t="str">
        <f>_xlfn.XLOOKUP(TBL_USUARIOS[[#This Row],[ID_MASSA]],tbl_de_massas[id_massa],tbl_de_massas[nome_completo],"--",0,1)</f>
        <v>Aline Alves</v>
      </c>
      <c r="E1147" t="str">
        <f>_xlfn.XLOOKUP(TBL_USUARIOS[[#This Row],[ID_MASSA]],tbl_de_massas[id_massa],tbl_de_massas[cartao_fisico_numero],"--",0,1)</f>
        <v>4576 7460 6628 8774</v>
      </c>
      <c r="F1147" t="str">
        <f>_xlfn.XLOOKUP(TBL_USUARIOS[[#This Row],[ID_MASSA]],tbl_de_massas[id_massa],tbl_de_massas[nome_completo],"--",0,1)</f>
        <v>Aline Alves</v>
      </c>
      <c r="G1147" s="47">
        <f>_xlfn.XLOOKUP(TBL_USUARIOS[[#This Row],[ID_MASSA]],tbl_de_massas[id_massa],tbl_de_massas[saldo_conta],"--",0,1)</f>
        <v>12107.42</v>
      </c>
      <c r="H1147" t="str">
        <f>_xlfn.XLOOKUP(TBL_USUARIOS[[#This Row],[ID_MASSA]],tbl_de_massas[id_massa],tbl_de_massas[nome_completo],"--",0,1)</f>
        <v>Aline Alves</v>
      </c>
    </row>
    <row r="1148" spans="1:8" x14ac:dyDescent="0.25">
      <c r="A1148" s="2" t="s">
        <v>3149</v>
      </c>
      <c r="B1148" t="str">
        <f>_xlfn.XLOOKUP(TBL_USUARIOS[[#This Row],[ID_MASSA]],tbl_de_massas[id_massa],tbl_de_massas[cpf],"--",0,1)</f>
        <v>28671001270</v>
      </c>
      <c r="C1148" t="s">
        <v>12</v>
      </c>
      <c r="D1148" t="str">
        <f>_xlfn.XLOOKUP(TBL_USUARIOS[[#This Row],[ID_MASSA]],tbl_de_massas[id_massa],tbl_de_massas[nome_completo],"--",0,1)</f>
        <v>Gustavo Almeida</v>
      </c>
      <c r="E1148" t="str">
        <f>_xlfn.XLOOKUP(TBL_USUARIOS[[#This Row],[ID_MASSA]],tbl_de_massas[id_massa],tbl_de_massas[cartao_fisico_numero],"--",0,1)</f>
        <v/>
      </c>
      <c r="F1148" t="str">
        <f>_xlfn.XLOOKUP(TBL_USUARIOS[[#This Row],[ID_MASSA]],tbl_de_massas[id_massa],tbl_de_massas[nome_completo],"--",0,1)</f>
        <v>Gustavo Almeida</v>
      </c>
      <c r="G1148" s="47">
        <f>_xlfn.XLOOKUP(TBL_USUARIOS[[#This Row],[ID_MASSA]],tbl_de_massas[id_massa],tbl_de_massas[saldo_conta],"--",0,1)</f>
        <v>11730.02</v>
      </c>
      <c r="H1148" t="str">
        <f>_xlfn.XLOOKUP(TBL_USUARIOS[[#This Row],[ID_MASSA]],tbl_de_massas[id_massa],tbl_de_massas[nome_completo],"--",0,1)</f>
        <v>Gustavo Almeida</v>
      </c>
    </row>
    <row r="1149" spans="1:8" x14ac:dyDescent="0.25">
      <c r="A1149" s="2" t="s">
        <v>6521</v>
      </c>
      <c r="B1149" t="str">
        <f>_xlfn.XLOOKUP(TBL_USUARIOS[[#This Row],[ID_MASSA]],tbl_de_massas[id_massa],tbl_de_massas[cpf],"--",0,1)</f>
        <v>45859095163</v>
      </c>
      <c r="C1149" t="s">
        <v>12</v>
      </c>
      <c r="D1149" t="str">
        <f>_xlfn.XLOOKUP(TBL_USUARIOS[[#This Row],[ID_MASSA]],tbl_de_massas[id_massa],tbl_de_massas[nome_completo],"--",0,1)</f>
        <v>Jian Luo Liu</v>
      </c>
      <c r="E1149" t="str">
        <f>_xlfn.XLOOKUP(TBL_USUARIOS[[#This Row],[ID_MASSA]],tbl_de_massas[id_massa],tbl_de_massas[cartao_fisico_numero],"--",0,1)</f>
        <v/>
      </c>
      <c r="F1149" t="str">
        <f>_xlfn.XLOOKUP(TBL_USUARIOS[[#This Row],[ID_MASSA]],tbl_de_massas[id_massa],tbl_de_massas[nome_completo],"--",0,1)</f>
        <v>Jian Luo Liu</v>
      </c>
      <c r="G1149" s="47">
        <f>_xlfn.XLOOKUP(TBL_USUARIOS[[#This Row],[ID_MASSA]],tbl_de_massas[id_massa],tbl_de_massas[saldo_conta],"--",0,1)</f>
        <v>10803.09</v>
      </c>
      <c r="H1149" t="str">
        <f>_xlfn.XLOOKUP(TBL_USUARIOS[[#This Row],[ID_MASSA]],tbl_de_massas[id_massa],tbl_de_massas[nome_completo],"--",0,1)</f>
        <v>Jian Luo Liu</v>
      </c>
    </row>
    <row r="1150" spans="1:8" x14ac:dyDescent="0.25">
      <c r="A1150" s="2" t="s">
        <v>4190</v>
      </c>
      <c r="B1150" t="str">
        <f>_xlfn.XLOOKUP(TBL_USUARIOS[[#This Row],[ID_MASSA]],tbl_de_massas[id_massa],tbl_de_massas[cpf],"--",0,1)</f>
        <v>53055961900</v>
      </c>
      <c r="C1150" t="s">
        <v>12</v>
      </c>
      <c r="D1150" t="str">
        <f>_xlfn.XLOOKUP(TBL_USUARIOS[[#This Row],[ID_MASSA]],tbl_de_massas[id_massa],tbl_de_massas[nome_completo],"--",0,1)</f>
        <v>Rodrigo Cardoso Moreira</v>
      </c>
      <c r="E1150" t="str">
        <f>_xlfn.XLOOKUP(TBL_USUARIOS[[#This Row],[ID_MASSA]],tbl_de_massas[id_massa],tbl_de_massas[cartao_fisico_numero],"--",0,1)</f>
        <v>6505 0666 4481 3053</v>
      </c>
      <c r="F1150" t="str">
        <f>_xlfn.XLOOKUP(TBL_USUARIOS[[#This Row],[ID_MASSA]],tbl_de_massas[id_massa],tbl_de_massas[nome_completo],"--",0,1)</f>
        <v>Rodrigo Cardoso Moreira</v>
      </c>
      <c r="G1150" s="47">
        <f>_xlfn.XLOOKUP(TBL_USUARIOS[[#This Row],[ID_MASSA]],tbl_de_massas[id_massa],tbl_de_massas[saldo_conta],"--",0,1)</f>
        <v>12132.57</v>
      </c>
      <c r="H1150" t="str">
        <f>_xlfn.XLOOKUP(TBL_USUARIOS[[#This Row],[ID_MASSA]],tbl_de_massas[id_massa],tbl_de_massas[nome_completo],"--",0,1)</f>
        <v>Rodrigo Cardoso Moreira</v>
      </c>
    </row>
    <row r="1151" spans="1:8" x14ac:dyDescent="0.25">
      <c r="A1151" s="2" t="s">
        <v>4753</v>
      </c>
      <c r="B1151" t="str">
        <f>_xlfn.XLOOKUP(TBL_USUARIOS[[#This Row],[ID_MASSA]],tbl_de_massas[id_massa],tbl_de_massas[cpf],"--",0,1)</f>
        <v>74776266920</v>
      </c>
      <c r="C1151" t="s">
        <v>12</v>
      </c>
      <c r="D1151" t="str">
        <f>_xlfn.XLOOKUP(TBL_USUARIOS[[#This Row],[ID_MASSA]],tbl_de_massas[id_massa],tbl_de_massas[nome_completo],"--",0,1)</f>
        <v>Aline Santos Nunes</v>
      </c>
      <c r="E1151" t="str">
        <f>_xlfn.XLOOKUP(TBL_USUARIOS[[#This Row],[ID_MASSA]],tbl_de_massas[id_massa],tbl_de_massas[cartao_fisico_numero],"--",0,1)</f>
        <v/>
      </c>
      <c r="F1151" t="str">
        <f>_xlfn.XLOOKUP(TBL_USUARIOS[[#This Row],[ID_MASSA]],tbl_de_massas[id_massa],tbl_de_massas[nome_completo],"--",0,1)</f>
        <v>Aline Santos Nunes</v>
      </c>
      <c r="G1151" s="47">
        <f>_xlfn.XLOOKUP(TBL_USUARIOS[[#This Row],[ID_MASSA]],tbl_de_massas[id_massa],tbl_de_massas[saldo_conta],"--",0,1)</f>
        <v>12149.16</v>
      </c>
      <c r="H1151" t="str">
        <f>_xlfn.XLOOKUP(TBL_USUARIOS[[#This Row],[ID_MASSA]],tbl_de_massas[id_massa],tbl_de_massas[nome_completo],"--",0,1)</f>
        <v>Aline Santos Nunes</v>
      </c>
    </row>
    <row r="1152" spans="1:8" x14ac:dyDescent="0.25">
      <c r="A1152" s="2" t="s">
        <v>2784</v>
      </c>
      <c r="B1152" t="str">
        <f>_xlfn.XLOOKUP(TBL_USUARIOS[[#This Row],[ID_MASSA]],tbl_de_massas[id_massa],tbl_de_massas[cpf],"--",0,1)</f>
        <v>40974315524</v>
      </c>
      <c r="C1152" t="s">
        <v>12</v>
      </c>
      <c r="D1152" t="str">
        <f>_xlfn.XLOOKUP(TBL_USUARIOS[[#This Row],[ID_MASSA]],tbl_de_massas[id_massa],tbl_de_massas[nome_completo],"--",0,1)</f>
        <v>Sabrina Nunes Cardoso</v>
      </c>
      <c r="E1152" t="str">
        <f>_xlfn.XLOOKUP(TBL_USUARIOS[[#This Row],[ID_MASSA]],tbl_de_massas[id_massa],tbl_de_massas[cartao_fisico_numero],"--",0,1)</f>
        <v>5442 7460 7064 0275</v>
      </c>
      <c r="F1152" t="str">
        <f>_xlfn.XLOOKUP(TBL_USUARIOS[[#This Row],[ID_MASSA]],tbl_de_massas[id_massa],tbl_de_massas[nome_completo],"--",0,1)</f>
        <v>Sabrina Nunes Cardoso</v>
      </c>
      <c r="G1152" s="47">
        <f>_xlfn.XLOOKUP(TBL_USUARIOS[[#This Row],[ID_MASSA]],tbl_de_massas[id_massa],tbl_de_massas[saldo_conta],"--",0,1)</f>
        <v>12157.24</v>
      </c>
      <c r="H1152" t="str">
        <f>_xlfn.XLOOKUP(TBL_USUARIOS[[#This Row],[ID_MASSA]],tbl_de_massas[id_massa],tbl_de_massas[nome_completo],"--",0,1)</f>
        <v>Sabrina Nunes Cardoso</v>
      </c>
    </row>
    <row r="1153" spans="1:8" x14ac:dyDescent="0.25">
      <c r="A1153" s="2" t="s">
        <v>4391</v>
      </c>
      <c r="B1153" t="str">
        <f>_xlfn.XLOOKUP(TBL_USUARIOS[[#This Row],[ID_MASSA]],tbl_de_massas[id_massa],tbl_de_massas[cpf],"--",0,1)</f>
        <v>61334016720</v>
      </c>
      <c r="C1153" t="s">
        <v>12</v>
      </c>
      <c r="D1153" t="str">
        <f>_xlfn.XLOOKUP(TBL_USUARIOS[[#This Row],[ID_MASSA]],tbl_de_massas[id_massa],tbl_de_massas[nome_completo],"--",0,1)</f>
        <v>Jessica Carvalho Lima</v>
      </c>
      <c r="E1153" t="str">
        <f>_xlfn.XLOOKUP(TBL_USUARIOS[[#This Row],[ID_MASSA]],tbl_de_massas[id_massa],tbl_de_massas[cartao_fisico_numero],"--",0,1)</f>
        <v/>
      </c>
      <c r="F1153" t="str">
        <f>_xlfn.XLOOKUP(TBL_USUARIOS[[#This Row],[ID_MASSA]],tbl_de_massas[id_massa],tbl_de_massas[nome_completo],"--",0,1)</f>
        <v>Jessica Carvalho Lima</v>
      </c>
      <c r="G1153" s="47">
        <f>_xlfn.XLOOKUP(TBL_USUARIOS[[#This Row],[ID_MASSA]],tbl_de_massas[id_massa],tbl_de_massas[saldo_conta],"--",0,1)</f>
        <v>12192.06</v>
      </c>
      <c r="H1153" t="str">
        <f>_xlfn.XLOOKUP(TBL_USUARIOS[[#This Row],[ID_MASSA]],tbl_de_massas[id_massa],tbl_de_massas[nome_completo],"--",0,1)</f>
        <v>Jessica Carvalho Lima</v>
      </c>
    </row>
    <row r="1154" spans="1:8" x14ac:dyDescent="0.25">
      <c r="A1154" s="2" t="s">
        <v>2481</v>
      </c>
      <c r="B1154" s="14" t="str">
        <f>_xlfn.XLOOKUP(TBL_USUARIOS[[#This Row],[ID_MASSA]],tbl_de_massas[id_massa],tbl_de_massas[cpf],"--",0,1)</f>
        <v>71113626917</v>
      </c>
      <c r="C1154" t="s">
        <v>12</v>
      </c>
      <c r="D1154" t="str">
        <f>_xlfn.XLOOKUP(TBL_USUARIOS[[#This Row],[ID_MASSA]],tbl_de_massas[id_massa],tbl_de_massas[nome_completo],"--",0,1)</f>
        <v>Jian Liu</v>
      </c>
      <c r="E1154" t="str">
        <f>_xlfn.XLOOKUP(TBL_USUARIOS[[#This Row],[ID_MASSA]],tbl_de_massas[id_massa],tbl_de_massas[cartao_fisico_numero],"--",0,1)</f>
        <v>4576 7460 1674 5339</v>
      </c>
      <c r="F1154" t="str">
        <f>_xlfn.XLOOKUP(TBL_USUARIOS[[#This Row],[ID_MASSA]],tbl_de_massas[id_massa],tbl_de_massas[nome_completo],"--",0,1)</f>
        <v>Jian Liu</v>
      </c>
      <c r="G1154" s="47">
        <f>_xlfn.XLOOKUP(TBL_USUARIOS[[#This Row],[ID_MASSA]],tbl_de_massas[id_massa],tbl_de_massas[saldo_conta],"--",0,1)</f>
        <v>8334.5300000000007</v>
      </c>
      <c r="H1154" t="str">
        <f>_xlfn.XLOOKUP(TBL_USUARIOS[[#This Row],[ID_MASSA]],tbl_de_massas[id_massa],tbl_de_massas[nome_completo],"--",0,1)</f>
        <v>Jian Liu</v>
      </c>
    </row>
    <row r="1155" spans="1:8" x14ac:dyDescent="0.25">
      <c r="A1155" s="2" t="s">
        <v>4478</v>
      </c>
      <c r="B1155" t="str">
        <f>_xlfn.XLOOKUP(TBL_USUARIOS[[#This Row],[ID_MASSA]],tbl_de_massas[id_massa],tbl_de_massas[cpf],"--",0,1)</f>
        <v>00751606413</v>
      </c>
      <c r="C1155" t="s">
        <v>12</v>
      </c>
      <c r="D1155" t="str">
        <f>_xlfn.XLOOKUP(TBL_USUARIOS[[#This Row],[ID_MASSA]],tbl_de_massas[id_massa],tbl_de_massas[nome_completo],"--",0,1)</f>
        <v>Leonardo Dias Carvalho</v>
      </c>
      <c r="E1155" t="str">
        <f>_xlfn.XLOOKUP(TBL_USUARIOS[[#This Row],[ID_MASSA]],tbl_de_massas[id_massa],tbl_de_massas[cartao_fisico_numero],"--",0,1)</f>
        <v>6062 8200 7186 0733</v>
      </c>
      <c r="F1155" t="str">
        <f>_xlfn.XLOOKUP(TBL_USUARIOS[[#This Row],[ID_MASSA]],tbl_de_massas[id_massa],tbl_de_massas[nome_completo],"--",0,1)</f>
        <v>Leonardo Dias Carvalho</v>
      </c>
      <c r="G1155" s="47">
        <f>_xlfn.XLOOKUP(TBL_USUARIOS[[#This Row],[ID_MASSA]],tbl_de_massas[id_massa],tbl_de_massas[saldo_conta],"--",0,1)</f>
        <v>12216.7</v>
      </c>
      <c r="H1155" t="str">
        <f>_xlfn.XLOOKUP(TBL_USUARIOS[[#This Row],[ID_MASSA]],tbl_de_massas[id_massa],tbl_de_massas[nome_completo],"--",0,1)</f>
        <v>Leonardo Dias Carvalho</v>
      </c>
    </row>
    <row r="1156" spans="1:8" x14ac:dyDescent="0.25">
      <c r="A1156" s="2" t="s">
        <v>2154</v>
      </c>
      <c r="B1156" s="14" t="str">
        <f>_xlfn.XLOOKUP(TBL_USUARIOS[[#This Row],[ID_MASSA]],tbl_de_massas[id_massa],tbl_de_massas[cpf],"--",0,1)</f>
        <v>77751515015</v>
      </c>
      <c r="C1156" t="s">
        <v>12</v>
      </c>
      <c r="D1156" t="str">
        <f>_xlfn.XLOOKUP(TBL_USUARIOS[[#This Row],[ID_MASSA]],tbl_de_massas[id_massa],tbl_de_massas[nome_completo],"--",0,1)</f>
        <v>Yan Yang</v>
      </c>
      <c r="E1156" t="str">
        <f>_xlfn.XLOOKUP(TBL_USUARIOS[[#This Row],[ID_MASSA]],tbl_de_massas[id_massa],tbl_de_massas[cartao_fisico_numero],"--",0,1)</f>
        <v>3782 111460 0263</v>
      </c>
      <c r="F1156" t="str">
        <f>_xlfn.XLOOKUP(TBL_USUARIOS[[#This Row],[ID_MASSA]],tbl_de_massas[id_massa],tbl_de_massas[nome_completo],"--",0,1)</f>
        <v>Yan Yang</v>
      </c>
      <c r="G1156" s="47">
        <f>_xlfn.XLOOKUP(TBL_USUARIOS[[#This Row],[ID_MASSA]],tbl_de_massas[id_massa],tbl_de_massas[saldo_conta],"--",0,1)</f>
        <v>12216.95</v>
      </c>
      <c r="H1156" t="str">
        <f>_xlfn.XLOOKUP(TBL_USUARIOS[[#This Row],[ID_MASSA]],tbl_de_massas[id_massa],tbl_de_massas[nome_completo],"--",0,1)</f>
        <v>Yan Yang</v>
      </c>
    </row>
    <row r="1157" spans="1:8" x14ac:dyDescent="0.25">
      <c r="A1157" s="2" t="s">
        <v>5030</v>
      </c>
      <c r="B1157" t="str">
        <f>_xlfn.XLOOKUP(TBL_USUARIOS[[#This Row],[ID_MASSA]],tbl_de_massas[id_massa],tbl_de_massas[cpf],"--",0,1)</f>
        <v>21787368238</v>
      </c>
      <c r="C1157" t="s">
        <v>12</v>
      </c>
      <c r="D1157" t="str">
        <f>_xlfn.XLOOKUP(TBL_USUARIOS[[#This Row],[ID_MASSA]],tbl_de_massas[id_massa],tbl_de_massas[nome_completo],"--",0,1)</f>
        <v>Fabio Pinto</v>
      </c>
      <c r="E1157" t="str">
        <f>_xlfn.XLOOKUP(TBL_USUARIOS[[#This Row],[ID_MASSA]],tbl_de_massas[id_massa],tbl_de_massas[cartao_fisico_numero],"--",0,1)</f>
        <v/>
      </c>
      <c r="F1157" t="str">
        <f>_xlfn.XLOOKUP(TBL_USUARIOS[[#This Row],[ID_MASSA]],tbl_de_massas[id_massa],tbl_de_massas[nome_completo],"--",0,1)</f>
        <v>Fabio Pinto</v>
      </c>
      <c r="G1157" s="47">
        <f>_xlfn.XLOOKUP(TBL_USUARIOS[[#This Row],[ID_MASSA]],tbl_de_massas[id_massa],tbl_de_massas[saldo_conta],"--",0,1)</f>
        <v>12225.73</v>
      </c>
      <c r="H1157" t="str">
        <f>_xlfn.XLOOKUP(TBL_USUARIOS[[#This Row],[ID_MASSA]],tbl_de_massas[id_massa],tbl_de_massas[nome_completo],"--",0,1)</f>
        <v>Fabio Pinto</v>
      </c>
    </row>
    <row r="1158" spans="1:8" x14ac:dyDescent="0.25">
      <c r="A1158" s="2" t="s">
        <v>5224</v>
      </c>
      <c r="B1158" t="str">
        <f>_xlfn.XLOOKUP(TBL_USUARIOS[[#This Row],[ID_MASSA]],tbl_de_massas[id_massa],tbl_de_massas[cpf],"--",0,1)</f>
        <v>48133676312</v>
      </c>
      <c r="C1158" t="s">
        <v>12</v>
      </c>
      <c r="D1158" t="str">
        <f>_xlfn.XLOOKUP(TBL_USUARIOS[[#This Row],[ID_MASSA]],tbl_de_massas[id_massa],tbl_de_massas[nome_completo],"--",0,1)</f>
        <v>Thiago Nascimento</v>
      </c>
      <c r="E1158" t="str">
        <f>_xlfn.XLOOKUP(TBL_USUARIOS[[#This Row],[ID_MASSA]],tbl_de_massas[id_massa],tbl_de_massas[cartao_fisico_numero],"--",0,1)</f>
        <v>4576 7460 4829 8332</v>
      </c>
      <c r="F1158" t="str">
        <f>_xlfn.XLOOKUP(TBL_USUARIOS[[#This Row],[ID_MASSA]],tbl_de_massas[id_massa],tbl_de_massas[nome_completo],"--",0,1)</f>
        <v>Thiago Nascimento</v>
      </c>
      <c r="G1158" s="47">
        <f>_xlfn.XLOOKUP(TBL_USUARIOS[[#This Row],[ID_MASSA]],tbl_de_massas[id_massa],tbl_de_massas[saldo_conta],"--",0,1)</f>
        <v>12258.07</v>
      </c>
      <c r="H1158" t="str">
        <f>_xlfn.XLOOKUP(TBL_USUARIOS[[#This Row],[ID_MASSA]],tbl_de_massas[id_massa],tbl_de_massas[nome_completo],"--",0,1)</f>
        <v>Thiago Nascimento</v>
      </c>
    </row>
    <row r="1159" spans="1:8" x14ac:dyDescent="0.25">
      <c r="A1159" s="2" t="s">
        <v>3408</v>
      </c>
      <c r="B1159" t="str">
        <f>_xlfn.XLOOKUP(TBL_USUARIOS[[#This Row],[ID_MASSA]],tbl_de_massas[id_massa],tbl_de_massas[cpf],"--",0,1)</f>
        <v>77615162432</v>
      </c>
      <c r="C1159" t="s">
        <v>12</v>
      </c>
      <c r="D1159" t="str">
        <f>_xlfn.XLOOKUP(TBL_USUARIOS[[#This Row],[ID_MASSA]],tbl_de_massas[id_massa],tbl_de_massas[nome_completo],"--",0,1)</f>
        <v>Vivian Santos</v>
      </c>
      <c r="E1159" t="str">
        <f>_xlfn.XLOOKUP(TBL_USUARIOS[[#This Row],[ID_MASSA]],tbl_de_massas[id_massa],tbl_de_massas[cartao_fisico_numero],"--",0,1)</f>
        <v/>
      </c>
      <c r="F1159" t="str">
        <f>_xlfn.XLOOKUP(TBL_USUARIOS[[#This Row],[ID_MASSA]],tbl_de_massas[id_massa],tbl_de_massas[nome_completo],"--",0,1)</f>
        <v>Vivian Santos</v>
      </c>
      <c r="G1159" s="47">
        <f>_xlfn.XLOOKUP(TBL_USUARIOS[[#This Row],[ID_MASSA]],tbl_de_massas[id_massa],tbl_de_massas[saldo_conta],"--",0,1)</f>
        <v>12278.91</v>
      </c>
      <c r="H1159" t="str">
        <f>_xlfn.XLOOKUP(TBL_USUARIOS[[#This Row],[ID_MASSA]],tbl_de_massas[id_massa],tbl_de_massas[nome_completo],"--",0,1)</f>
        <v>Vivian Santos</v>
      </c>
    </row>
    <row r="1160" spans="1:8" x14ac:dyDescent="0.25">
      <c r="A1160" s="2" t="s">
        <v>3962</v>
      </c>
      <c r="B1160" t="str">
        <f>_xlfn.XLOOKUP(TBL_USUARIOS[[#This Row],[ID_MASSA]],tbl_de_massas[id_massa],tbl_de_massas[cpf],"--",0,1)</f>
        <v>33441701046</v>
      </c>
      <c r="C1160" t="s">
        <v>12</v>
      </c>
      <c r="D1160" t="str">
        <f>_xlfn.XLOOKUP(TBL_USUARIOS[[#This Row],[ID_MASSA]],tbl_de_massas[id_massa],tbl_de_massas[nome_completo],"--",0,1)</f>
        <v>Rodrigo Araujo Rocha</v>
      </c>
      <c r="E1160" t="str">
        <f>_xlfn.XLOOKUP(TBL_USUARIOS[[#This Row],[ID_MASSA]],tbl_de_massas[id_massa],tbl_de_massas[cartao_fisico_numero],"--",0,1)</f>
        <v/>
      </c>
      <c r="F1160" t="str">
        <f>_xlfn.XLOOKUP(TBL_USUARIOS[[#This Row],[ID_MASSA]],tbl_de_massas[id_massa],tbl_de_massas[nome_completo],"--",0,1)</f>
        <v>Rodrigo Araujo Rocha</v>
      </c>
      <c r="G1160" s="47">
        <f>_xlfn.XLOOKUP(TBL_USUARIOS[[#This Row],[ID_MASSA]],tbl_de_massas[id_massa],tbl_de_massas[saldo_conta],"--",0,1)</f>
        <v>12300.54</v>
      </c>
      <c r="H1160" t="str">
        <f>_xlfn.XLOOKUP(TBL_USUARIOS[[#This Row],[ID_MASSA]],tbl_de_massas[id_massa],tbl_de_massas[nome_completo],"--",0,1)</f>
        <v>Rodrigo Araujo Rocha</v>
      </c>
    </row>
    <row r="1161" spans="1:8" x14ac:dyDescent="0.25">
      <c r="A1161" s="2" t="s">
        <v>6128</v>
      </c>
      <c r="B1161" t="str">
        <f>_xlfn.XLOOKUP(TBL_USUARIOS[[#This Row],[ID_MASSA]],tbl_de_massas[id_massa],tbl_de_massas[cpf],"--",0,1)</f>
        <v>21819628809</v>
      </c>
      <c r="C1161" t="s">
        <v>12</v>
      </c>
      <c r="D1161" t="str">
        <f>_xlfn.XLOOKUP(TBL_USUARIOS[[#This Row],[ID_MASSA]],tbl_de_massas[id_massa],tbl_de_massas[nome_completo],"--",0,1)</f>
        <v>Daiki Tanaka</v>
      </c>
      <c r="E1161" t="str">
        <f>_xlfn.XLOOKUP(TBL_USUARIOS[[#This Row],[ID_MASSA]],tbl_de_massas[id_massa],tbl_de_massas[cartao_fisico_numero],"--",0,1)</f>
        <v/>
      </c>
      <c r="F1161" t="str">
        <f>_xlfn.XLOOKUP(TBL_USUARIOS[[#This Row],[ID_MASSA]],tbl_de_massas[id_massa],tbl_de_massas[nome_completo],"--",0,1)</f>
        <v>Daiki Tanaka</v>
      </c>
      <c r="G1161" s="47">
        <f>_xlfn.XLOOKUP(TBL_USUARIOS[[#This Row],[ID_MASSA]],tbl_de_massas[id_massa],tbl_de_massas[saldo_conta],"--",0,1)</f>
        <v>12331.27</v>
      </c>
      <c r="H1161" t="str">
        <f>_xlfn.XLOOKUP(TBL_USUARIOS[[#This Row],[ID_MASSA]],tbl_de_massas[id_massa],tbl_de_massas[nome_completo],"--",0,1)</f>
        <v>Daiki Tanaka</v>
      </c>
    </row>
    <row r="1162" spans="1:8" x14ac:dyDescent="0.25">
      <c r="A1162" s="2" t="s">
        <v>3824</v>
      </c>
      <c r="B1162" t="str">
        <f>_xlfn.XLOOKUP(TBL_USUARIOS[[#This Row],[ID_MASSA]],tbl_de_massas[id_massa],tbl_de_massas[cpf],"--",0,1)</f>
        <v>86962672225</v>
      </c>
      <c r="C1162" t="s">
        <v>12</v>
      </c>
      <c r="D1162" t="str">
        <f>_xlfn.XLOOKUP(TBL_USUARIOS[[#This Row],[ID_MASSA]],tbl_de_massas[id_massa],tbl_de_massas[nome_completo],"--",0,1)</f>
        <v>Rafael Carvalho</v>
      </c>
      <c r="E1162" t="str">
        <f>_xlfn.XLOOKUP(TBL_USUARIOS[[#This Row],[ID_MASSA]],tbl_de_massas[id_massa],tbl_de_massas[cartao_fisico_numero],"--",0,1)</f>
        <v>4576 7460 8299 2692</v>
      </c>
      <c r="F1162" t="str">
        <f>_xlfn.XLOOKUP(TBL_USUARIOS[[#This Row],[ID_MASSA]],tbl_de_massas[id_massa],tbl_de_massas[nome_completo],"--",0,1)</f>
        <v>Rafael Carvalho</v>
      </c>
      <c r="G1162" s="47">
        <f>_xlfn.XLOOKUP(TBL_USUARIOS[[#This Row],[ID_MASSA]],tbl_de_massas[id_massa],tbl_de_massas[saldo_conta],"--",0,1)</f>
        <v>12339.89</v>
      </c>
      <c r="H1162" t="str">
        <f>_xlfn.XLOOKUP(TBL_USUARIOS[[#This Row],[ID_MASSA]],tbl_de_massas[id_massa],tbl_de_massas[nome_completo],"--",0,1)</f>
        <v>Rafael Carvalho</v>
      </c>
    </row>
    <row r="1163" spans="1:8" x14ac:dyDescent="0.25">
      <c r="A1163" s="2" t="s">
        <v>2136</v>
      </c>
      <c r="B1163" s="14" t="str">
        <f>_xlfn.XLOOKUP(TBL_USUARIOS[[#This Row],[ID_MASSA]],tbl_de_massas[id_massa],tbl_de_massas[cpf],"--",0,1)</f>
        <v>51742065392</v>
      </c>
      <c r="C1163" t="s">
        <v>12</v>
      </c>
      <c r="D1163" t="str">
        <f>_xlfn.XLOOKUP(TBL_USUARIOS[[#This Row],[ID_MASSA]],tbl_de_massas[id_massa],tbl_de_massas[nome_completo],"--",0,1)</f>
        <v>Taro Tanaka</v>
      </c>
      <c r="E1163" t="str">
        <f>_xlfn.XLOOKUP(TBL_USUARIOS[[#This Row],[ID_MASSA]],tbl_de_massas[id_massa],tbl_de_massas[cartao_fisico_numero],"--",0,1)</f>
        <v>4576 7460 9383 4990</v>
      </c>
      <c r="F1163" t="str">
        <f>_xlfn.XLOOKUP(TBL_USUARIOS[[#This Row],[ID_MASSA]],tbl_de_massas[id_massa],tbl_de_massas[nome_completo],"--",0,1)</f>
        <v>Taro Tanaka</v>
      </c>
      <c r="G1163" s="47">
        <f>_xlfn.XLOOKUP(TBL_USUARIOS[[#This Row],[ID_MASSA]],tbl_de_massas[id_massa],tbl_de_massas[saldo_conta],"--",0,1)</f>
        <v>8976.5499999999993</v>
      </c>
      <c r="H1163" t="str">
        <f>_xlfn.XLOOKUP(TBL_USUARIOS[[#This Row],[ID_MASSA]],tbl_de_massas[id_massa],tbl_de_massas[nome_completo],"--",0,1)</f>
        <v>Taro Tanaka</v>
      </c>
    </row>
    <row r="1164" spans="1:8" x14ac:dyDescent="0.25">
      <c r="A1164" s="2" t="s">
        <v>4830</v>
      </c>
      <c r="B1164" t="str">
        <f>_xlfn.XLOOKUP(TBL_USUARIOS[[#This Row],[ID_MASSA]],tbl_de_massas[id_massa],tbl_de_massas[cpf],"--",0,1)</f>
        <v>63804480128</v>
      </c>
      <c r="C1164" t="s">
        <v>12</v>
      </c>
      <c r="D1164" t="str">
        <f>_xlfn.XLOOKUP(TBL_USUARIOS[[#This Row],[ID_MASSA]],tbl_de_massas[id_massa],tbl_de_massas[nome_completo],"--",0,1)</f>
        <v>Beatriz Martins</v>
      </c>
      <c r="E1164" t="str">
        <f>_xlfn.XLOOKUP(TBL_USUARIOS[[#This Row],[ID_MASSA]],tbl_de_massas[id_massa],tbl_de_massas[cartao_fisico_numero],"--",0,1)</f>
        <v>4576 7460 1302 8600</v>
      </c>
      <c r="F1164" t="str">
        <f>_xlfn.XLOOKUP(TBL_USUARIOS[[#This Row],[ID_MASSA]],tbl_de_massas[id_massa],tbl_de_massas[nome_completo],"--",0,1)</f>
        <v>Beatriz Martins</v>
      </c>
      <c r="G1164" s="47">
        <f>_xlfn.XLOOKUP(TBL_USUARIOS[[#This Row],[ID_MASSA]],tbl_de_massas[id_massa],tbl_de_massas[saldo_conta],"--",0,1)</f>
        <v>12346.79</v>
      </c>
      <c r="H1164" t="str">
        <f>_xlfn.XLOOKUP(TBL_USUARIOS[[#This Row],[ID_MASSA]],tbl_de_massas[id_massa],tbl_de_massas[nome_completo],"--",0,1)</f>
        <v>Beatriz Martins</v>
      </c>
    </row>
    <row r="1165" spans="1:8" x14ac:dyDescent="0.25">
      <c r="A1165" s="2" t="s">
        <v>4174</v>
      </c>
      <c r="B1165" t="str">
        <f>_xlfn.XLOOKUP(TBL_USUARIOS[[#This Row],[ID_MASSA]],tbl_de_massas[id_massa],tbl_de_massas[cpf],"--",0,1)</f>
        <v>66008441400</v>
      </c>
      <c r="C1165" t="s">
        <v>12</v>
      </c>
      <c r="D1165" t="str">
        <f>_xlfn.XLOOKUP(TBL_USUARIOS[[#This Row],[ID_MASSA]],tbl_de_massas[id_massa],tbl_de_massas[nome_completo],"--",0,1)</f>
        <v>Leandro Martins Pereira</v>
      </c>
      <c r="E1165" t="str">
        <f>_xlfn.XLOOKUP(TBL_USUARIOS[[#This Row],[ID_MASSA]],tbl_de_massas[id_massa],tbl_de_massas[cartao_fisico_numero],"--",0,1)</f>
        <v/>
      </c>
      <c r="F1165" t="str">
        <f>_xlfn.XLOOKUP(TBL_USUARIOS[[#This Row],[ID_MASSA]],tbl_de_massas[id_massa],tbl_de_massas[nome_completo],"--",0,1)</f>
        <v>Leandro Martins Pereira</v>
      </c>
      <c r="G1165" s="47">
        <f>_xlfn.XLOOKUP(TBL_USUARIOS[[#This Row],[ID_MASSA]],tbl_de_massas[id_massa],tbl_de_massas[saldo_conta],"--",0,1)</f>
        <v>12348.98</v>
      </c>
      <c r="H1165" t="str">
        <f>_xlfn.XLOOKUP(TBL_USUARIOS[[#This Row],[ID_MASSA]],tbl_de_massas[id_massa],tbl_de_massas[nome_completo],"--",0,1)</f>
        <v>Leandro Martins Pereira</v>
      </c>
    </row>
    <row r="1166" spans="1:8" x14ac:dyDescent="0.25">
      <c r="A1166" s="2" t="s">
        <v>6310</v>
      </c>
      <c r="B1166" t="str">
        <f>_xlfn.XLOOKUP(TBL_USUARIOS[[#This Row],[ID_MASSA]],tbl_de_massas[id_massa],tbl_de_massas[cpf],"--",0,1)</f>
        <v>27881385120</v>
      </c>
      <c r="C1166" t="s">
        <v>12</v>
      </c>
      <c r="D1166" t="str">
        <f>_xlfn.XLOOKUP(TBL_USUARIOS[[#This Row],[ID_MASSA]],tbl_de_massas[id_massa],tbl_de_massas[nome_completo],"--",0,1)</f>
        <v>Henry Martinez</v>
      </c>
      <c r="E1166" t="str">
        <f>_xlfn.XLOOKUP(TBL_USUARIOS[[#This Row],[ID_MASSA]],tbl_de_massas[id_massa],tbl_de_massas[cartao_fisico_numero],"--",0,1)</f>
        <v/>
      </c>
      <c r="F1166" t="str">
        <f>_xlfn.XLOOKUP(TBL_USUARIOS[[#This Row],[ID_MASSA]],tbl_de_massas[id_massa],tbl_de_massas[nome_completo],"--",0,1)</f>
        <v>Henry Martinez</v>
      </c>
      <c r="G1166" s="47">
        <f>_xlfn.XLOOKUP(TBL_USUARIOS[[#This Row],[ID_MASSA]],tbl_de_massas[id_massa],tbl_de_massas[saldo_conta],"--",0,1)</f>
        <v>12351.1</v>
      </c>
      <c r="H1166" t="str">
        <f>_xlfn.XLOOKUP(TBL_USUARIOS[[#This Row],[ID_MASSA]],tbl_de_massas[id_massa],tbl_de_massas[nome_completo],"--",0,1)</f>
        <v>Henry Martinez</v>
      </c>
    </row>
    <row r="1167" spans="1:8" x14ac:dyDescent="0.25">
      <c r="A1167" s="2" t="s">
        <v>4648</v>
      </c>
      <c r="B1167" t="str">
        <f>_xlfn.XLOOKUP(TBL_USUARIOS[[#This Row],[ID_MASSA]],tbl_de_massas[id_massa],tbl_de_massas[cpf],"--",0,1)</f>
        <v>96112604400</v>
      </c>
      <c r="C1167" t="s">
        <v>12</v>
      </c>
      <c r="D1167" t="str">
        <f>_xlfn.XLOOKUP(TBL_USUARIOS[[#This Row],[ID_MASSA]],tbl_de_massas[id_massa],tbl_de_massas[nome_completo],"--",0,1)</f>
        <v>Thiago Ribeiro Nunes</v>
      </c>
      <c r="E1167" t="str">
        <f>_xlfn.XLOOKUP(TBL_USUARIOS[[#This Row],[ID_MASSA]],tbl_de_massas[id_massa],tbl_de_massas[cartao_fisico_numero],"--",0,1)</f>
        <v>4576 7460 9951 0475</v>
      </c>
      <c r="F1167" t="str">
        <f>_xlfn.XLOOKUP(TBL_USUARIOS[[#This Row],[ID_MASSA]],tbl_de_massas[id_massa],tbl_de_massas[nome_completo],"--",0,1)</f>
        <v>Thiago Ribeiro Nunes</v>
      </c>
      <c r="G1167" s="47">
        <f>_xlfn.XLOOKUP(TBL_USUARIOS[[#This Row],[ID_MASSA]],tbl_de_massas[id_massa],tbl_de_massas[saldo_conta],"--",0,1)</f>
        <v>12366.16</v>
      </c>
      <c r="H1167" t="str">
        <f>_xlfn.XLOOKUP(TBL_USUARIOS[[#This Row],[ID_MASSA]],tbl_de_massas[id_massa],tbl_de_massas[nome_completo],"--",0,1)</f>
        <v>Thiago Ribeiro Nunes</v>
      </c>
    </row>
    <row r="1168" spans="1:8" x14ac:dyDescent="0.25">
      <c r="A1168" s="2" t="s">
        <v>4842</v>
      </c>
      <c r="B1168" t="str">
        <f>_xlfn.XLOOKUP(TBL_USUARIOS[[#This Row],[ID_MASSA]],tbl_de_massas[id_massa],tbl_de_massas[cpf],"--",0,1)</f>
        <v>76876815501</v>
      </c>
      <c r="C1168" t="s">
        <v>12</v>
      </c>
      <c r="D1168" t="str">
        <f>_xlfn.XLOOKUP(TBL_USUARIOS[[#This Row],[ID_MASSA]],tbl_de_massas[id_massa],tbl_de_massas[nome_completo],"--",0,1)</f>
        <v>Amanda Campos</v>
      </c>
      <c r="E1168" t="str">
        <f>_xlfn.XLOOKUP(TBL_USUARIOS[[#This Row],[ID_MASSA]],tbl_de_massas[id_massa],tbl_de_massas[cartao_fisico_numero],"--",0,1)</f>
        <v>5442 7460 6557 2449</v>
      </c>
      <c r="F1168" t="str">
        <f>_xlfn.XLOOKUP(TBL_USUARIOS[[#This Row],[ID_MASSA]],tbl_de_massas[id_massa],tbl_de_massas[nome_completo],"--",0,1)</f>
        <v>Amanda Campos</v>
      </c>
      <c r="G1168" s="47">
        <f>_xlfn.XLOOKUP(TBL_USUARIOS[[#This Row],[ID_MASSA]],tbl_de_massas[id_massa],tbl_de_massas[saldo_conta],"--",0,1)</f>
        <v>12392.11</v>
      </c>
      <c r="H1168" t="str">
        <f>_xlfn.XLOOKUP(TBL_USUARIOS[[#This Row],[ID_MASSA]],tbl_de_massas[id_massa],tbl_de_massas[nome_completo],"--",0,1)</f>
        <v>Amanda Campos</v>
      </c>
    </row>
    <row r="1169" spans="1:8" x14ac:dyDescent="0.25">
      <c r="A1169" s="2" t="s">
        <v>3128</v>
      </c>
      <c r="B1169" t="str">
        <f>_xlfn.XLOOKUP(TBL_USUARIOS[[#This Row],[ID_MASSA]],tbl_de_massas[id_massa],tbl_de_massas[cpf],"--",0,1)</f>
        <v>50609919628</v>
      </c>
      <c r="C1169" t="s">
        <v>12</v>
      </c>
      <c r="D1169" t="str">
        <f>_xlfn.XLOOKUP(TBL_USUARIOS[[#This Row],[ID_MASSA]],tbl_de_massas[id_massa],tbl_de_massas[nome_completo],"--",0,1)</f>
        <v>Leticia Silva Nunes</v>
      </c>
      <c r="E1169" t="str">
        <f>_xlfn.XLOOKUP(TBL_USUARIOS[[#This Row],[ID_MASSA]],tbl_de_massas[id_massa],tbl_de_massas[cartao_fisico_numero],"--",0,1)</f>
        <v>3782 563556 7332</v>
      </c>
      <c r="F1169" t="str">
        <f>_xlfn.XLOOKUP(TBL_USUARIOS[[#This Row],[ID_MASSA]],tbl_de_massas[id_massa],tbl_de_massas[nome_completo],"--",0,1)</f>
        <v>Leticia Silva Nunes</v>
      </c>
      <c r="G1169" s="47">
        <f>_xlfn.XLOOKUP(TBL_USUARIOS[[#This Row],[ID_MASSA]],tbl_de_massas[id_massa],tbl_de_massas[saldo_conta],"--",0,1)</f>
        <v>12410.41</v>
      </c>
      <c r="H1169" t="str">
        <f>_xlfn.XLOOKUP(TBL_USUARIOS[[#This Row],[ID_MASSA]],tbl_de_massas[id_massa],tbl_de_massas[nome_completo],"--",0,1)</f>
        <v>Leticia Silva Nunes</v>
      </c>
    </row>
    <row r="1170" spans="1:8" x14ac:dyDescent="0.25">
      <c r="A1170" s="2" t="s">
        <v>5424</v>
      </c>
      <c r="B1170" t="str">
        <f>_xlfn.XLOOKUP(TBL_USUARIOS[[#This Row],[ID_MASSA]],tbl_de_massas[id_massa],tbl_de_massas[cpf],"--",0,1)</f>
        <v>03473947440</v>
      </c>
      <c r="C1170" t="s">
        <v>12</v>
      </c>
      <c r="D1170" t="str">
        <f>_xlfn.XLOOKUP(TBL_USUARIOS[[#This Row],[ID_MASSA]],tbl_de_massas[id_massa],tbl_de_massas[nome_completo],"--",0,1)</f>
        <v>Mariana Carvalho</v>
      </c>
      <c r="E1170" t="str">
        <f>_xlfn.XLOOKUP(TBL_USUARIOS[[#This Row],[ID_MASSA]],tbl_de_massas[id_massa],tbl_de_massas[cartao_fisico_numero],"--",0,1)</f>
        <v>4576 7460 8051 8360</v>
      </c>
      <c r="F1170" t="str">
        <f>_xlfn.XLOOKUP(TBL_USUARIOS[[#This Row],[ID_MASSA]],tbl_de_massas[id_massa],tbl_de_massas[nome_completo],"--",0,1)</f>
        <v>Mariana Carvalho</v>
      </c>
      <c r="G1170" s="47">
        <f>_xlfn.XLOOKUP(TBL_USUARIOS[[#This Row],[ID_MASSA]],tbl_de_massas[id_massa],tbl_de_massas[saldo_conta],"--",0,1)</f>
        <v>12428.91</v>
      </c>
      <c r="H1170" t="str">
        <f>_xlfn.XLOOKUP(TBL_USUARIOS[[#This Row],[ID_MASSA]],tbl_de_massas[id_massa],tbl_de_massas[nome_completo],"--",0,1)</f>
        <v>Mariana Carvalho</v>
      </c>
    </row>
    <row r="1171" spans="1:8" x14ac:dyDescent="0.25">
      <c r="A1171" s="2" t="s">
        <v>2317</v>
      </c>
      <c r="B1171" s="14" t="str">
        <f>_xlfn.XLOOKUP(TBL_USUARIOS[[#This Row],[ID_MASSA]],tbl_de_massas[id_massa],tbl_de_massas[cpf],"--",0,1)</f>
        <v>75775457404</v>
      </c>
      <c r="C1171" t="s">
        <v>12</v>
      </c>
      <c r="D1171" t="str">
        <f>_xlfn.XLOOKUP(TBL_USUARIOS[[#This Row],[ID_MASSA]],tbl_de_massas[id_massa],tbl_de_massas[nome_completo],"--",0,1)</f>
        <v>Isabela Rocha Carvalho</v>
      </c>
      <c r="E1171" t="str">
        <f>_xlfn.XLOOKUP(TBL_USUARIOS[[#This Row],[ID_MASSA]],tbl_de_massas[id_massa],tbl_de_massas[cartao_fisico_numero],"--",0,1)</f>
        <v>5442 7460 5652 9579</v>
      </c>
      <c r="F1171" t="str">
        <f>_xlfn.XLOOKUP(TBL_USUARIOS[[#This Row],[ID_MASSA]],tbl_de_massas[id_massa],tbl_de_massas[nome_completo],"--",0,1)</f>
        <v>Isabela Rocha Carvalho</v>
      </c>
      <c r="G1171" s="47">
        <f>_xlfn.XLOOKUP(TBL_USUARIOS[[#This Row],[ID_MASSA]],tbl_de_massas[id_massa],tbl_de_massas[saldo_conta],"--",0,1)</f>
        <v>11935.89</v>
      </c>
      <c r="H1171" t="str">
        <f>_xlfn.XLOOKUP(TBL_USUARIOS[[#This Row],[ID_MASSA]],tbl_de_massas[id_massa],tbl_de_massas[nome_completo],"--",0,1)</f>
        <v>Isabela Rocha Carvalho</v>
      </c>
    </row>
    <row r="1172" spans="1:8" x14ac:dyDescent="0.25">
      <c r="A1172" s="2" t="s">
        <v>4955</v>
      </c>
      <c r="B1172" t="str">
        <f>_xlfn.XLOOKUP(TBL_USUARIOS[[#This Row],[ID_MASSA]],tbl_de_massas[id_massa],tbl_de_massas[cpf],"--",0,1)</f>
        <v>35401696523</v>
      </c>
      <c r="C1172" t="s">
        <v>12</v>
      </c>
      <c r="D1172" t="str">
        <f>_xlfn.XLOOKUP(TBL_USUARIOS[[#This Row],[ID_MASSA]],tbl_de_massas[id_massa],tbl_de_massas[nome_completo],"--",0,1)</f>
        <v>Caio Ribeiro Santos</v>
      </c>
      <c r="E1172" t="str">
        <f>_xlfn.XLOOKUP(TBL_USUARIOS[[#This Row],[ID_MASSA]],tbl_de_massas[id_massa],tbl_de_massas[cartao_fisico_numero],"--",0,1)</f>
        <v/>
      </c>
      <c r="F1172" t="str">
        <f>_xlfn.XLOOKUP(TBL_USUARIOS[[#This Row],[ID_MASSA]],tbl_de_massas[id_massa],tbl_de_massas[nome_completo],"--",0,1)</f>
        <v>Caio Ribeiro Santos</v>
      </c>
      <c r="G1172" s="47">
        <f>_xlfn.XLOOKUP(TBL_USUARIOS[[#This Row],[ID_MASSA]],tbl_de_massas[id_massa],tbl_de_massas[saldo_conta],"--",0,1)</f>
        <v>12443.15</v>
      </c>
      <c r="H1172" t="str">
        <f>_xlfn.XLOOKUP(TBL_USUARIOS[[#This Row],[ID_MASSA]],tbl_de_massas[id_massa],tbl_de_massas[nome_completo],"--",0,1)</f>
        <v>Caio Ribeiro Santos</v>
      </c>
    </row>
    <row r="1173" spans="1:8" x14ac:dyDescent="0.25">
      <c r="A1173" s="2" t="s">
        <v>2591</v>
      </c>
      <c r="B1173" s="14" t="str">
        <f>_xlfn.XLOOKUP(TBL_USUARIOS[[#This Row],[ID_MASSA]],tbl_de_massas[id_massa],tbl_de_massas[cpf],"--",0,1)</f>
        <v>70272563633</v>
      </c>
      <c r="C1173" t="s">
        <v>12</v>
      </c>
      <c r="D1173" t="str">
        <f>_xlfn.XLOOKUP(TBL_USUARIOS[[#This Row],[ID_MASSA]],tbl_de_massas[id_massa],tbl_de_massas[nome_completo],"--",0,1)</f>
        <v>Jiwoo Paruik</v>
      </c>
      <c r="E1173" t="str">
        <f>_xlfn.XLOOKUP(TBL_USUARIOS[[#This Row],[ID_MASSA]],tbl_de_massas[id_massa],tbl_de_massas[cartao_fisico_numero],"--",0,1)</f>
        <v>3782 325188 2065</v>
      </c>
      <c r="F1173" t="str">
        <f>_xlfn.XLOOKUP(TBL_USUARIOS[[#This Row],[ID_MASSA]],tbl_de_massas[id_massa],tbl_de_massas[nome_completo],"--",0,1)</f>
        <v>Jiwoo Paruik</v>
      </c>
      <c r="G1173" s="47">
        <f>_xlfn.XLOOKUP(TBL_USUARIOS[[#This Row],[ID_MASSA]],tbl_de_massas[id_massa],tbl_de_massas[saldo_conta],"--",0,1)</f>
        <v>12452.52</v>
      </c>
      <c r="H1173" t="str">
        <f>_xlfn.XLOOKUP(TBL_USUARIOS[[#This Row],[ID_MASSA]],tbl_de_massas[id_massa],tbl_de_massas[nome_completo],"--",0,1)</f>
        <v>Jiwoo Paruik</v>
      </c>
    </row>
    <row r="1174" spans="1:8" x14ac:dyDescent="0.25">
      <c r="A1174" s="2" t="s">
        <v>5523</v>
      </c>
      <c r="B1174" t="str">
        <f>_xlfn.XLOOKUP(TBL_USUARIOS[[#This Row],[ID_MASSA]],tbl_de_massas[id_massa],tbl_de_massas[cpf],"--",0,1)</f>
        <v>97212546739</v>
      </c>
      <c r="C1174" t="s">
        <v>12</v>
      </c>
      <c r="D1174" t="str">
        <f>_xlfn.XLOOKUP(TBL_USUARIOS[[#This Row],[ID_MASSA]],tbl_de_massas[id_massa],tbl_de_massas[nome_completo],"--",0,1)</f>
        <v>Eduardo Nascimento</v>
      </c>
      <c r="E1174" t="str">
        <f>_xlfn.XLOOKUP(TBL_USUARIOS[[#This Row],[ID_MASSA]],tbl_de_massas[id_massa],tbl_de_massas[cartao_fisico_numero],"--",0,1)</f>
        <v/>
      </c>
      <c r="F1174" t="str">
        <f>_xlfn.XLOOKUP(TBL_USUARIOS[[#This Row],[ID_MASSA]],tbl_de_massas[id_massa],tbl_de_massas[nome_completo],"--",0,1)</f>
        <v>Eduardo Nascimento</v>
      </c>
      <c r="G1174" s="47">
        <f>_xlfn.XLOOKUP(TBL_USUARIOS[[#This Row],[ID_MASSA]],tbl_de_massas[id_massa],tbl_de_massas[saldo_conta],"--",0,1)</f>
        <v>12458.53</v>
      </c>
      <c r="H1174" t="str">
        <f>_xlfn.XLOOKUP(TBL_USUARIOS[[#This Row],[ID_MASSA]],tbl_de_massas[id_massa],tbl_de_massas[nome_completo],"--",0,1)</f>
        <v>Eduardo Nascimento</v>
      </c>
    </row>
    <row r="1175" spans="1:8" x14ac:dyDescent="0.25">
      <c r="A1175" s="2" t="s">
        <v>5412</v>
      </c>
      <c r="B1175" t="str">
        <f>_xlfn.XLOOKUP(TBL_USUARIOS[[#This Row],[ID_MASSA]],tbl_de_massas[id_massa],tbl_de_massas[cpf],"--",0,1)</f>
        <v>44178581104</v>
      </c>
      <c r="C1175" t="s">
        <v>12</v>
      </c>
      <c r="D1175" t="str">
        <f>_xlfn.XLOOKUP(TBL_USUARIOS[[#This Row],[ID_MASSA]],tbl_de_massas[id_massa],tbl_de_massas[nome_completo],"--",0,1)</f>
        <v>Sabrina Santos</v>
      </c>
      <c r="E1175" t="str">
        <f>_xlfn.XLOOKUP(TBL_USUARIOS[[#This Row],[ID_MASSA]],tbl_de_massas[id_massa],tbl_de_massas[cartao_fisico_numero],"--",0,1)</f>
        <v>6062 8200 9383 9094</v>
      </c>
      <c r="F1175" t="str">
        <f>_xlfn.XLOOKUP(TBL_USUARIOS[[#This Row],[ID_MASSA]],tbl_de_massas[id_massa],tbl_de_massas[nome_completo],"--",0,1)</f>
        <v>Sabrina Santos</v>
      </c>
      <c r="G1175" s="47">
        <f>_xlfn.XLOOKUP(TBL_USUARIOS[[#This Row],[ID_MASSA]],tbl_de_massas[id_massa],tbl_de_massas[saldo_conta],"--",0,1)</f>
        <v>12469.72</v>
      </c>
      <c r="H1175" t="str">
        <f>_xlfn.XLOOKUP(TBL_USUARIOS[[#This Row],[ID_MASSA]],tbl_de_massas[id_massa],tbl_de_massas[nome_completo],"--",0,1)</f>
        <v>Sabrina Santos</v>
      </c>
    </row>
    <row r="1176" spans="1:8" x14ac:dyDescent="0.25">
      <c r="A1176" s="2" t="s">
        <v>3140</v>
      </c>
      <c r="B1176" t="str">
        <f>_xlfn.XLOOKUP(TBL_USUARIOS[[#This Row],[ID_MASSA]],tbl_de_massas[id_massa],tbl_de_massas[cpf],"--",0,1)</f>
        <v>82892350115</v>
      </c>
      <c r="C1176" t="s">
        <v>12</v>
      </c>
      <c r="D1176" t="str">
        <f>_xlfn.XLOOKUP(TBL_USUARIOS[[#This Row],[ID_MASSA]],tbl_de_massas[id_massa],tbl_de_massas[nome_completo],"--",0,1)</f>
        <v>Bruno Barbosa Santos</v>
      </c>
      <c r="E1176" t="str">
        <f>_xlfn.XLOOKUP(TBL_USUARIOS[[#This Row],[ID_MASSA]],tbl_de_massas[id_massa],tbl_de_massas[cartao_fisico_numero],"--",0,1)</f>
        <v/>
      </c>
      <c r="F1176" t="str">
        <f>_xlfn.XLOOKUP(TBL_USUARIOS[[#This Row],[ID_MASSA]],tbl_de_massas[id_massa],tbl_de_massas[nome_completo],"--",0,1)</f>
        <v>Bruno Barbosa Santos</v>
      </c>
      <c r="G1176" s="47">
        <f>_xlfn.XLOOKUP(TBL_USUARIOS[[#This Row],[ID_MASSA]],tbl_de_massas[id_massa],tbl_de_massas[saldo_conta],"--",0,1)</f>
        <v>12497.3</v>
      </c>
      <c r="H1176" t="str">
        <f>_xlfn.XLOOKUP(TBL_USUARIOS[[#This Row],[ID_MASSA]],tbl_de_massas[id_massa],tbl_de_massas[nome_completo],"--",0,1)</f>
        <v>Bruno Barbosa Santos</v>
      </c>
    </row>
    <row r="1177" spans="1:8" x14ac:dyDescent="0.25">
      <c r="A1177" s="2" t="s">
        <v>3171</v>
      </c>
      <c r="B1177" t="str">
        <f>_xlfn.XLOOKUP(TBL_USUARIOS[[#This Row],[ID_MASSA]],tbl_de_massas[id_massa],tbl_de_massas[cpf],"--",0,1)</f>
        <v>58770360090</v>
      </c>
      <c r="C1177" t="s">
        <v>12</v>
      </c>
      <c r="D1177" t="str">
        <f>_xlfn.XLOOKUP(TBL_USUARIOS[[#This Row],[ID_MASSA]],tbl_de_massas[id_massa],tbl_de_massas[nome_completo],"--",0,1)</f>
        <v>Larissa Gomes Alves</v>
      </c>
      <c r="E1177" t="str">
        <f>_xlfn.XLOOKUP(TBL_USUARIOS[[#This Row],[ID_MASSA]],tbl_de_massas[id_massa],tbl_de_massas[cartao_fisico_numero],"--",0,1)</f>
        <v>3782 146272 8012</v>
      </c>
      <c r="F1177" t="str">
        <f>_xlfn.XLOOKUP(TBL_USUARIOS[[#This Row],[ID_MASSA]],tbl_de_massas[id_massa],tbl_de_massas[nome_completo],"--",0,1)</f>
        <v>Larissa Gomes Alves</v>
      </c>
      <c r="G1177" s="47">
        <f>_xlfn.XLOOKUP(TBL_USUARIOS[[#This Row],[ID_MASSA]],tbl_de_massas[id_massa],tbl_de_massas[saldo_conta],"--",0,1)</f>
        <v>12499.33</v>
      </c>
      <c r="H1177" t="str">
        <f>_xlfn.XLOOKUP(TBL_USUARIOS[[#This Row],[ID_MASSA]],tbl_de_massas[id_massa],tbl_de_massas[nome_completo],"--",0,1)</f>
        <v>Larissa Gomes Alves</v>
      </c>
    </row>
    <row r="1178" spans="1:8" x14ac:dyDescent="0.25">
      <c r="A1178" s="2" t="s">
        <v>4557</v>
      </c>
      <c r="B1178" t="str">
        <f>_xlfn.XLOOKUP(TBL_USUARIOS[[#This Row],[ID_MASSA]],tbl_de_massas[id_massa],tbl_de_massas[cpf],"--",0,1)</f>
        <v>43490440358</v>
      </c>
      <c r="C1178" t="s">
        <v>12</v>
      </c>
      <c r="D1178" t="str">
        <f>_xlfn.XLOOKUP(TBL_USUARIOS[[#This Row],[ID_MASSA]],tbl_de_massas[id_massa],tbl_de_massas[nome_completo],"--",0,1)</f>
        <v>Vinicius Nunes</v>
      </c>
      <c r="E1178" t="str">
        <f>_xlfn.XLOOKUP(TBL_USUARIOS[[#This Row],[ID_MASSA]],tbl_de_massas[id_massa],tbl_de_massas[cartao_fisico_numero],"--",0,1)</f>
        <v>3782 886626 3952</v>
      </c>
      <c r="F1178" t="str">
        <f>_xlfn.XLOOKUP(TBL_USUARIOS[[#This Row],[ID_MASSA]],tbl_de_massas[id_massa],tbl_de_massas[nome_completo],"--",0,1)</f>
        <v>Vinicius Nunes</v>
      </c>
      <c r="G1178" s="47">
        <f>_xlfn.XLOOKUP(TBL_USUARIOS[[#This Row],[ID_MASSA]],tbl_de_massas[id_massa],tbl_de_massas[saldo_conta],"--",0,1)</f>
        <v>12505.27</v>
      </c>
      <c r="H1178" t="str">
        <f>_xlfn.XLOOKUP(TBL_USUARIOS[[#This Row],[ID_MASSA]],tbl_de_massas[id_massa],tbl_de_massas[nome_completo],"--",0,1)</f>
        <v>Vinicius Nunes</v>
      </c>
    </row>
    <row r="1179" spans="1:8" x14ac:dyDescent="0.25">
      <c r="A1179" s="2" t="s">
        <v>4418</v>
      </c>
      <c r="B1179" t="str">
        <f>_xlfn.XLOOKUP(TBL_USUARIOS[[#This Row],[ID_MASSA]],tbl_de_massas[id_massa],tbl_de_massas[cpf],"--",0,1)</f>
        <v>04705395859</v>
      </c>
      <c r="C1179" t="s">
        <v>12</v>
      </c>
      <c r="D1179" t="str">
        <f>_xlfn.XLOOKUP(TBL_USUARIOS[[#This Row],[ID_MASSA]],tbl_de_massas[id_massa],tbl_de_massas[nome_completo],"--",0,1)</f>
        <v>Priscila Pinto Castro</v>
      </c>
      <c r="E1179" t="str">
        <f>_xlfn.XLOOKUP(TBL_USUARIOS[[#This Row],[ID_MASSA]],tbl_de_massas[id_massa],tbl_de_massas[cartao_fisico_numero],"--",0,1)</f>
        <v/>
      </c>
      <c r="F1179" t="str">
        <f>_xlfn.XLOOKUP(TBL_USUARIOS[[#This Row],[ID_MASSA]],tbl_de_massas[id_massa],tbl_de_massas[nome_completo],"--",0,1)</f>
        <v>Priscila Pinto Castro</v>
      </c>
      <c r="G1179" s="47">
        <f>_xlfn.XLOOKUP(TBL_USUARIOS[[#This Row],[ID_MASSA]],tbl_de_massas[id_massa],tbl_de_massas[saldo_conta],"--",0,1)</f>
        <v>12508.29</v>
      </c>
      <c r="H1179" t="str">
        <f>_xlfn.XLOOKUP(TBL_USUARIOS[[#This Row],[ID_MASSA]],tbl_de_massas[id_massa],tbl_de_massas[nome_completo],"--",0,1)</f>
        <v>Priscila Pinto Castro</v>
      </c>
    </row>
    <row r="1180" spans="1:8" x14ac:dyDescent="0.25">
      <c r="A1180" s="2" t="s">
        <v>2161</v>
      </c>
      <c r="B1180" s="14" t="str">
        <f>_xlfn.XLOOKUP(TBL_USUARIOS[[#This Row],[ID_MASSA]],tbl_de_massas[id_massa],tbl_de_massas[cpf],"--",0,1)</f>
        <v>08025476561</v>
      </c>
      <c r="C1180" t="s">
        <v>12</v>
      </c>
      <c r="D1180" t="str">
        <f>_xlfn.XLOOKUP(TBL_USUARIOS[[#This Row],[ID_MASSA]],tbl_de_massas[id_massa],tbl_de_massas[nome_completo],"--",0,1)</f>
        <v>Seoyun Lee</v>
      </c>
      <c r="E1180" t="str">
        <f>_xlfn.XLOOKUP(TBL_USUARIOS[[#This Row],[ID_MASSA]],tbl_de_massas[id_massa],tbl_de_massas[cartao_fisico_numero],"--",0,1)</f>
        <v>3782 532467 8360</v>
      </c>
      <c r="F1180" t="str">
        <f>_xlfn.XLOOKUP(TBL_USUARIOS[[#This Row],[ID_MASSA]],tbl_de_massas[id_massa],tbl_de_massas[nome_completo],"--",0,1)</f>
        <v>Seoyun Lee</v>
      </c>
      <c r="G1180" s="47">
        <f>_xlfn.XLOOKUP(TBL_USUARIOS[[#This Row],[ID_MASSA]],tbl_de_massas[id_massa],tbl_de_massas[saldo_conta],"--",0,1)</f>
        <v>8195.49</v>
      </c>
      <c r="H1180" t="str">
        <f>_xlfn.XLOOKUP(TBL_USUARIOS[[#This Row],[ID_MASSA]],tbl_de_massas[id_massa],tbl_de_massas[nome_completo],"--",0,1)</f>
        <v>Seoyun Lee</v>
      </c>
    </row>
    <row r="1181" spans="1:8" x14ac:dyDescent="0.25">
      <c r="A1181" s="2" t="s">
        <v>5066</v>
      </c>
      <c r="B1181" t="str">
        <f>_xlfn.XLOOKUP(TBL_USUARIOS[[#This Row],[ID_MASSA]],tbl_de_massas[id_massa],tbl_de_massas[cpf],"--",0,1)</f>
        <v>07668999000</v>
      </c>
      <c r="C1181" t="s">
        <v>12</v>
      </c>
      <c r="D1181" t="str">
        <f>_xlfn.XLOOKUP(TBL_USUARIOS[[#This Row],[ID_MASSA]],tbl_de_massas[id_massa],tbl_de_massas[nome_completo],"--",0,1)</f>
        <v>Larissa Martins Santos</v>
      </c>
      <c r="E1181" t="str">
        <f>_xlfn.XLOOKUP(TBL_USUARIOS[[#This Row],[ID_MASSA]],tbl_de_massas[id_massa],tbl_de_massas[cartao_fisico_numero],"--",0,1)</f>
        <v>5442 7460 7330 0854</v>
      </c>
      <c r="F1181" t="str">
        <f>_xlfn.XLOOKUP(TBL_USUARIOS[[#This Row],[ID_MASSA]],tbl_de_massas[id_massa],tbl_de_massas[nome_completo],"--",0,1)</f>
        <v>Larissa Martins Santos</v>
      </c>
      <c r="G1181" s="47">
        <f>_xlfn.XLOOKUP(TBL_USUARIOS[[#This Row],[ID_MASSA]],tbl_de_massas[id_massa],tbl_de_massas[saldo_conta],"--",0,1)</f>
        <v>12540.94</v>
      </c>
      <c r="H1181" t="str">
        <f>_xlfn.XLOOKUP(TBL_USUARIOS[[#This Row],[ID_MASSA]],tbl_de_massas[id_massa],tbl_de_massas[nome_completo],"--",0,1)</f>
        <v>Larissa Martins Santos</v>
      </c>
    </row>
    <row r="1182" spans="1:8" x14ac:dyDescent="0.25">
      <c r="A1182" s="2" t="s">
        <v>6145</v>
      </c>
      <c r="B1182" t="str">
        <f>_xlfn.XLOOKUP(TBL_USUARIOS[[#This Row],[ID_MASSA]],tbl_de_massas[id_massa],tbl_de_massas[cpf],"--",0,1)</f>
        <v>30882575015</v>
      </c>
      <c r="C1182" t="s">
        <v>12</v>
      </c>
      <c r="D1182" t="str">
        <f>_xlfn.XLOOKUP(TBL_USUARIOS[[#This Row],[ID_MASSA]],tbl_de_massas[id_massa],tbl_de_massas[nome_completo],"--",0,1)</f>
        <v>Sofia Aguirre</v>
      </c>
      <c r="E1182" t="str">
        <f>_xlfn.XLOOKUP(TBL_USUARIOS[[#This Row],[ID_MASSA]],tbl_de_massas[id_massa],tbl_de_massas[cartao_fisico_numero],"--",0,1)</f>
        <v>5442 7460 2873 4826</v>
      </c>
      <c r="F1182" t="str">
        <f>_xlfn.XLOOKUP(TBL_USUARIOS[[#This Row],[ID_MASSA]],tbl_de_massas[id_massa],tbl_de_massas[nome_completo],"--",0,1)</f>
        <v>Sofia Aguirre</v>
      </c>
      <c r="G1182" s="47">
        <f>_xlfn.XLOOKUP(TBL_USUARIOS[[#This Row],[ID_MASSA]],tbl_de_massas[id_massa],tbl_de_massas[saldo_conta],"--",0,1)</f>
        <v>12563.25</v>
      </c>
      <c r="H1182" t="str">
        <f>_xlfn.XLOOKUP(TBL_USUARIOS[[#This Row],[ID_MASSA]],tbl_de_massas[id_massa],tbl_de_massas[nome_completo],"--",0,1)</f>
        <v>Sofia Aguirre</v>
      </c>
    </row>
    <row r="1183" spans="1:8" x14ac:dyDescent="0.25">
      <c r="A1183" s="2" t="s">
        <v>2209</v>
      </c>
      <c r="B1183" s="14" t="str">
        <f>_xlfn.XLOOKUP(TBL_USUARIOS[[#This Row],[ID_MASSA]],tbl_de_massas[id_massa],tbl_de_massas[cpf],"--",0,1)</f>
        <v>24369438004</v>
      </c>
      <c r="C1183" t="s">
        <v>12</v>
      </c>
      <c r="D1183" t="str">
        <f>_xlfn.XLOOKUP(TBL_USUARIOS[[#This Row],[ID_MASSA]],tbl_de_massas[id_massa],tbl_de_massas[nome_completo],"--",0,1)</f>
        <v>Maximilian Mueller</v>
      </c>
      <c r="E1183" t="str">
        <f>_xlfn.XLOOKUP(TBL_USUARIOS[[#This Row],[ID_MASSA]],tbl_de_massas[id_massa],tbl_de_massas[cartao_fisico_numero],"--",0,1)</f>
        <v>6062 8200 7915 2689</v>
      </c>
      <c r="F1183" t="str">
        <f>_xlfn.XLOOKUP(TBL_USUARIOS[[#This Row],[ID_MASSA]],tbl_de_massas[id_massa],tbl_de_massas[nome_completo],"--",0,1)</f>
        <v>Maximilian Mueller</v>
      </c>
      <c r="G1183" s="47">
        <f>_xlfn.XLOOKUP(TBL_USUARIOS[[#This Row],[ID_MASSA]],tbl_de_massas[id_massa],tbl_de_massas[saldo_conta],"--",0,1)</f>
        <v>12216.65</v>
      </c>
      <c r="H1183" t="str">
        <f>_xlfn.XLOOKUP(TBL_USUARIOS[[#This Row],[ID_MASSA]],tbl_de_massas[id_massa],tbl_de_massas[nome_completo],"--",0,1)</f>
        <v>Maximilian Mueller</v>
      </c>
    </row>
    <row r="1184" spans="1:8" x14ac:dyDescent="0.25">
      <c r="A1184" s="2" t="s">
        <v>3521</v>
      </c>
      <c r="B1184" t="str">
        <f>_xlfn.XLOOKUP(TBL_USUARIOS[[#This Row],[ID_MASSA]],tbl_de_massas[id_massa],tbl_de_massas[cpf],"--",0,1)</f>
        <v>53572586860</v>
      </c>
      <c r="C1184" t="s">
        <v>12</v>
      </c>
      <c r="D1184" t="str">
        <f>_xlfn.XLOOKUP(TBL_USUARIOS[[#This Row],[ID_MASSA]],tbl_de_massas[id_massa],tbl_de_massas[nome_completo],"--",0,1)</f>
        <v>Vanessa Barbosa</v>
      </c>
      <c r="E1184" t="str">
        <f>_xlfn.XLOOKUP(TBL_USUARIOS[[#This Row],[ID_MASSA]],tbl_de_massas[id_massa],tbl_de_massas[cartao_fisico_numero],"--",0,1)</f>
        <v>6505 0666 2913 7530</v>
      </c>
      <c r="F1184" t="str">
        <f>_xlfn.XLOOKUP(TBL_USUARIOS[[#This Row],[ID_MASSA]],tbl_de_massas[id_massa],tbl_de_massas[nome_completo],"--",0,1)</f>
        <v>Vanessa Barbosa</v>
      </c>
      <c r="G1184" s="47">
        <f>_xlfn.XLOOKUP(TBL_USUARIOS[[#This Row],[ID_MASSA]],tbl_de_massas[id_massa],tbl_de_massas[saldo_conta],"--",0,1)</f>
        <v>12567.83</v>
      </c>
      <c r="H1184" t="str">
        <f>_xlfn.XLOOKUP(TBL_USUARIOS[[#This Row],[ID_MASSA]],tbl_de_massas[id_massa],tbl_de_massas[nome_completo],"--",0,1)</f>
        <v>Vanessa Barbosa</v>
      </c>
    </row>
    <row r="1185" spans="1:8" x14ac:dyDescent="0.25">
      <c r="A1185" s="2" t="s">
        <v>6666</v>
      </c>
      <c r="B1185" t="str">
        <f>_xlfn.XLOOKUP(TBL_USUARIOS[[#This Row],[ID_MASSA]],tbl_de_massas[id_massa],tbl_de_massas[cpf],"--",0,1)</f>
        <v>11313581046</v>
      </c>
      <c r="C1185" t="s">
        <v>12</v>
      </c>
      <c r="D1185" t="str">
        <f>_xlfn.XLOOKUP(TBL_USUARIOS[[#This Row],[ID_MASSA]],tbl_de_massas[id_massa],tbl_de_massas[nome_completo],"--",0,1)</f>
        <v>Agustin Rodriguez Gonzalez</v>
      </c>
      <c r="E1185" t="str">
        <f>_xlfn.XLOOKUP(TBL_USUARIOS[[#This Row],[ID_MASSA]],tbl_de_massas[id_massa],tbl_de_massas[cartao_fisico_numero],"--",0,1)</f>
        <v>6062 8200 9309 3835</v>
      </c>
      <c r="F1185" t="str">
        <f>_xlfn.XLOOKUP(TBL_USUARIOS[[#This Row],[ID_MASSA]],tbl_de_massas[id_massa],tbl_de_massas[nome_completo],"--",0,1)</f>
        <v>Agustin Rodriguez Gonzalez</v>
      </c>
      <c r="G1185" s="47">
        <f>_xlfn.XLOOKUP(TBL_USUARIOS[[#This Row],[ID_MASSA]],tbl_de_massas[id_massa],tbl_de_massas[saldo_conta],"--",0,1)</f>
        <v>12575.63</v>
      </c>
      <c r="H1185" t="str">
        <f>_xlfn.XLOOKUP(TBL_USUARIOS[[#This Row],[ID_MASSA]],tbl_de_massas[id_massa],tbl_de_massas[nome_completo],"--",0,1)</f>
        <v>Agustin Rodriguez Gonzalez</v>
      </c>
    </row>
    <row r="1186" spans="1:8" x14ac:dyDescent="0.25">
      <c r="A1186" s="2" t="s">
        <v>5445</v>
      </c>
      <c r="B1186" t="str">
        <f>_xlfn.XLOOKUP(TBL_USUARIOS[[#This Row],[ID_MASSA]],tbl_de_massas[id_massa],tbl_de_massas[cpf],"--",0,1)</f>
        <v>48694121794</v>
      </c>
      <c r="C1186" t="s">
        <v>12</v>
      </c>
      <c r="D1186" t="str">
        <f>_xlfn.XLOOKUP(TBL_USUARIOS[[#This Row],[ID_MASSA]],tbl_de_massas[id_massa],tbl_de_massas[nome_completo],"--",0,1)</f>
        <v>Beatriz Moura Rodrigues</v>
      </c>
      <c r="E1186" t="str">
        <f>_xlfn.XLOOKUP(TBL_USUARIOS[[#This Row],[ID_MASSA]],tbl_de_massas[id_massa],tbl_de_massas[cartao_fisico_numero],"--",0,1)</f>
        <v>4576 7460 6017 5368</v>
      </c>
      <c r="F1186" t="str">
        <f>_xlfn.XLOOKUP(TBL_USUARIOS[[#This Row],[ID_MASSA]],tbl_de_massas[id_massa],tbl_de_massas[nome_completo],"--",0,1)</f>
        <v>Beatriz Moura Rodrigues</v>
      </c>
      <c r="G1186" s="47">
        <f>_xlfn.XLOOKUP(TBL_USUARIOS[[#This Row],[ID_MASSA]],tbl_de_massas[id_massa],tbl_de_massas[saldo_conta],"--",0,1)</f>
        <v>12576.66</v>
      </c>
      <c r="H1186" t="str">
        <f>_xlfn.XLOOKUP(TBL_USUARIOS[[#This Row],[ID_MASSA]],tbl_de_massas[id_massa],tbl_de_massas[nome_completo],"--",0,1)</f>
        <v>Beatriz Moura Rodrigues</v>
      </c>
    </row>
    <row r="1187" spans="1:8" x14ac:dyDescent="0.25">
      <c r="A1187" s="2" t="s">
        <v>5162</v>
      </c>
      <c r="B1187" t="str">
        <f>_xlfn.XLOOKUP(TBL_USUARIOS[[#This Row],[ID_MASSA]],tbl_de_massas[id_massa],tbl_de_massas[cpf],"--",0,1)</f>
        <v>73071928530</v>
      </c>
      <c r="C1187" t="s">
        <v>12</v>
      </c>
      <c r="D1187" t="str">
        <f>_xlfn.XLOOKUP(TBL_USUARIOS[[#This Row],[ID_MASSA]],tbl_de_massas[id_massa],tbl_de_massas[nome_completo],"--",0,1)</f>
        <v>Gabriela Alves Vieira</v>
      </c>
      <c r="E1187" t="str">
        <f>_xlfn.XLOOKUP(TBL_USUARIOS[[#This Row],[ID_MASSA]],tbl_de_massas[id_massa],tbl_de_massas[cartao_fisico_numero],"--",0,1)</f>
        <v>3782 830250 5485</v>
      </c>
      <c r="F1187" t="str">
        <f>_xlfn.XLOOKUP(TBL_USUARIOS[[#This Row],[ID_MASSA]],tbl_de_massas[id_massa],tbl_de_massas[nome_completo],"--",0,1)</f>
        <v>Gabriela Alves Vieira</v>
      </c>
      <c r="G1187" s="47">
        <f>_xlfn.XLOOKUP(TBL_USUARIOS[[#This Row],[ID_MASSA]],tbl_de_massas[id_massa],tbl_de_massas[saldo_conta],"--",0,1)</f>
        <v>12583.6</v>
      </c>
      <c r="H1187" t="str">
        <f>_xlfn.XLOOKUP(TBL_USUARIOS[[#This Row],[ID_MASSA]],tbl_de_massas[id_massa],tbl_de_massas[nome_completo],"--",0,1)</f>
        <v>Gabriela Alves Vieira</v>
      </c>
    </row>
    <row r="1188" spans="1:8" x14ac:dyDescent="0.25">
      <c r="A1188" s="2" t="s">
        <v>5481</v>
      </c>
      <c r="B1188" t="str">
        <f>_xlfn.XLOOKUP(TBL_USUARIOS[[#This Row],[ID_MASSA]],tbl_de_massas[id_massa],tbl_de_massas[cpf],"--",0,1)</f>
        <v>15231905313</v>
      </c>
      <c r="C1188" t="s">
        <v>12</v>
      </c>
      <c r="D1188" t="str">
        <f>_xlfn.XLOOKUP(TBL_USUARIOS[[#This Row],[ID_MASSA]],tbl_de_massas[id_massa],tbl_de_massas[nome_completo],"--",0,1)</f>
        <v>Vanessa Pinto</v>
      </c>
      <c r="E1188" t="str">
        <f>_xlfn.XLOOKUP(TBL_USUARIOS[[#This Row],[ID_MASSA]],tbl_de_massas[id_massa],tbl_de_massas[cartao_fisico_numero],"--",0,1)</f>
        <v>6062 8200 2996 0995</v>
      </c>
      <c r="F1188" t="str">
        <f>_xlfn.XLOOKUP(TBL_USUARIOS[[#This Row],[ID_MASSA]],tbl_de_massas[id_massa],tbl_de_massas[nome_completo],"--",0,1)</f>
        <v>Vanessa Pinto</v>
      </c>
      <c r="G1188" s="47">
        <f>_xlfn.XLOOKUP(TBL_USUARIOS[[#This Row],[ID_MASSA]],tbl_de_massas[id_massa],tbl_de_massas[saldo_conta],"--",0,1)</f>
        <v>12599.55</v>
      </c>
      <c r="H1188" t="str">
        <f>_xlfn.XLOOKUP(TBL_USUARIOS[[#This Row],[ID_MASSA]],tbl_de_massas[id_massa],tbl_de_massas[nome_completo],"--",0,1)</f>
        <v>Vanessa Pinto</v>
      </c>
    </row>
    <row r="1189" spans="1:8" x14ac:dyDescent="0.25">
      <c r="A1189" s="2" t="s">
        <v>2628</v>
      </c>
      <c r="B1189" s="14" t="str">
        <f>_xlfn.XLOOKUP(TBL_USUARIOS[[#This Row],[ID_MASSA]],tbl_de_massas[id_massa],tbl_de_massas[cpf],"--",0,1)</f>
        <v>87652216052</v>
      </c>
      <c r="C1189" t="s">
        <v>12</v>
      </c>
      <c r="D1189" t="str">
        <f>_xlfn.XLOOKUP(TBL_USUARIOS[[#This Row],[ID_MASSA]],tbl_de_massas[id_massa],tbl_de_massas[nome_completo],"--",0,1)</f>
        <v>Hanako Watanfgabe</v>
      </c>
      <c r="E1189" t="str">
        <f>_xlfn.XLOOKUP(TBL_USUARIOS[[#This Row],[ID_MASSA]],tbl_de_massas[id_massa],tbl_de_massas[cartao_fisico_numero],"--",0,1)</f>
        <v/>
      </c>
      <c r="F1189" t="str">
        <f>_xlfn.XLOOKUP(TBL_USUARIOS[[#This Row],[ID_MASSA]],tbl_de_massas[id_massa],tbl_de_massas[nome_completo],"--",0,1)</f>
        <v>Hanako Watanfgabe</v>
      </c>
      <c r="G1189" s="47">
        <f>_xlfn.XLOOKUP(TBL_USUARIOS[[#This Row],[ID_MASSA]],tbl_de_massas[id_massa],tbl_de_massas[saldo_conta],"--",0,1)</f>
        <v>12609.55</v>
      </c>
      <c r="H1189" t="str">
        <f>_xlfn.XLOOKUP(TBL_USUARIOS[[#This Row],[ID_MASSA]],tbl_de_massas[id_massa],tbl_de_massas[nome_completo],"--",0,1)</f>
        <v>Hanako Watanfgabe</v>
      </c>
    </row>
    <row r="1190" spans="1:8" x14ac:dyDescent="0.25">
      <c r="A1190" s="2" t="s">
        <v>4984</v>
      </c>
      <c r="B1190" t="str">
        <f>_xlfn.XLOOKUP(TBL_USUARIOS[[#This Row],[ID_MASSA]],tbl_de_massas[id_massa],tbl_de_massas[cpf],"--",0,1)</f>
        <v>46654576039</v>
      </c>
      <c r="C1190" t="s">
        <v>12</v>
      </c>
      <c r="D1190" t="str">
        <f>_xlfn.XLOOKUP(TBL_USUARIOS[[#This Row],[ID_MASSA]],tbl_de_massas[id_massa],tbl_de_massas[nome_completo],"--",0,1)</f>
        <v>Gustavo Pereira Almeida</v>
      </c>
      <c r="E1190" t="str">
        <f>_xlfn.XLOOKUP(TBL_USUARIOS[[#This Row],[ID_MASSA]],tbl_de_massas[id_massa],tbl_de_massas[cartao_fisico_numero],"--",0,1)</f>
        <v>4576 7460 8495 7511</v>
      </c>
      <c r="F1190" t="str">
        <f>_xlfn.XLOOKUP(TBL_USUARIOS[[#This Row],[ID_MASSA]],tbl_de_massas[id_massa],tbl_de_massas[nome_completo],"--",0,1)</f>
        <v>Gustavo Pereira Almeida</v>
      </c>
      <c r="G1190" s="47">
        <f>_xlfn.XLOOKUP(TBL_USUARIOS[[#This Row],[ID_MASSA]],tbl_de_massas[id_massa],tbl_de_massas[saldo_conta],"--",0,1)</f>
        <v>12623.94</v>
      </c>
      <c r="H1190" t="str">
        <f>_xlfn.XLOOKUP(TBL_USUARIOS[[#This Row],[ID_MASSA]],tbl_de_massas[id_massa],tbl_de_massas[nome_completo],"--",0,1)</f>
        <v>Gustavo Pereira Almeida</v>
      </c>
    </row>
    <row r="1191" spans="1:8" x14ac:dyDescent="0.25">
      <c r="A1191" s="2" t="s">
        <v>5333</v>
      </c>
      <c r="B1191" t="str">
        <f>_xlfn.XLOOKUP(TBL_USUARIOS[[#This Row],[ID_MASSA]],tbl_de_massas[id_massa],tbl_de_massas[cpf],"--",0,1)</f>
        <v>00294466860</v>
      </c>
      <c r="C1191" t="s">
        <v>12</v>
      </c>
      <c r="D1191" t="str">
        <f>_xlfn.XLOOKUP(TBL_USUARIOS[[#This Row],[ID_MASSA]],tbl_de_massas[id_massa],tbl_de_massas[nome_completo],"--",0,1)</f>
        <v>Leandro Rodrigues</v>
      </c>
      <c r="E1191" t="str">
        <f>_xlfn.XLOOKUP(TBL_USUARIOS[[#This Row],[ID_MASSA]],tbl_de_massas[id_massa],tbl_de_massas[cartao_fisico_numero],"--",0,1)</f>
        <v>6505 0666 2708 4057</v>
      </c>
      <c r="F1191" t="str">
        <f>_xlfn.XLOOKUP(TBL_USUARIOS[[#This Row],[ID_MASSA]],tbl_de_massas[id_massa],tbl_de_massas[nome_completo],"--",0,1)</f>
        <v>Leandro Rodrigues</v>
      </c>
      <c r="G1191" s="47">
        <f>_xlfn.XLOOKUP(TBL_USUARIOS[[#This Row],[ID_MASSA]],tbl_de_massas[id_massa],tbl_de_massas[saldo_conta],"--",0,1)</f>
        <v>8765.64</v>
      </c>
      <c r="H1191" t="str">
        <f>_xlfn.XLOOKUP(TBL_USUARIOS[[#This Row],[ID_MASSA]],tbl_de_massas[id_massa],tbl_de_massas[nome_completo],"--",0,1)</f>
        <v>Leandro Rodrigues</v>
      </c>
    </row>
    <row r="1192" spans="1:8" x14ac:dyDescent="0.25">
      <c r="A1192" s="2" t="s">
        <v>3223</v>
      </c>
      <c r="B1192" t="str">
        <f>_xlfn.XLOOKUP(TBL_USUARIOS[[#This Row],[ID_MASSA]],tbl_de_massas[id_massa],tbl_de_massas[cpf],"--",0,1)</f>
        <v>46416070014</v>
      </c>
      <c r="C1192" t="s">
        <v>12</v>
      </c>
      <c r="D1192" t="str">
        <f>_xlfn.XLOOKUP(TBL_USUARIOS[[#This Row],[ID_MASSA]],tbl_de_massas[id_massa],tbl_de_massas[nome_completo],"--",0,1)</f>
        <v>Jessica Nascimento</v>
      </c>
      <c r="E1192" t="str">
        <f>_xlfn.XLOOKUP(TBL_USUARIOS[[#This Row],[ID_MASSA]],tbl_de_massas[id_massa],tbl_de_massas[cartao_fisico_numero],"--",0,1)</f>
        <v/>
      </c>
      <c r="F1192" t="str">
        <f>_xlfn.XLOOKUP(TBL_USUARIOS[[#This Row],[ID_MASSA]],tbl_de_massas[id_massa],tbl_de_massas[nome_completo],"--",0,1)</f>
        <v>Jessica Nascimento</v>
      </c>
      <c r="G1192" s="47">
        <f>_xlfn.XLOOKUP(TBL_USUARIOS[[#This Row],[ID_MASSA]],tbl_de_massas[id_massa],tbl_de_massas[saldo_conta],"--",0,1)</f>
        <v>12637.95</v>
      </c>
      <c r="H1192" t="str">
        <f>_xlfn.XLOOKUP(TBL_USUARIOS[[#This Row],[ID_MASSA]],tbl_de_massas[id_massa],tbl_de_massas[nome_completo],"--",0,1)</f>
        <v>Jessica Nascimento</v>
      </c>
    </row>
    <row r="1193" spans="1:8" x14ac:dyDescent="0.25">
      <c r="A1193" s="2" t="s">
        <v>3834</v>
      </c>
      <c r="B1193" t="str">
        <f>_xlfn.XLOOKUP(TBL_USUARIOS[[#This Row],[ID_MASSA]],tbl_de_massas[id_massa],tbl_de_massas[cpf],"--",0,1)</f>
        <v>64126129391</v>
      </c>
      <c r="C1193" t="s">
        <v>12</v>
      </c>
      <c r="D1193" t="str">
        <f>_xlfn.XLOOKUP(TBL_USUARIOS[[#This Row],[ID_MASSA]],tbl_de_massas[id_massa],tbl_de_massas[nome_completo],"--",0,1)</f>
        <v>Debora Freitas Carvalho</v>
      </c>
      <c r="E1193" t="str">
        <f>_xlfn.XLOOKUP(TBL_USUARIOS[[#This Row],[ID_MASSA]],tbl_de_massas[id_massa],tbl_de_massas[cartao_fisico_numero],"--",0,1)</f>
        <v>4576 7460 4069 5208</v>
      </c>
      <c r="F1193" t="str">
        <f>_xlfn.XLOOKUP(TBL_USUARIOS[[#This Row],[ID_MASSA]],tbl_de_massas[id_massa],tbl_de_massas[nome_completo],"--",0,1)</f>
        <v>Debora Freitas Carvalho</v>
      </c>
      <c r="G1193" s="47">
        <f>_xlfn.XLOOKUP(TBL_USUARIOS[[#This Row],[ID_MASSA]],tbl_de_massas[id_massa],tbl_de_massas[saldo_conta],"--",0,1)</f>
        <v>10510.13</v>
      </c>
      <c r="H1193" t="str">
        <f>_xlfn.XLOOKUP(TBL_USUARIOS[[#This Row],[ID_MASSA]],tbl_de_massas[id_massa],tbl_de_massas[nome_completo],"--",0,1)</f>
        <v>Debora Freitas Carvalho</v>
      </c>
    </row>
    <row r="1194" spans="1:8" x14ac:dyDescent="0.25">
      <c r="A1194" s="2" t="s">
        <v>3324</v>
      </c>
      <c r="B1194" t="str">
        <f>_xlfn.XLOOKUP(TBL_USUARIOS[[#This Row],[ID_MASSA]],tbl_de_massas[id_massa],tbl_de_massas[cpf],"--",0,1)</f>
        <v>94366069156</v>
      </c>
      <c r="C1194" t="s">
        <v>12</v>
      </c>
      <c r="D1194" t="str">
        <f>_xlfn.XLOOKUP(TBL_USUARIOS[[#This Row],[ID_MASSA]],tbl_de_massas[id_massa],tbl_de_massas[nome_completo],"--",0,1)</f>
        <v>Gustavo Moura Almeida</v>
      </c>
      <c r="E1194" t="str">
        <f>_xlfn.XLOOKUP(TBL_USUARIOS[[#This Row],[ID_MASSA]],tbl_de_massas[id_massa],tbl_de_massas[cartao_fisico_numero],"--",0,1)</f>
        <v>6062 8200 7718 0061</v>
      </c>
      <c r="F1194" t="str">
        <f>_xlfn.XLOOKUP(TBL_USUARIOS[[#This Row],[ID_MASSA]],tbl_de_massas[id_massa],tbl_de_massas[nome_completo],"--",0,1)</f>
        <v>Gustavo Moura Almeida</v>
      </c>
      <c r="G1194" s="47">
        <f>_xlfn.XLOOKUP(TBL_USUARIOS[[#This Row],[ID_MASSA]],tbl_de_massas[id_massa],tbl_de_massas[saldo_conta],"--",0,1)</f>
        <v>12646.4</v>
      </c>
      <c r="H1194" t="str">
        <f>_xlfn.XLOOKUP(TBL_USUARIOS[[#This Row],[ID_MASSA]],tbl_de_massas[id_massa],tbl_de_massas[nome_completo],"--",0,1)</f>
        <v>Gustavo Moura Almeida</v>
      </c>
    </row>
    <row r="1195" spans="1:8" x14ac:dyDescent="0.25">
      <c r="A1195" s="2" t="s">
        <v>6450</v>
      </c>
      <c r="B1195" t="str">
        <f>_xlfn.XLOOKUP(TBL_USUARIOS[[#This Row],[ID_MASSA]],tbl_de_massas[id_massa],tbl_de_massas[cpf],"--",0,1)</f>
        <v>09291684457</v>
      </c>
      <c r="C1195" t="s">
        <v>12</v>
      </c>
      <c r="D1195" t="str">
        <f>_xlfn.XLOOKUP(TBL_USUARIOS[[#This Row],[ID_MASSA]],tbl_de_massas[id_massa],tbl_de_massas[nome_completo],"--",0,1)</f>
        <v>Na Luo</v>
      </c>
      <c r="E1195" t="str">
        <f>_xlfn.XLOOKUP(TBL_USUARIOS[[#This Row],[ID_MASSA]],tbl_de_massas[id_massa],tbl_de_massas[cartao_fisico_numero],"--",0,1)</f>
        <v/>
      </c>
      <c r="F1195" t="str">
        <f>_xlfn.XLOOKUP(TBL_USUARIOS[[#This Row],[ID_MASSA]],tbl_de_massas[id_massa],tbl_de_massas[nome_completo],"--",0,1)</f>
        <v>Na Luo</v>
      </c>
      <c r="G1195" s="47">
        <f>_xlfn.XLOOKUP(TBL_USUARIOS[[#This Row],[ID_MASSA]],tbl_de_massas[id_massa],tbl_de_massas[saldo_conta],"--",0,1)</f>
        <v>11954.86</v>
      </c>
      <c r="H1195" t="str">
        <f>_xlfn.XLOOKUP(TBL_USUARIOS[[#This Row],[ID_MASSA]],tbl_de_massas[id_massa],tbl_de_massas[nome_completo],"--",0,1)</f>
        <v>Na Luo</v>
      </c>
    </row>
    <row r="1196" spans="1:8" x14ac:dyDescent="0.25">
      <c r="A1196" s="2" t="s">
        <v>6384</v>
      </c>
      <c r="B1196" t="str">
        <f>_xlfn.XLOOKUP(TBL_USUARIOS[[#This Row],[ID_MASSA]],tbl_de_massas[id_massa],tbl_de_massas[cpf],"--",0,1)</f>
        <v>97552412640</v>
      </c>
      <c r="C1196" t="s">
        <v>12</v>
      </c>
      <c r="D1196" t="str">
        <f>_xlfn.XLOOKUP(TBL_USUARIOS[[#This Row],[ID_MASSA]],tbl_de_massas[id_massa],tbl_de_massas[nome_completo],"--",0,1)</f>
        <v>Tao Hu Sun</v>
      </c>
      <c r="E1196" t="str">
        <f>_xlfn.XLOOKUP(TBL_USUARIOS[[#This Row],[ID_MASSA]],tbl_de_massas[id_massa],tbl_de_massas[cartao_fisico_numero],"--",0,1)</f>
        <v/>
      </c>
      <c r="F1196" t="str">
        <f>_xlfn.XLOOKUP(TBL_USUARIOS[[#This Row],[ID_MASSA]],tbl_de_massas[id_massa],tbl_de_massas[nome_completo],"--",0,1)</f>
        <v>Tao Hu Sun</v>
      </c>
      <c r="G1196" s="47">
        <f>_xlfn.XLOOKUP(TBL_USUARIOS[[#This Row],[ID_MASSA]],tbl_de_massas[id_massa],tbl_de_massas[saldo_conta],"--",0,1)</f>
        <v>12533.84</v>
      </c>
      <c r="H1196" t="str">
        <f>_xlfn.XLOOKUP(TBL_USUARIOS[[#This Row],[ID_MASSA]],tbl_de_massas[id_massa],tbl_de_massas[nome_completo],"--",0,1)</f>
        <v>Tao Hu Sun</v>
      </c>
    </row>
    <row r="1197" spans="1:8" x14ac:dyDescent="0.25">
      <c r="A1197" s="2" t="s">
        <v>2329</v>
      </c>
      <c r="B1197" s="14" t="str">
        <f>_xlfn.XLOOKUP(TBL_USUARIOS[[#This Row],[ID_MASSA]],tbl_de_massas[id_massa],tbl_de_massas[cpf],"--",0,1)</f>
        <v>42111679011</v>
      </c>
      <c r="C1197" t="s">
        <v>12</v>
      </c>
      <c r="D1197" t="str">
        <f>_xlfn.XLOOKUP(TBL_USUARIOS[[#This Row],[ID_MASSA]],tbl_de_massas[id_massa],tbl_de_massas[nome_completo],"--",0,1)</f>
        <v>Camila Beatriz Santos</v>
      </c>
      <c r="E1197" t="str">
        <f>_xlfn.XLOOKUP(TBL_USUARIOS[[#This Row],[ID_MASSA]],tbl_de_massas[id_massa],tbl_de_massas[cartao_fisico_numero],"--",0,1)</f>
        <v>5442 7460 6318 0938</v>
      </c>
      <c r="F1197" t="str">
        <f>_xlfn.XLOOKUP(TBL_USUARIOS[[#This Row],[ID_MASSA]],tbl_de_massas[id_massa],tbl_de_massas[nome_completo],"--",0,1)</f>
        <v>Camila Beatriz Santos</v>
      </c>
      <c r="G1197" s="47">
        <f>_xlfn.XLOOKUP(TBL_USUARIOS[[#This Row],[ID_MASSA]],tbl_de_massas[id_massa],tbl_de_massas[saldo_conta],"--",0,1)</f>
        <v>12687.76</v>
      </c>
      <c r="H1197" t="str">
        <f>_xlfn.XLOOKUP(TBL_USUARIOS[[#This Row],[ID_MASSA]],tbl_de_massas[id_massa],tbl_de_massas[nome_completo],"--",0,1)</f>
        <v>Camila Beatriz Santos</v>
      </c>
    </row>
    <row r="1198" spans="1:8" x14ac:dyDescent="0.25">
      <c r="A1198" s="2" t="s">
        <v>5403</v>
      </c>
      <c r="B1198" t="str">
        <f>_xlfn.XLOOKUP(TBL_USUARIOS[[#This Row],[ID_MASSA]],tbl_de_massas[id_massa],tbl_de_massas[cpf],"--",0,1)</f>
        <v>35917680221</v>
      </c>
      <c r="C1198" t="s">
        <v>12</v>
      </c>
      <c r="D1198" t="str">
        <f>_xlfn.XLOOKUP(TBL_USUARIOS[[#This Row],[ID_MASSA]],tbl_de_massas[id_massa],tbl_de_massas[nome_completo],"--",0,1)</f>
        <v>Rafael Souza Barros</v>
      </c>
      <c r="E1198" t="str">
        <f>_xlfn.XLOOKUP(TBL_USUARIOS[[#This Row],[ID_MASSA]],tbl_de_massas[id_massa],tbl_de_massas[cartao_fisico_numero],"--",0,1)</f>
        <v/>
      </c>
      <c r="F1198" t="str">
        <f>_xlfn.XLOOKUP(TBL_USUARIOS[[#This Row],[ID_MASSA]],tbl_de_massas[id_massa],tbl_de_massas[nome_completo],"--",0,1)</f>
        <v>Rafael Souza Barros</v>
      </c>
      <c r="G1198" s="47">
        <f>_xlfn.XLOOKUP(TBL_USUARIOS[[#This Row],[ID_MASSA]],tbl_de_massas[id_massa],tbl_de_massas[saldo_conta],"--",0,1)</f>
        <v>12752.82</v>
      </c>
      <c r="H1198" t="str">
        <f>_xlfn.XLOOKUP(TBL_USUARIOS[[#This Row],[ID_MASSA]],tbl_de_massas[id_massa],tbl_de_massas[nome_completo],"--",0,1)</f>
        <v>Rafael Souza Barros</v>
      </c>
    </row>
    <row r="1199" spans="1:8" x14ac:dyDescent="0.25">
      <c r="A1199" s="2" t="s">
        <v>3460</v>
      </c>
      <c r="B1199" t="str">
        <f>_xlfn.XLOOKUP(TBL_USUARIOS[[#This Row],[ID_MASSA]],tbl_de_massas[id_massa],tbl_de_massas[cpf],"--",0,1)</f>
        <v>98850825145</v>
      </c>
      <c r="C1199" t="s">
        <v>12</v>
      </c>
      <c r="D1199" t="str">
        <f>_xlfn.XLOOKUP(TBL_USUARIOS[[#This Row],[ID_MASSA]],tbl_de_massas[id_massa],tbl_de_massas[nome_completo],"--",0,1)</f>
        <v>Debora Fernandes Pinto</v>
      </c>
      <c r="E1199" t="str">
        <f>_xlfn.XLOOKUP(TBL_USUARIOS[[#This Row],[ID_MASSA]],tbl_de_massas[id_massa],tbl_de_massas[cartao_fisico_numero],"--",0,1)</f>
        <v/>
      </c>
      <c r="F1199" t="str">
        <f>_xlfn.XLOOKUP(TBL_USUARIOS[[#This Row],[ID_MASSA]],tbl_de_massas[id_massa],tbl_de_massas[nome_completo],"--",0,1)</f>
        <v>Debora Fernandes Pinto</v>
      </c>
      <c r="G1199" s="47">
        <f>_xlfn.XLOOKUP(TBL_USUARIOS[[#This Row],[ID_MASSA]],tbl_de_massas[id_massa],tbl_de_massas[saldo_conta],"--",0,1)</f>
        <v>12755.32</v>
      </c>
      <c r="H1199" t="str">
        <f>_xlfn.XLOOKUP(TBL_USUARIOS[[#This Row],[ID_MASSA]],tbl_de_massas[id_massa],tbl_de_massas[nome_completo],"--",0,1)</f>
        <v>Debora Fernandes Pinto</v>
      </c>
    </row>
    <row r="1200" spans="1:8" x14ac:dyDescent="0.25">
      <c r="A1200" s="2" t="s">
        <v>6656</v>
      </c>
      <c r="B1200" t="str">
        <f>_xlfn.XLOOKUP(TBL_USUARIOS[[#This Row],[ID_MASSA]],tbl_de_massas[id_massa],tbl_de_massas[cpf],"--",0,1)</f>
        <v>35614342230</v>
      </c>
      <c r="C1200" t="s">
        <v>12</v>
      </c>
      <c r="D1200" t="str">
        <f>_xlfn.XLOOKUP(TBL_USUARIOS[[#This Row],[ID_MASSA]],tbl_de_massas[id_massa],tbl_de_massas[nome_completo],"--",0,1)</f>
        <v>Mattia Rossi Moretti</v>
      </c>
      <c r="E1200" t="str">
        <f>_xlfn.XLOOKUP(TBL_USUARIOS[[#This Row],[ID_MASSA]],tbl_de_massas[id_massa],tbl_de_massas[cartao_fisico_numero],"--",0,1)</f>
        <v>6062 8200 6057 3068</v>
      </c>
      <c r="F1200" t="str">
        <f>_xlfn.XLOOKUP(TBL_USUARIOS[[#This Row],[ID_MASSA]],tbl_de_massas[id_massa],tbl_de_massas[nome_completo],"--",0,1)</f>
        <v>Mattia Rossi Moretti</v>
      </c>
      <c r="G1200" s="47">
        <f>_xlfn.XLOOKUP(TBL_USUARIOS[[#This Row],[ID_MASSA]],tbl_de_massas[id_massa],tbl_de_massas[saldo_conta],"--",0,1)</f>
        <v>12756.55</v>
      </c>
      <c r="H1200" t="str">
        <f>_xlfn.XLOOKUP(TBL_USUARIOS[[#This Row],[ID_MASSA]],tbl_de_massas[id_massa],tbl_de_massas[nome_completo],"--",0,1)</f>
        <v>Mattia Rossi Moretti</v>
      </c>
    </row>
    <row r="1201" spans="1:8" x14ac:dyDescent="0.25">
      <c r="A1201" s="2" t="s">
        <v>2525</v>
      </c>
      <c r="B1201" s="14" t="str">
        <f>_xlfn.XLOOKUP(TBL_USUARIOS[[#This Row],[ID_MASSA]],tbl_de_massas[id_massa],tbl_de_massas[cpf],"--",0,1)</f>
        <v>93035404763</v>
      </c>
      <c r="C1201" t="s">
        <v>12</v>
      </c>
      <c r="D1201" t="str">
        <f>_xlfn.XLOOKUP(TBL_USUARIOS[[#This Row],[ID_MASSA]],tbl_de_massas[id_massa],tbl_de_massas[nome_completo],"--",0,1)</f>
        <v>Valentina Rodriguez</v>
      </c>
      <c r="E1201" t="str">
        <f>_xlfn.XLOOKUP(TBL_USUARIOS[[#This Row],[ID_MASSA]],tbl_de_massas[id_massa],tbl_de_massas[cartao_fisico_numero],"--",0,1)</f>
        <v>6505 0666 3842 0160</v>
      </c>
      <c r="F1201" t="str">
        <f>_xlfn.XLOOKUP(TBL_USUARIOS[[#This Row],[ID_MASSA]],tbl_de_massas[id_massa],tbl_de_massas[nome_completo],"--",0,1)</f>
        <v>Valentina Rodriguez</v>
      </c>
      <c r="G1201" s="47">
        <f>_xlfn.XLOOKUP(TBL_USUARIOS[[#This Row],[ID_MASSA]],tbl_de_massas[id_massa],tbl_de_massas[saldo_conta],"--",0,1)</f>
        <v>12758.39</v>
      </c>
      <c r="H1201" t="str">
        <f>_xlfn.XLOOKUP(TBL_USUARIOS[[#This Row],[ID_MASSA]],tbl_de_massas[id_massa],tbl_de_massas[nome_completo],"--",0,1)</f>
        <v>Valentina Rodriguez</v>
      </c>
    </row>
    <row r="1202" spans="1:8" x14ac:dyDescent="0.25">
      <c r="A1202" s="2" t="s">
        <v>3209</v>
      </c>
      <c r="B1202" t="str">
        <f>_xlfn.XLOOKUP(TBL_USUARIOS[[#This Row],[ID_MASSA]],tbl_de_massas[id_massa],tbl_de_massas[cpf],"--",0,1)</f>
        <v>13085810250</v>
      </c>
      <c r="C1202" t="s">
        <v>12</v>
      </c>
      <c r="D1202" t="str">
        <f>_xlfn.XLOOKUP(TBL_USUARIOS[[#This Row],[ID_MASSA]],tbl_de_massas[id_massa],tbl_de_massas[nome_completo],"--",0,1)</f>
        <v>Beatriz Barbosa Lima</v>
      </c>
      <c r="E1202" t="str">
        <f>_xlfn.XLOOKUP(TBL_USUARIOS[[#This Row],[ID_MASSA]],tbl_de_massas[id_massa],tbl_de_massas[cartao_fisico_numero],"--",0,1)</f>
        <v>6505 0666 3647 8233</v>
      </c>
      <c r="F1202" t="str">
        <f>_xlfn.XLOOKUP(TBL_USUARIOS[[#This Row],[ID_MASSA]],tbl_de_massas[id_massa],tbl_de_massas[nome_completo],"--",0,1)</f>
        <v>Beatriz Barbosa Lima</v>
      </c>
      <c r="G1202" s="47">
        <f>_xlfn.XLOOKUP(TBL_USUARIOS[[#This Row],[ID_MASSA]],tbl_de_massas[id_massa],tbl_de_massas[saldo_conta],"--",0,1)</f>
        <v>12788.31</v>
      </c>
      <c r="H1202" t="str">
        <f>_xlfn.XLOOKUP(TBL_USUARIOS[[#This Row],[ID_MASSA]],tbl_de_massas[id_massa],tbl_de_massas[nome_completo],"--",0,1)</f>
        <v>Beatriz Barbosa Lima</v>
      </c>
    </row>
    <row r="1203" spans="1:8" x14ac:dyDescent="0.25">
      <c r="A1203" s="2" t="s">
        <v>5620</v>
      </c>
      <c r="B1203" t="str">
        <f>_xlfn.XLOOKUP(TBL_USUARIOS[[#This Row],[ID_MASSA]],tbl_de_massas[id_massa],tbl_de_massas[cpf],"--",0,1)</f>
        <v>36502564526</v>
      </c>
      <c r="C1203" t="s">
        <v>12</v>
      </c>
      <c r="D1203" t="str">
        <f>_xlfn.XLOOKUP(TBL_USUARIOS[[#This Row],[ID_MASSA]],tbl_de_massas[id_massa],tbl_de_massas[nome_completo],"--",0,1)</f>
        <v>Diego Souza</v>
      </c>
      <c r="E1203" t="str">
        <f>_xlfn.XLOOKUP(TBL_USUARIOS[[#This Row],[ID_MASSA]],tbl_de_massas[id_massa],tbl_de_massas[cartao_fisico_numero],"--",0,1)</f>
        <v>3782 535964 9317</v>
      </c>
      <c r="F1203" t="str">
        <f>_xlfn.XLOOKUP(TBL_USUARIOS[[#This Row],[ID_MASSA]],tbl_de_massas[id_massa],tbl_de_massas[nome_completo],"--",0,1)</f>
        <v>Diego Souza</v>
      </c>
      <c r="G1203" s="47">
        <f>_xlfn.XLOOKUP(TBL_USUARIOS[[#This Row],[ID_MASSA]],tbl_de_massas[id_massa],tbl_de_massas[saldo_conta],"--",0,1)</f>
        <v>12791.68</v>
      </c>
      <c r="H1203" t="str">
        <f>_xlfn.XLOOKUP(TBL_USUARIOS[[#This Row],[ID_MASSA]],tbl_de_massas[id_massa],tbl_de_massas[nome_completo],"--",0,1)</f>
        <v>Diego Souza</v>
      </c>
    </row>
    <row r="1204" spans="1:8" x14ac:dyDescent="0.25">
      <c r="A1204" s="2" t="s">
        <v>5871</v>
      </c>
      <c r="B1204" t="str">
        <f>_xlfn.XLOOKUP(TBL_USUARIOS[[#This Row],[ID_MASSA]],tbl_de_massas[id_massa],tbl_de_massas[cpf],"--",0,1)</f>
        <v>28340720600</v>
      </c>
      <c r="C1204" t="s">
        <v>12</v>
      </c>
      <c r="D1204" t="str">
        <f>_xlfn.XLOOKUP(TBL_USUARIOS[[#This Row],[ID_MASSA]],tbl_de_massas[id_massa],tbl_de_massas[nome_completo],"--",0,1)</f>
        <v>Vinicius Alves Martins</v>
      </c>
      <c r="E1204" t="str">
        <f>_xlfn.XLOOKUP(TBL_USUARIOS[[#This Row],[ID_MASSA]],tbl_de_massas[id_massa],tbl_de_massas[cartao_fisico_numero],"--",0,1)</f>
        <v>6062 8200 9625 2803</v>
      </c>
      <c r="F1204" t="str">
        <f>_xlfn.XLOOKUP(TBL_USUARIOS[[#This Row],[ID_MASSA]],tbl_de_massas[id_massa],tbl_de_massas[nome_completo],"--",0,1)</f>
        <v>Vinicius Alves Martins</v>
      </c>
      <c r="G1204" s="47">
        <f>_xlfn.XLOOKUP(TBL_USUARIOS[[#This Row],[ID_MASSA]],tbl_de_massas[id_massa],tbl_de_massas[saldo_conta],"--",0,1)</f>
        <v>12867.37</v>
      </c>
      <c r="H1204" t="str">
        <f>_xlfn.XLOOKUP(TBL_USUARIOS[[#This Row],[ID_MASSA]],tbl_de_massas[id_massa],tbl_de_massas[nome_completo],"--",0,1)</f>
        <v>Vinicius Alves Martins</v>
      </c>
    </row>
    <row r="1205" spans="1:8" x14ac:dyDescent="0.25">
      <c r="A1205" s="2" t="s">
        <v>3940</v>
      </c>
      <c r="B1205" t="str">
        <f>_xlfn.XLOOKUP(TBL_USUARIOS[[#This Row],[ID_MASSA]],tbl_de_massas[id_massa],tbl_de_massas[cpf],"--",0,1)</f>
        <v>00781769809</v>
      </c>
      <c r="C1205" t="s">
        <v>12</v>
      </c>
      <c r="D1205" t="str">
        <f>_xlfn.XLOOKUP(TBL_USUARIOS[[#This Row],[ID_MASSA]],tbl_de_massas[id_massa],tbl_de_massas[nome_completo],"--",0,1)</f>
        <v>Larissa Dias</v>
      </c>
      <c r="E1205" t="str">
        <f>_xlfn.XLOOKUP(TBL_USUARIOS[[#This Row],[ID_MASSA]],tbl_de_massas[id_massa],tbl_de_massas[cartao_fisico_numero],"--",0,1)</f>
        <v>6062 8200 1145 8081</v>
      </c>
      <c r="F1205" t="str">
        <f>_xlfn.XLOOKUP(TBL_USUARIOS[[#This Row],[ID_MASSA]],tbl_de_massas[id_massa],tbl_de_massas[nome_completo],"--",0,1)</f>
        <v>Larissa Dias</v>
      </c>
      <c r="G1205" s="47">
        <f>_xlfn.XLOOKUP(TBL_USUARIOS[[#This Row],[ID_MASSA]],tbl_de_massas[id_massa],tbl_de_massas[saldo_conta],"--",0,1)</f>
        <v>12873.47</v>
      </c>
      <c r="H1205" t="str">
        <f>_xlfn.XLOOKUP(TBL_USUARIOS[[#This Row],[ID_MASSA]],tbl_de_massas[id_massa],tbl_de_massas[nome_completo],"--",0,1)</f>
        <v>Larissa Dias</v>
      </c>
    </row>
    <row r="1206" spans="1:8" x14ac:dyDescent="0.25">
      <c r="A1206" s="2" t="s">
        <v>5501</v>
      </c>
      <c r="B1206" t="str">
        <f>_xlfn.XLOOKUP(TBL_USUARIOS[[#This Row],[ID_MASSA]],tbl_de_massas[id_massa],tbl_de_massas[cpf],"--",0,1)</f>
        <v>30807538876</v>
      </c>
      <c r="C1206" t="s">
        <v>12</v>
      </c>
      <c r="D1206" t="str">
        <f>_xlfn.XLOOKUP(TBL_USUARIOS[[#This Row],[ID_MASSA]],tbl_de_massas[id_massa],tbl_de_massas[nome_completo],"--",0,1)</f>
        <v>Patricia Monteiro</v>
      </c>
      <c r="E1206" t="str">
        <f>_xlfn.XLOOKUP(TBL_USUARIOS[[#This Row],[ID_MASSA]],tbl_de_massas[id_massa],tbl_de_massas[cartao_fisico_numero],"--",0,1)</f>
        <v/>
      </c>
      <c r="F1206" t="str">
        <f>_xlfn.XLOOKUP(TBL_USUARIOS[[#This Row],[ID_MASSA]],tbl_de_massas[id_massa],tbl_de_massas[nome_completo],"--",0,1)</f>
        <v>Patricia Monteiro</v>
      </c>
      <c r="G1206" s="47">
        <f>_xlfn.XLOOKUP(TBL_USUARIOS[[#This Row],[ID_MASSA]],tbl_de_massas[id_massa],tbl_de_massas[saldo_conta],"--",0,1)</f>
        <v>12488.23</v>
      </c>
      <c r="H1206" t="str">
        <f>_xlfn.XLOOKUP(TBL_USUARIOS[[#This Row],[ID_MASSA]],tbl_de_massas[id_massa],tbl_de_massas[nome_completo],"--",0,1)</f>
        <v>Patricia Monteiro</v>
      </c>
    </row>
    <row r="1207" spans="1:8" x14ac:dyDescent="0.25">
      <c r="A1207" s="2" t="s">
        <v>6594</v>
      </c>
      <c r="B1207" t="str">
        <f>_xlfn.XLOOKUP(TBL_USUARIOS[[#This Row],[ID_MASSA]],tbl_de_massas[id_massa],tbl_de_massas[cpf],"--",0,1)</f>
        <v>57226796406</v>
      </c>
      <c r="C1207" t="s">
        <v>12</v>
      </c>
      <c r="D1207" t="str">
        <f>_xlfn.XLOOKUP(TBL_USUARIOS[[#This Row],[ID_MASSA]],tbl_de_massas[id_massa],tbl_de_massas[nome_completo],"--",0,1)</f>
        <v>Mei Sasaki</v>
      </c>
      <c r="E1207" t="str">
        <f>_xlfn.XLOOKUP(TBL_USUARIOS[[#This Row],[ID_MASSA]],tbl_de_massas[id_massa],tbl_de_massas[cartao_fisico_numero],"--",0,1)</f>
        <v>6062 8200 1794 1627</v>
      </c>
      <c r="F1207" t="str">
        <f>_xlfn.XLOOKUP(TBL_USUARIOS[[#This Row],[ID_MASSA]],tbl_de_massas[id_massa],tbl_de_massas[nome_completo],"--",0,1)</f>
        <v>Mei Sasaki</v>
      </c>
      <c r="G1207" s="47">
        <f>_xlfn.XLOOKUP(TBL_USUARIOS[[#This Row],[ID_MASSA]],tbl_de_massas[id_massa],tbl_de_massas[saldo_conta],"--",0,1)</f>
        <v>12902.15</v>
      </c>
      <c r="H1207" t="str">
        <f>_xlfn.XLOOKUP(TBL_USUARIOS[[#This Row],[ID_MASSA]],tbl_de_massas[id_massa],tbl_de_massas[nome_completo],"--",0,1)</f>
        <v>Mei Sasaki</v>
      </c>
    </row>
    <row r="1208" spans="1:8" x14ac:dyDescent="0.25">
      <c r="A1208" s="2" t="s">
        <v>6634</v>
      </c>
      <c r="B1208" t="str">
        <f>_xlfn.XLOOKUP(TBL_USUARIOS[[#This Row],[ID_MASSA]],tbl_de_massas[id_massa],tbl_de_massas[cpf],"--",0,1)</f>
        <v>21126184829</v>
      </c>
      <c r="C1208" t="s">
        <v>12</v>
      </c>
      <c r="D1208" t="str">
        <f>_xlfn.XLOOKUP(TBL_USUARIOS[[#This Row],[ID_MASSA]],tbl_de_massas[id_massa],tbl_de_massas[nome_completo],"--",0,1)</f>
        <v>Haruto Saito</v>
      </c>
      <c r="E1208" t="str">
        <f>_xlfn.XLOOKUP(TBL_USUARIOS[[#This Row],[ID_MASSA]],tbl_de_massas[id_massa],tbl_de_massas[cartao_fisico_numero],"--",0,1)</f>
        <v>6505 0666 5482 4074</v>
      </c>
      <c r="F1208" t="str">
        <f>_xlfn.XLOOKUP(TBL_USUARIOS[[#This Row],[ID_MASSA]],tbl_de_massas[id_massa],tbl_de_massas[nome_completo],"--",0,1)</f>
        <v>Haruto Saito</v>
      </c>
      <c r="G1208" s="47">
        <f>_xlfn.XLOOKUP(TBL_USUARIOS[[#This Row],[ID_MASSA]],tbl_de_massas[id_massa],tbl_de_massas[saldo_conta],"--",0,1)</f>
        <v>12910.63</v>
      </c>
      <c r="H1208" t="str">
        <f>_xlfn.XLOOKUP(TBL_USUARIOS[[#This Row],[ID_MASSA]],tbl_de_massas[id_massa],tbl_de_massas[nome_completo],"--",0,1)</f>
        <v>Haruto Saito</v>
      </c>
    </row>
    <row r="1209" spans="1:8" x14ac:dyDescent="0.25">
      <c r="A1209" s="2" t="s">
        <v>3446</v>
      </c>
      <c r="B1209" t="str">
        <f>_xlfn.XLOOKUP(TBL_USUARIOS[[#This Row],[ID_MASSA]],tbl_de_massas[id_massa],tbl_de_massas[cpf],"--",0,1)</f>
        <v>10269971009</v>
      </c>
      <c r="C1209" t="s">
        <v>12</v>
      </c>
      <c r="D1209" t="str">
        <f>_xlfn.XLOOKUP(TBL_USUARIOS[[#This Row],[ID_MASSA]],tbl_de_massas[id_massa],tbl_de_massas[nome_completo],"--",0,1)</f>
        <v>Rafael Martins Barbosa</v>
      </c>
      <c r="E1209" t="str">
        <f>_xlfn.XLOOKUP(TBL_USUARIOS[[#This Row],[ID_MASSA]],tbl_de_massas[id_massa],tbl_de_massas[cartao_fisico_numero],"--",0,1)</f>
        <v>4576 7460 6196 2872</v>
      </c>
      <c r="F1209" t="str">
        <f>_xlfn.XLOOKUP(TBL_USUARIOS[[#This Row],[ID_MASSA]],tbl_de_massas[id_massa],tbl_de_massas[nome_completo],"--",0,1)</f>
        <v>Rafael Martins Barbosa</v>
      </c>
      <c r="G1209" s="47">
        <f>_xlfn.XLOOKUP(TBL_USUARIOS[[#This Row],[ID_MASSA]],tbl_de_massas[id_massa],tbl_de_massas[saldo_conta],"--",0,1)</f>
        <v>12965.68</v>
      </c>
      <c r="H1209" t="str">
        <f>_xlfn.XLOOKUP(TBL_USUARIOS[[#This Row],[ID_MASSA]],tbl_de_massas[id_massa],tbl_de_massas[nome_completo],"--",0,1)</f>
        <v>Rafael Martins Barbosa</v>
      </c>
    </row>
    <row r="1210" spans="1:8" x14ac:dyDescent="0.25">
      <c r="A1210" s="2" t="s">
        <v>5416</v>
      </c>
      <c r="B1210" t="str">
        <f>_xlfn.XLOOKUP(TBL_USUARIOS[[#This Row],[ID_MASSA]],tbl_de_massas[id_massa],tbl_de_massas[cpf],"--",0,1)</f>
        <v>02309717258</v>
      </c>
      <c r="C1210" t="s">
        <v>12</v>
      </c>
      <c r="D1210" t="str">
        <f>_xlfn.XLOOKUP(TBL_USUARIOS[[#This Row],[ID_MASSA]],tbl_de_massas[id_massa],tbl_de_massas[nome_completo],"--",0,1)</f>
        <v>Renato Pereira Nunes</v>
      </c>
      <c r="E1210" t="str">
        <f>_xlfn.XLOOKUP(TBL_USUARIOS[[#This Row],[ID_MASSA]],tbl_de_massas[id_massa],tbl_de_massas[cartao_fisico_numero],"--",0,1)</f>
        <v/>
      </c>
      <c r="F1210" t="str">
        <f>_xlfn.XLOOKUP(TBL_USUARIOS[[#This Row],[ID_MASSA]],tbl_de_massas[id_massa],tbl_de_massas[nome_completo],"--",0,1)</f>
        <v>Renato Pereira Nunes</v>
      </c>
      <c r="G1210" s="47">
        <f>_xlfn.XLOOKUP(TBL_USUARIOS[[#This Row],[ID_MASSA]],tbl_de_massas[id_massa],tbl_de_massas[saldo_conta],"--",0,1)</f>
        <v>12969.6</v>
      </c>
      <c r="H1210" t="str">
        <f>_xlfn.XLOOKUP(TBL_USUARIOS[[#This Row],[ID_MASSA]],tbl_de_massas[id_massa],tbl_de_massas[nome_completo],"--",0,1)</f>
        <v>Renato Pereira Nunes</v>
      </c>
    </row>
    <row r="1211" spans="1:8" x14ac:dyDescent="0.25">
      <c r="A1211" s="2" t="s">
        <v>4211</v>
      </c>
      <c r="B1211" t="str">
        <f>_xlfn.XLOOKUP(TBL_USUARIOS[[#This Row],[ID_MASSA]],tbl_de_massas[id_massa],tbl_de_massas[cpf],"--",0,1)</f>
        <v>85552935705</v>
      </c>
      <c r="C1211" t="s">
        <v>12</v>
      </c>
      <c r="D1211" t="str">
        <f>_xlfn.XLOOKUP(TBL_USUARIOS[[#This Row],[ID_MASSA]],tbl_de_massas[id_massa],tbl_de_massas[nome_completo],"--",0,1)</f>
        <v>Leticia Souza</v>
      </c>
      <c r="E1211" t="str">
        <f>_xlfn.XLOOKUP(TBL_USUARIOS[[#This Row],[ID_MASSA]],tbl_de_massas[id_massa],tbl_de_massas[cartao_fisico_numero],"--",0,1)</f>
        <v>5442 7460 2105 1537</v>
      </c>
      <c r="F1211" t="str">
        <f>_xlfn.XLOOKUP(TBL_USUARIOS[[#This Row],[ID_MASSA]],tbl_de_massas[id_massa],tbl_de_massas[nome_completo],"--",0,1)</f>
        <v>Leticia Souza</v>
      </c>
      <c r="G1211" s="47">
        <f>_xlfn.XLOOKUP(TBL_USUARIOS[[#This Row],[ID_MASSA]],tbl_de_massas[id_massa],tbl_de_massas[saldo_conta],"--",0,1)</f>
        <v>12973.93</v>
      </c>
      <c r="H1211" t="str">
        <f>_xlfn.XLOOKUP(TBL_USUARIOS[[#This Row],[ID_MASSA]],tbl_de_massas[id_massa],tbl_de_massas[nome_completo],"--",0,1)</f>
        <v>Leticia Souza</v>
      </c>
    </row>
    <row r="1212" spans="1:8" x14ac:dyDescent="0.25">
      <c r="A1212" s="2" t="s">
        <v>2659</v>
      </c>
      <c r="B1212" t="str">
        <f>_xlfn.XLOOKUP(TBL_USUARIOS[[#This Row],[ID_MASSA]],tbl_de_massas[id_massa],tbl_de_massas[cpf],"--",0,1)</f>
        <v>31503792706</v>
      </c>
      <c r="C1212" t="s">
        <v>12</v>
      </c>
      <c r="D1212" t="str">
        <f>_xlfn.XLOOKUP(TBL_USUARIOS[[#This Row],[ID_MASSA]],tbl_de_massas[id_massa],tbl_de_massas[nome_completo],"--",0,1)</f>
        <v>Pierre Bernsard</v>
      </c>
      <c r="E1212" t="str">
        <f>_xlfn.XLOOKUP(TBL_USUARIOS[[#This Row],[ID_MASSA]],tbl_de_massas[id_massa],tbl_de_massas[cartao_fisico_numero],"--",0,1)</f>
        <v>6062 8200 5484 4239</v>
      </c>
      <c r="F1212" t="str">
        <f>_xlfn.XLOOKUP(TBL_USUARIOS[[#This Row],[ID_MASSA]],tbl_de_massas[id_massa],tbl_de_massas[nome_completo],"--",0,1)</f>
        <v>Pierre Bernsard</v>
      </c>
      <c r="G1212" s="47">
        <f>_xlfn.XLOOKUP(TBL_USUARIOS[[#This Row],[ID_MASSA]],tbl_de_massas[id_massa],tbl_de_massas[saldo_conta],"--",0,1)</f>
        <v>12979.14</v>
      </c>
      <c r="H1212" t="str">
        <f>_xlfn.XLOOKUP(TBL_USUARIOS[[#This Row],[ID_MASSA]],tbl_de_massas[id_massa],tbl_de_massas[nome_completo],"--",0,1)</f>
        <v>Pierre Bernsard</v>
      </c>
    </row>
    <row r="1213" spans="1:8" x14ac:dyDescent="0.25">
      <c r="A1213" s="2" t="s">
        <v>3704</v>
      </c>
      <c r="B1213" t="str">
        <f>_xlfn.XLOOKUP(TBL_USUARIOS[[#This Row],[ID_MASSA]],tbl_de_massas[id_massa],tbl_de_massas[cpf],"--",0,1)</f>
        <v>35727937426</v>
      </c>
      <c r="C1213" t="s">
        <v>12</v>
      </c>
      <c r="D1213" t="str">
        <f>_xlfn.XLOOKUP(TBL_USUARIOS[[#This Row],[ID_MASSA]],tbl_de_massas[id_massa],tbl_de_massas[nome_completo],"--",0,1)</f>
        <v>Danilo Cardoso</v>
      </c>
      <c r="E1213" t="str">
        <f>_xlfn.XLOOKUP(TBL_USUARIOS[[#This Row],[ID_MASSA]],tbl_de_massas[id_massa],tbl_de_massas[cartao_fisico_numero],"--",0,1)</f>
        <v/>
      </c>
      <c r="F1213" t="str">
        <f>_xlfn.XLOOKUP(TBL_USUARIOS[[#This Row],[ID_MASSA]],tbl_de_massas[id_massa],tbl_de_massas[nome_completo],"--",0,1)</f>
        <v>Danilo Cardoso</v>
      </c>
      <c r="G1213" s="47">
        <f>_xlfn.XLOOKUP(TBL_USUARIOS[[#This Row],[ID_MASSA]],tbl_de_massas[id_massa],tbl_de_massas[saldo_conta],"--",0,1)</f>
        <v>9125.4500000000007</v>
      </c>
      <c r="H1213" t="str">
        <f>_xlfn.XLOOKUP(TBL_USUARIOS[[#This Row],[ID_MASSA]],tbl_de_massas[id_massa],tbl_de_massas[nome_completo],"--",0,1)</f>
        <v>Danilo Cardoso</v>
      </c>
    </row>
    <row r="1214" spans="1:8" x14ac:dyDescent="0.25">
      <c r="A1214" s="2" t="s">
        <v>5968</v>
      </c>
      <c r="B1214" t="str">
        <f>_xlfn.XLOOKUP(TBL_USUARIOS[[#This Row],[ID_MASSA]],tbl_de_massas[id_massa],tbl_de_massas[cpf],"--",0,1)</f>
        <v>14896427653</v>
      </c>
      <c r="C1214" t="s">
        <v>12</v>
      </c>
      <c r="D1214" t="str">
        <f>_xlfn.XLOOKUP(TBL_USUARIOS[[#This Row],[ID_MASSA]],tbl_de_massas[id_massa],tbl_de_massas[nome_completo],"--",0,1)</f>
        <v>Amanda Borges Rocha</v>
      </c>
      <c r="E1214" t="str">
        <f>_xlfn.XLOOKUP(TBL_USUARIOS[[#This Row],[ID_MASSA]],tbl_de_massas[id_massa],tbl_de_massas[cartao_fisico_numero],"--",0,1)</f>
        <v>3782 193749 8838</v>
      </c>
      <c r="F1214" t="str">
        <f>_xlfn.XLOOKUP(TBL_USUARIOS[[#This Row],[ID_MASSA]],tbl_de_massas[id_massa],tbl_de_massas[nome_completo],"--",0,1)</f>
        <v>Amanda Borges Rocha</v>
      </c>
      <c r="G1214" s="47">
        <f>_xlfn.XLOOKUP(TBL_USUARIOS[[#This Row],[ID_MASSA]],tbl_de_massas[id_massa],tbl_de_massas[saldo_conta],"--",0,1)</f>
        <v>13011.01</v>
      </c>
      <c r="H1214" t="str">
        <f>_xlfn.XLOOKUP(TBL_USUARIOS[[#This Row],[ID_MASSA]],tbl_de_massas[id_massa],tbl_de_massas[nome_completo],"--",0,1)</f>
        <v>Amanda Borges Rocha</v>
      </c>
    </row>
    <row r="1215" spans="1:8" x14ac:dyDescent="0.25">
      <c r="A1215" s="2" t="s">
        <v>5804</v>
      </c>
      <c r="B1215" t="str">
        <f>_xlfn.XLOOKUP(TBL_USUARIOS[[#This Row],[ID_MASSA]],tbl_de_massas[id_massa],tbl_de_massas[cpf],"--",0,1)</f>
        <v>06985818064</v>
      </c>
      <c r="C1215" t="s">
        <v>12</v>
      </c>
      <c r="D1215" t="str">
        <f>_xlfn.XLOOKUP(TBL_USUARIOS[[#This Row],[ID_MASSA]],tbl_de_massas[id_massa],tbl_de_massas[nome_completo],"--",0,1)</f>
        <v>Rodrigo Silva Santos</v>
      </c>
      <c r="E1215" t="str">
        <f>_xlfn.XLOOKUP(TBL_USUARIOS[[#This Row],[ID_MASSA]],tbl_de_massas[id_massa],tbl_de_massas[cartao_fisico_numero],"--",0,1)</f>
        <v>3782 890591 6092</v>
      </c>
      <c r="F1215" t="str">
        <f>_xlfn.XLOOKUP(TBL_USUARIOS[[#This Row],[ID_MASSA]],tbl_de_massas[id_massa],tbl_de_massas[nome_completo],"--",0,1)</f>
        <v>Rodrigo Silva Santos</v>
      </c>
      <c r="G1215" s="47">
        <f>_xlfn.XLOOKUP(TBL_USUARIOS[[#This Row],[ID_MASSA]],tbl_de_massas[id_massa],tbl_de_massas[saldo_conta],"--",0,1)</f>
        <v>12680.49</v>
      </c>
      <c r="H1215" t="str">
        <f>_xlfn.XLOOKUP(TBL_USUARIOS[[#This Row],[ID_MASSA]],tbl_de_massas[id_massa],tbl_de_massas[nome_completo],"--",0,1)</f>
        <v>Rodrigo Silva Santos</v>
      </c>
    </row>
    <row r="1216" spans="1:8" x14ac:dyDescent="0.25">
      <c r="A1216" s="2" t="s">
        <v>3513</v>
      </c>
      <c r="B1216" t="str">
        <f>_xlfn.XLOOKUP(TBL_USUARIOS[[#This Row],[ID_MASSA]],tbl_de_massas[id_massa],tbl_de_massas[cpf],"--",0,1)</f>
        <v>57743688747</v>
      </c>
      <c r="C1216" t="s">
        <v>12</v>
      </c>
      <c r="D1216" t="str">
        <f>_xlfn.XLOOKUP(TBL_USUARIOS[[#This Row],[ID_MASSA]],tbl_de_massas[id_massa],tbl_de_massas[nome_completo],"--",0,1)</f>
        <v>Alexandre Silva Almeida</v>
      </c>
      <c r="E1216" t="str">
        <f>_xlfn.XLOOKUP(TBL_USUARIOS[[#This Row],[ID_MASSA]],tbl_de_massas[id_massa],tbl_de_massas[cartao_fisico_numero],"--",0,1)</f>
        <v/>
      </c>
      <c r="F1216" t="str">
        <f>_xlfn.XLOOKUP(TBL_USUARIOS[[#This Row],[ID_MASSA]],tbl_de_massas[id_massa],tbl_de_massas[nome_completo],"--",0,1)</f>
        <v>Alexandre Silva Almeida</v>
      </c>
      <c r="G1216" s="47">
        <f>_xlfn.XLOOKUP(TBL_USUARIOS[[#This Row],[ID_MASSA]],tbl_de_massas[id_massa],tbl_de_massas[saldo_conta],"--",0,1)</f>
        <v>13045.98</v>
      </c>
      <c r="H1216" t="str">
        <f>_xlfn.XLOOKUP(TBL_USUARIOS[[#This Row],[ID_MASSA]],tbl_de_massas[id_massa],tbl_de_massas[nome_completo],"--",0,1)</f>
        <v>Alexandre Silva Almeida</v>
      </c>
    </row>
    <row r="1217" spans="1:8" x14ac:dyDescent="0.25">
      <c r="A1217" s="2" t="s">
        <v>4699</v>
      </c>
      <c r="B1217" t="str">
        <f>_xlfn.XLOOKUP(TBL_USUARIOS[[#This Row],[ID_MASSA]],tbl_de_massas[id_massa],tbl_de_massas[cpf],"--",0,1)</f>
        <v>08269468282</v>
      </c>
      <c r="C1217" t="s">
        <v>12</v>
      </c>
      <c r="D1217" t="str">
        <f>_xlfn.XLOOKUP(TBL_USUARIOS[[#This Row],[ID_MASSA]],tbl_de_massas[id_massa],tbl_de_massas[nome_completo],"--",0,1)</f>
        <v>Felipe Rocha Oliveira</v>
      </c>
      <c r="E1217" t="str">
        <f>_xlfn.XLOOKUP(TBL_USUARIOS[[#This Row],[ID_MASSA]],tbl_de_massas[id_massa],tbl_de_massas[cartao_fisico_numero],"--",0,1)</f>
        <v>6062 8200 8812 8900</v>
      </c>
      <c r="F1217" t="str">
        <f>_xlfn.XLOOKUP(TBL_USUARIOS[[#This Row],[ID_MASSA]],tbl_de_massas[id_massa],tbl_de_massas[nome_completo],"--",0,1)</f>
        <v>Felipe Rocha Oliveira</v>
      </c>
      <c r="G1217" s="47">
        <f>_xlfn.XLOOKUP(TBL_USUARIOS[[#This Row],[ID_MASSA]],tbl_de_massas[id_massa],tbl_de_massas[saldo_conta],"--",0,1)</f>
        <v>13077.15</v>
      </c>
      <c r="H1217" t="str">
        <f>_xlfn.XLOOKUP(TBL_USUARIOS[[#This Row],[ID_MASSA]],tbl_de_massas[id_massa],tbl_de_massas[nome_completo],"--",0,1)</f>
        <v>Felipe Rocha Oliveira</v>
      </c>
    </row>
    <row r="1218" spans="1:8" x14ac:dyDescent="0.25">
      <c r="A1218" s="2" t="s">
        <v>3329</v>
      </c>
      <c r="B1218" t="str">
        <f>_xlfn.XLOOKUP(TBL_USUARIOS[[#This Row],[ID_MASSA]],tbl_de_massas[id_massa],tbl_de_massas[cpf],"--",0,1)</f>
        <v>21791037780</v>
      </c>
      <c r="C1218" t="s">
        <v>12</v>
      </c>
      <c r="D1218" t="str">
        <f>_xlfn.XLOOKUP(TBL_USUARIOS[[#This Row],[ID_MASSA]],tbl_de_massas[id_massa],tbl_de_massas[nome_completo],"--",0,1)</f>
        <v>Vinicius Pereira Borges</v>
      </c>
      <c r="E1218" t="str">
        <f>_xlfn.XLOOKUP(TBL_USUARIOS[[#This Row],[ID_MASSA]],tbl_de_massas[id_massa],tbl_de_massas[cartao_fisico_numero],"--",0,1)</f>
        <v>3782 858019 1001</v>
      </c>
      <c r="F1218" t="str">
        <f>_xlfn.XLOOKUP(TBL_USUARIOS[[#This Row],[ID_MASSA]],tbl_de_massas[id_massa],tbl_de_massas[nome_completo],"--",0,1)</f>
        <v>Vinicius Pereira Borges</v>
      </c>
      <c r="G1218" s="47">
        <f>_xlfn.XLOOKUP(TBL_USUARIOS[[#This Row],[ID_MASSA]],tbl_de_massas[id_massa],tbl_de_massas[saldo_conta],"--",0,1)</f>
        <v>13081.6</v>
      </c>
      <c r="H1218" t="str">
        <f>_xlfn.XLOOKUP(TBL_USUARIOS[[#This Row],[ID_MASSA]],tbl_de_massas[id_massa],tbl_de_massas[nome_completo],"--",0,1)</f>
        <v>Vinicius Pereira Borges</v>
      </c>
    </row>
    <row r="1219" spans="1:8" x14ac:dyDescent="0.25">
      <c r="A1219" s="2" t="s">
        <v>2738</v>
      </c>
      <c r="B1219" t="str">
        <f>_xlfn.XLOOKUP(TBL_USUARIOS[[#This Row],[ID_MASSA]],tbl_de_massas[id_massa],tbl_de_massas[cpf],"--",0,1)</f>
        <v>84144150321</v>
      </c>
      <c r="C1219" t="s">
        <v>12</v>
      </c>
      <c r="D1219" t="str">
        <f>_xlfn.XLOOKUP(TBL_USUARIOS[[#This Row],[ID_MASSA]],tbl_de_massas[id_massa],tbl_de_massas[nome_completo],"--",0,1)</f>
        <v>Renata Borges Monteiro</v>
      </c>
      <c r="E1219" t="str">
        <f>_xlfn.XLOOKUP(TBL_USUARIOS[[#This Row],[ID_MASSA]],tbl_de_massas[id_massa],tbl_de_massas[cartao_fisico_numero],"--",0,1)</f>
        <v>6505 0666 1756 9525</v>
      </c>
      <c r="F1219" t="str">
        <f>_xlfn.XLOOKUP(TBL_USUARIOS[[#This Row],[ID_MASSA]],tbl_de_massas[id_massa],tbl_de_massas[nome_completo],"--",0,1)</f>
        <v>Renata Borges Monteiro</v>
      </c>
      <c r="G1219" s="47">
        <f>_xlfn.XLOOKUP(TBL_USUARIOS[[#This Row],[ID_MASSA]],tbl_de_massas[id_massa],tbl_de_massas[saldo_conta],"--",0,1)</f>
        <v>13380.02</v>
      </c>
      <c r="H1219" t="str">
        <f>_xlfn.XLOOKUP(TBL_USUARIOS[[#This Row],[ID_MASSA]],tbl_de_massas[id_massa],tbl_de_massas[nome_completo],"--",0,1)</f>
        <v>Renata Borges Monteiro</v>
      </c>
    </row>
    <row r="1220" spans="1:8" x14ac:dyDescent="0.25">
      <c r="A1220" s="2" t="s">
        <v>3753</v>
      </c>
      <c r="B1220" t="str">
        <f>_xlfn.XLOOKUP(TBL_USUARIOS[[#This Row],[ID_MASSA]],tbl_de_massas[id_massa],tbl_de_massas[cpf],"--",0,1)</f>
        <v>48660346378</v>
      </c>
      <c r="C1220" t="s">
        <v>12</v>
      </c>
      <c r="D1220" t="str">
        <f>_xlfn.XLOOKUP(TBL_USUARIOS[[#This Row],[ID_MASSA]],tbl_de_massas[id_massa],tbl_de_massas[nome_completo],"--",0,1)</f>
        <v>Mariana Moreira Silva</v>
      </c>
      <c r="E1220" t="str">
        <f>_xlfn.XLOOKUP(TBL_USUARIOS[[#This Row],[ID_MASSA]],tbl_de_massas[id_massa],tbl_de_massas[cartao_fisico_numero],"--",0,1)</f>
        <v/>
      </c>
      <c r="F1220" t="str">
        <f>_xlfn.XLOOKUP(TBL_USUARIOS[[#This Row],[ID_MASSA]],tbl_de_massas[id_massa],tbl_de_massas[nome_completo],"--",0,1)</f>
        <v>Mariana Moreira Silva</v>
      </c>
      <c r="G1220" s="47">
        <f>_xlfn.XLOOKUP(TBL_USUARIOS[[#This Row],[ID_MASSA]],tbl_de_massas[id_massa],tbl_de_massas[saldo_conta],"--",0,1)</f>
        <v>13095.73</v>
      </c>
      <c r="H1220" t="str">
        <f>_xlfn.XLOOKUP(TBL_USUARIOS[[#This Row],[ID_MASSA]],tbl_de_massas[id_massa],tbl_de_massas[nome_completo],"--",0,1)</f>
        <v>Mariana Moreira Silva</v>
      </c>
    </row>
    <row r="1221" spans="1:8" x14ac:dyDescent="0.25">
      <c r="A1221" s="2" t="s">
        <v>6685</v>
      </c>
      <c r="B1221" t="str">
        <f>_xlfn.XLOOKUP(TBL_USUARIOS[[#This Row],[ID_MASSA]],tbl_de_massas[id_massa],tbl_de_massas[cpf],"--",0,1)</f>
        <v>32589680473</v>
      </c>
      <c r="C1221" t="s">
        <v>12</v>
      </c>
      <c r="D1221" t="str">
        <f>_xlfn.XLOOKUP(TBL_USUARIOS[[#This Row],[ID_MASSA]],tbl_de_massas[id_massa],tbl_de_massas[nome_completo],"--",0,1)</f>
        <v>Ignacio Aguirre Ramirez</v>
      </c>
      <c r="E1221" t="str">
        <f>_xlfn.XLOOKUP(TBL_USUARIOS[[#This Row],[ID_MASSA]],tbl_de_massas[id_massa],tbl_de_massas[cartao_fisico_numero],"--",0,1)</f>
        <v/>
      </c>
      <c r="F1221" t="str">
        <f>_xlfn.XLOOKUP(TBL_USUARIOS[[#This Row],[ID_MASSA]],tbl_de_massas[id_massa],tbl_de_massas[nome_completo],"--",0,1)</f>
        <v>Ignacio Aguirre Ramirez</v>
      </c>
      <c r="G1221" s="47">
        <f>_xlfn.XLOOKUP(TBL_USUARIOS[[#This Row],[ID_MASSA]],tbl_de_massas[id_massa],tbl_de_massas[saldo_conta],"--",0,1)</f>
        <v>13117.94</v>
      </c>
      <c r="H1221" t="str">
        <f>_xlfn.XLOOKUP(TBL_USUARIOS[[#This Row],[ID_MASSA]],tbl_de_massas[id_massa],tbl_de_massas[nome_completo],"--",0,1)</f>
        <v>Ignacio Aguirre Ramirez</v>
      </c>
    </row>
    <row r="1222" spans="1:8" x14ac:dyDescent="0.25">
      <c r="A1222" s="2" t="s">
        <v>3278</v>
      </c>
      <c r="B1222" t="str">
        <f>_xlfn.XLOOKUP(TBL_USUARIOS[[#This Row],[ID_MASSA]],tbl_de_massas[id_massa],tbl_de_massas[cpf],"--",0,1)</f>
        <v>05968340711</v>
      </c>
      <c r="C1222" t="s">
        <v>12</v>
      </c>
      <c r="D1222" t="str">
        <f>_xlfn.XLOOKUP(TBL_USUARIOS[[#This Row],[ID_MASSA]],tbl_de_massas[id_massa],tbl_de_massas[nome_completo],"--",0,1)</f>
        <v>Felipe Carvalho</v>
      </c>
      <c r="E1222" t="str">
        <f>_xlfn.XLOOKUP(TBL_USUARIOS[[#This Row],[ID_MASSA]],tbl_de_massas[id_massa],tbl_de_massas[cartao_fisico_numero],"--",0,1)</f>
        <v/>
      </c>
      <c r="F1222" t="str">
        <f>_xlfn.XLOOKUP(TBL_USUARIOS[[#This Row],[ID_MASSA]],tbl_de_massas[id_massa],tbl_de_massas[nome_completo],"--",0,1)</f>
        <v>Felipe Carvalho</v>
      </c>
      <c r="G1222" s="47">
        <f>_xlfn.XLOOKUP(TBL_USUARIOS[[#This Row],[ID_MASSA]],tbl_de_massas[id_massa],tbl_de_massas[saldo_conta],"--",0,1)</f>
        <v>13131.08</v>
      </c>
      <c r="H1222" t="str">
        <f>_xlfn.XLOOKUP(TBL_USUARIOS[[#This Row],[ID_MASSA]],tbl_de_massas[id_massa],tbl_de_massas[nome_completo],"--",0,1)</f>
        <v>Felipe Carvalho</v>
      </c>
    </row>
    <row r="1223" spans="1:8" x14ac:dyDescent="0.25">
      <c r="A1223" s="2" t="s">
        <v>3282</v>
      </c>
      <c r="B1223" t="str">
        <f>_xlfn.XLOOKUP(TBL_USUARIOS[[#This Row],[ID_MASSA]],tbl_de_massas[id_massa],tbl_de_massas[cpf],"--",0,1)</f>
        <v>24373458251</v>
      </c>
      <c r="C1223" t="s">
        <v>12</v>
      </c>
      <c r="D1223" t="str">
        <f>_xlfn.XLOOKUP(TBL_USUARIOS[[#This Row],[ID_MASSA]],tbl_de_massas[id_massa],tbl_de_massas[nome_completo],"--",0,1)</f>
        <v>Gabriela Martins Freitas</v>
      </c>
      <c r="E1223" t="str">
        <f>_xlfn.XLOOKUP(TBL_USUARIOS[[#This Row],[ID_MASSA]],tbl_de_massas[id_massa],tbl_de_massas[cartao_fisico_numero],"--",0,1)</f>
        <v>6062 8200 6690 6144</v>
      </c>
      <c r="F1223" t="str">
        <f>_xlfn.XLOOKUP(TBL_USUARIOS[[#This Row],[ID_MASSA]],tbl_de_massas[id_massa],tbl_de_massas[nome_completo],"--",0,1)</f>
        <v>Gabriela Martins Freitas</v>
      </c>
      <c r="G1223" s="47">
        <f>_xlfn.XLOOKUP(TBL_USUARIOS[[#This Row],[ID_MASSA]],tbl_de_massas[id_massa],tbl_de_massas[saldo_conta],"--",0,1)</f>
        <v>13139.01</v>
      </c>
      <c r="H1223" t="str">
        <f>_xlfn.XLOOKUP(TBL_USUARIOS[[#This Row],[ID_MASSA]],tbl_de_massas[id_massa],tbl_de_massas[nome_completo],"--",0,1)</f>
        <v>Gabriela Martins Freitas</v>
      </c>
    </row>
    <row r="1224" spans="1:8" x14ac:dyDescent="0.25">
      <c r="A1224" s="2" t="s">
        <v>5238</v>
      </c>
      <c r="B1224" t="str">
        <f>_xlfn.XLOOKUP(TBL_USUARIOS[[#This Row],[ID_MASSA]],tbl_de_massas[id_massa],tbl_de_massas[cpf],"--",0,1)</f>
        <v>01048768830</v>
      </c>
      <c r="C1224" t="s">
        <v>12</v>
      </c>
      <c r="D1224" t="str">
        <f>_xlfn.XLOOKUP(TBL_USUARIOS[[#This Row],[ID_MASSA]],tbl_de_massas[id_massa],tbl_de_massas[nome_completo],"--",0,1)</f>
        <v>Diego Cavalcanti Rocha</v>
      </c>
      <c r="E1224" t="str">
        <f>_xlfn.XLOOKUP(TBL_USUARIOS[[#This Row],[ID_MASSA]],tbl_de_massas[id_massa],tbl_de_massas[cartao_fisico_numero],"--",0,1)</f>
        <v>6505 0666 2877 8610</v>
      </c>
      <c r="F1224" t="str">
        <f>_xlfn.XLOOKUP(TBL_USUARIOS[[#This Row],[ID_MASSA]],tbl_de_massas[id_massa],tbl_de_massas[nome_completo],"--",0,1)</f>
        <v>Diego Cavalcanti Rocha</v>
      </c>
      <c r="G1224" s="47">
        <f>_xlfn.XLOOKUP(TBL_USUARIOS[[#This Row],[ID_MASSA]],tbl_de_massas[id_massa],tbl_de_massas[saldo_conta],"--",0,1)</f>
        <v>13149.56</v>
      </c>
      <c r="H1224" t="str">
        <f>_xlfn.XLOOKUP(TBL_USUARIOS[[#This Row],[ID_MASSA]],tbl_de_massas[id_massa],tbl_de_massas[nome_completo],"--",0,1)</f>
        <v>Diego Cavalcanti Rocha</v>
      </c>
    </row>
    <row r="1225" spans="1:8" x14ac:dyDescent="0.25">
      <c r="A1225" s="2" t="s">
        <v>2597</v>
      </c>
      <c r="B1225" s="14" t="str">
        <f>_xlfn.XLOOKUP(TBL_USUARIOS[[#This Row],[ID_MASSA]],tbl_de_massas[id_massa],tbl_de_massas[cpf],"--",0,1)</f>
        <v>99872369100</v>
      </c>
      <c r="C1225" t="s">
        <v>12</v>
      </c>
      <c r="D1225" t="str">
        <f>_xlfn.XLOOKUP(TBL_USUARIOS[[#This Row],[ID_MASSA]],tbl_de_massas[id_massa],tbl_de_massas[nome_completo],"--",0,1)</f>
        <v>Gabriel Vinicius Souuza</v>
      </c>
      <c r="E1225" t="str">
        <f>_xlfn.XLOOKUP(TBL_USUARIOS[[#This Row],[ID_MASSA]],tbl_de_massas[id_massa],tbl_de_massas[cartao_fisico_numero],"--",0,1)</f>
        <v>4576 7460 5475 9569</v>
      </c>
      <c r="F1225" t="str">
        <f>_xlfn.XLOOKUP(TBL_USUARIOS[[#This Row],[ID_MASSA]],tbl_de_massas[id_massa],tbl_de_massas[nome_completo],"--",0,1)</f>
        <v>Gabriel Vinicius Souuza</v>
      </c>
      <c r="G1225" s="47">
        <f>_xlfn.XLOOKUP(TBL_USUARIOS[[#This Row],[ID_MASSA]],tbl_de_massas[id_massa],tbl_de_massas[saldo_conta],"--",0,1)</f>
        <v>9055.59</v>
      </c>
      <c r="H1225" t="str">
        <f>_xlfn.XLOOKUP(TBL_USUARIOS[[#This Row],[ID_MASSA]],tbl_de_massas[id_massa],tbl_de_massas[nome_completo],"--",0,1)</f>
        <v>Gabriel Vinicius Souuza</v>
      </c>
    </row>
    <row r="1226" spans="1:8" x14ac:dyDescent="0.25">
      <c r="A1226" s="2" t="s">
        <v>6137</v>
      </c>
      <c r="B1226" t="str">
        <f>_xlfn.XLOOKUP(TBL_USUARIOS[[#This Row],[ID_MASSA]],tbl_de_massas[id_massa],tbl_de_massas[cpf],"--",0,1)</f>
        <v>69214994803</v>
      </c>
      <c r="C1226" t="s">
        <v>12</v>
      </c>
      <c r="D1226" t="str">
        <f>_xlfn.XLOOKUP(TBL_USUARIOS[[#This Row],[ID_MASSA]],tbl_de_massas[id_massa],tbl_de_massas[nome_completo],"--",0,1)</f>
        <v>Jade Dupont Bernard</v>
      </c>
      <c r="E1226" t="str">
        <f>_xlfn.XLOOKUP(TBL_USUARIOS[[#This Row],[ID_MASSA]],tbl_de_massas[id_massa],tbl_de_massas[cartao_fisico_numero],"--",0,1)</f>
        <v>3782 266939 1966</v>
      </c>
      <c r="F1226" t="str">
        <f>_xlfn.XLOOKUP(TBL_USUARIOS[[#This Row],[ID_MASSA]],tbl_de_massas[id_massa],tbl_de_massas[nome_completo],"--",0,1)</f>
        <v>Jade Dupont Bernard</v>
      </c>
      <c r="G1226" s="47">
        <f>_xlfn.XLOOKUP(TBL_USUARIOS[[#This Row],[ID_MASSA]],tbl_de_massas[id_massa],tbl_de_massas[saldo_conta],"--",0,1)</f>
        <v>12960.14</v>
      </c>
      <c r="H1226" t="str">
        <f>_xlfn.XLOOKUP(TBL_USUARIOS[[#This Row],[ID_MASSA]],tbl_de_massas[id_massa],tbl_de_massas[nome_completo],"--",0,1)</f>
        <v>Jade Dupont Bernard</v>
      </c>
    </row>
    <row r="1227" spans="1:8" x14ac:dyDescent="0.25">
      <c r="A1227" s="2" t="s">
        <v>6097</v>
      </c>
      <c r="B1227" t="str">
        <f>_xlfn.XLOOKUP(TBL_USUARIOS[[#This Row],[ID_MASSA]],tbl_de_massas[id_massa],tbl_de_massas[cpf],"--",0,1)</f>
        <v>20187524726</v>
      </c>
      <c r="C1227" t="s">
        <v>12</v>
      </c>
      <c r="D1227" t="str">
        <f>_xlfn.XLOOKUP(TBL_USUARIOS[[#This Row],[ID_MASSA]],tbl_de_massas[id_massa],tbl_de_massas[nome_completo],"--",0,1)</f>
        <v>Seoyun Kim Park</v>
      </c>
      <c r="E1227" t="str">
        <f>_xlfn.XLOOKUP(TBL_USUARIOS[[#This Row],[ID_MASSA]],tbl_de_massas[id_massa],tbl_de_massas[cartao_fisico_numero],"--",0,1)</f>
        <v/>
      </c>
      <c r="F1227" t="str">
        <f>_xlfn.XLOOKUP(TBL_USUARIOS[[#This Row],[ID_MASSA]],tbl_de_massas[id_massa],tbl_de_massas[nome_completo],"--",0,1)</f>
        <v>Seoyun Kim Park</v>
      </c>
      <c r="G1227" s="47">
        <f>_xlfn.XLOOKUP(TBL_USUARIOS[[#This Row],[ID_MASSA]],tbl_de_massas[id_massa],tbl_de_massas[saldo_conta],"--",0,1)</f>
        <v>13163.75</v>
      </c>
      <c r="H1227" t="str">
        <f>_xlfn.XLOOKUP(TBL_USUARIOS[[#This Row],[ID_MASSA]],tbl_de_massas[id_massa],tbl_de_massas[nome_completo],"--",0,1)</f>
        <v>Seoyun Kim Park</v>
      </c>
    </row>
    <row r="1228" spans="1:8" x14ac:dyDescent="0.25">
      <c r="A1228" s="2" t="s">
        <v>2169</v>
      </c>
      <c r="B1228" s="14" t="str">
        <f>_xlfn.XLOOKUP(TBL_USUARIOS[[#This Row],[ID_MASSA]],tbl_de_massas[id_massa],tbl_de_massas[cpf],"--",0,1)</f>
        <v>09056318624</v>
      </c>
      <c r="C1228" t="s">
        <v>12</v>
      </c>
      <c r="D1228" t="str">
        <f>_xlfn.XLOOKUP(TBL_USUARIOS[[#This Row],[ID_MASSA]],tbl_de_massas[id_massa],tbl_de_massas[nome_completo],"--",0,1)</f>
        <v>Emily Rose Johnson</v>
      </c>
      <c r="E1228" t="str">
        <f>_xlfn.XLOOKUP(TBL_USUARIOS[[#This Row],[ID_MASSA]],tbl_de_massas[id_massa],tbl_de_massas[cartao_fisico_numero],"--",0,1)</f>
        <v>6505 0666 6899 6592</v>
      </c>
      <c r="F1228" t="str">
        <f>_xlfn.XLOOKUP(TBL_USUARIOS[[#This Row],[ID_MASSA]],tbl_de_massas[id_massa],tbl_de_massas[nome_completo],"--",0,1)</f>
        <v>Emily Rose Johnson</v>
      </c>
      <c r="G1228" s="47">
        <f>_xlfn.XLOOKUP(TBL_USUARIOS[[#This Row],[ID_MASSA]],tbl_de_massas[id_massa],tbl_de_massas[saldo_conta],"--",0,1)</f>
        <v>13181.41</v>
      </c>
      <c r="H1228" t="str">
        <f>_xlfn.XLOOKUP(TBL_USUARIOS[[#This Row],[ID_MASSA]],tbl_de_massas[id_massa],tbl_de_massas[nome_completo],"--",0,1)</f>
        <v>Emily Rose Johnson</v>
      </c>
    </row>
    <row r="1229" spans="1:8" x14ac:dyDescent="0.25">
      <c r="A1229" s="2" t="s">
        <v>5441</v>
      </c>
      <c r="B1229" t="str">
        <f>_xlfn.XLOOKUP(TBL_USUARIOS[[#This Row],[ID_MASSA]],tbl_de_massas[id_massa],tbl_de_massas[cpf],"--",0,1)</f>
        <v>02773226771</v>
      </c>
      <c r="C1229" t="s">
        <v>12</v>
      </c>
      <c r="D1229" t="str">
        <f>_xlfn.XLOOKUP(TBL_USUARIOS[[#This Row],[ID_MASSA]],tbl_de_massas[id_massa],tbl_de_massas[nome_completo],"--",0,1)</f>
        <v>Bianca Souza Monteiro</v>
      </c>
      <c r="E1229" t="str">
        <f>_xlfn.XLOOKUP(TBL_USUARIOS[[#This Row],[ID_MASSA]],tbl_de_massas[id_massa],tbl_de_massas[cartao_fisico_numero],"--",0,1)</f>
        <v/>
      </c>
      <c r="F1229" t="str">
        <f>_xlfn.XLOOKUP(TBL_USUARIOS[[#This Row],[ID_MASSA]],tbl_de_massas[id_massa],tbl_de_massas[nome_completo],"--",0,1)</f>
        <v>Bianca Souza Monteiro</v>
      </c>
      <c r="G1229" s="47">
        <f>_xlfn.XLOOKUP(TBL_USUARIOS[[#This Row],[ID_MASSA]],tbl_de_massas[id_massa],tbl_de_massas[saldo_conta],"--",0,1)</f>
        <v>13181.94</v>
      </c>
      <c r="H1229" t="str">
        <f>_xlfn.XLOOKUP(TBL_USUARIOS[[#This Row],[ID_MASSA]],tbl_de_massas[id_massa],tbl_de_massas[nome_completo],"--",0,1)</f>
        <v>Bianca Souza Monteiro</v>
      </c>
    </row>
    <row r="1230" spans="1:8" x14ac:dyDescent="0.25">
      <c r="A1230" s="2" t="s">
        <v>3464</v>
      </c>
      <c r="B1230" t="str">
        <f>_xlfn.XLOOKUP(TBL_USUARIOS[[#This Row],[ID_MASSA]],tbl_de_massas[id_massa],tbl_de_massas[cpf],"--",0,1)</f>
        <v>90928535002</v>
      </c>
      <c r="C1230" t="s">
        <v>12</v>
      </c>
      <c r="D1230" t="str">
        <f>_xlfn.XLOOKUP(TBL_USUARIOS[[#This Row],[ID_MASSA]],tbl_de_massas[id_massa],tbl_de_massas[nome_completo],"--",0,1)</f>
        <v>Carolina Martins Monteiro</v>
      </c>
      <c r="E1230" t="str">
        <f>_xlfn.XLOOKUP(TBL_USUARIOS[[#This Row],[ID_MASSA]],tbl_de_massas[id_massa],tbl_de_massas[cartao_fisico_numero],"--",0,1)</f>
        <v>4576 7460 3448 9894</v>
      </c>
      <c r="F1230" t="str">
        <f>_xlfn.XLOOKUP(TBL_USUARIOS[[#This Row],[ID_MASSA]],tbl_de_massas[id_massa],tbl_de_massas[nome_completo],"--",0,1)</f>
        <v>Carolina Martins Monteiro</v>
      </c>
      <c r="G1230" s="47">
        <f>_xlfn.XLOOKUP(TBL_USUARIOS[[#This Row],[ID_MASSA]],tbl_de_massas[id_massa],tbl_de_massas[saldo_conta],"--",0,1)</f>
        <v>13214.1</v>
      </c>
      <c r="H1230" t="str">
        <f>_xlfn.XLOOKUP(TBL_USUARIOS[[#This Row],[ID_MASSA]],tbl_de_massas[id_massa],tbl_de_massas[nome_completo],"--",0,1)</f>
        <v>Carolina Martins Monteiro</v>
      </c>
    </row>
    <row r="1231" spans="1:8" x14ac:dyDescent="0.25">
      <c r="A1231" s="2" t="s">
        <v>5927</v>
      </c>
      <c r="B1231" t="str">
        <f>_xlfn.XLOOKUP(TBL_USUARIOS[[#This Row],[ID_MASSA]],tbl_de_massas[id_massa],tbl_de_massas[cpf],"--",0,1)</f>
        <v>86395250647</v>
      </c>
      <c r="C1231" t="s">
        <v>12</v>
      </c>
      <c r="D1231" t="str">
        <f>_xlfn.XLOOKUP(TBL_USUARIOS[[#This Row],[ID_MASSA]],tbl_de_massas[id_massa],tbl_de_massas[nome_completo],"--",0,1)</f>
        <v>Amanda Dias</v>
      </c>
      <c r="E1231" t="str">
        <f>_xlfn.XLOOKUP(TBL_USUARIOS[[#This Row],[ID_MASSA]],tbl_de_massas[id_massa],tbl_de_massas[cartao_fisico_numero],"--",0,1)</f>
        <v/>
      </c>
      <c r="F1231" t="str">
        <f>_xlfn.XLOOKUP(TBL_USUARIOS[[#This Row],[ID_MASSA]],tbl_de_massas[id_massa],tbl_de_massas[nome_completo],"--",0,1)</f>
        <v>Amanda Dias</v>
      </c>
      <c r="G1231" s="47">
        <f>_xlfn.XLOOKUP(TBL_USUARIOS[[#This Row],[ID_MASSA]],tbl_de_massas[id_massa],tbl_de_massas[saldo_conta],"--",0,1)</f>
        <v>13221.23</v>
      </c>
      <c r="H1231" t="str">
        <f>_xlfn.XLOOKUP(TBL_USUARIOS[[#This Row],[ID_MASSA]],tbl_de_massas[id_massa],tbl_de_massas[nome_completo],"--",0,1)</f>
        <v>Amanda Dias</v>
      </c>
    </row>
    <row r="1232" spans="1:8" x14ac:dyDescent="0.25">
      <c r="A1232" s="2" t="s">
        <v>2474</v>
      </c>
      <c r="B1232" s="14" t="str">
        <f>_xlfn.XLOOKUP(TBL_USUARIOS[[#This Row],[ID_MASSA]],tbl_de_massas[id_massa],tbl_de_massas[cpf],"--",0,1)</f>
        <v>94938513897</v>
      </c>
      <c r="C1232" t="s">
        <v>12</v>
      </c>
      <c r="D1232" t="str">
        <f>_xlfn.XLOOKUP(TBL_USUARIOS[[#This Row],[ID_MASSA]],tbl_de_massas[id_massa],tbl_de_massas[nome_completo],"--",0,1)</f>
        <v>Aoi Yamamoto</v>
      </c>
      <c r="E1232" t="str">
        <f>_xlfn.XLOOKUP(TBL_USUARIOS[[#This Row],[ID_MASSA]],tbl_de_massas[id_massa],tbl_de_massas[cartao_fisico_numero],"--",0,1)</f>
        <v/>
      </c>
      <c r="F1232" t="str">
        <f>_xlfn.XLOOKUP(TBL_USUARIOS[[#This Row],[ID_MASSA]],tbl_de_massas[id_massa],tbl_de_massas[nome_completo],"--",0,1)</f>
        <v>Aoi Yamamoto</v>
      </c>
      <c r="G1232" s="47">
        <f>_xlfn.XLOOKUP(TBL_USUARIOS[[#This Row],[ID_MASSA]],tbl_de_massas[id_massa],tbl_de_massas[saldo_conta],"--",0,1)</f>
        <v>11105.66</v>
      </c>
      <c r="H1232" t="str">
        <f>_xlfn.XLOOKUP(TBL_USUARIOS[[#This Row],[ID_MASSA]],tbl_de_massas[id_massa],tbl_de_massas[nome_completo],"--",0,1)</f>
        <v>Aoi Yamamoto</v>
      </c>
    </row>
    <row r="1233" spans="1:8" x14ac:dyDescent="0.25">
      <c r="A1233" s="2" t="s">
        <v>4864</v>
      </c>
      <c r="B1233" t="str">
        <f>_xlfn.XLOOKUP(TBL_USUARIOS[[#This Row],[ID_MASSA]],tbl_de_massas[id_massa],tbl_de_massas[cpf],"--",0,1)</f>
        <v>79482316681</v>
      </c>
      <c r="C1233" t="s">
        <v>12</v>
      </c>
      <c r="D1233" t="str">
        <f>_xlfn.XLOOKUP(TBL_USUARIOS[[#This Row],[ID_MASSA]],tbl_de_massas[id_massa],tbl_de_massas[nome_completo],"--",0,1)</f>
        <v>Renata Moura</v>
      </c>
      <c r="E1233" t="str">
        <f>_xlfn.XLOOKUP(TBL_USUARIOS[[#This Row],[ID_MASSA]],tbl_de_massas[id_massa],tbl_de_massas[cartao_fisico_numero],"--",0,1)</f>
        <v>3782 633766 6224</v>
      </c>
      <c r="F1233" t="str">
        <f>_xlfn.XLOOKUP(TBL_USUARIOS[[#This Row],[ID_MASSA]],tbl_de_massas[id_massa],tbl_de_massas[nome_completo],"--",0,1)</f>
        <v>Renata Moura</v>
      </c>
      <c r="G1233" s="47">
        <f>_xlfn.XLOOKUP(TBL_USUARIOS[[#This Row],[ID_MASSA]],tbl_de_massas[id_massa],tbl_de_massas[saldo_conta],"--",0,1)</f>
        <v>13256.46</v>
      </c>
      <c r="H1233" t="str">
        <f>_xlfn.XLOOKUP(TBL_USUARIOS[[#This Row],[ID_MASSA]],tbl_de_massas[id_massa],tbl_de_massas[nome_completo],"--",0,1)</f>
        <v>Renata Moura</v>
      </c>
    </row>
    <row r="1234" spans="1:8" x14ac:dyDescent="0.25">
      <c r="A1234" s="2" t="s">
        <v>5201</v>
      </c>
      <c r="B1234" t="str">
        <f>_xlfn.XLOOKUP(TBL_USUARIOS[[#This Row],[ID_MASSA]],tbl_de_massas[id_massa],tbl_de_massas[cpf],"--",0,1)</f>
        <v>74145478410</v>
      </c>
      <c r="C1234" t="s">
        <v>12</v>
      </c>
      <c r="D1234" t="str">
        <f>_xlfn.XLOOKUP(TBL_USUARIOS[[#This Row],[ID_MASSA]],tbl_de_massas[id_massa],tbl_de_massas[nome_completo],"--",0,1)</f>
        <v>Thiago Lima Dias</v>
      </c>
      <c r="E1234" t="str">
        <f>_xlfn.XLOOKUP(TBL_USUARIOS[[#This Row],[ID_MASSA]],tbl_de_massas[id_massa],tbl_de_massas[cartao_fisico_numero],"--",0,1)</f>
        <v>4576 7460 3425 0648</v>
      </c>
      <c r="F1234" t="str">
        <f>_xlfn.XLOOKUP(TBL_USUARIOS[[#This Row],[ID_MASSA]],tbl_de_massas[id_massa],tbl_de_massas[nome_completo],"--",0,1)</f>
        <v>Thiago Lima Dias</v>
      </c>
      <c r="G1234" s="47">
        <f>_xlfn.XLOOKUP(TBL_USUARIOS[[#This Row],[ID_MASSA]],tbl_de_massas[id_massa],tbl_de_massas[saldo_conta],"--",0,1)</f>
        <v>13257.93</v>
      </c>
      <c r="H1234" t="str">
        <f>_xlfn.XLOOKUP(TBL_USUARIOS[[#This Row],[ID_MASSA]],tbl_de_massas[id_massa],tbl_de_massas[nome_completo],"--",0,1)</f>
        <v>Thiago Lima Dias</v>
      </c>
    </row>
    <row r="1235" spans="1:8" x14ac:dyDescent="0.25">
      <c r="A1235" s="2" t="s">
        <v>2163</v>
      </c>
      <c r="B1235" s="14" t="str">
        <f>_xlfn.XLOOKUP(TBL_USUARIOS[[#This Row],[ID_MASSA]],tbl_de_massas[id_massa],tbl_de_massas[cpf],"--",0,1)</f>
        <v>82474679928</v>
      </c>
      <c r="C1235" t="s">
        <v>12</v>
      </c>
      <c r="D1235" t="str">
        <f>_xlfn.XLOOKUP(TBL_USUARIOS[[#This Row],[ID_MASSA]],tbl_de_massas[id_massa],tbl_de_massas[nome_completo],"--",0,1)</f>
        <v>Sofia Esposito</v>
      </c>
      <c r="E1235" t="str">
        <f>_xlfn.XLOOKUP(TBL_USUARIOS[[#This Row],[ID_MASSA]],tbl_de_massas[id_massa],tbl_de_massas[cartao_fisico_numero],"--",0,1)</f>
        <v>6062 8200 2915 7609</v>
      </c>
      <c r="F1235" t="str">
        <f>_xlfn.XLOOKUP(TBL_USUARIOS[[#This Row],[ID_MASSA]],tbl_de_massas[id_massa],tbl_de_massas[nome_completo],"--",0,1)</f>
        <v>Sofia Esposito</v>
      </c>
      <c r="G1235" s="47">
        <f>_xlfn.XLOOKUP(TBL_USUARIOS[[#This Row],[ID_MASSA]],tbl_de_massas[id_massa],tbl_de_massas[saldo_conta],"--",0,1)</f>
        <v>13270.67</v>
      </c>
      <c r="H1235" t="str">
        <f>_xlfn.XLOOKUP(TBL_USUARIOS[[#This Row],[ID_MASSA]],tbl_de_massas[id_massa],tbl_de_massas[nome_completo],"--",0,1)</f>
        <v>Sofia Esposito</v>
      </c>
    </row>
    <row r="1236" spans="1:8" x14ac:dyDescent="0.25">
      <c r="A1236" s="2" t="s">
        <v>3852</v>
      </c>
      <c r="B1236" t="str">
        <f>_xlfn.XLOOKUP(TBL_USUARIOS[[#This Row],[ID_MASSA]],tbl_de_massas[id_massa],tbl_de_massas[cpf],"--",0,1)</f>
        <v>33143207604</v>
      </c>
      <c r="C1236" t="s">
        <v>12</v>
      </c>
      <c r="D1236" t="str">
        <f>_xlfn.XLOOKUP(TBL_USUARIOS[[#This Row],[ID_MASSA]],tbl_de_massas[id_massa],tbl_de_massas[nome_completo],"--",0,1)</f>
        <v>Juliana Ribeiro Fernandes</v>
      </c>
      <c r="E1236" t="str">
        <f>_xlfn.XLOOKUP(TBL_USUARIOS[[#This Row],[ID_MASSA]],tbl_de_massas[id_massa],tbl_de_massas[cartao_fisico_numero],"--",0,1)</f>
        <v>3782 315190 1684</v>
      </c>
      <c r="F1236" t="str">
        <f>_xlfn.XLOOKUP(TBL_USUARIOS[[#This Row],[ID_MASSA]],tbl_de_massas[id_massa],tbl_de_massas[nome_completo],"--",0,1)</f>
        <v>Juliana Ribeiro Fernandes</v>
      </c>
      <c r="G1236" s="47">
        <f>_xlfn.XLOOKUP(TBL_USUARIOS[[#This Row],[ID_MASSA]],tbl_de_massas[id_massa],tbl_de_massas[saldo_conta],"--",0,1)</f>
        <v>13273.77</v>
      </c>
      <c r="H1236" t="str">
        <f>_xlfn.XLOOKUP(TBL_USUARIOS[[#This Row],[ID_MASSA]],tbl_de_massas[id_massa],tbl_de_massas[nome_completo],"--",0,1)</f>
        <v>Juliana Ribeiro Fernandes</v>
      </c>
    </row>
    <row r="1237" spans="1:8" x14ac:dyDescent="0.25">
      <c r="A1237" s="2" t="s">
        <v>4120</v>
      </c>
      <c r="B1237" t="str">
        <f>_xlfn.XLOOKUP(TBL_USUARIOS[[#This Row],[ID_MASSA]],tbl_de_massas[id_massa],tbl_de_massas[cpf],"--",0,1)</f>
        <v>19953946108</v>
      </c>
      <c r="C1237" t="s">
        <v>12</v>
      </c>
      <c r="D1237" t="str">
        <f>_xlfn.XLOOKUP(TBL_USUARIOS[[#This Row],[ID_MASSA]],tbl_de_massas[id_massa],tbl_de_massas[nome_completo],"--",0,1)</f>
        <v>Gustavo Pereira</v>
      </c>
      <c r="E1237" t="str">
        <f>_xlfn.XLOOKUP(TBL_USUARIOS[[#This Row],[ID_MASSA]],tbl_de_massas[id_massa],tbl_de_massas[cartao_fisico_numero],"--",0,1)</f>
        <v/>
      </c>
      <c r="F1237" t="str">
        <f>_xlfn.XLOOKUP(TBL_USUARIOS[[#This Row],[ID_MASSA]],tbl_de_massas[id_massa],tbl_de_massas[nome_completo],"--",0,1)</f>
        <v>Gustavo Pereira</v>
      </c>
      <c r="G1237" s="47">
        <f>_xlfn.XLOOKUP(TBL_USUARIOS[[#This Row],[ID_MASSA]],tbl_de_massas[id_massa],tbl_de_massas[saldo_conta],"--",0,1)</f>
        <v>12471.6</v>
      </c>
      <c r="H1237" t="str">
        <f>_xlfn.XLOOKUP(TBL_USUARIOS[[#This Row],[ID_MASSA]],tbl_de_massas[id_massa],tbl_de_massas[nome_completo],"--",0,1)</f>
        <v>Gustavo Pereira</v>
      </c>
    </row>
    <row r="1238" spans="1:8" x14ac:dyDescent="0.25">
      <c r="A1238" s="2" t="s">
        <v>2686</v>
      </c>
      <c r="B1238" t="str">
        <f>_xlfn.XLOOKUP(TBL_USUARIOS[[#This Row],[ID_MASSA]],tbl_de_massas[id_massa],tbl_de_massas[cpf],"--",0,1)</f>
        <v>26631698030</v>
      </c>
      <c r="C1238" t="s">
        <v>12</v>
      </c>
      <c r="D1238" t="str">
        <f>_xlfn.XLOOKUP(TBL_USUARIOS[[#This Row],[ID_MASSA]],tbl_de_massas[id_massa],tbl_de_massas[nome_completo],"--",0,1)</f>
        <v>Ines Oliveira</v>
      </c>
      <c r="E1238" t="str">
        <f>_xlfn.XLOOKUP(TBL_USUARIOS[[#This Row],[ID_MASSA]],tbl_de_massas[id_massa],tbl_de_massas[cartao_fisico_numero],"--",0,1)</f>
        <v>4576 7460 2348 5423</v>
      </c>
      <c r="F1238" t="str">
        <f>_xlfn.XLOOKUP(TBL_USUARIOS[[#This Row],[ID_MASSA]],tbl_de_massas[id_massa],tbl_de_massas[nome_completo],"--",0,1)</f>
        <v>Ines Oliveira</v>
      </c>
      <c r="G1238" s="47">
        <f>_xlfn.XLOOKUP(TBL_USUARIOS[[#This Row],[ID_MASSA]],tbl_de_massas[id_massa],tbl_de_massas[saldo_conta],"--",0,1)</f>
        <v>13294.4</v>
      </c>
      <c r="H1238" t="str">
        <f>_xlfn.XLOOKUP(TBL_USUARIOS[[#This Row],[ID_MASSA]],tbl_de_massas[id_massa],tbl_de_massas[nome_completo],"--",0,1)</f>
        <v>Ines Oliveira</v>
      </c>
    </row>
    <row r="1239" spans="1:8" x14ac:dyDescent="0.25">
      <c r="A1239" s="2" t="s">
        <v>5026</v>
      </c>
      <c r="B1239" t="str">
        <f>_xlfn.XLOOKUP(TBL_USUARIOS[[#This Row],[ID_MASSA]],tbl_de_massas[id_massa],tbl_de_massas[cpf],"--",0,1)</f>
        <v>21628620340</v>
      </c>
      <c r="C1239" t="s">
        <v>12</v>
      </c>
      <c r="D1239" t="str">
        <f>_xlfn.XLOOKUP(TBL_USUARIOS[[#This Row],[ID_MASSA]],tbl_de_massas[id_massa],tbl_de_massas[nome_completo],"--",0,1)</f>
        <v>Beatriz Gomes Vieira</v>
      </c>
      <c r="E1239" t="str">
        <f>_xlfn.XLOOKUP(TBL_USUARIOS[[#This Row],[ID_MASSA]],tbl_de_massas[id_massa],tbl_de_massas[cartao_fisico_numero],"--",0,1)</f>
        <v/>
      </c>
      <c r="F1239" t="str">
        <f>_xlfn.XLOOKUP(TBL_USUARIOS[[#This Row],[ID_MASSA]],tbl_de_massas[id_massa],tbl_de_massas[nome_completo],"--",0,1)</f>
        <v>Beatriz Gomes Vieira</v>
      </c>
      <c r="G1239" s="47">
        <f>_xlfn.XLOOKUP(TBL_USUARIOS[[#This Row],[ID_MASSA]],tbl_de_massas[id_massa],tbl_de_massas[saldo_conta],"--",0,1)</f>
        <v>13295.48</v>
      </c>
      <c r="H1239" t="str">
        <f>_xlfn.XLOOKUP(TBL_USUARIOS[[#This Row],[ID_MASSA]],tbl_de_massas[id_massa],tbl_de_massas[nome_completo],"--",0,1)</f>
        <v>Beatriz Gomes Vieira</v>
      </c>
    </row>
    <row r="1240" spans="1:8" x14ac:dyDescent="0.25">
      <c r="A1240" s="2" t="s">
        <v>4295</v>
      </c>
      <c r="B1240" t="str">
        <f>_xlfn.XLOOKUP(TBL_USUARIOS[[#This Row],[ID_MASSA]],tbl_de_massas[id_massa],tbl_de_massas[cpf],"--",0,1)</f>
        <v>40357726901</v>
      </c>
      <c r="C1240" t="s">
        <v>12</v>
      </c>
      <c r="D1240" t="str">
        <f>_xlfn.XLOOKUP(TBL_USUARIOS[[#This Row],[ID_MASSA]],tbl_de_massas[id_massa],tbl_de_massas[nome_completo],"--",0,1)</f>
        <v>Fabio Moura</v>
      </c>
      <c r="E1240" t="str">
        <f>_xlfn.XLOOKUP(TBL_USUARIOS[[#This Row],[ID_MASSA]],tbl_de_massas[id_massa],tbl_de_massas[cartao_fisico_numero],"--",0,1)</f>
        <v/>
      </c>
      <c r="F1240" t="str">
        <f>_xlfn.XLOOKUP(TBL_USUARIOS[[#This Row],[ID_MASSA]],tbl_de_massas[id_massa],tbl_de_massas[nome_completo],"--",0,1)</f>
        <v>Fabio Moura</v>
      </c>
      <c r="G1240" s="47">
        <f>_xlfn.XLOOKUP(TBL_USUARIOS[[#This Row],[ID_MASSA]],tbl_de_massas[id_massa],tbl_de_massas[saldo_conta],"--",0,1)</f>
        <v>13303.7</v>
      </c>
      <c r="H1240" t="str">
        <f>_xlfn.XLOOKUP(TBL_USUARIOS[[#This Row],[ID_MASSA]],tbl_de_massas[id_massa],tbl_de_massas[nome_completo],"--",0,1)</f>
        <v>Fabio Moura</v>
      </c>
    </row>
    <row r="1241" spans="1:8" x14ac:dyDescent="0.25">
      <c r="A1241" s="2" t="s">
        <v>5433</v>
      </c>
      <c r="B1241" t="str">
        <f>_xlfn.XLOOKUP(TBL_USUARIOS[[#This Row],[ID_MASSA]],tbl_de_massas[id_massa],tbl_de_massas[cpf],"--",0,1)</f>
        <v>18159024932</v>
      </c>
      <c r="C1241" t="s">
        <v>12</v>
      </c>
      <c r="D1241" t="str">
        <f>_xlfn.XLOOKUP(TBL_USUARIOS[[#This Row],[ID_MASSA]],tbl_de_massas[id_massa],tbl_de_massas[nome_completo],"--",0,1)</f>
        <v>Vinicius Moreira Rocha</v>
      </c>
      <c r="E1241" t="str">
        <f>_xlfn.XLOOKUP(TBL_USUARIOS[[#This Row],[ID_MASSA]],tbl_de_massas[id_massa],tbl_de_massas[cartao_fisico_numero],"--",0,1)</f>
        <v>6062 8200 1457 5002</v>
      </c>
      <c r="F1241" t="str">
        <f>_xlfn.XLOOKUP(TBL_USUARIOS[[#This Row],[ID_MASSA]],tbl_de_massas[id_massa],tbl_de_massas[nome_completo],"--",0,1)</f>
        <v>Vinicius Moreira Rocha</v>
      </c>
      <c r="G1241" s="47">
        <f>_xlfn.XLOOKUP(TBL_USUARIOS[[#This Row],[ID_MASSA]],tbl_de_massas[id_massa],tbl_de_massas[saldo_conta],"--",0,1)</f>
        <v>13317</v>
      </c>
      <c r="H1241" t="str">
        <f>_xlfn.XLOOKUP(TBL_USUARIOS[[#This Row],[ID_MASSA]],tbl_de_massas[id_massa],tbl_de_massas[nome_completo],"--",0,1)</f>
        <v>Vinicius Moreira Rocha</v>
      </c>
    </row>
    <row r="1242" spans="1:8" x14ac:dyDescent="0.25">
      <c r="A1242" s="2" t="s">
        <v>6041</v>
      </c>
      <c r="B1242" t="str">
        <f>_xlfn.XLOOKUP(TBL_USUARIOS[[#This Row],[ID_MASSA]],tbl_de_massas[id_massa],tbl_de_massas[cpf],"--",0,1)</f>
        <v>03275877330</v>
      </c>
      <c r="C1242" t="s">
        <v>12</v>
      </c>
      <c r="D1242" t="str">
        <f>_xlfn.XLOOKUP(TBL_USUARIOS[[#This Row],[ID_MASSA]],tbl_de_massas[id_massa],tbl_de_massas[nome_completo],"--",0,1)</f>
        <v>Vanessa Nascimento</v>
      </c>
      <c r="E1242" t="str">
        <f>_xlfn.XLOOKUP(TBL_USUARIOS[[#This Row],[ID_MASSA]],tbl_de_massas[id_massa],tbl_de_massas[cartao_fisico_numero],"--",0,1)</f>
        <v/>
      </c>
      <c r="F1242" t="str">
        <f>_xlfn.XLOOKUP(TBL_USUARIOS[[#This Row],[ID_MASSA]],tbl_de_massas[id_massa],tbl_de_massas[nome_completo],"--",0,1)</f>
        <v>Vanessa Nascimento</v>
      </c>
      <c r="G1242" s="47">
        <f>_xlfn.XLOOKUP(TBL_USUARIOS[[#This Row],[ID_MASSA]],tbl_de_massas[id_massa],tbl_de_massas[saldo_conta],"--",0,1)</f>
        <v>13324.88</v>
      </c>
      <c r="H1242" t="str">
        <f>_xlfn.XLOOKUP(TBL_USUARIOS[[#This Row],[ID_MASSA]],tbl_de_massas[id_massa],tbl_de_massas[nome_completo],"--",0,1)</f>
        <v>Vanessa Nascimento</v>
      </c>
    </row>
    <row r="1243" spans="1:8" x14ac:dyDescent="0.25">
      <c r="A1243" s="2" t="s">
        <v>3377</v>
      </c>
      <c r="B1243" t="str">
        <f>_xlfn.XLOOKUP(TBL_USUARIOS[[#This Row],[ID_MASSA]],tbl_de_massas[id_massa],tbl_de_massas[cpf],"--",0,1)</f>
        <v>19724811425</v>
      </c>
      <c r="C1243" t="s">
        <v>12</v>
      </c>
      <c r="D1243" t="str">
        <f>_xlfn.XLOOKUP(TBL_USUARIOS[[#This Row],[ID_MASSA]],tbl_de_massas[id_massa],tbl_de_massas[nome_completo],"--",0,1)</f>
        <v>Alexandre Mendes Silva</v>
      </c>
      <c r="E1243" t="str">
        <f>_xlfn.XLOOKUP(TBL_USUARIOS[[#This Row],[ID_MASSA]],tbl_de_massas[id_massa],tbl_de_massas[cartao_fisico_numero],"--",0,1)</f>
        <v/>
      </c>
      <c r="F1243" t="str">
        <f>_xlfn.XLOOKUP(TBL_USUARIOS[[#This Row],[ID_MASSA]],tbl_de_massas[id_massa],tbl_de_massas[nome_completo],"--",0,1)</f>
        <v>Alexandre Mendes Silva</v>
      </c>
      <c r="G1243" s="47">
        <f>_xlfn.XLOOKUP(TBL_USUARIOS[[#This Row],[ID_MASSA]],tbl_de_massas[id_massa],tbl_de_massas[saldo_conta],"--",0,1)</f>
        <v>13329.26</v>
      </c>
      <c r="H1243" t="str">
        <f>_xlfn.XLOOKUP(TBL_USUARIOS[[#This Row],[ID_MASSA]],tbl_de_massas[id_massa],tbl_de_massas[nome_completo],"--",0,1)</f>
        <v>Alexandre Mendes Silva</v>
      </c>
    </row>
    <row r="1244" spans="1:8" x14ac:dyDescent="0.25">
      <c r="A1244" s="2" t="s">
        <v>4317</v>
      </c>
      <c r="B1244" t="str">
        <f>_xlfn.XLOOKUP(TBL_USUARIOS[[#This Row],[ID_MASSA]],tbl_de_massas[id_massa],tbl_de_massas[cpf],"--",0,1)</f>
        <v>01827653345</v>
      </c>
      <c r="C1244" t="s">
        <v>12</v>
      </c>
      <c r="D1244" t="str">
        <f>_xlfn.XLOOKUP(TBL_USUARIOS[[#This Row],[ID_MASSA]],tbl_de_massas[id_massa],tbl_de_massas[nome_completo],"--",0,1)</f>
        <v>Mariana Oliveira Fernandes</v>
      </c>
      <c r="E1244" t="str">
        <f>_xlfn.XLOOKUP(TBL_USUARIOS[[#This Row],[ID_MASSA]],tbl_de_massas[id_massa],tbl_de_massas[cartao_fisico_numero],"--",0,1)</f>
        <v>3782 337448 2631</v>
      </c>
      <c r="F1244" t="str">
        <f>_xlfn.XLOOKUP(TBL_USUARIOS[[#This Row],[ID_MASSA]],tbl_de_massas[id_massa],tbl_de_massas[nome_completo],"--",0,1)</f>
        <v>Mariana Oliveira Fernandes</v>
      </c>
      <c r="G1244" s="47">
        <f>_xlfn.XLOOKUP(TBL_USUARIOS[[#This Row],[ID_MASSA]],tbl_de_massas[id_massa],tbl_de_massas[saldo_conta],"--",0,1)</f>
        <v>13350.08</v>
      </c>
      <c r="H1244" t="str">
        <f>_xlfn.XLOOKUP(TBL_USUARIOS[[#This Row],[ID_MASSA]],tbl_de_massas[id_massa],tbl_de_massas[nome_completo],"--",0,1)</f>
        <v>Mariana Oliveira Fernandes</v>
      </c>
    </row>
    <row r="1245" spans="1:8" x14ac:dyDescent="0.25">
      <c r="A1245" s="2" t="s">
        <v>2625</v>
      </c>
      <c r="B1245" s="14" t="str">
        <f>_xlfn.XLOOKUP(TBL_USUARIOS[[#This Row],[ID_MASSA]],tbl_de_massas[id_massa],tbl_de_massas[cpf],"--",0,1)</f>
        <v>65432546450</v>
      </c>
      <c r="C1245" t="s">
        <v>12</v>
      </c>
      <c r="D1245" t="str">
        <f>_xlfn.XLOOKUP(TBL_USUARIOS[[#This Row],[ID_MASSA]],tbl_de_massas[id_massa],tbl_de_massas[nome_completo],"--",0,1)</f>
        <v>Joao Pedro Silva</v>
      </c>
      <c r="E1245" t="str">
        <f>_xlfn.XLOOKUP(TBL_USUARIOS[[#This Row],[ID_MASSA]],tbl_de_massas[id_massa],tbl_de_massas[cartao_fisico_numero],"--",0,1)</f>
        <v/>
      </c>
      <c r="F1245" t="str">
        <f>_xlfn.XLOOKUP(TBL_USUARIOS[[#This Row],[ID_MASSA]],tbl_de_massas[id_massa],tbl_de_massas[nome_completo],"--",0,1)</f>
        <v>Joao Pedro Silva</v>
      </c>
      <c r="G1245" s="47">
        <f>_xlfn.XLOOKUP(TBL_USUARIOS[[#This Row],[ID_MASSA]],tbl_de_massas[id_massa],tbl_de_massas[saldo_conta],"--",0,1)</f>
        <v>13060.76</v>
      </c>
      <c r="H1245" t="str">
        <f>_xlfn.XLOOKUP(TBL_USUARIOS[[#This Row],[ID_MASSA]],tbl_de_massas[id_massa],tbl_de_massas[nome_completo],"--",0,1)</f>
        <v>Joao Pedro Silva</v>
      </c>
    </row>
    <row r="1246" spans="1:8" x14ac:dyDescent="0.25">
      <c r="A1246" s="2" t="s">
        <v>5359</v>
      </c>
      <c r="B1246" t="str">
        <f>_xlfn.XLOOKUP(TBL_USUARIOS[[#This Row],[ID_MASSA]],tbl_de_massas[id_massa],tbl_de_massas[cpf],"--",0,1)</f>
        <v>24644032530</v>
      </c>
      <c r="C1246" t="s">
        <v>12</v>
      </c>
      <c r="D1246" t="str">
        <f>_xlfn.XLOOKUP(TBL_USUARIOS[[#This Row],[ID_MASSA]],tbl_de_massas[id_massa],tbl_de_massas[nome_completo],"--",0,1)</f>
        <v>Caio Moreira</v>
      </c>
      <c r="E1246" t="str">
        <f>_xlfn.XLOOKUP(TBL_USUARIOS[[#This Row],[ID_MASSA]],tbl_de_massas[id_massa],tbl_de_massas[cartao_fisico_numero],"--",0,1)</f>
        <v>6062 8200 7326 1301</v>
      </c>
      <c r="F1246" t="str">
        <f>_xlfn.XLOOKUP(TBL_USUARIOS[[#This Row],[ID_MASSA]],tbl_de_massas[id_massa],tbl_de_massas[nome_completo],"--",0,1)</f>
        <v>Caio Moreira</v>
      </c>
      <c r="G1246" s="47">
        <f>_xlfn.XLOOKUP(TBL_USUARIOS[[#This Row],[ID_MASSA]],tbl_de_massas[id_massa],tbl_de_massas[saldo_conta],"--",0,1)</f>
        <v>13361.88</v>
      </c>
      <c r="H1246" t="str">
        <f>_xlfn.XLOOKUP(TBL_USUARIOS[[#This Row],[ID_MASSA]],tbl_de_massas[id_massa],tbl_de_massas[nome_completo],"--",0,1)</f>
        <v>Caio Moreira</v>
      </c>
    </row>
    <row r="1247" spans="1:8" x14ac:dyDescent="0.25">
      <c r="A1247" s="2" t="s">
        <v>2199</v>
      </c>
      <c r="B1247" s="14" t="str">
        <f>_xlfn.XLOOKUP(TBL_USUARIOS[[#This Row],[ID_MASSA]],tbl_de_massas[id_massa],tbl_de_massas[cpf],"--",0,1)</f>
        <v>72314189884</v>
      </c>
      <c r="C1247" t="s">
        <v>12</v>
      </c>
      <c r="D1247" t="str">
        <f>_xlfn.XLOOKUP(TBL_USUARIOS[[#This Row],[ID_MASSA]],tbl_de_massas[id_massa],tbl_de_massas[nome_completo],"--",0,1)</f>
        <v>Noura Al-Saud</v>
      </c>
      <c r="E1247" t="str">
        <f>_xlfn.XLOOKUP(TBL_USUARIOS[[#This Row],[ID_MASSA]],tbl_de_massas[id_massa],tbl_de_massas[cartao_fisico_numero],"--",0,1)</f>
        <v>5442 7460 6181 5967</v>
      </c>
      <c r="F1247" t="str">
        <f>_xlfn.XLOOKUP(TBL_USUARIOS[[#This Row],[ID_MASSA]],tbl_de_massas[id_massa],tbl_de_massas[nome_completo],"--",0,1)</f>
        <v>Noura Al-Saud</v>
      </c>
      <c r="G1247" s="47">
        <f>_xlfn.XLOOKUP(TBL_USUARIOS[[#This Row],[ID_MASSA]],tbl_de_massas[id_massa],tbl_de_massas[saldo_conta],"--",0,1)</f>
        <v>17046.71</v>
      </c>
      <c r="H1247" t="str">
        <f>_xlfn.XLOOKUP(TBL_USUARIOS[[#This Row],[ID_MASSA]],tbl_de_massas[id_massa],tbl_de_massas[nome_completo],"--",0,1)</f>
        <v>Noura Al-Saud</v>
      </c>
    </row>
    <row r="1248" spans="1:8" x14ac:dyDescent="0.25">
      <c r="A1248" s="2" t="s">
        <v>3059</v>
      </c>
      <c r="B1248" t="str">
        <f>_xlfn.XLOOKUP(TBL_USUARIOS[[#This Row],[ID_MASSA]],tbl_de_massas[id_massa],tbl_de_massas[cpf],"--",0,1)</f>
        <v>16922084039</v>
      </c>
      <c r="C1248" t="s">
        <v>12</v>
      </c>
      <c r="D1248" t="str">
        <f>_xlfn.XLOOKUP(TBL_USUARIOS[[#This Row],[ID_MASSA]],tbl_de_massas[id_massa],tbl_de_massas[nome_completo],"--",0,1)</f>
        <v>Thiago Lima Cardoso</v>
      </c>
      <c r="E1248" t="str">
        <f>_xlfn.XLOOKUP(TBL_USUARIOS[[#This Row],[ID_MASSA]],tbl_de_massas[id_massa],tbl_de_massas[cartao_fisico_numero],"--",0,1)</f>
        <v>5442 7460 8518 9316</v>
      </c>
      <c r="F1248" t="str">
        <f>_xlfn.XLOOKUP(TBL_USUARIOS[[#This Row],[ID_MASSA]],tbl_de_massas[id_massa],tbl_de_massas[nome_completo],"--",0,1)</f>
        <v>Thiago Lima Cardoso</v>
      </c>
      <c r="G1248" s="47">
        <f>_xlfn.XLOOKUP(TBL_USUARIOS[[#This Row],[ID_MASSA]],tbl_de_massas[id_massa],tbl_de_massas[saldo_conta],"--",0,1)</f>
        <v>13384.01</v>
      </c>
      <c r="H1248" t="str">
        <f>_xlfn.XLOOKUP(TBL_USUARIOS[[#This Row],[ID_MASSA]],tbl_de_massas[id_massa],tbl_de_massas[nome_completo],"--",0,1)</f>
        <v>Thiago Lima Cardoso</v>
      </c>
    </row>
    <row r="1249" spans="1:8" x14ac:dyDescent="0.25">
      <c r="A1249" s="2" t="s">
        <v>2174</v>
      </c>
      <c r="B1249" s="14" t="str">
        <f>_xlfn.XLOOKUP(TBL_USUARIOS[[#This Row],[ID_MASSA]],tbl_de_massas[id_massa],tbl_de_massas[cpf],"--",0,1)</f>
        <v>12923841310</v>
      </c>
      <c r="C1249" t="s">
        <v>12</v>
      </c>
      <c r="D1249" t="str">
        <f>_xlfn.XLOOKUP(TBL_USUARIOS[[#This Row],[ID_MASSA]],tbl_de_massas[id_massa],tbl_de_massas[nome_completo],"--",0,1)</f>
        <v>Youssef Al-Otaibi</v>
      </c>
      <c r="E1249" t="str">
        <f>_xlfn.XLOOKUP(TBL_USUARIOS[[#This Row],[ID_MASSA]],tbl_de_massas[id_massa],tbl_de_massas[cartao_fisico_numero],"--",0,1)</f>
        <v>4576 7460 4366 5432</v>
      </c>
      <c r="F1249" t="str">
        <f>_xlfn.XLOOKUP(TBL_USUARIOS[[#This Row],[ID_MASSA]],tbl_de_massas[id_massa],tbl_de_massas[nome_completo],"--",0,1)</f>
        <v>Youssef Al-Otaibi</v>
      </c>
      <c r="G1249" s="47">
        <f>_xlfn.XLOOKUP(TBL_USUARIOS[[#This Row],[ID_MASSA]],tbl_de_massas[id_massa],tbl_de_massas[saldo_conta],"--",0,1)</f>
        <v>13392.63</v>
      </c>
      <c r="H1249" t="str">
        <f>_xlfn.XLOOKUP(TBL_USUARIOS[[#This Row],[ID_MASSA]],tbl_de_massas[id_massa],tbl_de_massas[nome_completo],"--",0,1)</f>
        <v>Youssef Al-Otaibi</v>
      </c>
    </row>
    <row r="1250" spans="1:8" x14ac:dyDescent="0.25">
      <c r="A1250" s="2" t="s">
        <v>4426</v>
      </c>
      <c r="B1250" t="str">
        <f>_xlfn.XLOOKUP(TBL_USUARIOS[[#This Row],[ID_MASSA]],tbl_de_massas[id_massa],tbl_de_massas[cpf],"--",0,1)</f>
        <v>20622917366</v>
      </c>
      <c r="C1250" t="s">
        <v>12</v>
      </c>
      <c r="D1250" t="str">
        <f>_xlfn.XLOOKUP(TBL_USUARIOS[[#This Row],[ID_MASSA]],tbl_de_massas[id_massa],tbl_de_massas[nome_completo],"--",0,1)</f>
        <v>Marcelo Campos Carvalho</v>
      </c>
      <c r="E1250" t="str">
        <f>_xlfn.XLOOKUP(TBL_USUARIOS[[#This Row],[ID_MASSA]],tbl_de_massas[id_massa],tbl_de_massas[cartao_fisico_numero],"--",0,1)</f>
        <v>6505 0666 8952 3576</v>
      </c>
      <c r="F1250" t="str">
        <f>_xlfn.XLOOKUP(TBL_USUARIOS[[#This Row],[ID_MASSA]],tbl_de_massas[id_massa],tbl_de_massas[nome_completo],"--",0,1)</f>
        <v>Marcelo Campos Carvalho</v>
      </c>
      <c r="G1250" s="47">
        <f>_xlfn.XLOOKUP(TBL_USUARIOS[[#This Row],[ID_MASSA]],tbl_de_massas[id_massa],tbl_de_massas[saldo_conta],"--",0,1)</f>
        <v>13394.96</v>
      </c>
      <c r="H1250" t="str">
        <f>_xlfn.XLOOKUP(TBL_USUARIOS[[#This Row],[ID_MASSA]],tbl_de_massas[id_massa],tbl_de_massas[nome_completo],"--",0,1)</f>
        <v>Marcelo Campos Carvalho</v>
      </c>
    </row>
    <row r="1251" spans="1:8" x14ac:dyDescent="0.25">
      <c r="A1251" s="2" t="s">
        <v>3928</v>
      </c>
      <c r="B1251" t="str">
        <f>_xlfn.XLOOKUP(TBL_USUARIOS[[#This Row],[ID_MASSA]],tbl_de_massas[id_massa],tbl_de_massas[cpf],"--",0,1)</f>
        <v>48238930340</v>
      </c>
      <c r="C1251" t="s">
        <v>12</v>
      </c>
      <c r="D1251" t="str">
        <f>_xlfn.XLOOKUP(TBL_USUARIOS[[#This Row],[ID_MASSA]],tbl_de_massas[id_massa],tbl_de_massas[nome_completo],"--",0,1)</f>
        <v>Bruno Cavalcanti Rocha</v>
      </c>
      <c r="E1251" t="str">
        <f>_xlfn.XLOOKUP(TBL_USUARIOS[[#This Row],[ID_MASSA]],tbl_de_massas[id_massa],tbl_de_massas[cartao_fisico_numero],"--",0,1)</f>
        <v>4576 7460 6692 5428</v>
      </c>
      <c r="F1251" t="str">
        <f>_xlfn.XLOOKUP(TBL_USUARIOS[[#This Row],[ID_MASSA]],tbl_de_massas[id_massa],tbl_de_massas[nome_completo],"--",0,1)</f>
        <v>Bruno Cavalcanti Rocha</v>
      </c>
      <c r="G1251" s="47">
        <f>_xlfn.XLOOKUP(TBL_USUARIOS[[#This Row],[ID_MASSA]],tbl_de_massas[id_massa],tbl_de_massas[saldo_conta],"--",0,1)</f>
        <v>13400.37</v>
      </c>
      <c r="H1251" t="str">
        <f>_xlfn.XLOOKUP(TBL_USUARIOS[[#This Row],[ID_MASSA]],tbl_de_massas[id_massa],tbl_de_massas[nome_completo],"--",0,1)</f>
        <v>Bruno Cavalcanti Rocha</v>
      </c>
    </row>
    <row r="1252" spans="1:8" x14ac:dyDescent="0.25">
      <c r="A1252" s="2" t="s">
        <v>3595</v>
      </c>
      <c r="B1252" t="str">
        <f>_xlfn.XLOOKUP(TBL_USUARIOS[[#This Row],[ID_MASSA]],tbl_de_massas[id_massa],tbl_de_massas[cpf],"--",0,1)</f>
        <v>30193549786</v>
      </c>
      <c r="C1252" t="s">
        <v>12</v>
      </c>
      <c r="D1252" t="str">
        <f>_xlfn.XLOOKUP(TBL_USUARIOS[[#This Row],[ID_MASSA]],tbl_de_massas[id_massa],tbl_de_massas[nome_completo],"--",0,1)</f>
        <v>Gustavo Teixeira Martins</v>
      </c>
      <c r="E1252" t="str">
        <f>_xlfn.XLOOKUP(TBL_USUARIOS[[#This Row],[ID_MASSA]],tbl_de_massas[id_massa],tbl_de_massas[cartao_fisico_numero],"--",0,1)</f>
        <v/>
      </c>
      <c r="F1252" t="str">
        <f>_xlfn.XLOOKUP(TBL_USUARIOS[[#This Row],[ID_MASSA]],tbl_de_massas[id_massa],tbl_de_massas[nome_completo],"--",0,1)</f>
        <v>Gustavo Teixeira Martins</v>
      </c>
      <c r="G1252" s="47">
        <f>_xlfn.XLOOKUP(TBL_USUARIOS[[#This Row],[ID_MASSA]],tbl_de_massas[id_massa],tbl_de_massas[saldo_conta],"--",0,1)</f>
        <v>13408.86</v>
      </c>
      <c r="H1252" t="str">
        <f>_xlfn.XLOOKUP(TBL_USUARIOS[[#This Row],[ID_MASSA]],tbl_de_massas[id_massa],tbl_de_massas[nome_completo],"--",0,1)</f>
        <v>Gustavo Teixeira Martins</v>
      </c>
    </row>
    <row r="1253" spans="1:8" x14ac:dyDescent="0.25">
      <c r="A1253" s="2" t="s">
        <v>6249</v>
      </c>
      <c r="B1253" t="str">
        <f>_xlfn.XLOOKUP(TBL_USUARIOS[[#This Row],[ID_MASSA]],tbl_de_massas[id_massa],tbl_de_massas[cpf],"--",0,1)</f>
        <v>45087772528</v>
      </c>
      <c r="C1253" t="s">
        <v>12</v>
      </c>
      <c r="D1253" t="str">
        <f>_xlfn.XLOOKUP(TBL_USUARIOS[[#This Row],[ID_MASSA]],tbl_de_massas[id_massa],tbl_de_massas[nome_completo],"--",0,1)</f>
        <v>Daniel Harris</v>
      </c>
      <c r="E1253" t="str">
        <f>_xlfn.XLOOKUP(TBL_USUARIOS[[#This Row],[ID_MASSA]],tbl_de_massas[id_massa],tbl_de_massas[cartao_fisico_numero],"--",0,1)</f>
        <v>6062 8200 1336 4475</v>
      </c>
      <c r="F1253" t="str">
        <f>_xlfn.XLOOKUP(TBL_USUARIOS[[#This Row],[ID_MASSA]],tbl_de_massas[id_massa],tbl_de_massas[nome_completo],"--",0,1)</f>
        <v>Daniel Harris</v>
      </c>
      <c r="G1253" s="47">
        <f>_xlfn.XLOOKUP(TBL_USUARIOS[[#This Row],[ID_MASSA]],tbl_de_massas[id_massa],tbl_de_massas[saldo_conta],"--",0,1)</f>
        <v>13468.86</v>
      </c>
      <c r="H1253" t="str">
        <f>_xlfn.XLOOKUP(TBL_USUARIOS[[#This Row],[ID_MASSA]],tbl_de_massas[id_massa],tbl_de_massas[nome_completo],"--",0,1)</f>
        <v>Daniel Harris</v>
      </c>
    </row>
    <row r="1254" spans="1:8" x14ac:dyDescent="0.25">
      <c r="A1254" s="2" t="s">
        <v>3244</v>
      </c>
      <c r="B1254" t="str">
        <f>_xlfn.XLOOKUP(TBL_USUARIOS[[#This Row],[ID_MASSA]],tbl_de_massas[id_massa],tbl_de_massas[cpf],"--",0,1)</f>
        <v>19153526228</v>
      </c>
      <c r="C1254" t="s">
        <v>12</v>
      </c>
      <c r="D1254" t="str">
        <f>_xlfn.XLOOKUP(TBL_USUARIOS[[#This Row],[ID_MASSA]],tbl_de_massas[id_massa],tbl_de_massas[nome_completo],"--",0,1)</f>
        <v>Caio Cavalcanti</v>
      </c>
      <c r="E1254" t="str">
        <f>_xlfn.XLOOKUP(TBL_USUARIOS[[#This Row],[ID_MASSA]],tbl_de_massas[id_massa],tbl_de_massas[cartao_fisico_numero],"--",0,1)</f>
        <v>5442 7460 4532 1662</v>
      </c>
      <c r="F1254" t="str">
        <f>_xlfn.XLOOKUP(TBL_USUARIOS[[#This Row],[ID_MASSA]],tbl_de_massas[id_massa],tbl_de_massas[nome_completo],"--",0,1)</f>
        <v>Caio Cavalcanti</v>
      </c>
      <c r="G1254" s="47">
        <f>_xlfn.XLOOKUP(TBL_USUARIOS[[#This Row],[ID_MASSA]],tbl_de_massas[id_massa],tbl_de_massas[saldo_conta],"--",0,1)</f>
        <v>13477.84</v>
      </c>
      <c r="H1254" t="str">
        <f>_xlfn.XLOOKUP(TBL_USUARIOS[[#This Row],[ID_MASSA]],tbl_de_massas[id_massa],tbl_de_massas[nome_completo],"--",0,1)</f>
        <v>Caio Cavalcanti</v>
      </c>
    </row>
    <row r="1255" spans="1:8" x14ac:dyDescent="0.25">
      <c r="A1255" s="2" t="s">
        <v>6611</v>
      </c>
      <c r="B1255" t="str">
        <f>_xlfn.XLOOKUP(TBL_USUARIOS[[#This Row],[ID_MASSA]],tbl_de_massas[id_massa],tbl_de_massas[cpf],"--",0,1)</f>
        <v>77023361456</v>
      </c>
      <c r="C1255" t="s">
        <v>12</v>
      </c>
      <c r="D1255" t="str">
        <f>_xlfn.XLOOKUP(TBL_USUARIOS[[#This Row],[ID_MASSA]],tbl_de_massas[id_massa],tbl_de_massas[nome_completo],"--",0,1)</f>
        <v>Kenji Shimizu</v>
      </c>
      <c r="E1255" t="str">
        <f>_xlfn.XLOOKUP(TBL_USUARIOS[[#This Row],[ID_MASSA]],tbl_de_massas[id_massa],tbl_de_massas[cartao_fisico_numero],"--",0,1)</f>
        <v/>
      </c>
      <c r="F1255" t="str">
        <f>_xlfn.XLOOKUP(TBL_USUARIOS[[#This Row],[ID_MASSA]],tbl_de_massas[id_massa],tbl_de_massas[nome_completo],"--",0,1)</f>
        <v>Kenji Shimizu</v>
      </c>
      <c r="G1255" s="47">
        <f>_xlfn.XLOOKUP(TBL_USUARIOS[[#This Row],[ID_MASSA]],tbl_de_massas[id_massa],tbl_de_massas[saldo_conta],"--",0,1)</f>
        <v>13507.51</v>
      </c>
      <c r="H1255" t="str">
        <f>_xlfn.XLOOKUP(TBL_USUARIOS[[#This Row],[ID_MASSA]],tbl_de_massas[id_massa],tbl_de_massas[nome_completo],"--",0,1)</f>
        <v>Kenji Shimizu</v>
      </c>
    </row>
    <row r="1256" spans="1:8" x14ac:dyDescent="0.25">
      <c r="A1256" s="2" t="s">
        <v>4691</v>
      </c>
      <c r="B1256" t="str">
        <f>_xlfn.XLOOKUP(TBL_USUARIOS[[#This Row],[ID_MASSA]],tbl_de_massas[id_massa],tbl_de_massas[cpf],"--",0,1)</f>
        <v>53850222179</v>
      </c>
      <c r="C1256" t="s">
        <v>12</v>
      </c>
      <c r="D1256" t="str">
        <f>_xlfn.XLOOKUP(TBL_USUARIOS[[#This Row],[ID_MASSA]],tbl_de_massas[id_massa],tbl_de_massas[nome_completo],"--",0,1)</f>
        <v>Amanda Vieira Pereira</v>
      </c>
      <c r="E1256" t="str">
        <f>_xlfn.XLOOKUP(TBL_USUARIOS[[#This Row],[ID_MASSA]],tbl_de_massas[id_massa],tbl_de_massas[cartao_fisico_numero],"--",0,1)</f>
        <v>6505 0666 6411 8976</v>
      </c>
      <c r="F1256" t="str">
        <f>_xlfn.XLOOKUP(TBL_USUARIOS[[#This Row],[ID_MASSA]],tbl_de_massas[id_massa],tbl_de_massas[nome_completo],"--",0,1)</f>
        <v>Amanda Vieira Pereira</v>
      </c>
      <c r="G1256" s="47">
        <f>_xlfn.XLOOKUP(TBL_USUARIOS[[#This Row],[ID_MASSA]],tbl_de_massas[id_massa],tbl_de_massas[saldo_conta],"--",0,1)</f>
        <v>13531.28</v>
      </c>
      <c r="H1256" t="str">
        <f>_xlfn.XLOOKUP(TBL_USUARIOS[[#This Row],[ID_MASSA]],tbl_de_massas[id_massa],tbl_de_massas[nome_completo],"--",0,1)</f>
        <v>Amanda Vieira Pereira</v>
      </c>
    </row>
    <row r="1257" spans="1:8" x14ac:dyDescent="0.25">
      <c r="A1257" s="2" t="s">
        <v>4732</v>
      </c>
      <c r="B1257" t="str">
        <f>_xlfn.XLOOKUP(TBL_USUARIOS[[#This Row],[ID_MASSA]],tbl_de_massas[id_massa],tbl_de_massas[cpf],"--",0,1)</f>
        <v>77314785562</v>
      </c>
      <c r="C1257" t="s">
        <v>12</v>
      </c>
      <c r="D1257" t="str">
        <f>_xlfn.XLOOKUP(TBL_USUARIOS[[#This Row],[ID_MASSA]],tbl_de_massas[id_massa],tbl_de_massas[nome_completo],"--",0,1)</f>
        <v>Gustavo Martins Gomes</v>
      </c>
      <c r="E1257" t="str">
        <f>_xlfn.XLOOKUP(TBL_USUARIOS[[#This Row],[ID_MASSA]],tbl_de_massas[id_massa],tbl_de_massas[cartao_fisico_numero],"--",0,1)</f>
        <v/>
      </c>
      <c r="F1257" t="str">
        <f>_xlfn.XLOOKUP(TBL_USUARIOS[[#This Row],[ID_MASSA]],tbl_de_massas[id_massa],tbl_de_massas[nome_completo],"--",0,1)</f>
        <v>Gustavo Martins Gomes</v>
      </c>
      <c r="G1257" s="47">
        <f>_xlfn.XLOOKUP(TBL_USUARIOS[[#This Row],[ID_MASSA]],tbl_de_massas[id_massa],tbl_de_massas[saldo_conta],"--",0,1)</f>
        <v>13536.9</v>
      </c>
      <c r="H1257" t="str">
        <f>_xlfn.XLOOKUP(TBL_USUARIOS[[#This Row],[ID_MASSA]],tbl_de_massas[id_massa],tbl_de_massas[nome_completo],"--",0,1)</f>
        <v>Gustavo Martins Gomes</v>
      </c>
    </row>
    <row r="1258" spans="1:8" x14ac:dyDescent="0.25">
      <c r="A1258" s="2" t="s">
        <v>5867</v>
      </c>
      <c r="B1258" t="str">
        <f>_xlfn.XLOOKUP(TBL_USUARIOS[[#This Row],[ID_MASSA]],tbl_de_massas[id_massa],tbl_de_massas[cpf],"--",0,1)</f>
        <v>19130727464</v>
      </c>
      <c r="C1258" t="s">
        <v>12</v>
      </c>
      <c r="D1258" t="str">
        <f>_xlfn.XLOOKUP(TBL_USUARIOS[[#This Row],[ID_MASSA]],tbl_de_massas[id_massa],tbl_de_massas[nome_completo],"--",0,1)</f>
        <v>Danilo Dias Cardoso</v>
      </c>
      <c r="E1258" t="str">
        <f>_xlfn.XLOOKUP(TBL_USUARIOS[[#This Row],[ID_MASSA]],tbl_de_massas[id_massa],tbl_de_massas[cartao_fisico_numero],"--",0,1)</f>
        <v>4576 7460 1473 2950</v>
      </c>
      <c r="F1258" t="str">
        <f>_xlfn.XLOOKUP(TBL_USUARIOS[[#This Row],[ID_MASSA]],tbl_de_massas[id_massa],tbl_de_massas[nome_completo],"--",0,1)</f>
        <v>Danilo Dias Cardoso</v>
      </c>
      <c r="G1258" s="47">
        <f>_xlfn.XLOOKUP(TBL_USUARIOS[[#This Row],[ID_MASSA]],tbl_de_massas[id_massa],tbl_de_massas[saldo_conta],"--",0,1)</f>
        <v>13539.57</v>
      </c>
      <c r="H1258" t="str">
        <f>_xlfn.XLOOKUP(TBL_USUARIOS[[#This Row],[ID_MASSA]],tbl_de_massas[id_massa],tbl_de_massas[nome_completo],"--",0,1)</f>
        <v>Danilo Dias Cardoso</v>
      </c>
    </row>
    <row r="1259" spans="1:8" x14ac:dyDescent="0.25">
      <c r="A1259" s="2" t="s">
        <v>5822</v>
      </c>
      <c r="B1259" t="str">
        <f>_xlfn.XLOOKUP(TBL_USUARIOS[[#This Row],[ID_MASSA]],tbl_de_massas[id_massa],tbl_de_massas[cpf],"--",0,1)</f>
        <v>60756063353</v>
      </c>
      <c r="C1259" t="s">
        <v>12</v>
      </c>
      <c r="D1259" t="str">
        <f>_xlfn.XLOOKUP(TBL_USUARIOS[[#This Row],[ID_MASSA]],tbl_de_massas[id_massa],tbl_de_massas[nome_completo],"--",0,1)</f>
        <v>Beatriz Alves Rodrigues</v>
      </c>
      <c r="E1259" t="str">
        <f>_xlfn.XLOOKUP(TBL_USUARIOS[[#This Row],[ID_MASSA]],tbl_de_massas[id_massa],tbl_de_massas[cartao_fisico_numero],"--",0,1)</f>
        <v/>
      </c>
      <c r="F1259" t="str">
        <f>_xlfn.XLOOKUP(TBL_USUARIOS[[#This Row],[ID_MASSA]],tbl_de_massas[id_massa],tbl_de_massas[nome_completo],"--",0,1)</f>
        <v>Beatriz Alves Rodrigues</v>
      </c>
      <c r="G1259" s="47">
        <f>_xlfn.XLOOKUP(TBL_USUARIOS[[#This Row],[ID_MASSA]],tbl_de_massas[id_massa],tbl_de_massas[saldo_conta],"--",0,1)</f>
        <v>13555.88</v>
      </c>
      <c r="H1259" t="str">
        <f>_xlfn.XLOOKUP(TBL_USUARIOS[[#This Row],[ID_MASSA]],tbl_de_massas[id_massa],tbl_de_massas[nome_completo],"--",0,1)</f>
        <v>Beatriz Alves Rodrigues</v>
      </c>
    </row>
    <row r="1260" spans="1:8" x14ac:dyDescent="0.25">
      <c r="A1260" s="2" t="s">
        <v>6676</v>
      </c>
      <c r="B1260" t="str">
        <f>_xlfn.XLOOKUP(TBL_USUARIOS[[#This Row],[ID_MASSA]],tbl_de_massas[id_massa],tbl_de_massas[cpf],"--",0,1)</f>
        <v>90569645425</v>
      </c>
      <c r="C1260" t="s">
        <v>12</v>
      </c>
      <c r="D1260" t="str">
        <f>_xlfn.XLOOKUP(TBL_USUARIOS[[#This Row],[ID_MASSA]],tbl_de_massas[id_massa],tbl_de_massas[nome_completo],"--",0,1)</f>
        <v>Giorgia Conti</v>
      </c>
      <c r="E1260" t="str">
        <f>_xlfn.XLOOKUP(TBL_USUARIOS[[#This Row],[ID_MASSA]],tbl_de_massas[id_massa],tbl_de_massas[cartao_fisico_numero],"--",0,1)</f>
        <v/>
      </c>
      <c r="F1260" t="str">
        <f>_xlfn.XLOOKUP(TBL_USUARIOS[[#This Row],[ID_MASSA]],tbl_de_massas[id_massa],tbl_de_massas[nome_completo],"--",0,1)</f>
        <v>Giorgia Conti</v>
      </c>
      <c r="G1260" s="47">
        <f>_xlfn.XLOOKUP(TBL_USUARIOS[[#This Row],[ID_MASSA]],tbl_de_massas[id_massa],tbl_de_massas[saldo_conta],"--",0,1)</f>
        <v>13576.62</v>
      </c>
      <c r="H1260" t="str">
        <f>_xlfn.XLOOKUP(TBL_USUARIOS[[#This Row],[ID_MASSA]],tbl_de_massas[id_massa],tbl_de_massas[nome_completo],"--",0,1)</f>
        <v>Giorgia Conti</v>
      </c>
    </row>
    <row r="1261" spans="1:8" x14ac:dyDescent="0.25">
      <c r="A1261" s="2" t="s">
        <v>5786</v>
      </c>
      <c r="B1261" t="str">
        <f>_xlfn.XLOOKUP(TBL_USUARIOS[[#This Row],[ID_MASSA]],tbl_de_massas[id_massa],tbl_de_massas[cpf],"--",0,1)</f>
        <v>15599935299</v>
      </c>
      <c r="C1261" t="s">
        <v>12</v>
      </c>
      <c r="D1261" t="str">
        <f>_xlfn.XLOOKUP(TBL_USUARIOS[[#This Row],[ID_MASSA]],tbl_de_massas[id_massa],tbl_de_massas[nome_completo],"--",0,1)</f>
        <v>Leandro Barbosa</v>
      </c>
      <c r="E1261" t="str">
        <f>_xlfn.XLOOKUP(TBL_USUARIOS[[#This Row],[ID_MASSA]],tbl_de_massas[id_massa],tbl_de_massas[cartao_fisico_numero],"--",0,1)</f>
        <v/>
      </c>
      <c r="F1261" t="str">
        <f>_xlfn.XLOOKUP(TBL_USUARIOS[[#This Row],[ID_MASSA]],tbl_de_massas[id_massa],tbl_de_massas[nome_completo],"--",0,1)</f>
        <v>Leandro Barbosa</v>
      </c>
      <c r="G1261" s="47">
        <f>_xlfn.XLOOKUP(TBL_USUARIOS[[#This Row],[ID_MASSA]],tbl_de_massas[id_massa],tbl_de_massas[saldo_conta],"--",0,1)</f>
        <v>9782.06</v>
      </c>
      <c r="H1261" t="str">
        <f>_xlfn.XLOOKUP(TBL_USUARIOS[[#This Row],[ID_MASSA]],tbl_de_massas[id_massa],tbl_de_massas[nome_completo],"--",0,1)</f>
        <v>Leandro Barbosa</v>
      </c>
    </row>
    <row r="1262" spans="1:8" x14ac:dyDescent="0.25">
      <c r="A1262" s="2" t="s">
        <v>5514</v>
      </c>
      <c r="B1262" t="str">
        <f>_xlfn.XLOOKUP(TBL_USUARIOS[[#This Row],[ID_MASSA]],tbl_de_massas[id_massa],tbl_de_massas[cpf],"--",0,1)</f>
        <v>77632283773</v>
      </c>
      <c r="C1262" t="s">
        <v>12</v>
      </c>
      <c r="D1262" t="str">
        <f>_xlfn.XLOOKUP(TBL_USUARIOS[[#This Row],[ID_MASSA]],tbl_de_massas[id_massa],tbl_de_massas[nome_completo],"--",0,1)</f>
        <v>Mariana Moreira</v>
      </c>
      <c r="E1262" t="str">
        <f>_xlfn.XLOOKUP(TBL_USUARIOS[[#This Row],[ID_MASSA]],tbl_de_massas[id_massa],tbl_de_massas[cartao_fisico_numero],"--",0,1)</f>
        <v>6505 0666 6883 4073</v>
      </c>
      <c r="F1262" t="str">
        <f>_xlfn.XLOOKUP(TBL_USUARIOS[[#This Row],[ID_MASSA]],tbl_de_massas[id_massa],tbl_de_massas[nome_completo],"--",0,1)</f>
        <v>Mariana Moreira</v>
      </c>
      <c r="G1262" s="47">
        <f>_xlfn.XLOOKUP(TBL_USUARIOS[[#This Row],[ID_MASSA]],tbl_de_massas[id_massa],tbl_de_massas[saldo_conta],"--",0,1)</f>
        <v>10764.81</v>
      </c>
      <c r="H1262" t="str">
        <f>_xlfn.XLOOKUP(TBL_USUARIOS[[#This Row],[ID_MASSA]],tbl_de_massas[id_massa],tbl_de_massas[nome_completo],"--",0,1)</f>
        <v>Mariana Moreira</v>
      </c>
    </row>
    <row r="1263" spans="1:8" x14ac:dyDescent="0.25">
      <c r="A1263" s="2" t="s">
        <v>4775</v>
      </c>
      <c r="B1263" t="str">
        <f>_xlfn.XLOOKUP(TBL_USUARIOS[[#This Row],[ID_MASSA]],tbl_de_massas[id_massa],tbl_de_massas[cpf],"--",0,1)</f>
        <v>18565483843</v>
      </c>
      <c r="C1263" t="s">
        <v>12</v>
      </c>
      <c r="D1263" t="str">
        <f>_xlfn.XLOOKUP(TBL_USUARIOS[[#This Row],[ID_MASSA]],tbl_de_massas[id_massa],tbl_de_massas[nome_completo],"--",0,1)</f>
        <v>Isabela Lima Alves</v>
      </c>
      <c r="E1263" t="str">
        <f>_xlfn.XLOOKUP(TBL_USUARIOS[[#This Row],[ID_MASSA]],tbl_de_massas[id_massa],tbl_de_massas[cartao_fisico_numero],"--",0,1)</f>
        <v>3782 509027 7968</v>
      </c>
      <c r="F1263" t="str">
        <f>_xlfn.XLOOKUP(TBL_USUARIOS[[#This Row],[ID_MASSA]],tbl_de_massas[id_massa],tbl_de_massas[nome_completo],"--",0,1)</f>
        <v>Isabela Lima Alves</v>
      </c>
      <c r="G1263" s="47">
        <f>_xlfn.XLOOKUP(TBL_USUARIOS[[#This Row],[ID_MASSA]],tbl_de_massas[id_massa],tbl_de_massas[saldo_conta],"--",0,1)</f>
        <v>13682.07</v>
      </c>
      <c r="H1263" t="str">
        <f>_xlfn.XLOOKUP(TBL_USUARIOS[[#This Row],[ID_MASSA]],tbl_de_massas[id_massa],tbl_de_massas[nome_completo],"--",0,1)</f>
        <v>Isabela Lima Alves</v>
      </c>
    </row>
    <row r="1264" spans="1:8" x14ac:dyDescent="0.25">
      <c r="A1264" s="2" t="s">
        <v>3076</v>
      </c>
      <c r="B1264" t="str">
        <f>_xlfn.XLOOKUP(TBL_USUARIOS[[#This Row],[ID_MASSA]],tbl_de_massas[id_massa],tbl_de_massas[cpf],"--",0,1)</f>
        <v>05151697579</v>
      </c>
      <c r="C1264" t="s">
        <v>12</v>
      </c>
      <c r="D1264" t="str">
        <f>_xlfn.XLOOKUP(TBL_USUARIOS[[#This Row],[ID_MASSA]],tbl_de_massas[id_massa],tbl_de_massas[nome_completo],"--",0,1)</f>
        <v>Fabio Ribeiro Oliveira</v>
      </c>
      <c r="E1264" t="str">
        <f>_xlfn.XLOOKUP(TBL_USUARIOS[[#This Row],[ID_MASSA]],tbl_de_massas[id_massa],tbl_de_massas[cartao_fisico_numero],"--",0,1)</f>
        <v>4576 7460 8279 6594</v>
      </c>
      <c r="F1264" t="str">
        <f>_xlfn.XLOOKUP(TBL_USUARIOS[[#This Row],[ID_MASSA]],tbl_de_massas[id_massa],tbl_de_massas[nome_completo],"--",0,1)</f>
        <v>Fabio Ribeiro Oliveira</v>
      </c>
      <c r="G1264" s="47">
        <f>_xlfn.XLOOKUP(TBL_USUARIOS[[#This Row],[ID_MASSA]],tbl_de_massas[id_massa],tbl_de_massas[saldo_conta],"--",0,1)</f>
        <v>13693.4</v>
      </c>
      <c r="H1264" t="str">
        <f>_xlfn.XLOOKUP(TBL_USUARIOS[[#This Row],[ID_MASSA]],tbl_de_massas[id_massa],tbl_de_massas[nome_completo],"--",0,1)</f>
        <v>Fabio Ribeiro Oliveira</v>
      </c>
    </row>
    <row r="1265" spans="1:8" x14ac:dyDescent="0.25">
      <c r="A1265" s="2" t="s">
        <v>6550</v>
      </c>
      <c r="B1265" t="str">
        <f>_xlfn.XLOOKUP(TBL_USUARIOS[[#This Row],[ID_MASSA]],tbl_de_massas[id_massa],tbl_de_massas[cpf],"--",0,1)</f>
        <v>89236264816</v>
      </c>
      <c r="C1265" t="s">
        <v>12</v>
      </c>
      <c r="D1265" t="str">
        <f>_xlfn.XLOOKUP(TBL_USUARIOS[[#This Row],[ID_MASSA]],tbl_de_massas[id_massa],tbl_de_massas[nome_completo],"--",0,1)</f>
        <v>Bo He</v>
      </c>
      <c r="E1265" t="str">
        <f>_xlfn.XLOOKUP(TBL_USUARIOS[[#This Row],[ID_MASSA]],tbl_de_massas[id_massa],tbl_de_massas[cartao_fisico_numero],"--",0,1)</f>
        <v/>
      </c>
      <c r="F1265" t="str">
        <f>_xlfn.XLOOKUP(TBL_USUARIOS[[#This Row],[ID_MASSA]],tbl_de_massas[id_massa],tbl_de_massas[nome_completo],"--",0,1)</f>
        <v>Bo He</v>
      </c>
      <c r="G1265" s="47">
        <f>_xlfn.XLOOKUP(TBL_USUARIOS[[#This Row],[ID_MASSA]],tbl_de_massas[id_massa],tbl_de_massas[saldo_conta],"--",0,1)</f>
        <v>13930.64</v>
      </c>
      <c r="H1265" t="str">
        <f>_xlfn.XLOOKUP(TBL_USUARIOS[[#This Row],[ID_MASSA]],tbl_de_massas[id_massa],tbl_de_massas[nome_completo],"--",0,1)</f>
        <v>Bo He</v>
      </c>
    </row>
    <row r="1266" spans="1:8" x14ac:dyDescent="0.25">
      <c r="A1266" s="2" t="s">
        <v>2563</v>
      </c>
      <c r="B1266" s="14" t="str">
        <f>_xlfn.XLOOKUP(TBL_USUARIOS[[#This Row],[ID_MASSA]],tbl_de_massas[id_massa],tbl_de_massas[cpf],"--",0,1)</f>
        <v>53743477645</v>
      </c>
      <c r="C1266" t="s">
        <v>12</v>
      </c>
      <c r="D1266" t="str">
        <f>_xlfn.XLOOKUP(TBL_USUARIOS[[#This Row],[ID_MASSA]],tbl_de_massas[id_massa],tbl_de_massas[nome_completo],"--",0,1)</f>
        <v>Fahad Al-Ghamdiqw</v>
      </c>
      <c r="E1266" t="str">
        <f>_xlfn.XLOOKUP(TBL_USUARIOS[[#This Row],[ID_MASSA]],tbl_de_massas[id_massa],tbl_de_massas[cartao_fisico_numero],"--",0,1)</f>
        <v>5442 7460 8269 3670</v>
      </c>
      <c r="F1266" t="str">
        <f>_xlfn.XLOOKUP(TBL_USUARIOS[[#This Row],[ID_MASSA]],tbl_de_massas[id_massa],tbl_de_massas[nome_completo],"--",0,1)</f>
        <v>Fahad Al-Ghamdiqw</v>
      </c>
      <c r="G1266" s="47">
        <f>_xlfn.XLOOKUP(TBL_USUARIOS[[#This Row],[ID_MASSA]],tbl_de_massas[id_massa],tbl_de_massas[saldo_conta],"--",0,1)</f>
        <v>13719.26</v>
      </c>
      <c r="H1266" t="str">
        <f>_xlfn.XLOOKUP(TBL_USUARIOS[[#This Row],[ID_MASSA]],tbl_de_massas[id_massa],tbl_de_massas[nome_completo],"--",0,1)</f>
        <v>Fahad Al-Ghamdiqw</v>
      </c>
    </row>
    <row r="1267" spans="1:8" x14ac:dyDescent="0.25">
      <c r="A1267" s="2" t="s">
        <v>3819</v>
      </c>
      <c r="B1267" t="str">
        <f>_xlfn.XLOOKUP(TBL_USUARIOS[[#This Row],[ID_MASSA]],tbl_de_massas[id_massa],tbl_de_massas[cpf],"--",0,1)</f>
        <v>96264341711</v>
      </c>
      <c r="C1267" t="s">
        <v>12</v>
      </c>
      <c r="D1267" t="str">
        <f>_xlfn.XLOOKUP(TBL_USUARIOS[[#This Row],[ID_MASSA]],tbl_de_massas[id_massa],tbl_de_massas[nome_completo],"--",0,1)</f>
        <v>Fabio Almeida Moura</v>
      </c>
      <c r="E1267" t="str">
        <f>_xlfn.XLOOKUP(TBL_USUARIOS[[#This Row],[ID_MASSA]],tbl_de_massas[id_massa],tbl_de_massas[cartao_fisico_numero],"--",0,1)</f>
        <v>6062 8200 5624 5958</v>
      </c>
      <c r="F1267" t="str">
        <f>_xlfn.XLOOKUP(TBL_USUARIOS[[#This Row],[ID_MASSA]],tbl_de_massas[id_massa],tbl_de_massas[nome_completo],"--",0,1)</f>
        <v>Fabio Almeida Moura</v>
      </c>
      <c r="G1267" s="47">
        <f>_xlfn.XLOOKUP(TBL_USUARIOS[[#This Row],[ID_MASSA]],tbl_de_massas[id_massa],tbl_de_massas[saldo_conta],"--",0,1)</f>
        <v>11615.76</v>
      </c>
      <c r="H1267" t="str">
        <f>_xlfn.XLOOKUP(TBL_USUARIOS[[#This Row],[ID_MASSA]],tbl_de_massas[id_massa],tbl_de_massas[nome_completo],"--",0,1)</f>
        <v>Fabio Almeida Moura</v>
      </c>
    </row>
    <row r="1268" spans="1:8" x14ac:dyDescent="0.25">
      <c r="A1268" s="2" t="s">
        <v>5739</v>
      </c>
      <c r="B1268" t="str">
        <f>_xlfn.XLOOKUP(TBL_USUARIOS[[#This Row],[ID_MASSA]],tbl_de_massas[id_massa],tbl_de_massas[cpf],"--",0,1)</f>
        <v>40309806437</v>
      </c>
      <c r="C1268" t="s">
        <v>12</v>
      </c>
      <c r="D1268" t="str">
        <f>_xlfn.XLOOKUP(TBL_USUARIOS[[#This Row],[ID_MASSA]],tbl_de_massas[id_massa],tbl_de_massas[nome_completo],"--",0,1)</f>
        <v>Bruno Cardoso Almeida</v>
      </c>
      <c r="E1268" t="str">
        <f>_xlfn.XLOOKUP(TBL_USUARIOS[[#This Row],[ID_MASSA]],tbl_de_massas[id_massa],tbl_de_massas[cartao_fisico_numero],"--",0,1)</f>
        <v/>
      </c>
      <c r="F1268" t="str">
        <f>_xlfn.XLOOKUP(TBL_USUARIOS[[#This Row],[ID_MASSA]],tbl_de_massas[id_massa],tbl_de_massas[nome_completo],"--",0,1)</f>
        <v>Bruno Cardoso Almeida</v>
      </c>
      <c r="G1268" s="47">
        <f>_xlfn.XLOOKUP(TBL_USUARIOS[[#This Row],[ID_MASSA]],tbl_de_massas[id_massa],tbl_de_massas[saldo_conta],"--",0,1)</f>
        <v>13757.16</v>
      </c>
      <c r="H1268" t="str">
        <f>_xlfn.XLOOKUP(TBL_USUARIOS[[#This Row],[ID_MASSA]],tbl_de_massas[id_massa],tbl_de_massas[nome_completo],"--",0,1)</f>
        <v>Bruno Cardoso Almeida</v>
      </c>
    </row>
    <row r="1269" spans="1:8" x14ac:dyDescent="0.25">
      <c r="A1269" s="2" t="s">
        <v>3649</v>
      </c>
      <c r="B1269" t="str">
        <f>_xlfn.XLOOKUP(TBL_USUARIOS[[#This Row],[ID_MASSA]],tbl_de_massas[id_massa],tbl_de_massas[cpf],"--",0,1)</f>
        <v>96858885820</v>
      </c>
      <c r="C1269" t="s">
        <v>12</v>
      </c>
      <c r="D1269" t="str">
        <f>_xlfn.XLOOKUP(TBL_USUARIOS[[#This Row],[ID_MASSA]],tbl_de_massas[id_massa],tbl_de_massas[nome_completo],"--",0,1)</f>
        <v>Gabriel Vieira Gomes</v>
      </c>
      <c r="E1269" t="str">
        <f>_xlfn.XLOOKUP(TBL_USUARIOS[[#This Row],[ID_MASSA]],tbl_de_massas[id_massa],tbl_de_massas[cartao_fisico_numero],"--",0,1)</f>
        <v>3782 391837 7856</v>
      </c>
      <c r="F1269" t="str">
        <f>_xlfn.XLOOKUP(TBL_USUARIOS[[#This Row],[ID_MASSA]],tbl_de_massas[id_massa],tbl_de_massas[nome_completo],"--",0,1)</f>
        <v>Gabriel Vieira Gomes</v>
      </c>
      <c r="G1269" s="47">
        <f>_xlfn.XLOOKUP(TBL_USUARIOS[[#This Row],[ID_MASSA]],tbl_de_massas[id_massa],tbl_de_massas[saldo_conta],"--",0,1)</f>
        <v>13768.08</v>
      </c>
      <c r="H1269" t="str">
        <f>_xlfn.XLOOKUP(TBL_USUARIOS[[#This Row],[ID_MASSA]],tbl_de_massas[id_massa],tbl_de_massas[nome_completo],"--",0,1)</f>
        <v>Gabriel Vieira Gomes</v>
      </c>
    </row>
    <row r="1270" spans="1:8" x14ac:dyDescent="0.25">
      <c r="A1270" s="2" t="s">
        <v>5985</v>
      </c>
      <c r="B1270" t="str">
        <f>_xlfn.XLOOKUP(TBL_USUARIOS[[#This Row],[ID_MASSA]],tbl_de_massas[id_massa],tbl_de_massas[cpf],"--",0,1)</f>
        <v>47654580088</v>
      </c>
      <c r="C1270" t="s">
        <v>12</v>
      </c>
      <c r="D1270" t="str">
        <f>_xlfn.XLOOKUP(TBL_USUARIOS[[#This Row],[ID_MASSA]],tbl_de_massas[id_massa],tbl_de_massas[nome_completo],"--",0,1)</f>
        <v>Beatriz Nunes</v>
      </c>
      <c r="E1270" t="str">
        <f>_xlfn.XLOOKUP(TBL_USUARIOS[[#This Row],[ID_MASSA]],tbl_de_massas[id_massa],tbl_de_massas[cartao_fisico_numero],"--",0,1)</f>
        <v>4576 7460 1423 5962</v>
      </c>
      <c r="F1270" t="str">
        <f>_xlfn.XLOOKUP(TBL_USUARIOS[[#This Row],[ID_MASSA]],tbl_de_massas[id_massa],tbl_de_massas[nome_completo],"--",0,1)</f>
        <v>Beatriz Nunes</v>
      </c>
      <c r="G1270" s="47">
        <f>_xlfn.XLOOKUP(TBL_USUARIOS[[#This Row],[ID_MASSA]],tbl_de_massas[id_massa],tbl_de_massas[saldo_conta],"--",0,1)</f>
        <v>8636.91</v>
      </c>
      <c r="H1270" t="str">
        <f>_xlfn.XLOOKUP(TBL_USUARIOS[[#This Row],[ID_MASSA]],tbl_de_massas[id_massa],tbl_de_massas[nome_completo],"--",0,1)</f>
        <v>Beatriz Nunes</v>
      </c>
    </row>
    <row r="1271" spans="1:8" x14ac:dyDescent="0.25">
      <c r="A1271" s="2" t="s">
        <v>4902</v>
      </c>
      <c r="B1271" t="str">
        <f>_xlfn.XLOOKUP(TBL_USUARIOS[[#This Row],[ID_MASSA]],tbl_de_massas[id_massa],tbl_de_massas[cpf],"--",0,1)</f>
        <v>38201875028</v>
      </c>
      <c r="C1271" t="s">
        <v>12</v>
      </c>
      <c r="D1271" t="str">
        <f>_xlfn.XLOOKUP(TBL_USUARIOS[[#This Row],[ID_MASSA]],tbl_de_massas[id_massa],tbl_de_massas[nome_completo],"--",0,1)</f>
        <v>Marcelo Pinto</v>
      </c>
      <c r="E1271" t="str">
        <f>_xlfn.XLOOKUP(TBL_USUARIOS[[#This Row],[ID_MASSA]],tbl_de_massas[id_massa],tbl_de_massas[cartao_fisico_numero],"--",0,1)</f>
        <v/>
      </c>
      <c r="F1271" t="str">
        <f>_xlfn.XLOOKUP(TBL_USUARIOS[[#This Row],[ID_MASSA]],tbl_de_massas[id_massa],tbl_de_massas[nome_completo],"--",0,1)</f>
        <v>Marcelo Pinto</v>
      </c>
      <c r="G1271" s="47">
        <f>_xlfn.XLOOKUP(TBL_USUARIOS[[#This Row],[ID_MASSA]],tbl_de_massas[id_massa],tbl_de_massas[saldo_conta],"--",0,1)</f>
        <v>13796.57</v>
      </c>
      <c r="H1271" t="str">
        <f>_xlfn.XLOOKUP(TBL_USUARIOS[[#This Row],[ID_MASSA]],tbl_de_massas[id_massa],tbl_de_massas[nome_completo],"--",0,1)</f>
        <v>Marcelo Pinto</v>
      </c>
    </row>
    <row r="1272" spans="1:8" x14ac:dyDescent="0.25">
      <c r="A1272" s="2" t="s">
        <v>2756</v>
      </c>
      <c r="B1272" t="str">
        <f>_xlfn.XLOOKUP(TBL_USUARIOS[[#This Row],[ID_MASSA]],tbl_de_massas[id_massa],tbl_de_massas[cpf],"--",0,1)</f>
        <v>94670265202</v>
      </c>
      <c r="C1272" t="s">
        <v>12</v>
      </c>
      <c r="D1272" t="str">
        <f>_xlfn.XLOOKUP(TBL_USUARIOS[[#This Row],[ID_MASSA]],tbl_de_massas[id_massa],tbl_de_massas[nome_completo],"--",0,1)</f>
        <v>Caio Souza</v>
      </c>
      <c r="E1272" t="str">
        <f>_xlfn.XLOOKUP(TBL_USUARIOS[[#This Row],[ID_MASSA]],tbl_de_massas[id_massa],tbl_de_massas[cartao_fisico_numero],"--",0,1)</f>
        <v/>
      </c>
      <c r="F1272" t="str">
        <f>_xlfn.XLOOKUP(TBL_USUARIOS[[#This Row],[ID_MASSA]],tbl_de_massas[id_massa],tbl_de_massas[nome_completo],"--",0,1)</f>
        <v>Caio Souza</v>
      </c>
      <c r="G1272" s="47">
        <f>_xlfn.XLOOKUP(TBL_USUARIOS[[#This Row],[ID_MASSA]],tbl_de_massas[id_massa],tbl_de_massas[saldo_conta],"--",0,1)</f>
        <v>13807.5</v>
      </c>
      <c r="H1272" t="str">
        <f>_xlfn.XLOOKUP(TBL_USUARIOS[[#This Row],[ID_MASSA]],tbl_de_massas[id_massa],tbl_de_massas[nome_completo],"--",0,1)</f>
        <v>Caio Souza</v>
      </c>
    </row>
    <row r="1273" spans="1:8" x14ac:dyDescent="0.25">
      <c r="A1273" s="2" t="s">
        <v>3153</v>
      </c>
      <c r="B1273" t="str">
        <f>_xlfn.XLOOKUP(TBL_USUARIOS[[#This Row],[ID_MASSA]],tbl_de_massas[id_massa],tbl_de_massas[cpf],"--",0,1)</f>
        <v>07643113874</v>
      </c>
      <c r="C1273" t="s">
        <v>12</v>
      </c>
      <c r="D1273" t="str">
        <f>_xlfn.XLOOKUP(TBL_USUARIOS[[#This Row],[ID_MASSA]],tbl_de_massas[id_massa],tbl_de_massas[nome_completo],"--",0,1)</f>
        <v>Amanda Costa Almeida</v>
      </c>
      <c r="E1273" t="str">
        <f>_xlfn.XLOOKUP(TBL_USUARIOS[[#This Row],[ID_MASSA]],tbl_de_massas[id_massa],tbl_de_massas[cartao_fisico_numero],"--",0,1)</f>
        <v/>
      </c>
      <c r="F1273" t="str">
        <f>_xlfn.XLOOKUP(TBL_USUARIOS[[#This Row],[ID_MASSA]],tbl_de_massas[id_massa],tbl_de_massas[nome_completo],"--",0,1)</f>
        <v>Amanda Costa Almeida</v>
      </c>
      <c r="G1273" s="47">
        <f>_xlfn.XLOOKUP(TBL_USUARIOS[[#This Row],[ID_MASSA]],tbl_de_massas[id_massa],tbl_de_massas[saldo_conta],"--",0,1)</f>
        <v>13820.98</v>
      </c>
      <c r="H1273" t="str">
        <f>_xlfn.XLOOKUP(TBL_USUARIOS[[#This Row],[ID_MASSA]],tbl_de_massas[id_massa],tbl_de_massas[nome_completo],"--",0,1)</f>
        <v>Amanda Costa Almeida</v>
      </c>
    </row>
    <row r="1274" spans="1:8" x14ac:dyDescent="0.25">
      <c r="A1274" s="2" t="s">
        <v>4587</v>
      </c>
      <c r="B1274" t="str">
        <f>_xlfn.XLOOKUP(TBL_USUARIOS[[#This Row],[ID_MASSA]],tbl_de_massas[id_massa],tbl_de_massas[cpf],"--",0,1)</f>
        <v>72953634088</v>
      </c>
      <c r="C1274" t="s">
        <v>12</v>
      </c>
      <c r="D1274" t="str">
        <f>_xlfn.XLOOKUP(TBL_USUARIOS[[#This Row],[ID_MASSA]],tbl_de_massas[id_massa],tbl_de_massas[nome_completo],"--",0,1)</f>
        <v>Debora Carvalho Cardoso</v>
      </c>
      <c r="E1274" t="str">
        <f>_xlfn.XLOOKUP(TBL_USUARIOS[[#This Row],[ID_MASSA]],tbl_de_massas[id_massa],tbl_de_massas[cartao_fisico_numero],"--",0,1)</f>
        <v>4576 7460 1875 4306</v>
      </c>
      <c r="F1274" t="str">
        <f>_xlfn.XLOOKUP(TBL_USUARIOS[[#This Row],[ID_MASSA]],tbl_de_massas[id_massa],tbl_de_massas[nome_completo],"--",0,1)</f>
        <v>Debora Carvalho Cardoso</v>
      </c>
      <c r="G1274" s="47">
        <f>_xlfn.XLOOKUP(TBL_USUARIOS[[#This Row],[ID_MASSA]],tbl_de_massas[id_massa],tbl_de_massas[saldo_conta],"--",0,1)</f>
        <v>13824.7</v>
      </c>
      <c r="H1274" t="str">
        <f>_xlfn.XLOOKUP(TBL_USUARIOS[[#This Row],[ID_MASSA]],tbl_de_massas[id_massa],tbl_de_massas[nome_completo],"--",0,1)</f>
        <v>Debora Carvalho Cardoso</v>
      </c>
    </row>
    <row r="1275" spans="1:8" x14ac:dyDescent="0.25">
      <c r="A1275" s="2" t="s">
        <v>5799</v>
      </c>
      <c r="B1275" t="str">
        <f>_xlfn.XLOOKUP(TBL_USUARIOS[[#This Row],[ID_MASSA]],tbl_de_massas[id_massa],tbl_de_massas[cpf],"--",0,1)</f>
        <v>77703041300</v>
      </c>
      <c r="C1275" t="s">
        <v>12</v>
      </c>
      <c r="D1275" t="str">
        <f>_xlfn.XLOOKUP(TBL_USUARIOS[[#This Row],[ID_MASSA]],tbl_de_massas[id_massa],tbl_de_massas[nome_completo],"--",0,1)</f>
        <v>Beatriz Cavalcanti Barros</v>
      </c>
      <c r="E1275" t="str">
        <f>_xlfn.XLOOKUP(TBL_USUARIOS[[#This Row],[ID_MASSA]],tbl_de_massas[id_massa],tbl_de_massas[cartao_fisico_numero],"--",0,1)</f>
        <v>6062 8200 1405 4669</v>
      </c>
      <c r="F1275" t="str">
        <f>_xlfn.XLOOKUP(TBL_USUARIOS[[#This Row],[ID_MASSA]],tbl_de_massas[id_massa],tbl_de_massas[nome_completo],"--",0,1)</f>
        <v>Beatriz Cavalcanti Barros</v>
      </c>
      <c r="G1275" s="47">
        <f>_xlfn.XLOOKUP(TBL_USUARIOS[[#This Row],[ID_MASSA]],tbl_de_massas[id_massa],tbl_de_massas[saldo_conta],"--",0,1)</f>
        <v>13536.87</v>
      </c>
      <c r="H1275" t="str">
        <f>_xlfn.XLOOKUP(TBL_USUARIOS[[#This Row],[ID_MASSA]],tbl_de_massas[id_massa],tbl_de_massas[nome_completo],"--",0,1)</f>
        <v>Beatriz Cavalcanti Barros</v>
      </c>
    </row>
    <row r="1276" spans="1:8" x14ac:dyDescent="0.25">
      <c r="A1276" s="2" t="s">
        <v>4805</v>
      </c>
      <c r="B1276" t="str">
        <f>_xlfn.XLOOKUP(TBL_USUARIOS[[#This Row],[ID_MASSA]],tbl_de_massas[id_massa],tbl_de_massas[cpf],"--",0,1)</f>
        <v>78347549206</v>
      </c>
      <c r="C1276" t="s">
        <v>12</v>
      </c>
      <c r="D1276" t="str">
        <f>_xlfn.XLOOKUP(TBL_USUARIOS[[#This Row],[ID_MASSA]],tbl_de_massas[id_massa],tbl_de_massas[nome_completo],"--",0,1)</f>
        <v>Eduardo Nascimento</v>
      </c>
      <c r="E1276" t="str">
        <f>_xlfn.XLOOKUP(TBL_USUARIOS[[#This Row],[ID_MASSA]],tbl_de_massas[id_massa],tbl_de_massas[cartao_fisico_numero],"--",0,1)</f>
        <v>4576 7460 4541 6017</v>
      </c>
      <c r="F1276" t="str">
        <f>_xlfn.XLOOKUP(TBL_USUARIOS[[#This Row],[ID_MASSA]],tbl_de_massas[id_massa],tbl_de_massas[nome_completo],"--",0,1)</f>
        <v>Eduardo Nascimento</v>
      </c>
      <c r="G1276" s="47">
        <f>_xlfn.XLOOKUP(TBL_USUARIOS[[#This Row],[ID_MASSA]],tbl_de_massas[id_massa],tbl_de_massas[saldo_conta],"--",0,1)</f>
        <v>13827.69</v>
      </c>
      <c r="H1276" t="str">
        <f>_xlfn.XLOOKUP(TBL_USUARIOS[[#This Row],[ID_MASSA]],tbl_de_massas[id_massa],tbl_de_massas[nome_completo],"--",0,1)</f>
        <v>Eduardo Nascimento</v>
      </c>
    </row>
    <row r="1277" spans="1:8" x14ac:dyDescent="0.25">
      <c r="A1277" s="2" t="s">
        <v>3068</v>
      </c>
      <c r="B1277" t="str">
        <f>_xlfn.XLOOKUP(TBL_USUARIOS[[#This Row],[ID_MASSA]],tbl_de_massas[id_massa],tbl_de_massas[cpf],"--",0,1)</f>
        <v>83985114277</v>
      </c>
      <c r="C1277" t="s">
        <v>12</v>
      </c>
      <c r="D1277" t="str">
        <f>_xlfn.XLOOKUP(TBL_USUARIOS[[#This Row],[ID_MASSA]],tbl_de_massas[id_massa],tbl_de_massas[nome_completo],"--",0,1)</f>
        <v>Leonardo Monteiro Fernandes</v>
      </c>
      <c r="E1277" t="str">
        <f>_xlfn.XLOOKUP(TBL_USUARIOS[[#This Row],[ID_MASSA]],tbl_de_massas[id_massa],tbl_de_massas[cartao_fisico_numero],"--",0,1)</f>
        <v/>
      </c>
      <c r="F1277" t="str">
        <f>_xlfn.XLOOKUP(TBL_USUARIOS[[#This Row],[ID_MASSA]],tbl_de_massas[id_massa],tbl_de_massas[nome_completo],"--",0,1)</f>
        <v>Leonardo Monteiro Fernandes</v>
      </c>
      <c r="G1277" s="47">
        <f>_xlfn.XLOOKUP(TBL_USUARIOS[[#This Row],[ID_MASSA]],tbl_de_massas[id_massa],tbl_de_massas[saldo_conta],"--",0,1)</f>
        <v>13834.3</v>
      </c>
      <c r="H1277" t="str">
        <f>_xlfn.XLOOKUP(TBL_USUARIOS[[#This Row],[ID_MASSA]],tbl_de_massas[id_massa],tbl_de_massas[nome_completo],"--",0,1)</f>
        <v>Leonardo Monteiro Fernandes</v>
      </c>
    </row>
    <row r="1278" spans="1:8" x14ac:dyDescent="0.25">
      <c r="A1278" s="2" t="s">
        <v>2197</v>
      </c>
      <c r="B1278" s="14" t="str">
        <f>_xlfn.XLOOKUP(TBL_USUARIOS[[#This Row],[ID_MASSA]],tbl_de_massas[id_massa],tbl_de_massas[cpf],"--",0,1)</f>
        <v>01843444259</v>
      </c>
      <c r="C1278" t="s">
        <v>12</v>
      </c>
      <c r="D1278" t="str">
        <f>_xlfn.XLOOKUP(TBL_USUARIOS[[#This Row],[ID_MASSA]],tbl_de_massas[id_massa],tbl_de_massas[nome_completo],"--",0,1)</f>
        <v>Fatima Al-Harbi</v>
      </c>
      <c r="E1278" t="str">
        <f>_xlfn.XLOOKUP(TBL_USUARIOS[[#This Row],[ID_MASSA]],tbl_de_massas[id_massa],tbl_de_massas[cartao_fisico_numero],"--",0,1)</f>
        <v>3782 296131 8895</v>
      </c>
      <c r="F1278" t="str">
        <f>_xlfn.XLOOKUP(TBL_USUARIOS[[#This Row],[ID_MASSA]],tbl_de_massas[id_massa],tbl_de_massas[nome_completo],"--",0,1)</f>
        <v>Fatima Al-Harbi</v>
      </c>
      <c r="G1278" s="47">
        <f>_xlfn.XLOOKUP(TBL_USUARIOS[[#This Row],[ID_MASSA]],tbl_de_massas[id_massa],tbl_de_massas[saldo_conta],"--",0,1)</f>
        <v>13431.47</v>
      </c>
      <c r="H1278" t="str">
        <f>_xlfn.XLOOKUP(TBL_USUARIOS[[#This Row],[ID_MASSA]],tbl_de_massas[id_massa],tbl_de_massas[nome_completo],"--",0,1)</f>
        <v>Fatima Al-Harbi</v>
      </c>
    </row>
    <row r="1279" spans="1:8" x14ac:dyDescent="0.25">
      <c r="A1279" s="2" t="s">
        <v>2632</v>
      </c>
      <c r="B1279" s="14" t="str">
        <f>_xlfn.XLOOKUP(TBL_USUARIOS[[#This Row],[ID_MASSA]],tbl_de_massas[id_massa],tbl_de_massas[cpf],"--",0,1)</f>
        <v>98463748520</v>
      </c>
      <c r="C1279" t="s">
        <v>12</v>
      </c>
      <c r="D1279" t="str">
        <f>_xlfn.XLOOKUP(TBL_USUARIOS[[#This Row],[ID_MASSA]],tbl_de_massas[id_massa],tbl_de_massas[nome_completo],"--",0,1)</f>
        <v>Seosdyun Lee</v>
      </c>
      <c r="E1279" t="str">
        <f>_xlfn.XLOOKUP(TBL_USUARIOS[[#This Row],[ID_MASSA]],tbl_de_massas[id_massa],tbl_de_massas[cartao_fisico_numero],"--",0,1)</f>
        <v>5442 7460 3899 2839</v>
      </c>
      <c r="F1279" t="str">
        <f>_xlfn.XLOOKUP(TBL_USUARIOS[[#This Row],[ID_MASSA]],tbl_de_massas[id_massa],tbl_de_massas[nome_completo],"--",0,1)</f>
        <v>Seosdyun Lee</v>
      </c>
      <c r="G1279" s="47">
        <f>_xlfn.XLOOKUP(TBL_USUARIOS[[#This Row],[ID_MASSA]],tbl_de_massas[id_massa],tbl_de_massas[saldo_conta],"--",0,1)</f>
        <v>11734.44</v>
      </c>
      <c r="H1279" t="str">
        <f>_xlfn.XLOOKUP(TBL_USUARIOS[[#This Row],[ID_MASSA]],tbl_de_massas[id_massa],tbl_de_massas[nome_completo],"--",0,1)</f>
        <v>Seosdyun Lee</v>
      </c>
    </row>
    <row r="1280" spans="1:8" x14ac:dyDescent="0.25">
      <c r="A1280" s="2" t="s">
        <v>6493</v>
      </c>
      <c r="B1280" t="str">
        <f>_xlfn.XLOOKUP(TBL_USUARIOS[[#This Row],[ID_MASSA]],tbl_de_massas[id_massa],tbl_de_massas[cpf],"--",0,1)</f>
        <v>44202387635</v>
      </c>
      <c r="C1280" t="s">
        <v>12</v>
      </c>
      <c r="D1280" t="str">
        <f>_xlfn.XLOOKUP(TBL_USUARIOS[[#This Row],[ID_MASSA]],tbl_de_massas[id_massa],tbl_de_massas[nome_completo],"--",0,1)</f>
        <v>Min Li Yang</v>
      </c>
      <c r="E1280" t="str">
        <f>_xlfn.XLOOKUP(TBL_USUARIOS[[#This Row],[ID_MASSA]],tbl_de_massas[id_massa],tbl_de_massas[cartao_fisico_numero],"--",0,1)</f>
        <v/>
      </c>
      <c r="F1280" t="str">
        <f>_xlfn.XLOOKUP(TBL_USUARIOS[[#This Row],[ID_MASSA]],tbl_de_massas[id_massa],tbl_de_massas[nome_completo],"--",0,1)</f>
        <v>Min Li Yang</v>
      </c>
      <c r="G1280" s="47">
        <f>_xlfn.XLOOKUP(TBL_USUARIOS[[#This Row],[ID_MASSA]],tbl_de_massas[id_massa],tbl_de_massas[saldo_conta],"--",0,1)</f>
        <v>13729.78</v>
      </c>
      <c r="H1280" t="str">
        <f>_xlfn.XLOOKUP(TBL_USUARIOS[[#This Row],[ID_MASSA]],tbl_de_massas[id_massa],tbl_de_massas[nome_completo],"--",0,1)</f>
        <v>Min Li Yang</v>
      </c>
    </row>
    <row r="1281" spans="1:8" x14ac:dyDescent="0.25">
      <c r="A1281" s="2" t="s">
        <v>5790</v>
      </c>
      <c r="B1281" t="str">
        <f>_xlfn.XLOOKUP(TBL_USUARIOS[[#This Row],[ID_MASSA]],tbl_de_massas[id_massa],tbl_de_massas[cpf],"--",0,1)</f>
        <v>51880500051</v>
      </c>
      <c r="C1281" t="s">
        <v>12</v>
      </c>
      <c r="D1281" t="str">
        <f>_xlfn.XLOOKUP(TBL_USUARIOS[[#This Row],[ID_MASSA]],tbl_de_massas[id_massa],tbl_de_massas[nome_completo],"--",0,1)</f>
        <v>Diego Cardoso Oliveira</v>
      </c>
      <c r="E1281" t="str">
        <f>_xlfn.XLOOKUP(TBL_USUARIOS[[#This Row],[ID_MASSA]],tbl_de_massas[id_massa],tbl_de_massas[cartao_fisico_numero],"--",0,1)</f>
        <v/>
      </c>
      <c r="F1281" t="str">
        <f>_xlfn.XLOOKUP(TBL_USUARIOS[[#This Row],[ID_MASSA]],tbl_de_massas[id_massa],tbl_de_massas[nome_completo],"--",0,1)</f>
        <v>Diego Cardoso Oliveira</v>
      </c>
      <c r="G1281" s="47">
        <f>_xlfn.XLOOKUP(TBL_USUARIOS[[#This Row],[ID_MASSA]],tbl_de_massas[id_massa],tbl_de_massas[saldo_conta],"--",0,1)</f>
        <v>13488.22</v>
      </c>
      <c r="H1281" t="str">
        <f>_xlfn.XLOOKUP(TBL_USUARIOS[[#This Row],[ID_MASSA]],tbl_de_massas[id_massa],tbl_de_massas[nome_completo],"--",0,1)</f>
        <v>Diego Cardoso Oliveira</v>
      </c>
    </row>
    <row r="1282" spans="1:8" x14ac:dyDescent="0.25">
      <c r="A1282" s="2" t="s">
        <v>4290</v>
      </c>
      <c r="B1282" t="str">
        <f>_xlfn.XLOOKUP(TBL_USUARIOS[[#This Row],[ID_MASSA]],tbl_de_massas[id_massa],tbl_de_massas[cpf],"--",0,1)</f>
        <v>52965228187</v>
      </c>
      <c r="C1282" t="s">
        <v>12</v>
      </c>
      <c r="D1282" t="str">
        <f>_xlfn.XLOOKUP(TBL_USUARIOS[[#This Row],[ID_MASSA]],tbl_de_massas[id_massa],tbl_de_massas[nome_completo],"--",0,1)</f>
        <v>Vivian Rocha Vieira</v>
      </c>
      <c r="E1282" t="str">
        <f>_xlfn.XLOOKUP(TBL_USUARIOS[[#This Row],[ID_MASSA]],tbl_de_massas[id_massa],tbl_de_massas[cartao_fisico_numero],"--",0,1)</f>
        <v>4576 7460 8986 9884</v>
      </c>
      <c r="F1282" t="str">
        <f>_xlfn.XLOOKUP(TBL_USUARIOS[[#This Row],[ID_MASSA]],tbl_de_massas[id_massa],tbl_de_massas[nome_completo],"--",0,1)</f>
        <v>Vivian Rocha Vieira</v>
      </c>
      <c r="G1282" s="47">
        <f>_xlfn.XLOOKUP(TBL_USUARIOS[[#This Row],[ID_MASSA]],tbl_de_massas[id_massa],tbl_de_massas[saldo_conta],"--",0,1)</f>
        <v>13992.36</v>
      </c>
      <c r="H1282" t="str">
        <f>_xlfn.XLOOKUP(TBL_USUARIOS[[#This Row],[ID_MASSA]],tbl_de_massas[id_massa],tbl_de_massas[nome_completo],"--",0,1)</f>
        <v>Vivian Rocha Vieira</v>
      </c>
    </row>
    <row r="1283" spans="1:8" x14ac:dyDescent="0.25">
      <c r="A1283" s="2" t="s">
        <v>4382</v>
      </c>
      <c r="B1283" t="str">
        <f>_xlfn.XLOOKUP(TBL_USUARIOS[[#This Row],[ID_MASSA]],tbl_de_massas[id_massa],tbl_de_massas[cpf],"--",0,1)</f>
        <v>53954655020</v>
      </c>
      <c r="C1283" t="s">
        <v>12</v>
      </c>
      <c r="D1283" t="str">
        <f>_xlfn.XLOOKUP(TBL_USUARIOS[[#This Row],[ID_MASSA]],tbl_de_massas[id_massa],tbl_de_massas[nome_completo],"--",0,1)</f>
        <v>Andre Borges Ribeiro</v>
      </c>
      <c r="E1283" t="str">
        <f>_xlfn.XLOOKUP(TBL_USUARIOS[[#This Row],[ID_MASSA]],tbl_de_massas[id_massa],tbl_de_massas[cartao_fisico_numero],"--",0,1)</f>
        <v>6062 8200 8379 6200</v>
      </c>
      <c r="F1283" t="str">
        <f>_xlfn.XLOOKUP(TBL_USUARIOS[[#This Row],[ID_MASSA]],tbl_de_massas[id_massa],tbl_de_massas[nome_completo],"--",0,1)</f>
        <v>Andre Borges Ribeiro</v>
      </c>
      <c r="G1283" s="47">
        <f>_xlfn.XLOOKUP(TBL_USUARIOS[[#This Row],[ID_MASSA]],tbl_de_massas[id_massa],tbl_de_massas[saldo_conta],"--",0,1)</f>
        <v>14027.93</v>
      </c>
      <c r="H1283" t="str">
        <f>_xlfn.XLOOKUP(TBL_USUARIOS[[#This Row],[ID_MASSA]],tbl_de_massas[id_massa],tbl_de_massas[nome_completo],"--",0,1)</f>
        <v>Andre Borges Ribeiro</v>
      </c>
    </row>
    <row r="1284" spans="1:8" x14ac:dyDescent="0.25">
      <c r="A1284" s="2" t="s">
        <v>4124</v>
      </c>
      <c r="B1284" t="str">
        <f>_xlfn.XLOOKUP(TBL_USUARIOS[[#This Row],[ID_MASSA]],tbl_de_massas[id_massa],tbl_de_massas[cpf],"--",0,1)</f>
        <v>66010742412</v>
      </c>
      <c r="C1284" t="s">
        <v>12</v>
      </c>
      <c r="D1284" t="str">
        <f>_xlfn.XLOOKUP(TBL_USUARIOS[[#This Row],[ID_MASSA]],tbl_de_massas[id_massa],tbl_de_massas[nome_completo],"--",0,1)</f>
        <v>Caio Borges</v>
      </c>
      <c r="E1284" t="str">
        <f>_xlfn.XLOOKUP(TBL_USUARIOS[[#This Row],[ID_MASSA]],tbl_de_massas[id_massa],tbl_de_massas[cartao_fisico_numero],"--",0,1)</f>
        <v>5442 7460 1243 8372</v>
      </c>
      <c r="F1284" t="str">
        <f>_xlfn.XLOOKUP(TBL_USUARIOS[[#This Row],[ID_MASSA]],tbl_de_massas[id_massa],tbl_de_massas[nome_completo],"--",0,1)</f>
        <v>Caio Borges</v>
      </c>
      <c r="G1284" s="47">
        <f>_xlfn.XLOOKUP(TBL_USUARIOS[[#This Row],[ID_MASSA]],tbl_de_massas[id_massa],tbl_de_massas[saldo_conta],"--",0,1)</f>
        <v>14042.62</v>
      </c>
      <c r="H1284" t="str">
        <f>_xlfn.XLOOKUP(TBL_USUARIOS[[#This Row],[ID_MASSA]],tbl_de_massas[id_massa],tbl_de_massas[nome_completo],"--",0,1)</f>
        <v>Caio Borges</v>
      </c>
    </row>
    <row r="1285" spans="1:8" x14ac:dyDescent="0.25">
      <c r="A1285" s="2" t="s">
        <v>5743</v>
      </c>
      <c r="B1285" t="str">
        <f>_xlfn.XLOOKUP(TBL_USUARIOS[[#This Row],[ID_MASSA]],tbl_de_massas[id_massa],tbl_de_massas[cpf],"--",0,1)</f>
        <v>58388724460</v>
      </c>
      <c r="C1285" t="s">
        <v>12</v>
      </c>
      <c r="D1285" t="str">
        <f>_xlfn.XLOOKUP(TBL_USUARIOS[[#This Row],[ID_MASSA]],tbl_de_massas[id_massa],tbl_de_massas[nome_completo],"--",0,1)</f>
        <v>Marcelo Freitas Oliveira</v>
      </c>
      <c r="E1285" t="str">
        <f>_xlfn.XLOOKUP(TBL_USUARIOS[[#This Row],[ID_MASSA]],tbl_de_massas[id_massa],tbl_de_massas[cartao_fisico_numero],"--",0,1)</f>
        <v/>
      </c>
      <c r="F1285" t="str">
        <f>_xlfn.XLOOKUP(TBL_USUARIOS[[#This Row],[ID_MASSA]],tbl_de_massas[id_massa],tbl_de_massas[nome_completo],"--",0,1)</f>
        <v>Marcelo Freitas Oliveira</v>
      </c>
      <c r="G1285" s="47">
        <f>_xlfn.XLOOKUP(TBL_USUARIOS[[#This Row],[ID_MASSA]],tbl_de_massas[id_massa],tbl_de_massas[saldo_conta],"--",0,1)</f>
        <v>14048.84</v>
      </c>
      <c r="H1285" t="str">
        <f>_xlfn.XLOOKUP(TBL_USUARIOS[[#This Row],[ID_MASSA]],tbl_de_massas[id_massa],tbl_de_massas[nome_completo],"--",0,1)</f>
        <v>Marcelo Freitas Oliveira</v>
      </c>
    </row>
    <row r="1286" spans="1:8" x14ac:dyDescent="0.25">
      <c r="A1286" s="2" t="s">
        <v>3006</v>
      </c>
      <c r="B1286" t="str">
        <f>_xlfn.XLOOKUP(TBL_USUARIOS[[#This Row],[ID_MASSA]],tbl_de_massas[id_massa],tbl_de_massas[cpf],"--",0,1)</f>
        <v>26683587442</v>
      </c>
      <c r="C1286" t="s">
        <v>12</v>
      </c>
      <c r="D1286" t="str">
        <f>_xlfn.XLOOKUP(TBL_USUARIOS[[#This Row],[ID_MASSA]],tbl_de_massas[id_massa],tbl_de_massas[nome_completo],"--",0,1)</f>
        <v>Gustavo Souza</v>
      </c>
      <c r="E1286" t="str">
        <f>_xlfn.XLOOKUP(TBL_USUARIOS[[#This Row],[ID_MASSA]],tbl_de_massas[id_massa],tbl_de_massas[cartao_fisico_numero],"--",0,1)</f>
        <v>6062 8200 7528 3187</v>
      </c>
      <c r="F1286" t="str">
        <f>_xlfn.XLOOKUP(TBL_USUARIOS[[#This Row],[ID_MASSA]],tbl_de_massas[id_massa],tbl_de_massas[nome_completo],"--",0,1)</f>
        <v>Gustavo Souza</v>
      </c>
      <c r="G1286" s="47">
        <f>_xlfn.XLOOKUP(TBL_USUARIOS[[#This Row],[ID_MASSA]],tbl_de_massas[id_massa],tbl_de_massas[saldo_conta],"--",0,1)</f>
        <v>11154.44</v>
      </c>
      <c r="H1286" t="str">
        <f>_xlfn.XLOOKUP(TBL_USUARIOS[[#This Row],[ID_MASSA]],tbl_de_massas[id_massa],tbl_de_massas[nome_completo],"--",0,1)</f>
        <v>Gustavo Souza</v>
      </c>
    </row>
    <row r="1287" spans="1:8" x14ac:dyDescent="0.25">
      <c r="A1287" s="2" t="s">
        <v>3132</v>
      </c>
      <c r="B1287" t="str">
        <f>_xlfn.XLOOKUP(TBL_USUARIOS[[#This Row],[ID_MASSA]],tbl_de_massas[id_massa],tbl_de_massas[cpf],"--",0,1)</f>
        <v>38468911933</v>
      </c>
      <c r="C1287" t="s">
        <v>12</v>
      </c>
      <c r="D1287" t="str">
        <f>_xlfn.XLOOKUP(TBL_USUARIOS[[#This Row],[ID_MASSA]],tbl_de_massas[id_massa],tbl_de_massas[nome_completo],"--",0,1)</f>
        <v>Felipe Ribeiro</v>
      </c>
      <c r="E1287" t="str">
        <f>_xlfn.XLOOKUP(TBL_USUARIOS[[#This Row],[ID_MASSA]],tbl_de_massas[id_massa],tbl_de_massas[cartao_fisico_numero],"--",0,1)</f>
        <v/>
      </c>
      <c r="F1287" t="str">
        <f>_xlfn.XLOOKUP(TBL_USUARIOS[[#This Row],[ID_MASSA]],tbl_de_massas[id_massa],tbl_de_massas[nome_completo],"--",0,1)</f>
        <v>Felipe Ribeiro</v>
      </c>
      <c r="G1287" s="47">
        <f>_xlfn.XLOOKUP(TBL_USUARIOS[[#This Row],[ID_MASSA]],tbl_de_massas[id_massa],tbl_de_massas[saldo_conta],"--",0,1)</f>
        <v>10254.780000000001</v>
      </c>
      <c r="H1287" t="str">
        <f>_xlfn.XLOOKUP(TBL_USUARIOS[[#This Row],[ID_MASSA]],tbl_de_massas[id_massa],tbl_de_massas[nome_completo],"--",0,1)</f>
        <v>Felipe Ribeiro</v>
      </c>
    </row>
    <row r="1288" spans="1:8" x14ac:dyDescent="0.25">
      <c r="A1288" s="2" t="s">
        <v>3915</v>
      </c>
      <c r="B1288" t="str">
        <f>_xlfn.XLOOKUP(TBL_USUARIOS[[#This Row],[ID_MASSA]],tbl_de_massas[id_massa],tbl_de_massas[cpf],"--",0,1)</f>
        <v>66641243354</v>
      </c>
      <c r="C1288" t="s">
        <v>12</v>
      </c>
      <c r="D1288" t="str">
        <f>_xlfn.XLOOKUP(TBL_USUARIOS[[#This Row],[ID_MASSA]],tbl_de_massas[id_massa],tbl_de_massas[nome_completo],"--",0,1)</f>
        <v>Eduardo Mendes</v>
      </c>
      <c r="E1288" t="str">
        <f>_xlfn.XLOOKUP(TBL_USUARIOS[[#This Row],[ID_MASSA]],tbl_de_massas[id_massa],tbl_de_massas[cartao_fisico_numero],"--",0,1)</f>
        <v>5442 7460 1423 9005</v>
      </c>
      <c r="F1288" t="str">
        <f>_xlfn.XLOOKUP(TBL_USUARIOS[[#This Row],[ID_MASSA]],tbl_de_massas[id_massa],tbl_de_massas[nome_completo],"--",0,1)</f>
        <v>Eduardo Mendes</v>
      </c>
      <c r="G1288" s="47">
        <f>_xlfn.XLOOKUP(TBL_USUARIOS[[#This Row],[ID_MASSA]],tbl_de_massas[id_massa],tbl_de_massas[saldo_conta],"--",0,1)</f>
        <v>14135.44</v>
      </c>
      <c r="H1288" t="str">
        <f>_xlfn.XLOOKUP(TBL_USUARIOS[[#This Row],[ID_MASSA]],tbl_de_massas[id_massa],tbl_de_massas[nome_completo],"--",0,1)</f>
        <v>Eduardo Mendes</v>
      </c>
    </row>
    <row r="1289" spans="1:8" x14ac:dyDescent="0.25">
      <c r="A1289" s="2" t="s">
        <v>4014</v>
      </c>
      <c r="B1289" t="str">
        <f>_xlfn.XLOOKUP(TBL_USUARIOS[[#This Row],[ID_MASSA]],tbl_de_massas[id_massa],tbl_de_massas[cpf],"--",0,1)</f>
        <v>35702246438</v>
      </c>
      <c r="C1289" t="s">
        <v>12</v>
      </c>
      <c r="D1289" t="str">
        <f>_xlfn.XLOOKUP(TBL_USUARIOS[[#This Row],[ID_MASSA]],tbl_de_massas[id_massa],tbl_de_massas[nome_completo],"--",0,1)</f>
        <v>Camila Nunes Ribeiro</v>
      </c>
      <c r="E1289" t="str">
        <f>_xlfn.XLOOKUP(TBL_USUARIOS[[#This Row],[ID_MASSA]],tbl_de_massas[id_massa],tbl_de_massas[cartao_fisico_numero],"--",0,1)</f>
        <v>3782 985760 4687</v>
      </c>
      <c r="F1289" t="str">
        <f>_xlfn.XLOOKUP(TBL_USUARIOS[[#This Row],[ID_MASSA]],tbl_de_massas[id_massa],tbl_de_massas[nome_completo],"--",0,1)</f>
        <v>Camila Nunes Ribeiro</v>
      </c>
      <c r="G1289" s="47">
        <f>_xlfn.XLOOKUP(TBL_USUARIOS[[#This Row],[ID_MASSA]],tbl_de_massas[id_massa],tbl_de_massas[saldo_conta],"--",0,1)</f>
        <v>14159.19</v>
      </c>
      <c r="H1289" t="str">
        <f>_xlfn.XLOOKUP(TBL_USUARIOS[[#This Row],[ID_MASSA]],tbl_de_massas[id_massa],tbl_de_massas[nome_completo],"--",0,1)</f>
        <v>Camila Nunes Ribeiro</v>
      </c>
    </row>
    <row r="1290" spans="1:8" x14ac:dyDescent="0.25">
      <c r="A1290" s="2" t="s">
        <v>2151</v>
      </c>
      <c r="B1290" s="14" t="str">
        <f>_xlfn.XLOOKUP(TBL_USUARIOS[[#This Row],[ID_MASSA]],tbl_de_massas[id_massa],tbl_de_massas[cpf],"--",0,1)</f>
        <v>96873928860</v>
      </c>
      <c r="C1290" t="s">
        <v>12</v>
      </c>
      <c r="D1290" t="str">
        <f>_xlfn.XLOOKUP(TBL_USUARIOS[[#This Row],[ID_MASSA]],tbl_de_massas[id_massa],tbl_de_massas[nome_completo],"--",0,1)</f>
        <v>Xiu Ying Wang</v>
      </c>
      <c r="E1290" t="str">
        <f>_xlfn.XLOOKUP(TBL_USUARIOS[[#This Row],[ID_MASSA]],tbl_de_massas[id_massa],tbl_de_massas[cartao_fisico_numero],"--",0,1)</f>
        <v>4576 7460 4070 1907</v>
      </c>
      <c r="F1290" t="str">
        <f>_xlfn.XLOOKUP(TBL_USUARIOS[[#This Row],[ID_MASSA]],tbl_de_massas[id_massa],tbl_de_massas[nome_completo],"--",0,1)</f>
        <v>Xiu Ying Wang</v>
      </c>
      <c r="G1290" s="47">
        <f>_xlfn.XLOOKUP(TBL_USUARIOS[[#This Row],[ID_MASSA]],tbl_de_massas[id_massa],tbl_de_massas[saldo_conta],"--",0,1)</f>
        <v>13725.29</v>
      </c>
      <c r="H1290" t="str">
        <f>_xlfn.XLOOKUP(TBL_USUARIOS[[#This Row],[ID_MASSA]],tbl_de_massas[id_massa],tbl_de_massas[nome_completo],"--",0,1)</f>
        <v>Xiu Ying Wang</v>
      </c>
    </row>
    <row r="1291" spans="1:8" x14ac:dyDescent="0.25">
      <c r="A1291" s="2" t="s">
        <v>4869</v>
      </c>
      <c r="B1291" t="str">
        <f>_xlfn.XLOOKUP(TBL_USUARIOS[[#This Row],[ID_MASSA]],tbl_de_massas[id_massa],tbl_de_massas[cpf],"--",0,1)</f>
        <v>00311995004</v>
      </c>
      <c r="C1291" t="s">
        <v>12</v>
      </c>
      <c r="D1291" t="str">
        <f>_xlfn.XLOOKUP(TBL_USUARIOS[[#This Row],[ID_MASSA]],tbl_de_massas[id_massa],tbl_de_massas[nome_completo],"--",0,1)</f>
        <v>Fabio Almeida Monteiro</v>
      </c>
      <c r="E1291" t="str">
        <f>_xlfn.XLOOKUP(TBL_USUARIOS[[#This Row],[ID_MASSA]],tbl_de_massas[id_massa],tbl_de_massas[cartao_fisico_numero],"--",0,1)</f>
        <v>4576 7460 5678 6241</v>
      </c>
      <c r="F1291" t="str">
        <f>_xlfn.XLOOKUP(TBL_USUARIOS[[#This Row],[ID_MASSA]],tbl_de_massas[id_massa],tbl_de_massas[nome_completo],"--",0,1)</f>
        <v>Fabio Almeida Monteiro</v>
      </c>
      <c r="G1291" s="47">
        <f>_xlfn.XLOOKUP(TBL_USUARIOS[[#This Row],[ID_MASSA]],tbl_de_massas[id_massa],tbl_de_massas[saldo_conta],"--",0,1)</f>
        <v>14185.18</v>
      </c>
      <c r="H1291" t="str">
        <f>_xlfn.XLOOKUP(TBL_USUARIOS[[#This Row],[ID_MASSA]],tbl_de_massas[id_massa],tbl_de_massas[nome_completo],"--",0,1)</f>
        <v>Fabio Almeida Monteiro</v>
      </c>
    </row>
    <row r="1292" spans="1:8" x14ac:dyDescent="0.25">
      <c r="A1292" s="2" t="s">
        <v>5089</v>
      </c>
      <c r="B1292" t="str">
        <f>_xlfn.XLOOKUP(TBL_USUARIOS[[#This Row],[ID_MASSA]],tbl_de_massas[id_massa],tbl_de_massas[cpf],"--",0,1)</f>
        <v>15106680980</v>
      </c>
      <c r="C1292" t="s">
        <v>12</v>
      </c>
      <c r="D1292" t="str">
        <f>_xlfn.XLOOKUP(TBL_USUARIOS[[#This Row],[ID_MASSA]],tbl_de_massas[id_massa],tbl_de_massas[nome_completo],"--",0,1)</f>
        <v>Carolina Barbosa Moura</v>
      </c>
      <c r="E1292" t="str">
        <f>_xlfn.XLOOKUP(TBL_USUARIOS[[#This Row],[ID_MASSA]],tbl_de_massas[id_massa],tbl_de_massas[cartao_fisico_numero],"--",0,1)</f>
        <v>5442 7460 6165 9152</v>
      </c>
      <c r="F1292" t="str">
        <f>_xlfn.XLOOKUP(TBL_USUARIOS[[#This Row],[ID_MASSA]],tbl_de_massas[id_massa],tbl_de_massas[nome_completo],"--",0,1)</f>
        <v>Carolina Barbosa Moura</v>
      </c>
      <c r="G1292" s="47">
        <f>_xlfn.XLOOKUP(TBL_USUARIOS[[#This Row],[ID_MASSA]],tbl_de_massas[id_massa],tbl_de_massas[saldo_conta],"--",0,1)</f>
        <v>14190.97</v>
      </c>
      <c r="H1292" t="str">
        <f>_xlfn.XLOOKUP(TBL_USUARIOS[[#This Row],[ID_MASSA]],tbl_de_massas[id_massa],tbl_de_massas[nome_completo],"--",0,1)</f>
        <v>Carolina Barbosa Moura</v>
      </c>
    </row>
    <row r="1293" spans="1:8" x14ac:dyDescent="0.25">
      <c r="A1293" s="2" t="s">
        <v>4681</v>
      </c>
      <c r="B1293" t="str">
        <f>_xlfn.XLOOKUP(TBL_USUARIOS[[#This Row],[ID_MASSA]],tbl_de_massas[id_massa],tbl_de_massas[cpf],"--",0,1)</f>
        <v>89949685044</v>
      </c>
      <c r="C1293" t="s">
        <v>12</v>
      </c>
      <c r="D1293" t="str">
        <f>_xlfn.XLOOKUP(TBL_USUARIOS[[#This Row],[ID_MASSA]],tbl_de_massas[id_massa],tbl_de_massas[nome_completo],"--",0,1)</f>
        <v>Vanessa Fernandes Nascimento</v>
      </c>
      <c r="E1293" t="str">
        <f>_xlfn.XLOOKUP(TBL_USUARIOS[[#This Row],[ID_MASSA]],tbl_de_massas[id_massa],tbl_de_massas[cartao_fisico_numero],"--",0,1)</f>
        <v>3782 127550 6599</v>
      </c>
      <c r="F1293" t="str">
        <f>_xlfn.XLOOKUP(TBL_USUARIOS[[#This Row],[ID_MASSA]],tbl_de_massas[id_massa],tbl_de_massas[nome_completo],"--",0,1)</f>
        <v>Vanessa Fernandes Nascimento</v>
      </c>
      <c r="G1293" s="47">
        <f>_xlfn.XLOOKUP(TBL_USUARIOS[[#This Row],[ID_MASSA]],tbl_de_massas[id_massa],tbl_de_massas[saldo_conta],"--",0,1)</f>
        <v>14218.44</v>
      </c>
      <c r="H1293" t="str">
        <f>_xlfn.XLOOKUP(TBL_USUARIOS[[#This Row],[ID_MASSA]],tbl_de_massas[id_massa],tbl_de_massas[nome_completo],"--",0,1)</f>
        <v>Vanessa Fernandes Nascimento</v>
      </c>
    </row>
    <row r="1294" spans="1:8" x14ac:dyDescent="0.25">
      <c r="A1294" s="2" t="s">
        <v>6517</v>
      </c>
      <c r="B1294" t="str">
        <f>_xlfn.XLOOKUP(TBL_USUARIOS[[#This Row],[ID_MASSA]],tbl_de_massas[id_massa],tbl_de_massas[cpf],"--",0,1)</f>
        <v>72711139328</v>
      </c>
      <c r="C1294" t="s">
        <v>12</v>
      </c>
      <c r="D1294" t="str">
        <f>_xlfn.XLOOKUP(TBL_USUARIOS[[#This Row],[ID_MASSA]],tbl_de_massas[id_massa],tbl_de_massas[nome_completo],"--",0,1)</f>
        <v>Jing Wang Xu</v>
      </c>
      <c r="E1294" t="str">
        <f>_xlfn.XLOOKUP(TBL_USUARIOS[[#This Row],[ID_MASSA]],tbl_de_massas[id_massa],tbl_de_massas[cartao_fisico_numero],"--",0,1)</f>
        <v/>
      </c>
      <c r="F1294" t="str">
        <f>_xlfn.XLOOKUP(TBL_USUARIOS[[#This Row],[ID_MASSA]],tbl_de_massas[id_massa],tbl_de_massas[nome_completo],"--",0,1)</f>
        <v>Jing Wang Xu</v>
      </c>
      <c r="G1294" s="47">
        <f>_xlfn.XLOOKUP(TBL_USUARIOS[[#This Row],[ID_MASSA]],tbl_de_massas[id_massa],tbl_de_massas[saldo_conta],"--",0,1)</f>
        <v>13571.72</v>
      </c>
      <c r="H1294" t="str">
        <f>_xlfn.XLOOKUP(TBL_USUARIOS[[#This Row],[ID_MASSA]],tbl_de_massas[id_massa],tbl_de_massas[nome_completo],"--",0,1)</f>
        <v>Jing Wang Xu</v>
      </c>
    </row>
    <row r="1295" spans="1:8" x14ac:dyDescent="0.25">
      <c r="A1295" s="2" t="s">
        <v>6353</v>
      </c>
      <c r="B1295" t="str">
        <f>_xlfn.XLOOKUP(TBL_USUARIOS[[#This Row],[ID_MASSA]],tbl_de_massas[id_massa],tbl_de_massas[cpf],"--",0,1)</f>
        <v>73182436910</v>
      </c>
      <c r="C1295" t="s">
        <v>12</v>
      </c>
      <c r="D1295" t="str">
        <f>_xlfn.XLOOKUP(TBL_USUARIOS[[#This Row],[ID_MASSA]],tbl_de_massas[id_massa],tbl_de_massas[nome_completo],"--",0,1)</f>
        <v>Victoria Williams Young</v>
      </c>
      <c r="E1295" t="str">
        <f>_xlfn.XLOOKUP(TBL_USUARIOS[[#This Row],[ID_MASSA]],tbl_de_massas[id_massa],tbl_de_massas[cartao_fisico_numero],"--",0,1)</f>
        <v/>
      </c>
      <c r="F1295" t="str">
        <f>_xlfn.XLOOKUP(TBL_USUARIOS[[#This Row],[ID_MASSA]],tbl_de_massas[id_massa],tbl_de_massas[nome_completo],"--",0,1)</f>
        <v>Victoria Williams Young</v>
      </c>
      <c r="G1295" s="47">
        <f>_xlfn.XLOOKUP(TBL_USUARIOS[[#This Row],[ID_MASSA]],tbl_de_massas[id_massa],tbl_de_massas[saldo_conta],"--",0,1)</f>
        <v>14233.15</v>
      </c>
      <c r="H1295" t="str">
        <f>_xlfn.XLOOKUP(TBL_USUARIOS[[#This Row],[ID_MASSA]],tbl_de_massas[id_massa],tbl_de_massas[nome_completo],"--",0,1)</f>
        <v>Victoria Williams Young</v>
      </c>
    </row>
    <row r="1296" spans="1:8" x14ac:dyDescent="0.25">
      <c r="A1296" s="2" t="s">
        <v>3577</v>
      </c>
      <c r="B1296" t="str">
        <f>_xlfn.XLOOKUP(TBL_USUARIOS[[#This Row],[ID_MASSA]],tbl_de_massas[id_massa],tbl_de_massas[cpf],"--",0,1)</f>
        <v>16347313790</v>
      </c>
      <c r="C1296" t="s">
        <v>12</v>
      </c>
      <c r="D1296" t="str">
        <f>_xlfn.XLOOKUP(TBL_USUARIOS[[#This Row],[ID_MASSA]],tbl_de_massas[id_massa],tbl_de_massas[nome_completo],"--",0,1)</f>
        <v>Bianca Costa Dias</v>
      </c>
      <c r="E1296" t="str">
        <f>_xlfn.XLOOKUP(TBL_USUARIOS[[#This Row],[ID_MASSA]],tbl_de_massas[id_massa],tbl_de_massas[cartao_fisico_numero],"--",0,1)</f>
        <v/>
      </c>
      <c r="F1296" t="str">
        <f>_xlfn.XLOOKUP(TBL_USUARIOS[[#This Row],[ID_MASSA]],tbl_de_massas[id_massa],tbl_de_massas[nome_completo],"--",0,1)</f>
        <v>Bianca Costa Dias</v>
      </c>
      <c r="G1296" s="47">
        <f>_xlfn.XLOOKUP(TBL_USUARIOS[[#This Row],[ID_MASSA]],tbl_de_massas[id_massa],tbl_de_massas[saldo_conta],"--",0,1)</f>
        <v>14233.42</v>
      </c>
      <c r="H1296" t="str">
        <f>_xlfn.XLOOKUP(TBL_USUARIOS[[#This Row],[ID_MASSA]],tbl_de_massas[id_massa],tbl_de_massas[nome_completo],"--",0,1)</f>
        <v>Bianca Costa Dias</v>
      </c>
    </row>
    <row r="1297" spans="1:8" x14ac:dyDescent="0.25">
      <c r="A1297" s="2" t="s">
        <v>3486</v>
      </c>
      <c r="B1297" t="str">
        <f>_xlfn.XLOOKUP(TBL_USUARIOS[[#This Row],[ID_MASSA]],tbl_de_massas[id_massa],tbl_de_massas[cpf],"--",0,1)</f>
        <v>28979854960</v>
      </c>
      <c r="C1297" t="s">
        <v>12</v>
      </c>
      <c r="D1297" t="str">
        <f>_xlfn.XLOOKUP(TBL_USUARIOS[[#This Row],[ID_MASSA]],tbl_de_massas[id_massa],tbl_de_massas[nome_completo],"--",0,1)</f>
        <v>Sabrina Araujo Monteiro</v>
      </c>
      <c r="E1297" t="str">
        <f>_xlfn.XLOOKUP(TBL_USUARIOS[[#This Row],[ID_MASSA]],tbl_de_massas[id_massa],tbl_de_massas[cartao_fisico_numero],"--",0,1)</f>
        <v/>
      </c>
      <c r="F1297" t="str">
        <f>_xlfn.XLOOKUP(TBL_USUARIOS[[#This Row],[ID_MASSA]],tbl_de_massas[id_massa],tbl_de_massas[nome_completo],"--",0,1)</f>
        <v>Sabrina Araujo Monteiro</v>
      </c>
      <c r="G1297" s="47">
        <f>_xlfn.XLOOKUP(TBL_USUARIOS[[#This Row],[ID_MASSA]],tbl_de_massas[id_massa],tbl_de_massas[saldo_conta],"--",0,1)</f>
        <v>14254.57</v>
      </c>
      <c r="H1297" t="str">
        <f>_xlfn.XLOOKUP(TBL_USUARIOS[[#This Row],[ID_MASSA]],tbl_de_massas[id_massa],tbl_de_massas[nome_completo],"--",0,1)</f>
        <v>Sabrina Araujo Monteiro</v>
      </c>
    </row>
    <row r="1298" spans="1:8" x14ac:dyDescent="0.25">
      <c r="A1298" s="2" t="s">
        <v>4103</v>
      </c>
      <c r="B1298" t="str">
        <f>_xlfn.XLOOKUP(TBL_USUARIOS[[#This Row],[ID_MASSA]],tbl_de_massas[id_massa],tbl_de_massas[cpf],"--",0,1)</f>
        <v>54458229583</v>
      </c>
      <c r="C1298" t="s">
        <v>12</v>
      </c>
      <c r="D1298" t="str">
        <f>_xlfn.XLOOKUP(TBL_USUARIOS[[#This Row],[ID_MASSA]],tbl_de_massas[id_massa],tbl_de_massas[nome_completo],"--",0,1)</f>
        <v>Felipe Moura Pereira</v>
      </c>
      <c r="E1298" t="str">
        <f>_xlfn.XLOOKUP(TBL_USUARIOS[[#This Row],[ID_MASSA]],tbl_de_massas[id_massa],tbl_de_massas[cartao_fisico_numero],"--",0,1)</f>
        <v>3782 644270 2971</v>
      </c>
      <c r="F1298" t="str">
        <f>_xlfn.XLOOKUP(TBL_USUARIOS[[#This Row],[ID_MASSA]],tbl_de_massas[id_massa],tbl_de_massas[nome_completo],"--",0,1)</f>
        <v>Felipe Moura Pereira</v>
      </c>
      <c r="G1298" s="47">
        <f>_xlfn.XLOOKUP(TBL_USUARIOS[[#This Row],[ID_MASSA]],tbl_de_massas[id_massa],tbl_de_massas[saldo_conta],"--",0,1)</f>
        <v>14269.24</v>
      </c>
      <c r="H1298" t="str">
        <f>_xlfn.XLOOKUP(TBL_USUARIOS[[#This Row],[ID_MASSA]],tbl_de_massas[id_massa],tbl_de_massas[nome_completo],"--",0,1)</f>
        <v>Felipe Moura Pereira</v>
      </c>
    </row>
    <row r="1299" spans="1:8" x14ac:dyDescent="0.25">
      <c r="A1299" s="2" t="s">
        <v>5693</v>
      </c>
      <c r="B1299" t="str">
        <f>_xlfn.XLOOKUP(TBL_USUARIOS[[#This Row],[ID_MASSA]],tbl_de_massas[id_massa],tbl_de_massas[cpf],"--",0,1)</f>
        <v>83999245638</v>
      </c>
      <c r="C1299" t="s">
        <v>12</v>
      </c>
      <c r="D1299" t="str">
        <f>_xlfn.XLOOKUP(TBL_USUARIOS[[#This Row],[ID_MASSA]],tbl_de_massas[id_massa],tbl_de_massas[nome_completo],"--",0,1)</f>
        <v>Leandro Silva</v>
      </c>
      <c r="E1299" t="str">
        <f>_xlfn.XLOOKUP(TBL_USUARIOS[[#This Row],[ID_MASSA]],tbl_de_massas[id_massa],tbl_de_massas[cartao_fisico_numero],"--",0,1)</f>
        <v/>
      </c>
      <c r="F1299" t="str">
        <f>_xlfn.XLOOKUP(TBL_USUARIOS[[#This Row],[ID_MASSA]],tbl_de_massas[id_massa],tbl_de_massas[nome_completo],"--",0,1)</f>
        <v>Leandro Silva</v>
      </c>
      <c r="G1299" s="47">
        <f>_xlfn.XLOOKUP(TBL_USUARIOS[[#This Row],[ID_MASSA]],tbl_de_massas[id_massa],tbl_de_massas[saldo_conta],"--",0,1)</f>
        <v>14271</v>
      </c>
      <c r="H1299" t="str">
        <f>_xlfn.XLOOKUP(TBL_USUARIOS[[#This Row],[ID_MASSA]],tbl_de_massas[id_massa],tbl_de_massas[nome_completo],"--",0,1)</f>
        <v>Leandro Silva</v>
      </c>
    </row>
    <row r="1300" spans="1:8" x14ac:dyDescent="0.25">
      <c r="A1300" s="2" t="s">
        <v>6489</v>
      </c>
      <c r="B1300" t="str">
        <f>_xlfn.XLOOKUP(TBL_USUARIOS[[#This Row],[ID_MASSA]],tbl_de_massas[id_massa],tbl_de_massas[cpf],"--",0,1)</f>
        <v>70342150812</v>
      </c>
      <c r="C1300" t="s">
        <v>12</v>
      </c>
      <c r="D1300" t="str">
        <f>_xlfn.XLOOKUP(TBL_USUARIOS[[#This Row],[ID_MASSA]],tbl_de_massas[id_massa],tbl_de_massas[nome_completo],"--",0,1)</f>
        <v>Chao Xu</v>
      </c>
      <c r="E1300" t="str">
        <f>_xlfn.XLOOKUP(TBL_USUARIOS[[#This Row],[ID_MASSA]],tbl_de_massas[id_massa],tbl_de_massas[cartao_fisico_numero],"--",0,1)</f>
        <v/>
      </c>
      <c r="F1300" t="str">
        <f>_xlfn.XLOOKUP(TBL_USUARIOS[[#This Row],[ID_MASSA]],tbl_de_massas[id_massa],tbl_de_massas[nome_completo],"--",0,1)</f>
        <v>Chao Xu</v>
      </c>
      <c r="G1300" s="47">
        <f>_xlfn.XLOOKUP(TBL_USUARIOS[[#This Row],[ID_MASSA]],tbl_de_massas[id_massa],tbl_de_massas[saldo_conta],"--",0,1)</f>
        <v>14294.4</v>
      </c>
      <c r="H1300" t="str">
        <f>_xlfn.XLOOKUP(TBL_USUARIOS[[#This Row],[ID_MASSA]],tbl_de_massas[id_massa],tbl_de_massas[nome_completo],"--",0,1)</f>
        <v>Chao Xu</v>
      </c>
    </row>
    <row r="1301" spans="1:8" x14ac:dyDescent="0.25">
      <c r="A1301" s="2" t="s">
        <v>6096</v>
      </c>
      <c r="B1301" t="str">
        <f>_xlfn.XLOOKUP(TBL_USUARIOS[[#This Row],[ID_MASSA]],tbl_de_massas[id_massa],tbl_de_massas[cpf],"--",0,1)</f>
        <v>85484694639</v>
      </c>
      <c r="C1301" t="s">
        <v>12</v>
      </c>
      <c r="D1301" t="str">
        <f>_xlfn.XLOOKUP(TBL_USUARIOS[[#This Row],[ID_MASSA]],tbl_de_massas[id_massa],tbl_de_massas[nome_completo],"--",0,1)</f>
        <v>Haya Al-Harbi</v>
      </c>
      <c r="E1301" t="str">
        <f>_xlfn.XLOOKUP(TBL_USUARIOS[[#This Row],[ID_MASSA]],tbl_de_massas[id_massa],tbl_de_massas[cartao_fisico_numero],"--",0,1)</f>
        <v>6062 8200 2766 0213</v>
      </c>
      <c r="F1301" t="str">
        <f>_xlfn.XLOOKUP(TBL_USUARIOS[[#This Row],[ID_MASSA]],tbl_de_massas[id_massa],tbl_de_massas[nome_completo],"--",0,1)</f>
        <v>Haya Al-Harbi</v>
      </c>
      <c r="G1301" s="47">
        <f>_xlfn.XLOOKUP(TBL_USUARIOS[[#This Row],[ID_MASSA]],tbl_de_massas[id_massa],tbl_de_massas[saldo_conta],"--",0,1)</f>
        <v>7685.59</v>
      </c>
      <c r="H1301" t="str">
        <f>_xlfn.XLOOKUP(TBL_USUARIOS[[#This Row],[ID_MASSA]],tbl_de_massas[id_massa],tbl_de_massas[nome_completo],"--",0,1)</f>
        <v>Haya Al-Harbi</v>
      </c>
    </row>
    <row r="1302" spans="1:8" x14ac:dyDescent="0.25">
      <c r="A1302" s="2" t="s">
        <v>6306</v>
      </c>
      <c r="B1302" t="str">
        <f>_xlfn.XLOOKUP(TBL_USUARIOS[[#This Row],[ID_MASSA]],tbl_de_massas[id_massa],tbl_de_massas[cpf],"--",0,1)</f>
        <v>83971275184</v>
      </c>
      <c r="C1302" t="s">
        <v>12</v>
      </c>
      <c r="D1302" t="str">
        <f>_xlfn.XLOOKUP(TBL_USUARIOS[[#This Row],[ID_MASSA]],tbl_de_massas[id_massa],tbl_de_massas[nome_completo],"--",0,1)</f>
        <v>Harper Smith Davis</v>
      </c>
      <c r="E1302" t="str">
        <f>_xlfn.XLOOKUP(TBL_USUARIOS[[#This Row],[ID_MASSA]],tbl_de_massas[id_massa],tbl_de_massas[cartao_fisico_numero],"--",0,1)</f>
        <v>4576 7460 4833 8280</v>
      </c>
      <c r="F1302" t="str">
        <f>_xlfn.XLOOKUP(TBL_USUARIOS[[#This Row],[ID_MASSA]],tbl_de_massas[id_massa],tbl_de_massas[nome_completo],"--",0,1)</f>
        <v>Harper Smith Davis</v>
      </c>
      <c r="G1302" s="47">
        <f>_xlfn.XLOOKUP(TBL_USUARIOS[[#This Row],[ID_MASSA]],tbl_de_massas[id_massa],tbl_de_massas[saldo_conta],"--",0,1)</f>
        <v>14314.59</v>
      </c>
      <c r="H1302" t="str">
        <f>_xlfn.XLOOKUP(TBL_USUARIOS[[#This Row],[ID_MASSA]],tbl_de_massas[id_massa],tbl_de_massas[nome_completo],"--",0,1)</f>
        <v>Harper Smith Davis</v>
      </c>
    </row>
    <row r="1303" spans="1:8" x14ac:dyDescent="0.25">
      <c r="A1303" s="2" t="s">
        <v>5645</v>
      </c>
      <c r="B1303" t="str">
        <f>_xlfn.XLOOKUP(TBL_USUARIOS[[#This Row],[ID_MASSA]],tbl_de_massas[id_massa],tbl_de_massas[cpf],"--",0,1)</f>
        <v>25795155268</v>
      </c>
      <c r="C1303" t="s">
        <v>12</v>
      </c>
      <c r="D1303" t="str">
        <f>_xlfn.XLOOKUP(TBL_USUARIOS[[#This Row],[ID_MASSA]],tbl_de_massas[id_massa],tbl_de_massas[nome_completo],"--",0,1)</f>
        <v>Hyunwoo Lee</v>
      </c>
      <c r="E1303" t="str">
        <f>_xlfn.XLOOKUP(TBL_USUARIOS[[#This Row],[ID_MASSA]],tbl_de_massas[id_massa],tbl_de_massas[cartao_fisico_numero],"--",0,1)</f>
        <v>3782 998031 5956</v>
      </c>
      <c r="F1303" t="str">
        <f>_xlfn.XLOOKUP(TBL_USUARIOS[[#This Row],[ID_MASSA]],tbl_de_massas[id_massa],tbl_de_massas[nome_completo],"--",0,1)</f>
        <v>Hyunwoo Lee</v>
      </c>
      <c r="G1303" s="47">
        <f>_xlfn.XLOOKUP(TBL_USUARIOS[[#This Row],[ID_MASSA]],tbl_de_massas[id_massa],tbl_de_massas[saldo_conta],"--",0,1)</f>
        <v>14328.95</v>
      </c>
      <c r="H1303" t="str">
        <f>_xlfn.XLOOKUP(TBL_USUARIOS[[#This Row],[ID_MASSA]],tbl_de_massas[id_massa],tbl_de_massas[nome_completo],"--",0,1)</f>
        <v>Hyunwoo Lee</v>
      </c>
    </row>
    <row r="1304" spans="1:8" x14ac:dyDescent="0.25">
      <c r="A1304" s="2" t="s">
        <v>5154</v>
      </c>
      <c r="B1304" t="str">
        <f>_xlfn.XLOOKUP(TBL_USUARIOS[[#This Row],[ID_MASSA]],tbl_de_massas[id_massa],tbl_de_massas[cpf],"--",0,1)</f>
        <v>99592623759</v>
      </c>
      <c r="C1304" t="s">
        <v>12</v>
      </c>
      <c r="D1304" t="str">
        <f>_xlfn.XLOOKUP(TBL_USUARIOS[[#This Row],[ID_MASSA]],tbl_de_massas[id_massa],tbl_de_massas[nome_completo],"--",0,1)</f>
        <v>Leonardo Cavalcanti</v>
      </c>
      <c r="E1304" t="str">
        <f>_xlfn.XLOOKUP(TBL_USUARIOS[[#This Row],[ID_MASSA]],tbl_de_massas[id_massa],tbl_de_massas[cartao_fisico_numero],"--",0,1)</f>
        <v/>
      </c>
      <c r="F1304" t="str">
        <f>_xlfn.XLOOKUP(TBL_USUARIOS[[#This Row],[ID_MASSA]],tbl_de_massas[id_massa],tbl_de_massas[nome_completo],"--",0,1)</f>
        <v>Leonardo Cavalcanti</v>
      </c>
      <c r="G1304" s="47">
        <f>_xlfn.XLOOKUP(TBL_USUARIOS[[#This Row],[ID_MASSA]],tbl_de_massas[id_massa],tbl_de_massas[saldo_conta],"--",0,1)</f>
        <v>14333.05</v>
      </c>
      <c r="H1304" t="str">
        <f>_xlfn.XLOOKUP(TBL_USUARIOS[[#This Row],[ID_MASSA]],tbl_de_massas[id_massa],tbl_de_massas[nome_completo],"--",0,1)</f>
        <v>Leonardo Cavalcanti</v>
      </c>
    </row>
    <row r="1305" spans="1:8" x14ac:dyDescent="0.25">
      <c r="A1305" s="2" t="s">
        <v>5296</v>
      </c>
      <c r="B1305" t="str">
        <f>_xlfn.XLOOKUP(TBL_USUARIOS[[#This Row],[ID_MASSA]],tbl_de_massas[id_massa],tbl_de_massas[cpf],"--",0,1)</f>
        <v>52285247460</v>
      </c>
      <c r="C1305" t="s">
        <v>12</v>
      </c>
      <c r="D1305" t="str">
        <f>_xlfn.XLOOKUP(TBL_USUARIOS[[#This Row],[ID_MASSA]],tbl_de_massas[id_massa],tbl_de_massas[nome_completo],"--",0,1)</f>
        <v>Rodrigo Cavalcanti</v>
      </c>
      <c r="E1305" t="str">
        <f>_xlfn.XLOOKUP(TBL_USUARIOS[[#This Row],[ID_MASSA]],tbl_de_massas[id_massa],tbl_de_massas[cartao_fisico_numero],"--",0,1)</f>
        <v>3782 174150 7634</v>
      </c>
      <c r="F1305" t="str">
        <f>_xlfn.XLOOKUP(TBL_USUARIOS[[#This Row],[ID_MASSA]],tbl_de_massas[id_massa],tbl_de_massas[nome_completo],"--",0,1)</f>
        <v>Rodrigo Cavalcanti</v>
      </c>
      <c r="G1305" s="47">
        <f>_xlfn.XLOOKUP(TBL_USUARIOS[[#This Row],[ID_MASSA]],tbl_de_massas[id_massa],tbl_de_massas[saldo_conta],"--",0,1)</f>
        <v>14337.18</v>
      </c>
      <c r="H1305" t="str">
        <f>_xlfn.XLOOKUP(TBL_USUARIOS[[#This Row],[ID_MASSA]],tbl_de_massas[id_massa],tbl_de_massas[nome_completo],"--",0,1)</f>
        <v>Rodrigo Cavalcanti</v>
      </c>
    </row>
    <row r="1306" spans="1:8" x14ac:dyDescent="0.25">
      <c r="A1306" s="2" t="s">
        <v>6661</v>
      </c>
      <c r="B1306" t="str">
        <f>_xlfn.XLOOKUP(TBL_USUARIOS[[#This Row],[ID_MASSA]],tbl_de_massas[id_massa],tbl_de_massas[cpf],"--",0,1)</f>
        <v>66145582693</v>
      </c>
      <c r="C1306" t="s">
        <v>12</v>
      </c>
      <c r="D1306" t="str">
        <f>_xlfn.XLOOKUP(TBL_USUARIOS[[#This Row],[ID_MASSA]],tbl_de_massas[id_massa],tbl_de_massas[nome_completo],"--",0,1)</f>
        <v>Lucia Gonzalez Benitez</v>
      </c>
      <c r="E1306" t="str">
        <f>_xlfn.XLOOKUP(TBL_USUARIOS[[#This Row],[ID_MASSA]],tbl_de_massas[id_massa],tbl_de_massas[cartao_fisico_numero],"--",0,1)</f>
        <v>3782 915823 3178</v>
      </c>
      <c r="F1306" t="str">
        <f>_xlfn.XLOOKUP(TBL_USUARIOS[[#This Row],[ID_MASSA]],tbl_de_massas[id_massa],tbl_de_massas[nome_completo],"--",0,1)</f>
        <v>Lucia Gonzalez Benitez</v>
      </c>
      <c r="G1306" s="47">
        <f>_xlfn.XLOOKUP(TBL_USUARIOS[[#This Row],[ID_MASSA]],tbl_de_massas[id_massa],tbl_de_massas[saldo_conta],"--",0,1)</f>
        <v>14285.04</v>
      </c>
      <c r="H1306" t="str">
        <f>_xlfn.XLOOKUP(TBL_USUARIOS[[#This Row],[ID_MASSA]],tbl_de_massas[id_massa],tbl_de_massas[nome_completo],"--",0,1)</f>
        <v>Lucia Gonzalez Benitez</v>
      </c>
    </row>
    <row r="1307" spans="1:8" x14ac:dyDescent="0.25">
      <c r="A1307" s="2" t="s">
        <v>5543</v>
      </c>
      <c r="B1307" t="str">
        <f>_xlfn.XLOOKUP(TBL_USUARIOS[[#This Row],[ID_MASSA]],tbl_de_massas[id_massa],tbl_de_massas[cpf],"--",0,1)</f>
        <v>12672742553</v>
      </c>
      <c r="C1307" t="s">
        <v>12</v>
      </c>
      <c r="D1307" t="str">
        <f>_xlfn.XLOOKUP(TBL_USUARIOS[[#This Row],[ID_MASSA]],tbl_de_massas[id_massa],tbl_de_massas[nome_completo],"--",0,1)</f>
        <v>Leandro Gomes Pinto</v>
      </c>
      <c r="E1307" t="str">
        <f>_xlfn.XLOOKUP(TBL_USUARIOS[[#This Row],[ID_MASSA]],tbl_de_massas[id_massa],tbl_de_massas[cartao_fisico_numero],"--",0,1)</f>
        <v/>
      </c>
      <c r="F1307" t="str">
        <f>_xlfn.XLOOKUP(TBL_USUARIOS[[#This Row],[ID_MASSA]],tbl_de_massas[id_massa],tbl_de_massas[nome_completo],"--",0,1)</f>
        <v>Leandro Gomes Pinto</v>
      </c>
      <c r="G1307" s="47">
        <f>_xlfn.XLOOKUP(TBL_USUARIOS[[#This Row],[ID_MASSA]],tbl_de_massas[id_massa],tbl_de_massas[saldo_conta],"--",0,1)</f>
        <v>14375.59</v>
      </c>
      <c r="H1307" t="str">
        <f>_xlfn.XLOOKUP(TBL_USUARIOS[[#This Row],[ID_MASSA]],tbl_de_massas[id_massa],tbl_de_massas[nome_completo],"--",0,1)</f>
        <v>Leandro Gomes Pinto</v>
      </c>
    </row>
    <row r="1308" spans="1:8" x14ac:dyDescent="0.25">
      <c r="A1308" s="2" t="s">
        <v>2462</v>
      </c>
      <c r="B1308" s="14" t="str">
        <f>_xlfn.XLOOKUP(TBL_USUARIOS[[#This Row],[ID_MASSA]],tbl_de_massas[id_massa],tbl_de_massas[cpf],"--",0,1)</f>
        <v>77025402907</v>
      </c>
      <c r="C1308" t="s">
        <v>12</v>
      </c>
      <c r="D1308" t="str">
        <f>_xlfn.XLOOKUP(TBL_USUARIOS[[#This Row],[ID_MASSA]],tbl_de_massas[id_massa],tbl_de_massas[nome_completo],"--",0,1)</f>
        <v>Alessandro Ferrari</v>
      </c>
      <c r="E1308" t="str">
        <f>_xlfn.XLOOKUP(TBL_USUARIOS[[#This Row],[ID_MASSA]],tbl_de_massas[id_massa],tbl_de_massas[cartao_fisico_numero],"--",0,1)</f>
        <v>4576 7460 3620 5020</v>
      </c>
      <c r="F1308" t="str">
        <f>_xlfn.XLOOKUP(TBL_USUARIOS[[#This Row],[ID_MASSA]],tbl_de_massas[id_massa],tbl_de_massas[nome_completo],"--",0,1)</f>
        <v>Alessandro Ferrari</v>
      </c>
      <c r="G1308" s="47">
        <f>_xlfn.XLOOKUP(TBL_USUARIOS[[#This Row],[ID_MASSA]],tbl_de_massas[id_massa],tbl_de_massas[saldo_conta],"--",0,1)</f>
        <v>14410.07</v>
      </c>
      <c r="H1308" t="str">
        <f>_xlfn.XLOOKUP(TBL_USUARIOS[[#This Row],[ID_MASSA]],tbl_de_massas[id_massa],tbl_de_massas[nome_completo],"--",0,1)</f>
        <v>Alessandro Ferrari</v>
      </c>
    </row>
    <row r="1309" spans="1:8" x14ac:dyDescent="0.25">
      <c r="A1309" s="2" t="s">
        <v>5976</v>
      </c>
      <c r="B1309" t="str">
        <f>_xlfn.XLOOKUP(TBL_USUARIOS[[#This Row],[ID_MASSA]],tbl_de_massas[id_massa],tbl_de_massas[cpf],"--",0,1)</f>
        <v>58874183704</v>
      </c>
      <c r="C1309" t="s">
        <v>12</v>
      </c>
      <c r="D1309" t="str">
        <f>_xlfn.XLOOKUP(TBL_USUARIOS[[#This Row],[ID_MASSA]],tbl_de_massas[id_massa],tbl_de_massas[nome_completo],"--",0,1)</f>
        <v>Marcelo Araujo Gomes</v>
      </c>
      <c r="E1309" t="str">
        <f>_xlfn.XLOOKUP(TBL_USUARIOS[[#This Row],[ID_MASSA]],tbl_de_massas[id_massa],tbl_de_massas[cartao_fisico_numero],"--",0,1)</f>
        <v>4576 7460 8047 9309</v>
      </c>
      <c r="F1309" t="str">
        <f>_xlfn.XLOOKUP(TBL_USUARIOS[[#This Row],[ID_MASSA]],tbl_de_massas[id_massa],tbl_de_massas[nome_completo],"--",0,1)</f>
        <v>Marcelo Araujo Gomes</v>
      </c>
      <c r="G1309" s="47">
        <f>_xlfn.XLOOKUP(TBL_USUARIOS[[#This Row],[ID_MASSA]],tbl_de_massas[id_massa],tbl_de_massas[saldo_conta],"--",0,1)</f>
        <v>14445.1</v>
      </c>
      <c r="H1309" t="str">
        <f>_xlfn.XLOOKUP(TBL_USUARIOS[[#This Row],[ID_MASSA]],tbl_de_massas[id_massa],tbl_de_massas[nome_completo],"--",0,1)</f>
        <v>Marcelo Araujo Gomes</v>
      </c>
    </row>
    <row r="1310" spans="1:8" x14ac:dyDescent="0.25">
      <c r="A1310" s="2" t="s">
        <v>6479</v>
      </c>
      <c r="B1310" t="str">
        <f>_xlfn.XLOOKUP(TBL_USUARIOS[[#This Row],[ID_MASSA]],tbl_de_massas[id_massa],tbl_de_massas[cpf],"--",0,1)</f>
        <v>42857951752</v>
      </c>
      <c r="C1310" t="s">
        <v>12</v>
      </c>
      <c r="D1310" t="str">
        <f>_xlfn.XLOOKUP(TBL_USUARIOS[[#This Row],[ID_MASSA]],tbl_de_massas[id_massa],tbl_de_massas[nome_completo],"--",0,1)</f>
        <v>Yan Zhang</v>
      </c>
      <c r="E1310" t="str">
        <f>_xlfn.XLOOKUP(TBL_USUARIOS[[#This Row],[ID_MASSA]],tbl_de_massas[id_massa],tbl_de_massas[cartao_fisico_numero],"--",0,1)</f>
        <v>5442 7460 9604 7540</v>
      </c>
      <c r="F1310" t="str">
        <f>_xlfn.XLOOKUP(TBL_USUARIOS[[#This Row],[ID_MASSA]],tbl_de_massas[id_massa],tbl_de_massas[nome_completo],"--",0,1)</f>
        <v>Yan Zhang</v>
      </c>
      <c r="G1310" s="47">
        <f>_xlfn.XLOOKUP(TBL_USUARIOS[[#This Row],[ID_MASSA]],tbl_de_massas[id_massa],tbl_de_massas[saldo_conta],"--",0,1)</f>
        <v>14454.05</v>
      </c>
      <c r="H1310" t="str">
        <f>_xlfn.XLOOKUP(TBL_USUARIOS[[#This Row],[ID_MASSA]],tbl_de_massas[id_massa],tbl_de_massas[nome_completo],"--",0,1)</f>
        <v>Yan Zhang</v>
      </c>
    </row>
    <row r="1311" spans="1:8" x14ac:dyDescent="0.25">
      <c r="A1311" s="2" t="s">
        <v>2214</v>
      </c>
      <c r="B1311" s="14" t="str">
        <f>_xlfn.XLOOKUP(TBL_USUARIOS[[#This Row],[ID_MASSA]],tbl_de_massas[id_massa],tbl_de_massas[cpf],"--",0,1)</f>
        <v>09636364990</v>
      </c>
      <c r="C1311" t="s">
        <v>12</v>
      </c>
      <c r="D1311" t="str">
        <f>_xlfn.XLOOKUP(TBL_USUARIOS[[#This Row],[ID_MASSA]],tbl_de_massas[id_massa],tbl_de_massas[nome_completo],"--",0,1)</f>
        <v>Lei Chen</v>
      </c>
      <c r="E1311" t="str">
        <f>_xlfn.XLOOKUP(TBL_USUARIOS[[#This Row],[ID_MASSA]],tbl_de_massas[id_massa],tbl_de_massas[cartao_fisico_numero],"--",0,1)</f>
        <v>3782 153566 5282</v>
      </c>
      <c r="F1311" t="str">
        <f>_xlfn.XLOOKUP(TBL_USUARIOS[[#This Row],[ID_MASSA]],tbl_de_massas[id_massa],tbl_de_massas[nome_completo],"--",0,1)</f>
        <v>Lei Chen</v>
      </c>
      <c r="G1311" s="47">
        <f>_xlfn.XLOOKUP(TBL_USUARIOS[[#This Row],[ID_MASSA]],tbl_de_massas[id_massa],tbl_de_massas[saldo_conta],"--",0,1)</f>
        <v>12335.36</v>
      </c>
      <c r="H1311" t="str">
        <f>_xlfn.XLOOKUP(TBL_USUARIOS[[#This Row],[ID_MASSA]],tbl_de_massas[id_massa],tbl_de_massas[nome_completo],"--",0,1)</f>
        <v>Lei Chen</v>
      </c>
    </row>
    <row r="1312" spans="1:8" x14ac:dyDescent="0.25">
      <c r="A1312" s="2" t="s">
        <v>4540</v>
      </c>
      <c r="B1312" t="str">
        <f>_xlfn.XLOOKUP(TBL_USUARIOS[[#This Row],[ID_MASSA]],tbl_de_massas[id_massa],tbl_de_massas[cpf],"--",0,1)</f>
        <v>56282001315</v>
      </c>
      <c r="C1312" t="s">
        <v>12</v>
      </c>
      <c r="D1312" t="str">
        <f>_xlfn.XLOOKUP(TBL_USUARIOS[[#This Row],[ID_MASSA]],tbl_de_massas[id_massa],tbl_de_massas[nome_completo],"--",0,1)</f>
        <v>Patricia Rocha Borges</v>
      </c>
      <c r="E1312" t="str">
        <f>_xlfn.XLOOKUP(TBL_USUARIOS[[#This Row],[ID_MASSA]],tbl_de_massas[id_massa],tbl_de_massas[cartao_fisico_numero],"--",0,1)</f>
        <v/>
      </c>
      <c r="F1312" t="str">
        <f>_xlfn.XLOOKUP(TBL_USUARIOS[[#This Row],[ID_MASSA]],tbl_de_massas[id_massa],tbl_de_massas[nome_completo],"--",0,1)</f>
        <v>Patricia Rocha Borges</v>
      </c>
      <c r="G1312" s="47">
        <f>_xlfn.XLOOKUP(TBL_USUARIOS[[#This Row],[ID_MASSA]],tbl_de_massas[id_massa],tbl_de_massas[saldo_conta],"--",0,1)</f>
        <v>14466.36</v>
      </c>
      <c r="H1312" t="str">
        <f>_xlfn.XLOOKUP(TBL_USUARIOS[[#This Row],[ID_MASSA]],tbl_de_massas[id_massa],tbl_de_massas[nome_completo],"--",0,1)</f>
        <v>Patricia Rocha Borges</v>
      </c>
    </row>
    <row r="1313" spans="1:8" x14ac:dyDescent="0.25">
      <c r="A1313" s="2" t="s">
        <v>3265</v>
      </c>
      <c r="B1313" t="str">
        <f>_xlfn.XLOOKUP(TBL_USUARIOS[[#This Row],[ID_MASSA]],tbl_de_massas[id_massa],tbl_de_massas[cpf],"--",0,1)</f>
        <v>84012968114</v>
      </c>
      <c r="C1313" t="s">
        <v>12</v>
      </c>
      <c r="D1313" t="str">
        <f>_xlfn.XLOOKUP(TBL_USUARIOS[[#This Row],[ID_MASSA]],tbl_de_massas[id_massa],tbl_de_massas[nome_completo],"--",0,1)</f>
        <v>Marcelo Freitas Martins</v>
      </c>
      <c r="E1313" t="str">
        <f>_xlfn.XLOOKUP(TBL_USUARIOS[[#This Row],[ID_MASSA]],tbl_de_massas[id_massa],tbl_de_massas[cartao_fisico_numero],"--",0,1)</f>
        <v/>
      </c>
      <c r="F1313" t="str">
        <f>_xlfn.XLOOKUP(TBL_USUARIOS[[#This Row],[ID_MASSA]],tbl_de_massas[id_massa],tbl_de_massas[nome_completo],"--",0,1)</f>
        <v>Marcelo Freitas Martins</v>
      </c>
      <c r="G1313" s="47">
        <f>_xlfn.XLOOKUP(TBL_USUARIOS[[#This Row],[ID_MASSA]],tbl_de_massas[id_massa],tbl_de_massas[saldo_conta],"--",0,1)</f>
        <v>14490.29</v>
      </c>
      <c r="H1313" t="str">
        <f>_xlfn.XLOOKUP(TBL_USUARIOS[[#This Row],[ID_MASSA]],tbl_de_massas[id_massa],tbl_de_massas[nome_completo],"--",0,1)</f>
        <v>Marcelo Freitas Martins</v>
      </c>
    </row>
    <row r="1314" spans="1:8" x14ac:dyDescent="0.25">
      <c r="A1314" s="2" t="s">
        <v>3338</v>
      </c>
      <c r="B1314" t="str">
        <f>_xlfn.XLOOKUP(TBL_USUARIOS[[#This Row],[ID_MASSA]],tbl_de_massas[id_massa],tbl_de_massas[cpf],"--",0,1)</f>
        <v>78114315300</v>
      </c>
      <c r="C1314" t="s">
        <v>12</v>
      </c>
      <c r="D1314" t="str">
        <f>_xlfn.XLOOKUP(TBL_USUARIOS[[#This Row],[ID_MASSA]],tbl_de_massas[id_massa],tbl_de_massas[nome_completo],"--",0,1)</f>
        <v>Danilo Carvalho</v>
      </c>
      <c r="E1314" t="str">
        <f>_xlfn.XLOOKUP(TBL_USUARIOS[[#This Row],[ID_MASSA]],tbl_de_massas[id_massa],tbl_de_massas[cartao_fisico_numero],"--",0,1)</f>
        <v/>
      </c>
      <c r="F1314" t="str">
        <f>_xlfn.XLOOKUP(TBL_USUARIOS[[#This Row],[ID_MASSA]],tbl_de_massas[id_massa],tbl_de_massas[nome_completo],"--",0,1)</f>
        <v>Danilo Carvalho</v>
      </c>
      <c r="G1314" s="47">
        <f>_xlfn.XLOOKUP(TBL_USUARIOS[[#This Row],[ID_MASSA]],tbl_de_massas[id_massa],tbl_de_massas[saldo_conta],"--",0,1)</f>
        <v>14511.45</v>
      </c>
      <c r="H1314" t="str">
        <f>_xlfn.XLOOKUP(TBL_USUARIOS[[#This Row],[ID_MASSA]],tbl_de_massas[id_massa],tbl_de_massas[nome_completo],"--",0,1)</f>
        <v>Danilo Carvalho</v>
      </c>
    </row>
    <row r="1315" spans="1:8" x14ac:dyDescent="0.25">
      <c r="A1315" s="2" t="s">
        <v>3442</v>
      </c>
      <c r="B1315" t="str">
        <f>_xlfn.XLOOKUP(TBL_USUARIOS[[#This Row],[ID_MASSA]],tbl_de_massas[id_massa],tbl_de_massas[cpf],"--",0,1)</f>
        <v>95236198534</v>
      </c>
      <c r="C1315" t="s">
        <v>12</v>
      </c>
      <c r="D1315" t="str">
        <f>_xlfn.XLOOKUP(TBL_USUARIOS[[#This Row],[ID_MASSA]],tbl_de_massas[id_massa],tbl_de_massas[nome_completo],"--",0,1)</f>
        <v>Marcelo Moura</v>
      </c>
      <c r="E1315" t="str">
        <f>_xlfn.XLOOKUP(TBL_USUARIOS[[#This Row],[ID_MASSA]],tbl_de_massas[id_massa],tbl_de_massas[cartao_fisico_numero],"--",0,1)</f>
        <v/>
      </c>
      <c r="F1315" t="str">
        <f>_xlfn.XLOOKUP(TBL_USUARIOS[[#This Row],[ID_MASSA]],tbl_de_massas[id_massa],tbl_de_massas[nome_completo],"--",0,1)</f>
        <v>Marcelo Moura</v>
      </c>
      <c r="G1315" s="47">
        <f>_xlfn.XLOOKUP(TBL_USUARIOS[[#This Row],[ID_MASSA]],tbl_de_massas[id_massa],tbl_de_massas[saldo_conta],"--",0,1)</f>
        <v>14539.09</v>
      </c>
      <c r="H1315" t="str">
        <f>_xlfn.XLOOKUP(TBL_USUARIOS[[#This Row],[ID_MASSA]],tbl_de_massas[id_massa],tbl_de_massas[nome_completo],"--",0,1)</f>
        <v>Marcelo Moura</v>
      </c>
    </row>
    <row r="1316" spans="1:8" x14ac:dyDescent="0.25">
      <c r="A1316" s="2" t="s">
        <v>4971</v>
      </c>
      <c r="B1316" t="str">
        <f>_xlfn.XLOOKUP(TBL_USUARIOS[[#This Row],[ID_MASSA]],tbl_de_massas[id_massa],tbl_de_massas[cpf],"--",0,1)</f>
        <v>93496307102</v>
      </c>
      <c r="C1316" t="s">
        <v>12</v>
      </c>
      <c r="D1316" t="str">
        <f>_xlfn.XLOOKUP(TBL_USUARIOS[[#This Row],[ID_MASSA]],tbl_de_massas[id_massa],tbl_de_massas[nome_completo],"--",0,1)</f>
        <v>Mariana Castro</v>
      </c>
      <c r="E1316" t="str">
        <f>_xlfn.XLOOKUP(TBL_USUARIOS[[#This Row],[ID_MASSA]],tbl_de_massas[id_massa],tbl_de_massas[cartao_fisico_numero],"--",0,1)</f>
        <v/>
      </c>
      <c r="F1316" t="str">
        <f>_xlfn.XLOOKUP(TBL_USUARIOS[[#This Row],[ID_MASSA]],tbl_de_massas[id_massa],tbl_de_massas[nome_completo],"--",0,1)</f>
        <v>Mariana Castro</v>
      </c>
      <c r="G1316" s="47">
        <f>_xlfn.XLOOKUP(TBL_USUARIOS[[#This Row],[ID_MASSA]],tbl_de_massas[id_massa],tbl_de_massas[saldo_conta],"--",0,1)</f>
        <v>13819.45</v>
      </c>
      <c r="H1316" t="str">
        <f>_xlfn.XLOOKUP(TBL_USUARIOS[[#This Row],[ID_MASSA]],tbl_de_massas[id_massa],tbl_de_massas[nome_completo],"--",0,1)</f>
        <v>Mariana Castro</v>
      </c>
    </row>
    <row r="1317" spans="1:8" x14ac:dyDescent="0.25">
      <c r="A1317" s="2" t="s">
        <v>2131</v>
      </c>
      <c r="B1317" s="14" t="str">
        <f>_xlfn.XLOOKUP(TBL_USUARIOS[[#This Row],[ID_MASSA]],tbl_de_massas[id_massa],tbl_de_massas[cpf],"--",0,1)</f>
        <v>80535757654</v>
      </c>
      <c r="C1317" t="s">
        <v>12</v>
      </c>
      <c r="D1317" t="str">
        <f>_xlfn.XLOOKUP(TBL_USUARIOS[[#This Row],[ID_MASSA]],tbl_de_massas[id_massa],tbl_de_massas[nome_completo],"--",0,1)</f>
        <v>Lucas Laurent</v>
      </c>
      <c r="E1317" t="str">
        <f>_xlfn.XLOOKUP(TBL_USUARIOS[[#This Row],[ID_MASSA]],tbl_de_massas[id_massa],tbl_de_massas[cartao_fisico_numero],"--",0,1)</f>
        <v>6062 8200 7609 3088</v>
      </c>
      <c r="F1317" t="str">
        <f>_xlfn.XLOOKUP(TBL_USUARIOS[[#This Row],[ID_MASSA]],tbl_de_massas[id_massa],tbl_de_massas[nome_completo],"--",0,1)</f>
        <v>Lucas Laurent</v>
      </c>
      <c r="G1317" s="47">
        <f>_xlfn.XLOOKUP(TBL_USUARIOS[[#This Row],[ID_MASSA]],tbl_de_massas[id_massa],tbl_de_massas[saldo_conta],"--",0,1)</f>
        <v>14559.77</v>
      </c>
      <c r="H1317" t="str">
        <f>_xlfn.XLOOKUP(TBL_USUARIOS[[#This Row],[ID_MASSA]],tbl_de_massas[id_massa],tbl_de_massas[nome_completo],"--",0,1)</f>
        <v>Lucas Laurent</v>
      </c>
    </row>
    <row r="1318" spans="1:8" x14ac:dyDescent="0.25">
      <c r="A1318" s="2" t="s">
        <v>3412</v>
      </c>
      <c r="B1318" t="str">
        <f>_xlfn.XLOOKUP(TBL_USUARIOS[[#This Row],[ID_MASSA]],tbl_de_massas[id_massa],tbl_de_massas[cpf],"--",0,1)</f>
        <v>58933291121</v>
      </c>
      <c r="C1318" t="s">
        <v>12</v>
      </c>
      <c r="D1318" t="str">
        <f>_xlfn.XLOOKUP(TBL_USUARIOS[[#This Row],[ID_MASSA]],tbl_de_massas[id_massa],tbl_de_massas[nome_completo],"--",0,1)</f>
        <v>Sabrina Costa Teixeira</v>
      </c>
      <c r="E1318" t="str">
        <f>_xlfn.XLOOKUP(TBL_USUARIOS[[#This Row],[ID_MASSA]],tbl_de_massas[id_massa],tbl_de_massas[cartao_fisico_numero],"--",0,1)</f>
        <v>6062 8200 8448 7769</v>
      </c>
      <c r="F1318" t="str">
        <f>_xlfn.XLOOKUP(TBL_USUARIOS[[#This Row],[ID_MASSA]],tbl_de_massas[id_massa],tbl_de_massas[nome_completo],"--",0,1)</f>
        <v>Sabrina Costa Teixeira</v>
      </c>
      <c r="G1318" s="47">
        <f>_xlfn.XLOOKUP(TBL_USUARIOS[[#This Row],[ID_MASSA]],tbl_de_massas[id_massa],tbl_de_massas[saldo_conta],"--",0,1)</f>
        <v>14571.79</v>
      </c>
      <c r="H1318" t="str">
        <f>_xlfn.XLOOKUP(TBL_USUARIOS[[#This Row],[ID_MASSA]],tbl_de_massas[id_massa],tbl_de_massas[nome_completo],"--",0,1)</f>
        <v>Sabrina Costa Teixeira</v>
      </c>
    </row>
    <row r="1319" spans="1:8" x14ac:dyDescent="0.25">
      <c r="A1319" s="2" t="s">
        <v>5138</v>
      </c>
      <c r="B1319" t="str">
        <f>_xlfn.XLOOKUP(TBL_USUARIOS[[#This Row],[ID_MASSA]],tbl_de_massas[id_massa],tbl_de_massas[cpf],"--",0,1)</f>
        <v>21714768180</v>
      </c>
      <c r="C1319" t="s">
        <v>12</v>
      </c>
      <c r="D1319" t="str">
        <f>_xlfn.XLOOKUP(TBL_USUARIOS[[#This Row],[ID_MASSA]],tbl_de_massas[id_massa],tbl_de_massas[nome_completo],"--",0,1)</f>
        <v>Priscila Martins Castro</v>
      </c>
      <c r="E1319" t="str">
        <f>_xlfn.XLOOKUP(TBL_USUARIOS[[#This Row],[ID_MASSA]],tbl_de_massas[id_massa],tbl_de_massas[cartao_fisico_numero],"--",0,1)</f>
        <v/>
      </c>
      <c r="F1319" t="str">
        <f>_xlfn.XLOOKUP(TBL_USUARIOS[[#This Row],[ID_MASSA]],tbl_de_massas[id_massa],tbl_de_massas[nome_completo],"--",0,1)</f>
        <v>Priscila Martins Castro</v>
      </c>
      <c r="G1319" s="47">
        <f>_xlfn.XLOOKUP(TBL_USUARIOS[[#This Row],[ID_MASSA]],tbl_de_massas[id_massa],tbl_de_massas[saldo_conta],"--",0,1)</f>
        <v>12466.67</v>
      </c>
      <c r="H1319" t="str">
        <f>_xlfn.XLOOKUP(TBL_USUARIOS[[#This Row],[ID_MASSA]],tbl_de_massas[id_massa],tbl_de_massas[nome_completo],"--",0,1)</f>
        <v>Priscila Martins Castro</v>
      </c>
    </row>
    <row r="1320" spans="1:8" x14ac:dyDescent="0.25">
      <c r="A1320" s="2" t="s">
        <v>3183</v>
      </c>
      <c r="B1320" t="str">
        <f>_xlfn.XLOOKUP(TBL_USUARIOS[[#This Row],[ID_MASSA]],tbl_de_massas[id_massa],tbl_de_massas[cpf],"--",0,1)</f>
        <v>90408052880</v>
      </c>
      <c r="C1320" t="s">
        <v>12</v>
      </c>
      <c r="D1320" t="str">
        <f>_xlfn.XLOOKUP(TBL_USUARIOS[[#This Row],[ID_MASSA]],tbl_de_massas[id_massa],tbl_de_massas[nome_completo],"--",0,1)</f>
        <v>Leonardo Costa Nunes</v>
      </c>
      <c r="E1320" t="str">
        <f>_xlfn.XLOOKUP(TBL_USUARIOS[[#This Row],[ID_MASSA]],tbl_de_massas[id_massa],tbl_de_massas[cartao_fisico_numero],"--",0,1)</f>
        <v>3782 418899 8222</v>
      </c>
      <c r="F1320" t="str">
        <f>_xlfn.XLOOKUP(TBL_USUARIOS[[#This Row],[ID_MASSA]],tbl_de_massas[id_massa],tbl_de_massas[nome_completo],"--",0,1)</f>
        <v>Leonardo Costa Nunes</v>
      </c>
      <c r="G1320" s="47">
        <f>_xlfn.XLOOKUP(TBL_USUARIOS[[#This Row],[ID_MASSA]],tbl_de_massas[id_massa],tbl_de_massas[saldo_conta],"--",0,1)</f>
        <v>14603.13</v>
      </c>
      <c r="H1320" t="str">
        <f>_xlfn.XLOOKUP(TBL_USUARIOS[[#This Row],[ID_MASSA]],tbl_de_massas[id_massa],tbl_de_massas[nome_completo],"--",0,1)</f>
        <v>Leonardo Costa Nunes</v>
      </c>
    </row>
    <row r="1321" spans="1:8" x14ac:dyDescent="0.25">
      <c r="A1321" s="2" t="s">
        <v>6033</v>
      </c>
      <c r="B1321" t="str">
        <f>_xlfn.XLOOKUP(TBL_USUARIOS[[#This Row],[ID_MASSA]],tbl_de_massas[id_massa],tbl_de_massas[cpf],"--",0,1)</f>
        <v>40187852596</v>
      </c>
      <c r="C1321" t="s">
        <v>12</v>
      </c>
      <c r="D1321" t="str">
        <f>_xlfn.XLOOKUP(TBL_USUARIOS[[#This Row],[ID_MASSA]],tbl_de_massas[id_massa],tbl_de_massas[nome_completo],"--",0,1)</f>
        <v>Fabio Barbosa Nascimento</v>
      </c>
      <c r="E1321" t="str">
        <f>_xlfn.XLOOKUP(TBL_USUARIOS[[#This Row],[ID_MASSA]],tbl_de_massas[id_massa],tbl_de_massas[cartao_fisico_numero],"--",0,1)</f>
        <v/>
      </c>
      <c r="F1321" t="str">
        <f>_xlfn.XLOOKUP(TBL_USUARIOS[[#This Row],[ID_MASSA]],tbl_de_massas[id_massa],tbl_de_massas[nome_completo],"--",0,1)</f>
        <v>Fabio Barbosa Nascimento</v>
      </c>
      <c r="G1321" s="47">
        <f>_xlfn.XLOOKUP(TBL_USUARIOS[[#This Row],[ID_MASSA]],tbl_de_massas[id_massa],tbl_de_massas[saldo_conta],"--",0,1)</f>
        <v>14603.81</v>
      </c>
      <c r="H1321" t="str">
        <f>_xlfn.XLOOKUP(TBL_USUARIOS[[#This Row],[ID_MASSA]],tbl_de_massas[id_massa],tbl_de_massas[nome_completo],"--",0,1)</f>
        <v>Fabio Barbosa Nascimento</v>
      </c>
    </row>
    <row r="1322" spans="1:8" x14ac:dyDescent="0.25">
      <c r="A1322" s="2" t="s">
        <v>4947</v>
      </c>
      <c r="B1322" t="str">
        <f>_xlfn.XLOOKUP(TBL_USUARIOS[[#This Row],[ID_MASSA]],tbl_de_massas[id_massa],tbl_de_massas[cpf],"--",0,1)</f>
        <v>26837910116</v>
      </c>
      <c r="C1322" t="s">
        <v>12</v>
      </c>
      <c r="D1322" t="str">
        <f>_xlfn.XLOOKUP(TBL_USUARIOS[[#This Row],[ID_MASSA]],tbl_de_massas[id_massa],tbl_de_massas[nome_completo],"--",0,1)</f>
        <v>Diego Vieira Campos</v>
      </c>
      <c r="E1322" t="str">
        <f>_xlfn.XLOOKUP(TBL_USUARIOS[[#This Row],[ID_MASSA]],tbl_de_massas[id_massa],tbl_de_massas[cartao_fisico_numero],"--",0,1)</f>
        <v>6062 8200 8478 0490</v>
      </c>
      <c r="F1322" t="str">
        <f>_xlfn.XLOOKUP(TBL_USUARIOS[[#This Row],[ID_MASSA]],tbl_de_massas[id_massa],tbl_de_massas[nome_completo],"--",0,1)</f>
        <v>Diego Vieira Campos</v>
      </c>
      <c r="G1322" s="47">
        <f>_xlfn.XLOOKUP(TBL_USUARIOS[[#This Row],[ID_MASSA]],tbl_de_massas[id_massa],tbl_de_massas[saldo_conta],"--",0,1)</f>
        <v>14268.44</v>
      </c>
      <c r="H1322" t="str">
        <f>_xlfn.XLOOKUP(TBL_USUARIOS[[#This Row],[ID_MASSA]],tbl_de_massas[id_massa],tbl_de_massas[nome_completo],"--",0,1)</f>
        <v>Diego Vieira Campos</v>
      </c>
    </row>
    <row r="1323" spans="1:8" x14ac:dyDescent="0.25">
      <c r="A1323" s="2" t="s">
        <v>4321</v>
      </c>
      <c r="B1323" t="str">
        <f>_xlfn.XLOOKUP(TBL_USUARIOS[[#This Row],[ID_MASSA]],tbl_de_massas[id_massa],tbl_de_massas[cpf],"--",0,1)</f>
        <v>29230275239</v>
      </c>
      <c r="C1323" t="s">
        <v>12</v>
      </c>
      <c r="D1323" t="str">
        <f>_xlfn.XLOOKUP(TBL_USUARIOS[[#This Row],[ID_MASSA]],tbl_de_massas[id_massa],tbl_de_massas[nome_completo],"--",0,1)</f>
        <v>Leandro Oliveira Nascimento</v>
      </c>
      <c r="E1323" t="str">
        <f>_xlfn.XLOOKUP(TBL_USUARIOS[[#This Row],[ID_MASSA]],tbl_de_massas[id_massa],tbl_de_massas[cartao_fisico_numero],"--",0,1)</f>
        <v>5442 7460 5342 3352</v>
      </c>
      <c r="F1323" t="str">
        <f>_xlfn.XLOOKUP(TBL_USUARIOS[[#This Row],[ID_MASSA]],tbl_de_massas[id_massa],tbl_de_massas[nome_completo],"--",0,1)</f>
        <v>Leandro Oliveira Nascimento</v>
      </c>
      <c r="G1323" s="47">
        <f>_xlfn.XLOOKUP(TBL_USUARIOS[[#This Row],[ID_MASSA]],tbl_de_massas[id_massa],tbl_de_massas[saldo_conta],"--",0,1)</f>
        <v>12668.6</v>
      </c>
      <c r="H1323" t="str">
        <f>_xlfn.XLOOKUP(TBL_USUARIOS[[#This Row],[ID_MASSA]],tbl_de_massas[id_massa],tbl_de_massas[nome_completo],"--",0,1)</f>
        <v>Leandro Oliveira Nascimento</v>
      </c>
    </row>
    <row r="1324" spans="1:8" x14ac:dyDescent="0.25">
      <c r="A1324" s="2" t="s">
        <v>4010</v>
      </c>
      <c r="B1324" t="str">
        <f>_xlfn.XLOOKUP(TBL_USUARIOS[[#This Row],[ID_MASSA]],tbl_de_massas[id_massa],tbl_de_massas[cpf],"--",0,1)</f>
        <v>33254130219</v>
      </c>
      <c r="C1324" t="s">
        <v>12</v>
      </c>
      <c r="D1324" t="str">
        <f>_xlfn.XLOOKUP(TBL_USUARIOS[[#This Row],[ID_MASSA]],tbl_de_massas[id_massa],tbl_de_massas[nome_completo],"--",0,1)</f>
        <v>Eduardo Vieira Rodrigues</v>
      </c>
      <c r="E1324" t="str">
        <f>_xlfn.XLOOKUP(TBL_USUARIOS[[#This Row],[ID_MASSA]],tbl_de_massas[id_massa],tbl_de_massas[cartao_fisico_numero],"--",0,1)</f>
        <v>6062 8200 4227 3470</v>
      </c>
      <c r="F1324" t="str">
        <f>_xlfn.XLOOKUP(TBL_USUARIOS[[#This Row],[ID_MASSA]],tbl_de_massas[id_massa],tbl_de_massas[nome_completo],"--",0,1)</f>
        <v>Eduardo Vieira Rodrigues</v>
      </c>
      <c r="G1324" s="47">
        <f>_xlfn.XLOOKUP(TBL_USUARIOS[[#This Row],[ID_MASSA]],tbl_de_massas[id_massa],tbl_de_massas[saldo_conta],"--",0,1)</f>
        <v>14241.77</v>
      </c>
      <c r="H1324" t="str">
        <f>_xlfn.XLOOKUP(TBL_USUARIOS[[#This Row],[ID_MASSA]],tbl_de_massas[id_massa],tbl_de_massas[nome_completo],"--",0,1)</f>
        <v>Eduardo Vieira Rodrigues</v>
      </c>
    </row>
    <row r="1325" spans="1:8" x14ac:dyDescent="0.25">
      <c r="A1325" s="2" t="s">
        <v>4149</v>
      </c>
      <c r="B1325" t="str">
        <f>_xlfn.XLOOKUP(TBL_USUARIOS[[#This Row],[ID_MASSA]],tbl_de_massas[id_massa],tbl_de_massas[cpf],"--",0,1)</f>
        <v>10299972844</v>
      </c>
      <c r="C1325" t="s">
        <v>12</v>
      </c>
      <c r="D1325" t="str">
        <f>_xlfn.XLOOKUP(TBL_USUARIOS[[#This Row],[ID_MASSA]],tbl_de_massas[id_massa],tbl_de_massas[nome_completo],"--",0,1)</f>
        <v>Camila Rocha Campos</v>
      </c>
      <c r="E1325" t="str">
        <f>_xlfn.XLOOKUP(TBL_USUARIOS[[#This Row],[ID_MASSA]],tbl_de_massas[id_massa],tbl_de_massas[cartao_fisico_numero],"--",0,1)</f>
        <v>4576 7460 2028 7824</v>
      </c>
      <c r="F1325" t="str">
        <f>_xlfn.XLOOKUP(TBL_USUARIOS[[#This Row],[ID_MASSA]],tbl_de_massas[id_massa],tbl_de_massas[nome_completo],"--",0,1)</f>
        <v>Camila Rocha Campos</v>
      </c>
      <c r="G1325" s="47">
        <f>_xlfn.XLOOKUP(TBL_USUARIOS[[#This Row],[ID_MASSA]],tbl_de_massas[id_massa],tbl_de_massas[saldo_conta],"--",0,1)</f>
        <v>14650.42</v>
      </c>
      <c r="H1325" t="str">
        <f>_xlfn.XLOOKUP(TBL_USUARIOS[[#This Row],[ID_MASSA]],tbl_de_massas[id_massa],tbl_de_massas[nome_completo],"--",0,1)</f>
        <v>Camila Rocha Campos</v>
      </c>
    </row>
    <row r="1326" spans="1:8" x14ac:dyDescent="0.25">
      <c r="A1326" s="2" t="s">
        <v>3199</v>
      </c>
      <c r="B1326" t="str">
        <f>_xlfn.XLOOKUP(TBL_USUARIOS[[#This Row],[ID_MASSA]],tbl_de_massas[id_massa],tbl_de_massas[cpf],"--",0,1)</f>
        <v>56016184292</v>
      </c>
      <c r="C1326" t="s">
        <v>12</v>
      </c>
      <c r="D1326" t="str">
        <f>_xlfn.XLOOKUP(TBL_USUARIOS[[#This Row],[ID_MASSA]],tbl_de_massas[id_massa],tbl_de_massas[nome_completo],"--",0,1)</f>
        <v>Bruno Moura</v>
      </c>
      <c r="E1326" t="str">
        <f>_xlfn.XLOOKUP(TBL_USUARIOS[[#This Row],[ID_MASSA]],tbl_de_massas[id_massa],tbl_de_massas[cartao_fisico_numero],"--",0,1)</f>
        <v>3782 197520 0191</v>
      </c>
      <c r="F1326" t="str">
        <f>_xlfn.XLOOKUP(TBL_USUARIOS[[#This Row],[ID_MASSA]],tbl_de_massas[id_massa],tbl_de_massas[nome_completo],"--",0,1)</f>
        <v>Bruno Moura</v>
      </c>
      <c r="G1326" s="47">
        <f>_xlfn.XLOOKUP(TBL_USUARIOS[[#This Row],[ID_MASSA]],tbl_de_massas[id_massa],tbl_de_massas[saldo_conta],"--",0,1)</f>
        <v>8066.56</v>
      </c>
      <c r="H1326" t="str">
        <f>_xlfn.XLOOKUP(TBL_USUARIOS[[#This Row],[ID_MASSA]],tbl_de_massas[id_massa],tbl_de_massas[nome_completo],"--",0,1)</f>
        <v>Bruno Moura</v>
      </c>
    </row>
    <row r="1327" spans="1:8" x14ac:dyDescent="0.25">
      <c r="A1327" s="2" t="s">
        <v>2488</v>
      </c>
      <c r="B1327" s="14" t="str">
        <f>_xlfn.XLOOKUP(TBL_USUARIOS[[#This Row],[ID_MASSA]],tbl_de_massas[id_massa],tbl_de_massas[cpf],"--",0,1)</f>
        <v>70028698924</v>
      </c>
      <c r="C1327" t="s">
        <v>12</v>
      </c>
      <c r="D1327" t="str">
        <f>_xlfn.XLOOKUP(TBL_USUARIOS[[#This Row],[ID_MASSA]],tbl_de_massas[id_massa],tbl_de_massas[nome_completo],"--",0,1)</f>
        <v>Juliana Lima Rezende</v>
      </c>
      <c r="E1327" t="str">
        <f>_xlfn.XLOOKUP(TBL_USUARIOS[[#This Row],[ID_MASSA]],tbl_de_massas[id_massa],tbl_de_massas[cartao_fisico_numero],"--",0,1)</f>
        <v>4576 7460 4677 6166</v>
      </c>
      <c r="F1327" t="str">
        <f>_xlfn.XLOOKUP(TBL_USUARIOS[[#This Row],[ID_MASSA]],tbl_de_massas[id_massa],tbl_de_massas[nome_completo],"--",0,1)</f>
        <v>Juliana Lima Rezende</v>
      </c>
      <c r="G1327" s="47">
        <f>_xlfn.XLOOKUP(TBL_USUARIOS[[#This Row],[ID_MASSA]],tbl_de_massas[id_massa],tbl_de_massas[saldo_conta],"--",0,1)</f>
        <v>17697.919999999998</v>
      </c>
      <c r="H1327" t="str">
        <f>_xlfn.XLOOKUP(TBL_USUARIOS[[#This Row],[ID_MASSA]],tbl_de_massas[id_massa],tbl_de_massas[nome_completo],"--",0,1)</f>
        <v>Juliana Lima Rezende</v>
      </c>
    </row>
    <row r="1328" spans="1:8" x14ac:dyDescent="0.25">
      <c r="A1328" s="2" t="s">
        <v>5255</v>
      </c>
      <c r="B1328" t="str">
        <f>_xlfn.XLOOKUP(TBL_USUARIOS[[#This Row],[ID_MASSA]],tbl_de_massas[id_massa],tbl_de_massas[cpf],"--",0,1)</f>
        <v>20874994977</v>
      </c>
      <c r="C1328" t="s">
        <v>12</v>
      </c>
      <c r="D1328" t="str">
        <f>_xlfn.XLOOKUP(TBL_USUARIOS[[#This Row],[ID_MASSA]],tbl_de_massas[id_massa],tbl_de_massas[nome_completo],"--",0,1)</f>
        <v>Andre Cardoso</v>
      </c>
      <c r="E1328" t="str">
        <f>_xlfn.XLOOKUP(TBL_USUARIOS[[#This Row],[ID_MASSA]],tbl_de_massas[id_massa],tbl_de_massas[cartao_fisico_numero],"--",0,1)</f>
        <v>6062 8200 4651 8493</v>
      </c>
      <c r="F1328" t="str">
        <f>_xlfn.XLOOKUP(TBL_USUARIOS[[#This Row],[ID_MASSA]],tbl_de_massas[id_massa],tbl_de_massas[nome_completo],"--",0,1)</f>
        <v>Andre Cardoso</v>
      </c>
      <c r="G1328" s="47">
        <f>_xlfn.XLOOKUP(TBL_USUARIOS[[#This Row],[ID_MASSA]],tbl_de_massas[id_massa],tbl_de_massas[saldo_conta],"--",0,1)</f>
        <v>12546.43</v>
      </c>
      <c r="H1328" t="str">
        <f>_xlfn.XLOOKUP(TBL_USUARIOS[[#This Row],[ID_MASSA]],tbl_de_massas[id_massa],tbl_de_massas[nome_completo],"--",0,1)</f>
        <v>Andre Cardoso</v>
      </c>
    </row>
    <row r="1329" spans="1:8" x14ac:dyDescent="0.25">
      <c r="A1329" s="2" t="s">
        <v>2485</v>
      </c>
      <c r="B1329" s="14" t="str">
        <f>_xlfn.XLOOKUP(TBL_USUARIOS[[#This Row],[ID_MASSA]],tbl_de_massas[id_massa],tbl_de_massas[cpf],"--",0,1)</f>
        <v>86967614568</v>
      </c>
      <c r="C1329" t="s">
        <v>12</v>
      </c>
      <c r="D1329" t="str">
        <f>_xlfn.XLOOKUP(TBL_USUARIOS[[#This Row],[ID_MASSA]],tbl_de_massas[id_massa],tbl_de_massas[nome_completo],"--",0,1)</f>
        <v>Jiwoo Park</v>
      </c>
      <c r="E1329" t="str">
        <f>_xlfn.XLOOKUP(TBL_USUARIOS[[#This Row],[ID_MASSA]],tbl_de_massas[id_massa],tbl_de_massas[cartao_fisico_numero],"--",0,1)</f>
        <v/>
      </c>
      <c r="F1329" t="str">
        <f>_xlfn.XLOOKUP(TBL_USUARIOS[[#This Row],[ID_MASSA]],tbl_de_massas[id_massa],tbl_de_massas[nome_completo],"--",0,1)</f>
        <v>Jiwoo Park</v>
      </c>
      <c r="G1329" s="47">
        <f>_xlfn.XLOOKUP(TBL_USUARIOS[[#This Row],[ID_MASSA]],tbl_de_massas[id_massa],tbl_de_massas[saldo_conta],"--",0,1)</f>
        <v>14677.78</v>
      </c>
      <c r="H1329" t="str">
        <f>_xlfn.XLOOKUP(TBL_USUARIOS[[#This Row],[ID_MASSA]],tbl_de_massas[id_massa],tbl_de_massas[nome_completo],"--",0,1)</f>
        <v>Jiwoo Park</v>
      </c>
    </row>
    <row r="1330" spans="1:8" x14ac:dyDescent="0.25">
      <c r="A1330" s="2" t="s">
        <v>3591</v>
      </c>
      <c r="B1330" t="str">
        <f>_xlfn.XLOOKUP(TBL_USUARIOS[[#This Row],[ID_MASSA]],tbl_de_massas[id_massa],tbl_de_massas[cpf],"--",0,1)</f>
        <v>86611780025</v>
      </c>
      <c r="C1330" t="s">
        <v>12</v>
      </c>
      <c r="D1330" t="str">
        <f>_xlfn.XLOOKUP(TBL_USUARIOS[[#This Row],[ID_MASSA]],tbl_de_massas[id_massa],tbl_de_massas[nome_completo],"--",0,1)</f>
        <v>Fabio Vieira</v>
      </c>
      <c r="E1330" t="str">
        <f>_xlfn.XLOOKUP(TBL_USUARIOS[[#This Row],[ID_MASSA]],tbl_de_massas[id_massa],tbl_de_massas[cartao_fisico_numero],"--",0,1)</f>
        <v>5442 7460 2809 6226</v>
      </c>
      <c r="F1330" t="str">
        <f>_xlfn.XLOOKUP(TBL_USUARIOS[[#This Row],[ID_MASSA]],tbl_de_massas[id_massa],tbl_de_massas[nome_completo],"--",0,1)</f>
        <v>Fabio Vieira</v>
      </c>
      <c r="G1330" s="47">
        <f>_xlfn.XLOOKUP(TBL_USUARIOS[[#This Row],[ID_MASSA]],tbl_de_massas[id_massa],tbl_de_massas[saldo_conta],"--",0,1)</f>
        <v>14340.41</v>
      </c>
      <c r="H1330" t="str">
        <f>_xlfn.XLOOKUP(TBL_USUARIOS[[#This Row],[ID_MASSA]],tbl_de_massas[id_massa],tbl_de_massas[nome_completo],"--",0,1)</f>
        <v>Fabio Vieira</v>
      </c>
    </row>
    <row r="1331" spans="1:8" x14ac:dyDescent="0.25">
      <c r="A1331" s="2" t="s">
        <v>5304</v>
      </c>
      <c r="B1331" t="str">
        <f>_xlfn.XLOOKUP(TBL_USUARIOS[[#This Row],[ID_MASSA]],tbl_de_massas[id_massa],tbl_de_massas[cpf],"--",0,1)</f>
        <v>43052686801</v>
      </c>
      <c r="C1331" t="s">
        <v>12</v>
      </c>
      <c r="D1331" t="str">
        <f>_xlfn.XLOOKUP(TBL_USUARIOS[[#This Row],[ID_MASSA]],tbl_de_massas[id_massa],tbl_de_massas[nome_completo],"--",0,1)</f>
        <v>Aline Carvalho</v>
      </c>
      <c r="E1331" t="str">
        <f>_xlfn.XLOOKUP(TBL_USUARIOS[[#This Row],[ID_MASSA]],tbl_de_massas[id_massa],tbl_de_massas[cartao_fisico_numero],"--",0,1)</f>
        <v/>
      </c>
      <c r="F1331" t="str">
        <f>_xlfn.XLOOKUP(TBL_USUARIOS[[#This Row],[ID_MASSA]],tbl_de_massas[id_massa],tbl_de_massas[nome_completo],"--",0,1)</f>
        <v>Aline Carvalho</v>
      </c>
      <c r="G1331" s="47">
        <f>_xlfn.XLOOKUP(TBL_USUARIOS[[#This Row],[ID_MASSA]],tbl_de_massas[id_massa],tbl_de_massas[saldo_conta],"--",0,1)</f>
        <v>12747.65</v>
      </c>
      <c r="H1331" t="str">
        <f>_xlfn.XLOOKUP(TBL_USUARIOS[[#This Row],[ID_MASSA]],tbl_de_massas[id_massa],tbl_de_massas[nome_completo],"--",0,1)</f>
        <v>Aline Carvalho</v>
      </c>
    </row>
    <row r="1332" spans="1:8" x14ac:dyDescent="0.25">
      <c r="A1332" s="2" t="s">
        <v>2210</v>
      </c>
      <c r="B1332" s="14" t="str">
        <f>_xlfn.XLOOKUP(TBL_USUARIOS[[#This Row],[ID_MASSA]],tbl_de_massas[id_massa],tbl_de_massas[cpf],"--",0,1)</f>
        <v>36803189287</v>
      </c>
      <c r="C1332" t="s">
        <v>12</v>
      </c>
      <c r="D1332" t="str">
        <f>_xlfn.XLOOKUP(TBL_USUARIOS[[#This Row],[ID_MASSA]],tbl_de_massas[id_massa],tbl_de_massas[nome_completo],"--",0,1)</f>
        <v>Chloe Dubois</v>
      </c>
      <c r="E1332" t="str">
        <f>_xlfn.XLOOKUP(TBL_USUARIOS[[#This Row],[ID_MASSA]],tbl_de_massas[id_massa],tbl_de_massas[cartao_fisico_numero],"--",0,1)</f>
        <v>5442 7460 8324 5117</v>
      </c>
      <c r="F1332" t="str">
        <f>_xlfn.XLOOKUP(TBL_USUARIOS[[#This Row],[ID_MASSA]],tbl_de_massas[id_massa],tbl_de_massas[nome_completo],"--",0,1)</f>
        <v>Chloe Dubois</v>
      </c>
      <c r="G1332" s="47">
        <f>_xlfn.XLOOKUP(TBL_USUARIOS[[#This Row],[ID_MASSA]],tbl_de_massas[id_massa],tbl_de_massas[saldo_conta],"--",0,1)</f>
        <v>14784.02</v>
      </c>
      <c r="H1332" t="str">
        <f>_xlfn.XLOOKUP(TBL_USUARIOS[[#This Row],[ID_MASSA]],tbl_de_massas[id_massa],tbl_de_massas[nome_completo],"--",0,1)</f>
        <v>Chloe Dubois</v>
      </c>
    </row>
    <row r="1333" spans="1:8" x14ac:dyDescent="0.25">
      <c r="A1333" s="2" t="s">
        <v>5134</v>
      </c>
      <c r="B1333" t="str">
        <f>_xlfn.XLOOKUP(TBL_USUARIOS[[#This Row],[ID_MASSA]],tbl_de_massas[id_massa],tbl_de_massas[cpf],"--",0,1)</f>
        <v>90462710645</v>
      </c>
      <c r="C1333" t="s">
        <v>12</v>
      </c>
      <c r="D1333" t="str">
        <f>_xlfn.XLOOKUP(TBL_USUARIOS[[#This Row],[ID_MASSA]],tbl_de_massas[id_massa],tbl_de_massas[nome_completo],"--",0,1)</f>
        <v>Rafael Barros Santos</v>
      </c>
      <c r="E1333" t="str">
        <f>_xlfn.XLOOKUP(TBL_USUARIOS[[#This Row],[ID_MASSA]],tbl_de_massas[id_massa],tbl_de_massas[cartao_fisico_numero],"--",0,1)</f>
        <v>6062 8200 7653 3236</v>
      </c>
      <c r="F1333" t="str">
        <f>_xlfn.XLOOKUP(TBL_USUARIOS[[#This Row],[ID_MASSA]],tbl_de_massas[id_massa],tbl_de_massas[nome_completo],"--",0,1)</f>
        <v>Rafael Barros Santos</v>
      </c>
      <c r="G1333" s="47">
        <f>_xlfn.XLOOKUP(TBL_USUARIOS[[#This Row],[ID_MASSA]],tbl_de_massas[id_massa],tbl_de_massas[saldo_conta],"--",0,1)</f>
        <v>7489.58</v>
      </c>
      <c r="H1333" t="str">
        <f>_xlfn.XLOOKUP(TBL_USUARIOS[[#This Row],[ID_MASSA]],tbl_de_massas[id_massa],tbl_de_massas[nome_completo],"--",0,1)</f>
        <v>Rafael Barros Santos</v>
      </c>
    </row>
    <row r="1334" spans="1:8" x14ac:dyDescent="0.25">
      <c r="A1334" s="2" t="s">
        <v>3050</v>
      </c>
      <c r="B1334" t="str">
        <f>_xlfn.XLOOKUP(TBL_USUARIOS[[#This Row],[ID_MASSA]],tbl_de_massas[id_massa],tbl_de_massas[cpf],"--",0,1)</f>
        <v>79194238308</v>
      </c>
      <c r="C1334" t="s">
        <v>12</v>
      </c>
      <c r="D1334" t="str">
        <f>_xlfn.XLOOKUP(TBL_USUARIOS[[#This Row],[ID_MASSA]],tbl_de_massas[id_massa],tbl_de_massas[nome_completo],"--",0,1)</f>
        <v>Danilo Fernandes Moura</v>
      </c>
      <c r="E1334" t="str">
        <f>_xlfn.XLOOKUP(TBL_USUARIOS[[#This Row],[ID_MASSA]],tbl_de_massas[id_massa],tbl_de_massas[cartao_fisico_numero],"--",0,1)</f>
        <v>5442 7460 4245 5106</v>
      </c>
      <c r="F1334" t="str">
        <f>_xlfn.XLOOKUP(TBL_USUARIOS[[#This Row],[ID_MASSA]],tbl_de_massas[id_massa],tbl_de_massas[nome_completo],"--",0,1)</f>
        <v>Danilo Fernandes Moura</v>
      </c>
      <c r="G1334" s="47">
        <f>_xlfn.XLOOKUP(TBL_USUARIOS[[#This Row],[ID_MASSA]],tbl_de_massas[id_massa],tbl_de_massas[saldo_conta],"--",0,1)</f>
        <v>14796.29</v>
      </c>
      <c r="H1334" t="str">
        <f>_xlfn.XLOOKUP(TBL_USUARIOS[[#This Row],[ID_MASSA]],tbl_de_massas[id_massa],tbl_de_massas[nome_completo],"--",0,1)</f>
        <v>Danilo Fernandes Moura</v>
      </c>
    </row>
    <row r="1335" spans="1:8" x14ac:dyDescent="0.25">
      <c r="A1335" s="2" t="s">
        <v>3599</v>
      </c>
      <c r="B1335" t="str">
        <f>_xlfn.XLOOKUP(TBL_USUARIOS[[#This Row],[ID_MASSA]],tbl_de_massas[id_massa],tbl_de_massas[cpf],"--",0,1)</f>
        <v>31210749467</v>
      </c>
      <c r="C1335" t="s">
        <v>12</v>
      </c>
      <c r="D1335" t="str">
        <f>_xlfn.XLOOKUP(TBL_USUARIOS[[#This Row],[ID_MASSA]],tbl_de_massas[id_massa],tbl_de_massas[nome_completo],"--",0,1)</f>
        <v>Guilherme Lima Freitas</v>
      </c>
      <c r="E1335" t="str">
        <f>_xlfn.XLOOKUP(TBL_USUARIOS[[#This Row],[ID_MASSA]],tbl_de_massas[id_massa],tbl_de_massas[cartao_fisico_numero],"--",0,1)</f>
        <v/>
      </c>
      <c r="F1335" t="str">
        <f>_xlfn.XLOOKUP(TBL_USUARIOS[[#This Row],[ID_MASSA]],tbl_de_massas[id_massa],tbl_de_massas[nome_completo],"--",0,1)</f>
        <v>Guilherme Lima Freitas</v>
      </c>
      <c r="G1335" s="47">
        <f>_xlfn.XLOOKUP(TBL_USUARIOS[[#This Row],[ID_MASSA]],tbl_de_massas[id_massa],tbl_de_massas[saldo_conta],"--",0,1)</f>
        <v>14414.44</v>
      </c>
      <c r="H1335" t="str">
        <f>_xlfn.XLOOKUP(TBL_USUARIOS[[#This Row],[ID_MASSA]],tbl_de_massas[id_massa],tbl_de_massas[nome_completo],"--",0,1)</f>
        <v>Guilherme Lima Freitas</v>
      </c>
    </row>
    <row r="1336" spans="1:8" x14ac:dyDescent="0.25">
      <c r="A1336" s="2" t="s">
        <v>5300</v>
      </c>
      <c r="B1336" t="str">
        <f>_xlfn.XLOOKUP(TBL_USUARIOS[[#This Row],[ID_MASSA]],tbl_de_massas[id_massa],tbl_de_massas[cpf],"--",0,1)</f>
        <v>39160905425</v>
      </c>
      <c r="C1336" t="s">
        <v>12</v>
      </c>
      <c r="D1336" t="str">
        <f>_xlfn.XLOOKUP(TBL_USUARIOS[[#This Row],[ID_MASSA]],tbl_de_massas[id_massa],tbl_de_massas[nome_completo],"--",0,1)</f>
        <v>Bianca Nascimento Monteiro</v>
      </c>
      <c r="E1336" t="str">
        <f>_xlfn.XLOOKUP(TBL_USUARIOS[[#This Row],[ID_MASSA]],tbl_de_massas[id_massa],tbl_de_massas[cartao_fisico_numero],"--",0,1)</f>
        <v>6062 8200 6923 6900</v>
      </c>
      <c r="F1336" t="str">
        <f>_xlfn.XLOOKUP(TBL_USUARIOS[[#This Row],[ID_MASSA]],tbl_de_massas[id_massa],tbl_de_massas[nome_completo],"--",0,1)</f>
        <v>Bianca Nascimento Monteiro</v>
      </c>
      <c r="G1336" s="47">
        <f>_xlfn.XLOOKUP(TBL_USUARIOS[[#This Row],[ID_MASSA]],tbl_de_massas[id_massa],tbl_de_massas[saldo_conta],"--",0,1)</f>
        <v>14817.9</v>
      </c>
      <c r="H1336" t="str">
        <f>_xlfn.XLOOKUP(TBL_USUARIOS[[#This Row],[ID_MASSA]],tbl_de_massas[id_massa],tbl_de_massas[nome_completo],"--",0,1)</f>
        <v>Bianca Nascimento Monteiro</v>
      </c>
    </row>
    <row r="1337" spans="1:8" x14ac:dyDescent="0.25">
      <c r="A1337" s="2" t="s">
        <v>4652</v>
      </c>
      <c r="B1337" t="str">
        <f>_xlfn.XLOOKUP(TBL_USUARIOS[[#This Row],[ID_MASSA]],tbl_de_massas[id_massa],tbl_de_massas[cpf],"--",0,1)</f>
        <v>98566615875</v>
      </c>
      <c r="C1337" t="s">
        <v>12</v>
      </c>
      <c r="D1337" t="str">
        <f>_xlfn.XLOOKUP(TBL_USUARIOS[[#This Row],[ID_MASSA]],tbl_de_massas[id_massa],tbl_de_massas[nome_completo],"--",0,1)</f>
        <v>Camila Moura Freitas</v>
      </c>
      <c r="E1337" t="str">
        <f>_xlfn.XLOOKUP(TBL_USUARIOS[[#This Row],[ID_MASSA]],tbl_de_massas[id_massa],tbl_de_massas[cartao_fisico_numero],"--",0,1)</f>
        <v/>
      </c>
      <c r="F1337" t="str">
        <f>_xlfn.XLOOKUP(TBL_USUARIOS[[#This Row],[ID_MASSA]],tbl_de_massas[id_massa],tbl_de_massas[nome_completo],"--",0,1)</f>
        <v>Camila Moura Freitas</v>
      </c>
      <c r="G1337" s="47">
        <f>_xlfn.XLOOKUP(TBL_USUARIOS[[#This Row],[ID_MASSA]],tbl_de_massas[id_massa],tbl_de_massas[saldo_conta],"--",0,1)</f>
        <v>14826.69</v>
      </c>
      <c r="H1337" t="str">
        <f>_xlfn.XLOOKUP(TBL_USUARIOS[[#This Row],[ID_MASSA]],tbl_de_massas[id_massa],tbl_de_massas[nome_completo],"--",0,1)</f>
        <v>Camila Moura Freitas</v>
      </c>
    </row>
    <row r="1338" spans="1:8" x14ac:dyDescent="0.25">
      <c r="A1338" s="2" t="s">
        <v>3793</v>
      </c>
      <c r="B1338" t="str">
        <f>_xlfn.XLOOKUP(TBL_USUARIOS[[#This Row],[ID_MASSA]],tbl_de_massas[id_massa],tbl_de_massas[cpf],"--",0,1)</f>
        <v>82045577520</v>
      </c>
      <c r="C1338" t="s">
        <v>12</v>
      </c>
      <c r="D1338" t="str">
        <f>_xlfn.XLOOKUP(TBL_USUARIOS[[#This Row],[ID_MASSA]],tbl_de_massas[id_massa],tbl_de_massas[nome_completo],"--",0,1)</f>
        <v>Priscila Dias Araujo</v>
      </c>
      <c r="E1338" t="str">
        <f>_xlfn.XLOOKUP(TBL_USUARIOS[[#This Row],[ID_MASSA]],tbl_de_massas[id_massa],tbl_de_massas[cartao_fisico_numero],"--",0,1)</f>
        <v/>
      </c>
      <c r="F1338" t="str">
        <f>_xlfn.XLOOKUP(TBL_USUARIOS[[#This Row],[ID_MASSA]],tbl_de_massas[id_massa],tbl_de_massas[nome_completo],"--",0,1)</f>
        <v>Priscila Dias Araujo</v>
      </c>
      <c r="G1338" s="47">
        <f>_xlfn.XLOOKUP(TBL_USUARIOS[[#This Row],[ID_MASSA]],tbl_de_massas[id_massa],tbl_de_massas[saldo_conta],"--",0,1)</f>
        <v>10955.95</v>
      </c>
      <c r="H1338" t="str">
        <f>_xlfn.XLOOKUP(TBL_USUARIOS[[#This Row],[ID_MASSA]],tbl_de_massas[id_massa],tbl_de_massas[nome_completo],"--",0,1)</f>
        <v>Priscila Dias Araujo</v>
      </c>
    </row>
    <row r="1339" spans="1:8" x14ac:dyDescent="0.25">
      <c r="A1339" s="2" t="s">
        <v>6428</v>
      </c>
      <c r="B1339" t="str">
        <f>_xlfn.XLOOKUP(TBL_USUARIOS[[#This Row],[ID_MASSA]],tbl_de_massas[id_massa],tbl_de_massas[cpf],"--",0,1)</f>
        <v>37790014463</v>
      </c>
      <c r="C1339" t="s">
        <v>12</v>
      </c>
      <c r="D1339" t="str">
        <f>_xlfn.XLOOKUP(TBL_USUARIOS[[#This Row],[ID_MASSA]],tbl_de_massas[id_massa],tbl_de_massas[nome_completo],"--",0,1)</f>
        <v>Ming He</v>
      </c>
      <c r="E1339" t="str">
        <f>_xlfn.XLOOKUP(TBL_USUARIOS[[#This Row],[ID_MASSA]],tbl_de_massas[id_massa],tbl_de_massas[cartao_fisico_numero],"--",0,1)</f>
        <v/>
      </c>
      <c r="F1339" t="str">
        <f>_xlfn.XLOOKUP(TBL_USUARIOS[[#This Row],[ID_MASSA]],tbl_de_massas[id_massa],tbl_de_massas[nome_completo],"--",0,1)</f>
        <v>Ming He</v>
      </c>
      <c r="G1339" s="47">
        <f>_xlfn.XLOOKUP(TBL_USUARIOS[[#This Row],[ID_MASSA]],tbl_de_massas[id_massa],tbl_de_massas[saldo_conta],"--",0,1)</f>
        <v>13431.65</v>
      </c>
      <c r="H1339" t="str">
        <f>_xlfn.XLOOKUP(TBL_USUARIOS[[#This Row],[ID_MASSA]],tbl_de_massas[id_massa],tbl_de_massas[nome_completo],"--",0,1)</f>
        <v>Ming He</v>
      </c>
    </row>
    <row r="1340" spans="1:8" x14ac:dyDescent="0.25">
      <c r="A1340" s="2" t="s">
        <v>3562</v>
      </c>
      <c r="B1340" t="str">
        <f>_xlfn.XLOOKUP(TBL_USUARIOS[[#This Row],[ID_MASSA]],tbl_de_massas[id_massa],tbl_de_massas[cpf],"--",0,1)</f>
        <v>22747314979</v>
      </c>
      <c r="C1340" t="s">
        <v>12</v>
      </c>
      <c r="D1340" t="str">
        <f>_xlfn.XLOOKUP(TBL_USUARIOS[[#This Row],[ID_MASSA]],tbl_de_massas[id_massa],tbl_de_massas[nome_completo],"--",0,1)</f>
        <v>Marcos Oliveira Pinto</v>
      </c>
      <c r="E1340" t="str">
        <f>_xlfn.XLOOKUP(TBL_USUARIOS[[#This Row],[ID_MASSA]],tbl_de_massas[id_massa],tbl_de_massas[cartao_fisico_numero],"--",0,1)</f>
        <v/>
      </c>
      <c r="F1340" t="str">
        <f>_xlfn.XLOOKUP(TBL_USUARIOS[[#This Row],[ID_MASSA]],tbl_de_massas[id_massa],tbl_de_massas[nome_completo],"--",0,1)</f>
        <v>Marcos Oliveira Pinto</v>
      </c>
      <c r="G1340" s="47">
        <f>_xlfn.XLOOKUP(TBL_USUARIOS[[#This Row],[ID_MASSA]],tbl_de_massas[id_massa],tbl_de_massas[saldo_conta],"--",0,1)</f>
        <v>10586.45</v>
      </c>
      <c r="H1340" t="str">
        <f>_xlfn.XLOOKUP(TBL_USUARIOS[[#This Row],[ID_MASSA]],tbl_de_massas[id_massa],tbl_de_massas[nome_completo],"--",0,1)</f>
        <v>Marcos Oliveira Pinto</v>
      </c>
    </row>
    <row r="1341" spans="1:8" x14ac:dyDescent="0.25">
      <c r="A1341" s="2" t="s">
        <v>6157</v>
      </c>
      <c r="B1341" t="str">
        <f>_xlfn.XLOOKUP(TBL_USUARIOS[[#This Row],[ID_MASSA]],tbl_de_massas[id_massa],tbl_de_massas[cpf],"--",0,1)</f>
        <v>31959857053</v>
      </c>
      <c r="C1341" t="s">
        <v>12</v>
      </c>
      <c r="D1341" t="str">
        <f>_xlfn.XLOOKUP(TBL_USUARIOS[[#This Row],[ID_MASSA]],tbl_de_massas[id_massa],tbl_de_massas[nome_completo],"--",0,1)</f>
        <v>Riku Yamaguchi</v>
      </c>
      <c r="E1341" t="str">
        <f>_xlfn.XLOOKUP(TBL_USUARIOS[[#This Row],[ID_MASSA]],tbl_de_massas[id_massa],tbl_de_massas[cartao_fisico_numero],"--",0,1)</f>
        <v>5442 7460 1643 7473</v>
      </c>
      <c r="F1341" t="str">
        <f>_xlfn.XLOOKUP(TBL_USUARIOS[[#This Row],[ID_MASSA]],tbl_de_massas[id_massa],tbl_de_massas[nome_completo],"--",0,1)</f>
        <v>Riku Yamaguchi</v>
      </c>
      <c r="G1341" s="47">
        <f>_xlfn.XLOOKUP(TBL_USUARIOS[[#This Row],[ID_MASSA]],tbl_de_massas[id_massa],tbl_de_massas[saldo_conta],"--",0,1)</f>
        <v>14850.17</v>
      </c>
      <c r="H1341" t="str">
        <f>_xlfn.XLOOKUP(TBL_USUARIOS[[#This Row],[ID_MASSA]],tbl_de_massas[id_massa],tbl_de_massas[nome_completo],"--",0,1)</f>
        <v>Riku Yamaguchi</v>
      </c>
    </row>
    <row r="1342" spans="1:8" x14ac:dyDescent="0.25">
      <c r="A1342" s="2" t="s">
        <v>2760</v>
      </c>
      <c r="B1342" t="str">
        <f>_xlfn.XLOOKUP(TBL_USUARIOS[[#This Row],[ID_MASSA]],tbl_de_massas[id_massa],tbl_de_massas[cpf],"--",0,1)</f>
        <v>62704860505</v>
      </c>
      <c r="C1342" t="s">
        <v>12</v>
      </c>
      <c r="D1342" t="str">
        <f>_xlfn.XLOOKUP(TBL_USUARIOS[[#This Row],[ID_MASSA]],tbl_de_massas[id_massa],tbl_de_massas[nome_completo],"--",0,1)</f>
        <v>Leandro Lima Rocha</v>
      </c>
      <c r="E1342" t="str">
        <f>_xlfn.XLOOKUP(TBL_USUARIOS[[#This Row],[ID_MASSA]],tbl_de_massas[id_massa],tbl_de_massas[cartao_fisico_numero],"--",0,1)</f>
        <v/>
      </c>
      <c r="F1342" t="str">
        <f>_xlfn.XLOOKUP(TBL_USUARIOS[[#This Row],[ID_MASSA]],tbl_de_massas[id_massa],tbl_de_massas[nome_completo],"--",0,1)</f>
        <v>Leandro Lima Rocha</v>
      </c>
      <c r="G1342" s="47">
        <f>_xlfn.XLOOKUP(TBL_USUARIOS[[#This Row],[ID_MASSA]],tbl_de_massas[id_massa],tbl_de_massas[saldo_conta],"--",0,1)</f>
        <v>14891.71</v>
      </c>
      <c r="H1342" t="str">
        <f>_xlfn.XLOOKUP(TBL_USUARIOS[[#This Row],[ID_MASSA]],tbl_de_massas[id_massa],tbl_de_massas[nome_completo],"--",0,1)</f>
        <v>Leandro Lima Rocha</v>
      </c>
    </row>
    <row r="1343" spans="1:8" x14ac:dyDescent="0.25">
      <c r="A1343" s="2" t="s">
        <v>4253</v>
      </c>
      <c r="B1343" t="str">
        <f>_xlfn.XLOOKUP(TBL_USUARIOS[[#This Row],[ID_MASSA]],tbl_de_massas[id_massa],tbl_de_massas[cpf],"--",0,1)</f>
        <v>23978876060</v>
      </c>
      <c r="C1343" t="s">
        <v>12</v>
      </c>
      <c r="D1343" t="str">
        <f>_xlfn.XLOOKUP(TBL_USUARIOS[[#This Row],[ID_MASSA]],tbl_de_massas[id_massa],tbl_de_massas[nome_completo],"--",0,1)</f>
        <v>Jessica Martins Gomes</v>
      </c>
      <c r="E1343" t="str">
        <f>_xlfn.XLOOKUP(TBL_USUARIOS[[#This Row],[ID_MASSA]],tbl_de_massas[id_massa],tbl_de_massas[cartao_fisico_numero],"--",0,1)</f>
        <v/>
      </c>
      <c r="F1343" t="str">
        <f>_xlfn.XLOOKUP(TBL_USUARIOS[[#This Row],[ID_MASSA]],tbl_de_massas[id_massa],tbl_de_massas[nome_completo],"--",0,1)</f>
        <v>Jessica Martins Gomes</v>
      </c>
      <c r="G1343" s="47">
        <f>_xlfn.XLOOKUP(TBL_USUARIOS[[#This Row],[ID_MASSA]],tbl_de_massas[id_massa],tbl_de_massas[saldo_conta],"--",0,1)</f>
        <v>14197.09</v>
      </c>
      <c r="H1343" t="str">
        <f>_xlfn.XLOOKUP(TBL_USUARIOS[[#This Row],[ID_MASSA]],tbl_de_massas[id_massa],tbl_de_massas[nome_completo],"--",0,1)</f>
        <v>Jessica Martins Gomes</v>
      </c>
    </row>
    <row r="1344" spans="1:8" x14ac:dyDescent="0.25">
      <c r="A1344" s="2" t="s">
        <v>6132</v>
      </c>
      <c r="B1344" t="str">
        <f>_xlfn.XLOOKUP(TBL_USUARIOS[[#This Row],[ID_MASSA]],tbl_de_massas[id_massa],tbl_de_massas[cpf],"--",0,1)</f>
        <v>97881194502</v>
      </c>
      <c r="C1344" t="s">
        <v>12</v>
      </c>
      <c r="D1344" t="str">
        <f>_xlfn.XLOOKUP(TBL_USUARIOS[[#This Row],[ID_MASSA]],tbl_de_massas[id_massa],tbl_de_massas[nome_completo],"--",0,1)</f>
        <v>Priscila Silva Lima</v>
      </c>
      <c r="E1344" t="str">
        <f>_xlfn.XLOOKUP(TBL_USUARIOS[[#This Row],[ID_MASSA]],tbl_de_massas[id_massa],tbl_de_massas[cartao_fisico_numero],"--",0,1)</f>
        <v>3782 198843 1219</v>
      </c>
      <c r="F1344" t="str">
        <f>_xlfn.XLOOKUP(TBL_USUARIOS[[#This Row],[ID_MASSA]],tbl_de_massas[id_massa],tbl_de_massas[nome_completo],"--",0,1)</f>
        <v>Priscila Silva Lima</v>
      </c>
      <c r="G1344" s="47">
        <f>_xlfn.XLOOKUP(TBL_USUARIOS[[#This Row],[ID_MASSA]],tbl_de_massas[id_massa],tbl_de_massas[saldo_conta],"--",0,1)</f>
        <v>14541.85</v>
      </c>
      <c r="H1344" t="str">
        <f>_xlfn.XLOOKUP(TBL_USUARIOS[[#This Row],[ID_MASSA]],tbl_de_massas[id_massa],tbl_de_massas[nome_completo],"--",0,1)</f>
        <v>Priscila Silva Lima</v>
      </c>
    </row>
    <row r="1345" spans="1:8" x14ac:dyDescent="0.25">
      <c r="A1345" s="2" t="s">
        <v>3776</v>
      </c>
      <c r="B1345" t="str">
        <f>_xlfn.XLOOKUP(TBL_USUARIOS[[#This Row],[ID_MASSA]],tbl_de_massas[id_massa],tbl_de_massas[cpf],"--",0,1)</f>
        <v>29627647624</v>
      </c>
      <c r="C1345" t="s">
        <v>12</v>
      </c>
      <c r="D1345" t="str">
        <f>_xlfn.XLOOKUP(TBL_USUARIOS[[#This Row],[ID_MASSA]],tbl_de_massas[id_massa],tbl_de_massas[nome_completo],"--",0,1)</f>
        <v>Eduardo Fernandes Oliveira</v>
      </c>
      <c r="E1345" t="str">
        <f>_xlfn.XLOOKUP(TBL_USUARIOS[[#This Row],[ID_MASSA]],tbl_de_massas[id_massa],tbl_de_massas[cartao_fisico_numero],"--",0,1)</f>
        <v>3782 949961 0722</v>
      </c>
      <c r="F1345" t="str">
        <f>_xlfn.XLOOKUP(TBL_USUARIOS[[#This Row],[ID_MASSA]],tbl_de_massas[id_massa],tbl_de_massas[nome_completo],"--",0,1)</f>
        <v>Eduardo Fernandes Oliveira</v>
      </c>
      <c r="G1345" s="47">
        <f>_xlfn.XLOOKUP(TBL_USUARIOS[[#This Row],[ID_MASSA]],tbl_de_massas[id_massa],tbl_de_massas[saldo_conta],"--",0,1)</f>
        <v>14134.47</v>
      </c>
      <c r="H1345" t="str">
        <f>_xlfn.XLOOKUP(TBL_USUARIOS[[#This Row],[ID_MASSA]],tbl_de_massas[id_massa],tbl_de_massas[nome_completo],"--",0,1)</f>
        <v>Eduardo Fernandes Oliveira</v>
      </c>
    </row>
    <row r="1346" spans="1:8" x14ac:dyDescent="0.25">
      <c r="A1346" s="2" t="s">
        <v>2636</v>
      </c>
      <c r="B1346" s="14" t="str">
        <f>_xlfn.XLOOKUP(TBL_USUARIOS[[#This Row],[ID_MASSA]],tbl_de_massas[id_massa],tbl_de_massas[cpf],"--",0,1)</f>
        <v>56731289671</v>
      </c>
      <c r="C1346" t="s">
        <v>12</v>
      </c>
      <c r="D1346" t="str">
        <f>_xlfn.XLOOKUP(TBL_USUARIOS[[#This Row],[ID_MASSA]],tbl_de_massas[id_massa],tbl_de_massas[nome_completo],"--",0,1)</f>
        <v>Fatima Al-Hardfbi</v>
      </c>
      <c r="E1346" t="str">
        <f>_xlfn.XLOOKUP(TBL_USUARIOS[[#This Row],[ID_MASSA]],tbl_de_massas[id_massa],tbl_de_massas[cartao_fisico_numero],"--",0,1)</f>
        <v>3782 292950 9209</v>
      </c>
      <c r="F1346" t="str">
        <f>_xlfn.XLOOKUP(TBL_USUARIOS[[#This Row],[ID_MASSA]],tbl_de_massas[id_massa],tbl_de_massas[nome_completo],"--",0,1)</f>
        <v>Fatima Al-Hardfbi</v>
      </c>
      <c r="G1346" s="47">
        <f>_xlfn.XLOOKUP(TBL_USUARIOS[[#This Row],[ID_MASSA]],tbl_de_massas[id_massa],tbl_de_massas[saldo_conta],"--",0,1)</f>
        <v>14914.09</v>
      </c>
      <c r="H1346" t="str">
        <f>_xlfn.XLOOKUP(TBL_USUARIOS[[#This Row],[ID_MASSA]],tbl_de_massas[id_massa],tbl_de_massas[nome_completo],"--",0,1)</f>
        <v>Fatima Al-Hardfbi</v>
      </c>
    </row>
    <row r="1347" spans="1:8" x14ac:dyDescent="0.25">
      <c r="A1347" s="2" t="s">
        <v>6261</v>
      </c>
      <c r="B1347" t="str">
        <f>_xlfn.XLOOKUP(TBL_USUARIOS[[#This Row],[ID_MASSA]],tbl_de_massas[id_massa],tbl_de_massas[cpf],"--",0,1)</f>
        <v>54224340305</v>
      </c>
      <c r="C1347" t="s">
        <v>12</v>
      </c>
      <c r="D1347" t="str">
        <f>_xlfn.XLOOKUP(TBL_USUARIOS[[#This Row],[ID_MASSA]],tbl_de_massas[id_massa],tbl_de_massas[nome_completo],"--",0,1)</f>
        <v>Joseph Taylor</v>
      </c>
      <c r="E1347" t="str">
        <f>_xlfn.XLOOKUP(TBL_USUARIOS[[#This Row],[ID_MASSA]],tbl_de_massas[id_massa],tbl_de_massas[cartao_fisico_numero],"--",0,1)</f>
        <v>4576 7460 6429 8117</v>
      </c>
      <c r="F1347" t="str">
        <f>_xlfn.XLOOKUP(TBL_USUARIOS[[#This Row],[ID_MASSA]],tbl_de_massas[id_massa],tbl_de_massas[nome_completo],"--",0,1)</f>
        <v>Joseph Taylor</v>
      </c>
      <c r="G1347" s="47">
        <f>_xlfn.XLOOKUP(TBL_USUARIOS[[#This Row],[ID_MASSA]],tbl_de_massas[id_massa],tbl_de_massas[saldo_conta],"--",0,1)</f>
        <v>14939.48</v>
      </c>
      <c r="H1347" t="str">
        <f>_xlfn.XLOOKUP(TBL_USUARIOS[[#This Row],[ID_MASSA]],tbl_de_massas[id_massa],tbl_de_massas[nome_completo],"--",0,1)</f>
        <v>Joseph Taylor</v>
      </c>
    </row>
    <row r="1348" spans="1:8" x14ac:dyDescent="0.25">
      <c r="A1348" s="2" t="s">
        <v>4377</v>
      </c>
      <c r="B1348" t="str">
        <f>_xlfn.XLOOKUP(TBL_USUARIOS[[#This Row],[ID_MASSA]],tbl_de_massas[id_massa],tbl_de_massas[cpf],"--",0,1)</f>
        <v>53167090120</v>
      </c>
      <c r="C1348" t="s">
        <v>12</v>
      </c>
      <c r="D1348" t="str">
        <f>_xlfn.XLOOKUP(TBL_USUARIOS[[#This Row],[ID_MASSA]],tbl_de_massas[id_massa],tbl_de_massas[nome_completo],"--",0,1)</f>
        <v>Thiago Dias Carvalho</v>
      </c>
      <c r="E1348" t="str">
        <f>_xlfn.XLOOKUP(TBL_USUARIOS[[#This Row],[ID_MASSA]],tbl_de_massas[id_massa],tbl_de_massas[cartao_fisico_numero],"--",0,1)</f>
        <v>4576 7460 6593 1257</v>
      </c>
      <c r="F1348" t="str">
        <f>_xlfn.XLOOKUP(TBL_USUARIOS[[#This Row],[ID_MASSA]],tbl_de_massas[id_massa],tbl_de_massas[nome_completo],"--",0,1)</f>
        <v>Thiago Dias Carvalho</v>
      </c>
      <c r="G1348" s="47">
        <f>_xlfn.XLOOKUP(TBL_USUARIOS[[#This Row],[ID_MASSA]],tbl_de_massas[id_massa],tbl_de_massas[saldo_conta],"--",0,1)</f>
        <v>14978.59</v>
      </c>
      <c r="H1348" t="str">
        <f>_xlfn.XLOOKUP(TBL_USUARIOS[[#This Row],[ID_MASSA]],tbl_de_massas[id_massa],tbl_de_massas[nome_completo],"--",0,1)</f>
        <v>Thiago Dias Carvalho</v>
      </c>
    </row>
    <row r="1349" spans="1:8" x14ac:dyDescent="0.25">
      <c r="A1349" s="2" t="s">
        <v>5637</v>
      </c>
      <c r="B1349" t="str">
        <f>_xlfn.XLOOKUP(TBL_USUARIOS[[#This Row],[ID_MASSA]],tbl_de_massas[id_massa],tbl_de_massas[cpf],"--",0,1)</f>
        <v>06668995764</v>
      </c>
      <c r="C1349" t="s">
        <v>12</v>
      </c>
      <c r="D1349" t="str">
        <f>_xlfn.XLOOKUP(TBL_USUARIOS[[#This Row],[ID_MASSA]],tbl_de_massas[id_massa],tbl_de_massas[nome_completo],"--",0,1)</f>
        <v>Yejun Hwang</v>
      </c>
      <c r="E1349" t="str">
        <f>_xlfn.XLOOKUP(TBL_USUARIOS[[#This Row],[ID_MASSA]],tbl_de_massas[id_massa],tbl_de_massas[cartao_fisico_numero],"--",0,1)</f>
        <v/>
      </c>
      <c r="F1349" t="str">
        <f>_xlfn.XLOOKUP(TBL_USUARIOS[[#This Row],[ID_MASSA]],tbl_de_massas[id_massa],tbl_de_massas[nome_completo],"--",0,1)</f>
        <v>Yejun Hwang</v>
      </c>
      <c r="G1349" s="47">
        <f>_xlfn.XLOOKUP(TBL_USUARIOS[[#This Row],[ID_MASSA]],tbl_de_massas[id_massa],tbl_de_massas[saldo_conta],"--",0,1)</f>
        <v>11107.77</v>
      </c>
      <c r="H1349" t="str">
        <f>_xlfn.XLOOKUP(TBL_USUARIOS[[#This Row],[ID_MASSA]],tbl_de_massas[id_massa],tbl_de_massas[nome_completo],"--",0,1)</f>
        <v>Yejun Hwang</v>
      </c>
    </row>
    <row r="1350" spans="1:8" x14ac:dyDescent="0.25">
      <c r="A1350" s="2" t="s">
        <v>6577</v>
      </c>
      <c r="B1350" t="str">
        <f>_xlfn.XLOOKUP(TBL_USUARIOS[[#This Row],[ID_MASSA]],tbl_de_massas[id_massa],tbl_de_massas[cpf],"--",0,1)</f>
        <v>94579887018</v>
      </c>
      <c r="C1350" t="s">
        <v>12</v>
      </c>
      <c r="D1350" t="str">
        <f>_xlfn.XLOOKUP(TBL_USUARIOS[[#This Row],[ID_MASSA]],tbl_de_massas[id_massa],tbl_de_massas[nome_completo],"--",0,1)</f>
        <v>Fang Chen Gao</v>
      </c>
      <c r="E1350" t="str">
        <f>_xlfn.XLOOKUP(TBL_USUARIOS[[#This Row],[ID_MASSA]],tbl_de_massas[id_massa],tbl_de_massas[cartao_fisico_numero],"--",0,1)</f>
        <v>4576 7460 3355 1020</v>
      </c>
      <c r="F1350" t="str">
        <f>_xlfn.XLOOKUP(TBL_USUARIOS[[#This Row],[ID_MASSA]],tbl_de_massas[id_massa],tbl_de_massas[nome_completo],"--",0,1)</f>
        <v>Fang Chen Gao</v>
      </c>
      <c r="G1350" s="47">
        <f>_xlfn.XLOOKUP(TBL_USUARIOS[[#This Row],[ID_MASSA]],tbl_de_massas[id_massa],tbl_de_massas[saldo_conta],"--",0,1)</f>
        <v>14987.12</v>
      </c>
      <c r="H1350" t="str">
        <f>_xlfn.XLOOKUP(TBL_USUARIOS[[#This Row],[ID_MASSA]],tbl_de_massas[id_massa],tbl_de_massas[nome_completo],"--",0,1)</f>
        <v>Fang Chen Gao</v>
      </c>
    </row>
    <row r="1351" spans="1:8" x14ac:dyDescent="0.25">
      <c r="A1351" s="2" t="s">
        <v>2906</v>
      </c>
      <c r="B1351" t="str">
        <f>_xlfn.XLOOKUP(TBL_USUARIOS[[#This Row],[ID_MASSA]],tbl_de_massas[id_massa],tbl_de_massas[cpf],"--",0,1)</f>
        <v>57017653343</v>
      </c>
      <c r="C1351" t="s">
        <v>12</v>
      </c>
      <c r="D1351" t="str">
        <f>_xlfn.XLOOKUP(TBL_USUARIOS[[#This Row],[ID_MASSA]],tbl_de_massas[id_massa],tbl_de_massas[nome_completo],"--",0,1)</f>
        <v>Vivian Nascimento Cavalcanti</v>
      </c>
      <c r="E1351" t="str">
        <f>_xlfn.XLOOKUP(TBL_USUARIOS[[#This Row],[ID_MASSA]],tbl_de_massas[id_massa],tbl_de_massas[cartao_fisico_numero],"--",0,1)</f>
        <v>6062 8200 1346 9542</v>
      </c>
      <c r="F1351" t="str">
        <f>_xlfn.XLOOKUP(TBL_USUARIOS[[#This Row],[ID_MASSA]],tbl_de_massas[id_massa],tbl_de_massas[nome_completo],"--",0,1)</f>
        <v>Vivian Nascimento Cavalcanti</v>
      </c>
      <c r="G1351" s="47">
        <f>_xlfn.XLOOKUP(TBL_USUARIOS[[#This Row],[ID_MASSA]],tbl_de_massas[id_massa],tbl_de_massas[saldo_conta],"--",0,1)</f>
        <v>14989.9</v>
      </c>
      <c r="H1351" t="str">
        <f>_xlfn.XLOOKUP(TBL_USUARIOS[[#This Row],[ID_MASSA]],tbl_de_massas[id_massa],tbl_de_massas[nome_completo],"--",0,1)</f>
        <v>Vivian Nascimento Cavalcanti</v>
      </c>
    </row>
    <row r="1352" spans="1:8" x14ac:dyDescent="0.25">
      <c r="A1352" s="2" t="s">
        <v>3975</v>
      </c>
      <c r="B1352" t="str">
        <f>_xlfn.XLOOKUP(TBL_USUARIOS[[#This Row],[ID_MASSA]],tbl_de_massas[id_massa],tbl_de_massas[cpf],"--",0,1)</f>
        <v>43833239107</v>
      </c>
      <c r="C1352" t="s">
        <v>12</v>
      </c>
      <c r="D1352" t="str">
        <f>_xlfn.XLOOKUP(TBL_USUARIOS[[#This Row],[ID_MASSA]],tbl_de_massas[id_massa],tbl_de_massas[nome_completo],"--",0,1)</f>
        <v>Marcos Gomes Freitas</v>
      </c>
      <c r="E1352" t="str">
        <f>_xlfn.XLOOKUP(TBL_USUARIOS[[#This Row],[ID_MASSA]],tbl_de_massas[id_massa],tbl_de_massas[cartao_fisico_numero],"--",0,1)</f>
        <v/>
      </c>
      <c r="F1352" t="str">
        <f>_xlfn.XLOOKUP(TBL_USUARIOS[[#This Row],[ID_MASSA]],tbl_de_massas[id_massa],tbl_de_massas[nome_completo],"--",0,1)</f>
        <v>Marcos Gomes Freitas</v>
      </c>
      <c r="G1352" s="47">
        <f>_xlfn.XLOOKUP(TBL_USUARIOS[[#This Row],[ID_MASSA]],tbl_de_massas[id_massa],tbl_de_massas[saldo_conta],"--",0,1)</f>
        <v>15020.93</v>
      </c>
      <c r="H1352" t="str">
        <f>_xlfn.XLOOKUP(TBL_USUARIOS[[#This Row],[ID_MASSA]],tbl_de_massas[id_massa],tbl_de_massas[nome_completo],"--",0,1)</f>
        <v>Marcos Gomes Freitas</v>
      </c>
    </row>
    <row r="1353" spans="1:8" x14ac:dyDescent="0.25">
      <c r="A1353" s="2" t="s">
        <v>2165</v>
      </c>
      <c r="B1353" s="14" t="str">
        <f>_xlfn.XLOOKUP(TBL_USUARIOS[[#This Row],[ID_MASSA]],tbl_de_massas[id_massa],tbl_de_massas[cpf],"--",0,1)</f>
        <v>92957697327</v>
      </c>
      <c r="C1353" t="s">
        <v>12</v>
      </c>
      <c r="D1353" t="str">
        <f>_xlfn.XLOOKUP(TBL_USUARIOS[[#This Row],[ID_MASSA]],tbl_de_massas[id_massa],tbl_de_massas[nome_completo],"--",0,1)</f>
        <v>Kenji Sato</v>
      </c>
      <c r="E1353" t="str">
        <f>_xlfn.XLOOKUP(TBL_USUARIOS[[#This Row],[ID_MASSA]],tbl_de_massas[id_massa],tbl_de_massas[cartao_fisico_numero],"--",0,1)</f>
        <v>6505 0666 1952 5435</v>
      </c>
      <c r="F1353" t="str">
        <f>_xlfn.XLOOKUP(TBL_USUARIOS[[#This Row],[ID_MASSA]],tbl_de_massas[id_massa],tbl_de_massas[nome_completo],"--",0,1)</f>
        <v>Kenji Sato</v>
      </c>
      <c r="G1353" s="47">
        <f>_xlfn.XLOOKUP(TBL_USUARIOS[[#This Row],[ID_MASSA]],tbl_de_massas[id_massa],tbl_de_massas[saldo_conta],"--",0,1)</f>
        <v>15039.88</v>
      </c>
      <c r="H1353" t="str">
        <f>_xlfn.XLOOKUP(TBL_USUARIOS[[#This Row],[ID_MASSA]],tbl_de_massas[id_massa],tbl_de_massas[nome_completo],"--",0,1)</f>
        <v>Kenji Sato</v>
      </c>
    </row>
    <row r="1354" spans="1:8" x14ac:dyDescent="0.25">
      <c r="A1354" s="2" t="s">
        <v>4033</v>
      </c>
      <c r="B1354" t="str">
        <f>_xlfn.XLOOKUP(TBL_USUARIOS[[#This Row],[ID_MASSA]],tbl_de_massas[id_massa],tbl_de_massas[cpf],"--",0,1)</f>
        <v>39710901508</v>
      </c>
      <c r="C1354" t="s">
        <v>12</v>
      </c>
      <c r="D1354" t="str">
        <f>_xlfn.XLOOKUP(TBL_USUARIOS[[#This Row],[ID_MASSA]],tbl_de_massas[id_massa],tbl_de_massas[nome_completo],"--",0,1)</f>
        <v>Carolina Moreira Monteiro</v>
      </c>
      <c r="E1354" t="str">
        <f>_xlfn.XLOOKUP(TBL_USUARIOS[[#This Row],[ID_MASSA]],tbl_de_massas[id_massa],tbl_de_massas[cartao_fisico_numero],"--",0,1)</f>
        <v/>
      </c>
      <c r="F1354" t="str">
        <f>_xlfn.XLOOKUP(TBL_USUARIOS[[#This Row],[ID_MASSA]],tbl_de_massas[id_massa],tbl_de_massas[nome_completo],"--",0,1)</f>
        <v>Carolina Moreira Monteiro</v>
      </c>
      <c r="G1354" s="47">
        <f>_xlfn.XLOOKUP(TBL_USUARIOS[[#This Row],[ID_MASSA]],tbl_de_massas[id_massa],tbl_de_massas[saldo_conta],"--",0,1)</f>
        <v>15050</v>
      </c>
      <c r="H1354" t="str">
        <f>_xlfn.XLOOKUP(TBL_USUARIOS[[#This Row],[ID_MASSA]],tbl_de_massas[id_massa],tbl_de_massas[nome_completo],"--",0,1)</f>
        <v>Carolina Moreira Monteiro</v>
      </c>
    </row>
    <row r="1355" spans="1:8" x14ac:dyDescent="0.25">
      <c r="A1355" s="2" t="s">
        <v>4898</v>
      </c>
      <c r="B1355" t="str">
        <f>_xlfn.XLOOKUP(TBL_USUARIOS[[#This Row],[ID_MASSA]],tbl_de_massas[id_massa],tbl_de_massas[cpf],"--",0,1)</f>
        <v>35936238547</v>
      </c>
      <c r="C1355" t="s">
        <v>12</v>
      </c>
      <c r="D1355" t="str">
        <f>_xlfn.XLOOKUP(TBL_USUARIOS[[#This Row],[ID_MASSA]],tbl_de_massas[id_massa],tbl_de_massas[nome_completo],"--",0,1)</f>
        <v>Renato Almeida Campos</v>
      </c>
      <c r="E1355" t="str">
        <f>_xlfn.XLOOKUP(TBL_USUARIOS[[#This Row],[ID_MASSA]],tbl_de_massas[id_massa],tbl_de_massas[cartao_fisico_numero],"--",0,1)</f>
        <v/>
      </c>
      <c r="F1355" t="str">
        <f>_xlfn.XLOOKUP(TBL_USUARIOS[[#This Row],[ID_MASSA]],tbl_de_massas[id_massa],tbl_de_massas[nome_completo],"--",0,1)</f>
        <v>Renato Almeida Campos</v>
      </c>
      <c r="G1355" s="47">
        <f>_xlfn.XLOOKUP(TBL_USUARIOS[[#This Row],[ID_MASSA]],tbl_de_massas[id_massa],tbl_de_massas[saldo_conta],"--",0,1)</f>
        <v>15116.37</v>
      </c>
      <c r="H1355" t="str">
        <f>_xlfn.XLOOKUP(TBL_USUARIOS[[#This Row],[ID_MASSA]],tbl_de_massas[id_massa],tbl_de_massas[nome_completo],"--",0,1)</f>
        <v>Renato Almeida Campos</v>
      </c>
    </row>
    <row r="1356" spans="1:8" x14ac:dyDescent="0.25">
      <c r="A1356" s="2" t="s">
        <v>4626</v>
      </c>
      <c r="B1356" t="str">
        <f>_xlfn.XLOOKUP(TBL_USUARIOS[[#This Row],[ID_MASSA]],tbl_de_massas[id_massa],tbl_de_massas[cpf],"--",0,1)</f>
        <v>07943169212</v>
      </c>
      <c r="C1356" t="s">
        <v>12</v>
      </c>
      <c r="D1356" t="str">
        <f>_xlfn.XLOOKUP(TBL_USUARIOS[[#This Row],[ID_MASSA]],tbl_de_massas[id_massa],tbl_de_massas[nome_completo],"--",0,1)</f>
        <v>Rodrigo Freitas Souza</v>
      </c>
      <c r="E1356" t="str">
        <f>_xlfn.XLOOKUP(TBL_USUARIOS[[#This Row],[ID_MASSA]],tbl_de_massas[id_massa],tbl_de_massas[cartao_fisico_numero],"--",0,1)</f>
        <v/>
      </c>
      <c r="F1356" t="str">
        <f>_xlfn.XLOOKUP(TBL_USUARIOS[[#This Row],[ID_MASSA]],tbl_de_massas[id_massa],tbl_de_massas[nome_completo],"--",0,1)</f>
        <v>Rodrigo Freitas Souza</v>
      </c>
      <c r="G1356" s="47">
        <f>_xlfn.XLOOKUP(TBL_USUARIOS[[#This Row],[ID_MASSA]],tbl_de_massas[id_massa],tbl_de_massas[saldo_conta],"--",0,1)</f>
        <v>15128.58</v>
      </c>
      <c r="H1356" t="str">
        <f>_xlfn.XLOOKUP(TBL_USUARIOS[[#This Row],[ID_MASSA]],tbl_de_massas[id_massa],tbl_de_massas[nome_completo],"--",0,1)</f>
        <v>Rodrigo Freitas Souza</v>
      </c>
    </row>
    <row r="1357" spans="1:8" x14ac:dyDescent="0.25">
      <c r="A1357" s="2" t="s">
        <v>6625</v>
      </c>
      <c r="B1357" t="str">
        <f>_xlfn.XLOOKUP(TBL_USUARIOS[[#This Row],[ID_MASSA]],tbl_de_massas[id_massa],tbl_de_massas[cpf],"--",0,1)</f>
        <v>33065057069</v>
      </c>
      <c r="C1357" t="s">
        <v>12</v>
      </c>
      <c r="D1357" t="str">
        <f>_xlfn.XLOOKUP(TBL_USUARIOS[[#This Row],[ID_MASSA]],tbl_de_massas[id_massa],tbl_de_massas[nome_completo],"--",0,1)</f>
        <v>Daiki Yamada</v>
      </c>
      <c r="E1357" t="str">
        <f>_xlfn.XLOOKUP(TBL_USUARIOS[[#This Row],[ID_MASSA]],tbl_de_massas[id_massa],tbl_de_massas[cartao_fisico_numero],"--",0,1)</f>
        <v>5442 7460 7741 1085</v>
      </c>
      <c r="F1357" t="str">
        <f>_xlfn.XLOOKUP(TBL_USUARIOS[[#This Row],[ID_MASSA]],tbl_de_massas[id_massa],tbl_de_massas[nome_completo],"--",0,1)</f>
        <v>Daiki Yamada</v>
      </c>
      <c r="G1357" s="47">
        <f>_xlfn.XLOOKUP(TBL_USUARIOS[[#This Row],[ID_MASSA]],tbl_de_massas[id_massa],tbl_de_massas[saldo_conta],"--",0,1)</f>
        <v>15153.83</v>
      </c>
      <c r="H1357" t="str">
        <f>_xlfn.XLOOKUP(TBL_USUARIOS[[#This Row],[ID_MASSA]],tbl_de_massas[id_massa],tbl_de_massas[nome_completo],"--",0,1)</f>
        <v>Daiki Yamada</v>
      </c>
    </row>
    <row r="1358" spans="1:8" x14ac:dyDescent="0.25">
      <c r="A1358" s="2" t="s">
        <v>4599</v>
      </c>
      <c r="B1358" t="str">
        <f>_xlfn.XLOOKUP(TBL_USUARIOS[[#This Row],[ID_MASSA]],tbl_de_massas[id_massa],tbl_de_massas[cpf],"--",0,1)</f>
        <v>22151564142</v>
      </c>
      <c r="C1358" t="s">
        <v>12</v>
      </c>
      <c r="D1358" t="str">
        <f>_xlfn.XLOOKUP(TBL_USUARIOS[[#This Row],[ID_MASSA]],tbl_de_massas[id_massa],tbl_de_massas[nome_completo],"--",0,1)</f>
        <v>Mariana Santos</v>
      </c>
      <c r="E1358" t="str">
        <f>_xlfn.XLOOKUP(TBL_USUARIOS[[#This Row],[ID_MASSA]],tbl_de_massas[id_massa],tbl_de_massas[cartao_fisico_numero],"--",0,1)</f>
        <v>6505 0666 3909 6818</v>
      </c>
      <c r="F1358" t="str">
        <f>_xlfn.XLOOKUP(TBL_USUARIOS[[#This Row],[ID_MASSA]],tbl_de_massas[id_massa],tbl_de_massas[nome_completo],"--",0,1)</f>
        <v>Mariana Santos</v>
      </c>
      <c r="G1358" s="47">
        <f>_xlfn.XLOOKUP(TBL_USUARIOS[[#This Row],[ID_MASSA]],tbl_de_massas[id_massa],tbl_de_massas[saldo_conta],"--",0,1)</f>
        <v>15203.69</v>
      </c>
      <c r="H1358" t="str">
        <f>_xlfn.XLOOKUP(TBL_USUARIOS[[#This Row],[ID_MASSA]],tbl_de_massas[id_massa],tbl_de_massas[nome_completo],"--",0,1)</f>
        <v>Mariana Santos</v>
      </c>
    </row>
    <row r="1359" spans="1:8" x14ac:dyDescent="0.25">
      <c r="A1359" s="2" t="s">
        <v>6232</v>
      </c>
      <c r="B1359" t="str">
        <f>_xlfn.XLOOKUP(TBL_USUARIOS[[#This Row],[ID_MASSA]],tbl_de_massas[id_massa],tbl_de_massas[cpf],"--",0,1)</f>
        <v>26255415554</v>
      </c>
      <c r="C1359" t="s">
        <v>12</v>
      </c>
      <c r="D1359" t="str">
        <f>_xlfn.XLOOKUP(TBL_USUARIOS[[#This Row],[ID_MASSA]],tbl_de_massas[id_massa],tbl_de_massas[nome_completo],"--",0,1)</f>
        <v>Ava Lewis</v>
      </c>
      <c r="E1359" t="str">
        <f>_xlfn.XLOOKUP(TBL_USUARIOS[[#This Row],[ID_MASSA]],tbl_de_massas[id_massa],tbl_de_massas[cartao_fisico_numero],"--",0,1)</f>
        <v/>
      </c>
      <c r="F1359" t="str">
        <f>_xlfn.XLOOKUP(TBL_USUARIOS[[#This Row],[ID_MASSA]],tbl_de_massas[id_massa],tbl_de_massas[nome_completo],"--",0,1)</f>
        <v>Ava Lewis</v>
      </c>
      <c r="G1359" s="47">
        <f>_xlfn.XLOOKUP(TBL_USUARIOS[[#This Row],[ID_MASSA]],tbl_de_massas[id_massa],tbl_de_massas[saldo_conta],"--",0,1)</f>
        <v>15203.88</v>
      </c>
      <c r="H1359" t="str">
        <f>_xlfn.XLOOKUP(TBL_USUARIOS[[#This Row],[ID_MASSA]],tbl_de_massas[id_massa],tbl_de_massas[nome_completo],"--",0,1)</f>
        <v>Ava Lewis</v>
      </c>
    </row>
    <row r="1360" spans="1:8" x14ac:dyDescent="0.25">
      <c r="A1360" s="2" t="s">
        <v>2291</v>
      </c>
      <c r="B1360" s="14" t="str">
        <f>_xlfn.XLOOKUP(TBL_USUARIOS[[#This Row],[ID_MASSA]],tbl_de_massas[id_massa],tbl_de_massas[cpf],"--",0,1)</f>
        <v>65184684166</v>
      </c>
      <c r="C1360" t="s">
        <v>12</v>
      </c>
      <c r="D1360" t="str">
        <f>_xlfn.XLOOKUP(TBL_USUARIOS[[#This Row],[ID_MASSA]],tbl_de_massas[id_massa],tbl_de_massas[nome_completo],"--",0,1)</f>
        <v>Anceline Gauthier</v>
      </c>
      <c r="E1360" t="str">
        <f>_xlfn.XLOOKUP(TBL_USUARIOS[[#This Row],[ID_MASSA]],tbl_de_massas[id_massa],tbl_de_massas[cartao_fisico_numero],"--",0,1)</f>
        <v>5442 7460 4947 8021</v>
      </c>
      <c r="F1360" t="str">
        <f>_xlfn.XLOOKUP(TBL_USUARIOS[[#This Row],[ID_MASSA]],tbl_de_massas[id_massa],tbl_de_massas[nome_completo],"--",0,1)</f>
        <v>Anceline Gauthier</v>
      </c>
      <c r="G1360" s="47">
        <f>_xlfn.XLOOKUP(TBL_USUARIOS[[#This Row],[ID_MASSA]],tbl_de_massas[id_massa],tbl_de_massas[saldo_conta],"--",0,1)</f>
        <v>16268.18</v>
      </c>
      <c r="H1360" t="str">
        <f>_xlfn.XLOOKUP(TBL_USUARIOS[[#This Row],[ID_MASSA]],tbl_de_massas[id_massa],tbl_de_massas[nome_completo],"--",0,1)</f>
        <v>Anceline Gauthier</v>
      </c>
    </row>
    <row r="1361" spans="1:8" x14ac:dyDescent="0.25">
      <c r="A1361" s="2" t="s">
        <v>4041</v>
      </c>
      <c r="B1361" t="str">
        <f>_xlfn.XLOOKUP(TBL_USUARIOS[[#This Row],[ID_MASSA]],tbl_de_massas[id_massa],tbl_de_massas[cpf],"--",0,1)</f>
        <v>59059437535</v>
      </c>
      <c r="C1361" t="s">
        <v>12</v>
      </c>
      <c r="D1361" t="str">
        <f>_xlfn.XLOOKUP(TBL_USUARIOS[[#This Row],[ID_MASSA]],tbl_de_massas[id_massa],tbl_de_massas[nome_completo],"--",0,1)</f>
        <v>Camila Barbosa Carvalho</v>
      </c>
      <c r="E1361" t="str">
        <f>_xlfn.XLOOKUP(TBL_USUARIOS[[#This Row],[ID_MASSA]],tbl_de_massas[id_massa],tbl_de_massas[cartao_fisico_numero],"--",0,1)</f>
        <v>3782 949344 1737</v>
      </c>
      <c r="F1361" t="str">
        <f>_xlfn.XLOOKUP(TBL_USUARIOS[[#This Row],[ID_MASSA]],tbl_de_massas[id_massa],tbl_de_massas[nome_completo],"--",0,1)</f>
        <v>Camila Barbosa Carvalho</v>
      </c>
      <c r="G1361" s="47">
        <f>_xlfn.XLOOKUP(TBL_USUARIOS[[#This Row],[ID_MASSA]],tbl_de_massas[id_massa],tbl_de_massas[saldo_conta],"--",0,1)</f>
        <v>15214.62</v>
      </c>
      <c r="H1361" t="str">
        <f>_xlfn.XLOOKUP(TBL_USUARIOS[[#This Row],[ID_MASSA]],tbl_de_massas[id_massa],tbl_de_massas[nome_completo],"--",0,1)</f>
        <v>Camila Barbosa Carvalho</v>
      </c>
    </row>
    <row r="1362" spans="1:8" x14ac:dyDescent="0.25">
      <c r="A1362" s="2" t="s">
        <v>3700</v>
      </c>
      <c r="B1362" t="str">
        <f>_xlfn.XLOOKUP(TBL_USUARIOS[[#This Row],[ID_MASSA]],tbl_de_massas[id_massa],tbl_de_massas[cpf],"--",0,1)</f>
        <v>17758906273</v>
      </c>
      <c r="C1362" t="s">
        <v>12</v>
      </c>
      <c r="D1362" t="str">
        <f>_xlfn.XLOOKUP(TBL_USUARIOS[[#This Row],[ID_MASSA]],tbl_de_massas[id_massa],tbl_de_massas[nome_completo],"--",0,1)</f>
        <v>Caio Rocha Araujo</v>
      </c>
      <c r="E1362" t="str">
        <f>_xlfn.XLOOKUP(TBL_USUARIOS[[#This Row],[ID_MASSA]],tbl_de_massas[id_massa],tbl_de_massas[cartao_fisico_numero],"--",0,1)</f>
        <v/>
      </c>
      <c r="F1362" t="str">
        <f>_xlfn.XLOOKUP(TBL_USUARIOS[[#This Row],[ID_MASSA]],tbl_de_massas[id_massa],tbl_de_massas[nome_completo],"--",0,1)</f>
        <v>Caio Rocha Araujo</v>
      </c>
      <c r="G1362" s="47">
        <f>_xlfn.XLOOKUP(TBL_USUARIOS[[#This Row],[ID_MASSA]],tbl_de_massas[id_massa],tbl_de_massas[saldo_conta],"--",0,1)</f>
        <v>15215.99</v>
      </c>
      <c r="H1362" t="str">
        <f>_xlfn.XLOOKUP(TBL_USUARIOS[[#This Row],[ID_MASSA]],tbl_de_massas[id_massa],tbl_de_massas[nome_completo],"--",0,1)</f>
        <v>Caio Rocha Araujo</v>
      </c>
    </row>
    <row r="1363" spans="1:8" x14ac:dyDescent="0.25">
      <c r="A1363" s="2" t="s">
        <v>2582</v>
      </c>
      <c r="B1363" s="14" t="str">
        <f>_xlfn.XLOOKUP(TBL_USUARIOS[[#This Row],[ID_MASSA]],tbl_de_massas[id_massa],tbl_de_massas[cpf],"--",0,1)</f>
        <v>38120843410</v>
      </c>
      <c r="C1363" t="s">
        <v>12</v>
      </c>
      <c r="D1363" t="str">
        <f>_xlfn.XLOOKUP(TBL_USUARIOS[[#This Row],[ID_MASSA]],tbl_de_massas[id_massa],tbl_de_massas[nome_completo],"--",0,1)</f>
        <v>Lukas Schqwneider</v>
      </c>
      <c r="E1363" t="str">
        <f>_xlfn.XLOOKUP(TBL_USUARIOS[[#This Row],[ID_MASSA]],tbl_de_massas[id_massa],tbl_de_massas[cartao_fisico_numero],"--",0,1)</f>
        <v>6505 0666 2524 1753</v>
      </c>
      <c r="F1363" t="str">
        <f>_xlfn.XLOOKUP(TBL_USUARIOS[[#This Row],[ID_MASSA]],tbl_de_massas[id_massa],tbl_de_massas[nome_completo],"--",0,1)</f>
        <v>Lukas Schqwneider</v>
      </c>
      <c r="G1363" s="47">
        <f>_xlfn.XLOOKUP(TBL_USUARIOS[[#This Row],[ID_MASSA]],tbl_de_massas[id_massa],tbl_de_massas[saldo_conta],"--",0,1)</f>
        <v>15220.9</v>
      </c>
      <c r="H1363" t="str">
        <f>_xlfn.XLOOKUP(TBL_USUARIOS[[#This Row],[ID_MASSA]],tbl_de_massas[id_massa],tbl_de_massas[nome_completo],"--",0,1)</f>
        <v>Lukas Schqwneider</v>
      </c>
    </row>
    <row r="1364" spans="1:8" x14ac:dyDescent="0.25">
      <c r="A1364" s="2" t="s">
        <v>5182</v>
      </c>
      <c r="B1364" t="str">
        <f>_xlfn.XLOOKUP(TBL_USUARIOS[[#This Row],[ID_MASSA]],tbl_de_massas[id_massa],tbl_de_massas[cpf],"--",0,1)</f>
        <v>60507823770</v>
      </c>
      <c r="C1364" t="s">
        <v>12</v>
      </c>
      <c r="D1364" t="str">
        <f>_xlfn.XLOOKUP(TBL_USUARIOS[[#This Row],[ID_MASSA]],tbl_de_massas[id_massa],tbl_de_massas[nome_completo],"--",0,1)</f>
        <v>Vivian Gomes Cardoso</v>
      </c>
      <c r="E1364" t="str">
        <f>_xlfn.XLOOKUP(TBL_USUARIOS[[#This Row],[ID_MASSA]],tbl_de_massas[id_massa],tbl_de_massas[cartao_fisico_numero],"--",0,1)</f>
        <v>5442 7460 2007 1024</v>
      </c>
      <c r="F1364" t="str">
        <f>_xlfn.XLOOKUP(TBL_USUARIOS[[#This Row],[ID_MASSA]],tbl_de_massas[id_massa],tbl_de_massas[nome_completo],"--",0,1)</f>
        <v>Vivian Gomes Cardoso</v>
      </c>
      <c r="G1364" s="47">
        <f>_xlfn.XLOOKUP(TBL_USUARIOS[[#This Row],[ID_MASSA]],tbl_de_massas[id_massa],tbl_de_massas[saldo_conta],"--",0,1)</f>
        <v>15261.14</v>
      </c>
      <c r="H1364" t="str">
        <f>_xlfn.XLOOKUP(TBL_USUARIOS[[#This Row],[ID_MASSA]],tbl_de_massas[id_massa],tbl_de_massas[nome_completo],"--",0,1)</f>
        <v>Vivian Gomes Cardoso</v>
      </c>
    </row>
    <row r="1365" spans="1:8" x14ac:dyDescent="0.25">
      <c r="A1365" s="2" t="s">
        <v>6697</v>
      </c>
      <c r="B1365" t="str">
        <f>_xlfn.XLOOKUP(TBL_USUARIOS[[#This Row],[ID_MASSA]],tbl_de_massas[id_massa],tbl_de_massas[cpf],"--",0,1)</f>
        <v>03185334728</v>
      </c>
      <c r="C1365" t="s">
        <v>12</v>
      </c>
      <c r="D1365" t="str">
        <f>_xlfn.XLOOKUP(TBL_USUARIOS[[#This Row],[ID_MASSA]],tbl_de_massas[id_massa],tbl_de_massas[nome_completo],"--",0,1)</f>
        <v>Minjun Jung</v>
      </c>
      <c r="E1365" t="str">
        <f>_xlfn.XLOOKUP(TBL_USUARIOS[[#This Row],[ID_MASSA]],tbl_de_massas[id_massa],tbl_de_massas[cartao_fisico_numero],"--",0,1)</f>
        <v/>
      </c>
      <c r="F1365" t="str">
        <f>_xlfn.XLOOKUP(TBL_USUARIOS[[#This Row],[ID_MASSA]],tbl_de_massas[id_massa],tbl_de_massas[nome_completo],"--",0,1)</f>
        <v>Minjun Jung</v>
      </c>
      <c r="G1365" s="47">
        <f>_xlfn.XLOOKUP(TBL_USUARIOS[[#This Row],[ID_MASSA]],tbl_de_massas[id_massa],tbl_de_massas[saldo_conta],"--",0,1)</f>
        <v>15056.43</v>
      </c>
      <c r="H1365" t="str">
        <f>_xlfn.XLOOKUP(TBL_USUARIOS[[#This Row],[ID_MASSA]],tbl_de_massas[id_massa],tbl_de_massas[nome_completo],"--",0,1)</f>
        <v>Minjun Jung</v>
      </c>
    </row>
    <row r="1366" spans="1:8" x14ac:dyDescent="0.25">
      <c r="A1366" s="2" t="s">
        <v>5342</v>
      </c>
      <c r="B1366" t="str">
        <f>_xlfn.XLOOKUP(TBL_USUARIOS[[#This Row],[ID_MASSA]],tbl_de_massas[id_massa],tbl_de_massas[cpf],"--",0,1)</f>
        <v>97124435668</v>
      </c>
      <c r="C1366" t="s">
        <v>12</v>
      </c>
      <c r="D1366" t="str">
        <f>_xlfn.XLOOKUP(TBL_USUARIOS[[#This Row],[ID_MASSA]],tbl_de_massas[id_massa],tbl_de_massas[nome_completo],"--",0,1)</f>
        <v>Isabela Rodrigues</v>
      </c>
      <c r="E1366" t="str">
        <f>_xlfn.XLOOKUP(TBL_USUARIOS[[#This Row],[ID_MASSA]],tbl_de_massas[id_massa],tbl_de_massas[cartao_fisico_numero],"--",0,1)</f>
        <v>6505 0666 7016 1314</v>
      </c>
      <c r="F1366" t="str">
        <f>_xlfn.XLOOKUP(TBL_USUARIOS[[#This Row],[ID_MASSA]],tbl_de_massas[id_massa],tbl_de_massas[nome_completo],"--",0,1)</f>
        <v>Isabela Rodrigues</v>
      </c>
      <c r="G1366" s="47">
        <f>_xlfn.XLOOKUP(TBL_USUARIOS[[#This Row],[ID_MASSA]],tbl_de_massas[id_massa],tbl_de_massas[saldo_conta],"--",0,1)</f>
        <v>15275.49</v>
      </c>
      <c r="H1366" t="str">
        <f>_xlfn.XLOOKUP(TBL_USUARIOS[[#This Row],[ID_MASSA]],tbl_de_massas[id_massa],tbl_de_massas[nome_completo],"--",0,1)</f>
        <v>Isabela Rodrigues</v>
      </c>
    </row>
    <row r="1367" spans="1:8" x14ac:dyDescent="0.25">
      <c r="A1367" s="2" t="s">
        <v>6537</v>
      </c>
      <c r="B1367" t="str">
        <f>_xlfn.XLOOKUP(TBL_USUARIOS[[#This Row],[ID_MASSA]],tbl_de_massas[id_massa],tbl_de_massas[cpf],"--",0,1)</f>
        <v>61960703803</v>
      </c>
      <c r="C1367" t="s">
        <v>12</v>
      </c>
      <c r="D1367" t="str">
        <f>_xlfn.XLOOKUP(TBL_USUARIOS[[#This Row],[ID_MASSA]],tbl_de_massas[id_massa],tbl_de_massas[nome_completo],"--",0,1)</f>
        <v>Min Wu</v>
      </c>
      <c r="E1367" t="str">
        <f>_xlfn.XLOOKUP(TBL_USUARIOS[[#This Row],[ID_MASSA]],tbl_de_massas[id_massa],tbl_de_massas[cartao_fisico_numero],"--",0,1)</f>
        <v>3782 780824 8189</v>
      </c>
      <c r="F1367" t="str">
        <f>_xlfn.XLOOKUP(TBL_USUARIOS[[#This Row],[ID_MASSA]],tbl_de_massas[id_massa],tbl_de_massas[nome_completo],"--",0,1)</f>
        <v>Min Wu</v>
      </c>
      <c r="G1367" s="47">
        <f>_xlfn.XLOOKUP(TBL_USUARIOS[[#This Row],[ID_MASSA]],tbl_de_massas[id_massa],tbl_de_massas[saldo_conta],"--",0,1)</f>
        <v>15286.88</v>
      </c>
      <c r="H1367" t="str">
        <f>_xlfn.XLOOKUP(TBL_USUARIOS[[#This Row],[ID_MASSA]],tbl_de_massas[id_massa],tbl_de_massas[nome_completo],"--",0,1)</f>
        <v>Min Wu</v>
      </c>
    </row>
    <row r="1368" spans="1:8" x14ac:dyDescent="0.25">
      <c r="A1368" s="2" t="s">
        <v>6007</v>
      </c>
      <c r="B1368" t="str">
        <f>_xlfn.XLOOKUP(TBL_USUARIOS[[#This Row],[ID_MASSA]],tbl_de_massas[id_massa],tbl_de_massas[cpf],"--",0,1)</f>
        <v>03265071758</v>
      </c>
      <c r="C1368" t="s">
        <v>12</v>
      </c>
      <c r="D1368" t="str">
        <f>_xlfn.XLOOKUP(TBL_USUARIOS[[#This Row],[ID_MASSA]],tbl_de_massas[id_massa],tbl_de_massas[nome_completo],"--",0,1)</f>
        <v>Andre Nunes</v>
      </c>
      <c r="E1368" t="str">
        <f>_xlfn.XLOOKUP(TBL_USUARIOS[[#This Row],[ID_MASSA]],tbl_de_massas[id_massa],tbl_de_massas[cartao_fisico_numero],"--",0,1)</f>
        <v>6062 8200 4064 0292</v>
      </c>
      <c r="F1368" t="str">
        <f>_xlfn.XLOOKUP(TBL_USUARIOS[[#This Row],[ID_MASSA]],tbl_de_massas[id_massa],tbl_de_massas[nome_completo],"--",0,1)</f>
        <v>Andre Nunes</v>
      </c>
      <c r="G1368" s="47">
        <f>_xlfn.XLOOKUP(TBL_USUARIOS[[#This Row],[ID_MASSA]],tbl_de_massas[id_massa],tbl_de_massas[saldo_conta],"--",0,1)</f>
        <v>15306.25</v>
      </c>
      <c r="H1368" t="str">
        <f>_xlfn.XLOOKUP(TBL_USUARIOS[[#This Row],[ID_MASSA]],tbl_de_massas[id_massa],tbl_de_massas[nome_completo],"--",0,1)</f>
        <v>Andre Nunes</v>
      </c>
    </row>
    <row r="1369" spans="1:8" x14ac:dyDescent="0.25">
      <c r="A1369" s="2" t="s">
        <v>6344</v>
      </c>
      <c r="B1369" t="str">
        <f>_xlfn.XLOOKUP(TBL_USUARIOS[[#This Row],[ID_MASSA]],tbl_de_massas[id_massa],tbl_de_massas[cpf],"--",0,1)</f>
        <v>77049944254</v>
      </c>
      <c r="C1369" t="s">
        <v>12</v>
      </c>
      <c r="D1369" t="str">
        <f>_xlfn.XLOOKUP(TBL_USUARIOS[[#This Row],[ID_MASSA]],tbl_de_massas[id_massa],tbl_de_massas[nome_completo],"--",0,1)</f>
        <v>Ava Young Jackson</v>
      </c>
      <c r="E1369" t="str">
        <f>_xlfn.XLOOKUP(TBL_USUARIOS[[#This Row],[ID_MASSA]],tbl_de_massas[id_massa],tbl_de_massas[cartao_fisico_numero],"--",0,1)</f>
        <v>6505 0666 4439 9086</v>
      </c>
      <c r="F1369" t="str">
        <f>_xlfn.XLOOKUP(TBL_USUARIOS[[#This Row],[ID_MASSA]],tbl_de_massas[id_massa],tbl_de_massas[nome_completo],"--",0,1)</f>
        <v>Ava Young Jackson</v>
      </c>
      <c r="G1369" s="47">
        <f>_xlfn.XLOOKUP(TBL_USUARIOS[[#This Row],[ID_MASSA]],tbl_de_massas[id_massa],tbl_de_massas[saldo_conta],"--",0,1)</f>
        <v>15317.84</v>
      </c>
      <c r="H1369" t="str">
        <f>_xlfn.XLOOKUP(TBL_USUARIOS[[#This Row],[ID_MASSA]],tbl_de_massas[id_massa],tbl_de_massas[nome_completo],"--",0,1)</f>
        <v>Ava Young Jackson</v>
      </c>
    </row>
    <row r="1370" spans="1:8" x14ac:dyDescent="0.25">
      <c r="A1370" s="2" t="s">
        <v>5826</v>
      </c>
      <c r="B1370" t="str">
        <f>_xlfn.XLOOKUP(TBL_USUARIOS[[#This Row],[ID_MASSA]],tbl_de_massas[id_massa],tbl_de_massas[cpf],"--",0,1)</f>
        <v>81572247053</v>
      </c>
      <c r="C1370" t="s">
        <v>12</v>
      </c>
      <c r="D1370" t="str">
        <f>_xlfn.XLOOKUP(TBL_USUARIOS[[#This Row],[ID_MASSA]],tbl_de_massas[id_massa],tbl_de_massas[nome_completo],"--",0,1)</f>
        <v>Bianca Moreira Freitas</v>
      </c>
      <c r="E1370" t="str">
        <f>_xlfn.XLOOKUP(TBL_USUARIOS[[#This Row],[ID_MASSA]],tbl_de_massas[id_massa],tbl_de_massas[cartao_fisico_numero],"--",0,1)</f>
        <v>6062 8200 5349 6929</v>
      </c>
      <c r="F1370" t="str">
        <f>_xlfn.XLOOKUP(TBL_USUARIOS[[#This Row],[ID_MASSA]],tbl_de_massas[id_massa],tbl_de_massas[nome_completo],"--",0,1)</f>
        <v>Bianca Moreira Freitas</v>
      </c>
      <c r="G1370" s="47">
        <f>_xlfn.XLOOKUP(TBL_USUARIOS[[#This Row],[ID_MASSA]],tbl_de_massas[id_massa],tbl_de_massas[saldo_conta],"--",0,1)</f>
        <v>15328.48</v>
      </c>
      <c r="H1370" t="str">
        <f>_xlfn.XLOOKUP(TBL_USUARIOS[[#This Row],[ID_MASSA]],tbl_de_massas[id_massa],tbl_de_massas[nome_completo],"--",0,1)</f>
        <v>Bianca Moreira Freitas</v>
      </c>
    </row>
    <row r="1371" spans="1:8" x14ac:dyDescent="0.25">
      <c r="A1371" s="2" t="s">
        <v>2640</v>
      </c>
      <c r="B1371" s="14" t="str">
        <f>_xlfn.XLOOKUP(TBL_USUARIOS[[#This Row],[ID_MASSA]],tbl_de_massas[id_massa],tbl_de_massas[cpf],"--",0,1)</f>
        <v>49864548972</v>
      </c>
      <c r="C1371" t="s">
        <v>12</v>
      </c>
      <c r="D1371" t="str">
        <f>_xlfn.XLOOKUP(TBL_USUARIOS[[#This Row],[ID_MASSA]],tbl_de_massas[id_massa],tbl_de_massas[nome_completo],"--",0,1)</f>
        <v>Joon wJeong</v>
      </c>
      <c r="E1371" t="str">
        <f>_xlfn.XLOOKUP(TBL_USUARIOS[[#This Row],[ID_MASSA]],tbl_de_massas[id_massa],tbl_de_massas[cartao_fisico_numero],"--",0,1)</f>
        <v>6062 8200 5997 3900</v>
      </c>
      <c r="F1371" t="str">
        <f>_xlfn.XLOOKUP(TBL_USUARIOS[[#This Row],[ID_MASSA]],tbl_de_massas[id_massa],tbl_de_massas[nome_completo],"--",0,1)</f>
        <v>Joon wJeong</v>
      </c>
      <c r="G1371" s="47">
        <f>_xlfn.XLOOKUP(TBL_USUARIOS[[#This Row],[ID_MASSA]],tbl_de_massas[id_massa],tbl_de_massas[saldo_conta],"--",0,1)</f>
        <v>15358.95</v>
      </c>
      <c r="H1371" t="str">
        <f>_xlfn.XLOOKUP(TBL_USUARIOS[[#This Row],[ID_MASSA]],tbl_de_massas[id_massa],tbl_de_massas[nome_completo],"--",0,1)</f>
        <v>Joon wJeong</v>
      </c>
    </row>
    <row r="1372" spans="1:8" x14ac:dyDescent="0.25">
      <c r="A1372" s="2" t="s">
        <v>2551</v>
      </c>
      <c r="B1372" s="14" t="str">
        <f>_xlfn.XLOOKUP(TBL_USUARIOS[[#This Row],[ID_MASSA]],tbl_de_massas[id_massa],tbl_de_massas[cpf],"--",0,1)</f>
        <v>08554650344</v>
      </c>
      <c r="C1372" t="s">
        <v>12</v>
      </c>
      <c r="D1372" t="str">
        <f>_xlfn.XLOOKUP(TBL_USUARIOS[[#This Row],[ID_MASSA]],tbl_de_massas[id_massa],tbl_de_massas[nome_completo],"--",0,1)</f>
        <v>William Robert Miller tr</v>
      </c>
      <c r="E1372" t="str">
        <f>_xlfn.XLOOKUP(TBL_USUARIOS[[#This Row],[ID_MASSA]],tbl_de_massas[id_massa],tbl_de_massas[cartao_fisico_numero],"--",0,1)</f>
        <v>6505 0666 6891 8089</v>
      </c>
      <c r="F1372" t="str">
        <f>_xlfn.XLOOKUP(TBL_USUARIOS[[#This Row],[ID_MASSA]],tbl_de_massas[id_massa],tbl_de_massas[nome_completo],"--",0,1)</f>
        <v>William Robert Miller tr</v>
      </c>
      <c r="G1372" s="47">
        <f>_xlfn.XLOOKUP(TBL_USUARIOS[[#This Row],[ID_MASSA]],tbl_de_massas[id_massa],tbl_de_massas[saldo_conta],"--",0,1)</f>
        <v>15365.46</v>
      </c>
      <c r="H1372" t="str">
        <f>_xlfn.XLOOKUP(TBL_USUARIOS[[#This Row],[ID_MASSA]],tbl_de_massas[id_massa],tbl_de_massas[nome_completo],"--",0,1)</f>
        <v>William Robert Miller tr</v>
      </c>
    </row>
    <row r="1373" spans="1:8" x14ac:dyDescent="0.25">
      <c r="A1373" s="2" t="s">
        <v>4491</v>
      </c>
      <c r="B1373" t="str">
        <f>_xlfn.XLOOKUP(TBL_USUARIOS[[#This Row],[ID_MASSA]],tbl_de_massas[id_massa],tbl_de_massas[cpf],"--",0,1)</f>
        <v>49145433895</v>
      </c>
      <c r="C1373" t="s">
        <v>12</v>
      </c>
      <c r="D1373" t="str">
        <f>_xlfn.XLOOKUP(TBL_USUARIOS[[#This Row],[ID_MASSA]],tbl_de_massas[id_massa],tbl_de_massas[nome_completo],"--",0,1)</f>
        <v>Gabriela Castro Cardoso</v>
      </c>
      <c r="E1373" t="str">
        <f>_xlfn.XLOOKUP(TBL_USUARIOS[[#This Row],[ID_MASSA]],tbl_de_massas[id_massa],tbl_de_massas[cartao_fisico_numero],"--",0,1)</f>
        <v/>
      </c>
      <c r="F1373" t="str">
        <f>_xlfn.XLOOKUP(TBL_USUARIOS[[#This Row],[ID_MASSA]],tbl_de_massas[id_massa],tbl_de_massas[nome_completo],"--",0,1)</f>
        <v>Gabriela Castro Cardoso</v>
      </c>
      <c r="G1373" s="47">
        <f>_xlfn.XLOOKUP(TBL_USUARIOS[[#This Row],[ID_MASSA]],tbl_de_massas[id_massa],tbl_de_massas[saldo_conta],"--",0,1)</f>
        <v>15372.78</v>
      </c>
      <c r="H1373" t="str">
        <f>_xlfn.XLOOKUP(TBL_USUARIOS[[#This Row],[ID_MASSA]],tbl_de_massas[id_massa],tbl_de_massas[nome_completo],"--",0,1)</f>
        <v>Gabriela Castro Cardoso</v>
      </c>
    </row>
    <row r="1374" spans="1:8" x14ac:dyDescent="0.25">
      <c r="A1374" s="2" t="s">
        <v>6209</v>
      </c>
      <c r="B1374" t="str">
        <f>_xlfn.XLOOKUP(TBL_USUARIOS[[#This Row],[ID_MASSA]],tbl_de_massas[id_massa],tbl_de_massas[cpf],"--",0,1)</f>
        <v>92819654452</v>
      </c>
      <c r="C1374" t="s">
        <v>12</v>
      </c>
      <c r="D1374" t="str">
        <f>_xlfn.XLOOKUP(TBL_USUARIOS[[#This Row],[ID_MASSA]],tbl_de_massas[id_massa],tbl_de_massas[nome_completo],"--",0,1)</f>
        <v>Daniel Wilson</v>
      </c>
      <c r="E1374" t="str">
        <f>_xlfn.XLOOKUP(TBL_USUARIOS[[#This Row],[ID_MASSA]],tbl_de_massas[id_massa],tbl_de_massas[cartao_fisico_numero],"--",0,1)</f>
        <v>6505 0666 8491 2875</v>
      </c>
      <c r="F1374" t="str">
        <f>_xlfn.XLOOKUP(TBL_USUARIOS[[#This Row],[ID_MASSA]],tbl_de_massas[id_massa],tbl_de_massas[nome_completo],"--",0,1)</f>
        <v>Daniel Wilson</v>
      </c>
      <c r="G1374" s="47">
        <f>_xlfn.XLOOKUP(TBL_USUARIOS[[#This Row],[ID_MASSA]],tbl_de_massas[id_massa],tbl_de_massas[saldo_conta],"--",0,1)</f>
        <v>15384.94</v>
      </c>
      <c r="H1374" t="str">
        <f>_xlfn.XLOOKUP(TBL_USUARIOS[[#This Row],[ID_MASSA]],tbl_de_massas[id_massa],tbl_de_massas[nome_completo],"--",0,1)</f>
        <v>Daniel Wilson</v>
      </c>
    </row>
    <row r="1375" spans="1:8" x14ac:dyDescent="0.25">
      <c r="A1375" s="2" t="s">
        <v>5387</v>
      </c>
      <c r="B1375" t="str">
        <f>_xlfn.XLOOKUP(TBL_USUARIOS[[#This Row],[ID_MASSA]],tbl_de_massas[id_massa],tbl_de_massas[cpf],"--",0,1)</f>
        <v>77812218856</v>
      </c>
      <c r="C1375" t="s">
        <v>12</v>
      </c>
      <c r="D1375" t="str">
        <f>_xlfn.XLOOKUP(TBL_USUARIOS[[#This Row],[ID_MASSA]],tbl_de_massas[id_massa],tbl_de_massas[nome_completo],"--",0,1)</f>
        <v>Rodrigo Alves</v>
      </c>
      <c r="E1375" t="str">
        <f>_xlfn.XLOOKUP(TBL_USUARIOS[[#This Row],[ID_MASSA]],tbl_de_massas[id_massa],tbl_de_massas[cartao_fisico_numero],"--",0,1)</f>
        <v/>
      </c>
      <c r="F1375" t="str">
        <f>_xlfn.XLOOKUP(TBL_USUARIOS[[#This Row],[ID_MASSA]],tbl_de_massas[id_massa],tbl_de_massas[nome_completo],"--",0,1)</f>
        <v>Rodrigo Alves</v>
      </c>
      <c r="G1375" s="47">
        <f>_xlfn.XLOOKUP(TBL_USUARIOS[[#This Row],[ID_MASSA]],tbl_de_massas[id_massa],tbl_de_massas[saldo_conta],"--",0,1)</f>
        <v>15418.05</v>
      </c>
      <c r="H1375" t="str">
        <f>_xlfn.XLOOKUP(TBL_USUARIOS[[#This Row],[ID_MASSA]],tbl_de_massas[id_massa],tbl_de_massas[nome_completo],"--",0,1)</f>
        <v>Rodrigo Alves</v>
      </c>
    </row>
    <row r="1376" spans="1:8" x14ac:dyDescent="0.25">
      <c r="A1376" s="2" t="s">
        <v>2655</v>
      </c>
      <c r="B1376" t="str">
        <f>_xlfn.XLOOKUP(TBL_USUARIOS[[#This Row],[ID_MASSA]],tbl_de_massas[id_massa],tbl_de_massas[cpf],"--",0,1)</f>
        <v>22963721471</v>
      </c>
      <c r="C1376" t="s">
        <v>12</v>
      </c>
      <c r="D1376" t="str">
        <f>_xlfn.XLOOKUP(TBL_USUARIOS[[#This Row],[ID_MASSA]],tbl_de_massas[id_massa],tbl_de_massas[nome_completo],"--",0,1)</f>
        <v>Joaquin Gosnzalez</v>
      </c>
      <c r="E1376" t="str">
        <f>_xlfn.XLOOKUP(TBL_USUARIOS[[#This Row],[ID_MASSA]],tbl_de_massas[id_massa],tbl_de_massas[cartao_fisico_numero],"--",0,1)</f>
        <v/>
      </c>
      <c r="F1376" t="str">
        <f>_xlfn.XLOOKUP(TBL_USUARIOS[[#This Row],[ID_MASSA]],tbl_de_massas[id_massa],tbl_de_massas[nome_completo],"--",0,1)</f>
        <v>Joaquin Gosnzalez</v>
      </c>
      <c r="G1376" s="47">
        <f>_xlfn.XLOOKUP(TBL_USUARIOS[[#This Row],[ID_MASSA]],tbl_de_massas[id_massa],tbl_de_massas[saldo_conta],"--",0,1)</f>
        <v>15421.47</v>
      </c>
      <c r="H1376" t="str">
        <f>_xlfn.XLOOKUP(TBL_USUARIOS[[#This Row],[ID_MASSA]],tbl_de_massas[id_massa],tbl_de_massas[nome_completo],"--",0,1)</f>
        <v>Joaquin Gosnzalez</v>
      </c>
    </row>
    <row r="1377" spans="1:8" x14ac:dyDescent="0.25">
      <c r="A1377" s="2" t="s">
        <v>5960</v>
      </c>
      <c r="B1377" t="str">
        <f>_xlfn.XLOOKUP(TBL_USUARIOS[[#This Row],[ID_MASSA]],tbl_de_massas[id_massa],tbl_de_massas[cpf],"--",0,1)</f>
        <v>22542799555</v>
      </c>
      <c r="C1377" t="s">
        <v>12</v>
      </c>
      <c r="D1377" t="str">
        <f>_xlfn.XLOOKUP(TBL_USUARIOS[[#This Row],[ID_MASSA]],tbl_de_massas[id_massa],tbl_de_massas[nome_completo],"--",0,1)</f>
        <v>Carolina Cardoso Pereira</v>
      </c>
      <c r="E1377" t="str">
        <f>_xlfn.XLOOKUP(TBL_USUARIOS[[#This Row],[ID_MASSA]],tbl_de_massas[id_massa],tbl_de_massas[cartao_fisico_numero],"--",0,1)</f>
        <v>4576 7460 7190 4119</v>
      </c>
      <c r="F1377" t="str">
        <f>_xlfn.XLOOKUP(TBL_USUARIOS[[#This Row],[ID_MASSA]],tbl_de_massas[id_massa],tbl_de_massas[nome_completo],"--",0,1)</f>
        <v>Carolina Cardoso Pereira</v>
      </c>
      <c r="G1377" s="47">
        <f>_xlfn.XLOOKUP(TBL_USUARIOS[[#This Row],[ID_MASSA]],tbl_de_massas[id_massa],tbl_de_massas[saldo_conta],"--",0,1)</f>
        <v>15432.15</v>
      </c>
      <c r="H1377" t="str">
        <f>_xlfn.XLOOKUP(TBL_USUARIOS[[#This Row],[ID_MASSA]],tbl_de_massas[id_massa],tbl_de_massas[nome_completo],"--",0,1)</f>
        <v>Carolina Cardoso Pereira</v>
      </c>
    </row>
    <row r="1378" spans="1:8" x14ac:dyDescent="0.25">
      <c r="A1378" s="2" t="s">
        <v>3517</v>
      </c>
      <c r="B1378" t="str">
        <f>_xlfn.XLOOKUP(TBL_USUARIOS[[#This Row],[ID_MASSA]],tbl_de_massas[id_massa],tbl_de_massas[cpf],"--",0,1)</f>
        <v>78737235770</v>
      </c>
      <c r="C1378" t="s">
        <v>12</v>
      </c>
      <c r="D1378" t="str">
        <f>_xlfn.XLOOKUP(TBL_USUARIOS[[#This Row],[ID_MASSA]],tbl_de_massas[id_massa],tbl_de_massas[nome_completo],"--",0,1)</f>
        <v>Guilherme Silva Oliveira</v>
      </c>
      <c r="E1378" t="str">
        <f>_xlfn.XLOOKUP(TBL_USUARIOS[[#This Row],[ID_MASSA]],tbl_de_massas[id_massa],tbl_de_massas[cartao_fisico_numero],"--",0,1)</f>
        <v>4576 7460 1459 8894</v>
      </c>
      <c r="F1378" t="str">
        <f>_xlfn.XLOOKUP(TBL_USUARIOS[[#This Row],[ID_MASSA]],tbl_de_massas[id_massa],tbl_de_massas[nome_completo],"--",0,1)</f>
        <v>Guilherme Silva Oliveira</v>
      </c>
      <c r="G1378" s="47">
        <f>_xlfn.XLOOKUP(TBL_USUARIOS[[#This Row],[ID_MASSA]],tbl_de_massas[id_massa],tbl_de_massas[saldo_conta],"--",0,1)</f>
        <v>15436.12</v>
      </c>
      <c r="H1378" t="str">
        <f>_xlfn.XLOOKUP(TBL_USUARIOS[[#This Row],[ID_MASSA]],tbl_de_massas[id_massa],tbl_de_massas[nome_completo],"--",0,1)</f>
        <v>Guilherme Silva Oliveira</v>
      </c>
    </row>
    <row r="1379" spans="1:8" x14ac:dyDescent="0.25">
      <c r="A1379" s="2" t="s">
        <v>3682</v>
      </c>
      <c r="B1379" t="str">
        <f>_xlfn.XLOOKUP(TBL_USUARIOS[[#This Row],[ID_MASSA]],tbl_de_massas[id_massa],tbl_de_massas[cpf],"--",0,1)</f>
        <v>72395319538</v>
      </c>
      <c r="C1379" t="s">
        <v>12</v>
      </c>
      <c r="D1379" t="str">
        <f>_xlfn.XLOOKUP(TBL_USUARIOS[[#This Row],[ID_MASSA]],tbl_de_massas[id_massa],tbl_de_massas[nome_completo],"--",0,1)</f>
        <v>Leticia Alves</v>
      </c>
      <c r="E1379" t="str">
        <f>_xlfn.XLOOKUP(TBL_USUARIOS[[#This Row],[ID_MASSA]],tbl_de_massas[id_massa],tbl_de_massas[cartao_fisico_numero],"--",0,1)</f>
        <v/>
      </c>
      <c r="F1379" t="str">
        <f>_xlfn.XLOOKUP(TBL_USUARIOS[[#This Row],[ID_MASSA]],tbl_de_massas[id_massa],tbl_de_massas[nome_completo],"--",0,1)</f>
        <v>Leticia Alves</v>
      </c>
      <c r="G1379" s="47">
        <f>_xlfn.XLOOKUP(TBL_USUARIOS[[#This Row],[ID_MASSA]],tbl_de_massas[id_massa],tbl_de_massas[saldo_conta],"--",0,1)</f>
        <v>15483.83</v>
      </c>
      <c r="H1379" t="str">
        <f>_xlfn.XLOOKUP(TBL_USUARIOS[[#This Row],[ID_MASSA]],tbl_de_massas[id_massa],tbl_de_massas[nome_completo],"--",0,1)</f>
        <v>Leticia Alves</v>
      </c>
    </row>
    <row r="1380" spans="1:8" x14ac:dyDescent="0.25">
      <c r="A1380" s="2" t="s">
        <v>2598</v>
      </c>
      <c r="B1380" s="14" t="str">
        <f>_xlfn.XLOOKUP(TBL_USUARIOS[[#This Row],[ID_MASSA]],tbl_de_massas[id_massa],tbl_de_massas[cpf],"--",0,1)</f>
        <v>30493526048</v>
      </c>
      <c r="C1380" t="s">
        <v>12</v>
      </c>
      <c r="D1380" t="str">
        <f>_xlfn.XLOOKUP(TBL_USUARIOS[[#This Row],[ID_MASSA]],tbl_de_massas[id_massa],tbl_de_massas[nome_completo],"--",0,1)</f>
        <v>Ines Oliuveira</v>
      </c>
      <c r="E1380" t="str">
        <f>_xlfn.XLOOKUP(TBL_USUARIOS[[#This Row],[ID_MASSA]],tbl_de_massas[id_massa],tbl_de_massas[cartao_fisico_numero],"--",0,1)</f>
        <v>6505 0666 1412 1323</v>
      </c>
      <c r="F1380" t="str">
        <f>_xlfn.XLOOKUP(TBL_USUARIOS[[#This Row],[ID_MASSA]],tbl_de_massas[id_massa],tbl_de_massas[nome_completo],"--",0,1)</f>
        <v>Ines Oliuveira</v>
      </c>
      <c r="G1380" s="47">
        <f>_xlfn.XLOOKUP(TBL_USUARIOS[[#This Row],[ID_MASSA]],tbl_de_massas[id_massa],tbl_de_massas[saldo_conta],"--",0,1)</f>
        <v>15485.59</v>
      </c>
      <c r="H1380" t="str">
        <f>_xlfn.XLOOKUP(TBL_USUARIOS[[#This Row],[ID_MASSA]],tbl_de_massas[id_massa],tbl_de_massas[nome_completo],"--",0,1)</f>
        <v>Ines Oliuveira</v>
      </c>
    </row>
    <row r="1381" spans="1:8" x14ac:dyDescent="0.25">
      <c r="A1381" s="2" t="s">
        <v>2502</v>
      </c>
      <c r="B1381" s="14" t="str">
        <f>_xlfn.XLOOKUP(TBL_USUARIOS[[#This Row],[ID_MASSA]],tbl_de_massas[id_massa],tbl_de_massas[cpf],"--",0,1)</f>
        <v>79424163800</v>
      </c>
      <c r="C1381" t="s">
        <v>12</v>
      </c>
      <c r="D1381" t="str">
        <f>_xlfn.XLOOKUP(TBL_USUARIOS[[#This Row],[ID_MASSA]],tbl_de_massas[id_massa],tbl_de_massas[nome_completo],"--",0,1)</f>
        <v>Seoyun Lee</v>
      </c>
      <c r="E1381" t="str">
        <f>_xlfn.XLOOKUP(TBL_USUARIOS[[#This Row],[ID_MASSA]],tbl_de_massas[id_massa],tbl_de_massas[cartao_fisico_numero],"--",0,1)</f>
        <v>6505 0666 8807 1750</v>
      </c>
      <c r="F1381" t="str">
        <f>_xlfn.XLOOKUP(TBL_USUARIOS[[#This Row],[ID_MASSA]],tbl_de_massas[id_massa],tbl_de_massas[nome_completo],"--",0,1)</f>
        <v>Seoyun Lee</v>
      </c>
      <c r="G1381" s="47">
        <f>_xlfn.XLOOKUP(TBL_USUARIOS[[#This Row],[ID_MASSA]],tbl_de_massas[id_massa],tbl_de_massas[saldo_conta],"--",0,1)</f>
        <v>15488.15</v>
      </c>
      <c r="H1381" t="str">
        <f>_xlfn.XLOOKUP(TBL_USUARIOS[[#This Row],[ID_MASSA]],tbl_de_massas[id_massa],tbl_de_massas[nome_completo],"--",0,1)</f>
        <v>Seoyun Lee</v>
      </c>
    </row>
    <row r="1382" spans="1:8" x14ac:dyDescent="0.25">
      <c r="A1382" s="2" t="s">
        <v>2332</v>
      </c>
      <c r="B1382" s="14" t="str">
        <f>_xlfn.XLOOKUP(TBL_USUARIOS[[#This Row],[ID_MASSA]],tbl_de_massas[id_massa],tbl_de_massas[cpf],"--",0,1)</f>
        <v>68141495240</v>
      </c>
      <c r="C1382" t="s">
        <v>12</v>
      </c>
      <c r="D1382" t="str">
        <f>_xlfn.XLOOKUP(TBL_USUARIOS[[#This Row],[ID_MASSA]],tbl_de_massas[id_massa],tbl_de_massas[nome_completo],"--",0,1)</f>
        <v>Lucas Gabriel Ferreira</v>
      </c>
      <c r="E1382" t="str">
        <f>_xlfn.XLOOKUP(TBL_USUARIOS[[#This Row],[ID_MASSA]],tbl_de_massas[id_massa],tbl_de_massas[cartao_fisico_numero],"--",0,1)</f>
        <v>6505 0666 1745 4082</v>
      </c>
      <c r="F1382" t="str">
        <f>_xlfn.XLOOKUP(TBL_USUARIOS[[#This Row],[ID_MASSA]],tbl_de_massas[id_massa],tbl_de_massas[nome_completo],"--",0,1)</f>
        <v>Lucas Gabriel Ferreira</v>
      </c>
      <c r="G1382" s="47">
        <f>_xlfn.XLOOKUP(TBL_USUARIOS[[#This Row],[ID_MASSA]],tbl_de_massas[id_massa],tbl_de_massas[saldo_conta],"--",0,1)</f>
        <v>16194.68</v>
      </c>
      <c r="H1382" t="str">
        <f>_xlfn.XLOOKUP(TBL_USUARIOS[[#This Row],[ID_MASSA]],tbl_de_massas[id_massa],tbl_de_massas[nome_completo],"--",0,1)</f>
        <v>Lucas Gabriel Ferreira</v>
      </c>
    </row>
    <row r="1383" spans="1:8" x14ac:dyDescent="0.25">
      <c r="A1383" s="2" t="s">
        <v>617</v>
      </c>
      <c r="B1383" s="14" t="str">
        <f>_xlfn.XLOOKUP(TBL_USUARIOS[[#This Row],[ID_MASSA]],tbl_de_massas[id_massa],tbl_de_massas[cpf],"--",0,1)</f>
        <v>24930613945</v>
      </c>
      <c r="C1383" t="s">
        <v>12</v>
      </c>
      <c r="D1383" t="str">
        <f>_xlfn.XLOOKUP(TBL_USUARIOS[[#This Row],[ID_MASSA]],tbl_de_massas[id_massa],tbl_de_massas[nome_completo],"--",0,1)</f>
        <v>Lane Larkin</v>
      </c>
      <c r="E1383" t="str">
        <f>_xlfn.XLOOKUP(TBL_USUARIOS[[#This Row],[ID_MASSA]],tbl_de_massas[id_massa],tbl_de_massas[cartao_fisico_numero],"--",0,1)</f>
        <v>5442 7460 3631 2648</v>
      </c>
      <c r="F1383" t="str">
        <f>_xlfn.XLOOKUP(TBL_USUARIOS[[#This Row],[ID_MASSA]],tbl_de_massas[id_massa],tbl_de_massas[nome_completo],"--",0,1)</f>
        <v>Lane Larkin</v>
      </c>
      <c r="G1383" s="47">
        <f>_xlfn.XLOOKUP(TBL_USUARIOS[[#This Row],[ID_MASSA]],tbl_de_massas[id_massa],tbl_de_massas[saldo_conta],"--",0,1)</f>
        <v>17000</v>
      </c>
      <c r="H1383" t="str">
        <f>_xlfn.XLOOKUP(TBL_USUARIOS[[#This Row],[ID_MASSA]],tbl_de_massas[id_massa],tbl_de_massas[nome_completo],"--",0,1)</f>
        <v>Lane Larkin</v>
      </c>
    </row>
    <row r="1384" spans="1:8" x14ac:dyDescent="0.25">
      <c r="A1384" s="2" t="s">
        <v>2292</v>
      </c>
      <c r="B1384" s="14" t="str">
        <f>_xlfn.XLOOKUP(TBL_USUARIOS[[#This Row],[ID_MASSA]],tbl_de_massas[id_massa],tbl_de_massas[cpf],"--",0,1)</f>
        <v>28818393472</v>
      </c>
      <c r="C1384" t="s">
        <v>12</v>
      </c>
      <c r="D1384" t="str">
        <f>_xlfn.XLOOKUP(TBL_USUARIOS[[#This Row],[ID_MASSA]],tbl_de_massas[id_massa],tbl_de_massas[nome_completo],"--",0,1)</f>
        <v>Émile Clement</v>
      </c>
      <c r="E1384" t="str">
        <f>_xlfn.XLOOKUP(TBL_USUARIOS[[#This Row],[ID_MASSA]],tbl_de_massas[id_massa],tbl_de_massas[cartao_fisico_numero],"--",0,1)</f>
        <v>5442 7460 1737 5584</v>
      </c>
      <c r="F1384" t="str">
        <f>_xlfn.XLOOKUP(TBL_USUARIOS[[#This Row],[ID_MASSA]],tbl_de_massas[id_massa],tbl_de_massas[nome_completo],"--",0,1)</f>
        <v>Émile Clement</v>
      </c>
      <c r="G1384" s="47">
        <f>_xlfn.XLOOKUP(TBL_USUARIOS[[#This Row],[ID_MASSA]],tbl_de_massas[id_massa],tbl_de_massas[saldo_conta],"--",0,1)</f>
        <v>17000</v>
      </c>
      <c r="H1384" t="str">
        <f>_xlfn.XLOOKUP(TBL_USUARIOS[[#This Row],[ID_MASSA]],tbl_de_massas[id_massa],tbl_de_massas[nome_completo],"--",0,1)</f>
        <v>Émile Clement</v>
      </c>
    </row>
    <row r="1385" spans="1:8" x14ac:dyDescent="0.25">
      <c r="A1385" s="2" t="s">
        <v>2196</v>
      </c>
      <c r="B1385" s="14" t="str">
        <f>_xlfn.XLOOKUP(TBL_USUARIOS[[#This Row],[ID_MASSA]],tbl_de_massas[id_massa],tbl_de_massas[cpf],"--",0,1)</f>
        <v>11004395108</v>
      </c>
      <c r="C1385" t="s">
        <v>12</v>
      </c>
      <c r="D1385" t="str">
        <f>_xlfn.XLOOKUP(TBL_USUARIOS[[#This Row],[ID_MASSA]],tbl_de_massas[id_massa],tbl_de_massas[nome_completo],"--",0,1)</f>
        <v>Youssef Al-Otaibi</v>
      </c>
      <c r="E1385" t="str">
        <f>_xlfn.XLOOKUP(TBL_USUARIOS[[#This Row],[ID_MASSA]],tbl_de_massas[id_massa],tbl_de_massas[cartao_fisico_numero],"--",0,1)</f>
        <v>3782 392688 5764</v>
      </c>
      <c r="F1385" t="str">
        <f>_xlfn.XLOOKUP(TBL_USUARIOS[[#This Row],[ID_MASSA]],tbl_de_massas[id_massa],tbl_de_massas[nome_completo],"--",0,1)</f>
        <v>Youssef Al-Otaibi</v>
      </c>
      <c r="G1385" s="47">
        <f>_xlfn.XLOOKUP(TBL_USUARIOS[[#This Row],[ID_MASSA]],tbl_de_massas[id_massa],tbl_de_massas[saldo_conta],"--",0,1)</f>
        <v>17117.240000000002</v>
      </c>
      <c r="H1385" t="str">
        <f>_xlfn.XLOOKUP(TBL_USUARIOS[[#This Row],[ID_MASSA]],tbl_de_massas[id_massa],tbl_de_massas[nome_completo],"--",0,1)</f>
        <v>Youssef Al-Otaibi</v>
      </c>
    </row>
    <row r="1386" spans="1:8" x14ac:dyDescent="0.25">
      <c r="A1386" s="2" t="s">
        <v>2310</v>
      </c>
      <c r="B1386" s="14" t="str">
        <f>_xlfn.XLOOKUP(TBL_USUARIOS[[#This Row],[ID_MASSA]],tbl_de_massas[id_massa],tbl_de_massas[cpf],"--",0,1)</f>
        <v>48318883543</v>
      </c>
      <c r="C1386" t="s">
        <v>12</v>
      </c>
      <c r="D1386" t="str">
        <f>_xlfn.XLOOKUP(TBL_USUARIOS[[#This Row],[ID_MASSA]],tbl_de_massas[id_massa],tbl_de_massas[nome_completo],"--",0,1)</f>
        <v>Claude Garcia</v>
      </c>
      <c r="E1386" t="str">
        <f>_xlfn.XLOOKUP(TBL_USUARIOS[[#This Row],[ID_MASSA]],tbl_de_massas[id_massa],tbl_de_massas[cartao_fisico_numero],"--",0,1)</f>
        <v>5442 7460 1607 2003</v>
      </c>
      <c r="F1386" t="str">
        <f>_xlfn.XLOOKUP(TBL_USUARIOS[[#This Row],[ID_MASSA]],tbl_de_massas[id_massa],tbl_de_massas[nome_completo],"--",0,1)</f>
        <v>Claude Garcia</v>
      </c>
      <c r="G1386" s="47">
        <f>_xlfn.XLOOKUP(TBL_USUARIOS[[#This Row],[ID_MASSA]],tbl_de_massas[id_massa],tbl_de_massas[saldo_conta],"--",0,1)</f>
        <v>19019.169999999998</v>
      </c>
      <c r="H1386" t="str">
        <f>_xlfn.XLOOKUP(TBL_USUARIOS[[#This Row],[ID_MASSA]],tbl_de_massas[id_massa],tbl_de_massas[nome_completo],"--",0,1)</f>
        <v>Claude Garcia</v>
      </c>
    </row>
    <row r="1387" spans="1:8" x14ac:dyDescent="0.25">
      <c r="A1387" s="2" t="s">
        <v>2146</v>
      </c>
      <c r="B1387" s="14" t="str">
        <f>_xlfn.XLOOKUP(TBL_USUARIOS[[#This Row],[ID_MASSA]],tbl_de_massas[id_massa],tbl_de_massas[cpf],"--",0,1)</f>
        <v>12558823280</v>
      </c>
      <c r="C1387" t="s">
        <v>12</v>
      </c>
      <c r="D1387" t="str">
        <f>_xlfn.XLOOKUP(TBL_USUARIOS[[#This Row],[ID_MASSA]],tbl_de_massas[id_massa],tbl_de_massas[nome_completo],"--",0,1)</f>
        <v>Tariq Al-Mansoor</v>
      </c>
      <c r="E1387" t="str">
        <f>_xlfn.XLOOKUP(TBL_USUARIOS[[#This Row],[ID_MASSA]],tbl_de_massas[id_massa],tbl_de_massas[cartao_fisico_numero],"--",0,1)</f>
        <v>4576 7460 7292 2294</v>
      </c>
      <c r="F1387" t="str">
        <f>_xlfn.XLOOKUP(TBL_USUARIOS[[#This Row],[ID_MASSA]],tbl_de_massas[id_massa],tbl_de_massas[nome_completo],"--",0,1)</f>
        <v>Tariq Al-Mansoor</v>
      </c>
      <c r="G1387" s="47">
        <f>_xlfn.XLOOKUP(TBL_USUARIOS[[#This Row],[ID_MASSA]],tbl_de_massas[id_massa],tbl_de_massas[saldo_conta],"--",0,1)</f>
        <v>17431.89</v>
      </c>
      <c r="H1387" t="str">
        <f>_xlfn.XLOOKUP(TBL_USUARIOS[[#This Row],[ID_MASSA]],tbl_de_massas[id_massa],tbl_de_massas[nome_completo],"--",0,1)</f>
        <v>Tariq Al-Mansoor</v>
      </c>
    </row>
    <row r="1388" spans="1:8" x14ac:dyDescent="0.25">
      <c r="A1388" s="2" t="s">
        <v>2342</v>
      </c>
      <c r="B1388" s="14" t="str">
        <f>_xlfn.XLOOKUP(TBL_USUARIOS[[#This Row],[ID_MASSA]],tbl_de_massas[id_massa],tbl_de_massas[cpf],"--",0,1)</f>
        <v>98215828507</v>
      </c>
      <c r="C1388" t="s">
        <v>12</v>
      </c>
      <c r="D1388" t="str">
        <f>_xlfn.XLOOKUP(TBL_USUARIOS[[#This Row],[ID_MASSA]],tbl_de_massas[id_massa],tbl_de_massas[nome_completo],"--",0,1)</f>
        <v>Noura Al-Saud</v>
      </c>
      <c r="E1388" t="str">
        <f>_xlfn.XLOOKUP(TBL_USUARIOS[[#This Row],[ID_MASSA]],tbl_de_massas[id_massa],tbl_de_massas[cartao_fisico_numero],"--",0,1)</f>
        <v>4576 7460 9102 4721</v>
      </c>
      <c r="F1388" t="str">
        <f>_xlfn.XLOOKUP(TBL_USUARIOS[[#This Row],[ID_MASSA]],tbl_de_massas[id_massa],tbl_de_massas[nome_completo],"--",0,1)</f>
        <v>Noura Al-Saud</v>
      </c>
      <c r="G1388" s="47">
        <f>_xlfn.XLOOKUP(TBL_USUARIOS[[#This Row],[ID_MASSA]],tbl_de_massas[id_massa],tbl_de_massas[saldo_conta],"--",0,1)</f>
        <v>18182.27</v>
      </c>
      <c r="H1388" t="str">
        <f>_xlfn.XLOOKUP(TBL_USUARIOS[[#This Row],[ID_MASSA]],tbl_de_massas[id_massa],tbl_de_massas[nome_completo],"--",0,1)</f>
        <v>Noura Al-Saud</v>
      </c>
    </row>
    <row r="1389" spans="1:8" x14ac:dyDescent="0.25">
      <c r="A1389" s="2" t="s">
        <v>2331</v>
      </c>
      <c r="B1389" s="14" t="str">
        <f>_xlfn.XLOOKUP(TBL_USUARIOS[[#This Row],[ID_MASSA]],tbl_de_massas[id_massa],tbl_de_massas[cpf],"--",0,1)</f>
        <v>42194343806</v>
      </c>
      <c r="C1389" t="s">
        <v>12</v>
      </c>
      <c r="D1389" t="str">
        <f>_xlfn.XLOOKUP(TBL_USUARIOS[[#This Row],[ID_MASSA]],tbl_de_massas[id_massa],tbl_de_massas[nome_completo],"--",0,1)</f>
        <v>Bruno Henrique Alves</v>
      </c>
      <c r="E1389" t="str">
        <f>_xlfn.XLOOKUP(TBL_USUARIOS[[#This Row],[ID_MASSA]],tbl_de_massas[id_massa],tbl_de_massas[cartao_fisico_numero],"--",0,1)</f>
        <v>4576 7460 4934 6097</v>
      </c>
      <c r="F1389" t="str">
        <f>_xlfn.XLOOKUP(TBL_USUARIOS[[#This Row],[ID_MASSA]],tbl_de_massas[id_massa],tbl_de_massas[nome_completo],"--",0,1)</f>
        <v>Bruno Henrique Alves</v>
      </c>
      <c r="G1389" s="47">
        <f>_xlfn.XLOOKUP(TBL_USUARIOS[[#This Row],[ID_MASSA]],tbl_de_massas[id_massa],tbl_de_massas[saldo_conta],"--",0,1)</f>
        <v>21247.14</v>
      </c>
      <c r="H1389" t="str">
        <f>_xlfn.XLOOKUP(TBL_USUARIOS[[#This Row],[ID_MASSA]],tbl_de_massas[id_massa],tbl_de_massas[nome_completo],"--",0,1)</f>
        <v>Bruno Henrique Alves</v>
      </c>
    </row>
    <row r="1390" spans="1:8" x14ac:dyDescent="0.25">
      <c r="A1390" s="2" t="s">
        <v>2323</v>
      </c>
      <c r="B1390" s="14" t="str">
        <f>_xlfn.XLOOKUP(TBL_USUARIOS[[#This Row],[ID_MASSA]],tbl_de_massas[id_massa],tbl_de_massas[cpf],"--",0,1)</f>
        <v>78475680046</v>
      </c>
      <c r="C1390" t="s">
        <v>12</v>
      </c>
      <c r="D1390" t="str">
        <f>_xlfn.XLOOKUP(TBL_USUARIOS[[#This Row],[ID_MASSA]],tbl_de_massas[id_massa],tbl_de_massas[nome_completo],"--",0,1)</f>
        <v>Rodrigo Mendes Oliveira</v>
      </c>
      <c r="E1390" t="str">
        <f>_xlfn.XLOOKUP(TBL_USUARIOS[[#This Row],[ID_MASSA]],tbl_de_massas[id_massa],tbl_de_massas[cartao_fisico_numero],"--",0,1)</f>
        <v>5442 7460 6201 6839</v>
      </c>
      <c r="F1390" t="str">
        <f>_xlfn.XLOOKUP(TBL_USUARIOS[[#This Row],[ID_MASSA]],tbl_de_massas[id_massa],tbl_de_massas[nome_completo],"--",0,1)</f>
        <v>Rodrigo Mendes Oliveira</v>
      </c>
      <c r="G1390" s="47">
        <f>_xlfn.XLOOKUP(TBL_USUARIOS[[#This Row],[ID_MASSA]],tbl_de_massas[id_massa],tbl_de_massas[saldo_conta],"--",0,1)</f>
        <v>22343.37</v>
      </c>
      <c r="H1390" t="str">
        <f>_xlfn.XLOOKUP(TBL_USUARIOS[[#This Row],[ID_MASSA]],tbl_de_massas[id_massa],tbl_de_massas[nome_completo],"--",0,1)</f>
        <v>Rodrigo Mendes Oliveira</v>
      </c>
    </row>
    <row r="1391" spans="1:8" x14ac:dyDescent="0.25">
      <c r="A1391" s="2" t="s">
        <v>2289</v>
      </c>
      <c r="B1391" s="14" t="str">
        <f>_xlfn.XLOOKUP(TBL_USUARIOS[[#This Row],[ID_MASSA]],tbl_de_massas[id_massa],tbl_de_massas[cpf],"--",0,1)</f>
        <v>77551164685</v>
      </c>
      <c r="C1391" t="s">
        <v>12</v>
      </c>
      <c r="D1391" t="str">
        <f>_xlfn.XLOOKUP(TBL_USUARIOS[[#This Row],[ID_MASSA]],tbl_de_massas[id_massa],tbl_de_massas[nome_completo],"--",0,1)</f>
        <v>Jeannel Aubry</v>
      </c>
      <c r="E1391" t="str">
        <f>_xlfn.XLOOKUP(TBL_USUARIOS[[#This Row],[ID_MASSA]],tbl_de_massas[id_massa],tbl_de_massas[cartao_fisico_numero],"--",0,1)</f>
        <v>5442 7460 1068 2788</v>
      </c>
      <c r="F1391" t="str">
        <f>_xlfn.XLOOKUP(TBL_USUARIOS[[#This Row],[ID_MASSA]],tbl_de_massas[id_massa],tbl_de_massas[nome_completo],"--",0,1)</f>
        <v>Jeannel Aubry</v>
      </c>
      <c r="G1391" s="47">
        <f>_xlfn.XLOOKUP(TBL_USUARIOS[[#This Row],[ID_MASSA]],tbl_de_massas[id_massa],tbl_de_massas[saldo_conta],"--",0,1)</f>
        <v>22465.41</v>
      </c>
      <c r="H1391" t="str">
        <f>_xlfn.XLOOKUP(TBL_USUARIOS[[#This Row],[ID_MASSA]],tbl_de_massas[id_massa],tbl_de_massas[nome_completo],"--",0,1)</f>
        <v>Jeannel Aubry</v>
      </c>
    </row>
    <row r="1392" spans="1:8" x14ac:dyDescent="0.25">
      <c r="A1392" s="2" t="s">
        <v>2283</v>
      </c>
      <c r="B1392" s="14" t="str">
        <f>_xlfn.XLOOKUP(TBL_USUARIOS[[#This Row],[ID_MASSA]],tbl_de_massas[id_massa],tbl_de_massas[cpf],"--",0,1)</f>
        <v>44794065574</v>
      </c>
      <c r="C1392" t="s">
        <v>12</v>
      </c>
      <c r="D1392" t="str">
        <f>_xlfn.XLOOKUP(TBL_USUARIOS[[#This Row],[ID_MASSA]],tbl_de_massas[id_massa],tbl_de_massas[nome_completo],"--",0,1)</f>
        <v>Achaire Schmitt</v>
      </c>
      <c r="E1392" t="str">
        <f>_xlfn.XLOOKUP(TBL_USUARIOS[[#This Row],[ID_MASSA]],tbl_de_massas[id_massa],tbl_de_massas[cartao_fisico_numero],"--",0,1)</f>
        <v>5442 7460 4040 2844</v>
      </c>
      <c r="F1392" t="str">
        <f>_xlfn.XLOOKUP(TBL_USUARIOS[[#This Row],[ID_MASSA]],tbl_de_massas[id_massa],tbl_de_massas[nome_completo],"--",0,1)</f>
        <v>Achaire Schmitt</v>
      </c>
      <c r="G1392" s="47">
        <f>_xlfn.XLOOKUP(TBL_USUARIOS[[#This Row],[ID_MASSA]],tbl_de_massas[id_massa],tbl_de_massas[saldo_conta],"--",0,1)</f>
        <v>23910</v>
      </c>
      <c r="H1392" t="str">
        <f>_xlfn.XLOOKUP(TBL_USUARIOS[[#This Row],[ID_MASSA]],tbl_de_massas[id_massa],tbl_de_massas[nome_completo],"--",0,1)</f>
        <v>Achaire Schmitt</v>
      </c>
    </row>
    <row r="1393" spans="1:8" x14ac:dyDescent="0.25">
      <c r="A1393" s="2" t="s">
        <v>2321</v>
      </c>
      <c r="B1393" s="14" t="str">
        <f>_xlfn.XLOOKUP(TBL_USUARIOS[[#This Row],[ID_MASSA]],tbl_de_massas[id_massa],tbl_de_massas[cpf],"--",0,1)</f>
        <v>66655544433</v>
      </c>
      <c r="C1393" t="s">
        <v>12</v>
      </c>
      <c r="D1393" t="str">
        <f>_xlfn.XLOOKUP(TBL_USUARIOS[[#This Row],[ID_MASSA]],tbl_de_massas[id_massa],tbl_de_massas[nome_completo],"--",0,1)</f>
        <v>Cliente Amex Vip</v>
      </c>
      <c r="E1393" t="str">
        <f>_xlfn.XLOOKUP(TBL_USUARIOS[[#This Row],[ID_MASSA]],tbl_de_massas[id_massa],tbl_de_massas[cartao_fisico_numero],"--",0,1)</f>
        <v>3782 123456 78901</v>
      </c>
      <c r="F1393" t="str">
        <f>_xlfn.XLOOKUP(TBL_USUARIOS[[#This Row],[ID_MASSA]],tbl_de_massas[id_massa],tbl_de_massas[nome_completo],"--",0,1)</f>
        <v>Cliente Amex Vip</v>
      </c>
      <c r="G1393" s="47">
        <f>_xlfn.XLOOKUP(TBL_USUARIOS[[#This Row],[ID_MASSA]],tbl_de_massas[id_massa],tbl_de_massas[saldo_conta],"--",0,1)</f>
        <v>25000</v>
      </c>
      <c r="H1393" t="str">
        <f>_xlfn.XLOOKUP(TBL_USUARIOS[[#This Row],[ID_MASSA]],tbl_de_massas[id_massa],tbl_de_massas[nome_completo],"--",0,1)</f>
        <v>Cliente Amex Vip</v>
      </c>
    </row>
    <row r="1394" spans="1:8" x14ac:dyDescent="0.25">
      <c r="A1394" s="2" t="s">
        <v>24</v>
      </c>
      <c r="B1394" s="14" t="str">
        <f>_xlfn.XLOOKUP(TBL_USUARIOS[[#This Row],[ID_MASSA]],tbl_de_massas[id_massa],tbl_de_massas[cpf],"--",0,1)</f>
        <v>20250513611</v>
      </c>
      <c r="C1394" t="s">
        <v>12</v>
      </c>
      <c r="D1394" t="str">
        <f>_xlfn.XLOOKUP(TBL_USUARIOS[[#This Row],[ID_MASSA]],tbl_de_massas[id_massa],tbl_de_massas[nome_completo],"--",0,1)</f>
        <v>Karla Melo</v>
      </c>
      <c r="E1394" t="str">
        <f>_xlfn.XLOOKUP(TBL_USUARIOS[[#This Row],[ID_MASSA]],tbl_de_massas[id_massa],tbl_de_massas[cartao_fisico_numero],"--",0,1)</f>
        <v>5442 7460 6785 5678</v>
      </c>
      <c r="F1394" t="str">
        <f>_xlfn.XLOOKUP(TBL_USUARIOS[[#This Row],[ID_MASSA]],tbl_de_massas[id_massa],tbl_de_massas[nome_completo],"--",0,1)</f>
        <v>Karla Melo</v>
      </c>
      <c r="G1394" s="47">
        <f>_xlfn.XLOOKUP(TBL_USUARIOS[[#This Row],[ID_MASSA]],tbl_de_massas[id_massa],tbl_de_massas[saldo_conta],"--",0,1)</f>
        <v>30841.52</v>
      </c>
      <c r="H1394" t="str">
        <f>_xlfn.XLOOKUP(TBL_USUARIOS[[#This Row],[ID_MASSA]],tbl_de_massas[id_massa],tbl_de_massas[nome_completo],"--",0,1)</f>
        <v>Karla Melo</v>
      </c>
    </row>
    <row r="1395" spans="1:8" x14ac:dyDescent="0.25">
      <c r="A1395" s="2" t="s">
        <v>2307</v>
      </c>
      <c r="B1395" s="14" t="str">
        <f>_xlfn.XLOOKUP(TBL_USUARIOS[[#This Row],[ID_MASSA]],tbl_de_massas[id_massa],tbl_de_massas[cpf],"--",0,1)</f>
        <v>76671725950</v>
      </c>
      <c r="C1395" t="s">
        <v>12</v>
      </c>
      <c r="D1395" t="str">
        <f>_xlfn.XLOOKUP(TBL_USUARIOS[[#This Row],[ID_MASSA]],tbl_de_massas[id_massa],tbl_de_massas[nome_completo],"--",0,1)</f>
        <v>Raymonde Bernard</v>
      </c>
      <c r="E1395" t="str">
        <f>_xlfn.XLOOKUP(TBL_USUARIOS[[#This Row],[ID_MASSA]],tbl_de_massas[id_massa],tbl_de_massas[cartao_fisico_numero],"--",0,1)</f>
        <v>5442 7460 6274 1188</v>
      </c>
      <c r="F1395" t="str">
        <f>_xlfn.XLOOKUP(TBL_USUARIOS[[#This Row],[ID_MASSA]],tbl_de_massas[id_massa],tbl_de_massas[nome_completo],"--",0,1)</f>
        <v>Raymonde Bernard</v>
      </c>
      <c r="G1395" s="47">
        <f>_xlfn.XLOOKUP(TBL_USUARIOS[[#This Row],[ID_MASSA]],tbl_de_massas[id_massa],tbl_de_massas[saldo_conta],"--",0,1)</f>
        <v>27000</v>
      </c>
      <c r="H1395" t="str">
        <f>_xlfn.XLOOKUP(TBL_USUARIOS[[#This Row],[ID_MASSA]],tbl_de_massas[id_massa],tbl_de_massas[nome_completo],"--",0,1)</f>
        <v>Raymonde Bernard</v>
      </c>
    </row>
    <row r="1396" spans="1:8" x14ac:dyDescent="0.25">
      <c r="A1396" s="2" t="s">
        <v>2303</v>
      </c>
      <c r="B1396" s="14" t="str">
        <f>_xlfn.XLOOKUP(TBL_USUARIOS[[#This Row],[ID_MASSA]],tbl_de_massas[id_massa],tbl_de_massas[cpf],"--",0,1)</f>
        <v>85246671844</v>
      </c>
      <c r="C1396" t="s">
        <v>12</v>
      </c>
      <c r="D1396" t="str">
        <f>_xlfn.XLOOKUP(TBL_USUARIOS[[#This Row],[ID_MASSA]],tbl_de_massas[id_massa],tbl_de_massas[nome_completo],"--",0,1)</f>
        <v>Falba David</v>
      </c>
      <c r="E1396" t="str">
        <f>_xlfn.XLOOKUP(TBL_USUARIOS[[#This Row],[ID_MASSA]],tbl_de_massas[id_massa],tbl_de_massas[cartao_fisico_numero],"--",0,1)</f>
        <v>5442 7460 2333 1185</v>
      </c>
      <c r="F1396" t="str">
        <f>_xlfn.XLOOKUP(TBL_USUARIOS[[#This Row],[ID_MASSA]],tbl_de_massas[id_massa],tbl_de_massas[nome_completo],"--",0,1)</f>
        <v>Falba David</v>
      </c>
      <c r="G1396" s="47">
        <f>_xlfn.XLOOKUP(TBL_USUARIOS[[#This Row],[ID_MASSA]],tbl_de_massas[id_massa],tbl_de_massas[saldo_conta],"--",0,1)</f>
        <v>27106.48</v>
      </c>
      <c r="H1396" t="str">
        <f>_xlfn.XLOOKUP(TBL_USUARIOS[[#This Row],[ID_MASSA]],tbl_de_massas[id_massa],tbl_de_massas[nome_completo],"--",0,1)</f>
        <v>Falba David</v>
      </c>
    </row>
    <row r="1397" spans="1:8" x14ac:dyDescent="0.25">
      <c r="A1397" s="2" t="s">
        <v>2311</v>
      </c>
      <c r="B1397" s="14" t="str">
        <f>_xlfn.XLOOKUP(TBL_USUARIOS[[#This Row],[ID_MASSA]],tbl_de_massas[id_massa],tbl_de_massas[cpf],"--",0,1)</f>
        <v>37810513150</v>
      </c>
      <c r="C1397" t="s">
        <v>12</v>
      </c>
      <c r="D1397" t="str">
        <f>_xlfn.XLOOKUP(TBL_USUARIOS[[#This Row],[ID_MASSA]],tbl_de_massas[id_massa],tbl_de_massas[nome_completo],"--",0,1)</f>
        <v>Florie Fontaine</v>
      </c>
      <c r="E1397" t="str">
        <f>_xlfn.XLOOKUP(TBL_USUARIOS[[#This Row],[ID_MASSA]],tbl_de_massas[id_massa],tbl_de_massas[cartao_fisico_numero],"--",0,1)</f>
        <v>5442 7460 7963 5511</v>
      </c>
      <c r="F1397" t="str">
        <f>_xlfn.XLOOKUP(TBL_USUARIOS[[#This Row],[ID_MASSA]],tbl_de_massas[id_massa],tbl_de_massas[nome_completo],"--",0,1)</f>
        <v>Florie Fontaine</v>
      </c>
      <c r="G1397" s="47">
        <f>_xlfn.XLOOKUP(TBL_USUARIOS[[#This Row],[ID_MASSA]],tbl_de_massas[id_massa],tbl_de_massas[saldo_conta],"--",0,1)</f>
        <v>27454.78</v>
      </c>
      <c r="H1397" t="str">
        <f>_xlfn.XLOOKUP(TBL_USUARIOS[[#This Row],[ID_MASSA]],tbl_de_massas[id_massa],tbl_de_massas[nome_completo],"--",0,1)</f>
        <v>Florie Fontaine</v>
      </c>
    </row>
    <row r="1398" spans="1:8" x14ac:dyDescent="0.25">
      <c r="A1398" s="2" t="s">
        <v>2327</v>
      </c>
      <c r="B1398" s="14" t="str">
        <f>_xlfn.XLOOKUP(TBL_USUARIOS[[#This Row],[ID_MASSA]],tbl_de_massas[id_massa],tbl_de_massas[cpf],"--",0,1)</f>
        <v>44444444444</v>
      </c>
      <c r="C1398" t="s">
        <v>12</v>
      </c>
      <c r="D1398" t="str">
        <f>_xlfn.XLOOKUP(TBL_USUARIOS[[#This Row],[ID_MASSA]],tbl_de_massas[id_massa],tbl_de_massas[nome_completo],"--",0,1)</f>
        <v>Fernanda Lima</v>
      </c>
      <c r="E1398" t="str">
        <f>_xlfn.XLOOKUP(TBL_USUARIOS[[#This Row],[ID_MASSA]],tbl_de_massas[id_massa],tbl_de_massas[cartao_fisico_numero],"--",0,1)</f>
        <v>5442 7460 6411 5291</v>
      </c>
      <c r="F1398" t="str">
        <f>_xlfn.XLOOKUP(TBL_USUARIOS[[#This Row],[ID_MASSA]],tbl_de_massas[id_massa],tbl_de_massas[nome_completo],"--",0,1)</f>
        <v>Fernanda Lima</v>
      </c>
      <c r="G1398" s="47">
        <f>_xlfn.XLOOKUP(TBL_USUARIOS[[#This Row],[ID_MASSA]],tbl_de_massas[id_massa],tbl_de_massas[saldo_conta],"--",0,1)</f>
        <v>30834.61</v>
      </c>
      <c r="H1398" t="str">
        <f>_xlfn.XLOOKUP(TBL_USUARIOS[[#This Row],[ID_MASSA]],tbl_de_massas[id_massa],tbl_de_massas[nome_completo],"--",0,1)</f>
        <v>Fernanda Lima</v>
      </c>
    </row>
    <row r="1399" spans="1:8" x14ac:dyDescent="0.25">
      <c r="A1399" s="2" t="s">
        <v>21</v>
      </c>
      <c r="B1399" s="14" t="str">
        <f>_xlfn.XLOOKUP(TBL_USUARIOS[[#This Row],[ID_MASSA]],tbl_de_massas[id_massa],tbl_de_massas[cpf],"--",0,1)</f>
        <v>93852856961</v>
      </c>
      <c r="C1399" t="s">
        <v>12</v>
      </c>
      <c r="D1399" t="str">
        <f>_xlfn.XLOOKUP(TBL_USUARIOS[[#This Row],[ID_MASSA]],tbl_de_massas[id_massa],tbl_de_massas[nome_completo],"--",0,1)</f>
        <v>Natália Moraes</v>
      </c>
      <c r="E1399" t="str">
        <f>_xlfn.XLOOKUP(TBL_USUARIOS[[#This Row],[ID_MASSA]],tbl_de_massas[id_massa],tbl_de_massas[cartao_fisico_numero],"--",0,1)</f>
        <v>5442 7460 1816 6483</v>
      </c>
      <c r="F1399" t="str">
        <f>_xlfn.XLOOKUP(TBL_USUARIOS[[#This Row],[ID_MASSA]],tbl_de_massas[id_massa],tbl_de_massas[nome_completo],"--",0,1)</f>
        <v>Natália Moraes</v>
      </c>
      <c r="G1399" s="47">
        <f>_xlfn.XLOOKUP(TBL_USUARIOS[[#This Row],[ID_MASSA]],tbl_de_massas[id_massa],tbl_de_massas[saldo_conta],"--",0,1)</f>
        <v>52000</v>
      </c>
      <c r="H1399" t="str">
        <f>_xlfn.XLOOKUP(TBL_USUARIOS[[#This Row],[ID_MASSA]],tbl_de_massas[id_massa],tbl_de_massas[nome_completo],"--",0,1)</f>
        <v>Natália Moraes</v>
      </c>
    </row>
    <row r="1400" spans="1:8" x14ac:dyDescent="0.25">
      <c r="A1400" s="2" t="s">
        <v>2315</v>
      </c>
      <c r="B1400" s="14" t="str">
        <f>_xlfn.XLOOKUP(TBL_USUARIOS[[#This Row],[ID_MASSA]],tbl_de_massas[id_massa],tbl_de_massas[cpf],"--",0,1)</f>
        <v>28832869497</v>
      </c>
      <c r="C1400" t="s">
        <v>12</v>
      </c>
      <c r="D1400" t="str">
        <f>_xlfn.XLOOKUP(TBL_USUARIOS[[#This Row],[ID_MASSA]],tbl_de_massas[id_massa],tbl_de_massas[nome_completo],"--",0,1)</f>
        <v>Philomène Fabre</v>
      </c>
      <c r="E1400" t="str">
        <f>_xlfn.XLOOKUP(TBL_USUARIOS[[#This Row],[ID_MASSA]],tbl_de_massas[id_massa],tbl_de_massas[cartao_fisico_numero],"--",0,1)</f>
        <v>5442 7460 8592 9077</v>
      </c>
      <c r="F1400" t="str">
        <f>_xlfn.XLOOKUP(TBL_USUARIOS[[#This Row],[ID_MASSA]],tbl_de_massas[id_massa],tbl_de_massas[nome_completo],"--",0,1)</f>
        <v>Philomène Fabre</v>
      </c>
      <c r="G1400" s="47">
        <f>_xlfn.XLOOKUP(TBL_USUARIOS[[#This Row],[ID_MASSA]],tbl_de_massas[id_massa],tbl_de_massas[saldo_conta],"--",0,1)</f>
        <v>57300.12</v>
      </c>
      <c r="H1400" t="str">
        <f>_xlfn.XLOOKUP(TBL_USUARIOS[[#This Row],[ID_MASSA]],tbl_de_massas[id_massa],tbl_de_massas[nome_completo],"--",0,1)</f>
        <v>Philomène Fabre</v>
      </c>
    </row>
    <row r="1401" spans="1:8" x14ac:dyDescent="0.25">
      <c r="A1401" s="2" t="s">
        <v>2341</v>
      </c>
      <c r="B1401" s="14" t="str">
        <f>_xlfn.XLOOKUP(TBL_USUARIOS[[#This Row],[ID_MASSA]],tbl_de_massas[id_massa],tbl_de_massas[cpf],"--",0,1)</f>
        <v>38160081359</v>
      </c>
      <c r="C1401" t="s">
        <v>12</v>
      </c>
      <c r="D1401" t="str">
        <f>_xlfn.XLOOKUP(TBL_USUARIOS[[#This Row],[ID_MASSA]],tbl_de_massas[id_massa],tbl_de_massas[nome_completo],"--",0,1)</f>
        <v>Mateo Fernandez</v>
      </c>
      <c r="E1401" t="str">
        <f>_xlfn.XLOOKUP(TBL_USUARIOS[[#This Row],[ID_MASSA]],tbl_de_massas[id_massa],tbl_de_massas[cartao_fisico_numero],"--",0,1)</f>
        <v>6062 8200 6029 3753</v>
      </c>
      <c r="F1401" t="str">
        <f>_xlfn.XLOOKUP(TBL_USUARIOS[[#This Row],[ID_MASSA]],tbl_de_massas[id_massa],tbl_de_massas[nome_completo],"--",0,1)</f>
        <v>Mateo Fernandez</v>
      </c>
      <c r="G1401" s="47">
        <f>_xlfn.XLOOKUP(TBL_USUARIOS[[#This Row],[ID_MASSA]],tbl_de_massas[id_massa],tbl_de_massas[saldo_conta],"--",0,1)</f>
        <v>69245.59</v>
      </c>
      <c r="H1401" t="str">
        <f>_xlfn.XLOOKUP(TBL_USUARIOS[[#This Row],[ID_MASSA]],tbl_de_massas[id_massa],tbl_de_massas[nome_completo],"--",0,1)</f>
        <v>Mateo Fernandez</v>
      </c>
    </row>
    <row r="1402" spans="1:8" x14ac:dyDescent="0.25">
      <c r="A1402" s="2" t="s">
        <v>7386</v>
      </c>
      <c r="B1402" t="str">
        <f>_xlfn.XLOOKUP(TBL_USUARIOS[[#This Row],[ID_MASSA]],tbl_de_massas[id_massa],tbl_de_massas[cpf],"--",0,1)</f>
        <v>49009976505</v>
      </c>
      <c r="C1402" t="s">
        <v>12</v>
      </c>
      <c r="D1402" t="str">
        <f>_xlfn.XLOOKUP(TBL_USUARIOS[[#This Row],[ID_MASSA]],tbl_de_massas[id_massa],tbl_de_massas[nome_completo],"--",0,1)</f>
        <v>Hugo Lefebvre</v>
      </c>
      <c r="E1402" t="str">
        <f>_xlfn.XLOOKUP(TBL_USUARIOS[[#This Row],[ID_MASSA]],tbl_de_massas[id_massa],tbl_de_massas[cartao_fisico_numero],"--",0,1)</f>
        <v>6505 0666 8788 7797</v>
      </c>
      <c r="F1402" t="str">
        <f>_xlfn.XLOOKUP(TBL_USUARIOS[[#This Row],[ID_MASSA]],tbl_de_massas[id_massa],tbl_de_massas[nome_completo],"--",0,1)</f>
        <v>Hugo Lefebvre</v>
      </c>
      <c r="G1402" s="47">
        <f>_xlfn.XLOOKUP(TBL_USUARIOS[[#This Row],[ID_MASSA]],tbl_de_massas[id_massa],tbl_de_massas[saldo_conta],"--",0,1)</f>
        <v>10000</v>
      </c>
      <c r="H1402" t="str">
        <f>_xlfn.XLOOKUP(TBL_USUARIOS[[#This Row],[ID_MASSA]],tbl_de_massas[id_massa],tbl_de_massas[nome_completo],"--",0,1)</f>
        <v>Hugo Lefebvre</v>
      </c>
    </row>
    <row r="1403" spans="1:8" x14ac:dyDescent="0.25">
      <c r="A1403" s="2" t="s">
        <v>7387</v>
      </c>
      <c r="B1403" t="str">
        <f>_xlfn.XLOOKUP(TBL_USUARIOS[[#This Row],[ID_MASSA]],tbl_de_massas[id_massa],tbl_de_massas[cpf],"--",0,1)</f>
        <v>56341804571</v>
      </c>
      <c r="C1403" t="s">
        <v>12</v>
      </c>
      <c r="D1403" t="str">
        <f>_xlfn.XLOOKUP(TBL_USUARIOS[[#This Row],[ID_MASSA]],tbl_de_massas[id_massa],tbl_de_massas[nome_completo],"--",0,1)</f>
        <v>Lea Dubois</v>
      </c>
      <c r="E1403" t="str">
        <f>_xlfn.XLOOKUP(TBL_USUARIOS[[#This Row],[ID_MASSA]],tbl_de_massas[id_massa],tbl_de_massas[cartao_fisico_numero],"--",0,1)</f>
        <v>6505 0666 3819 1315</v>
      </c>
      <c r="F1403" t="str">
        <f>_xlfn.XLOOKUP(TBL_USUARIOS[[#This Row],[ID_MASSA]],tbl_de_massas[id_massa],tbl_de_massas[nome_completo],"--",0,1)</f>
        <v>Lea Dubois</v>
      </c>
      <c r="G1403" s="47">
        <f>_xlfn.XLOOKUP(TBL_USUARIOS[[#This Row],[ID_MASSA]],tbl_de_massas[id_massa],tbl_de_massas[saldo_conta],"--",0,1)</f>
        <v>10000</v>
      </c>
      <c r="H1403" t="str">
        <f>_xlfn.XLOOKUP(TBL_USUARIOS[[#This Row],[ID_MASSA]],tbl_de_massas[id_massa],tbl_de_massas[nome_completo],"--",0,1)</f>
        <v>Lea Dubois</v>
      </c>
    </row>
    <row r="1404" spans="1:8" x14ac:dyDescent="0.25">
      <c r="A1404" s="2" t="s">
        <v>7388</v>
      </c>
      <c r="B1404" t="str">
        <f>_xlfn.XLOOKUP(TBL_USUARIOS[[#This Row],[ID_MASSA]],tbl_de_massas[id_massa],tbl_de_massas[cpf],"--",0,1)</f>
        <v>60622708309</v>
      </c>
      <c r="C1404" t="s">
        <v>12</v>
      </c>
      <c r="D1404" t="str">
        <f>_xlfn.XLOOKUP(TBL_USUARIOS[[#This Row],[ID_MASSA]],tbl_de_massas[id_massa],tbl_de_massas[nome_completo],"--",0,1)</f>
        <v>Jade Bernard Leroy</v>
      </c>
      <c r="E1404" t="str">
        <f>_xlfn.XLOOKUP(TBL_USUARIOS[[#This Row],[ID_MASSA]],tbl_de_massas[id_massa],tbl_de_massas[cartao_fisico_numero],"--",0,1)</f>
        <v/>
      </c>
      <c r="F1404" t="str">
        <f>_xlfn.XLOOKUP(TBL_USUARIOS[[#This Row],[ID_MASSA]],tbl_de_massas[id_massa],tbl_de_massas[nome_completo],"--",0,1)</f>
        <v>Jade Bernard Leroy</v>
      </c>
      <c r="G1404" s="47">
        <f>_xlfn.XLOOKUP(TBL_USUARIOS[[#This Row],[ID_MASSA]],tbl_de_massas[id_massa],tbl_de_massas[saldo_conta],"--",0,1)</f>
        <v>10000</v>
      </c>
      <c r="H1404" t="str">
        <f>_xlfn.XLOOKUP(TBL_USUARIOS[[#This Row],[ID_MASSA]],tbl_de_massas[id_massa],tbl_de_massas[nome_completo],"--",0,1)</f>
        <v>Jade Bernard Leroy</v>
      </c>
    </row>
    <row r="1405" spans="1:8" x14ac:dyDescent="0.25">
      <c r="A1405" s="2" t="s">
        <v>7389</v>
      </c>
      <c r="B1405" t="str">
        <f>_xlfn.XLOOKUP(TBL_USUARIOS[[#This Row],[ID_MASSA]],tbl_de_massas[id_massa],tbl_de_massas[cpf],"--",0,1)</f>
        <v>17819818093</v>
      </c>
      <c r="C1405" t="s">
        <v>12</v>
      </c>
      <c r="D1405" t="str">
        <f>_xlfn.XLOOKUP(TBL_USUARIOS[[#This Row],[ID_MASSA]],tbl_de_massas[id_massa],tbl_de_massas[nome_completo],"--",0,1)</f>
        <v>Thomas Morel</v>
      </c>
      <c r="E1405" t="str">
        <f>_xlfn.XLOOKUP(TBL_USUARIOS[[#This Row],[ID_MASSA]],tbl_de_massas[id_massa],tbl_de_massas[cartao_fisico_numero],"--",0,1)</f>
        <v>6062 8200 5339 0533</v>
      </c>
      <c r="F1405" t="str">
        <f>_xlfn.XLOOKUP(TBL_USUARIOS[[#This Row],[ID_MASSA]],tbl_de_massas[id_massa],tbl_de_massas[nome_completo],"--",0,1)</f>
        <v>Thomas Morel</v>
      </c>
      <c r="G1405" s="47">
        <f>_xlfn.XLOOKUP(TBL_USUARIOS[[#This Row],[ID_MASSA]],tbl_de_massas[id_massa],tbl_de_massas[saldo_conta],"--",0,1)</f>
        <v>10000</v>
      </c>
      <c r="H1405" t="str">
        <f>_xlfn.XLOOKUP(TBL_USUARIOS[[#This Row],[ID_MASSA]],tbl_de_massas[id_massa],tbl_de_massas[nome_completo],"--",0,1)</f>
        <v>Thomas Morel</v>
      </c>
    </row>
    <row r="1406" spans="1:8" x14ac:dyDescent="0.25">
      <c r="A1406" s="2" t="s">
        <v>7390</v>
      </c>
      <c r="B1406" t="str">
        <f>_xlfn.XLOOKUP(TBL_USUARIOS[[#This Row],[ID_MASSA]],tbl_de_massas[id_massa],tbl_de_massas[cpf],"--",0,1)</f>
        <v>82649500514</v>
      </c>
      <c r="C1406" t="s">
        <v>12</v>
      </c>
      <c r="D1406" t="str">
        <f>_xlfn.XLOOKUP(TBL_USUARIOS[[#This Row],[ID_MASSA]],tbl_de_massas[id_massa],tbl_de_massas[nome_completo],"--",0,1)</f>
        <v>Arthur Roux</v>
      </c>
      <c r="E1406" t="str">
        <f>_xlfn.XLOOKUP(TBL_USUARIOS[[#This Row],[ID_MASSA]],tbl_de_massas[id_massa],tbl_de_massas[cartao_fisico_numero],"--",0,1)</f>
        <v>6062 8200 6941 8794</v>
      </c>
      <c r="F1406" t="str">
        <f>_xlfn.XLOOKUP(TBL_USUARIOS[[#This Row],[ID_MASSA]],tbl_de_massas[id_massa],tbl_de_massas[nome_completo],"--",0,1)</f>
        <v>Arthur Roux</v>
      </c>
      <c r="G1406" s="47">
        <f>_xlfn.XLOOKUP(TBL_USUARIOS[[#This Row],[ID_MASSA]],tbl_de_massas[id_massa],tbl_de_massas[saldo_conta],"--",0,1)</f>
        <v>10000</v>
      </c>
      <c r="H1406" t="str">
        <f>_xlfn.XLOOKUP(TBL_USUARIOS[[#This Row],[ID_MASSA]],tbl_de_massas[id_massa],tbl_de_massas[nome_completo],"--",0,1)</f>
        <v>Arthur Roux</v>
      </c>
    </row>
    <row r="1407" spans="1:8" x14ac:dyDescent="0.25">
      <c r="A1407" s="2" t="s">
        <v>7391</v>
      </c>
      <c r="B1407" t="str">
        <f>_xlfn.XLOOKUP(TBL_USUARIOS[[#This Row],[ID_MASSA]],tbl_de_massas[id_massa],tbl_de_massas[cpf],"--",0,1)</f>
        <v>39425927030</v>
      </c>
      <c r="C1407" t="s">
        <v>12</v>
      </c>
      <c r="D1407" t="str">
        <f>_xlfn.XLOOKUP(TBL_USUARIOS[[#This Row],[ID_MASSA]],tbl_de_massas[id_massa],tbl_de_massas[nome_completo],"--",0,1)</f>
        <v>Lucas Vincent</v>
      </c>
      <c r="E1407" t="str">
        <f>_xlfn.XLOOKUP(TBL_USUARIOS[[#This Row],[ID_MASSA]],tbl_de_massas[id_massa],tbl_de_massas[cartao_fisico_numero],"--",0,1)</f>
        <v/>
      </c>
      <c r="F1407" t="str">
        <f>_xlfn.XLOOKUP(TBL_USUARIOS[[#This Row],[ID_MASSA]],tbl_de_massas[id_massa],tbl_de_massas[nome_completo],"--",0,1)</f>
        <v>Lucas Vincent</v>
      </c>
      <c r="G1407" s="47">
        <f>_xlfn.XLOOKUP(TBL_USUARIOS[[#This Row],[ID_MASSA]],tbl_de_massas[id_massa],tbl_de_massas[saldo_conta],"--",0,1)</f>
        <v>10000</v>
      </c>
      <c r="H1407" t="str">
        <f>_xlfn.XLOOKUP(TBL_USUARIOS[[#This Row],[ID_MASSA]],tbl_de_massas[id_massa],tbl_de_massas[nome_completo],"--",0,1)</f>
        <v>Lucas Vincent</v>
      </c>
    </row>
    <row r="1408" spans="1:8" x14ac:dyDescent="0.25">
      <c r="A1408" s="2" t="s">
        <v>7392</v>
      </c>
      <c r="B1408" t="str">
        <f>_xlfn.XLOOKUP(TBL_USUARIOS[[#This Row],[ID_MASSA]],tbl_de_massas[id_massa],tbl_de_massas[cpf],"--",0,1)</f>
        <v>49525118479</v>
      </c>
      <c r="C1408" t="s">
        <v>12</v>
      </c>
      <c r="D1408" t="str">
        <f>_xlfn.XLOOKUP(TBL_USUARIOS[[#This Row],[ID_MASSA]],tbl_de_massas[id_massa],tbl_de_massas[nome_completo],"--",0,1)</f>
        <v>Thomas Girard</v>
      </c>
      <c r="E1408" t="str">
        <f>_xlfn.XLOOKUP(TBL_USUARIOS[[#This Row],[ID_MASSA]],tbl_de_massas[id_massa],tbl_de_massas[cartao_fisico_numero],"--",0,1)</f>
        <v>4576 7460 5668 8505</v>
      </c>
      <c r="F1408" t="str">
        <f>_xlfn.XLOOKUP(TBL_USUARIOS[[#This Row],[ID_MASSA]],tbl_de_massas[id_massa],tbl_de_massas[nome_completo],"--",0,1)</f>
        <v>Thomas Girard</v>
      </c>
      <c r="G1408" s="47">
        <f>_xlfn.XLOOKUP(TBL_USUARIOS[[#This Row],[ID_MASSA]],tbl_de_massas[id_massa],tbl_de_massas[saldo_conta],"--",0,1)</f>
        <v>10000</v>
      </c>
      <c r="H1408" t="str">
        <f>_xlfn.XLOOKUP(TBL_USUARIOS[[#This Row],[ID_MASSA]],tbl_de_massas[id_massa],tbl_de_massas[nome_completo],"--",0,1)</f>
        <v>Thomas Girard</v>
      </c>
    </row>
    <row r="1409" spans="1:8" x14ac:dyDescent="0.25">
      <c r="A1409" s="2" t="s">
        <v>7393</v>
      </c>
      <c r="B1409" t="str">
        <f>_xlfn.XLOOKUP(TBL_USUARIOS[[#This Row],[ID_MASSA]],tbl_de_massas[id_massa],tbl_de_massas[cpf],"--",0,1)</f>
        <v>95163681400</v>
      </c>
      <c r="C1409" t="s">
        <v>12</v>
      </c>
      <c r="D1409" t="str">
        <f>_xlfn.XLOOKUP(TBL_USUARIOS[[#This Row],[ID_MASSA]],tbl_de_massas[id_massa],tbl_de_massas[nome_completo],"--",0,1)</f>
        <v>Jules Girard</v>
      </c>
      <c r="E1409" t="str">
        <f>_xlfn.XLOOKUP(TBL_USUARIOS[[#This Row],[ID_MASSA]],tbl_de_massas[id_massa],tbl_de_massas[cartao_fisico_numero],"--",0,1)</f>
        <v/>
      </c>
      <c r="F1409" t="str">
        <f>_xlfn.XLOOKUP(TBL_USUARIOS[[#This Row],[ID_MASSA]],tbl_de_massas[id_massa],tbl_de_massas[nome_completo],"--",0,1)</f>
        <v>Jules Girard</v>
      </c>
      <c r="G1409" s="47">
        <f>_xlfn.XLOOKUP(TBL_USUARIOS[[#This Row],[ID_MASSA]],tbl_de_massas[id_massa],tbl_de_massas[saldo_conta],"--",0,1)</f>
        <v>10000</v>
      </c>
      <c r="H1409" t="str">
        <f>_xlfn.XLOOKUP(TBL_USUARIOS[[#This Row],[ID_MASSA]],tbl_de_massas[id_massa],tbl_de_massas[nome_completo],"--",0,1)</f>
        <v>Jules Girard</v>
      </c>
    </row>
    <row r="1410" spans="1:8" x14ac:dyDescent="0.25">
      <c r="A1410" s="2" t="s">
        <v>7394</v>
      </c>
      <c r="B1410" t="str">
        <f>_xlfn.XLOOKUP(TBL_USUARIOS[[#This Row],[ID_MASSA]],tbl_de_massas[id_massa],tbl_de_massas[cpf],"--",0,1)</f>
        <v>13514535213</v>
      </c>
      <c r="C1410" t="s">
        <v>12</v>
      </c>
      <c r="D1410" t="str">
        <f>_xlfn.XLOOKUP(TBL_USUARIOS[[#This Row],[ID_MASSA]],tbl_de_massas[id_massa],tbl_de_massas[nome_completo],"--",0,1)</f>
        <v>Pierre Bertrand</v>
      </c>
      <c r="E1410" t="str">
        <f>_xlfn.XLOOKUP(TBL_USUARIOS[[#This Row],[ID_MASSA]],tbl_de_massas[id_massa],tbl_de_massas[cartao_fisico_numero],"--",0,1)</f>
        <v/>
      </c>
      <c r="F1410" t="str">
        <f>_xlfn.XLOOKUP(TBL_USUARIOS[[#This Row],[ID_MASSA]],tbl_de_massas[id_massa],tbl_de_massas[nome_completo],"--",0,1)</f>
        <v>Pierre Bertrand</v>
      </c>
      <c r="G1410" s="47">
        <f>_xlfn.XLOOKUP(TBL_USUARIOS[[#This Row],[ID_MASSA]],tbl_de_massas[id_massa],tbl_de_massas[saldo_conta],"--",0,1)</f>
        <v>10000</v>
      </c>
      <c r="H1410" t="str">
        <f>_xlfn.XLOOKUP(TBL_USUARIOS[[#This Row],[ID_MASSA]],tbl_de_massas[id_massa],tbl_de_massas[nome_completo],"--",0,1)</f>
        <v>Pierre Bertrand</v>
      </c>
    </row>
    <row r="1411" spans="1:8" x14ac:dyDescent="0.25">
      <c r="A1411" s="2" t="s">
        <v>7395</v>
      </c>
      <c r="B1411" t="str">
        <f>_xlfn.XLOOKUP(TBL_USUARIOS[[#This Row],[ID_MASSA]],tbl_de_massas[id_massa],tbl_de_massas[cpf],"--",0,1)</f>
        <v>23464476766</v>
      </c>
      <c r="C1411" t="s">
        <v>12</v>
      </c>
      <c r="D1411" t="str">
        <f>_xlfn.XLOOKUP(TBL_USUARIOS[[#This Row],[ID_MASSA]],tbl_de_massas[id_massa],tbl_de_massas[nome_completo],"--",0,1)</f>
        <v>Zoe Dupont Lefebvre</v>
      </c>
      <c r="E1411" t="str">
        <f>_xlfn.XLOOKUP(TBL_USUARIOS[[#This Row],[ID_MASSA]],tbl_de_massas[id_massa],tbl_de_massas[cartao_fisico_numero],"--",0,1)</f>
        <v>6062 8200 2981 0307</v>
      </c>
      <c r="F1411" t="str">
        <f>_xlfn.XLOOKUP(TBL_USUARIOS[[#This Row],[ID_MASSA]],tbl_de_massas[id_massa],tbl_de_massas[nome_completo],"--",0,1)</f>
        <v>Zoe Dupont Lefebvre</v>
      </c>
      <c r="G1411" s="47">
        <f>_xlfn.XLOOKUP(TBL_USUARIOS[[#This Row],[ID_MASSA]],tbl_de_massas[id_massa],tbl_de_massas[saldo_conta],"--",0,1)</f>
        <v>10000</v>
      </c>
      <c r="H1411" t="str">
        <f>_xlfn.XLOOKUP(TBL_USUARIOS[[#This Row],[ID_MASSA]],tbl_de_massas[id_massa],tbl_de_massas[nome_completo],"--",0,1)</f>
        <v>Zoe Dupont Lefebvre</v>
      </c>
    </row>
    <row r="1412" spans="1:8" x14ac:dyDescent="0.25">
      <c r="A1412" s="2" t="s">
        <v>7396</v>
      </c>
      <c r="B1412" t="str">
        <f>_xlfn.XLOOKUP(TBL_USUARIOS[[#This Row],[ID_MASSA]],tbl_de_massas[id_massa],tbl_de_massas[cpf],"--",0,1)</f>
        <v>33257921462</v>
      </c>
      <c r="C1412" t="s">
        <v>12</v>
      </c>
      <c r="D1412" t="str">
        <f>_xlfn.XLOOKUP(TBL_USUARIOS[[#This Row],[ID_MASSA]],tbl_de_massas[id_massa],tbl_de_massas[nome_completo],"--",0,1)</f>
        <v>Camille Lambert Michel</v>
      </c>
      <c r="E1412" t="str">
        <f>_xlfn.XLOOKUP(TBL_USUARIOS[[#This Row],[ID_MASSA]],tbl_de_massas[id_massa],tbl_de_massas[cartao_fisico_numero],"--",0,1)</f>
        <v>4576 7460 5822 8382</v>
      </c>
      <c r="F1412" t="str">
        <f>_xlfn.XLOOKUP(TBL_USUARIOS[[#This Row],[ID_MASSA]],tbl_de_massas[id_massa],tbl_de_massas[nome_completo],"--",0,1)</f>
        <v>Camille Lambert Michel</v>
      </c>
      <c r="G1412" s="47">
        <f>_xlfn.XLOOKUP(TBL_USUARIOS[[#This Row],[ID_MASSA]],tbl_de_massas[id_massa],tbl_de_massas[saldo_conta],"--",0,1)</f>
        <v>10000</v>
      </c>
      <c r="H1412" t="str">
        <f>_xlfn.XLOOKUP(TBL_USUARIOS[[#This Row],[ID_MASSA]],tbl_de_massas[id_massa],tbl_de_massas[nome_completo],"--",0,1)</f>
        <v>Camille Lambert Michel</v>
      </c>
    </row>
    <row r="1413" spans="1:8" x14ac:dyDescent="0.25">
      <c r="A1413" s="2" t="s">
        <v>7397</v>
      </c>
      <c r="B1413" t="str">
        <f>_xlfn.XLOOKUP(TBL_USUARIOS[[#This Row],[ID_MASSA]],tbl_de_massas[id_massa],tbl_de_massas[cpf],"--",0,1)</f>
        <v>34239398851</v>
      </c>
      <c r="C1413" t="s">
        <v>12</v>
      </c>
      <c r="D1413" t="str">
        <f>_xlfn.XLOOKUP(TBL_USUARIOS[[#This Row],[ID_MASSA]],tbl_de_massas[id_massa],tbl_de_massas[nome_completo],"--",0,1)</f>
        <v>Sarah Simon</v>
      </c>
      <c r="E1413" t="str">
        <f>_xlfn.XLOOKUP(TBL_USUARIOS[[#This Row],[ID_MASSA]],tbl_de_massas[id_massa],tbl_de_massas[cartao_fisico_numero],"--",0,1)</f>
        <v/>
      </c>
      <c r="F1413" t="str">
        <f>_xlfn.XLOOKUP(TBL_USUARIOS[[#This Row],[ID_MASSA]],tbl_de_massas[id_massa],tbl_de_massas[nome_completo],"--",0,1)</f>
        <v>Sarah Simon</v>
      </c>
      <c r="G1413" s="47">
        <f>_xlfn.XLOOKUP(TBL_USUARIOS[[#This Row],[ID_MASSA]],tbl_de_massas[id_massa],tbl_de_massas[saldo_conta],"--",0,1)</f>
        <v>10000</v>
      </c>
      <c r="H1413" t="str">
        <f>_xlfn.XLOOKUP(TBL_USUARIOS[[#This Row],[ID_MASSA]],tbl_de_massas[id_massa],tbl_de_massas[nome_completo],"--",0,1)</f>
        <v>Sarah Simon</v>
      </c>
    </row>
    <row r="1414" spans="1:8" x14ac:dyDescent="0.25">
      <c r="A1414" s="2" t="s">
        <v>7398</v>
      </c>
      <c r="B1414" t="str">
        <f>_xlfn.XLOOKUP(TBL_USUARIOS[[#This Row],[ID_MASSA]],tbl_de_massas[id_massa],tbl_de_massas[cpf],"--",0,1)</f>
        <v>43847760556</v>
      </c>
      <c r="C1414" t="s">
        <v>12</v>
      </c>
      <c r="D1414" t="str">
        <f>_xlfn.XLOOKUP(TBL_USUARIOS[[#This Row],[ID_MASSA]],tbl_de_massas[id_massa],tbl_de_massas[nome_completo],"--",0,1)</f>
        <v>Ines Vincent Dubois</v>
      </c>
      <c r="E1414" t="str">
        <f>_xlfn.XLOOKUP(TBL_USUARIOS[[#This Row],[ID_MASSA]],tbl_de_massas[id_massa],tbl_de_massas[cartao_fisico_numero],"--",0,1)</f>
        <v>6062 8200 2871 7121</v>
      </c>
      <c r="F1414" t="str">
        <f>_xlfn.XLOOKUP(TBL_USUARIOS[[#This Row],[ID_MASSA]],tbl_de_massas[id_massa],tbl_de_massas[nome_completo],"--",0,1)</f>
        <v>Ines Vincent Dubois</v>
      </c>
      <c r="G1414" s="47">
        <f>_xlfn.XLOOKUP(TBL_USUARIOS[[#This Row],[ID_MASSA]],tbl_de_massas[id_massa],tbl_de_massas[saldo_conta],"--",0,1)</f>
        <v>10000</v>
      </c>
      <c r="H1414" t="str">
        <f>_xlfn.XLOOKUP(TBL_USUARIOS[[#This Row],[ID_MASSA]],tbl_de_massas[id_massa],tbl_de_massas[nome_completo],"--",0,1)</f>
        <v>Ines Vincent Dubois</v>
      </c>
    </row>
    <row r="1415" spans="1:8" x14ac:dyDescent="0.25">
      <c r="A1415" s="2" t="s">
        <v>7399</v>
      </c>
      <c r="B1415" t="str">
        <f>_xlfn.XLOOKUP(TBL_USUARIOS[[#This Row],[ID_MASSA]],tbl_de_massas[id_massa],tbl_de_massas[cpf],"--",0,1)</f>
        <v>18395946830</v>
      </c>
      <c r="C1415" t="s">
        <v>12</v>
      </c>
      <c r="D1415" t="str">
        <f>_xlfn.XLOOKUP(TBL_USUARIOS[[#This Row],[ID_MASSA]],tbl_de_massas[id_massa],tbl_de_massas[nome_completo],"--",0,1)</f>
        <v>Louis Vincent</v>
      </c>
      <c r="E1415" t="str">
        <f>_xlfn.XLOOKUP(TBL_USUARIOS[[#This Row],[ID_MASSA]],tbl_de_massas[id_massa],tbl_de_massas[cartao_fisico_numero],"--",0,1)</f>
        <v>5442 7460 1837 6096</v>
      </c>
      <c r="F1415" t="str">
        <f>_xlfn.XLOOKUP(TBL_USUARIOS[[#This Row],[ID_MASSA]],tbl_de_massas[id_massa],tbl_de_massas[nome_completo],"--",0,1)</f>
        <v>Louis Vincent</v>
      </c>
      <c r="G1415" s="47">
        <f>_xlfn.XLOOKUP(TBL_USUARIOS[[#This Row],[ID_MASSA]],tbl_de_massas[id_massa],tbl_de_massas[saldo_conta],"--",0,1)</f>
        <v>10000</v>
      </c>
      <c r="H1415" t="str">
        <f>_xlfn.XLOOKUP(TBL_USUARIOS[[#This Row],[ID_MASSA]],tbl_de_massas[id_massa],tbl_de_massas[nome_completo],"--",0,1)</f>
        <v>Louis Vincent</v>
      </c>
    </row>
    <row r="1416" spans="1:8" x14ac:dyDescent="0.25">
      <c r="A1416" s="2" t="s">
        <v>7400</v>
      </c>
      <c r="B1416" t="str">
        <f>_xlfn.XLOOKUP(TBL_USUARIOS[[#This Row],[ID_MASSA]],tbl_de_massas[id_massa],tbl_de_massas[cpf],"--",0,1)</f>
        <v>05905432961</v>
      </c>
      <c r="C1416" t="s">
        <v>12</v>
      </c>
      <c r="D1416" t="str">
        <f>_xlfn.XLOOKUP(TBL_USUARIOS[[#This Row],[ID_MASSA]],tbl_de_massas[id_massa],tbl_de_massas[nome_completo],"--",0,1)</f>
        <v>Arthur Vincent</v>
      </c>
      <c r="E1416" t="str">
        <f>_xlfn.XLOOKUP(TBL_USUARIOS[[#This Row],[ID_MASSA]],tbl_de_massas[id_massa],tbl_de_massas[cartao_fisico_numero],"--",0,1)</f>
        <v>6062 8200 8855 8126</v>
      </c>
      <c r="F1416" t="str">
        <f>_xlfn.XLOOKUP(TBL_USUARIOS[[#This Row],[ID_MASSA]],tbl_de_massas[id_massa],tbl_de_massas[nome_completo],"--",0,1)</f>
        <v>Arthur Vincent</v>
      </c>
      <c r="G1416" s="47">
        <f>_xlfn.XLOOKUP(TBL_USUARIOS[[#This Row],[ID_MASSA]],tbl_de_massas[id_massa],tbl_de_massas[saldo_conta],"--",0,1)</f>
        <v>10000</v>
      </c>
      <c r="H1416" t="str">
        <f>_xlfn.XLOOKUP(TBL_USUARIOS[[#This Row],[ID_MASSA]],tbl_de_massas[id_massa],tbl_de_massas[nome_completo],"--",0,1)</f>
        <v>Arthur Vincent</v>
      </c>
    </row>
    <row r="1417" spans="1:8" x14ac:dyDescent="0.25">
      <c r="A1417" s="2" t="s">
        <v>7401</v>
      </c>
      <c r="B1417" t="str">
        <f>_xlfn.XLOOKUP(TBL_USUARIOS[[#This Row],[ID_MASSA]],tbl_de_massas[id_massa],tbl_de_massas[cpf],"--",0,1)</f>
        <v>88352832646</v>
      </c>
      <c r="C1417" t="s">
        <v>12</v>
      </c>
      <c r="D1417" t="str">
        <f>_xlfn.XLOOKUP(TBL_USUARIOS[[#This Row],[ID_MASSA]],tbl_de_massas[id_massa],tbl_de_massas[nome_completo],"--",0,1)</f>
        <v>Louis Lambert</v>
      </c>
      <c r="E1417" t="str">
        <f>_xlfn.XLOOKUP(TBL_USUARIOS[[#This Row],[ID_MASSA]],tbl_de_massas[id_massa],tbl_de_massas[cartao_fisico_numero],"--",0,1)</f>
        <v>4576 7460 7234 2727</v>
      </c>
      <c r="F1417" t="str">
        <f>_xlfn.XLOOKUP(TBL_USUARIOS[[#This Row],[ID_MASSA]],tbl_de_massas[id_massa],tbl_de_massas[nome_completo],"--",0,1)</f>
        <v>Louis Lambert</v>
      </c>
      <c r="G1417" s="47">
        <f>_xlfn.XLOOKUP(TBL_USUARIOS[[#This Row],[ID_MASSA]],tbl_de_massas[id_massa],tbl_de_massas[saldo_conta],"--",0,1)</f>
        <v>10000</v>
      </c>
      <c r="H1417" t="str">
        <f>_xlfn.XLOOKUP(TBL_USUARIOS[[#This Row],[ID_MASSA]],tbl_de_massas[id_massa],tbl_de_massas[nome_completo],"--",0,1)</f>
        <v>Louis Lambert</v>
      </c>
    </row>
    <row r="1418" spans="1:8" x14ac:dyDescent="0.25">
      <c r="A1418" s="2" t="s">
        <v>7402</v>
      </c>
      <c r="B1418" t="str">
        <f>_xlfn.XLOOKUP(TBL_USUARIOS[[#This Row],[ID_MASSA]],tbl_de_massas[id_massa],tbl_de_massas[cpf],"--",0,1)</f>
        <v>12930723033</v>
      </c>
      <c r="C1418" t="s">
        <v>12</v>
      </c>
      <c r="D1418" t="str">
        <f>_xlfn.XLOOKUP(TBL_USUARIOS[[#This Row],[ID_MASSA]],tbl_de_massas[id_massa],tbl_de_massas[nome_completo],"--",0,1)</f>
        <v>Camille Martin Girard</v>
      </c>
      <c r="E1418" t="str">
        <f>_xlfn.XLOOKUP(TBL_USUARIOS[[#This Row],[ID_MASSA]],tbl_de_massas[id_massa],tbl_de_massas[cartao_fisico_numero],"--",0,1)</f>
        <v>3782 826958 0647</v>
      </c>
      <c r="F1418" t="str">
        <f>_xlfn.XLOOKUP(TBL_USUARIOS[[#This Row],[ID_MASSA]],tbl_de_massas[id_massa],tbl_de_massas[nome_completo],"--",0,1)</f>
        <v>Camille Martin Girard</v>
      </c>
      <c r="G1418" s="47">
        <f>_xlfn.XLOOKUP(TBL_USUARIOS[[#This Row],[ID_MASSA]],tbl_de_massas[id_massa],tbl_de_massas[saldo_conta],"--",0,1)</f>
        <v>10000</v>
      </c>
      <c r="H1418" t="str">
        <f>_xlfn.XLOOKUP(TBL_USUARIOS[[#This Row],[ID_MASSA]],tbl_de_massas[id_massa],tbl_de_massas[nome_completo],"--",0,1)</f>
        <v>Camille Martin Girard</v>
      </c>
    </row>
    <row r="1419" spans="1:8" x14ac:dyDescent="0.25">
      <c r="A1419" s="2" t="s">
        <v>7403</v>
      </c>
      <c r="B1419" t="str">
        <f>_xlfn.XLOOKUP(TBL_USUARIOS[[#This Row],[ID_MASSA]],tbl_de_massas[id_massa],tbl_de_massas[cpf],"--",0,1)</f>
        <v>29746110527</v>
      </c>
      <c r="C1419" t="s">
        <v>12</v>
      </c>
      <c r="D1419" t="str">
        <f>_xlfn.XLOOKUP(TBL_USUARIOS[[#This Row],[ID_MASSA]],tbl_de_massas[id_massa],tbl_de_massas[nome_completo],"--",0,1)</f>
        <v>Sarah Michel</v>
      </c>
      <c r="E1419" t="str">
        <f>_xlfn.XLOOKUP(TBL_USUARIOS[[#This Row],[ID_MASSA]],tbl_de_massas[id_massa],tbl_de_massas[cartao_fisico_numero],"--",0,1)</f>
        <v>5442 7460 6689 8623</v>
      </c>
      <c r="F1419" t="str">
        <f>_xlfn.XLOOKUP(TBL_USUARIOS[[#This Row],[ID_MASSA]],tbl_de_massas[id_massa],tbl_de_massas[nome_completo],"--",0,1)</f>
        <v>Sarah Michel</v>
      </c>
      <c r="G1419" s="47">
        <f>_xlfn.XLOOKUP(TBL_USUARIOS[[#This Row],[ID_MASSA]],tbl_de_massas[id_massa],tbl_de_massas[saldo_conta],"--",0,1)</f>
        <v>10000</v>
      </c>
      <c r="H1419" t="str">
        <f>_xlfn.XLOOKUP(TBL_USUARIOS[[#This Row],[ID_MASSA]],tbl_de_massas[id_massa],tbl_de_massas[nome_completo],"--",0,1)</f>
        <v>Sarah Michel</v>
      </c>
    </row>
    <row r="1420" spans="1:8" x14ac:dyDescent="0.25">
      <c r="A1420" s="2" t="s">
        <v>7404</v>
      </c>
      <c r="B1420" t="str">
        <f>_xlfn.XLOOKUP(TBL_USUARIOS[[#This Row],[ID_MASSA]],tbl_de_massas[id_massa],tbl_de_massas[cpf],"--",0,1)</f>
        <v>01758777001</v>
      </c>
      <c r="C1420" t="s">
        <v>12</v>
      </c>
      <c r="D1420" t="str">
        <f>_xlfn.XLOOKUP(TBL_USUARIOS[[#This Row],[ID_MASSA]],tbl_de_massas[id_massa],tbl_de_massas[nome_completo],"--",0,1)</f>
        <v>Manon Dupont Moreau</v>
      </c>
      <c r="E1420" t="str">
        <f>_xlfn.XLOOKUP(TBL_USUARIOS[[#This Row],[ID_MASSA]],tbl_de_massas[id_massa],tbl_de_massas[cartao_fisico_numero],"--",0,1)</f>
        <v/>
      </c>
      <c r="F1420" t="str">
        <f>_xlfn.XLOOKUP(TBL_USUARIOS[[#This Row],[ID_MASSA]],tbl_de_massas[id_massa],tbl_de_massas[nome_completo],"--",0,1)</f>
        <v>Manon Dupont Moreau</v>
      </c>
      <c r="G1420" s="47">
        <f>_xlfn.XLOOKUP(TBL_USUARIOS[[#This Row],[ID_MASSA]],tbl_de_massas[id_massa],tbl_de_massas[saldo_conta],"--",0,1)</f>
        <v>10000</v>
      </c>
      <c r="H1420" t="str">
        <f>_xlfn.XLOOKUP(TBL_USUARIOS[[#This Row],[ID_MASSA]],tbl_de_massas[id_massa],tbl_de_massas[nome_completo],"--",0,1)</f>
        <v>Manon Dupont Moreau</v>
      </c>
    </row>
    <row r="1421" spans="1:8" x14ac:dyDescent="0.25">
      <c r="A1421" s="2" t="s">
        <v>7405</v>
      </c>
      <c r="B1421" t="str">
        <f>_xlfn.XLOOKUP(TBL_USUARIOS[[#This Row],[ID_MASSA]],tbl_de_massas[id_massa],tbl_de_massas[cpf],"--",0,1)</f>
        <v>35429601870</v>
      </c>
      <c r="C1421" t="s">
        <v>12</v>
      </c>
      <c r="D1421" t="str">
        <f>_xlfn.XLOOKUP(TBL_USUARIOS[[#This Row],[ID_MASSA]],tbl_de_massas[id_massa],tbl_de_massas[nome_completo],"--",0,1)</f>
        <v>Ines Simon</v>
      </c>
      <c r="E1421" t="str">
        <f>_xlfn.XLOOKUP(TBL_USUARIOS[[#This Row],[ID_MASSA]],tbl_de_massas[id_massa],tbl_de_massas[cartao_fisico_numero],"--",0,1)</f>
        <v>6062 8200 8813 9247</v>
      </c>
      <c r="F1421" t="str">
        <f>_xlfn.XLOOKUP(TBL_USUARIOS[[#This Row],[ID_MASSA]],tbl_de_massas[id_massa],tbl_de_massas[nome_completo],"--",0,1)</f>
        <v>Ines Simon</v>
      </c>
      <c r="G1421" s="47">
        <f>_xlfn.XLOOKUP(TBL_USUARIOS[[#This Row],[ID_MASSA]],tbl_de_massas[id_massa],tbl_de_massas[saldo_conta],"--",0,1)</f>
        <v>10000</v>
      </c>
      <c r="H1421" t="str">
        <f>_xlfn.XLOOKUP(TBL_USUARIOS[[#This Row],[ID_MASSA]],tbl_de_massas[id_massa],tbl_de_massas[nome_completo],"--",0,1)</f>
        <v>Ines Simon</v>
      </c>
    </row>
    <row r="1422" spans="1:8" x14ac:dyDescent="0.25">
      <c r="A1422" s="2" t="s">
        <v>7406</v>
      </c>
      <c r="B1422" t="str">
        <f>_xlfn.XLOOKUP(TBL_USUARIOS[[#This Row],[ID_MASSA]],tbl_de_massas[id_massa],tbl_de_massas[cpf],"--",0,1)</f>
        <v>88408621025</v>
      </c>
      <c r="C1422" t="s">
        <v>12</v>
      </c>
      <c r="D1422" t="str">
        <f>_xlfn.XLOOKUP(TBL_USUARIOS[[#This Row],[ID_MASSA]],tbl_de_massas[id_massa],tbl_de_massas[nome_completo],"--",0,1)</f>
        <v>Pierre Leroy</v>
      </c>
      <c r="E1422" t="str">
        <f>_xlfn.XLOOKUP(TBL_USUARIOS[[#This Row],[ID_MASSA]],tbl_de_massas[id_massa],tbl_de_massas[cartao_fisico_numero],"--",0,1)</f>
        <v/>
      </c>
      <c r="F1422" t="str">
        <f>_xlfn.XLOOKUP(TBL_USUARIOS[[#This Row],[ID_MASSA]],tbl_de_massas[id_massa],tbl_de_massas[nome_completo],"--",0,1)</f>
        <v>Pierre Leroy</v>
      </c>
      <c r="G1422" s="47">
        <f>_xlfn.XLOOKUP(TBL_USUARIOS[[#This Row],[ID_MASSA]],tbl_de_massas[id_massa],tbl_de_massas[saldo_conta],"--",0,1)</f>
        <v>10000</v>
      </c>
      <c r="H1422" t="str">
        <f>_xlfn.XLOOKUP(TBL_USUARIOS[[#This Row],[ID_MASSA]],tbl_de_massas[id_massa],tbl_de_massas[nome_completo],"--",0,1)</f>
        <v>Pierre Leroy</v>
      </c>
    </row>
    <row r="1423" spans="1:8" x14ac:dyDescent="0.25">
      <c r="A1423" s="2" t="s">
        <v>7407</v>
      </c>
      <c r="B1423" t="str">
        <f>_xlfn.XLOOKUP(TBL_USUARIOS[[#This Row],[ID_MASSA]],tbl_de_massas[id_massa],tbl_de_massas[cpf],"--",0,1)</f>
        <v>66559228444</v>
      </c>
      <c r="C1423" t="s">
        <v>12</v>
      </c>
      <c r="D1423" t="str">
        <f>_xlfn.XLOOKUP(TBL_USUARIOS[[#This Row],[ID_MASSA]],tbl_de_massas[id_massa],tbl_de_massas[nome_completo],"--",0,1)</f>
        <v>Maxime Fontaine</v>
      </c>
      <c r="E1423" t="str">
        <f>_xlfn.XLOOKUP(TBL_USUARIOS[[#This Row],[ID_MASSA]],tbl_de_massas[id_massa],tbl_de_massas[cartao_fisico_numero],"--",0,1)</f>
        <v>6505 0666 5020 2201</v>
      </c>
      <c r="F1423" t="str">
        <f>_xlfn.XLOOKUP(TBL_USUARIOS[[#This Row],[ID_MASSA]],tbl_de_massas[id_massa],tbl_de_massas[nome_completo],"--",0,1)</f>
        <v>Maxime Fontaine</v>
      </c>
      <c r="G1423" s="47">
        <f>_xlfn.XLOOKUP(TBL_USUARIOS[[#This Row],[ID_MASSA]],tbl_de_massas[id_massa],tbl_de_massas[saldo_conta],"--",0,1)</f>
        <v>10000</v>
      </c>
      <c r="H1423" t="str">
        <f>_xlfn.XLOOKUP(TBL_USUARIOS[[#This Row],[ID_MASSA]],tbl_de_massas[id_massa],tbl_de_massas[nome_completo],"--",0,1)</f>
        <v>Maxime Fontaine</v>
      </c>
    </row>
    <row r="1424" spans="1:8" x14ac:dyDescent="0.25">
      <c r="A1424" s="2" t="s">
        <v>7408</v>
      </c>
      <c r="B1424" t="str">
        <f>_xlfn.XLOOKUP(TBL_USUARIOS[[#This Row],[ID_MASSA]],tbl_de_massas[id_massa],tbl_de_massas[cpf],"--",0,1)</f>
        <v>52753491224</v>
      </c>
      <c r="C1424" t="s">
        <v>12</v>
      </c>
      <c r="D1424" t="str">
        <f>_xlfn.XLOOKUP(TBL_USUARIOS[[#This Row],[ID_MASSA]],tbl_de_massas[id_massa],tbl_de_massas[nome_completo],"--",0,1)</f>
        <v>Jean Morel</v>
      </c>
      <c r="E1424" t="str">
        <f>_xlfn.XLOOKUP(TBL_USUARIOS[[#This Row],[ID_MASSA]],tbl_de_massas[id_massa],tbl_de_massas[cartao_fisico_numero],"--",0,1)</f>
        <v>5442 7460 8812 8663</v>
      </c>
      <c r="F1424" t="str">
        <f>_xlfn.XLOOKUP(TBL_USUARIOS[[#This Row],[ID_MASSA]],tbl_de_massas[id_massa],tbl_de_massas[nome_completo],"--",0,1)</f>
        <v>Jean Morel</v>
      </c>
      <c r="G1424" s="47">
        <f>_xlfn.XLOOKUP(TBL_USUARIOS[[#This Row],[ID_MASSA]],tbl_de_massas[id_massa],tbl_de_massas[saldo_conta],"--",0,1)</f>
        <v>10000</v>
      </c>
      <c r="H1424" t="str">
        <f>_xlfn.XLOOKUP(TBL_USUARIOS[[#This Row],[ID_MASSA]],tbl_de_massas[id_massa],tbl_de_massas[nome_completo],"--",0,1)</f>
        <v>Jean Morel</v>
      </c>
    </row>
    <row r="1425" spans="1:8" x14ac:dyDescent="0.25">
      <c r="A1425" s="2" t="s">
        <v>7409</v>
      </c>
      <c r="B1425" t="str">
        <f>_xlfn.XLOOKUP(TBL_USUARIOS[[#This Row],[ID_MASSA]],tbl_de_massas[id_massa],tbl_de_massas[cpf],"--",0,1)</f>
        <v>62330721234</v>
      </c>
      <c r="C1425" t="s">
        <v>12</v>
      </c>
      <c r="D1425" t="str">
        <f>_xlfn.XLOOKUP(TBL_USUARIOS[[#This Row],[ID_MASSA]],tbl_de_massas[id_massa],tbl_de_massas[nome_completo],"--",0,1)</f>
        <v>Jules Morel</v>
      </c>
      <c r="E1425" t="str">
        <f>_xlfn.XLOOKUP(TBL_USUARIOS[[#This Row],[ID_MASSA]],tbl_de_massas[id_massa],tbl_de_massas[cartao_fisico_numero],"--",0,1)</f>
        <v>4576 7460 8260 2260</v>
      </c>
      <c r="F1425" t="str">
        <f>_xlfn.XLOOKUP(TBL_USUARIOS[[#This Row],[ID_MASSA]],tbl_de_massas[id_massa],tbl_de_massas[nome_completo],"--",0,1)</f>
        <v>Jules Morel</v>
      </c>
      <c r="G1425" s="47">
        <f>_xlfn.XLOOKUP(TBL_USUARIOS[[#This Row],[ID_MASSA]],tbl_de_massas[id_massa],tbl_de_massas[saldo_conta],"--",0,1)</f>
        <v>10000</v>
      </c>
      <c r="H1425" t="str">
        <f>_xlfn.XLOOKUP(TBL_USUARIOS[[#This Row],[ID_MASSA]],tbl_de_massas[id_massa],tbl_de_massas[nome_completo],"--",0,1)</f>
        <v>Jules Morel</v>
      </c>
    </row>
    <row r="1426" spans="1:8" x14ac:dyDescent="0.25">
      <c r="A1426" s="2" t="s">
        <v>7410</v>
      </c>
      <c r="B1426" t="str">
        <f>_xlfn.XLOOKUP(TBL_USUARIOS[[#This Row],[ID_MASSA]],tbl_de_massas[id_massa],tbl_de_massas[cpf],"--",0,1)</f>
        <v>01103534203</v>
      </c>
      <c r="C1426" t="s">
        <v>12</v>
      </c>
      <c r="D1426" t="str">
        <f>_xlfn.XLOOKUP(TBL_USUARIOS[[#This Row],[ID_MASSA]],tbl_de_massas[id_massa],tbl_de_massas[nome_completo],"--",0,1)</f>
        <v>Zoe Fournier Laurent</v>
      </c>
      <c r="E1426" t="str">
        <f>_xlfn.XLOOKUP(TBL_USUARIOS[[#This Row],[ID_MASSA]],tbl_de_massas[id_massa],tbl_de_massas[cartao_fisico_numero],"--",0,1)</f>
        <v>6505 0666 1978 9279</v>
      </c>
      <c r="F1426" t="str">
        <f>_xlfn.XLOOKUP(TBL_USUARIOS[[#This Row],[ID_MASSA]],tbl_de_massas[id_massa],tbl_de_massas[nome_completo],"--",0,1)</f>
        <v>Zoe Fournier Laurent</v>
      </c>
      <c r="G1426" s="47">
        <f>_xlfn.XLOOKUP(TBL_USUARIOS[[#This Row],[ID_MASSA]],tbl_de_massas[id_massa],tbl_de_massas[saldo_conta],"--",0,1)</f>
        <v>10000</v>
      </c>
      <c r="H1426" t="str">
        <f>_xlfn.XLOOKUP(TBL_USUARIOS[[#This Row],[ID_MASSA]],tbl_de_massas[id_massa],tbl_de_massas[nome_completo],"--",0,1)</f>
        <v>Zoe Fournier Laurent</v>
      </c>
    </row>
    <row r="1427" spans="1:8" x14ac:dyDescent="0.25">
      <c r="A1427" s="2" t="s">
        <v>7411</v>
      </c>
      <c r="B1427" t="str">
        <f>_xlfn.XLOOKUP(TBL_USUARIOS[[#This Row],[ID_MASSA]],tbl_de_massas[id_massa],tbl_de_massas[cpf],"--",0,1)</f>
        <v>68990299101</v>
      </c>
      <c r="C1427" t="s">
        <v>12</v>
      </c>
      <c r="D1427" t="str">
        <f>_xlfn.XLOOKUP(TBL_USUARIOS[[#This Row],[ID_MASSA]],tbl_de_massas[id_massa],tbl_de_massas[nome_completo],"--",0,1)</f>
        <v>Camille Morel David</v>
      </c>
      <c r="E1427" t="str">
        <f>_xlfn.XLOOKUP(TBL_USUARIOS[[#This Row],[ID_MASSA]],tbl_de_massas[id_massa],tbl_de_massas[cartao_fisico_numero],"--",0,1)</f>
        <v>4576 7460 2766 1177</v>
      </c>
      <c r="F1427" t="str">
        <f>_xlfn.XLOOKUP(TBL_USUARIOS[[#This Row],[ID_MASSA]],tbl_de_massas[id_massa],tbl_de_massas[nome_completo],"--",0,1)</f>
        <v>Camille Morel David</v>
      </c>
      <c r="G1427" s="47">
        <f>_xlfn.XLOOKUP(TBL_USUARIOS[[#This Row],[ID_MASSA]],tbl_de_massas[id_massa],tbl_de_massas[saldo_conta],"--",0,1)</f>
        <v>10000</v>
      </c>
      <c r="H1427" t="str">
        <f>_xlfn.XLOOKUP(TBL_USUARIOS[[#This Row],[ID_MASSA]],tbl_de_massas[id_massa],tbl_de_massas[nome_completo],"--",0,1)</f>
        <v>Camille Morel David</v>
      </c>
    </row>
    <row r="1428" spans="1:8" x14ac:dyDescent="0.25">
      <c r="A1428" s="2" t="s">
        <v>7412</v>
      </c>
      <c r="B1428" t="str">
        <f>_xlfn.XLOOKUP(TBL_USUARIOS[[#This Row],[ID_MASSA]],tbl_de_massas[id_massa],tbl_de_massas[cpf],"--",0,1)</f>
        <v>66619239382</v>
      </c>
      <c r="C1428" t="s">
        <v>12</v>
      </c>
      <c r="D1428" t="str">
        <f>_xlfn.XLOOKUP(TBL_USUARIOS[[#This Row],[ID_MASSA]],tbl_de_massas[id_massa],tbl_de_massas[nome_completo],"--",0,1)</f>
        <v>Lea Girard</v>
      </c>
      <c r="E1428" t="str">
        <f>_xlfn.XLOOKUP(TBL_USUARIOS[[#This Row],[ID_MASSA]],tbl_de_massas[id_massa],tbl_de_massas[cartao_fisico_numero],"--",0,1)</f>
        <v/>
      </c>
      <c r="F1428" t="str">
        <f>_xlfn.XLOOKUP(TBL_USUARIOS[[#This Row],[ID_MASSA]],tbl_de_massas[id_massa],tbl_de_massas[nome_completo],"--",0,1)</f>
        <v>Lea Girard</v>
      </c>
      <c r="G1428" s="47">
        <f>_xlfn.XLOOKUP(TBL_USUARIOS[[#This Row],[ID_MASSA]],tbl_de_massas[id_massa],tbl_de_massas[saldo_conta],"--",0,1)</f>
        <v>10000</v>
      </c>
      <c r="H1428" t="str">
        <f>_xlfn.XLOOKUP(TBL_USUARIOS[[#This Row],[ID_MASSA]],tbl_de_massas[id_massa],tbl_de_massas[nome_completo],"--",0,1)</f>
        <v>Lea Girard</v>
      </c>
    </row>
    <row r="1429" spans="1:8" x14ac:dyDescent="0.25">
      <c r="A1429" s="2" t="s">
        <v>7413</v>
      </c>
      <c r="B1429" t="str">
        <f>_xlfn.XLOOKUP(TBL_USUARIOS[[#This Row],[ID_MASSA]],tbl_de_massas[id_massa],tbl_de_massas[cpf],"--",0,1)</f>
        <v>07793360389</v>
      </c>
      <c r="C1429" t="s">
        <v>12</v>
      </c>
      <c r="D1429" t="str">
        <f>_xlfn.XLOOKUP(TBL_USUARIOS[[#This Row],[ID_MASSA]],tbl_de_massas[id_massa],tbl_de_massas[nome_completo],"--",0,1)</f>
        <v>Maxime Girard Martin</v>
      </c>
      <c r="E1429" t="str">
        <f>_xlfn.XLOOKUP(TBL_USUARIOS[[#This Row],[ID_MASSA]],tbl_de_massas[id_massa],tbl_de_massas[cartao_fisico_numero],"--",0,1)</f>
        <v>3782 770228 3846</v>
      </c>
      <c r="F1429" t="str">
        <f>_xlfn.XLOOKUP(TBL_USUARIOS[[#This Row],[ID_MASSA]],tbl_de_massas[id_massa],tbl_de_massas[nome_completo],"--",0,1)</f>
        <v>Maxime Girard Martin</v>
      </c>
      <c r="G1429" s="47">
        <f>_xlfn.XLOOKUP(TBL_USUARIOS[[#This Row],[ID_MASSA]],tbl_de_massas[id_massa],tbl_de_massas[saldo_conta],"--",0,1)</f>
        <v>10000</v>
      </c>
      <c r="H1429" t="str">
        <f>_xlfn.XLOOKUP(TBL_USUARIOS[[#This Row],[ID_MASSA]],tbl_de_massas[id_massa],tbl_de_massas[nome_completo],"--",0,1)</f>
        <v>Maxime Girard Martin</v>
      </c>
    </row>
    <row r="1430" spans="1:8" x14ac:dyDescent="0.25">
      <c r="A1430" s="2" t="s">
        <v>7414</v>
      </c>
      <c r="B1430" t="str">
        <f>_xlfn.XLOOKUP(TBL_USUARIOS[[#This Row],[ID_MASSA]],tbl_de_massas[id_massa],tbl_de_massas[cpf],"--",0,1)</f>
        <v>47442920110</v>
      </c>
      <c r="C1430" t="s">
        <v>12</v>
      </c>
      <c r="D1430" t="str">
        <f>_xlfn.XLOOKUP(TBL_USUARIOS[[#This Row],[ID_MASSA]],tbl_de_massas[id_massa],tbl_de_massas[nome_completo],"--",0,1)</f>
        <v>Emma Bonnet</v>
      </c>
      <c r="E1430" t="str">
        <f>_xlfn.XLOOKUP(TBL_USUARIOS[[#This Row],[ID_MASSA]],tbl_de_massas[id_massa],tbl_de_massas[cartao_fisico_numero],"--",0,1)</f>
        <v>5442 7460 1528 3396</v>
      </c>
      <c r="F1430" t="str">
        <f>_xlfn.XLOOKUP(TBL_USUARIOS[[#This Row],[ID_MASSA]],tbl_de_massas[id_massa],tbl_de_massas[nome_completo],"--",0,1)</f>
        <v>Emma Bonnet</v>
      </c>
      <c r="G1430" s="47">
        <f>_xlfn.XLOOKUP(TBL_USUARIOS[[#This Row],[ID_MASSA]],tbl_de_massas[id_massa],tbl_de_massas[saldo_conta],"--",0,1)</f>
        <v>10000</v>
      </c>
      <c r="H1430" t="str">
        <f>_xlfn.XLOOKUP(TBL_USUARIOS[[#This Row],[ID_MASSA]],tbl_de_massas[id_massa],tbl_de_massas[nome_completo],"--",0,1)</f>
        <v>Emma Bonnet</v>
      </c>
    </row>
  </sheetData>
  <phoneticPr fontId="8" type="noConversion"/>
  <conditionalFormatting sqref="A1:H1">
    <cfRule type="duplicateValues" dxfId="45" priority="1"/>
  </conditionalFormatting>
  <conditionalFormatting sqref="F1:H1">
    <cfRule type="duplicateValues" dxfId="44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398E-E5D2-46C5-B02B-AC4455560A21}">
  <dimension ref="A1:F2"/>
  <sheetViews>
    <sheetView showOutlineSymbols="0" workbookViewId="0"/>
  </sheetViews>
  <sheetFormatPr defaultRowHeight="15.75" x14ac:dyDescent="0.25"/>
  <cols>
    <col min="1" max="1" width="12.875" bestFit="1" customWidth="1"/>
    <col min="2" max="2" width="11.875" bestFit="1" customWidth="1"/>
    <col min="3" max="3" width="13" bestFit="1" customWidth="1"/>
    <col min="4" max="4" width="23.25" bestFit="1" customWidth="1"/>
    <col min="5" max="5" width="18.875" bestFit="1" customWidth="1"/>
    <col min="6" max="6" width="9.125" bestFit="1" customWidth="1"/>
  </cols>
  <sheetData>
    <row r="1" spans="1:6" x14ac:dyDescent="0.25">
      <c r="A1" s="6" t="s">
        <v>2253</v>
      </c>
      <c r="B1" s="7" t="s">
        <v>5</v>
      </c>
      <c r="C1" s="8" t="s">
        <v>33</v>
      </c>
      <c r="D1" s="8" t="s">
        <v>32</v>
      </c>
      <c r="E1" s="8" t="s">
        <v>2254</v>
      </c>
      <c r="F1" s="8" t="s">
        <v>2255</v>
      </c>
    </row>
    <row r="2" spans="1:6" x14ac:dyDescent="0.25">
      <c r="A2" s="4" t="s">
        <v>2269</v>
      </c>
      <c r="B2" s="5" t="str">
        <f>_xlfn.XLOOKUP(TBL_PIX[[#This Row],[ID_USUARIO]],tbl_de_massas[id_massa],tbl_de_massas[cpf],"--",0,1)</f>
        <v>12345678901</v>
      </c>
      <c r="C2" s="5" t="str">
        <f>_xlfn.XLOOKUP(TBL_PIX[[#This Row],[ID_USUARIO]],tbl_de_massas[id_massa],tbl_de_massas[cpf],"--",0,1)</f>
        <v>12345678901</v>
      </c>
      <c r="D2" s="5" t="str">
        <f>_xlfn.XLOOKUP(TBL_PIX[[#This Row],[ID_USUARIO]],tbl_de_massas[id_massa],tbl_de_massas[cpf],"--",0,1)</f>
        <v>12345678901</v>
      </c>
      <c r="E2" s="5" t="str">
        <f>_xlfn.XLOOKUP(TBL_PIX[[#This Row],[ID_USUARIO]],tbl_de_massas[id_massa],tbl_de_massas[cpf],"--",0,1)</f>
        <v>12345678901</v>
      </c>
      <c r="F2" s="9">
        <v>15</v>
      </c>
    </row>
  </sheetData>
  <phoneticPr fontId="8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4F781-78D1-43C2-8D57-8915094D15CD}">
  <dimension ref="A1:F4"/>
  <sheetViews>
    <sheetView showOutlineSymbols="0" workbookViewId="0"/>
  </sheetViews>
  <sheetFormatPr defaultRowHeight="15.75" x14ac:dyDescent="0.25"/>
  <cols>
    <col min="1" max="1" width="10.75" customWidth="1"/>
    <col min="2" max="2" width="11.25" customWidth="1"/>
    <col min="3" max="3" width="11.625" style="2" bestFit="1" customWidth="1"/>
    <col min="4" max="4" width="16.5" customWidth="1"/>
    <col min="5" max="5" width="8.625" bestFit="1" customWidth="1"/>
    <col min="6" max="6" width="14.625" bestFit="1" customWidth="1"/>
  </cols>
  <sheetData>
    <row r="1" spans="1:6" s="11" customFormat="1" ht="66.75" customHeight="1" x14ac:dyDescent="0.25">
      <c r="A1" s="10" t="s">
        <v>1</v>
      </c>
      <c r="B1" s="12" t="s">
        <v>4</v>
      </c>
      <c r="C1" s="11" t="s">
        <v>5</v>
      </c>
      <c r="D1" s="13" t="s">
        <v>2256</v>
      </c>
      <c r="E1" s="13" t="s">
        <v>2257</v>
      </c>
      <c r="F1" s="13" t="s">
        <v>2258</v>
      </c>
    </row>
    <row r="2" spans="1:6" x14ac:dyDescent="0.25">
      <c r="A2" t="s">
        <v>2128</v>
      </c>
      <c r="B2" s="2" t="s">
        <v>2262</v>
      </c>
      <c r="C2" s="3" t="str">
        <f>_xlfn.XLOOKUP(TBL_USUARIOS_SECUNDARIOS[[#This Row],[ID_MASSA]]&amp;"",tbl_de_massas[id_massa],tbl_de_massas[cpf],"--",0,1)</f>
        <v>73012176728</v>
      </c>
      <c r="D2" t="s">
        <v>2259</v>
      </c>
    </row>
    <row r="3" spans="1:6" x14ac:dyDescent="0.25">
      <c r="A3" t="s">
        <v>2343</v>
      </c>
      <c r="B3" s="2" t="s">
        <v>1292</v>
      </c>
      <c r="C3" s="3" t="str">
        <f>_xlfn.XLOOKUP(TBL_USUARIOS_SECUNDARIOS[[#This Row],[ID_MASSA]]&amp;"",tbl_de_massas[id_massa],tbl_de_massas[cpf],"--",0,1)</f>
        <v>18011225638</v>
      </c>
      <c r="D3" t="s">
        <v>2259</v>
      </c>
    </row>
    <row r="4" spans="1:6" x14ac:dyDescent="0.25">
      <c r="A4" t="s">
        <v>2346</v>
      </c>
      <c r="B4" s="2" t="s">
        <v>2263</v>
      </c>
      <c r="C4" s="3" t="str">
        <f>_xlfn.XLOOKUP(TBL_USUARIOS_SECUNDARIOS[[#This Row],[ID_MASSA]]&amp;"",tbl_de_massas[id_massa],tbl_de_massas[cpf],"--",0,1)</f>
        <v>76726514039</v>
      </c>
      <c r="D4" t="s">
        <v>2259</v>
      </c>
    </row>
  </sheetData>
  <phoneticPr fontId="8" type="noConversion"/>
  <conditionalFormatting sqref="D1:F1">
    <cfRule type="duplicateValues" dxfId="43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EF231-93DB-4380-9B4F-37F12C1E4EA2}">
  <dimension ref="A1:AO1951"/>
  <sheetViews>
    <sheetView showOutlineSymbols="0" workbookViewId="0">
      <selection activeCell="A39" sqref="A39:A54"/>
    </sheetView>
  </sheetViews>
  <sheetFormatPr defaultRowHeight="15.75" outlineLevelCol="1" x14ac:dyDescent="0.25"/>
  <cols>
    <col min="1" max="1" width="12.5" bestFit="1" customWidth="1"/>
    <col min="2" max="2" width="11.875" bestFit="1" customWidth="1"/>
    <col min="3" max="3" width="17.875" bestFit="1" customWidth="1"/>
    <col min="4" max="4" width="27.375" bestFit="1" customWidth="1"/>
    <col min="5" max="5" width="14.625" bestFit="1" customWidth="1"/>
    <col min="6" max="6" width="17.5" bestFit="1" customWidth="1"/>
    <col min="7" max="7" width="18.75" bestFit="1" customWidth="1"/>
    <col min="8" max="8" width="17.25" bestFit="1" customWidth="1"/>
    <col min="9" max="9" width="15.75" bestFit="1" customWidth="1"/>
    <col min="10" max="10" width="23.125" bestFit="1" customWidth="1"/>
    <col min="11" max="11" width="14.125" bestFit="1" customWidth="1"/>
    <col min="12" max="12" width="11.625" bestFit="1" customWidth="1"/>
    <col min="13" max="13" width="22.625" bestFit="1" customWidth="1"/>
    <col min="14" max="14" width="19" bestFit="1" customWidth="1"/>
    <col min="15" max="15" width="23.25" bestFit="1" customWidth="1"/>
    <col min="16" max="16" width="19.625" bestFit="1" customWidth="1"/>
    <col min="17" max="17" width="15.375" bestFit="1" customWidth="1"/>
    <col min="18" max="18" width="10.625" bestFit="1" customWidth="1"/>
    <col min="19" max="19" width="12" bestFit="1" customWidth="1"/>
    <col min="20" max="20" width="14.5" hidden="1" customWidth="1" outlineLevel="1"/>
    <col min="21" max="21" width="21.75" hidden="1" customWidth="1" outlineLevel="1"/>
    <col min="22" max="22" width="24.75" hidden="1" customWidth="1" outlineLevel="1"/>
    <col min="23" max="23" width="17.125" hidden="1" customWidth="1" outlineLevel="1"/>
    <col min="24" max="24" width="21.25" hidden="1" customWidth="1" outlineLevel="1"/>
    <col min="25" max="25" width="18.625" hidden="1" customWidth="1" outlineLevel="1"/>
    <col min="26" max="26" width="15" hidden="1" customWidth="1" outlineLevel="1"/>
    <col min="27" max="28" width="25.25" hidden="1" customWidth="1" outlineLevel="1"/>
    <col min="29" max="29" width="17.25" hidden="1" customWidth="1" outlineLevel="1"/>
    <col min="30" max="30" width="14.25" hidden="1" customWidth="1" outlineLevel="1"/>
    <col min="31" max="31" width="22.25" hidden="1" customWidth="1" outlineLevel="1"/>
    <col min="32" max="32" width="25.25" hidden="1" customWidth="1" outlineLevel="1"/>
    <col min="33" max="33" width="17.5" hidden="1" customWidth="1" outlineLevel="1"/>
    <col min="34" max="34" width="19" hidden="1" customWidth="1" outlineLevel="1"/>
    <col min="35" max="35" width="25.625" hidden="1" customWidth="1" outlineLevel="1"/>
    <col min="36" max="36" width="12.625" hidden="1" customWidth="1" outlineLevel="1"/>
    <col min="37" max="37" width="16.75" hidden="1" customWidth="1" outlineLevel="1"/>
    <col min="38" max="38" width="32.875" hidden="1" customWidth="1" outlineLevel="1"/>
    <col min="39" max="39" width="20.625" bestFit="1" customWidth="1" collapsed="1"/>
    <col min="40" max="40" width="81" bestFit="1" customWidth="1"/>
    <col min="41" max="41" width="17.875" bestFit="1" customWidth="1"/>
  </cols>
  <sheetData>
    <row r="1" spans="1:41" s="36" customFormat="1" x14ac:dyDescent="0.25">
      <c r="A1" s="11" t="s">
        <v>2364</v>
      </c>
      <c r="B1" s="11" t="s">
        <v>1293</v>
      </c>
      <c r="C1" s="11" t="s">
        <v>2365</v>
      </c>
      <c r="D1" s="11" t="s">
        <v>2366</v>
      </c>
      <c r="E1" s="11" t="s">
        <v>1294</v>
      </c>
      <c r="F1" s="11" t="s">
        <v>1295</v>
      </c>
      <c r="G1" s="11" t="s">
        <v>1296</v>
      </c>
      <c r="H1" s="11" t="s">
        <v>1297</v>
      </c>
      <c r="I1" s="11" t="s">
        <v>1298</v>
      </c>
      <c r="J1" s="11" t="s">
        <v>2653</v>
      </c>
      <c r="K1" s="11" t="s">
        <v>1299</v>
      </c>
      <c r="L1" s="11" t="s">
        <v>2367</v>
      </c>
      <c r="M1" s="11" t="s">
        <v>1300</v>
      </c>
      <c r="N1" s="11" t="s">
        <v>1301</v>
      </c>
      <c r="O1" s="11" t="s">
        <v>1302</v>
      </c>
      <c r="P1" s="11" t="s">
        <v>1303</v>
      </c>
      <c r="Q1" s="11" t="s">
        <v>2368</v>
      </c>
      <c r="R1" s="11" t="s">
        <v>6082</v>
      </c>
      <c r="S1" s="11" t="s">
        <v>6083</v>
      </c>
      <c r="T1" s="11" t="s">
        <v>6098</v>
      </c>
      <c r="U1" s="11" t="s">
        <v>6099</v>
      </c>
      <c r="V1" s="11" t="s">
        <v>6100</v>
      </c>
      <c r="W1" s="11" t="s">
        <v>6101</v>
      </c>
      <c r="X1" s="11" t="s">
        <v>6102</v>
      </c>
      <c r="Y1" s="11" t="s">
        <v>6103</v>
      </c>
      <c r="Z1" s="11" t="s">
        <v>6104</v>
      </c>
      <c r="AA1" s="11" t="s">
        <v>6105</v>
      </c>
      <c r="AB1" s="11" t="s">
        <v>6106</v>
      </c>
      <c r="AC1" s="11" t="s">
        <v>6107</v>
      </c>
      <c r="AD1" s="11" t="s">
        <v>6108</v>
      </c>
      <c r="AE1" s="11" t="s">
        <v>6109</v>
      </c>
      <c r="AF1" s="11" t="s">
        <v>6110</v>
      </c>
      <c r="AG1" s="11" t="s">
        <v>6111</v>
      </c>
      <c r="AH1" s="11" t="s">
        <v>6112</v>
      </c>
      <c r="AI1" s="11" t="s">
        <v>6113</v>
      </c>
      <c r="AJ1" s="11" t="s">
        <v>6114</v>
      </c>
      <c r="AK1" s="11" t="s">
        <v>6115</v>
      </c>
      <c r="AL1" s="11" t="s">
        <v>6116</v>
      </c>
      <c r="AM1" s="11" t="s">
        <v>6117</v>
      </c>
      <c r="AN1" s="11" t="s">
        <v>6118</v>
      </c>
      <c r="AO1" t="s">
        <v>9553</v>
      </c>
    </row>
    <row r="2" spans="1:41" hidden="1" x14ac:dyDescent="0.25">
      <c r="A2" s="51" t="s">
        <v>15</v>
      </c>
      <c r="B2" s="51" t="s">
        <v>1525</v>
      </c>
      <c r="C2" s="54" t="s">
        <v>607</v>
      </c>
      <c r="D2" s="51" t="s">
        <v>1522</v>
      </c>
      <c r="E2" s="20">
        <v>11500</v>
      </c>
      <c r="F2" s="20">
        <v>429.56</v>
      </c>
      <c r="G2" s="20">
        <v>4570.4399999999996</v>
      </c>
      <c r="H2" s="20">
        <v>4360.91</v>
      </c>
      <c r="I2" s="20">
        <v>429.56</v>
      </c>
      <c r="J2" s="51" t="s">
        <v>6724</v>
      </c>
      <c r="K2" s="15">
        <v>0</v>
      </c>
      <c r="L2" s="51" t="s">
        <v>2371</v>
      </c>
      <c r="M2" s="51" t="s">
        <v>1526</v>
      </c>
      <c r="N2" s="51" t="s">
        <v>1340</v>
      </c>
      <c r="O2" s="51" t="s">
        <v>1527</v>
      </c>
      <c r="P2" s="51" t="s">
        <v>1528</v>
      </c>
      <c r="Q2" s="45">
        <v>46201.06753403935</v>
      </c>
      <c r="R2" s="46">
        <v>46310</v>
      </c>
      <c r="S2" s="46">
        <v>46305</v>
      </c>
      <c r="T2" s="51" t="s">
        <v>6119</v>
      </c>
      <c r="U2" s="15"/>
      <c r="V2" s="15"/>
      <c r="W2" s="15"/>
      <c r="X2" s="15"/>
      <c r="Y2" s="15"/>
      <c r="Z2" s="15"/>
      <c r="AA2" s="46"/>
      <c r="AB2" s="15"/>
      <c r="AC2" s="15"/>
      <c r="AD2" s="15"/>
      <c r="AE2" s="15"/>
      <c r="AF2" s="15"/>
      <c r="AG2" s="15"/>
      <c r="AH2" s="15"/>
      <c r="AI2" s="46"/>
      <c r="AJ2" s="51" t="s">
        <v>67</v>
      </c>
      <c r="AK2" s="51" t="s">
        <v>67</v>
      </c>
      <c r="AL2" s="15"/>
      <c r="AM2" s="51" t="s">
        <v>6705</v>
      </c>
      <c r="AN2" s="51" t="s">
        <v>6120</v>
      </c>
      <c r="AO2" s="50" t="s">
        <v>9554</v>
      </c>
    </row>
    <row r="3" spans="1:41" hidden="1" x14ac:dyDescent="0.25">
      <c r="A3" s="51" t="s">
        <v>18</v>
      </c>
      <c r="B3" s="51" t="s">
        <v>1376</v>
      </c>
      <c r="C3" s="54" t="s">
        <v>607</v>
      </c>
      <c r="D3" s="51" t="s">
        <v>1377</v>
      </c>
      <c r="E3" s="20">
        <v>1946.36</v>
      </c>
      <c r="F3" s="20">
        <v>420.02</v>
      </c>
      <c r="G3" s="20">
        <v>4579.9799999999996</v>
      </c>
      <c r="H3" s="20">
        <v>1231.95</v>
      </c>
      <c r="I3" s="20">
        <v>420.02</v>
      </c>
      <c r="J3" s="51" t="s">
        <v>6726</v>
      </c>
      <c r="K3" s="15">
        <v>0</v>
      </c>
      <c r="L3" s="51" t="s">
        <v>2371</v>
      </c>
      <c r="M3" s="51" t="s">
        <v>1378</v>
      </c>
      <c r="N3" s="51" t="s">
        <v>1379</v>
      </c>
      <c r="O3" s="51" t="s">
        <v>67</v>
      </c>
      <c r="P3" s="51" t="s">
        <v>67</v>
      </c>
      <c r="Q3" s="45">
        <v>46207.108438657408</v>
      </c>
      <c r="R3" s="46">
        <v>46310</v>
      </c>
      <c r="S3" s="46">
        <v>46305</v>
      </c>
      <c r="T3" s="51" t="s">
        <v>6119</v>
      </c>
      <c r="U3" s="15">
        <v>50.82</v>
      </c>
      <c r="V3" s="15">
        <v>235.01</v>
      </c>
      <c r="W3" s="15">
        <v>2.17</v>
      </c>
      <c r="X3" s="15">
        <v>0.89</v>
      </c>
      <c r="Y3" s="15">
        <v>1.6629050000000001</v>
      </c>
      <c r="Z3" s="15">
        <v>6</v>
      </c>
      <c r="AA3" s="46">
        <v>46280</v>
      </c>
      <c r="AB3" s="15"/>
      <c r="AC3" s="15"/>
      <c r="AD3" s="15"/>
      <c r="AE3" s="15"/>
      <c r="AF3" s="15"/>
      <c r="AG3" s="15"/>
      <c r="AH3" s="15"/>
      <c r="AI3" s="46"/>
      <c r="AJ3" s="51" t="s">
        <v>67</v>
      </c>
      <c r="AK3" s="51" t="s">
        <v>6121</v>
      </c>
      <c r="AL3" s="15">
        <v>50.82</v>
      </c>
      <c r="AM3" s="51" t="s">
        <v>6705</v>
      </c>
      <c r="AN3" s="51" t="s">
        <v>6120</v>
      </c>
      <c r="AO3" s="50" t="s">
        <v>9554</v>
      </c>
    </row>
    <row r="4" spans="1:41" hidden="1" x14ac:dyDescent="0.25">
      <c r="A4" s="51" t="s">
        <v>21</v>
      </c>
      <c r="B4" s="51" t="s">
        <v>1923</v>
      </c>
      <c r="C4" s="54" t="s">
        <v>607</v>
      </c>
      <c r="D4" s="51" t="s">
        <v>2370</v>
      </c>
      <c r="E4" s="20">
        <v>52000</v>
      </c>
      <c r="F4" s="20">
        <v>278.44</v>
      </c>
      <c r="G4" s="20">
        <v>4721.5600000000004</v>
      </c>
      <c r="H4" s="20">
        <v>5354.03</v>
      </c>
      <c r="I4" s="20">
        <v>278.44</v>
      </c>
      <c r="J4" s="51" t="s">
        <v>6724</v>
      </c>
      <c r="K4" s="15">
        <v>0</v>
      </c>
      <c r="L4" s="51" t="s">
        <v>2371</v>
      </c>
      <c r="M4" s="51" t="s">
        <v>1924</v>
      </c>
      <c r="N4" s="51" t="s">
        <v>1925</v>
      </c>
      <c r="O4" s="51" t="s">
        <v>67</v>
      </c>
      <c r="P4" s="51" t="s">
        <v>67</v>
      </c>
      <c r="Q4" s="45">
        <v>46207.11388247685</v>
      </c>
      <c r="R4" s="46">
        <v>46310</v>
      </c>
      <c r="S4" s="46">
        <v>46305</v>
      </c>
      <c r="T4" s="51" t="s">
        <v>6119</v>
      </c>
      <c r="U4" s="15"/>
      <c r="V4" s="15"/>
      <c r="W4" s="15"/>
      <c r="X4" s="15"/>
      <c r="Y4" s="15"/>
      <c r="Z4" s="15"/>
      <c r="AA4" s="46"/>
      <c r="AB4" s="15"/>
      <c r="AC4" s="15"/>
      <c r="AD4" s="15"/>
      <c r="AE4" s="15"/>
      <c r="AF4" s="15"/>
      <c r="AG4" s="15"/>
      <c r="AH4" s="15"/>
      <c r="AI4" s="46"/>
      <c r="AJ4" s="51" t="s">
        <v>67</v>
      </c>
      <c r="AK4" s="51" t="s">
        <v>67</v>
      </c>
      <c r="AL4" s="15"/>
      <c r="AM4" s="51" t="s">
        <v>6705</v>
      </c>
      <c r="AN4" s="51" t="s">
        <v>6706</v>
      </c>
      <c r="AO4" s="50" t="s">
        <v>9554</v>
      </c>
    </row>
    <row r="5" spans="1:41" hidden="1" x14ac:dyDescent="0.25">
      <c r="A5" s="51" t="s">
        <v>24</v>
      </c>
      <c r="B5" s="51" t="s">
        <v>1765</v>
      </c>
      <c r="C5" s="54" t="s">
        <v>607</v>
      </c>
      <c r="D5" s="51" t="s">
        <v>1766</v>
      </c>
      <c r="E5" s="20">
        <v>30841.52</v>
      </c>
      <c r="F5" s="20">
        <v>3318.61</v>
      </c>
      <c r="G5" s="20">
        <v>1681.39</v>
      </c>
      <c r="H5" s="20">
        <v>8034.28</v>
      </c>
      <c r="I5" s="20">
        <v>3318.61</v>
      </c>
      <c r="J5" s="51" t="s">
        <v>6724</v>
      </c>
      <c r="K5" s="15">
        <v>0</v>
      </c>
      <c r="L5" s="51" t="s">
        <v>2371</v>
      </c>
      <c r="M5" s="51" t="s">
        <v>1767</v>
      </c>
      <c r="N5" s="51" t="s">
        <v>1768</v>
      </c>
      <c r="O5" s="51" t="s">
        <v>67</v>
      </c>
      <c r="P5" s="51" t="s">
        <v>67</v>
      </c>
      <c r="Q5" s="45">
        <v>46207.114163935184</v>
      </c>
      <c r="R5" s="46">
        <v>46310</v>
      </c>
      <c r="S5" s="46">
        <v>46305</v>
      </c>
      <c r="T5" s="51" t="s">
        <v>6119</v>
      </c>
      <c r="U5" s="15"/>
      <c r="V5" s="15"/>
      <c r="W5" s="15"/>
      <c r="X5" s="15"/>
      <c r="Y5" s="15"/>
      <c r="Z5" s="15"/>
      <c r="AA5" s="46"/>
      <c r="AB5" s="15"/>
      <c r="AC5" s="15"/>
      <c r="AD5" s="15"/>
      <c r="AE5" s="15"/>
      <c r="AF5" s="15"/>
      <c r="AG5" s="15"/>
      <c r="AH5" s="15"/>
      <c r="AI5" s="46"/>
      <c r="AJ5" s="51" t="s">
        <v>67</v>
      </c>
      <c r="AK5" s="51" t="s">
        <v>67</v>
      </c>
      <c r="AL5" s="15"/>
      <c r="AM5" s="51" t="s">
        <v>6705</v>
      </c>
      <c r="AN5" s="51" t="s">
        <v>6707</v>
      </c>
      <c r="AO5" s="50" t="s">
        <v>9554</v>
      </c>
    </row>
    <row r="6" spans="1:41" hidden="1" x14ac:dyDescent="0.25">
      <c r="A6" s="51" t="s">
        <v>27</v>
      </c>
      <c r="B6" s="51" t="s">
        <v>1864</v>
      </c>
      <c r="C6" s="54" t="s">
        <v>607</v>
      </c>
      <c r="D6" s="51" t="s">
        <v>1865</v>
      </c>
      <c r="E6" s="20">
        <v>10000</v>
      </c>
      <c r="F6" s="20">
        <v>1065.33</v>
      </c>
      <c r="G6" s="20">
        <v>3934.67</v>
      </c>
      <c r="H6" s="20">
        <v>1353.73</v>
      </c>
      <c r="I6" s="20">
        <v>1065.33</v>
      </c>
      <c r="J6" s="51" t="s">
        <v>6726</v>
      </c>
      <c r="K6" s="15">
        <v>0</v>
      </c>
      <c r="L6" s="51" t="s">
        <v>2371</v>
      </c>
      <c r="M6" s="51" t="s">
        <v>1866</v>
      </c>
      <c r="N6" s="51" t="s">
        <v>1867</v>
      </c>
      <c r="O6" s="51" t="s">
        <v>67</v>
      </c>
      <c r="P6" s="51" t="s">
        <v>67</v>
      </c>
      <c r="Q6" s="45">
        <v>46207.114609317126</v>
      </c>
      <c r="R6" s="46">
        <v>46310</v>
      </c>
      <c r="S6" s="46">
        <v>46305</v>
      </c>
      <c r="T6" s="51" t="s">
        <v>6119</v>
      </c>
      <c r="U6" s="15">
        <v>187.04</v>
      </c>
      <c r="V6" s="15">
        <v>864.98</v>
      </c>
      <c r="W6" s="15">
        <v>7.96</v>
      </c>
      <c r="X6" s="15">
        <v>3.29</v>
      </c>
      <c r="Y6" s="15">
        <v>1.6623060000000001</v>
      </c>
      <c r="Z6" s="15">
        <v>6</v>
      </c>
      <c r="AA6" s="46">
        <v>46280</v>
      </c>
      <c r="AB6" s="15"/>
      <c r="AC6" s="15"/>
      <c r="AD6" s="15"/>
      <c r="AE6" s="15"/>
      <c r="AF6" s="15"/>
      <c r="AG6" s="15"/>
      <c r="AH6" s="15"/>
      <c r="AI6" s="46"/>
      <c r="AJ6" s="51" t="s">
        <v>67</v>
      </c>
      <c r="AK6" s="51" t="s">
        <v>6121</v>
      </c>
      <c r="AL6" s="15">
        <v>187.04</v>
      </c>
      <c r="AM6" s="51" t="s">
        <v>6705</v>
      </c>
      <c r="AN6" s="51" t="s">
        <v>6120</v>
      </c>
      <c r="AO6" s="50" t="s">
        <v>9554</v>
      </c>
    </row>
    <row r="7" spans="1:41" hidden="1" x14ac:dyDescent="0.25">
      <c r="A7" s="51" t="s">
        <v>609</v>
      </c>
      <c r="B7" s="51" t="s">
        <v>2006</v>
      </c>
      <c r="C7" s="54" t="s">
        <v>607</v>
      </c>
      <c r="D7" s="51" t="s">
        <v>2007</v>
      </c>
      <c r="E7" s="20">
        <v>10000</v>
      </c>
      <c r="F7" s="20">
        <v>802.9</v>
      </c>
      <c r="G7" s="20">
        <v>4197.1000000000004</v>
      </c>
      <c r="H7" s="20">
        <v>1594.15</v>
      </c>
      <c r="I7" s="20">
        <v>802.9</v>
      </c>
      <c r="J7" s="51" t="s">
        <v>6726</v>
      </c>
      <c r="K7" s="15">
        <v>0</v>
      </c>
      <c r="L7" s="51" t="s">
        <v>2371</v>
      </c>
      <c r="M7" s="51" t="s">
        <v>2008</v>
      </c>
      <c r="N7" s="51" t="s">
        <v>2009</v>
      </c>
      <c r="O7" s="51" t="s">
        <v>67</v>
      </c>
      <c r="P7" s="51" t="s">
        <v>67</v>
      </c>
      <c r="Q7" s="45">
        <v>46207.114950717594</v>
      </c>
      <c r="R7" s="46">
        <v>46310</v>
      </c>
      <c r="S7" s="46">
        <v>46305</v>
      </c>
      <c r="T7" s="51" t="s">
        <v>6119</v>
      </c>
      <c r="U7" s="15">
        <v>130.16999999999999</v>
      </c>
      <c r="V7" s="15">
        <v>601.98</v>
      </c>
      <c r="W7" s="15">
        <v>5.54</v>
      </c>
      <c r="X7" s="15">
        <v>2.29</v>
      </c>
      <c r="Y7" s="15">
        <v>1.662326</v>
      </c>
      <c r="Z7" s="15">
        <v>6</v>
      </c>
      <c r="AA7" s="46">
        <v>46280</v>
      </c>
      <c r="AB7" s="15"/>
      <c r="AC7" s="15"/>
      <c r="AD7" s="15"/>
      <c r="AE7" s="15"/>
      <c r="AF7" s="15"/>
      <c r="AG7" s="15"/>
      <c r="AH7" s="15"/>
      <c r="AI7" s="46"/>
      <c r="AJ7" s="51" t="s">
        <v>67</v>
      </c>
      <c r="AK7" s="51" t="s">
        <v>6121</v>
      </c>
      <c r="AL7" s="15">
        <v>130.16999999999999</v>
      </c>
      <c r="AM7" s="51" t="s">
        <v>6705</v>
      </c>
      <c r="AN7" s="51" t="s">
        <v>6120</v>
      </c>
      <c r="AO7" s="50" t="s">
        <v>9554</v>
      </c>
    </row>
    <row r="8" spans="1:41" hidden="1" x14ac:dyDescent="0.25">
      <c r="A8" s="51" t="s">
        <v>610</v>
      </c>
      <c r="B8" s="51" t="s">
        <v>1990</v>
      </c>
      <c r="C8" s="54" t="s">
        <v>607</v>
      </c>
      <c r="D8" s="51" t="s">
        <v>1991</v>
      </c>
      <c r="E8" s="20">
        <v>8546.7099999999991</v>
      </c>
      <c r="F8" s="20">
        <v>185.6</v>
      </c>
      <c r="G8" s="20">
        <v>4814.3999999999996</v>
      </c>
      <c r="H8" s="20">
        <v>1453.29</v>
      </c>
      <c r="I8" s="20">
        <v>185.6</v>
      </c>
      <c r="J8" s="51" t="s">
        <v>6724</v>
      </c>
      <c r="K8" s="15">
        <v>0</v>
      </c>
      <c r="L8" s="51" t="s">
        <v>2371</v>
      </c>
      <c r="M8" s="51" t="s">
        <v>1992</v>
      </c>
      <c r="N8" s="51" t="s">
        <v>486</v>
      </c>
      <c r="O8" s="51" t="s">
        <v>67</v>
      </c>
      <c r="P8" s="51" t="s">
        <v>67</v>
      </c>
      <c r="Q8" s="45">
        <v>46207.115591099537</v>
      </c>
      <c r="R8" s="46">
        <v>46310</v>
      </c>
      <c r="S8" s="46">
        <v>46305</v>
      </c>
      <c r="T8" s="51" t="s">
        <v>6119</v>
      </c>
      <c r="U8" s="15">
        <v>318.39</v>
      </c>
      <c r="V8" s="15">
        <v>1472.43</v>
      </c>
      <c r="W8" s="15">
        <v>13.55</v>
      </c>
      <c r="X8" s="15">
        <v>5.59</v>
      </c>
      <c r="Y8" s="15">
        <v>1.6621509999999999</v>
      </c>
      <c r="Z8" s="15">
        <v>6</v>
      </c>
      <c r="AA8" s="46">
        <v>46280</v>
      </c>
      <c r="AB8" s="15"/>
      <c r="AC8" s="15"/>
      <c r="AD8" s="15"/>
      <c r="AE8" s="15"/>
      <c r="AF8" s="15"/>
      <c r="AG8" s="15"/>
      <c r="AH8" s="15"/>
      <c r="AI8" s="46"/>
      <c r="AJ8" s="51" t="s">
        <v>67</v>
      </c>
      <c r="AK8" s="51" t="s">
        <v>6121</v>
      </c>
      <c r="AL8" s="15">
        <v>318.39</v>
      </c>
      <c r="AM8" s="51" t="s">
        <v>67</v>
      </c>
      <c r="AN8" s="51" t="s">
        <v>67</v>
      </c>
      <c r="AO8" s="50" t="s">
        <v>9554</v>
      </c>
    </row>
    <row r="9" spans="1:41" hidden="1" x14ac:dyDescent="0.25">
      <c r="A9" s="51" t="s">
        <v>612</v>
      </c>
      <c r="B9" s="51" t="s">
        <v>1959</v>
      </c>
      <c r="C9" s="54" t="s">
        <v>607</v>
      </c>
      <c r="D9" s="51" t="s">
        <v>1960</v>
      </c>
      <c r="E9" s="20">
        <v>9829.6200000000008</v>
      </c>
      <c r="F9" s="20">
        <v>1724.95</v>
      </c>
      <c r="G9" s="20">
        <v>3275.05</v>
      </c>
      <c r="H9" s="20">
        <v>1703.77</v>
      </c>
      <c r="I9" s="20">
        <v>1724.95</v>
      </c>
      <c r="J9" s="51" t="s">
        <v>6725</v>
      </c>
      <c r="K9" s="15">
        <v>0</v>
      </c>
      <c r="L9" s="51" t="s">
        <v>2371</v>
      </c>
      <c r="M9" s="51" t="s">
        <v>1961</v>
      </c>
      <c r="N9" s="51" t="s">
        <v>1962</v>
      </c>
      <c r="O9" s="51" t="s">
        <v>67</v>
      </c>
      <c r="P9" s="51" t="s">
        <v>67</v>
      </c>
      <c r="Q9" s="45">
        <v>46207.116051527781</v>
      </c>
      <c r="R9" s="46">
        <v>46310</v>
      </c>
      <c r="S9" s="46">
        <v>46305</v>
      </c>
      <c r="T9" s="51" t="s">
        <v>6119</v>
      </c>
      <c r="U9" s="15">
        <v>373.27</v>
      </c>
      <c r="V9" s="15">
        <v>1726.21</v>
      </c>
      <c r="W9" s="15">
        <v>15.88</v>
      </c>
      <c r="X9" s="15">
        <v>6.56</v>
      </c>
      <c r="Y9" s="15">
        <v>1.6622650000000001</v>
      </c>
      <c r="Z9" s="15">
        <v>6</v>
      </c>
      <c r="AA9" s="46">
        <v>46280</v>
      </c>
      <c r="AB9" s="15"/>
      <c r="AC9" s="15"/>
      <c r="AD9" s="15"/>
      <c r="AE9" s="15"/>
      <c r="AF9" s="15"/>
      <c r="AG9" s="15"/>
      <c r="AH9" s="15"/>
      <c r="AI9" s="46"/>
      <c r="AJ9" s="51" t="s">
        <v>67</v>
      </c>
      <c r="AK9" s="51" t="s">
        <v>6121</v>
      </c>
      <c r="AL9" s="15">
        <v>373.27</v>
      </c>
      <c r="AM9" s="51" t="s">
        <v>67</v>
      </c>
      <c r="AN9" s="51" t="s">
        <v>67</v>
      </c>
      <c r="AO9" s="50" t="s">
        <v>9554</v>
      </c>
    </row>
    <row r="10" spans="1:41" hidden="1" x14ac:dyDescent="0.25">
      <c r="A10" s="51" t="s">
        <v>614</v>
      </c>
      <c r="B10" s="51" t="s">
        <v>1511</v>
      </c>
      <c r="C10" s="54" t="s">
        <v>607</v>
      </c>
      <c r="D10" s="51" t="s">
        <v>1512</v>
      </c>
      <c r="E10" s="20">
        <v>9371.7800000000007</v>
      </c>
      <c r="F10" s="20">
        <v>800.46</v>
      </c>
      <c r="G10" s="20">
        <v>4199.54</v>
      </c>
      <c r="H10" s="20">
        <v>1247.97</v>
      </c>
      <c r="I10" s="20">
        <v>800.46</v>
      </c>
      <c r="J10" s="51" t="s">
        <v>6726</v>
      </c>
      <c r="K10" s="15">
        <v>0</v>
      </c>
      <c r="L10" s="51" t="s">
        <v>2371</v>
      </c>
      <c r="M10" s="51" t="s">
        <v>1513</v>
      </c>
      <c r="N10" s="51" t="s">
        <v>1514</v>
      </c>
      <c r="O10" s="51" t="s">
        <v>67</v>
      </c>
      <c r="P10" s="51" t="s">
        <v>67</v>
      </c>
      <c r="Q10" s="45">
        <v>46207.116757905096</v>
      </c>
      <c r="R10" s="46">
        <v>46310</v>
      </c>
      <c r="S10" s="46">
        <v>46305</v>
      </c>
      <c r="T10" s="51" t="s">
        <v>6119</v>
      </c>
      <c r="U10" s="15">
        <v>273.41000000000003</v>
      </c>
      <c r="V10" s="15">
        <v>1264.42</v>
      </c>
      <c r="W10" s="15">
        <v>11.65</v>
      </c>
      <c r="X10" s="15">
        <v>4.8</v>
      </c>
      <c r="Y10" s="15">
        <v>1.6622220000000001</v>
      </c>
      <c r="Z10" s="15">
        <v>6</v>
      </c>
      <c r="AA10" s="46">
        <v>46280</v>
      </c>
      <c r="AB10" s="15"/>
      <c r="AC10" s="15"/>
      <c r="AD10" s="15"/>
      <c r="AE10" s="15"/>
      <c r="AF10" s="15"/>
      <c r="AG10" s="15"/>
      <c r="AH10" s="15"/>
      <c r="AI10" s="46"/>
      <c r="AJ10" s="51" t="s">
        <v>67</v>
      </c>
      <c r="AK10" s="51" t="s">
        <v>6121</v>
      </c>
      <c r="AL10" s="15">
        <v>273.41000000000003</v>
      </c>
      <c r="AM10" s="51" t="s">
        <v>67</v>
      </c>
      <c r="AN10" s="51" t="s">
        <v>67</v>
      </c>
      <c r="AO10" s="50" t="s">
        <v>9554</v>
      </c>
    </row>
    <row r="11" spans="1:41" hidden="1" x14ac:dyDescent="0.25">
      <c r="A11" s="51" t="s">
        <v>613</v>
      </c>
      <c r="B11" s="51" t="s">
        <v>1952</v>
      </c>
      <c r="C11" s="54" t="s">
        <v>607</v>
      </c>
      <c r="D11" s="51" t="s">
        <v>1953</v>
      </c>
      <c r="E11" s="20">
        <v>10000</v>
      </c>
      <c r="F11" s="20">
        <v>1055.45</v>
      </c>
      <c r="G11" s="20">
        <v>3944.55</v>
      </c>
      <c r="H11" s="20">
        <v>1344.36</v>
      </c>
      <c r="I11" s="20">
        <v>1055.45</v>
      </c>
      <c r="J11" s="51" t="s">
        <v>6726</v>
      </c>
      <c r="K11" s="15">
        <v>0</v>
      </c>
      <c r="L11" s="51" t="s">
        <v>2371</v>
      </c>
      <c r="M11" s="51" t="s">
        <v>1954</v>
      </c>
      <c r="N11" s="51" t="s">
        <v>1955</v>
      </c>
      <c r="O11" s="51" t="s">
        <v>67</v>
      </c>
      <c r="P11" s="51" t="s">
        <v>67</v>
      </c>
      <c r="Q11" s="45">
        <v>46207.117185590279</v>
      </c>
      <c r="R11" s="46">
        <v>46310</v>
      </c>
      <c r="S11" s="46">
        <v>46305</v>
      </c>
      <c r="T11" s="51" t="s">
        <v>6119</v>
      </c>
      <c r="U11" s="15">
        <v>184.99</v>
      </c>
      <c r="V11" s="15">
        <v>855.49</v>
      </c>
      <c r="W11" s="15">
        <v>7.88</v>
      </c>
      <c r="X11" s="15">
        <v>3.25</v>
      </c>
      <c r="Y11" s="15">
        <v>1.662458</v>
      </c>
      <c r="Z11" s="15">
        <v>6</v>
      </c>
      <c r="AA11" s="46">
        <v>46280</v>
      </c>
      <c r="AB11" s="15"/>
      <c r="AC11" s="15"/>
      <c r="AD11" s="15"/>
      <c r="AE11" s="15"/>
      <c r="AF11" s="15"/>
      <c r="AG11" s="15"/>
      <c r="AH11" s="15"/>
      <c r="AI11" s="46"/>
      <c r="AJ11" s="51" t="s">
        <v>67</v>
      </c>
      <c r="AK11" s="51" t="s">
        <v>6121</v>
      </c>
      <c r="AL11" s="15">
        <v>184.99</v>
      </c>
      <c r="AM11" s="51" t="s">
        <v>6705</v>
      </c>
      <c r="AN11" s="51" t="s">
        <v>6120</v>
      </c>
      <c r="AO11" s="50" t="s">
        <v>9554</v>
      </c>
    </row>
    <row r="12" spans="1:41" hidden="1" x14ac:dyDescent="0.25">
      <c r="A12" s="51" t="s">
        <v>615</v>
      </c>
      <c r="B12" s="51" t="s">
        <v>1690</v>
      </c>
      <c r="C12" s="54" t="s">
        <v>607</v>
      </c>
      <c r="D12" s="51" t="s">
        <v>1691</v>
      </c>
      <c r="E12" s="20">
        <v>1702.49</v>
      </c>
      <c r="F12" s="20">
        <v>277.08999999999997</v>
      </c>
      <c r="G12" s="20">
        <v>4722.91</v>
      </c>
      <c r="H12" s="20">
        <v>5297.51</v>
      </c>
      <c r="I12" s="20">
        <v>277.08999999999997</v>
      </c>
      <c r="J12" s="51" t="s">
        <v>6724</v>
      </c>
      <c r="K12" s="15">
        <v>0</v>
      </c>
      <c r="L12" s="51" t="s">
        <v>2371</v>
      </c>
      <c r="M12" s="51" t="s">
        <v>1692</v>
      </c>
      <c r="N12" s="51" t="s">
        <v>1693</v>
      </c>
      <c r="O12" s="51" t="s">
        <v>67</v>
      </c>
      <c r="P12" s="51" t="s">
        <v>67</v>
      </c>
      <c r="Q12" s="45">
        <v>46207.117466516203</v>
      </c>
      <c r="R12" s="46">
        <v>46310</v>
      </c>
      <c r="S12" s="46">
        <v>46305</v>
      </c>
      <c r="T12" s="51" t="s">
        <v>6119</v>
      </c>
      <c r="U12" s="15">
        <v>848.05</v>
      </c>
      <c r="V12" s="15">
        <v>3921.84</v>
      </c>
      <c r="W12" s="15">
        <v>36.08</v>
      </c>
      <c r="X12" s="15">
        <v>14.9</v>
      </c>
      <c r="Y12" s="15">
        <v>1.662307</v>
      </c>
      <c r="Z12" s="15">
        <v>6</v>
      </c>
      <c r="AA12" s="46">
        <v>46280</v>
      </c>
      <c r="AB12" s="15"/>
      <c r="AC12" s="15"/>
      <c r="AD12" s="15"/>
      <c r="AE12" s="15"/>
      <c r="AF12" s="15"/>
      <c r="AG12" s="15"/>
      <c r="AH12" s="15"/>
      <c r="AI12" s="46"/>
      <c r="AJ12" s="51" t="s">
        <v>67</v>
      </c>
      <c r="AK12" s="51" t="s">
        <v>6121</v>
      </c>
      <c r="AL12" s="15">
        <v>848.05</v>
      </c>
      <c r="AM12" s="51" t="s">
        <v>6705</v>
      </c>
      <c r="AN12" s="51" t="s">
        <v>6708</v>
      </c>
      <c r="AO12" s="50" t="s">
        <v>9554</v>
      </c>
    </row>
    <row r="13" spans="1:41" hidden="1" x14ac:dyDescent="0.25">
      <c r="A13" s="51" t="s">
        <v>616</v>
      </c>
      <c r="B13" s="51" t="s">
        <v>1508</v>
      </c>
      <c r="C13" s="54" t="s">
        <v>607</v>
      </c>
      <c r="D13" s="51" t="s">
        <v>1509</v>
      </c>
      <c r="E13" s="20">
        <v>3021.83</v>
      </c>
      <c r="F13" s="20">
        <v>175.33</v>
      </c>
      <c r="G13" s="20">
        <v>4824.67</v>
      </c>
      <c r="H13" s="20">
        <v>1021.83</v>
      </c>
      <c r="I13" s="20">
        <v>175.33</v>
      </c>
      <c r="J13" s="51" t="s">
        <v>6724</v>
      </c>
      <c r="K13" s="15">
        <v>0</v>
      </c>
      <c r="L13" s="51" t="s">
        <v>2371</v>
      </c>
      <c r="M13" s="51" t="s">
        <v>1510</v>
      </c>
      <c r="N13" s="51" t="s">
        <v>6084</v>
      </c>
      <c r="O13" s="51" t="s">
        <v>67</v>
      </c>
      <c r="P13" s="51" t="s">
        <v>67</v>
      </c>
      <c r="Q13" s="45">
        <v>46207.118839374998</v>
      </c>
      <c r="R13" s="46">
        <v>46310</v>
      </c>
      <c r="S13" s="46">
        <v>46305</v>
      </c>
      <c r="T13" s="51" t="s">
        <v>6119</v>
      </c>
      <c r="U13" s="15"/>
      <c r="V13" s="15"/>
      <c r="W13" s="15"/>
      <c r="X13" s="15"/>
      <c r="Y13" s="15"/>
      <c r="Z13" s="15"/>
      <c r="AA13" s="46"/>
      <c r="AB13" s="15"/>
      <c r="AC13" s="15"/>
      <c r="AD13" s="15"/>
      <c r="AE13" s="15"/>
      <c r="AF13" s="15"/>
      <c r="AG13" s="15"/>
      <c r="AH13" s="15"/>
      <c r="AI13" s="46"/>
      <c r="AJ13" s="51" t="s">
        <v>67</v>
      </c>
      <c r="AK13" s="51" t="s">
        <v>67</v>
      </c>
      <c r="AL13" s="15"/>
      <c r="AM13" s="51" t="s">
        <v>67</v>
      </c>
      <c r="AN13" s="51" t="s">
        <v>67</v>
      </c>
      <c r="AO13" s="50" t="s">
        <v>9554</v>
      </c>
    </row>
    <row r="14" spans="1:41" hidden="1" x14ac:dyDescent="0.25">
      <c r="A14" s="51" t="s">
        <v>617</v>
      </c>
      <c r="B14" s="51" t="s">
        <v>1779</v>
      </c>
      <c r="C14" s="54" t="s">
        <v>607</v>
      </c>
      <c r="D14" s="51" t="s">
        <v>1780</v>
      </c>
      <c r="E14" s="20">
        <v>17000</v>
      </c>
      <c r="F14" s="20">
        <v>263.25</v>
      </c>
      <c r="G14" s="20">
        <v>4736.75</v>
      </c>
      <c r="H14" s="20">
        <v>4715.9799999999996</v>
      </c>
      <c r="I14" s="20">
        <v>263.25</v>
      </c>
      <c r="J14" s="51" t="s">
        <v>6724</v>
      </c>
      <c r="K14" s="15">
        <v>0</v>
      </c>
      <c r="L14" s="51" t="s">
        <v>2371</v>
      </c>
      <c r="M14" s="51" t="s">
        <v>1781</v>
      </c>
      <c r="N14" s="51" t="s">
        <v>1782</v>
      </c>
      <c r="O14" s="51" t="s">
        <v>67</v>
      </c>
      <c r="P14" s="51" t="s">
        <v>67</v>
      </c>
      <c r="Q14" s="45">
        <v>46207.119121631942</v>
      </c>
      <c r="R14" s="46">
        <v>46310</v>
      </c>
      <c r="S14" s="46">
        <v>46305</v>
      </c>
      <c r="T14" s="51" t="s">
        <v>6119</v>
      </c>
      <c r="U14" s="15"/>
      <c r="V14" s="15"/>
      <c r="W14" s="15"/>
      <c r="X14" s="15"/>
      <c r="Y14" s="15"/>
      <c r="Z14" s="15"/>
      <c r="AA14" s="46"/>
      <c r="AB14" s="15"/>
      <c r="AC14" s="15"/>
      <c r="AD14" s="15"/>
      <c r="AE14" s="15"/>
      <c r="AF14" s="15"/>
      <c r="AG14" s="15"/>
      <c r="AH14" s="15"/>
      <c r="AI14" s="46"/>
      <c r="AJ14" s="51" t="s">
        <v>67</v>
      </c>
      <c r="AK14" s="51" t="s">
        <v>67</v>
      </c>
      <c r="AL14" s="15"/>
      <c r="AM14" s="51" t="s">
        <v>6705</v>
      </c>
      <c r="AN14" s="51" t="s">
        <v>6706</v>
      </c>
      <c r="AO14" s="50" t="s">
        <v>9554</v>
      </c>
    </row>
    <row r="15" spans="1:41" hidden="1" x14ac:dyDescent="0.25">
      <c r="A15" s="51" t="s">
        <v>618</v>
      </c>
      <c r="B15" s="51" t="s">
        <v>1871</v>
      </c>
      <c r="C15" s="54" t="s">
        <v>607</v>
      </c>
      <c r="D15" s="51" t="s">
        <v>1872</v>
      </c>
      <c r="E15" s="20">
        <v>4744</v>
      </c>
      <c r="F15" s="20">
        <v>276.10000000000002</v>
      </c>
      <c r="G15" s="20">
        <v>4723.8999999999996</v>
      </c>
      <c r="H15" s="20">
        <v>5256</v>
      </c>
      <c r="I15" s="20">
        <v>276.10000000000002</v>
      </c>
      <c r="J15" s="51" t="s">
        <v>6724</v>
      </c>
      <c r="K15" s="15">
        <v>0</v>
      </c>
      <c r="L15" s="51" t="s">
        <v>2371</v>
      </c>
      <c r="M15" s="51" t="s">
        <v>1873</v>
      </c>
      <c r="N15" s="51" t="s">
        <v>6085</v>
      </c>
      <c r="O15" s="51" t="s">
        <v>67</v>
      </c>
      <c r="P15" s="51" t="s">
        <v>67</v>
      </c>
      <c r="Q15" s="45">
        <v>46207.11947766204</v>
      </c>
      <c r="R15" s="46">
        <v>46310</v>
      </c>
      <c r="S15" s="46">
        <v>46305</v>
      </c>
      <c r="T15" s="51" t="s">
        <v>6119</v>
      </c>
      <c r="U15" s="15">
        <v>848.05</v>
      </c>
      <c r="V15" s="15">
        <v>3921.84</v>
      </c>
      <c r="W15" s="15">
        <v>36.08</v>
      </c>
      <c r="X15" s="15">
        <v>14.9</v>
      </c>
      <c r="Y15" s="15">
        <v>1.662307</v>
      </c>
      <c r="Z15" s="15">
        <v>6</v>
      </c>
      <c r="AA15" s="46">
        <v>46280</v>
      </c>
      <c r="AB15" s="15"/>
      <c r="AC15" s="15"/>
      <c r="AD15" s="15"/>
      <c r="AE15" s="15"/>
      <c r="AF15" s="15"/>
      <c r="AG15" s="15"/>
      <c r="AH15" s="15"/>
      <c r="AI15" s="46"/>
      <c r="AJ15" s="51" t="s">
        <v>67</v>
      </c>
      <c r="AK15" s="51" t="s">
        <v>6121</v>
      </c>
      <c r="AL15" s="15">
        <v>848.05</v>
      </c>
      <c r="AM15" s="51" t="s">
        <v>6705</v>
      </c>
      <c r="AN15" s="51" t="s">
        <v>6708</v>
      </c>
      <c r="AO15" s="50" t="s">
        <v>9554</v>
      </c>
    </row>
    <row r="16" spans="1:41" hidden="1" x14ac:dyDescent="0.25">
      <c r="A16" s="51" t="s">
        <v>1291</v>
      </c>
      <c r="B16" s="51" t="s">
        <v>1355</v>
      </c>
      <c r="C16" s="54" t="s">
        <v>607</v>
      </c>
      <c r="D16" s="51" t="s">
        <v>2372</v>
      </c>
      <c r="E16" s="20">
        <v>9866.82</v>
      </c>
      <c r="F16" s="20">
        <v>1623.19</v>
      </c>
      <c r="G16" s="20">
        <v>3376.81</v>
      </c>
      <c r="H16" s="20">
        <v>1479.87</v>
      </c>
      <c r="I16" s="20">
        <v>1623.19</v>
      </c>
      <c r="J16" s="51" t="s">
        <v>6726</v>
      </c>
      <c r="K16" s="15">
        <v>11</v>
      </c>
      <c r="L16" s="51" t="s">
        <v>2369</v>
      </c>
      <c r="M16" s="51" t="s">
        <v>1356</v>
      </c>
      <c r="N16" s="51" t="s">
        <v>1357</v>
      </c>
      <c r="O16" s="51" t="s">
        <v>67</v>
      </c>
      <c r="P16" s="51" t="s">
        <v>67</v>
      </c>
      <c r="Q16" s="45">
        <v>46207.120921886577</v>
      </c>
      <c r="R16" s="46">
        <v>46310</v>
      </c>
      <c r="S16" s="46">
        <v>46305</v>
      </c>
      <c r="T16" s="51" t="s">
        <v>6119</v>
      </c>
      <c r="U16" s="15">
        <v>324.22000000000003</v>
      </c>
      <c r="V16" s="15">
        <v>1499.36</v>
      </c>
      <c r="W16" s="15">
        <v>13.79</v>
      </c>
      <c r="X16" s="15">
        <v>5.7</v>
      </c>
      <c r="Y16" s="15">
        <v>1.662358</v>
      </c>
      <c r="Z16" s="15">
        <v>6</v>
      </c>
      <c r="AA16" s="46">
        <v>46280</v>
      </c>
      <c r="AB16" s="15"/>
      <c r="AC16" s="15"/>
      <c r="AD16" s="15"/>
      <c r="AE16" s="15"/>
      <c r="AF16" s="15"/>
      <c r="AG16" s="15"/>
      <c r="AH16" s="15"/>
      <c r="AI16" s="46"/>
      <c r="AJ16" s="51" t="s">
        <v>6121</v>
      </c>
      <c r="AK16" s="51" t="s">
        <v>6121</v>
      </c>
      <c r="AL16" s="15">
        <v>324.22000000000003</v>
      </c>
      <c r="AM16" s="51" t="s">
        <v>67</v>
      </c>
      <c r="AN16" s="51" t="s">
        <v>67</v>
      </c>
      <c r="AO16" s="50" t="s">
        <v>9554</v>
      </c>
    </row>
    <row r="17" spans="1:41" hidden="1" x14ac:dyDescent="0.25">
      <c r="A17" s="51" t="s">
        <v>2262</v>
      </c>
      <c r="B17" s="51" t="s">
        <v>1549</v>
      </c>
      <c r="C17" s="54" t="s">
        <v>607</v>
      </c>
      <c r="D17" s="51" t="s">
        <v>2373</v>
      </c>
      <c r="E17" s="20">
        <v>1938.02</v>
      </c>
      <c r="F17" s="20">
        <v>1289.6400000000001</v>
      </c>
      <c r="G17" s="20">
        <v>3710.36</v>
      </c>
      <c r="H17" s="20">
        <v>1156.21</v>
      </c>
      <c r="I17" s="20">
        <v>1289.6400000000001</v>
      </c>
      <c r="J17" s="51" t="s">
        <v>6725</v>
      </c>
      <c r="K17" s="15">
        <v>0</v>
      </c>
      <c r="L17" s="51" t="s">
        <v>2371</v>
      </c>
      <c r="M17" s="51" t="s">
        <v>1550</v>
      </c>
      <c r="N17" s="51" t="s">
        <v>1551</v>
      </c>
      <c r="O17" s="51" t="s">
        <v>67</v>
      </c>
      <c r="P17" s="51" t="s">
        <v>67</v>
      </c>
      <c r="Q17" s="45">
        <v>46207.121585393521</v>
      </c>
      <c r="R17" s="46">
        <v>46310</v>
      </c>
      <c r="S17" s="46">
        <v>46305</v>
      </c>
      <c r="T17" s="51" t="s">
        <v>6119</v>
      </c>
      <c r="U17" s="15">
        <v>253.31</v>
      </c>
      <c r="V17" s="15">
        <v>1171.43</v>
      </c>
      <c r="W17" s="15">
        <v>10.77</v>
      </c>
      <c r="X17" s="15">
        <v>4.45</v>
      </c>
      <c r="Y17" s="15">
        <v>1.662344</v>
      </c>
      <c r="Z17" s="15">
        <v>6</v>
      </c>
      <c r="AA17" s="46">
        <v>46280</v>
      </c>
      <c r="AB17" s="15"/>
      <c r="AC17" s="15"/>
      <c r="AD17" s="15"/>
      <c r="AE17" s="15"/>
      <c r="AF17" s="15"/>
      <c r="AG17" s="15"/>
      <c r="AH17" s="15"/>
      <c r="AI17" s="46"/>
      <c r="AJ17" s="51" t="s">
        <v>67</v>
      </c>
      <c r="AK17" s="51" t="s">
        <v>6121</v>
      </c>
      <c r="AL17" s="15">
        <v>253.31</v>
      </c>
      <c r="AM17" s="51" t="s">
        <v>67</v>
      </c>
      <c r="AN17" s="51" t="s">
        <v>67</v>
      </c>
      <c r="AO17" s="50" t="s">
        <v>9555</v>
      </c>
    </row>
    <row r="18" spans="1:41" hidden="1" x14ac:dyDescent="0.25">
      <c r="A18" s="51" t="s">
        <v>1292</v>
      </c>
      <c r="B18" s="51" t="s">
        <v>1351</v>
      </c>
      <c r="C18" s="54" t="s">
        <v>607</v>
      </c>
      <c r="D18" s="51" t="s">
        <v>1352</v>
      </c>
      <c r="E18" s="20">
        <v>10000</v>
      </c>
      <c r="F18" s="20">
        <v>181.81</v>
      </c>
      <c r="G18" s="20">
        <v>4818.1899999999996</v>
      </c>
      <c r="H18" s="20">
        <v>1293.8499999999999</v>
      </c>
      <c r="I18" s="20">
        <v>181.81</v>
      </c>
      <c r="J18" s="51" t="s">
        <v>6724</v>
      </c>
      <c r="K18" s="15">
        <v>0</v>
      </c>
      <c r="L18" s="51" t="s">
        <v>2371</v>
      </c>
      <c r="M18" s="51" t="s">
        <v>1353</v>
      </c>
      <c r="N18" s="51" t="s">
        <v>1354</v>
      </c>
      <c r="O18" s="51" t="s">
        <v>67</v>
      </c>
      <c r="P18" s="51" t="s">
        <v>67</v>
      </c>
      <c r="Q18" s="45">
        <v>46207.122146226851</v>
      </c>
      <c r="R18" s="46">
        <v>46310</v>
      </c>
      <c r="S18" s="46">
        <v>46305</v>
      </c>
      <c r="T18" s="51" t="s">
        <v>6119</v>
      </c>
      <c r="U18" s="15"/>
      <c r="V18" s="15"/>
      <c r="W18" s="15"/>
      <c r="X18" s="15"/>
      <c r="Y18" s="15"/>
      <c r="Z18" s="15"/>
      <c r="AA18" s="46"/>
      <c r="AB18" s="15"/>
      <c r="AC18" s="15"/>
      <c r="AD18" s="15"/>
      <c r="AE18" s="15"/>
      <c r="AF18" s="15"/>
      <c r="AG18" s="15"/>
      <c r="AH18" s="15"/>
      <c r="AI18" s="46"/>
      <c r="AJ18" s="51" t="s">
        <v>67</v>
      </c>
      <c r="AK18" s="51" t="s">
        <v>67</v>
      </c>
      <c r="AL18" s="15"/>
      <c r="AM18" s="51" t="s">
        <v>67</v>
      </c>
      <c r="AN18" s="51" t="s">
        <v>67</v>
      </c>
      <c r="AO18" s="50" t="s">
        <v>9554</v>
      </c>
    </row>
    <row r="19" spans="1:41" hidden="1" x14ac:dyDescent="0.25">
      <c r="A19" s="51" t="s">
        <v>2263</v>
      </c>
      <c r="B19" s="51" t="s">
        <v>1999</v>
      </c>
      <c r="C19" s="54" t="s">
        <v>607</v>
      </c>
      <c r="D19" s="51" t="s">
        <v>2000</v>
      </c>
      <c r="E19" s="20">
        <v>9498.17</v>
      </c>
      <c r="F19" s="20">
        <v>4786.87</v>
      </c>
      <c r="G19" s="20">
        <v>213.13</v>
      </c>
      <c r="H19" s="20">
        <v>5018.25</v>
      </c>
      <c r="I19" s="20">
        <v>4786.87</v>
      </c>
      <c r="J19" s="51" t="s">
        <v>6725</v>
      </c>
      <c r="K19" s="15">
        <v>0</v>
      </c>
      <c r="L19" s="51" t="s">
        <v>2371</v>
      </c>
      <c r="M19" s="51" t="s">
        <v>2001</v>
      </c>
      <c r="N19" s="51" t="s">
        <v>6086</v>
      </c>
      <c r="O19" s="51" t="s">
        <v>67</v>
      </c>
      <c r="P19" s="51" t="s">
        <v>67</v>
      </c>
      <c r="Q19" s="45">
        <v>46207.12306140046</v>
      </c>
      <c r="R19" s="46">
        <v>46310</v>
      </c>
      <c r="S19" s="46">
        <v>46305</v>
      </c>
      <c r="T19" s="51" t="s">
        <v>6119</v>
      </c>
      <c r="U19" s="15">
        <v>848.05</v>
      </c>
      <c r="V19" s="15">
        <v>3921.84</v>
      </c>
      <c r="W19" s="15">
        <v>36.08</v>
      </c>
      <c r="X19" s="15">
        <v>14.9</v>
      </c>
      <c r="Y19" s="15">
        <v>1.662307</v>
      </c>
      <c r="Z19" s="15">
        <v>6</v>
      </c>
      <c r="AA19" s="46">
        <v>46280</v>
      </c>
      <c r="AB19" s="15"/>
      <c r="AC19" s="15"/>
      <c r="AD19" s="15"/>
      <c r="AE19" s="15"/>
      <c r="AF19" s="15"/>
      <c r="AG19" s="15"/>
      <c r="AH19" s="15"/>
      <c r="AI19" s="46"/>
      <c r="AJ19" s="51" t="s">
        <v>67</v>
      </c>
      <c r="AK19" s="51" t="s">
        <v>6121</v>
      </c>
      <c r="AL19" s="15">
        <v>848.05</v>
      </c>
      <c r="AM19" s="51" t="s">
        <v>6705</v>
      </c>
      <c r="AN19" s="51" t="s">
        <v>6708</v>
      </c>
      <c r="AO19" s="50" t="s">
        <v>9554</v>
      </c>
    </row>
    <row r="20" spans="1:41" hidden="1" x14ac:dyDescent="0.25">
      <c r="A20" s="51" t="s">
        <v>2264</v>
      </c>
      <c r="B20" s="51" t="s">
        <v>1467</v>
      </c>
      <c r="C20" s="54" t="s">
        <v>607</v>
      </c>
      <c r="D20" s="51" t="s">
        <v>2374</v>
      </c>
      <c r="E20" s="20">
        <v>10000</v>
      </c>
      <c r="F20" s="20">
        <v>181.95</v>
      </c>
      <c r="G20" s="20">
        <v>4818.05</v>
      </c>
      <c r="H20" s="20">
        <v>1299.92</v>
      </c>
      <c r="I20" s="20">
        <v>181.95</v>
      </c>
      <c r="J20" s="51" t="s">
        <v>6724</v>
      </c>
      <c r="K20" s="15">
        <v>0</v>
      </c>
      <c r="L20" s="51" t="s">
        <v>2371</v>
      </c>
      <c r="M20" s="51" t="s">
        <v>1468</v>
      </c>
      <c r="N20" s="51" t="s">
        <v>1469</v>
      </c>
      <c r="O20" s="51" t="s">
        <v>67</v>
      </c>
      <c r="P20" s="51" t="s">
        <v>67</v>
      </c>
      <c r="Q20" s="45">
        <v>46207.124362291666</v>
      </c>
      <c r="R20" s="46">
        <v>46310</v>
      </c>
      <c r="S20" s="46">
        <v>46305</v>
      </c>
      <c r="T20" s="51" t="s">
        <v>6119</v>
      </c>
      <c r="U20" s="15"/>
      <c r="V20" s="15"/>
      <c r="W20" s="15"/>
      <c r="X20" s="15"/>
      <c r="Y20" s="15"/>
      <c r="Z20" s="15"/>
      <c r="AA20" s="46"/>
      <c r="AB20" s="15"/>
      <c r="AC20" s="15"/>
      <c r="AD20" s="15"/>
      <c r="AE20" s="15"/>
      <c r="AF20" s="15"/>
      <c r="AG20" s="15"/>
      <c r="AH20" s="15"/>
      <c r="AI20" s="46"/>
      <c r="AJ20" s="51" t="s">
        <v>67</v>
      </c>
      <c r="AK20" s="51" t="s">
        <v>67</v>
      </c>
      <c r="AL20" s="15"/>
      <c r="AM20" s="51" t="s">
        <v>67</v>
      </c>
      <c r="AN20" s="51" t="s">
        <v>67</v>
      </c>
      <c r="AO20" s="50" t="s">
        <v>9554</v>
      </c>
    </row>
    <row r="21" spans="1:41" hidden="1" x14ac:dyDescent="0.25">
      <c r="A21" s="51" t="s">
        <v>2265</v>
      </c>
      <c r="B21" s="51" t="s">
        <v>1742</v>
      </c>
      <c r="C21" s="54" t="s">
        <v>607</v>
      </c>
      <c r="D21" s="51" t="s">
        <v>2375</v>
      </c>
      <c r="E21" s="20">
        <v>9220.0300000000007</v>
      </c>
      <c r="F21" s="20">
        <v>822.93</v>
      </c>
      <c r="G21" s="20">
        <v>4177.07</v>
      </c>
      <c r="H21" s="20">
        <v>1418.14</v>
      </c>
      <c r="I21" s="20">
        <v>822.93</v>
      </c>
      <c r="J21" s="51" t="s">
        <v>6726</v>
      </c>
      <c r="K21" s="15">
        <v>0</v>
      </c>
      <c r="L21" s="51" t="s">
        <v>2371</v>
      </c>
      <c r="M21" s="51" t="s">
        <v>1743</v>
      </c>
      <c r="N21" s="51" t="s">
        <v>1744</v>
      </c>
      <c r="O21" s="51" t="s">
        <v>67</v>
      </c>
      <c r="P21" s="51" t="s">
        <v>67</v>
      </c>
      <c r="Q21" s="45">
        <v>46207.125125219907</v>
      </c>
      <c r="R21" s="46">
        <v>46310</v>
      </c>
      <c r="S21" s="46">
        <v>46305</v>
      </c>
      <c r="T21" s="51" t="s">
        <v>6119</v>
      </c>
      <c r="U21" s="15">
        <v>310.69</v>
      </c>
      <c r="V21" s="15">
        <v>1436.81</v>
      </c>
      <c r="W21" s="15">
        <v>13.21</v>
      </c>
      <c r="X21" s="15">
        <v>5.46</v>
      </c>
      <c r="Y21" s="15">
        <v>1.662175</v>
      </c>
      <c r="Z21" s="15">
        <v>6</v>
      </c>
      <c r="AA21" s="46">
        <v>46280</v>
      </c>
      <c r="AB21" s="15"/>
      <c r="AC21" s="15"/>
      <c r="AD21" s="15"/>
      <c r="AE21" s="15"/>
      <c r="AF21" s="15"/>
      <c r="AG21" s="15"/>
      <c r="AH21" s="15"/>
      <c r="AI21" s="46"/>
      <c r="AJ21" s="51" t="s">
        <v>67</v>
      </c>
      <c r="AK21" s="51" t="s">
        <v>6121</v>
      </c>
      <c r="AL21" s="15">
        <v>310.69</v>
      </c>
      <c r="AM21" s="51" t="s">
        <v>67</v>
      </c>
      <c r="AN21" s="51" t="s">
        <v>67</v>
      </c>
      <c r="AO21" s="50" t="s">
        <v>9554</v>
      </c>
    </row>
    <row r="22" spans="1:41" hidden="1" x14ac:dyDescent="0.25">
      <c r="A22" s="51" t="s">
        <v>2266</v>
      </c>
      <c r="B22" s="51" t="s">
        <v>1414</v>
      </c>
      <c r="C22" s="54" t="s">
        <v>607</v>
      </c>
      <c r="D22" s="51" t="s">
        <v>1415</v>
      </c>
      <c r="E22" s="20">
        <v>8533.01</v>
      </c>
      <c r="F22" s="20">
        <v>185.92</v>
      </c>
      <c r="G22" s="20">
        <v>4814.08</v>
      </c>
      <c r="H22" s="20">
        <v>1466.99</v>
      </c>
      <c r="I22" s="20">
        <v>185.92</v>
      </c>
      <c r="J22" s="51" t="s">
        <v>6724</v>
      </c>
      <c r="K22" s="15">
        <v>0</v>
      </c>
      <c r="L22" s="51" t="s">
        <v>2371</v>
      </c>
      <c r="M22" s="51" t="s">
        <v>1416</v>
      </c>
      <c r="N22" s="51" t="s">
        <v>1417</v>
      </c>
      <c r="O22" s="51" t="s">
        <v>67</v>
      </c>
      <c r="P22" s="51" t="s">
        <v>67</v>
      </c>
      <c r="Q22" s="45">
        <v>46207.127641354164</v>
      </c>
      <c r="R22" s="46">
        <v>46310</v>
      </c>
      <c r="S22" s="46">
        <v>46305</v>
      </c>
      <c r="T22" s="51" t="s">
        <v>6119</v>
      </c>
      <c r="U22" s="15">
        <v>321.39999999999998</v>
      </c>
      <c r="V22" s="15">
        <v>1486.32</v>
      </c>
      <c r="W22" s="15">
        <v>13.68</v>
      </c>
      <c r="X22" s="15">
        <v>5.65</v>
      </c>
      <c r="Y22" s="15">
        <v>1.662415</v>
      </c>
      <c r="Z22" s="15">
        <v>6</v>
      </c>
      <c r="AA22" s="46">
        <v>46280</v>
      </c>
      <c r="AB22" s="15"/>
      <c r="AC22" s="15"/>
      <c r="AD22" s="15"/>
      <c r="AE22" s="15"/>
      <c r="AF22" s="15"/>
      <c r="AG22" s="15"/>
      <c r="AH22" s="15"/>
      <c r="AI22" s="46"/>
      <c r="AJ22" s="51" t="s">
        <v>67</v>
      </c>
      <c r="AK22" s="51" t="s">
        <v>6121</v>
      </c>
      <c r="AL22" s="15">
        <v>321.39999999999998</v>
      </c>
      <c r="AM22" s="51" t="s">
        <v>67</v>
      </c>
      <c r="AN22" s="51" t="s">
        <v>67</v>
      </c>
      <c r="AO22" s="50" t="s">
        <v>9554</v>
      </c>
    </row>
    <row r="23" spans="1:41" hidden="1" x14ac:dyDescent="0.25">
      <c r="A23" s="51" t="s">
        <v>2267</v>
      </c>
      <c r="B23" s="51" t="s">
        <v>1380</v>
      </c>
      <c r="C23" s="54" t="s">
        <v>607</v>
      </c>
      <c r="D23" s="51" t="s">
        <v>1381</v>
      </c>
      <c r="E23" s="20">
        <v>9878.16</v>
      </c>
      <c r="F23" s="20">
        <v>1276.54</v>
      </c>
      <c r="G23" s="20">
        <v>3723.46</v>
      </c>
      <c r="H23" s="20">
        <v>1218.3699999999999</v>
      </c>
      <c r="I23" s="20">
        <v>1276.54</v>
      </c>
      <c r="J23" s="51" t="s">
        <v>6725</v>
      </c>
      <c r="K23" s="15">
        <v>0</v>
      </c>
      <c r="L23" s="51" t="s">
        <v>2371</v>
      </c>
      <c r="M23" s="51" t="s">
        <v>1382</v>
      </c>
      <c r="N23" s="51" t="s">
        <v>1383</v>
      </c>
      <c r="O23" s="51" t="s">
        <v>67</v>
      </c>
      <c r="P23" s="51" t="s">
        <v>67</v>
      </c>
      <c r="Q23" s="45">
        <v>46208.004672743053</v>
      </c>
      <c r="R23" s="46">
        <v>46310</v>
      </c>
      <c r="S23" s="46">
        <v>46305</v>
      </c>
      <c r="T23" s="51" t="s">
        <v>6119</v>
      </c>
      <c r="U23" s="15">
        <v>266.93</v>
      </c>
      <c r="V23" s="15">
        <v>1234.43</v>
      </c>
      <c r="W23" s="15">
        <v>11.37</v>
      </c>
      <c r="X23" s="15">
        <v>4.6900000000000004</v>
      </c>
      <c r="Y23" s="15">
        <v>1.6624030000000001</v>
      </c>
      <c r="Z23" s="15">
        <v>6</v>
      </c>
      <c r="AA23" s="46">
        <v>46280</v>
      </c>
      <c r="AB23" s="15"/>
      <c r="AC23" s="15"/>
      <c r="AD23" s="15"/>
      <c r="AE23" s="15"/>
      <c r="AF23" s="15"/>
      <c r="AG23" s="15"/>
      <c r="AH23" s="15"/>
      <c r="AI23" s="46"/>
      <c r="AJ23" s="51" t="s">
        <v>67</v>
      </c>
      <c r="AK23" s="51" t="s">
        <v>6121</v>
      </c>
      <c r="AL23" s="15">
        <v>266.93</v>
      </c>
      <c r="AM23" s="51" t="s">
        <v>67</v>
      </c>
      <c r="AN23" s="51" t="s">
        <v>67</v>
      </c>
      <c r="AO23" s="50" t="s">
        <v>9554</v>
      </c>
    </row>
    <row r="24" spans="1:41" hidden="1" x14ac:dyDescent="0.25">
      <c r="A24" s="51" t="s">
        <v>2268</v>
      </c>
      <c r="B24" s="51" t="s">
        <v>1323</v>
      </c>
      <c r="C24" s="54" t="s">
        <v>607</v>
      </c>
      <c r="D24" s="51" t="s">
        <v>1324</v>
      </c>
      <c r="E24" s="20">
        <v>2402.96</v>
      </c>
      <c r="F24" s="20">
        <v>160.6</v>
      </c>
      <c r="G24" s="20">
        <v>4839.3999999999996</v>
      </c>
      <c r="H24" s="20">
        <v>402.96</v>
      </c>
      <c r="I24" s="20">
        <v>160.6</v>
      </c>
      <c r="J24" s="51" t="s">
        <v>6724</v>
      </c>
      <c r="K24" s="15">
        <v>0</v>
      </c>
      <c r="L24" s="51" t="s">
        <v>2371</v>
      </c>
      <c r="M24" s="51" t="s">
        <v>1325</v>
      </c>
      <c r="N24" s="51" t="s">
        <v>1326</v>
      </c>
      <c r="O24" s="51" t="s">
        <v>67</v>
      </c>
      <c r="P24" s="51" t="s">
        <v>67</v>
      </c>
      <c r="Q24" s="45">
        <v>46208.0062434375</v>
      </c>
      <c r="R24" s="46">
        <v>46310</v>
      </c>
      <c r="S24" s="46">
        <v>46305</v>
      </c>
      <c r="T24" s="51" t="s">
        <v>6119</v>
      </c>
      <c r="U24" s="15"/>
      <c r="V24" s="15"/>
      <c r="W24" s="15"/>
      <c r="X24" s="15"/>
      <c r="Y24" s="15"/>
      <c r="Z24" s="15"/>
      <c r="AA24" s="46"/>
      <c r="AB24" s="15"/>
      <c r="AC24" s="15"/>
      <c r="AD24" s="15"/>
      <c r="AE24" s="15"/>
      <c r="AF24" s="15"/>
      <c r="AG24" s="15"/>
      <c r="AH24" s="15"/>
      <c r="AI24" s="46"/>
      <c r="AJ24" s="51" t="s">
        <v>67</v>
      </c>
      <c r="AK24" s="51" t="s">
        <v>67</v>
      </c>
      <c r="AL24" s="15"/>
      <c r="AM24" s="51" t="s">
        <v>67</v>
      </c>
      <c r="AN24" s="51" t="s">
        <v>67</v>
      </c>
      <c r="AO24" s="50" t="s">
        <v>9554</v>
      </c>
    </row>
    <row r="25" spans="1:41" x14ac:dyDescent="0.25">
      <c r="A25" s="51" t="s">
        <v>2269</v>
      </c>
      <c r="B25" s="51" t="s">
        <v>2081</v>
      </c>
      <c r="C25" s="54" t="s">
        <v>607</v>
      </c>
      <c r="D25" s="51" t="s">
        <v>2082</v>
      </c>
      <c r="E25" s="20">
        <v>4.2</v>
      </c>
      <c r="F25" s="20">
        <v>1088.68</v>
      </c>
      <c r="G25" s="20">
        <v>3911.32</v>
      </c>
      <c r="H25" s="20">
        <v>749.16</v>
      </c>
      <c r="I25" s="20">
        <v>963.69</v>
      </c>
      <c r="J25" s="51" t="s">
        <v>6727</v>
      </c>
      <c r="K25" s="15">
        <v>11</v>
      </c>
      <c r="L25" s="51" t="s">
        <v>2369</v>
      </c>
      <c r="M25" s="51" t="s">
        <v>2083</v>
      </c>
      <c r="N25" s="51" t="s">
        <v>2084</v>
      </c>
      <c r="O25" s="51" t="s">
        <v>67</v>
      </c>
      <c r="P25" s="51" t="s">
        <v>67</v>
      </c>
      <c r="Q25" s="45">
        <v>46210.883103067128</v>
      </c>
      <c r="R25" s="46">
        <v>46310</v>
      </c>
      <c r="S25" s="46">
        <v>46305</v>
      </c>
      <c r="T25" s="51" t="s">
        <v>6119</v>
      </c>
      <c r="U25" s="15">
        <v>164.13</v>
      </c>
      <c r="V25" s="15">
        <v>759.03</v>
      </c>
      <c r="W25" s="15">
        <v>6.99</v>
      </c>
      <c r="X25" s="15">
        <v>2.88</v>
      </c>
      <c r="Y25" s="15">
        <v>1.6622939999999999</v>
      </c>
      <c r="Z25" s="15">
        <v>6</v>
      </c>
      <c r="AA25" s="46">
        <v>46280</v>
      </c>
      <c r="AB25" s="15"/>
      <c r="AC25" s="15"/>
      <c r="AD25" s="15"/>
      <c r="AE25" s="15"/>
      <c r="AF25" s="15"/>
      <c r="AG25" s="15"/>
      <c r="AH25" s="15"/>
      <c r="AI25" s="46"/>
      <c r="AJ25" s="51" t="s">
        <v>6121</v>
      </c>
      <c r="AK25" s="51" t="s">
        <v>6121</v>
      </c>
      <c r="AL25" s="15">
        <v>164.13</v>
      </c>
      <c r="AM25" s="51" t="s">
        <v>6705</v>
      </c>
      <c r="AN25" s="51" t="s">
        <v>6709</v>
      </c>
      <c r="AO25" s="50" t="s">
        <v>9554</v>
      </c>
    </row>
    <row r="26" spans="1:41" hidden="1" x14ac:dyDescent="0.25">
      <c r="A26" s="51" t="s">
        <v>619</v>
      </c>
      <c r="B26" s="51" t="s">
        <v>2090</v>
      </c>
      <c r="C26" s="54" t="s">
        <v>607</v>
      </c>
      <c r="D26" s="51" t="s">
        <v>2091</v>
      </c>
      <c r="E26" s="20">
        <v>7285.36</v>
      </c>
      <c r="F26" s="20">
        <v>2957.33</v>
      </c>
      <c r="G26" s="20">
        <v>2042.67</v>
      </c>
      <c r="H26" s="20">
        <v>5392.62</v>
      </c>
      <c r="I26" s="20">
        <v>2957.33</v>
      </c>
      <c r="J26" s="51" t="s">
        <v>6726</v>
      </c>
      <c r="K26" s="15">
        <v>0</v>
      </c>
      <c r="L26" s="51" t="s">
        <v>2371</v>
      </c>
      <c r="M26" s="51" t="s">
        <v>2092</v>
      </c>
      <c r="N26" s="51" t="s">
        <v>2093</v>
      </c>
      <c r="O26" s="51" t="s">
        <v>67</v>
      </c>
      <c r="P26" s="51" t="s">
        <v>67</v>
      </c>
      <c r="Q26" s="45">
        <v>46210.912744687499</v>
      </c>
      <c r="R26" s="46">
        <v>46310</v>
      </c>
      <c r="S26" s="46">
        <v>46305</v>
      </c>
      <c r="T26" s="51" t="s">
        <v>6119</v>
      </c>
      <c r="U26" s="15">
        <v>848.05</v>
      </c>
      <c r="V26" s="15">
        <v>3921.84</v>
      </c>
      <c r="W26" s="15">
        <v>36.08</v>
      </c>
      <c r="X26" s="15">
        <v>14.9</v>
      </c>
      <c r="Y26" s="15">
        <v>1.662307</v>
      </c>
      <c r="Z26" s="15">
        <v>6</v>
      </c>
      <c r="AA26" s="46">
        <v>46280</v>
      </c>
      <c r="AB26" s="15"/>
      <c r="AC26" s="15"/>
      <c r="AD26" s="15"/>
      <c r="AE26" s="15"/>
      <c r="AF26" s="15"/>
      <c r="AG26" s="15"/>
      <c r="AH26" s="15"/>
      <c r="AI26" s="46"/>
      <c r="AJ26" s="51" t="s">
        <v>67</v>
      </c>
      <c r="AK26" s="51" t="s">
        <v>6121</v>
      </c>
      <c r="AL26" s="15">
        <v>848.05</v>
      </c>
      <c r="AM26" s="51" t="s">
        <v>6705</v>
      </c>
      <c r="AN26" s="51" t="s">
        <v>6708</v>
      </c>
      <c r="AO26" s="50" t="s">
        <v>9554</v>
      </c>
    </row>
    <row r="27" spans="1:41" hidden="1" x14ac:dyDescent="0.25">
      <c r="A27" s="51" t="s">
        <v>2270</v>
      </c>
      <c r="B27" s="51" t="s">
        <v>1945</v>
      </c>
      <c r="C27" s="54" t="s">
        <v>607</v>
      </c>
      <c r="D27" s="51" t="s">
        <v>1946</v>
      </c>
      <c r="E27" s="20">
        <v>8805.19</v>
      </c>
      <c r="F27" s="20">
        <v>587.20000000000005</v>
      </c>
      <c r="G27" s="20">
        <v>4412.8</v>
      </c>
      <c r="H27" s="20">
        <v>1593.09</v>
      </c>
      <c r="I27" s="20">
        <v>587.20000000000005</v>
      </c>
      <c r="J27" s="51" t="s">
        <v>6726</v>
      </c>
      <c r="K27" s="15">
        <v>0</v>
      </c>
      <c r="L27" s="51" t="s">
        <v>2371</v>
      </c>
      <c r="M27" s="51" t="s">
        <v>1947</v>
      </c>
      <c r="N27" s="51" t="s">
        <v>1948</v>
      </c>
      <c r="O27" s="51" t="s">
        <v>67</v>
      </c>
      <c r="P27" s="51" t="s">
        <v>67</v>
      </c>
      <c r="Q27" s="45">
        <v>46212.765254282407</v>
      </c>
      <c r="R27" s="46">
        <v>46310</v>
      </c>
      <c r="S27" s="46">
        <v>46305</v>
      </c>
      <c r="T27" s="51" t="s">
        <v>6119</v>
      </c>
      <c r="U27" s="15">
        <v>349.02</v>
      </c>
      <c r="V27" s="15">
        <v>1614.07</v>
      </c>
      <c r="W27" s="15">
        <v>14.85</v>
      </c>
      <c r="X27" s="15">
        <v>6.13</v>
      </c>
      <c r="Y27" s="15">
        <v>1.6622170000000001</v>
      </c>
      <c r="Z27" s="15">
        <v>6</v>
      </c>
      <c r="AA27" s="46">
        <v>46280</v>
      </c>
      <c r="AB27" s="15"/>
      <c r="AC27" s="15"/>
      <c r="AD27" s="15"/>
      <c r="AE27" s="15"/>
      <c r="AF27" s="15"/>
      <c r="AG27" s="15"/>
      <c r="AH27" s="15"/>
      <c r="AI27" s="46"/>
      <c r="AJ27" s="51" t="s">
        <v>67</v>
      </c>
      <c r="AK27" s="51" t="s">
        <v>6121</v>
      </c>
      <c r="AL27" s="15">
        <v>349.02</v>
      </c>
      <c r="AM27" s="51" t="s">
        <v>67</v>
      </c>
      <c r="AN27" s="51" t="s">
        <v>67</v>
      </c>
      <c r="AO27" s="50" t="s">
        <v>9554</v>
      </c>
    </row>
    <row r="28" spans="1:41" hidden="1" x14ac:dyDescent="0.25">
      <c r="A28" s="51" t="s">
        <v>2271</v>
      </c>
      <c r="B28" s="51" t="s">
        <v>1334</v>
      </c>
      <c r="C28" s="54" t="s">
        <v>607</v>
      </c>
      <c r="D28" s="51" t="s">
        <v>2376</v>
      </c>
      <c r="E28" s="20">
        <v>3257.75</v>
      </c>
      <c r="F28" s="20">
        <v>180.95</v>
      </c>
      <c r="G28" s="20">
        <v>4819.05</v>
      </c>
      <c r="H28" s="20">
        <v>1257.75</v>
      </c>
      <c r="I28" s="20">
        <v>180.95</v>
      </c>
      <c r="J28" s="51" t="s">
        <v>6724</v>
      </c>
      <c r="K28" s="15">
        <v>0</v>
      </c>
      <c r="L28" s="51" t="s">
        <v>2371</v>
      </c>
      <c r="M28" s="51" t="s">
        <v>1335</v>
      </c>
      <c r="N28" s="51" t="s">
        <v>1336</v>
      </c>
      <c r="O28" s="51" t="s">
        <v>67</v>
      </c>
      <c r="P28" s="51" t="s">
        <v>67</v>
      </c>
      <c r="Q28" s="45">
        <v>46212.766635023145</v>
      </c>
      <c r="R28" s="46">
        <v>46310</v>
      </c>
      <c r="S28" s="46">
        <v>46305</v>
      </c>
      <c r="T28" s="51" t="s">
        <v>6119</v>
      </c>
      <c r="U28" s="15"/>
      <c r="V28" s="15"/>
      <c r="W28" s="15"/>
      <c r="X28" s="15"/>
      <c r="Y28" s="15"/>
      <c r="Z28" s="15"/>
      <c r="AA28" s="46"/>
      <c r="AB28" s="15"/>
      <c r="AC28" s="15"/>
      <c r="AD28" s="15"/>
      <c r="AE28" s="15"/>
      <c r="AF28" s="15"/>
      <c r="AG28" s="15"/>
      <c r="AH28" s="15"/>
      <c r="AI28" s="46"/>
      <c r="AJ28" s="51" t="s">
        <v>67</v>
      </c>
      <c r="AK28" s="51" t="s">
        <v>67</v>
      </c>
      <c r="AL28" s="15"/>
      <c r="AM28" s="51" t="s">
        <v>67</v>
      </c>
      <c r="AN28" s="51" t="s">
        <v>67</v>
      </c>
      <c r="AO28" s="50" t="s">
        <v>9554</v>
      </c>
    </row>
    <row r="29" spans="1:41" hidden="1" x14ac:dyDescent="0.25">
      <c r="A29" s="51" t="s">
        <v>2272</v>
      </c>
      <c r="B29" s="51" t="s">
        <v>1403</v>
      </c>
      <c r="C29" s="54" t="s">
        <v>607</v>
      </c>
      <c r="D29" s="51" t="s">
        <v>1404</v>
      </c>
      <c r="E29" s="20">
        <v>9909.65</v>
      </c>
      <c r="F29" s="20">
        <v>1367.02</v>
      </c>
      <c r="G29" s="20">
        <v>3632.98</v>
      </c>
      <c r="H29" s="20">
        <v>1204.71</v>
      </c>
      <c r="I29" s="20">
        <v>1367.02</v>
      </c>
      <c r="J29" s="51" t="s">
        <v>6726</v>
      </c>
      <c r="K29" s="15">
        <v>11</v>
      </c>
      <c r="L29" s="51" t="s">
        <v>2369</v>
      </c>
      <c r="M29" s="51" t="s">
        <v>1405</v>
      </c>
      <c r="N29" s="51" t="s">
        <v>1406</v>
      </c>
      <c r="O29" s="51" t="s">
        <v>67</v>
      </c>
      <c r="P29" s="51" t="s">
        <v>67</v>
      </c>
      <c r="Q29" s="45">
        <v>46212.770143298614</v>
      </c>
      <c r="R29" s="46">
        <v>46310</v>
      </c>
      <c r="S29" s="46">
        <v>46305</v>
      </c>
      <c r="T29" s="51" t="s">
        <v>6119</v>
      </c>
      <c r="U29" s="15">
        <v>263.94</v>
      </c>
      <c r="V29" s="15">
        <v>1220.5899999999999</v>
      </c>
      <c r="W29" s="15">
        <v>11.24</v>
      </c>
      <c r="X29" s="15">
        <v>4.6399999999999997</v>
      </c>
      <c r="Y29" s="15">
        <v>1.6625049999999999</v>
      </c>
      <c r="Z29" s="15">
        <v>6</v>
      </c>
      <c r="AA29" s="46">
        <v>46280</v>
      </c>
      <c r="AB29" s="15"/>
      <c r="AC29" s="15"/>
      <c r="AD29" s="15"/>
      <c r="AE29" s="15"/>
      <c r="AF29" s="15"/>
      <c r="AG29" s="15"/>
      <c r="AH29" s="15"/>
      <c r="AI29" s="46"/>
      <c r="AJ29" s="51" t="s">
        <v>6121</v>
      </c>
      <c r="AK29" s="51" t="s">
        <v>6121</v>
      </c>
      <c r="AL29" s="15">
        <v>263.94</v>
      </c>
      <c r="AM29" s="51" t="s">
        <v>67</v>
      </c>
      <c r="AN29" s="51" t="s">
        <v>67</v>
      </c>
      <c r="AO29" s="50" t="s">
        <v>9554</v>
      </c>
    </row>
    <row r="30" spans="1:41" hidden="1" x14ac:dyDescent="0.25">
      <c r="A30" s="51" t="s">
        <v>2273</v>
      </c>
      <c r="B30" s="51" t="s">
        <v>2085</v>
      </c>
      <c r="C30" s="54" t="s">
        <v>607</v>
      </c>
      <c r="D30" s="51" t="s">
        <v>2082</v>
      </c>
      <c r="E30" s="20">
        <v>4871.1499999999996</v>
      </c>
      <c r="F30" s="20">
        <v>273.08</v>
      </c>
      <c r="G30" s="20">
        <v>4726.92</v>
      </c>
      <c r="H30" s="20">
        <v>5128.8500000000004</v>
      </c>
      <c r="I30" s="20">
        <v>273.08</v>
      </c>
      <c r="J30" s="51" t="s">
        <v>6724</v>
      </c>
      <c r="K30" s="15">
        <v>0</v>
      </c>
      <c r="L30" s="51" t="s">
        <v>2371</v>
      </c>
      <c r="M30" s="51" t="s">
        <v>2086</v>
      </c>
      <c r="N30" s="51" t="s">
        <v>1503</v>
      </c>
      <c r="O30" s="51" t="s">
        <v>67</v>
      </c>
      <c r="P30" s="51" t="s">
        <v>67</v>
      </c>
      <c r="Q30" s="45">
        <v>46218.781982615743</v>
      </c>
      <c r="R30" s="46">
        <v>46310</v>
      </c>
      <c r="S30" s="46">
        <v>46305</v>
      </c>
      <c r="T30" s="51" t="s">
        <v>6119</v>
      </c>
      <c r="U30" s="15">
        <v>848.05</v>
      </c>
      <c r="V30" s="15">
        <v>3921.84</v>
      </c>
      <c r="W30" s="15">
        <v>36.08</v>
      </c>
      <c r="X30" s="15">
        <v>14.9</v>
      </c>
      <c r="Y30" s="15">
        <v>1.662307</v>
      </c>
      <c r="Z30" s="15">
        <v>6</v>
      </c>
      <c r="AA30" s="46">
        <v>46280</v>
      </c>
      <c r="AB30" s="15"/>
      <c r="AC30" s="15"/>
      <c r="AD30" s="15"/>
      <c r="AE30" s="15"/>
      <c r="AF30" s="15"/>
      <c r="AG30" s="15"/>
      <c r="AH30" s="15"/>
      <c r="AI30" s="46"/>
      <c r="AJ30" s="51" t="s">
        <v>67</v>
      </c>
      <c r="AK30" s="51" t="s">
        <v>6121</v>
      </c>
      <c r="AL30" s="15">
        <v>848.05</v>
      </c>
      <c r="AM30" s="51" t="s">
        <v>6705</v>
      </c>
      <c r="AN30" s="51" t="s">
        <v>6708</v>
      </c>
      <c r="AO30" s="50" t="s">
        <v>9554</v>
      </c>
    </row>
    <row r="31" spans="1:41" hidden="1" x14ac:dyDescent="0.25">
      <c r="A31" s="51" t="s">
        <v>2274</v>
      </c>
      <c r="B31" s="51" t="s">
        <v>1687</v>
      </c>
      <c r="C31" s="54" t="s">
        <v>607</v>
      </c>
      <c r="D31" s="51" t="s">
        <v>1684</v>
      </c>
      <c r="E31" s="20">
        <v>9186.25</v>
      </c>
      <c r="F31" s="20">
        <v>852.03</v>
      </c>
      <c r="G31" s="20">
        <v>4147.97</v>
      </c>
      <c r="H31" s="20">
        <v>1479.56</v>
      </c>
      <c r="I31" s="20">
        <v>852.03</v>
      </c>
      <c r="J31" s="51" t="s">
        <v>6726</v>
      </c>
      <c r="K31" s="15">
        <v>0</v>
      </c>
      <c r="L31" s="51" t="s">
        <v>2371</v>
      </c>
      <c r="M31" s="51" t="s">
        <v>1688</v>
      </c>
      <c r="N31" s="51" t="s">
        <v>1689</v>
      </c>
      <c r="O31" s="51" t="s">
        <v>67</v>
      </c>
      <c r="P31" s="51" t="s">
        <v>67</v>
      </c>
      <c r="Q31" s="45">
        <v>46218.892523483795</v>
      </c>
      <c r="R31" s="46">
        <v>46310</v>
      </c>
      <c r="S31" s="46">
        <v>46305</v>
      </c>
      <c r="T31" s="51" t="s">
        <v>6119</v>
      </c>
      <c r="U31" s="15">
        <v>324.14999999999998</v>
      </c>
      <c r="V31" s="15">
        <v>1499.05</v>
      </c>
      <c r="W31" s="15">
        <v>13.79</v>
      </c>
      <c r="X31" s="15">
        <v>5.7</v>
      </c>
      <c r="Y31" s="15">
        <v>1.6622950000000001</v>
      </c>
      <c r="Z31" s="15">
        <v>6</v>
      </c>
      <c r="AA31" s="46">
        <v>46280</v>
      </c>
      <c r="AB31" s="15"/>
      <c r="AC31" s="15"/>
      <c r="AD31" s="15"/>
      <c r="AE31" s="15"/>
      <c r="AF31" s="15"/>
      <c r="AG31" s="15"/>
      <c r="AH31" s="15"/>
      <c r="AI31" s="46"/>
      <c r="AJ31" s="51" t="s">
        <v>67</v>
      </c>
      <c r="AK31" s="51" t="s">
        <v>6121</v>
      </c>
      <c r="AL31" s="15">
        <v>324.14999999999998</v>
      </c>
      <c r="AM31" s="51" t="s">
        <v>67</v>
      </c>
      <c r="AN31" s="51" t="s">
        <v>67</v>
      </c>
      <c r="AO31" s="50" t="s">
        <v>9554</v>
      </c>
    </row>
    <row r="32" spans="1:41" hidden="1" x14ac:dyDescent="0.25">
      <c r="A32" s="51" t="s">
        <v>2275</v>
      </c>
      <c r="B32" s="51" t="s">
        <v>1683</v>
      </c>
      <c r="C32" s="54" t="s">
        <v>607</v>
      </c>
      <c r="D32" s="51" t="s">
        <v>1684</v>
      </c>
      <c r="E32" s="20">
        <v>9924.2800000000007</v>
      </c>
      <c r="F32" s="20">
        <v>896.69</v>
      </c>
      <c r="G32" s="20">
        <v>4103.3100000000004</v>
      </c>
      <c r="H32" s="20">
        <v>757.2</v>
      </c>
      <c r="I32" s="20">
        <v>896.69</v>
      </c>
      <c r="J32" s="51" t="s">
        <v>6725</v>
      </c>
      <c r="K32" s="15">
        <v>0</v>
      </c>
      <c r="L32" s="51" t="s">
        <v>2371</v>
      </c>
      <c r="M32" s="51" t="s">
        <v>1685</v>
      </c>
      <c r="N32" s="51" t="s">
        <v>1686</v>
      </c>
      <c r="O32" s="51" t="s">
        <v>67</v>
      </c>
      <c r="P32" s="51" t="s">
        <v>67</v>
      </c>
      <c r="Q32" s="45">
        <v>46218.896194224537</v>
      </c>
      <c r="R32" s="46">
        <v>46310</v>
      </c>
      <c r="S32" s="46">
        <v>46305</v>
      </c>
      <c r="T32" s="51" t="s">
        <v>6119</v>
      </c>
      <c r="U32" s="15">
        <v>165.89</v>
      </c>
      <c r="V32" s="15">
        <v>767.17</v>
      </c>
      <c r="W32" s="15">
        <v>7.06</v>
      </c>
      <c r="X32" s="15">
        <v>2.91</v>
      </c>
      <c r="Y32" s="15">
        <v>1.6622079999999999</v>
      </c>
      <c r="Z32" s="15">
        <v>6</v>
      </c>
      <c r="AA32" s="46">
        <v>46280</v>
      </c>
      <c r="AB32" s="15"/>
      <c r="AC32" s="15"/>
      <c r="AD32" s="15"/>
      <c r="AE32" s="15"/>
      <c r="AF32" s="15"/>
      <c r="AG32" s="15"/>
      <c r="AH32" s="15"/>
      <c r="AI32" s="46"/>
      <c r="AJ32" s="51" t="s">
        <v>67</v>
      </c>
      <c r="AK32" s="51" t="s">
        <v>6121</v>
      </c>
      <c r="AL32" s="15">
        <v>165.89</v>
      </c>
      <c r="AM32" s="51" t="s">
        <v>67</v>
      </c>
      <c r="AN32" s="51" t="s">
        <v>67</v>
      </c>
      <c r="AO32" s="50" t="s">
        <v>9555</v>
      </c>
    </row>
    <row r="33" spans="1:41" hidden="1" x14ac:dyDescent="0.25">
      <c r="A33" s="51" t="s">
        <v>2276</v>
      </c>
      <c r="B33" s="51" t="s">
        <v>1674</v>
      </c>
      <c r="C33" s="54" t="s">
        <v>607</v>
      </c>
      <c r="D33" s="51" t="s">
        <v>1675</v>
      </c>
      <c r="E33" s="20">
        <v>9356.61</v>
      </c>
      <c r="F33" s="20">
        <v>903.5</v>
      </c>
      <c r="G33" s="20">
        <v>4096.5</v>
      </c>
      <c r="H33" s="20">
        <v>1286.75</v>
      </c>
      <c r="I33" s="20">
        <v>903.5</v>
      </c>
      <c r="J33" s="51" t="s">
        <v>6726</v>
      </c>
      <c r="K33" s="15">
        <v>0</v>
      </c>
      <c r="L33" s="51" t="s">
        <v>2371</v>
      </c>
      <c r="M33" s="51" t="s">
        <v>1676</v>
      </c>
      <c r="N33" s="51" t="s">
        <v>1279</v>
      </c>
      <c r="O33" s="51" t="s">
        <v>67</v>
      </c>
      <c r="P33" s="51" t="s">
        <v>67</v>
      </c>
      <c r="Q33" s="45">
        <v>46222.01283388889</v>
      </c>
      <c r="R33" s="46">
        <v>46310</v>
      </c>
      <c r="S33" s="46">
        <v>46305</v>
      </c>
      <c r="T33" s="51" t="s">
        <v>6119</v>
      </c>
      <c r="U33" s="15">
        <v>281.91000000000003</v>
      </c>
      <c r="V33" s="15">
        <v>1303.69</v>
      </c>
      <c r="W33" s="15">
        <v>11.99</v>
      </c>
      <c r="X33" s="15">
        <v>4.95</v>
      </c>
      <c r="Y33" s="15">
        <v>1.6623600000000001</v>
      </c>
      <c r="Z33" s="15">
        <v>6</v>
      </c>
      <c r="AA33" s="46">
        <v>46280</v>
      </c>
      <c r="AB33" s="15"/>
      <c r="AC33" s="15"/>
      <c r="AD33" s="15"/>
      <c r="AE33" s="15"/>
      <c r="AF33" s="15"/>
      <c r="AG33" s="15"/>
      <c r="AH33" s="15"/>
      <c r="AI33" s="46"/>
      <c r="AJ33" s="51" t="s">
        <v>67</v>
      </c>
      <c r="AK33" s="51" t="s">
        <v>6121</v>
      </c>
      <c r="AL33" s="15">
        <v>281.91000000000003</v>
      </c>
      <c r="AM33" s="51" t="s">
        <v>67</v>
      </c>
      <c r="AN33" s="51" t="s">
        <v>67</v>
      </c>
      <c r="AO33" s="50" t="s">
        <v>9555</v>
      </c>
    </row>
    <row r="34" spans="1:41" hidden="1" x14ac:dyDescent="0.25">
      <c r="A34" s="51" t="s">
        <v>2277</v>
      </c>
      <c r="B34" s="51" t="s">
        <v>1568</v>
      </c>
      <c r="C34" s="54" t="s">
        <v>607</v>
      </c>
      <c r="D34" s="51" t="s">
        <v>1569</v>
      </c>
      <c r="E34" s="20">
        <v>8170.89</v>
      </c>
      <c r="F34" s="20">
        <v>306.08999999999997</v>
      </c>
      <c r="G34" s="20">
        <v>4693.91</v>
      </c>
      <c r="H34" s="20">
        <v>1829.11</v>
      </c>
      <c r="I34" s="20">
        <v>306.08999999999997</v>
      </c>
      <c r="J34" s="51" t="s">
        <v>6724</v>
      </c>
      <c r="K34" s="15">
        <v>0</v>
      </c>
      <c r="L34" s="51" t="s">
        <v>2371</v>
      </c>
      <c r="M34" s="51" t="s">
        <v>1570</v>
      </c>
      <c r="N34" s="51" t="s">
        <v>1571</v>
      </c>
      <c r="O34" s="51" t="s">
        <v>67</v>
      </c>
      <c r="P34" s="51" t="s">
        <v>67</v>
      </c>
      <c r="Q34" s="45">
        <v>46222.024896759256</v>
      </c>
      <c r="R34" s="46">
        <v>46310</v>
      </c>
      <c r="S34" s="46">
        <v>46305</v>
      </c>
      <c r="T34" s="51" t="s">
        <v>6119</v>
      </c>
      <c r="U34" s="15">
        <v>400.73</v>
      </c>
      <c r="V34" s="15">
        <v>1853.2</v>
      </c>
      <c r="W34" s="15">
        <v>17.05</v>
      </c>
      <c r="X34" s="15">
        <v>7.04</v>
      </c>
      <c r="Y34" s="15">
        <v>1.662263</v>
      </c>
      <c r="Z34" s="15">
        <v>6</v>
      </c>
      <c r="AA34" s="46">
        <v>46280</v>
      </c>
      <c r="AB34" s="15"/>
      <c r="AC34" s="15"/>
      <c r="AD34" s="15"/>
      <c r="AE34" s="15"/>
      <c r="AF34" s="15"/>
      <c r="AG34" s="15"/>
      <c r="AH34" s="15"/>
      <c r="AI34" s="46"/>
      <c r="AJ34" s="51" t="s">
        <v>67</v>
      </c>
      <c r="AK34" s="51" t="s">
        <v>6121</v>
      </c>
      <c r="AL34" s="15">
        <v>400.73</v>
      </c>
      <c r="AM34" s="51" t="s">
        <v>67</v>
      </c>
      <c r="AN34" s="51" t="s">
        <v>67</v>
      </c>
      <c r="AO34" s="50" t="s">
        <v>9555</v>
      </c>
    </row>
    <row r="35" spans="1:41" hidden="1" x14ac:dyDescent="0.25">
      <c r="A35" s="51" t="s">
        <v>2278</v>
      </c>
      <c r="B35" s="51" t="s">
        <v>1327</v>
      </c>
      <c r="C35" s="54" t="s">
        <v>607</v>
      </c>
      <c r="D35" s="51" t="s">
        <v>1328</v>
      </c>
      <c r="E35" s="20">
        <v>9810.92</v>
      </c>
      <c r="F35" s="20">
        <v>2013.06</v>
      </c>
      <c r="G35" s="20">
        <v>2986.94</v>
      </c>
      <c r="H35" s="20">
        <v>1890.77</v>
      </c>
      <c r="I35" s="20">
        <v>2013.06</v>
      </c>
      <c r="J35" s="51" t="s">
        <v>6725</v>
      </c>
      <c r="K35" s="15">
        <v>0</v>
      </c>
      <c r="L35" s="51" t="s">
        <v>2371</v>
      </c>
      <c r="M35" s="51" t="s">
        <v>1329</v>
      </c>
      <c r="N35" s="51" t="s">
        <v>1330</v>
      </c>
      <c r="O35" s="51" t="s">
        <v>67</v>
      </c>
      <c r="P35" s="51" t="s">
        <v>67</v>
      </c>
      <c r="Q35" s="45">
        <v>46222.026214259262</v>
      </c>
      <c r="R35" s="46">
        <v>46310</v>
      </c>
      <c r="S35" s="46">
        <v>46305</v>
      </c>
      <c r="T35" s="51" t="s">
        <v>6119</v>
      </c>
      <c r="U35" s="15">
        <v>414.24</v>
      </c>
      <c r="V35" s="15">
        <v>1915.66</v>
      </c>
      <c r="W35" s="15">
        <v>17.61</v>
      </c>
      <c r="X35" s="15">
        <v>7.28</v>
      </c>
      <c r="Y35" s="15">
        <v>1.6622920000000001</v>
      </c>
      <c r="Z35" s="15">
        <v>6</v>
      </c>
      <c r="AA35" s="46">
        <v>46280</v>
      </c>
      <c r="AB35" s="15"/>
      <c r="AC35" s="15"/>
      <c r="AD35" s="15"/>
      <c r="AE35" s="15"/>
      <c r="AF35" s="15"/>
      <c r="AG35" s="15"/>
      <c r="AH35" s="15"/>
      <c r="AI35" s="46"/>
      <c r="AJ35" s="51" t="s">
        <v>67</v>
      </c>
      <c r="AK35" s="51" t="s">
        <v>6121</v>
      </c>
      <c r="AL35" s="15">
        <v>414.24</v>
      </c>
      <c r="AM35" s="51" t="s">
        <v>67</v>
      </c>
      <c r="AN35" s="51" t="s">
        <v>67</v>
      </c>
      <c r="AO35" s="50" t="s">
        <v>9555</v>
      </c>
    </row>
    <row r="36" spans="1:41" hidden="1" x14ac:dyDescent="0.25">
      <c r="A36" s="51" t="s">
        <v>2279</v>
      </c>
      <c r="B36" s="51" t="s">
        <v>1888</v>
      </c>
      <c r="C36" s="54" t="s">
        <v>607</v>
      </c>
      <c r="D36" s="51" t="s">
        <v>1889</v>
      </c>
      <c r="E36" s="20">
        <v>8692.9699999999993</v>
      </c>
      <c r="F36" s="20">
        <v>734.45</v>
      </c>
      <c r="G36" s="20">
        <v>4265.55</v>
      </c>
      <c r="H36" s="20">
        <v>1742.71</v>
      </c>
      <c r="I36" s="20">
        <v>734.45</v>
      </c>
      <c r="J36" s="51" t="s">
        <v>6726</v>
      </c>
      <c r="K36" s="15">
        <v>0</v>
      </c>
      <c r="L36" s="51" t="s">
        <v>2371</v>
      </c>
      <c r="M36" s="51" t="s">
        <v>1890</v>
      </c>
      <c r="N36" s="51" t="s">
        <v>1891</v>
      </c>
      <c r="O36" s="51" t="s">
        <v>67</v>
      </c>
      <c r="P36" s="51" t="s">
        <v>67</v>
      </c>
      <c r="Q36" s="45">
        <v>46222.026569004629</v>
      </c>
      <c r="R36" s="46">
        <v>46310</v>
      </c>
      <c r="S36" s="46">
        <v>46305</v>
      </c>
      <c r="T36" s="51" t="s">
        <v>6119</v>
      </c>
      <c r="U36" s="15">
        <v>381.8</v>
      </c>
      <c r="V36" s="15">
        <v>1765.67</v>
      </c>
      <c r="W36" s="15">
        <v>16.25</v>
      </c>
      <c r="X36" s="15">
        <v>6.71</v>
      </c>
      <c r="Y36" s="15">
        <v>1.6622349999999999</v>
      </c>
      <c r="Z36" s="15">
        <v>6</v>
      </c>
      <c r="AA36" s="46">
        <v>46280</v>
      </c>
      <c r="AB36" s="15"/>
      <c r="AC36" s="15"/>
      <c r="AD36" s="15"/>
      <c r="AE36" s="15"/>
      <c r="AF36" s="15"/>
      <c r="AG36" s="15"/>
      <c r="AH36" s="15"/>
      <c r="AI36" s="46"/>
      <c r="AJ36" s="51" t="s">
        <v>67</v>
      </c>
      <c r="AK36" s="51" t="s">
        <v>6121</v>
      </c>
      <c r="AL36" s="15">
        <v>381.8</v>
      </c>
      <c r="AM36" s="51" t="s">
        <v>67</v>
      </c>
      <c r="AN36" s="51" t="s">
        <v>67</v>
      </c>
      <c r="AO36" s="50" t="s">
        <v>9555</v>
      </c>
    </row>
    <row r="37" spans="1:41" hidden="1" x14ac:dyDescent="0.25">
      <c r="A37" s="51" t="s">
        <v>2280</v>
      </c>
      <c r="B37" s="51" t="s">
        <v>1384</v>
      </c>
      <c r="C37" s="54" t="s">
        <v>607</v>
      </c>
      <c r="D37" s="51" t="s">
        <v>1385</v>
      </c>
      <c r="E37" s="20">
        <v>9895.16</v>
      </c>
      <c r="F37" s="20">
        <v>1562.61</v>
      </c>
      <c r="G37" s="20">
        <v>3437.39</v>
      </c>
      <c r="H37" s="20">
        <v>1397.91</v>
      </c>
      <c r="I37" s="20">
        <v>1562.61</v>
      </c>
      <c r="J37" s="51" t="s">
        <v>6726</v>
      </c>
      <c r="K37" s="15">
        <v>11</v>
      </c>
      <c r="L37" s="51" t="s">
        <v>2369</v>
      </c>
      <c r="M37" s="51" t="s">
        <v>1386</v>
      </c>
      <c r="N37" s="51" t="s">
        <v>1387</v>
      </c>
      <c r="O37" s="51" t="s">
        <v>67</v>
      </c>
      <c r="P37" s="51" t="s">
        <v>67</v>
      </c>
      <c r="Q37" s="45">
        <v>46222.027201446763</v>
      </c>
      <c r="R37" s="46">
        <v>46310</v>
      </c>
      <c r="S37" s="46">
        <v>46305</v>
      </c>
      <c r="T37" s="51" t="s">
        <v>6119</v>
      </c>
      <c r="U37" s="15">
        <v>306.27</v>
      </c>
      <c r="V37" s="15">
        <v>1416.34</v>
      </c>
      <c r="W37" s="15">
        <v>13.05</v>
      </c>
      <c r="X37" s="15">
        <v>5.38</v>
      </c>
      <c r="Y37" s="15">
        <v>1.662563</v>
      </c>
      <c r="Z37" s="15">
        <v>6</v>
      </c>
      <c r="AA37" s="46">
        <v>46280</v>
      </c>
      <c r="AB37" s="15"/>
      <c r="AC37" s="15"/>
      <c r="AD37" s="15"/>
      <c r="AE37" s="15"/>
      <c r="AF37" s="15"/>
      <c r="AG37" s="15"/>
      <c r="AH37" s="15"/>
      <c r="AI37" s="46"/>
      <c r="AJ37" s="51" t="s">
        <v>6121</v>
      </c>
      <c r="AK37" s="51" t="s">
        <v>6121</v>
      </c>
      <c r="AL37" s="15">
        <v>306.27</v>
      </c>
      <c r="AM37" s="51" t="s">
        <v>67</v>
      </c>
      <c r="AN37" s="51" t="s">
        <v>67</v>
      </c>
      <c r="AO37" s="50" t="s">
        <v>9555</v>
      </c>
    </row>
    <row r="38" spans="1:41" hidden="1" x14ac:dyDescent="0.25">
      <c r="A38" s="51" t="s">
        <v>2281</v>
      </c>
      <c r="B38" s="51" t="s">
        <v>1485</v>
      </c>
      <c r="C38" s="54" t="s">
        <v>607</v>
      </c>
      <c r="D38" s="51" t="s">
        <v>1486</v>
      </c>
      <c r="E38" s="20">
        <v>9200.58</v>
      </c>
      <c r="F38" s="20">
        <v>928.34</v>
      </c>
      <c r="G38" s="20">
        <v>4071.66</v>
      </c>
      <c r="H38" s="20">
        <v>1453.5</v>
      </c>
      <c r="I38" s="20">
        <v>928.33</v>
      </c>
      <c r="J38" s="51" t="s">
        <v>6726</v>
      </c>
      <c r="K38" s="15">
        <v>0</v>
      </c>
      <c r="L38" s="51" t="s">
        <v>2371</v>
      </c>
      <c r="M38" s="51" t="s">
        <v>1487</v>
      </c>
      <c r="N38" s="51" t="s">
        <v>1488</v>
      </c>
      <c r="O38" s="51" t="s">
        <v>67</v>
      </c>
      <c r="P38" s="51" t="s">
        <v>67</v>
      </c>
      <c r="Q38" s="45">
        <v>46222.283920752314</v>
      </c>
      <c r="R38" s="46">
        <v>46310</v>
      </c>
      <c r="S38" s="46">
        <v>46305</v>
      </c>
      <c r="T38" s="51" t="s">
        <v>6119</v>
      </c>
      <c r="U38" s="15">
        <v>318.44</v>
      </c>
      <c r="V38" s="15">
        <v>1472.66</v>
      </c>
      <c r="W38" s="15">
        <v>13.56</v>
      </c>
      <c r="X38" s="15">
        <v>5.6</v>
      </c>
      <c r="Y38" s="15">
        <v>1.6622749999999999</v>
      </c>
      <c r="Z38" s="15">
        <v>6</v>
      </c>
      <c r="AA38" s="46">
        <v>46280</v>
      </c>
      <c r="AB38" s="15"/>
      <c r="AC38" s="15"/>
      <c r="AD38" s="15"/>
      <c r="AE38" s="15"/>
      <c r="AF38" s="15"/>
      <c r="AG38" s="15"/>
      <c r="AH38" s="15"/>
      <c r="AI38" s="46"/>
      <c r="AJ38" s="51" t="s">
        <v>67</v>
      </c>
      <c r="AK38" s="51" t="s">
        <v>6121</v>
      </c>
      <c r="AL38" s="15">
        <v>318.44</v>
      </c>
      <c r="AM38" s="51" t="s">
        <v>67</v>
      </c>
      <c r="AN38" s="51" t="s">
        <v>67</v>
      </c>
      <c r="AO38" s="50" t="s">
        <v>9555</v>
      </c>
    </row>
    <row r="39" spans="1:41" x14ac:dyDescent="0.25">
      <c r="A39" s="52" t="s">
        <v>2282</v>
      </c>
      <c r="B39" s="51" t="s">
        <v>1470</v>
      </c>
      <c r="C39" s="54" t="s">
        <v>607</v>
      </c>
      <c r="D39" s="51" t="s">
        <v>1471</v>
      </c>
      <c r="E39" s="20">
        <v>10000</v>
      </c>
      <c r="F39" s="20">
        <v>1572.02</v>
      </c>
      <c r="G39" s="20">
        <v>3427.98</v>
      </c>
      <c r="H39" s="20">
        <v>1309.9100000000001</v>
      </c>
      <c r="I39" s="20">
        <v>1572.02</v>
      </c>
      <c r="J39" s="51" t="s">
        <v>6727</v>
      </c>
      <c r="K39" s="15">
        <v>11</v>
      </c>
      <c r="L39" s="51" t="s">
        <v>2369</v>
      </c>
      <c r="M39" s="51" t="s">
        <v>1472</v>
      </c>
      <c r="N39" s="51" t="s">
        <v>1473</v>
      </c>
      <c r="O39" s="51" t="s">
        <v>67</v>
      </c>
      <c r="P39" s="51" t="s">
        <v>67</v>
      </c>
      <c r="Q39" s="45">
        <v>46222.293015902775</v>
      </c>
      <c r="R39" s="46">
        <v>46310</v>
      </c>
      <c r="S39" s="46">
        <v>46305</v>
      </c>
      <c r="T39" s="51" t="s">
        <v>6119</v>
      </c>
      <c r="U39" s="15">
        <v>286.98</v>
      </c>
      <c r="V39" s="15">
        <v>1327.15</v>
      </c>
      <c r="W39" s="15">
        <v>12.2</v>
      </c>
      <c r="X39" s="15">
        <v>5.04</v>
      </c>
      <c r="Y39" s="15">
        <v>1.6622209999999999</v>
      </c>
      <c r="Z39" s="15">
        <v>6</v>
      </c>
      <c r="AA39" s="46">
        <v>46280</v>
      </c>
      <c r="AB39" s="15"/>
      <c r="AC39" s="15"/>
      <c r="AD39" s="15"/>
      <c r="AE39" s="15"/>
      <c r="AF39" s="15"/>
      <c r="AG39" s="15"/>
      <c r="AH39" s="15"/>
      <c r="AI39" s="46"/>
      <c r="AJ39" s="51" t="s">
        <v>6121</v>
      </c>
      <c r="AK39" s="51" t="s">
        <v>6121</v>
      </c>
      <c r="AL39" s="15">
        <v>286.98</v>
      </c>
      <c r="AM39" s="51" t="s">
        <v>67</v>
      </c>
      <c r="AN39" s="51" t="s">
        <v>67</v>
      </c>
      <c r="AO39" s="50" t="s">
        <v>9554</v>
      </c>
    </row>
    <row r="40" spans="1:41" hidden="1" x14ac:dyDescent="0.25">
      <c r="A40" s="51" t="s">
        <v>2283</v>
      </c>
      <c r="B40" s="51" t="s">
        <v>1315</v>
      </c>
      <c r="C40" s="54" t="s">
        <v>607</v>
      </c>
      <c r="D40" s="51" t="s">
        <v>1316</v>
      </c>
      <c r="E40" s="20">
        <v>23910</v>
      </c>
      <c r="F40" s="20">
        <v>275.94</v>
      </c>
      <c r="G40" s="20">
        <v>9724.06</v>
      </c>
      <c r="H40" s="20">
        <v>5248.82</v>
      </c>
      <c r="I40" s="20">
        <v>275.94</v>
      </c>
      <c r="J40" s="51" t="s">
        <v>6724</v>
      </c>
      <c r="K40" s="15">
        <v>0</v>
      </c>
      <c r="L40" s="51" t="s">
        <v>2371</v>
      </c>
      <c r="M40" s="51" t="s">
        <v>1317</v>
      </c>
      <c r="N40" s="51" t="s">
        <v>1318</v>
      </c>
      <c r="O40" s="51" t="s">
        <v>67</v>
      </c>
      <c r="P40" s="51" t="s">
        <v>67</v>
      </c>
      <c r="Q40" s="45">
        <v>46222.294918333333</v>
      </c>
      <c r="R40" s="46">
        <v>46310</v>
      </c>
      <c r="S40" s="46">
        <v>46305</v>
      </c>
      <c r="T40" s="51" t="s">
        <v>6119</v>
      </c>
      <c r="U40" s="15"/>
      <c r="V40" s="15"/>
      <c r="W40" s="15"/>
      <c r="X40" s="15"/>
      <c r="Y40" s="15"/>
      <c r="Z40" s="15"/>
      <c r="AA40" s="46"/>
      <c r="AB40" s="15"/>
      <c r="AC40" s="15"/>
      <c r="AD40" s="15"/>
      <c r="AE40" s="15"/>
      <c r="AF40" s="15"/>
      <c r="AG40" s="15"/>
      <c r="AH40" s="15"/>
      <c r="AI40" s="46"/>
      <c r="AJ40" s="51" t="s">
        <v>67</v>
      </c>
      <c r="AK40" s="51" t="s">
        <v>67</v>
      </c>
      <c r="AL40" s="15"/>
      <c r="AM40" s="51" t="s">
        <v>6705</v>
      </c>
      <c r="AN40" s="51" t="s">
        <v>6706</v>
      </c>
      <c r="AO40" s="50" t="s">
        <v>9554</v>
      </c>
    </row>
    <row r="41" spans="1:41" hidden="1" x14ac:dyDescent="0.25">
      <c r="A41" s="51" t="s">
        <v>2284</v>
      </c>
      <c r="B41" s="51" t="s">
        <v>2010</v>
      </c>
      <c r="C41" s="54" t="s">
        <v>607</v>
      </c>
      <c r="D41" s="51" t="s">
        <v>2377</v>
      </c>
      <c r="E41" s="20">
        <v>4527.3100000000004</v>
      </c>
      <c r="F41" s="20">
        <v>281.26</v>
      </c>
      <c r="G41" s="20">
        <v>4718.74</v>
      </c>
      <c r="H41" s="20">
        <v>5472.69</v>
      </c>
      <c r="I41" s="20">
        <v>281.26</v>
      </c>
      <c r="J41" s="51" t="s">
        <v>6724</v>
      </c>
      <c r="K41" s="15">
        <v>0</v>
      </c>
      <c r="L41" s="51" t="s">
        <v>2371</v>
      </c>
      <c r="M41" s="51" t="s">
        <v>2011</v>
      </c>
      <c r="N41" s="51" t="s">
        <v>2012</v>
      </c>
      <c r="O41" s="51" t="s">
        <v>67</v>
      </c>
      <c r="P41" s="51" t="s">
        <v>67</v>
      </c>
      <c r="Q41" s="45">
        <v>46222.298154641205</v>
      </c>
      <c r="R41" s="46">
        <v>46310</v>
      </c>
      <c r="S41" s="46">
        <v>46305</v>
      </c>
      <c r="T41" s="51" t="s">
        <v>6119</v>
      </c>
      <c r="U41" s="15">
        <v>848.05</v>
      </c>
      <c r="V41" s="15">
        <v>3921.84</v>
      </c>
      <c r="W41" s="15">
        <v>36.08</v>
      </c>
      <c r="X41" s="15">
        <v>14.9</v>
      </c>
      <c r="Y41" s="15">
        <v>1.662307</v>
      </c>
      <c r="Z41" s="15">
        <v>6</v>
      </c>
      <c r="AA41" s="46">
        <v>46280</v>
      </c>
      <c r="AB41" s="15"/>
      <c r="AC41" s="15"/>
      <c r="AD41" s="15"/>
      <c r="AE41" s="15"/>
      <c r="AF41" s="15"/>
      <c r="AG41" s="15"/>
      <c r="AH41" s="15"/>
      <c r="AI41" s="46"/>
      <c r="AJ41" s="51" t="s">
        <v>67</v>
      </c>
      <c r="AK41" s="51" t="s">
        <v>6121</v>
      </c>
      <c r="AL41" s="15">
        <v>848.05</v>
      </c>
      <c r="AM41" s="51" t="s">
        <v>6705</v>
      </c>
      <c r="AN41" s="51" t="s">
        <v>6708</v>
      </c>
      <c r="AO41" s="50" t="s">
        <v>9554</v>
      </c>
    </row>
    <row r="42" spans="1:41" hidden="1" x14ac:dyDescent="0.25">
      <c r="A42" s="51" t="s">
        <v>2285</v>
      </c>
      <c r="B42" s="51" t="s">
        <v>1304</v>
      </c>
      <c r="C42" s="54" t="s">
        <v>607</v>
      </c>
      <c r="D42" s="51" t="s">
        <v>1305</v>
      </c>
      <c r="E42" s="20">
        <v>1985</v>
      </c>
      <c r="F42" s="20">
        <v>180.7</v>
      </c>
      <c r="G42" s="20">
        <v>4819.3</v>
      </c>
      <c r="H42" s="20">
        <v>1247.67</v>
      </c>
      <c r="I42" s="20">
        <v>180.7</v>
      </c>
      <c r="J42" s="51" t="s">
        <v>6724</v>
      </c>
      <c r="K42" s="15">
        <v>0</v>
      </c>
      <c r="L42" s="51" t="s">
        <v>2371</v>
      </c>
      <c r="M42" s="51" t="s">
        <v>1306</v>
      </c>
      <c r="N42" s="51" t="s">
        <v>588</v>
      </c>
      <c r="O42" s="51" t="s">
        <v>67</v>
      </c>
      <c r="P42" s="51" t="s">
        <v>67</v>
      </c>
      <c r="Q42" s="45">
        <v>46222.633200682867</v>
      </c>
      <c r="R42" s="46">
        <v>46310</v>
      </c>
      <c r="S42" s="46">
        <v>46305</v>
      </c>
      <c r="T42" s="51" t="s">
        <v>6119</v>
      </c>
      <c r="U42" s="15"/>
      <c r="V42" s="15"/>
      <c r="W42" s="15"/>
      <c r="X42" s="15"/>
      <c r="Y42" s="15"/>
      <c r="Z42" s="15"/>
      <c r="AA42" s="46"/>
      <c r="AB42" s="15"/>
      <c r="AC42" s="15"/>
      <c r="AD42" s="15"/>
      <c r="AE42" s="15"/>
      <c r="AF42" s="15"/>
      <c r="AG42" s="15"/>
      <c r="AH42" s="15"/>
      <c r="AI42" s="46"/>
      <c r="AJ42" s="51" t="s">
        <v>67</v>
      </c>
      <c r="AK42" s="51" t="s">
        <v>67</v>
      </c>
      <c r="AL42" s="15"/>
      <c r="AM42" s="51" t="s">
        <v>67</v>
      </c>
      <c r="AN42" s="51" t="s">
        <v>67</v>
      </c>
      <c r="AO42" s="50" t="s">
        <v>9554</v>
      </c>
    </row>
    <row r="43" spans="1:41" x14ac:dyDescent="0.25">
      <c r="A43" s="51" t="s">
        <v>2286</v>
      </c>
      <c r="B43" s="51" t="s">
        <v>1422</v>
      </c>
      <c r="C43" s="54" t="s">
        <v>607</v>
      </c>
      <c r="D43" s="51" t="s">
        <v>1423</v>
      </c>
      <c r="E43" s="20">
        <v>10000</v>
      </c>
      <c r="F43" s="20">
        <v>1694.48</v>
      </c>
      <c r="G43" s="20">
        <v>3305.52</v>
      </c>
      <c r="H43" s="20">
        <v>1422.82</v>
      </c>
      <c r="I43" s="20">
        <v>1694.48</v>
      </c>
      <c r="J43" s="51" t="s">
        <v>6727</v>
      </c>
      <c r="K43" s="15">
        <v>11</v>
      </c>
      <c r="L43" s="51" t="s">
        <v>2369</v>
      </c>
      <c r="M43" s="51" t="s">
        <v>1424</v>
      </c>
      <c r="N43" s="51" t="s">
        <v>1425</v>
      </c>
      <c r="O43" s="51" t="s">
        <v>67</v>
      </c>
      <c r="P43" s="51" t="s">
        <v>67</v>
      </c>
      <c r="Q43" s="45">
        <v>46222.954343935184</v>
      </c>
      <c r="R43" s="46">
        <v>46310</v>
      </c>
      <c r="S43" s="46">
        <v>46305</v>
      </c>
      <c r="T43" s="51" t="s">
        <v>6119</v>
      </c>
      <c r="U43" s="15">
        <v>311.72000000000003</v>
      </c>
      <c r="V43" s="15">
        <v>1441.55</v>
      </c>
      <c r="W43" s="15">
        <v>13.25</v>
      </c>
      <c r="X43" s="15">
        <v>5.48</v>
      </c>
      <c r="Y43" s="15">
        <v>1.6623239999999999</v>
      </c>
      <c r="Z43" s="15">
        <v>6</v>
      </c>
      <c r="AA43" s="46">
        <v>46280</v>
      </c>
      <c r="AB43" s="15"/>
      <c r="AC43" s="15"/>
      <c r="AD43" s="15"/>
      <c r="AE43" s="15"/>
      <c r="AF43" s="15"/>
      <c r="AG43" s="15"/>
      <c r="AH43" s="15"/>
      <c r="AI43" s="46"/>
      <c r="AJ43" s="51" t="s">
        <v>6121</v>
      </c>
      <c r="AK43" s="51" t="s">
        <v>6121</v>
      </c>
      <c r="AL43" s="15">
        <v>311.72000000000003</v>
      </c>
      <c r="AM43" s="51" t="s">
        <v>67</v>
      </c>
      <c r="AN43" s="51" t="s">
        <v>67</v>
      </c>
      <c r="AO43" s="50" t="s">
        <v>9554</v>
      </c>
    </row>
    <row r="44" spans="1:41" x14ac:dyDescent="0.25">
      <c r="A44" s="51" t="s">
        <v>2287</v>
      </c>
      <c r="B44" s="51" t="s">
        <v>1956</v>
      </c>
      <c r="C44" s="54" t="s">
        <v>607</v>
      </c>
      <c r="D44" s="51" t="s">
        <v>1957</v>
      </c>
      <c r="E44" s="20">
        <v>10000</v>
      </c>
      <c r="F44" s="20">
        <v>1803.6</v>
      </c>
      <c r="G44" s="20">
        <v>3196.4</v>
      </c>
      <c r="H44" s="20">
        <v>1523.41</v>
      </c>
      <c r="I44" s="20">
        <v>1803.6</v>
      </c>
      <c r="J44" s="51" t="s">
        <v>6727</v>
      </c>
      <c r="K44" s="15">
        <v>11</v>
      </c>
      <c r="L44" s="51" t="s">
        <v>2369</v>
      </c>
      <c r="M44" s="51" t="s">
        <v>1958</v>
      </c>
      <c r="N44" s="51" t="s">
        <v>1425</v>
      </c>
      <c r="O44" s="51" t="s">
        <v>67</v>
      </c>
      <c r="P44" s="51" t="s">
        <v>67</v>
      </c>
      <c r="Q44" s="45">
        <v>46222.95762671296</v>
      </c>
      <c r="R44" s="46">
        <v>46310</v>
      </c>
      <c r="S44" s="46">
        <v>46305</v>
      </c>
      <c r="T44" s="51" t="s">
        <v>6119</v>
      </c>
      <c r="U44" s="15">
        <v>333.76</v>
      </c>
      <c r="V44" s="15">
        <v>1543.47</v>
      </c>
      <c r="W44" s="15">
        <v>14.2</v>
      </c>
      <c r="X44" s="15">
        <v>5.86</v>
      </c>
      <c r="Y44" s="15">
        <v>1.6623870000000001</v>
      </c>
      <c r="Z44" s="15">
        <v>6</v>
      </c>
      <c r="AA44" s="46">
        <v>46280</v>
      </c>
      <c r="AB44" s="15"/>
      <c r="AC44" s="15"/>
      <c r="AD44" s="15"/>
      <c r="AE44" s="15"/>
      <c r="AF44" s="15"/>
      <c r="AG44" s="15"/>
      <c r="AH44" s="15"/>
      <c r="AI44" s="46"/>
      <c r="AJ44" s="51" t="s">
        <v>6121</v>
      </c>
      <c r="AK44" s="51" t="s">
        <v>6121</v>
      </c>
      <c r="AL44" s="15">
        <v>333.76</v>
      </c>
      <c r="AM44" s="51" t="s">
        <v>67</v>
      </c>
      <c r="AN44" s="51" t="s">
        <v>67</v>
      </c>
      <c r="AO44" s="50" t="s">
        <v>9554</v>
      </c>
    </row>
    <row r="45" spans="1:41" hidden="1" x14ac:dyDescent="0.25">
      <c r="A45" s="51" t="s">
        <v>2288</v>
      </c>
      <c r="B45" s="51" t="s">
        <v>1615</v>
      </c>
      <c r="C45" s="54" t="s">
        <v>607</v>
      </c>
      <c r="D45" s="51" t="s">
        <v>1616</v>
      </c>
      <c r="E45" s="20">
        <v>4708.42</v>
      </c>
      <c r="F45" s="20">
        <v>276.95</v>
      </c>
      <c r="G45" s="20">
        <v>4723.05</v>
      </c>
      <c r="H45" s="20">
        <v>5291.58</v>
      </c>
      <c r="I45" s="20">
        <v>276.95</v>
      </c>
      <c r="J45" s="51" t="s">
        <v>6724</v>
      </c>
      <c r="K45" s="15">
        <v>0</v>
      </c>
      <c r="L45" s="51" t="s">
        <v>2371</v>
      </c>
      <c r="M45" s="51" t="s">
        <v>1617</v>
      </c>
      <c r="N45" s="51" t="s">
        <v>1618</v>
      </c>
      <c r="O45" s="51" t="s">
        <v>67</v>
      </c>
      <c r="P45" s="51" t="s">
        <v>67</v>
      </c>
      <c r="Q45" s="45">
        <v>46222.958520405089</v>
      </c>
      <c r="R45" s="46">
        <v>46310</v>
      </c>
      <c r="S45" s="46">
        <v>46305</v>
      </c>
      <c r="T45" s="51" t="s">
        <v>6119</v>
      </c>
      <c r="U45" s="15">
        <v>310.07</v>
      </c>
      <c r="V45" s="15">
        <v>1433.92</v>
      </c>
      <c r="W45" s="15">
        <v>13.2</v>
      </c>
      <c r="X45" s="15">
        <v>0</v>
      </c>
      <c r="Y45" s="15">
        <v>1.624779</v>
      </c>
      <c r="Z45" s="15">
        <v>6</v>
      </c>
      <c r="AA45" s="46">
        <v>46280</v>
      </c>
      <c r="AB45" s="15"/>
      <c r="AC45" s="15"/>
      <c r="AD45" s="15"/>
      <c r="AE45" s="15"/>
      <c r="AF45" s="15"/>
      <c r="AG45" s="15"/>
      <c r="AH45" s="15"/>
      <c r="AI45" s="46"/>
      <c r="AJ45" s="51" t="s">
        <v>67</v>
      </c>
      <c r="AK45" s="51" t="s">
        <v>6121</v>
      </c>
      <c r="AL45" s="15">
        <v>310.07</v>
      </c>
      <c r="AM45" s="51" t="s">
        <v>6705</v>
      </c>
      <c r="AN45" s="51" t="s">
        <v>6708</v>
      </c>
      <c r="AO45" s="50" t="s">
        <v>9554</v>
      </c>
    </row>
    <row r="46" spans="1:41" hidden="1" x14ac:dyDescent="0.25">
      <c r="A46" s="51" t="s">
        <v>2289</v>
      </c>
      <c r="B46" s="51" t="s">
        <v>1724</v>
      </c>
      <c r="C46" s="54" t="s">
        <v>607</v>
      </c>
      <c r="D46" s="51" t="s">
        <v>1725</v>
      </c>
      <c r="E46" s="20">
        <v>22465.41</v>
      </c>
      <c r="F46" s="20">
        <v>281.08999999999997</v>
      </c>
      <c r="G46" s="20">
        <v>4718.91</v>
      </c>
      <c r="H46" s="20">
        <v>5465.41</v>
      </c>
      <c r="I46" s="20">
        <v>281.08999999999997</v>
      </c>
      <c r="J46" s="51" t="s">
        <v>6724</v>
      </c>
      <c r="K46" s="15">
        <v>0</v>
      </c>
      <c r="L46" s="51" t="s">
        <v>2371</v>
      </c>
      <c r="M46" s="51" t="s">
        <v>1726</v>
      </c>
      <c r="N46" s="51" t="s">
        <v>1727</v>
      </c>
      <c r="O46" s="51" t="s">
        <v>67</v>
      </c>
      <c r="P46" s="51" t="s">
        <v>67</v>
      </c>
      <c r="Q46" s="45">
        <v>46222.961903750002</v>
      </c>
      <c r="R46" s="46">
        <v>46310</v>
      </c>
      <c r="S46" s="46">
        <v>46305</v>
      </c>
      <c r="T46" s="51" t="s">
        <v>6119</v>
      </c>
      <c r="U46" s="15"/>
      <c r="V46" s="15"/>
      <c r="W46" s="15"/>
      <c r="X46" s="15"/>
      <c r="Y46" s="15"/>
      <c r="Z46" s="15"/>
      <c r="AA46" s="46"/>
      <c r="AB46" s="15"/>
      <c r="AC46" s="15"/>
      <c r="AD46" s="15"/>
      <c r="AE46" s="15"/>
      <c r="AF46" s="15"/>
      <c r="AG46" s="15"/>
      <c r="AH46" s="15"/>
      <c r="AI46" s="46"/>
      <c r="AJ46" s="51" t="s">
        <v>67</v>
      </c>
      <c r="AK46" s="51" t="s">
        <v>67</v>
      </c>
      <c r="AL46" s="15"/>
      <c r="AM46" s="51" t="s">
        <v>6705</v>
      </c>
      <c r="AN46" s="51" t="s">
        <v>6706</v>
      </c>
      <c r="AO46" s="50" t="s">
        <v>9554</v>
      </c>
    </row>
    <row r="47" spans="1:41" hidden="1" x14ac:dyDescent="0.25">
      <c r="A47" s="51" t="s">
        <v>2290</v>
      </c>
      <c r="B47" s="51" t="s">
        <v>1926</v>
      </c>
      <c r="C47" s="54" t="s">
        <v>607</v>
      </c>
      <c r="D47" s="51" t="s">
        <v>1927</v>
      </c>
      <c r="E47" s="20">
        <v>9513.7800000000007</v>
      </c>
      <c r="F47" s="20">
        <v>4642.7299999999996</v>
      </c>
      <c r="G47" s="20">
        <v>357.27</v>
      </c>
      <c r="H47" s="20">
        <v>4862.22</v>
      </c>
      <c r="I47" s="20">
        <v>4642.7299999999996</v>
      </c>
      <c r="J47" s="51" t="s">
        <v>6725</v>
      </c>
      <c r="K47" s="15">
        <v>0</v>
      </c>
      <c r="L47" s="51" t="s">
        <v>2371</v>
      </c>
      <c r="M47" s="51" t="s">
        <v>1928</v>
      </c>
      <c r="N47" s="51" t="s">
        <v>1929</v>
      </c>
      <c r="O47" s="51" t="s">
        <v>67</v>
      </c>
      <c r="P47" s="51" t="s">
        <v>67</v>
      </c>
      <c r="Q47" s="45">
        <v>46223.032012002317</v>
      </c>
      <c r="R47" s="46">
        <v>46310</v>
      </c>
      <c r="S47" s="46">
        <v>46305</v>
      </c>
      <c r="T47" s="51" t="s">
        <v>6119</v>
      </c>
      <c r="U47" s="15">
        <v>216.36</v>
      </c>
      <c r="V47" s="15">
        <v>1000.57</v>
      </c>
      <c r="W47" s="15">
        <v>9.2100000000000009</v>
      </c>
      <c r="X47" s="15">
        <v>0</v>
      </c>
      <c r="Y47" s="15">
        <v>1.624652</v>
      </c>
      <c r="Z47" s="15">
        <v>6</v>
      </c>
      <c r="AA47" s="46">
        <v>46280</v>
      </c>
      <c r="AB47" s="15"/>
      <c r="AC47" s="15"/>
      <c r="AD47" s="15"/>
      <c r="AE47" s="15"/>
      <c r="AF47" s="15"/>
      <c r="AG47" s="15"/>
      <c r="AH47" s="15"/>
      <c r="AI47" s="46"/>
      <c r="AJ47" s="51" t="s">
        <v>67</v>
      </c>
      <c r="AK47" s="51" t="s">
        <v>6121</v>
      </c>
      <c r="AL47" s="15">
        <v>216.36</v>
      </c>
      <c r="AM47" s="51" t="s">
        <v>6705</v>
      </c>
      <c r="AN47" s="51" t="s">
        <v>6708</v>
      </c>
      <c r="AO47" s="50" t="s">
        <v>9554</v>
      </c>
    </row>
    <row r="48" spans="1:41" hidden="1" x14ac:dyDescent="0.25">
      <c r="A48" s="51" t="s">
        <v>2291</v>
      </c>
      <c r="B48" s="51" t="s">
        <v>1372</v>
      </c>
      <c r="C48" s="54" t="s">
        <v>607</v>
      </c>
      <c r="D48" s="51" t="s">
        <v>1373</v>
      </c>
      <c r="E48" s="20">
        <v>16268.18</v>
      </c>
      <c r="F48" s="20">
        <v>0</v>
      </c>
      <c r="G48" s="20">
        <v>5000</v>
      </c>
      <c r="H48" s="20">
        <v>5384.03</v>
      </c>
      <c r="I48" s="20">
        <v>151.01</v>
      </c>
      <c r="J48" s="51" t="s">
        <v>6726</v>
      </c>
      <c r="K48" s="15">
        <v>0</v>
      </c>
      <c r="L48" s="51" t="s">
        <v>2371</v>
      </c>
      <c r="M48" s="51" t="s">
        <v>1374</v>
      </c>
      <c r="N48" s="51" t="s">
        <v>1375</v>
      </c>
      <c r="O48" s="51" t="s">
        <v>67</v>
      </c>
      <c r="P48" s="51" t="s">
        <v>67</v>
      </c>
      <c r="Q48" s="45">
        <v>46223.032287488422</v>
      </c>
      <c r="R48" s="46">
        <v>46310</v>
      </c>
      <c r="S48" s="46">
        <v>46305</v>
      </c>
      <c r="T48" s="51" t="s">
        <v>6119</v>
      </c>
      <c r="U48" s="15"/>
      <c r="V48" s="15"/>
      <c r="W48" s="15"/>
      <c r="X48" s="15"/>
      <c r="Y48" s="15"/>
      <c r="Z48" s="15"/>
      <c r="AA48" s="46"/>
      <c r="AB48" s="15"/>
      <c r="AC48" s="15"/>
      <c r="AD48" s="15"/>
      <c r="AE48" s="15"/>
      <c r="AF48" s="15"/>
      <c r="AG48" s="15"/>
      <c r="AH48" s="15"/>
      <c r="AI48" s="46"/>
      <c r="AJ48" s="51" t="s">
        <v>67</v>
      </c>
      <c r="AK48" s="51" t="s">
        <v>67</v>
      </c>
      <c r="AL48" s="15"/>
      <c r="AM48" s="51" t="s">
        <v>6705</v>
      </c>
      <c r="AN48" s="51" t="s">
        <v>6120</v>
      </c>
      <c r="AO48" s="50" t="s">
        <v>9554</v>
      </c>
    </row>
    <row r="49" spans="1:41" hidden="1" x14ac:dyDescent="0.25">
      <c r="A49" s="51" t="s">
        <v>2292</v>
      </c>
      <c r="B49" s="51" t="s">
        <v>1554</v>
      </c>
      <c r="C49" s="54" t="s">
        <v>607</v>
      </c>
      <c r="D49" s="51" t="s">
        <v>2378</v>
      </c>
      <c r="E49" s="20">
        <v>17000</v>
      </c>
      <c r="F49" s="20">
        <v>269.31</v>
      </c>
      <c r="G49" s="20">
        <v>4730.6899999999996</v>
      </c>
      <c r="H49" s="20">
        <v>4970.63</v>
      </c>
      <c r="I49" s="20">
        <v>269.31</v>
      </c>
      <c r="J49" s="51" t="s">
        <v>6724</v>
      </c>
      <c r="K49" s="15">
        <v>0</v>
      </c>
      <c r="L49" s="51" t="s">
        <v>2371</v>
      </c>
      <c r="M49" s="51" t="s">
        <v>1555</v>
      </c>
      <c r="N49" s="51" t="s">
        <v>1556</v>
      </c>
      <c r="O49" s="51" t="s">
        <v>67</v>
      </c>
      <c r="P49" s="51" t="s">
        <v>67</v>
      </c>
      <c r="Q49" s="45">
        <v>46223.07806832176</v>
      </c>
      <c r="R49" s="46">
        <v>46310</v>
      </c>
      <c r="S49" s="46">
        <v>46305</v>
      </c>
      <c r="T49" s="51" t="s">
        <v>6119</v>
      </c>
      <c r="U49" s="15"/>
      <c r="V49" s="15"/>
      <c r="W49" s="15"/>
      <c r="X49" s="15"/>
      <c r="Y49" s="15"/>
      <c r="Z49" s="15"/>
      <c r="AA49" s="46"/>
      <c r="AB49" s="15"/>
      <c r="AC49" s="15"/>
      <c r="AD49" s="15"/>
      <c r="AE49" s="15"/>
      <c r="AF49" s="15"/>
      <c r="AG49" s="15"/>
      <c r="AH49" s="15"/>
      <c r="AI49" s="46"/>
      <c r="AJ49" s="51" t="s">
        <v>67</v>
      </c>
      <c r="AK49" s="51" t="s">
        <v>67</v>
      </c>
      <c r="AL49" s="15"/>
      <c r="AM49" s="51" t="s">
        <v>6705</v>
      </c>
      <c r="AN49" s="51" t="s">
        <v>6706</v>
      </c>
      <c r="AO49" s="50" t="s">
        <v>9554</v>
      </c>
    </row>
    <row r="50" spans="1:41" hidden="1" x14ac:dyDescent="0.25">
      <c r="A50" s="51" t="s">
        <v>2293</v>
      </c>
      <c r="B50" s="51" t="s">
        <v>1658</v>
      </c>
      <c r="C50" s="54" t="s">
        <v>607</v>
      </c>
      <c r="D50" s="51" t="s">
        <v>1659</v>
      </c>
      <c r="E50" s="20">
        <v>3086.71</v>
      </c>
      <c r="F50" s="20">
        <v>176.87</v>
      </c>
      <c r="G50" s="20">
        <v>4823.13</v>
      </c>
      <c r="H50" s="20">
        <v>1086.71</v>
      </c>
      <c r="I50" s="20">
        <v>176.87</v>
      </c>
      <c r="J50" s="51" t="s">
        <v>6724</v>
      </c>
      <c r="K50" s="15">
        <v>0</v>
      </c>
      <c r="L50" s="51" t="s">
        <v>2371</v>
      </c>
      <c r="M50" s="51" t="s">
        <v>1660</v>
      </c>
      <c r="N50" s="51" t="s">
        <v>1661</v>
      </c>
      <c r="O50" s="51" t="s">
        <v>67</v>
      </c>
      <c r="P50" s="51" t="s">
        <v>67</v>
      </c>
      <c r="Q50" s="45">
        <v>46223.078328460651</v>
      </c>
      <c r="R50" s="46">
        <v>46310</v>
      </c>
      <c r="S50" s="46">
        <v>46305</v>
      </c>
      <c r="T50" s="51" t="s">
        <v>6119</v>
      </c>
      <c r="U50" s="15"/>
      <c r="V50" s="15"/>
      <c r="W50" s="15"/>
      <c r="X50" s="15"/>
      <c r="Y50" s="15"/>
      <c r="Z50" s="15"/>
      <c r="AA50" s="46"/>
      <c r="AB50" s="15"/>
      <c r="AC50" s="15"/>
      <c r="AD50" s="15"/>
      <c r="AE50" s="15"/>
      <c r="AF50" s="15"/>
      <c r="AG50" s="15"/>
      <c r="AH50" s="15"/>
      <c r="AI50" s="46"/>
      <c r="AJ50" s="51" t="s">
        <v>67</v>
      </c>
      <c r="AK50" s="51" t="s">
        <v>67</v>
      </c>
      <c r="AL50" s="15"/>
      <c r="AM50" s="51" t="s">
        <v>67</v>
      </c>
      <c r="AN50" s="51" t="s">
        <v>67</v>
      </c>
      <c r="AO50" s="50" t="s">
        <v>9554</v>
      </c>
    </row>
    <row r="51" spans="1:41" hidden="1" x14ac:dyDescent="0.25">
      <c r="A51" s="51" t="s">
        <v>2294</v>
      </c>
      <c r="B51" s="51" t="s">
        <v>1982</v>
      </c>
      <c r="C51" s="54" t="s">
        <v>607</v>
      </c>
      <c r="D51" s="51" t="s">
        <v>1983</v>
      </c>
      <c r="E51" s="20">
        <v>7414.6</v>
      </c>
      <c r="F51" s="20">
        <v>2823.73</v>
      </c>
      <c r="G51" s="20">
        <v>2176.27</v>
      </c>
      <c r="H51" s="20">
        <v>5135.88</v>
      </c>
      <c r="I51" s="20">
        <v>2823.73</v>
      </c>
      <c r="J51" s="51" t="s">
        <v>6726</v>
      </c>
      <c r="K51" s="15">
        <v>0</v>
      </c>
      <c r="L51" s="51" t="s">
        <v>2371</v>
      </c>
      <c r="M51" s="51" t="s">
        <v>1984</v>
      </c>
      <c r="N51" s="51" t="s">
        <v>1985</v>
      </c>
      <c r="O51" s="51" t="s">
        <v>67</v>
      </c>
      <c r="P51" s="51" t="s">
        <v>67</v>
      </c>
      <c r="Q51" s="45">
        <v>46223.078510624997</v>
      </c>
      <c r="R51" s="46">
        <v>46310</v>
      </c>
      <c r="S51" s="46">
        <v>46305</v>
      </c>
      <c r="T51" s="51" t="s">
        <v>6119</v>
      </c>
      <c r="U51" s="15">
        <v>276.08</v>
      </c>
      <c r="V51" s="15">
        <v>1276.77</v>
      </c>
      <c r="W51" s="15">
        <v>11.75</v>
      </c>
      <c r="X51" s="15">
        <v>0</v>
      </c>
      <c r="Y51" s="15">
        <v>1.6244730000000001</v>
      </c>
      <c r="Z51" s="15">
        <v>6</v>
      </c>
      <c r="AA51" s="46">
        <v>46280</v>
      </c>
      <c r="AB51" s="15"/>
      <c r="AC51" s="15"/>
      <c r="AD51" s="15"/>
      <c r="AE51" s="15"/>
      <c r="AF51" s="15"/>
      <c r="AG51" s="15"/>
      <c r="AH51" s="15"/>
      <c r="AI51" s="46"/>
      <c r="AJ51" s="51" t="s">
        <v>67</v>
      </c>
      <c r="AK51" s="51" t="s">
        <v>6121</v>
      </c>
      <c r="AL51" s="15">
        <v>276.08</v>
      </c>
      <c r="AM51" s="51" t="s">
        <v>6705</v>
      </c>
      <c r="AN51" s="51" t="s">
        <v>6708</v>
      </c>
      <c r="AO51" s="50" t="s">
        <v>9554</v>
      </c>
    </row>
    <row r="52" spans="1:41" x14ac:dyDescent="0.25">
      <c r="A52" s="51" t="s">
        <v>2295</v>
      </c>
      <c r="B52" s="51" t="s">
        <v>1914</v>
      </c>
      <c r="C52" s="54" t="s">
        <v>607</v>
      </c>
      <c r="D52" s="51" t="s">
        <v>2379</v>
      </c>
      <c r="E52" s="20">
        <v>10000</v>
      </c>
      <c r="F52" s="20">
        <v>1584.1</v>
      </c>
      <c r="G52" s="20">
        <v>3415.9</v>
      </c>
      <c r="H52" s="20">
        <v>1321.07</v>
      </c>
      <c r="I52" s="20">
        <v>1584.1</v>
      </c>
      <c r="J52" s="51" t="s">
        <v>6727</v>
      </c>
      <c r="K52" s="15">
        <v>11</v>
      </c>
      <c r="L52" s="51" t="s">
        <v>2369</v>
      </c>
      <c r="M52" s="51" t="s">
        <v>1915</v>
      </c>
      <c r="N52" s="51" t="s">
        <v>1916</v>
      </c>
      <c r="O52" s="51" t="s">
        <v>67</v>
      </c>
      <c r="P52" s="51" t="s">
        <v>67</v>
      </c>
      <c r="Q52" s="45">
        <v>46223.092020543983</v>
      </c>
      <c r="R52" s="46">
        <v>46310</v>
      </c>
      <c r="S52" s="46">
        <v>46305</v>
      </c>
      <c r="T52" s="51" t="s">
        <v>6119</v>
      </c>
      <c r="U52" s="15">
        <v>289.43</v>
      </c>
      <c r="V52" s="15">
        <v>1338.47</v>
      </c>
      <c r="W52" s="15">
        <v>12.31</v>
      </c>
      <c r="X52" s="15">
        <v>5.09</v>
      </c>
      <c r="Y52" s="15">
        <v>1.6623920000000001</v>
      </c>
      <c r="Z52" s="15">
        <v>6</v>
      </c>
      <c r="AA52" s="46">
        <v>46280</v>
      </c>
      <c r="AB52" s="15"/>
      <c r="AC52" s="15"/>
      <c r="AD52" s="15"/>
      <c r="AE52" s="15"/>
      <c r="AF52" s="15"/>
      <c r="AG52" s="15"/>
      <c r="AH52" s="15"/>
      <c r="AI52" s="46"/>
      <c r="AJ52" s="51" t="s">
        <v>6121</v>
      </c>
      <c r="AK52" s="51" t="s">
        <v>6121</v>
      </c>
      <c r="AL52" s="15">
        <v>289.43</v>
      </c>
      <c r="AM52" s="51" t="s">
        <v>67</v>
      </c>
      <c r="AN52" s="51" t="s">
        <v>67</v>
      </c>
      <c r="AO52" s="50" t="s">
        <v>9554</v>
      </c>
    </row>
    <row r="53" spans="1:41" hidden="1" x14ac:dyDescent="0.25">
      <c r="A53" s="51" t="s">
        <v>2296</v>
      </c>
      <c r="B53" s="51" t="s">
        <v>1707</v>
      </c>
      <c r="C53" s="54" t="s">
        <v>607</v>
      </c>
      <c r="D53" s="51" t="s">
        <v>1708</v>
      </c>
      <c r="E53" s="20">
        <v>9559.07</v>
      </c>
      <c r="F53" s="20">
        <v>5017.3900000000003</v>
      </c>
      <c r="G53" s="20">
        <v>-17.39</v>
      </c>
      <c r="H53" s="20">
        <v>4899.2299999999996</v>
      </c>
      <c r="I53" s="20">
        <v>5017.3900000000003</v>
      </c>
      <c r="J53" s="51" t="s">
        <v>6726</v>
      </c>
      <c r="K53" s="15">
        <v>11</v>
      </c>
      <c r="L53" s="51" t="s">
        <v>2369</v>
      </c>
      <c r="M53" s="51" t="s">
        <v>1709</v>
      </c>
      <c r="N53" s="51" t="s">
        <v>1710</v>
      </c>
      <c r="O53" s="51" t="s">
        <v>67</v>
      </c>
      <c r="P53" s="51" t="s">
        <v>67</v>
      </c>
      <c r="Q53" s="45">
        <v>46223.603055925923</v>
      </c>
      <c r="R53" s="46">
        <v>46310</v>
      </c>
      <c r="S53" s="46">
        <v>46305</v>
      </c>
      <c r="T53" s="51" t="s">
        <v>6119</v>
      </c>
      <c r="U53" s="15">
        <v>848.05</v>
      </c>
      <c r="V53" s="15">
        <v>3921.84</v>
      </c>
      <c r="W53" s="15">
        <v>36.08</v>
      </c>
      <c r="X53" s="15">
        <v>14.9</v>
      </c>
      <c r="Y53" s="15">
        <v>1.662307</v>
      </c>
      <c r="Z53" s="15">
        <v>6</v>
      </c>
      <c r="AA53" s="46">
        <v>46280</v>
      </c>
      <c r="AB53" s="15"/>
      <c r="AC53" s="15"/>
      <c r="AD53" s="15"/>
      <c r="AE53" s="15"/>
      <c r="AF53" s="15"/>
      <c r="AG53" s="15"/>
      <c r="AH53" s="15"/>
      <c r="AI53" s="46"/>
      <c r="AJ53" s="51" t="s">
        <v>6121</v>
      </c>
      <c r="AK53" s="51" t="s">
        <v>6121</v>
      </c>
      <c r="AL53" s="15">
        <v>848.05</v>
      </c>
      <c r="AM53" s="51" t="s">
        <v>6705</v>
      </c>
      <c r="AN53" s="51" t="s">
        <v>6708</v>
      </c>
      <c r="AO53" s="50" t="s">
        <v>9554</v>
      </c>
    </row>
    <row r="54" spans="1:41" x14ac:dyDescent="0.25">
      <c r="A54" s="51" t="s">
        <v>2297</v>
      </c>
      <c r="B54" s="51" t="s">
        <v>1307</v>
      </c>
      <c r="C54" s="54" t="s">
        <v>607</v>
      </c>
      <c r="D54" s="51" t="s">
        <v>1308</v>
      </c>
      <c r="E54" s="20">
        <v>10000</v>
      </c>
      <c r="F54" s="20">
        <v>1746.11</v>
      </c>
      <c r="G54" s="20">
        <v>3253.89</v>
      </c>
      <c r="H54" s="20">
        <v>1470.42</v>
      </c>
      <c r="I54" s="20">
        <v>1746.11</v>
      </c>
      <c r="J54" s="51" t="s">
        <v>6727</v>
      </c>
      <c r="K54" s="15">
        <v>11</v>
      </c>
      <c r="L54" s="51" t="s">
        <v>2369</v>
      </c>
      <c r="M54" s="51" t="s">
        <v>1309</v>
      </c>
      <c r="N54" s="51" t="s">
        <v>1310</v>
      </c>
      <c r="O54" s="51" t="s">
        <v>67</v>
      </c>
      <c r="P54" s="51" t="s">
        <v>67</v>
      </c>
      <c r="Q54" s="45">
        <v>46223.604026319445</v>
      </c>
      <c r="R54" s="46">
        <v>46310</v>
      </c>
      <c r="S54" s="46">
        <v>46305</v>
      </c>
      <c r="T54" s="51" t="s">
        <v>6119</v>
      </c>
      <c r="U54" s="15">
        <v>322.14999999999998</v>
      </c>
      <c r="V54" s="15">
        <v>1489.79</v>
      </c>
      <c r="W54" s="15">
        <v>13.71</v>
      </c>
      <c r="X54" s="15">
        <v>5.66</v>
      </c>
      <c r="Y54" s="15">
        <v>1.6623699999999999</v>
      </c>
      <c r="Z54" s="15">
        <v>6</v>
      </c>
      <c r="AA54" s="46">
        <v>46280</v>
      </c>
      <c r="AB54" s="15"/>
      <c r="AC54" s="15"/>
      <c r="AD54" s="15"/>
      <c r="AE54" s="15"/>
      <c r="AF54" s="15"/>
      <c r="AG54" s="15"/>
      <c r="AH54" s="15"/>
      <c r="AI54" s="46"/>
      <c r="AJ54" s="51" t="s">
        <v>6121</v>
      </c>
      <c r="AK54" s="51" t="s">
        <v>6121</v>
      </c>
      <c r="AL54" s="15">
        <v>322.14999999999998</v>
      </c>
      <c r="AM54" s="51" t="s">
        <v>67</v>
      </c>
      <c r="AN54" s="51" t="s">
        <v>67</v>
      </c>
      <c r="AO54" s="50" t="s">
        <v>9554</v>
      </c>
    </row>
    <row r="55" spans="1:41" x14ac:dyDescent="0.25">
      <c r="A55" s="51" t="s">
        <v>2298</v>
      </c>
      <c r="B55" s="51" t="s">
        <v>1395</v>
      </c>
      <c r="C55" s="54" t="s">
        <v>607</v>
      </c>
      <c r="D55" s="51" t="s">
        <v>1396</v>
      </c>
      <c r="E55" s="20">
        <v>10000</v>
      </c>
      <c r="F55" s="20">
        <v>1624.2</v>
      </c>
      <c r="G55" s="20">
        <v>3375.8</v>
      </c>
      <c r="H55" s="20">
        <v>1358.04</v>
      </c>
      <c r="I55" s="20">
        <v>1624.2</v>
      </c>
      <c r="J55" s="51" t="s">
        <v>6727</v>
      </c>
      <c r="K55" s="15">
        <v>11</v>
      </c>
      <c r="L55" s="51" t="s">
        <v>2369</v>
      </c>
      <c r="M55" s="51" t="s">
        <v>1397</v>
      </c>
      <c r="N55" s="51" t="s">
        <v>1398</v>
      </c>
      <c r="O55" s="51" t="s">
        <v>67</v>
      </c>
      <c r="P55" s="51" t="s">
        <v>67</v>
      </c>
      <c r="Q55" s="45">
        <v>46223.646840092595</v>
      </c>
      <c r="R55" s="46">
        <v>46310</v>
      </c>
      <c r="S55" s="46">
        <v>46305</v>
      </c>
      <c r="T55" s="51" t="s">
        <v>6119</v>
      </c>
      <c r="U55" s="15">
        <v>297.52999999999997</v>
      </c>
      <c r="V55" s="15">
        <v>1375.93</v>
      </c>
      <c r="W55" s="15">
        <v>12.66</v>
      </c>
      <c r="X55" s="15">
        <v>5.23</v>
      </c>
      <c r="Y55" s="15">
        <v>1.6624030000000001</v>
      </c>
      <c r="Z55" s="15">
        <v>6</v>
      </c>
      <c r="AA55" s="46">
        <v>46280</v>
      </c>
      <c r="AB55" s="15"/>
      <c r="AC55" s="15"/>
      <c r="AD55" s="15"/>
      <c r="AE55" s="15"/>
      <c r="AF55" s="15"/>
      <c r="AG55" s="15"/>
      <c r="AH55" s="15"/>
      <c r="AI55" s="46"/>
      <c r="AJ55" s="51" t="s">
        <v>6121</v>
      </c>
      <c r="AK55" s="51" t="s">
        <v>6121</v>
      </c>
      <c r="AL55" s="15">
        <v>297.52999999999997</v>
      </c>
      <c r="AM55" s="51" t="s">
        <v>67</v>
      </c>
      <c r="AN55" s="51" t="s">
        <v>67</v>
      </c>
      <c r="AO55" s="50" t="s">
        <v>9554</v>
      </c>
    </row>
    <row r="56" spans="1:41" x14ac:dyDescent="0.25">
      <c r="A56" s="51" t="s">
        <v>2299</v>
      </c>
      <c r="B56" s="51" t="s">
        <v>2087</v>
      </c>
      <c r="C56" s="54" t="s">
        <v>607</v>
      </c>
      <c r="D56" s="51" t="s">
        <v>2082</v>
      </c>
      <c r="E56" s="20">
        <v>10000</v>
      </c>
      <c r="F56" s="20">
        <v>1021.67</v>
      </c>
      <c r="G56" s="20">
        <v>3978.33</v>
      </c>
      <c r="H56" s="20">
        <v>802.61</v>
      </c>
      <c r="I56" s="20">
        <v>1021.67</v>
      </c>
      <c r="J56" s="51" t="s">
        <v>6727</v>
      </c>
      <c r="K56" s="15">
        <v>11</v>
      </c>
      <c r="L56" s="51" t="s">
        <v>2369</v>
      </c>
      <c r="M56" s="51" t="s">
        <v>2088</v>
      </c>
      <c r="N56" s="51" t="s">
        <v>2089</v>
      </c>
      <c r="O56" s="51" t="s">
        <v>67</v>
      </c>
      <c r="P56" s="51" t="s">
        <v>67</v>
      </c>
      <c r="Q56" s="45">
        <v>46223.674182013892</v>
      </c>
      <c r="R56" s="46">
        <v>46310</v>
      </c>
      <c r="S56" s="46">
        <v>46305</v>
      </c>
      <c r="T56" s="51" t="s">
        <v>6119</v>
      </c>
      <c r="U56" s="15">
        <v>175.84</v>
      </c>
      <c r="V56" s="15">
        <v>813.19</v>
      </c>
      <c r="W56" s="15">
        <v>7.49</v>
      </c>
      <c r="X56" s="15">
        <v>3.09</v>
      </c>
      <c r="Y56" s="15">
        <v>1.6622870000000001</v>
      </c>
      <c r="Z56" s="15">
        <v>6</v>
      </c>
      <c r="AA56" s="46">
        <v>46280</v>
      </c>
      <c r="AB56" s="15"/>
      <c r="AC56" s="15"/>
      <c r="AD56" s="15"/>
      <c r="AE56" s="15"/>
      <c r="AF56" s="15"/>
      <c r="AG56" s="15"/>
      <c r="AH56" s="15"/>
      <c r="AI56" s="46"/>
      <c r="AJ56" s="51" t="s">
        <v>6121</v>
      </c>
      <c r="AK56" s="51" t="s">
        <v>6121</v>
      </c>
      <c r="AL56" s="15">
        <v>175.84</v>
      </c>
      <c r="AM56" s="51" t="s">
        <v>67</v>
      </c>
      <c r="AN56" s="51" t="s">
        <v>67</v>
      </c>
      <c r="AO56" s="50" t="s">
        <v>9554</v>
      </c>
    </row>
    <row r="57" spans="1:41" hidden="1" x14ac:dyDescent="0.25">
      <c r="A57" s="51" t="s">
        <v>2300</v>
      </c>
      <c r="B57" s="51" t="s">
        <v>1391</v>
      </c>
      <c r="C57" s="54" t="s">
        <v>607</v>
      </c>
      <c r="D57" s="51" t="s">
        <v>1392</v>
      </c>
      <c r="E57" s="20">
        <v>7198.13</v>
      </c>
      <c r="F57" s="20">
        <v>2564.71</v>
      </c>
      <c r="G57" s="20">
        <v>2435.29</v>
      </c>
      <c r="H57" s="20">
        <v>5094.32</v>
      </c>
      <c r="I57" s="20">
        <v>2564.71</v>
      </c>
      <c r="J57" s="51" t="s">
        <v>6726</v>
      </c>
      <c r="K57" s="15">
        <v>0</v>
      </c>
      <c r="L57" s="51" t="s">
        <v>2371</v>
      </c>
      <c r="M57" s="51" t="s">
        <v>1393</v>
      </c>
      <c r="N57" s="51" t="s">
        <v>1394</v>
      </c>
      <c r="O57" s="51" t="s">
        <v>67</v>
      </c>
      <c r="P57" s="51" t="s">
        <v>67</v>
      </c>
      <c r="Q57" s="45">
        <v>46223.893028692131</v>
      </c>
      <c r="R57" s="46">
        <v>46310</v>
      </c>
      <c r="S57" s="46">
        <v>46305</v>
      </c>
      <c r="T57" s="51" t="s">
        <v>6119</v>
      </c>
      <c r="U57" s="15">
        <v>267.02</v>
      </c>
      <c r="V57" s="15">
        <v>1234.83</v>
      </c>
      <c r="W57" s="15">
        <v>11.37</v>
      </c>
      <c r="X57" s="15">
        <v>0</v>
      </c>
      <c r="Y57" s="15">
        <v>1.624841</v>
      </c>
      <c r="Z57" s="15">
        <v>6</v>
      </c>
      <c r="AA57" s="46">
        <v>46280</v>
      </c>
      <c r="AB57" s="15"/>
      <c r="AC57" s="15"/>
      <c r="AD57" s="15"/>
      <c r="AE57" s="15"/>
      <c r="AF57" s="15"/>
      <c r="AG57" s="15"/>
      <c r="AH57" s="15"/>
      <c r="AI57" s="46"/>
      <c r="AJ57" s="51" t="s">
        <v>67</v>
      </c>
      <c r="AK57" s="51" t="s">
        <v>6121</v>
      </c>
      <c r="AL57" s="15">
        <v>267.02</v>
      </c>
      <c r="AM57" s="51" t="s">
        <v>6705</v>
      </c>
      <c r="AN57" s="51" t="s">
        <v>6708</v>
      </c>
      <c r="AO57" s="50" t="s">
        <v>9554</v>
      </c>
    </row>
    <row r="58" spans="1:41" x14ac:dyDescent="0.25">
      <c r="A58" s="51" t="s">
        <v>2301</v>
      </c>
      <c r="B58" s="51" t="s">
        <v>1972</v>
      </c>
      <c r="C58" s="54" t="s">
        <v>607</v>
      </c>
      <c r="D58" s="51" t="s">
        <v>2380</v>
      </c>
      <c r="E58" s="20">
        <v>10000</v>
      </c>
      <c r="F58" s="20">
        <v>1571.79</v>
      </c>
      <c r="G58" s="20">
        <v>3428.21</v>
      </c>
      <c r="H58" s="20">
        <v>1309.7</v>
      </c>
      <c r="I58" s="20">
        <v>1571.79</v>
      </c>
      <c r="J58" s="51" t="s">
        <v>6727</v>
      </c>
      <c r="K58" s="15">
        <v>11</v>
      </c>
      <c r="L58" s="51" t="s">
        <v>2369</v>
      </c>
      <c r="M58" s="51" t="s">
        <v>1973</v>
      </c>
      <c r="N58" s="51" t="s">
        <v>1974</v>
      </c>
      <c r="O58" s="51" t="s">
        <v>67</v>
      </c>
      <c r="P58" s="51" t="s">
        <v>67</v>
      </c>
      <c r="Q58" s="45">
        <v>46223.893318877315</v>
      </c>
      <c r="R58" s="46">
        <v>46310</v>
      </c>
      <c r="S58" s="46">
        <v>46305</v>
      </c>
      <c r="T58" s="51" t="s">
        <v>6119</v>
      </c>
      <c r="U58" s="15">
        <v>286.93</v>
      </c>
      <c r="V58" s="15">
        <v>1326.94</v>
      </c>
      <c r="W58" s="15">
        <v>12.2</v>
      </c>
      <c r="X58" s="15">
        <v>5.04</v>
      </c>
      <c r="Y58" s="15">
        <v>1.662083</v>
      </c>
      <c r="Z58" s="15">
        <v>6</v>
      </c>
      <c r="AA58" s="46">
        <v>46280</v>
      </c>
      <c r="AB58" s="15"/>
      <c r="AC58" s="15"/>
      <c r="AD58" s="15"/>
      <c r="AE58" s="15"/>
      <c r="AF58" s="15"/>
      <c r="AG58" s="15"/>
      <c r="AH58" s="15"/>
      <c r="AI58" s="46"/>
      <c r="AJ58" s="51" t="s">
        <v>6121</v>
      </c>
      <c r="AK58" s="51" t="s">
        <v>6121</v>
      </c>
      <c r="AL58" s="15">
        <v>286.93</v>
      </c>
      <c r="AM58" s="51" t="s">
        <v>67</v>
      </c>
      <c r="AN58" s="51" t="s">
        <v>67</v>
      </c>
      <c r="AO58" s="50" t="s">
        <v>9554</v>
      </c>
    </row>
    <row r="59" spans="1:41" hidden="1" x14ac:dyDescent="0.25">
      <c r="A59" s="51" t="s">
        <v>2302</v>
      </c>
      <c r="B59" s="51" t="s">
        <v>1619</v>
      </c>
      <c r="C59" s="54" t="s">
        <v>607</v>
      </c>
      <c r="D59" s="51" t="s">
        <v>1620</v>
      </c>
      <c r="E59" s="20">
        <v>8000</v>
      </c>
      <c r="F59" s="20">
        <v>0</v>
      </c>
      <c r="G59" s="20">
        <v>5000</v>
      </c>
      <c r="H59" s="20">
        <v>5176.84</v>
      </c>
      <c r="I59" s="20">
        <v>151.01</v>
      </c>
      <c r="J59" s="51" t="s">
        <v>6726</v>
      </c>
      <c r="K59" s="15">
        <v>0</v>
      </c>
      <c r="L59" s="51" t="s">
        <v>2371</v>
      </c>
      <c r="M59" s="51" t="s">
        <v>1621</v>
      </c>
      <c r="N59" s="51" t="s">
        <v>1622</v>
      </c>
      <c r="O59" s="51" t="s">
        <v>67</v>
      </c>
      <c r="P59" s="51" t="s">
        <v>67</v>
      </c>
      <c r="Q59" s="45">
        <v>46224.075377824076</v>
      </c>
      <c r="R59" s="46">
        <v>46310</v>
      </c>
      <c r="S59" s="46">
        <v>46305</v>
      </c>
      <c r="T59" s="51" t="s">
        <v>6119</v>
      </c>
      <c r="U59" s="15"/>
      <c r="V59" s="15"/>
      <c r="W59" s="15"/>
      <c r="X59" s="15"/>
      <c r="Y59" s="15"/>
      <c r="Z59" s="15"/>
      <c r="AA59" s="46"/>
      <c r="AB59" s="15"/>
      <c r="AC59" s="15"/>
      <c r="AD59" s="15"/>
      <c r="AE59" s="15"/>
      <c r="AF59" s="15"/>
      <c r="AG59" s="15"/>
      <c r="AH59" s="15"/>
      <c r="AI59" s="46"/>
      <c r="AJ59" s="51" t="s">
        <v>67</v>
      </c>
      <c r="AK59" s="51" t="s">
        <v>67</v>
      </c>
      <c r="AL59" s="15"/>
      <c r="AM59" s="51" t="s">
        <v>6705</v>
      </c>
      <c r="AN59" s="51" t="s">
        <v>6706</v>
      </c>
      <c r="AO59" s="50" t="s">
        <v>9554</v>
      </c>
    </row>
    <row r="60" spans="1:41" hidden="1" x14ac:dyDescent="0.25">
      <c r="A60" s="51" t="s">
        <v>2303</v>
      </c>
      <c r="B60" s="51" t="s">
        <v>1591</v>
      </c>
      <c r="C60" s="54" t="s">
        <v>607</v>
      </c>
      <c r="D60" s="51" t="s">
        <v>1592</v>
      </c>
      <c r="E60" s="20">
        <v>27106.48</v>
      </c>
      <c r="F60" s="20">
        <v>1532.54</v>
      </c>
      <c r="G60" s="20">
        <v>20467.46</v>
      </c>
      <c r="H60" s="20">
        <v>5106.4799999999996</v>
      </c>
      <c r="I60" s="20">
        <v>272.54000000000002</v>
      </c>
      <c r="J60" s="51" t="s">
        <v>6724</v>
      </c>
      <c r="K60" s="15">
        <v>0</v>
      </c>
      <c r="L60" s="51" t="s">
        <v>2371</v>
      </c>
      <c r="M60" s="51" t="s">
        <v>1593</v>
      </c>
      <c r="N60" s="51" t="s">
        <v>1594</v>
      </c>
      <c r="O60" s="51" t="s">
        <v>67</v>
      </c>
      <c r="P60" s="51" t="s">
        <v>67</v>
      </c>
      <c r="Q60" s="45">
        <v>46224.500176354166</v>
      </c>
      <c r="R60" s="46">
        <v>46310</v>
      </c>
      <c r="S60" s="46">
        <v>46305</v>
      </c>
      <c r="T60" s="51" t="s">
        <v>6119</v>
      </c>
      <c r="U60" s="15"/>
      <c r="V60" s="15"/>
      <c r="W60" s="15"/>
      <c r="X60" s="15"/>
      <c r="Y60" s="15"/>
      <c r="Z60" s="15"/>
      <c r="AA60" s="46"/>
      <c r="AB60" s="15"/>
      <c r="AC60" s="15"/>
      <c r="AD60" s="15"/>
      <c r="AE60" s="15"/>
      <c r="AF60" s="15"/>
      <c r="AG60" s="15"/>
      <c r="AH60" s="15"/>
      <c r="AI60" s="46"/>
      <c r="AJ60" s="51" t="s">
        <v>67</v>
      </c>
      <c r="AK60" s="51" t="s">
        <v>67</v>
      </c>
      <c r="AL60" s="15"/>
      <c r="AM60" s="51" t="s">
        <v>6705</v>
      </c>
      <c r="AN60" s="51" t="s">
        <v>6710</v>
      </c>
      <c r="AO60" s="50" t="s">
        <v>9554</v>
      </c>
    </row>
    <row r="61" spans="1:41" x14ac:dyDescent="0.25">
      <c r="A61" s="51" t="s">
        <v>2304</v>
      </c>
      <c r="B61" s="51" t="s">
        <v>2111</v>
      </c>
      <c r="C61" s="54" t="s">
        <v>607</v>
      </c>
      <c r="D61" s="51" t="s">
        <v>2112</v>
      </c>
      <c r="E61" s="20">
        <v>10000</v>
      </c>
      <c r="F61" s="20">
        <v>2035.52</v>
      </c>
      <c r="G61" s="20">
        <v>2964.48</v>
      </c>
      <c r="H61" s="20">
        <v>1737.21</v>
      </c>
      <c r="I61" s="20">
        <v>2035.52</v>
      </c>
      <c r="J61" s="51" t="s">
        <v>6727</v>
      </c>
      <c r="K61" s="15">
        <v>11</v>
      </c>
      <c r="L61" s="51" t="s">
        <v>2369</v>
      </c>
      <c r="M61" s="51" t="s">
        <v>2113</v>
      </c>
      <c r="N61" s="51" t="s">
        <v>385</v>
      </c>
      <c r="O61" s="51" t="s">
        <v>67</v>
      </c>
      <c r="P61" s="51" t="s">
        <v>67</v>
      </c>
      <c r="Q61" s="45">
        <v>46224.500339988423</v>
      </c>
      <c r="R61" s="46">
        <v>46310</v>
      </c>
      <c r="S61" s="46">
        <v>46305</v>
      </c>
      <c r="T61" s="51" t="s">
        <v>6119</v>
      </c>
      <c r="U61" s="15">
        <v>380.6</v>
      </c>
      <c r="V61" s="15">
        <v>1760.1</v>
      </c>
      <c r="W61" s="15">
        <v>16.2</v>
      </c>
      <c r="X61" s="15">
        <v>6.69</v>
      </c>
      <c r="Y61" s="15">
        <v>1.662364</v>
      </c>
      <c r="Z61" s="15">
        <v>6</v>
      </c>
      <c r="AA61" s="46">
        <v>46280</v>
      </c>
      <c r="AB61" s="15"/>
      <c r="AC61" s="15"/>
      <c r="AD61" s="15"/>
      <c r="AE61" s="15"/>
      <c r="AF61" s="15"/>
      <c r="AG61" s="15"/>
      <c r="AH61" s="15"/>
      <c r="AI61" s="46"/>
      <c r="AJ61" s="51" t="s">
        <v>6121</v>
      </c>
      <c r="AK61" s="51" t="s">
        <v>6121</v>
      </c>
      <c r="AL61" s="15">
        <v>380.6</v>
      </c>
      <c r="AM61" s="51" t="s">
        <v>67</v>
      </c>
      <c r="AN61" s="51" t="s">
        <v>67</v>
      </c>
      <c r="AO61" s="50" t="s">
        <v>9554</v>
      </c>
    </row>
    <row r="62" spans="1:41" x14ac:dyDescent="0.25">
      <c r="A62" s="51" t="s">
        <v>2305</v>
      </c>
      <c r="B62" s="51" t="s">
        <v>1572</v>
      </c>
      <c r="C62" s="54" t="s">
        <v>607</v>
      </c>
      <c r="D62" s="51" t="s">
        <v>1573</v>
      </c>
      <c r="E62" s="20">
        <v>10000</v>
      </c>
      <c r="F62" s="20">
        <v>2054.59</v>
      </c>
      <c r="G62" s="20">
        <v>2945.41</v>
      </c>
      <c r="H62" s="20">
        <v>1754.79</v>
      </c>
      <c r="I62" s="20">
        <v>2054.59</v>
      </c>
      <c r="J62" s="51" t="s">
        <v>6727</v>
      </c>
      <c r="K62" s="15">
        <v>11</v>
      </c>
      <c r="L62" s="51" t="s">
        <v>2369</v>
      </c>
      <c r="M62" s="51" t="s">
        <v>1574</v>
      </c>
      <c r="N62" s="51" t="s">
        <v>1575</v>
      </c>
      <c r="O62" s="51" t="s">
        <v>67</v>
      </c>
      <c r="P62" s="51" t="s">
        <v>67</v>
      </c>
      <c r="Q62" s="45">
        <v>46224.50061751157</v>
      </c>
      <c r="R62" s="46">
        <v>46310</v>
      </c>
      <c r="S62" s="46">
        <v>46305</v>
      </c>
      <c r="T62" s="51" t="s">
        <v>6119</v>
      </c>
      <c r="U62" s="15">
        <v>384.45</v>
      </c>
      <c r="V62" s="15">
        <v>1777.9</v>
      </c>
      <c r="W62" s="15">
        <v>16.36</v>
      </c>
      <c r="X62" s="15">
        <v>6.75</v>
      </c>
      <c r="Y62" s="15">
        <v>1.6623239999999999</v>
      </c>
      <c r="Z62" s="15">
        <v>6</v>
      </c>
      <c r="AA62" s="46">
        <v>46280</v>
      </c>
      <c r="AB62" s="15"/>
      <c r="AC62" s="15"/>
      <c r="AD62" s="15"/>
      <c r="AE62" s="15"/>
      <c r="AF62" s="15"/>
      <c r="AG62" s="15"/>
      <c r="AH62" s="15"/>
      <c r="AI62" s="46"/>
      <c r="AJ62" s="51" t="s">
        <v>6121</v>
      </c>
      <c r="AK62" s="51" t="s">
        <v>6121</v>
      </c>
      <c r="AL62" s="15">
        <v>384.45</v>
      </c>
      <c r="AM62" s="51" t="s">
        <v>67</v>
      </c>
      <c r="AN62" s="51" t="s">
        <v>67</v>
      </c>
      <c r="AO62" s="50" t="s">
        <v>9554</v>
      </c>
    </row>
    <row r="63" spans="1:41" hidden="1" x14ac:dyDescent="0.25">
      <c r="A63" s="51" t="s">
        <v>2306</v>
      </c>
      <c r="B63" s="51" t="s">
        <v>1440</v>
      </c>
      <c r="C63" s="54" t="s">
        <v>607</v>
      </c>
      <c r="D63" s="51" t="s">
        <v>1441</v>
      </c>
      <c r="E63" s="20">
        <v>4859.6499999999996</v>
      </c>
      <c r="F63" s="20">
        <v>273.35000000000002</v>
      </c>
      <c r="G63" s="20">
        <v>4726.6499999999996</v>
      </c>
      <c r="H63" s="20">
        <v>5140.3500000000004</v>
      </c>
      <c r="I63" s="20">
        <v>273.35000000000002</v>
      </c>
      <c r="J63" s="51" t="s">
        <v>6724</v>
      </c>
      <c r="K63" s="15">
        <v>0</v>
      </c>
      <c r="L63" s="51" t="s">
        <v>2371</v>
      </c>
      <c r="M63" s="51" t="s">
        <v>1442</v>
      </c>
      <c r="N63" s="51" t="s">
        <v>1443</v>
      </c>
      <c r="O63" s="51" t="s">
        <v>67</v>
      </c>
      <c r="P63" s="51" t="s">
        <v>67</v>
      </c>
      <c r="Q63" s="45">
        <v>46225.041546111112</v>
      </c>
      <c r="R63" s="46">
        <v>46310</v>
      </c>
      <c r="S63" s="46">
        <v>46305</v>
      </c>
      <c r="T63" s="51" t="s">
        <v>6119</v>
      </c>
      <c r="U63" s="15">
        <v>848.05</v>
      </c>
      <c r="V63" s="15">
        <v>3921.84</v>
      </c>
      <c r="W63" s="15">
        <v>36.08</v>
      </c>
      <c r="X63" s="15">
        <v>14.9</v>
      </c>
      <c r="Y63" s="15">
        <v>1.662307</v>
      </c>
      <c r="Z63" s="15">
        <v>6</v>
      </c>
      <c r="AA63" s="46">
        <v>46280</v>
      </c>
      <c r="AB63" s="15"/>
      <c r="AC63" s="15"/>
      <c r="AD63" s="15"/>
      <c r="AE63" s="15"/>
      <c r="AF63" s="15"/>
      <c r="AG63" s="15"/>
      <c r="AH63" s="15"/>
      <c r="AI63" s="46"/>
      <c r="AJ63" s="51" t="s">
        <v>67</v>
      </c>
      <c r="AK63" s="51" t="s">
        <v>6121</v>
      </c>
      <c r="AL63" s="15">
        <v>848.05</v>
      </c>
      <c r="AM63" s="51" t="s">
        <v>6705</v>
      </c>
      <c r="AN63" s="51" t="s">
        <v>6708</v>
      </c>
      <c r="AO63" s="50" t="s">
        <v>9554</v>
      </c>
    </row>
    <row r="64" spans="1:41" hidden="1" x14ac:dyDescent="0.25">
      <c r="A64" s="51" t="s">
        <v>2307</v>
      </c>
      <c r="B64" s="51" t="s">
        <v>2002</v>
      </c>
      <c r="C64" s="54" t="s">
        <v>607</v>
      </c>
      <c r="D64" s="51" t="s">
        <v>2003</v>
      </c>
      <c r="E64" s="20">
        <v>27000</v>
      </c>
      <c r="F64" s="20">
        <v>265.25</v>
      </c>
      <c r="G64" s="20">
        <v>4734.75</v>
      </c>
      <c r="H64" s="20">
        <v>4799.9399999999996</v>
      </c>
      <c r="I64" s="20">
        <v>265.25</v>
      </c>
      <c r="J64" s="51" t="s">
        <v>6724</v>
      </c>
      <c r="K64" s="15">
        <v>0</v>
      </c>
      <c r="L64" s="51" t="s">
        <v>2371</v>
      </c>
      <c r="M64" s="51" t="s">
        <v>2004</v>
      </c>
      <c r="N64" s="51" t="s">
        <v>2005</v>
      </c>
      <c r="O64" s="51" t="s">
        <v>67</v>
      </c>
      <c r="P64" s="51" t="s">
        <v>67</v>
      </c>
      <c r="Q64" s="45">
        <v>46225.044103229164</v>
      </c>
      <c r="R64" s="46">
        <v>46310</v>
      </c>
      <c r="S64" s="46">
        <v>46305</v>
      </c>
      <c r="T64" s="51" t="s">
        <v>6119</v>
      </c>
      <c r="U64" s="15"/>
      <c r="V64" s="15"/>
      <c r="W64" s="15"/>
      <c r="X64" s="15"/>
      <c r="Y64" s="15"/>
      <c r="Z64" s="15"/>
      <c r="AA64" s="46"/>
      <c r="AB64" s="15"/>
      <c r="AC64" s="15"/>
      <c r="AD64" s="15"/>
      <c r="AE64" s="15"/>
      <c r="AF64" s="15"/>
      <c r="AG64" s="15"/>
      <c r="AH64" s="15"/>
      <c r="AI64" s="46"/>
      <c r="AJ64" s="51" t="s">
        <v>67</v>
      </c>
      <c r="AK64" s="51" t="s">
        <v>67</v>
      </c>
      <c r="AL64" s="15"/>
      <c r="AM64" s="51" t="s">
        <v>6705</v>
      </c>
      <c r="AN64" s="51" t="s">
        <v>6706</v>
      </c>
      <c r="AO64" s="50" t="s">
        <v>9554</v>
      </c>
    </row>
    <row r="65" spans="1:41" x14ac:dyDescent="0.25">
      <c r="A65" s="51" t="s">
        <v>2308</v>
      </c>
      <c r="B65" s="51" t="s">
        <v>1839</v>
      </c>
      <c r="C65" s="54" t="s">
        <v>607</v>
      </c>
      <c r="D65" s="51" t="s">
        <v>1840</v>
      </c>
      <c r="E65" s="20">
        <v>10000</v>
      </c>
      <c r="F65" s="20">
        <v>1713.3</v>
      </c>
      <c r="G65" s="20">
        <v>3286.7</v>
      </c>
      <c r="H65" s="20">
        <v>1440.17</v>
      </c>
      <c r="I65" s="20">
        <v>1713.3</v>
      </c>
      <c r="J65" s="51" t="s">
        <v>6727</v>
      </c>
      <c r="K65" s="15">
        <v>11</v>
      </c>
      <c r="L65" s="51" t="s">
        <v>2369</v>
      </c>
      <c r="M65" s="51" t="s">
        <v>1841</v>
      </c>
      <c r="N65" s="51" t="s">
        <v>1842</v>
      </c>
      <c r="O65" s="51" t="s">
        <v>67</v>
      </c>
      <c r="P65" s="51" t="s">
        <v>67</v>
      </c>
      <c r="Q65" s="45">
        <v>46225.061685567132</v>
      </c>
      <c r="R65" s="46">
        <v>46310</v>
      </c>
      <c r="S65" s="46">
        <v>46305</v>
      </c>
      <c r="T65" s="51" t="s">
        <v>6119</v>
      </c>
      <c r="U65" s="15">
        <v>315.52</v>
      </c>
      <c r="V65" s="15">
        <v>1459.14</v>
      </c>
      <c r="W65" s="15">
        <v>13.43</v>
      </c>
      <c r="X65" s="15">
        <v>5.54</v>
      </c>
      <c r="Y65" s="15">
        <v>1.662288</v>
      </c>
      <c r="Z65" s="15">
        <v>6</v>
      </c>
      <c r="AA65" s="46">
        <v>46280</v>
      </c>
      <c r="AB65" s="15"/>
      <c r="AC65" s="15"/>
      <c r="AD65" s="15"/>
      <c r="AE65" s="15"/>
      <c r="AF65" s="15"/>
      <c r="AG65" s="15"/>
      <c r="AH65" s="15"/>
      <c r="AI65" s="46"/>
      <c r="AJ65" s="51" t="s">
        <v>6121</v>
      </c>
      <c r="AK65" s="51" t="s">
        <v>6121</v>
      </c>
      <c r="AL65" s="15">
        <v>315.52</v>
      </c>
      <c r="AM65" s="51" t="s">
        <v>67</v>
      </c>
      <c r="AN65" s="51" t="s">
        <v>67</v>
      </c>
      <c r="AO65" s="50" t="s">
        <v>9554</v>
      </c>
    </row>
    <row r="66" spans="1:41" hidden="1" x14ac:dyDescent="0.25">
      <c r="A66" s="51" t="s">
        <v>2309</v>
      </c>
      <c r="B66" s="51" t="s">
        <v>1715</v>
      </c>
      <c r="C66" s="54" t="s">
        <v>607</v>
      </c>
      <c r="D66" s="51" t="s">
        <v>1716</v>
      </c>
      <c r="E66" s="20">
        <v>5132.5</v>
      </c>
      <c r="F66" s="20">
        <v>266.86</v>
      </c>
      <c r="G66" s="20">
        <v>4733.1400000000003</v>
      </c>
      <c r="H66" s="20">
        <v>4867.5</v>
      </c>
      <c r="I66" s="20">
        <v>266.86</v>
      </c>
      <c r="J66" s="51" t="s">
        <v>6724</v>
      </c>
      <c r="K66" s="15">
        <v>0</v>
      </c>
      <c r="L66" s="51" t="s">
        <v>2371</v>
      </c>
      <c r="M66" s="51" t="s">
        <v>1717</v>
      </c>
      <c r="N66" s="51" t="s">
        <v>1718</v>
      </c>
      <c r="O66" s="51" t="s">
        <v>67</v>
      </c>
      <c r="P66" s="51" t="s">
        <v>67</v>
      </c>
      <c r="Q66" s="45">
        <v>46225.582451550923</v>
      </c>
      <c r="R66" s="46">
        <v>46310</v>
      </c>
      <c r="S66" s="46">
        <v>46305</v>
      </c>
      <c r="T66" s="51" t="s">
        <v>6119</v>
      </c>
      <c r="U66" s="15">
        <v>217.51</v>
      </c>
      <c r="V66" s="15">
        <v>1005.89</v>
      </c>
      <c r="W66" s="15">
        <v>9.25</v>
      </c>
      <c r="X66" s="15">
        <v>0</v>
      </c>
      <c r="Y66" s="15">
        <v>1.6245480000000001</v>
      </c>
      <c r="Z66" s="15">
        <v>6</v>
      </c>
      <c r="AA66" s="46">
        <v>46280</v>
      </c>
      <c r="AB66" s="15"/>
      <c r="AC66" s="15"/>
      <c r="AD66" s="15"/>
      <c r="AE66" s="15"/>
      <c r="AF66" s="15"/>
      <c r="AG66" s="15"/>
      <c r="AH66" s="15"/>
      <c r="AI66" s="46"/>
      <c r="AJ66" s="51" t="s">
        <v>67</v>
      </c>
      <c r="AK66" s="51" t="s">
        <v>6121</v>
      </c>
      <c r="AL66" s="15">
        <v>217.51</v>
      </c>
      <c r="AM66" s="51" t="s">
        <v>6705</v>
      </c>
      <c r="AN66" s="51" t="s">
        <v>6708</v>
      </c>
      <c r="AO66" s="50" t="s">
        <v>9554</v>
      </c>
    </row>
    <row r="67" spans="1:41" hidden="1" x14ac:dyDescent="0.25">
      <c r="A67" s="51" t="s">
        <v>2310</v>
      </c>
      <c r="B67" s="51" t="s">
        <v>1489</v>
      </c>
      <c r="C67" s="54" t="s">
        <v>607</v>
      </c>
      <c r="D67" s="51" t="s">
        <v>1490</v>
      </c>
      <c r="E67" s="20">
        <v>19019.169999999998</v>
      </c>
      <c r="F67" s="20">
        <v>0</v>
      </c>
      <c r="G67" s="20">
        <v>5000</v>
      </c>
      <c r="H67" s="20">
        <v>5517.84</v>
      </c>
      <c r="I67" s="20">
        <v>151.01</v>
      </c>
      <c r="J67" s="51" t="s">
        <v>6726</v>
      </c>
      <c r="K67" s="15">
        <v>0</v>
      </c>
      <c r="L67" s="51" t="s">
        <v>2371</v>
      </c>
      <c r="M67" s="51" t="s">
        <v>1491</v>
      </c>
      <c r="N67" s="51" t="s">
        <v>1492</v>
      </c>
      <c r="O67" s="51" t="s">
        <v>67</v>
      </c>
      <c r="P67" s="51" t="s">
        <v>67</v>
      </c>
      <c r="Q67" s="45">
        <v>46225.65426520833</v>
      </c>
      <c r="R67" s="46">
        <v>46310</v>
      </c>
      <c r="S67" s="46">
        <v>46305</v>
      </c>
      <c r="T67" s="51" t="s">
        <v>6119</v>
      </c>
      <c r="U67" s="15"/>
      <c r="V67" s="15"/>
      <c r="W67" s="15"/>
      <c r="X67" s="15"/>
      <c r="Y67" s="15"/>
      <c r="Z67" s="15"/>
      <c r="AA67" s="46"/>
      <c r="AB67" s="15"/>
      <c r="AC67" s="15"/>
      <c r="AD67" s="15"/>
      <c r="AE67" s="15"/>
      <c r="AF67" s="15"/>
      <c r="AG67" s="15"/>
      <c r="AH67" s="15"/>
      <c r="AI67" s="46"/>
      <c r="AJ67" s="51" t="s">
        <v>67</v>
      </c>
      <c r="AK67" s="51" t="s">
        <v>67</v>
      </c>
      <c r="AL67" s="15"/>
      <c r="AM67" s="51" t="s">
        <v>6705</v>
      </c>
      <c r="AN67" s="51" t="s">
        <v>6120</v>
      </c>
      <c r="AO67" s="50" t="s">
        <v>9554</v>
      </c>
    </row>
    <row r="68" spans="1:41" hidden="1" x14ac:dyDescent="0.25">
      <c r="A68" s="51" t="s">
        <v>2311</v>
      </c>
      <c r="B68" s="51" t="s">
        <v>1623</v>
      </c>
      <c r="C68" s="54" t="s">
        <v>607</v>
      </c>
      <c r="D68" s="51" t="s">
        <v>1624</v>
      </c>
      <c r="E68" s="20">
        <v>27454.78</v>
      </c>
      <c r="F68" s="20">
        <v>1475.42</v>
      </c>
      <c r="G68" s="20">
        <v>18524.580000000002</v>
      </c>
      <c r="H68" s="20">
        <v>5227.3900000000003</v>
      </c>
      <c r="I68" s="20">
        <v>275.42</v>
      </c>
      <c r="J68" s="51" t="s">
        <v>6724</v>
      </c>
      <c r="K68" s="15">
        <v>0</v>
      </c>
      <c r="L68" s="51" t="s">
        <v>2371</v>
      </c>
      <c r="M68" s="51" t="s">
        <v>1625</v>
      </c>
      <c r="N68" s="51" t="s">
        <v>1626</v>
      </c>
      <c r="O68" s="51" t="s">
        <v>67</v>
      </c>
      <c r="P68" s="51" t="s">
        <v>67</v>
      </c>
      <c r="Q68" s="45">
        <v>46225.682121967591</v>
      </c>
      <c r="R68" s="46">
        <v>46310</v>
      </c>
      <c r="S68" s="46">
        <v>46305</v>
      </c>
      <c r="T68" s="51" t="s">
        <v>6119</v>
      </c>
      <c r="U68" s="15"/>
      <c r="V68" s="15"/>
      <c r="W68" s="15"/>
      <c r="X68" s="15"/>
      <c r="Y68" s="15"/>
      <c r="Z68" s="15"/>
      <c r="AA68" s="46"/>
      <c r="AB68" s="15"/>
      <c r="AC68" s="15"/>
      <c r="AD68" s="15"/>
      <c r="AE68" s="15"/>
      <c r="AF68" s="15"/>
      <c r="AG68" s="15"/>
      <c r="AH68" s="15"/>
      <c r="AI68" s="46"/>
      <c r="AJ68" s="51" t="s">
        <v>67</v>
      </c>
      <c r="AK68" s="51" t="s">
        <v>67</v>
      </c>
      <c r="AL68" s="15"/>
      <c r="AM68" s="51" t="s">
        <v>6705</v>
      </c>
      <c r="AN68" s="51" t="s">
        <v>6710</v>
      </c>
      <c r="AO68" s="50" t="s">
        <v>9554</v>
      </c>
    </row>
    <row r="69" spans="1:41" x14ac:dyDescent="0.25">
      <c r="A69" s="51" t="s">
        <v>2312</v>
      </c>
      <c r="B69" s="51" t="s">
        <v>1481</v>
      </c>
      <c r="C69" s="54" t="s">
        <v>607</v>
      </c>
      <c r="D69" s="51" t="s">
        <v>1482</v>
      </c>
      <c r="E69" s="20">
        <v>10000</v>
      </c>
      <c r="F69" s="20">
        <v>1757.18</v>
      </c>
      <c r="G69" s="20">
        <v>3242.82</v>
      </c>
      <c r="H69" s="20">
        <v>1480.62</v>
      </c>
      <c r="I69" s="20">
        <v>1757.17</v>
      </c>
      <c r="J69" s="51" t="s">
        <v>6727</v>
      </c>
      <c r="K69" s="15">
        <v>11</v>
      </c>
      <c r="L69" s="51" t="s">
        <v>2369</v>
      </c>
      <c r="M69" s="51" t="s">
        <v>1483</v>
      </c>
      <c r="N69" s="51" t="s">
        <v>1484</v>
      </c>
      <c r="O69" s="51" t="s">
        <v>67</v>
      </c>
      <c r="P69" s="51" t="s">
        <v>67</v>
      </c>
      <c r="Q69" s="45">
        <v>46225.683542326391</v>
      </c>
      <c r="R69" s="46">
        <v>46310</v>
      </c>
      <c r="S69" s="46">
        <v>46305</v>
      </c>
      <c r="T69" s="51" t="s">
        <v>6119</v>
      </c>
      <c r="U69" s="15">
        <v>324.38</v>
      </c>
      <c r="V69" s="15">
        <v>1500.12</v>
      </c>
      <c r="W69" s="15">
        <v>13.8</v>
      </c>
      <c r="X69" s="15">
        <v>5.7</v>
      </c>
      <c r="Y69" s="15">
        <v>1.6622269999999999</v>
      </c>
      <c r="Z69" s="15">
        <v>6</v>
      </c>
      <c r="AA69" s="46">
        <v>46280</v>
      </c>
      <c r="AB69" s="15"/>
      <c r="AC69" s="15"/>
      <c r="AD69" s="15"/>
      <c r="AE69" s="15"/>
      <c r="AF69" s="15"/>
      <c r="AG69" s="15"/>
      <c r="AH69" s="15"/>
      <c r="AI69" s="46"/>
      <c r="AJ69" s="51" t="s">
        <v>6121</v>
      </c>
      <c r="AK69" s="51" t="s">
        <v>6121</v>
      </c>
      <c r="AL69" s="15">
        <v>324.38</v>
      </c>
      <c r="AM69" s="51" t="s">
        <v>67</v>
      </c>
      <c r="AN69" s="51" t="s">
        <v>67</v>
      </c>
      <c r="AO69" s="50" t="s">
        <v>9554</v>
      </c>
    </row>
    <row r="70" spans="1:41" hidden="1" x14ac:dyDescent="0.25">
      <c r="A70" s="51" t="s">
        <v>2313</v>
      </c>
      <c r="B70" s="51" t="s">
        <v>1477</v>
      </c>
      <c r="C70" s="54" t="s">
        <v>607</v>
      </c>
      <c r="D70" s="51" t="s">
        <v>1478</v>
      </c>
      <c r="E70" s="20">
        <v>3080.25</v>
      </c>
      <c r="F70" s="20">
        <v>176.72</v>
      </c>
      <c r="G70" s="20">
        <v>4823.28</v>
      </c>
      <c r="H70" s="20">
        <v>1080.25</v>
      </c>
      <c r="I70" s="20">
        <v>176.72</v>
      </c>
      <c r="J70" s="51" t="s">
        <v>6724</v>
      </c>
      <c r="K70" s="15">
        <v>0</v>
      </c>
      <c r="L70" s="51" t="s">
        <v>2371</v>
      </c>
      <c r="M70" s="51" t="s">
        <v>1479</v>
      </c>
      <c r="N70" s="51" t="s">
        <v>1480</v>
      </c>
      <c r="O70" s="51" t="s">
        <v>67</v>
      </c>
      <c r="P70" s="51" t="s">
        <v>67</v>
      </c>
      <c r="Q70" s="45">
        <v>46225.968638969905</v>
      </c>
      <c r="R70" s="46">
        <v>46310</v>
      </c>
      <c r="S70" s="46">
        <v>46305</v>
      </c>
      <c r="T70" s="51" t="s">
        <v>6119</v>
      </c>
      <c r="U70" s="15"/>
      <c r="V70" s="15"/>
      <c r="W70" s="15"/>
      <c r="X70" s="15"/>
      <c r="Y70" s="15"/>
      <c r="Z70" s="15"/>
      <c r="AA70" s="46"/>
      <c r="AB70" s="15"/>
      <c r="AC70" s="15"/>
      <c r="AD70" s="15"/>
      <c r="AE70" s="15"/>
      <c r="AF70" s="15"/>
      <c r="AG70" s="15"/>
      <c r="AH70" s="15"/>
      <c r="AI70" s="46"/>
      <c r="AJ70" s="51" t="s">
        <v>67</v>
      </c>
      <c r="AK70" s="51" t="s">
        <v>67</v>
      </c>
      <c r="AL70" s="15"/>
      <c r="AM70" s="51" t="s">
        <v>67</v>
      </c>
      <c r="AN70" s="51" t="s">
        <v>67</v>
      </c>
      <c r="AO70" s="50" t="s">
        <v>9554</v>
      </c>
    </row>
    <row r="71" spans="1:41" hidden="1" x14ac:dyDescent="0.25">
      <c r="A71" s="51" t="s">
        <v>29</v>
      </c>
      <c r="B71" s="51" t="s">
        <v>1311</v>
      </c>
      <c r="C71" s="54" t="s">
        <v>607</v>
      </c>
      <c r="D71" s="51" t="s">
        <v>1312</v>
      </c>
      <c r="E71" s="20">
        <v>3010.27</v>
      </c>
      <c r="F71" s="20">
        <v>175.06</v>
      </c>
      <c r="G71" s="20">
        <v>4824.9399999999996</v>
      </c>
      <c r="H71" s="20">
        <v>1010.27</v>
      </c>
      <c r="I71" s="20">
        <v>175.06</v>
      </c>
      <c r="J71" s="51" t="s">
        <v>6724</v>
      </c>
      <c r="K71" s="15">
        <v>0</v>
      </c>
      <c r="L71" s="51" t="s">
        <v>2371</v>
      </c>
      <c r="M71" s="51" t="s">
        <v>1313</v>
      </c>
      <c r="N71" s="51" t="s">
        <v>1314</v>
      </c>
      <c r="O71" s="51" t="s">
        <v>67</v>
      </c>
      <c r="P71" s="51" t="s">
        <v>67</v>
      </c>
      <c r="Q71" s="45">
        <v>46225.96929335648</v>
      </c>
      <c r="R71" s="46">
        <v>46310</v>
      </c>
      <c r="S71" s="46">
        <v>46305</v>
      </c>
      <c r="T71" s="51" t="s">
        <v>6119</v>
      </c>
      <c r="U71" s="15"/>
      <c r="V71" s="15"/>
      <c r="W71" s="15"/>
      <c r="X71" s="15"/>
      <c r="Y71" s="15"/>
      <c r="Z71" s="15"/>
      <c r="AA71" s="46"/>
      <c r="AB71" s="15"/>
      <c r="AC71" s="15"/>
      <c r="AD71" s="15"/>
      <c r="AE71" s="15"/>
      <c r="AF71" s="15"/>
      <c r="AG71" s="15"/>
      <c r="AH71" s="15"/>
      <c r="AI71" s="46"/>
      <c r="AJ71" s="51" t="s">
        <v>67</v>
      </c>
      <c r="AK71" s="51" t="s">
        <v>67</v>
      </c>
      <c r="AL71" s="15"/>
      <c r="AM71" s="51" t="s">
        <v>67</v>
      </c>
      <c r="AN71" s="51" t="s">
        <v>67</v>
      </c>
      <c r="AO71" s="50" t="s">
        <v>9554</v>
      </c>
    </row>
    <row r="72" spans="1:41" x14ac:dyDescent="0.25">
      <c r="A72" s="51" t="s">
        <v>2314</v>
      </c>
      <c r="B72" s="51" t="s">
        <v>1963</v>
      </c>
      <c r="C72" s="54" t="s">
        <v>607</v>
      </c>
      <c r="D72" s="51" t="s">
        <v>1964</v>
      </c>
      <c r="E72" s="20">
        <v>10000</v>
      </c>
      <c r="F72" s="20">
        <v>1938.03</v>
      </c>
      <c r="G72" s="20">
        <v>3061.97</v>
      </c>
      <c r="H72" s="20">
        <v>1647.33</v>
      </c>
      <c r="I72" s="20">
        <v>1938.03</v>
      </c>
      <c r="J72" s="51" t="s">
        <v>6727</v>
      </c>
      <c r="K72" s="15">
        <v>11</v>
      </c>
      <c r="L72" s="51" t="s">
        <v>2369</v>
      </c>
      <c r="M72" s="51" t="s">
        <v>1965</v>
      </c>
      <c r="N72" s="51" t="s">
        <v>1966</v>
      </c>
      <c r="O72" s="51" t="s">
        <v>67</v>
      </c>
      <c r="P72" s="51" t="s">
        <v>67</v>
      </c>
      <c r="Q72" s="45">
        <v>46225.969936516201</v>
      </c>
      <c r="R72" s="46">
        <v>46310</v>
      </c>
      <c r="S72" s="46">
        <v>46305</v>
      </c>
      <c r="T72" s="51" t="s">
        <v>6119</v>
      </c>
      <c r="U72" s="15">
        <v>360.9</v>
      </c>
      <c r="V72" s="15">
        <v>1669.02</v>
      </c>
      <c r="W72" s="15">
        <v>15.35</v>
      </c>
      <c r="X72" s="15">
        <v>6.34</v>
      </c>
      <c r="Y72" s="15">
        <v>1.6621319999999999</v>
      </c>
      <c r="Z72" s="15">
        <v>6</v>
      </c>
      <c r="AA72" s="46">
        <v>46280</v>
      </c>
      <c r="AB72" s="15"/>
      <c r="AC72" s="15"/>
      <c r="AD72" s="15"/>
      <c r="AE72" s="15"/>
      <c r="AF72" s="15"/>
      <c r="AG72" s="15"/>
      <c r="AH72" s="15"/>
      <c r="AI72" s="46"/>
      <c r="AJ72" s="51" t="s">
        <v>6121</v>
      </c>
      <c r="AK72" s="51" t="s">
        <v>6121</v>
      </c>
      <c r="AL72" s="15">
        <v>360.9</v>
      </c>
      <c r="AM72" s="51" t="s">
        <v>67</v>
      </c>
      <c r="AN72" s="51" t="s">
        <v>67</v>
      </c>
      <c r="AO72" s="50" t="s">
        <v>9554</v>
      </c>
    </row>
    <row r="73" spans="1:41" hidden="1" x14ac:dyDescent="0.25">
      <c r="A73" s="51" t="s">
        <v>2315</v>
      </c>
      <c r="B73" s="51" t="s">
        <v>1969</v>
      </c>
      <c r="C73" s="54" t="s">
        <v>607</v>
      </c>
      <c r="D73" s="51" t="s">
        <v>2381</v>
      </c>
      <c r="E73" s="20">
        <v>57300.12</v>
      </c>
      <c r="F73" s="20">
        <v>277.14999999999998</v>
      </c>
      <c r="G73" s="20">
        <v>4722.8500000000004</v>
      </c>
      <c r="H73" s="20">
        <v>5300.12</v>
      </c>
      <c r="I73" s="20">
        <v>277.14999999999998</v>
      </c>
      <c r="J73" s="51" t="s">
        <v>6724</v>
      </c>
      <c r="K73" s="15">
        <v>0</v>
      </c>
      <c r="L73" s="51" t="s">
        <v>2371</v>
      </c>
      <c r="M73" s="51" t="s">
        <v>1970</v>
      </c>
      <c r="N73" s="51" t="s">
        <v>1971</v>
      </c>
      <c r="O73" s="51" t="s">
        <v>67</v>
      </c>
      <c r="P73" s="51" t="s">
        <v>67</v>
      </c>
      <c r="Q73" s="45">
        <v>46225.999757199075</v>
      </c>
      <c r="R73" s="46">
        <v>46310</v>
      </c>
      <c r="S73" s="46">
        <v>46305</v>
      </c>
      <c r="T73" s="51" t="s">
        <v>6119</v>
      </c>
      <c r="U73" s="15"/>
      <c r="V73" s="15"/>
      <c r="W73" s="15"/>
      <c r="X73" s="15"/>
      <c r="Y73" s="15"/>
      <c r="Z73" s="15"/>
      <c r="AA73" s="46"/>
      <c r="AB73" s="15"/>
      <c r="AC73" s="15"/>
      <c r="AD73" s="15"/>
      <c r="AE73" s="15"/>
      <c r="AF73" s="15"/>
      <c r="AG73" s="15"/>
      <c r="AH73" s="15"/>
      <c r="AI73" s="46"/>
      <c r="AJ73" s="51" t="s">
        <v>67</v>
      </c>
      <c r="AK73" s="51" t="s">
        <v>67</v>
      </c>
      <c r="AL73" s="15"/>
      <c r="AM73" s="51" t="s">
        <v>6705</v>
      </c>
      <c r="AN73" s="51" t="s">
        <v>6706</v>
      </c>
      <c r="AO73" s="50" t="s">
        <v>9554</v>
      </c>
    </row>
    <row r="74" spans="1:41" hidden="1" x14ac:dyDescent="0.25">
      <c r="A74" s="51" t="s">
        <v>2316</v>
      </c>
      <c r="B74" s="51" t="s">
        <v>1461</v>
      </c>
      <c r="C74" s="54" t="s">
        <v>607</v>
      </c>
      <c r="D74" s="51" t="s">
        <v>1462</v>
      </c>
      <c r="E74" s="20">
        <v>9394.58</v>
      </c>
      <c r="F74" s="20">
        <v>638.66</v>
      </c>
      <c r="G74" s="20">
        <v>13110.63</v>
      </c>
      <c r="H74" s="20">
        <v>1338.01</v>
      </c>
      <c r="I74" s="20">
        <v>638.66</v>
      </c>
      <c r="J74" s="51" t="s">
        <v>6726</v>
      </c>
      <c r="K74" s="15">
        <v>0</v>
      </c>
      <c r="L74" s="51" t="s">
        <v>2371</v>
      </c>
      <c r="M74" s="51" t="s">
        <v>1463</v>
      </c>
      <c r="N74" s="51" t="s">
        <v>1464</v>
      </c>
      <c r="O74" s="51" t="s">
        <v>67</v>
      </c>
      <c r="P74" s="51" t="s">
        <v>67</v>
      </c>
      <c r="Q74" s="45">
        <v>46226.058801817133</v>
      </c>
      <c r="R74" s="46">
        <v>46310</v>
      </c>
      <c r="S74" s="46">
        <v>46305</v>
      </c>
      <c r="T74" s="51" t="s">
        <v>6119</v>
      </c>
      <c r="U74" s="15">
        <v>293.14</v>
      </c>
      <c r="V74" s="15">
        <v>1355.63</v>
      </c>
      <c r="W74" s="15">
        <v>12.47</v>
      </c>
      <c r="X74" s="15">
        <v>5.15</v>
      </c>
      <c r="Y74" s="15">
        <v>1.662347</v>
      </c>
      <c r="Z74" s="15">
        <v>6</v>
      </c>
      <c r="AA74" s="46">
        <v>46280</v>
      </c>
      <c r="AB74" s="15"/>
      <c r="AC74" s="15"/>
      <c r="AD74" s="15"/>
      <c r="AE74" s="15"/>
      <c r="AF74" s="15"/>
      <c r="AG74" s="15"/>
      <c r="AH74" s="15"/>
      <c r="AI74" s="46"/>
      <c r="AJ74" s="51" t="s">
        <v>67</v>
      </c>
      <c r="AK74" s="51" t="s">
        <v>6121</v>
      </c>
      <c r="AL74" s="15">
        <v>293.14</v>
      </c>
      <c r="AM74" s="51" t="s">
        <v>67</v>
      </c>
      <c r="AN74" s="51" t="s">
        <v>67</v>
      </c>
      <c r="AO74" s="50" t="s">
        <v>9555</v>
      </c>
    </row>
    <row r="75" spans="1:41" hidden="1" x14ac:dyDescent="0.25">
      <c r="A75" s="51" t="s">
        <v>2317</v>
      </c>
      <c r="B75" s="51" t="s">
        <v>1697</v>
      </c>
      <c r="C75" s="54" t="s">
        <v>607</v>
      </c>
      <c r="D75" s="51" t="s">
        <v>1698</v>
      </c>
      <c r="E75" s="20">
        <v>11935.89</v>
      </c>
      <c r="F75" s="20">
        <v>5452.39</v>
      </c>
      <c r="G75" s="20">
        <v>15749.99</v>
      </c>
      <c r="H75" s="20">
        <v>5483.68</v>
      </c>
      <c r="I75" s="20">
        <v>5455.13</v>
      </c>
      <c r="J75" s="51" t="s">
        <v>6726</v>
      </c>
      <c r="K75" s="15">
        <v>11</v>
      </c>
      <c r="L75" s="51" t="s">
        <v>2369</v>
      </c>
      <c r="M75" s="51" t="s">
        <v>1699</v>
      </c>
      <c r="N75" s="51" t="s">
        <v>1700</v>
      </c>
      <c r="O75" s="51" t="s">
        <v>67</v>
      </c>
      <c r="P75" s="51" t="s">
        <v>67</v>
      </c>
      <c r="Q75" s="45">
        <v>46226.059991377311</v>
      </c>
      <c r="R75" s="46">
        <v>46310</v>
      </c>
      <c r="S75" s="46">
        <v>46305</v>
      </c>
      <c r="T75" s="51" t="s">
        <v>6119</v>
      </c>
      <c r="U75" s="15">
        <v>351.99</v>
      </c>
      <c r="V75" s="15">
        <v>1627.79</v>
      </c>
      <c r="W75" s="15">
        <v>14.97</v>
      </c>
      <c r="X75" s="15">
        <v>0</v>
      </c>
      <c r="Y75" s="15">
        <v>1.624627</v>
      </c>
      <c r="Z75" s="15">
        <v>6</v>
      </c>
      <c r="AA75" s="46">
        <v>46280</v>
      </c>
      <c r="AB75" s="15"/>
      <c r="AC75" s="15"/>
      <c r="AD75" s="15"/>
      <c r="AE75" s="15"/>
      <c r="AF75" s="15"/>
      <c r="AG75" s="15"/>
      <c r="AH75" s="15"/>
      <c r="AI75" s="46"/>
      <c r="AJ75" s="51" t="s">
        <v>6121</v>
      </c>
      <c r="AK75" s="51" t="s">
        <v>6121</v>
      </c>
      <c r="AL75" s="15">
        <v>351.99</v>
      </c>
      <c r="AM75" s="51" t="s">
        <v>6705</v>
      </c>
      <c r="AN75" s="51" t="s">
        <v>6706</v>
      </c>
      <c r="AO75" s="50" t="s">
        <v>9554</v>
      </c>
    </row>
    <row r="76" spans="1:41" x14ac:dyDescent="0.25">
      <c r="A76" s="51" t="s">
        <v>2318</v>
      </c>
      <c r="B76" s="51" t="s">
        <v>1874</v>
      </c>
      <c r="C76" s="54" t="s">
        <v>607</v>
      </c>
      <c r="D76" s="51" t="s">
        <v>1875</v>
      </c>
      <c r="E76" s="20">
        <v>7500</v>
      </c>
      <c r="F76" s="20">
        <v>1562.75</v>
      </c>
      <c r="G76" s="20">
        <v>10437.25</v>
      </c>
      <c r="H76" s="20">
        <v>1440.59</v>
      </c>
      <c r="I76" s="20">
        <v>1562.75</v>
      </c>
      <c r="J76" s="51" t="s">
        <v>6727</v>
      </c>
      <c r="K76" s="15">
        <v>11</v>
      </c>
      <c r="L76" s="51" t="s">
        <v>2369</v>
      </c>
      <c r="M76" s="51" t="s">
        <v>1876</v>
      </c>
      <c r="N76" s="51" t="s">
        <v>1877</v>
      </c>
      <c r="O76" s="51" t="s">
        <v>67</v>
      </c>
      <c r="P76" s="51" t="s">
        <v>67</v>
      </c>
      <c r="Q76" s="45">
        <v>46226.061586226853</v>
      </c>
      <c r="R76" s="46">
        <v>46310</v>
      </c>
      <c r="S76" s="46">
        <v>46305</v>
      </c>
      <c r="T76" s="51" t="s">
        <v>6119</v>
      </c>
      <c r="U76" s="15">
        <v>315.62</v>
      </c>
      <c r="V76" s="15">
        <v>1459.58</v>
      </c>
      <c r="W76" s="15">
        <v>13.44</v>
      </c>
      <c r="X76" s="15">
        <v>5.55</v>
      </c>
      <c r="Y76" s="15">
        <v>1.6625380000000001</v>
      </c>
      <c r="Z76" s="15">
        <v>6</v>
      </c>
      <c r="AA76" s="46">
        <v>46280</v>
      </c>
      <c r="AB76" s="15"/>
      <c r="AC76" s="15"/>
      <c r="AD76" s="15"/>
      <c r="AE76" s="15"/>
      <c r="AF76" s="15"/>
      <c r="AG76" s="15"/>
      <c r="AH76" s="15"/>
      <c r="AI76" s="46"/>
      <c r="AJ76" s="51" t="s">
        <v>6121</v>
      </c>
      <c r="AK76" s="51" t="s">
        <v>6121</v>
      </c>
      <c r="AL76" s="15">
        <v>315.62</v>
      </c>
      <c r="AM76" s="51" t="s">
        <v>67</v>
      </c>
      <c r="AN76" s="51" t="s">
        <v>67</v>
      </c>
      <c r="AO76" s="50" t="s">
        <v>9554</v>
      </c>
    </row>
    <row r="77" spans="1:41" hidden="1" x14ac:dyDescent="0.25">
      <c r="A77" s="51" t="s">
        <v>2319</v>
      </c>
      <c r="B77" s="51" t="s">
        <v>1497</v>
      </c>
      <c r="C77" s="54" t="s">
        <v>607</v>
      </c>
      <c r="D77" s="51" t="s">
        <v>1498</v>
      </c>
      <c r="E77" s="20">
        <v>10000</v>
      </c>
      <c r="F77" s="20">
        <v>0</v>
      </c>
      <c r="G77" s="20">
        <v>15000</v>
      </c>
      <c r="H77" s="20">
        <v>5211.2299999999996</v>
      </c>
      <c r="I77" s="20">
        <v>10223.92</v>
      </c>
      <c r="J77" s="51" t="s">
        <v>6726</v>
      </c>
      <c r="K77" s="15">
        <v>0</v>
      </c>
      <c r="L77" s="51" t="s">
        <v>2371</v>
      </c>
      <c r="M77" s="51" t="s">
        <v>1499</v>
      </c>
      <c r="N77" s="51" t="s">
        <v>1500</v>
      </c>
      <c r="O77" s="51" t="s">
        <v>67</v>
      </c>
      <c r="P77" s="51" t="s">
        <v>67</v>
      </c>
      <c r="Q77" s="45">
        <v>46226.062685972225</v>
      </c>
      <c r="R77" s="46">
        <v>46310</v>
      </c>
      <c r="S77" s="46">
        <v>46305</v>
      </c>
      <c r="T77" s="51" t="s">
        <v>6119</v>
      </c>
      <c r="U77" s="15"/>
      <c r="V77" s="15"/>
      <c r="W77" s="15"/>
      <c r="X77" s="15"/>
      <c r="Y77" s="15"/>
      <c r="Z77" s="15"/>
      <c r="AA77" s="46"/>
      <c r="AB77" s="15"/>
      <c r="AC77" s="15"/>
      <c r="AD77" s="15"/>
      <c r="AE77" s="15"/>
      <c r="AF77" s="15"/>
      <c r="AG77" s="15"/>
      <c r="AH77" s="15"/>
      <c r="AI77" s="46"/>
      <c r="AJ77" s="51" t="s">
        <v>67</v>
      </c>
      <c r="AK77" s="51" t="s">
        <v>67</v>
      </c>
      <c r="AL77" s="15"/>
      <c r="AM77" s="51" t="s">
        <v>6705</v>
      </c>
      <c r="AN77" s="51" t="s">
        <v>6711</v>
      </c>
      <c r="AO77" s="50" t="s">
        <v>9554</v>
      </c>
    </row>
    <row r="78" spans="1:41" hidden="1" x14ac:dyDescent="0.25">
      <c r="A78" s="51" t="s">
        <v>2320</v>
      </c>
      <c r="B78" s="51" t="s">
        <v>1501</v>
      </c>
      <c r="C78" s="54" t="s">
        <v>607</v>
      </c>
      <c r="D78" s="51" t="s">
        <v>1498</v>
      </c>
      <c r="E78" s="20">
        <v>6828.25</v>
      </c>
      <c r="F78" s="20">
        <v>1157.9100000000001</v>
      </c>
      <c r="G78" s="20">
        <v>13842.09</v>
      </c>
      <c r="H78" s="20">
        <v>4229.01</v>
      </c>
      <c r="I78" s="20">
        <v>1157.9100000000001</v>
      </c>
      <c r="J78" s="51" t="s">
        <v>6726</v>
      </c>
      <c r="K78" s="15">
        <v>0</v>
      </c>
      <c r="L78" s="51" t="s">
        <v>2371</v>
      </c>
      <c r="M78" s="51" t="s">
        <v>1502</v>
      </c>
      <c r="N78" s="51" t="s">
        <v>1503</v>
      </c>
      <c r="O78" s="51" t="s">
        <v>1504</v>
      </c>
      <c r="P78" s="51" t="s">
        <v>1503</v>
      </c>
      <c r="Q78" s="45">
        <v>46226.063261261574</v>
      </c>
      <c r="R78" s="46">
        <v>46310</v>
      </c>
      <c r="S78" s="46">
        <v>46305</v>
      </c>
      <c r="T78" s="51" t="s">
        <v>6119</v>
      </c>
      <c r="U78" s="15">
        <v>78.16</v>
      </c>
      <c r="V78" s="15">
        <v>361.47</v>
      </c>
      <c r="W78" s="15">
        <v>3.32</v>
      </c>
      <c r="X78" s="15">
        <v>0</v>
      </c>
      <c r="Y78" s="15">
        <v>1.6240699999999999</v>
      </c>
      <c r="Z78" s="15">
        <v>6</v>
      </c>
      <c r="AA78" s="46">
        <v>46280</v>
      </c>
      <c r="AB78" s="15"/>
      <c r="AC78" s="15"/>
      <c r="AD78" s="15"/>
      <c r="AE78" s="15"/>
      <c r="AF78" s="15"/>
      <c r="AG78" s="15"/>
      <c r="AH78" s="15"/>
      <c r="AI78" s="46"/>
      <c r="AJ78" s="51" t="s">
        <v>67</v>
      </c>
      <c r="AK78" s="51" t="s">
        <v>6121</v>
      </c>
      <c r="AL78" s="15">
        <v>78.16</v>
      </c>
      <c r="AM78" s="51" t="s">
        <v>6705</v>
      </c>
      <c r="AN78" s="51" t="s">
        <v>6706</v>
      </c>
      <c r="AO78" s="50" t="s">
        <v>9554</v>
      </c>
    </row>
    <row r="79" spans="1:41" hidden="1" x14ac:dyDescent="0.25">
      <c r="A79" s="51" t="s">
        <v>2321</v>
      </c>
      <c r="B79" s="51" t="s">
        <v>1493</v>
      </c>
      <c r="C79" s="54" t="s">
        <v>607</v>
      </c>
      <c r="D79" s="51" t="s">
        <v>1494</v>
      </c>
      <c r="E79" s="20">
        <v>25000</v>
      </c>
      <c r="F79" s="20">
        <v>16.91</v>
      </c>
      <c r="G79" s="20">
        <v>49983.09</v>
      </c>
      <c r="H79" s="20">
        <v>710.3</v>
      </c>
      <c r="I79" s="20">
        <v>16.91</v>
      </c>
      <c r="J79" s="51" t="s">
        <v>6724</v>
      </c>
      <c r="K79" s="15">
        <v>0</v>
      </c>
      <c r="L79" s="51" t="s">
        <v>2371</v>
      </c>
      <c r="M79" s="51" t="s">
        <v>1495</v>
      </c>
      <c r="N79" s="51" t="s">
        <v>1344</v>
      </c>
      <c r="O79" s="51" t="s">
        <v>1496</v>
      </c>
      <c r="P79" s="51" t="s">
        <v>1344</v>
      </c>
      <c r="Q79" s="45">
        <v>46226.070635497686</v>
      </c>
      <c r="R79" s="46">
        <v>46310</v>
      </c>
      <c r="S79" s="46">
        <v>46305</v>
      </c>
      <c r="T79" s="51" t="s">
        <v>6119</v>
      </c>
      <c r="U79" s="15"/>
      <c r="V79" s="15"/>
      <c r="W79" s="15"/>
      <c r="X79" s="15"/>
      <c r="Y79" s="15"/>
      <c r="Z79" s="15"/>
      <c r="AA79" s="46"/>
      <c r="AB79" s="15"/>
      <c r="AC79" s="15"/>
      <c r="AD79" s="15"/>
      <c r="AE79" s="15"/>
      <c r="AF79" s="15"/>
      <c r="AG79" s="15"/>
      <c r="AH79" s="15"/>
      <c r="AI79" s="46"/>
      <c r="AJ79" s="51" t="s">
        <v>67</v>
      </c>
      <c r="AK79" s="51" t="s">
        <v>67</v>
      </c>
      <c r="AL79" s="15"/>
      <c r="AM79" s="51" t="s">
        <v>67</v>
      </c>
      <c r="AN79" s="51" t="s">
        <v>67</v>
      </c>
      <c r="AO79" s="50" t="s">
        <v>9554</v>
      </c>
    </row>
    <row r="80" spans="1:41" x14ac:dyDescent="0.25">
      <c r="A80" s="51" t="s">
        <v>2322</v>
      </c>
      <c r="B80" s="51" t="s">
        <v>1627</v>
      </c>
      <c r="C80" s="54" t="s">
        <v>607</v>
      </c>
      <c r="D80" s="51" t="s">
        <v>1628</v>
      </c>
      <c r="E80" s="20">
        <v>8658.89</v>
      </c>
      <c r="F80" s="20">
        <v>945.42</v>
      </c>
      <c r="G80" s="20">
        <v>7835.83</v>
      </c>
      <c r="H80" s="20">
        <v>871.52</v>
      </c>
      <c r="I80" s="20">
        <v>945.42</v>
      </c>
      <c r="J80" s="51" t="s">
        <v>6727</v>
      </c>
      <c r="K80" s="15">
        <v>11</v>
      </c>
      <c r="L80" s="51" t="s">
        <v>2369</v>
      </c>
      <c r="M80" s="51" t="s">
        <v>1629</v>
      </c>
      <c r="N80" s="51" t="s">
        <v>1340</v>
      </c>
      <c r="O80" s="51" t="s">
        <v>67</v>
      </c>
      <c r="P80" s="51" t="s">
        <v>67</v>
      </c>
      <c r="Q80" s="45">
        <v>46226.08336178241</v>
      </c>
      <c r="R80" s="46">
        <v>46310</v>
      </c>
      <c r="S80" s="46">
        <v>46305</v>
      </c>
      <c r="T80" s="51" t="s">
        <v>6119</v>
      </c>
      <c r="U80" s="15">
        <v>190.94</v>
      </c>
      <c r="V80" s="15">
        <v>882.99</v>
      </c>
      <c r="W80" s="15">
        <v>8.1199999999999992</v>
      </c>
      <c r="X80" s="15">
        <v>3.35</v>
      </c>
      <c r="Y80" s="15">
        <v>1.662434</v>
      </c>
      <c r="Z80" s="15">
        <v>6</v>
      </c>
      <c r="AA80" s="46">
        <v>46280</v>
      </c>
      <c r="AB80" s="15"/>
      <c r="AC80" s="15"/>
      <c r="AD80" s="15"/>
      <c r="AE80" s="15"/>
      <c r="AF80" s="15"/>
      <c r="AG80" s="15"/>
      <c r="AH80" s="15"/>
      <c r="AI80" s="46"/>
      <c r="AJ80" s="51" t="s">
        <v>6121</v>
      </c>
      <c r="AK80" s="51" t="s">
        <v>6121</v>
      </c>
      <c r="AL80" s="15">
        <v>190.94</v>
      </c>
      <c r="AM80" s="51" t="s">
        <v>67</v>
      </c>
      <c r="AN80" s="51" t="s">
        <v>67</v>
      </c>
      <c r="AO80" s="50" t="s">
        <v>9554</v>
      </c>
    </row>
    <row r="81" spans="1:41" hidden="1" x14ac:dyDescent="0.25">
      <c r="A81" s="51" t="s">
        <v>2323</v>
      </c>
      <c r="B81" s="51" t="s">
        <v>2018</v>
      </c>
      <c r="C81" s="54" t="s">
        <v>607</v>
      </c>
      <c r="D81" s="51" t="s">
        <v>2019</v>
      </c>
      <c r="E81" s="20">
        <v>22343.37</v>
      </c>
      <c r="F81" s="20">
        <v>100.83</v>
      </c>
      <c r="G81" s="20">
        <v>12700.82</v>
      </c>
      <c r="H81" s="20">
        <v>4236.47</v>
      </c>
      <c r="I81" s="20">
        <v>100.83</v>
      </c>
      <c r="J81" s="51" t="s">
        <v>6724</v>
      </c>
      <c r="K81" s="15">
        <v>0</v>
      </c>
      <c r="L81" s="51" t="s">
        <v>2371</v>
      </c>
      <c r="M81" s="51" t="s">
        <v>2020</v>
      </c>
      <c r="N81" s="51" t="s">
        <v>1340</v>
      </c>
      <c r="O81" s="51" t="s">
        <v>67</v>
      </c>
      <c r="P81" s="51" t="s">
        <v>67</v>
      </c>
      <c r="Q81" s="45">
        <v>46226.08595177083</v>
      </c>
      <c r="R81" s="46">
        <v>46310</v>
      </c>
      <c r="S81" s="46">
        <v>46305</v>
      </c>
      <c r="T81" s="51" t="s">
        <v>6119</v>
      </c>
      <c r="U81" s="15"/>
      <c r="V81" s="15"/>
      <c r="W81" s="15"/>
      <c r="X81" s="15"/>
      <c r="Y81" s="15"/>
      <c r="Z81" s="15"/>
      <c r="AA81" s="46"/>
      <c r="AB81" s="15"/>
      <c r="AC81" s="15"/>
      <c r="AD81" s="15"/>
      <c r="AE81" s="15"/>
      <c r="AF81" s="15"/>
      <c r="AG81" s="15"/>
      <c r="AH81" s="15"/>
      <c r="AI81" s="46"/>
      <c r="AJ81" s="51" t="s">
        <v>67</v>
      </c>
      <c r="AK81" s="51" t="s">
        <v>67</v>
      </c>
      <c r="AL81" s="15"/>
      <c r="AM81" s="51" t="s">
        <v>6705</v>
      </c>
      <c r="AN81" s="51" t="s">
        <v>6706</v>
      </c>
      <c r="AO81" s="50" t="s">
        <v>9554</v>
      </c>
    </row>
    <row r="82" spans="1:41" hidden="1" x14ac:dyDescent="0.25">
      <c r="A82" s="51" t="s">
        <v>2324</v>
      </c>
      <c r="B82" s="51" t="s">
        <v>1787</v>
      </c>
      <c r="C82" s="54" t="s">
        <v>607</v>
      </c>
      <c r="D82" s="51" t="s">
        <v>1788</v>
      </c>
      <c r="E82" s="20">
        <v>9512.33</v>
      </c>
      <c r="F82" s="20">
        <v>4656.1400000000003</v>
      </c>
      <c r="G82" s="20">
        <v>343.86</v>
      </c>
      <c r="H82" s="20">
        <v>4876.74</v>
      </c>
      <c r="I82" s="20">
        <v>4656.1400000000003</v>
      </c>
      <c r="J82" s="51" t="s">
        <v>6725</v>
      </c>
      <c r="K82" s="15">
        <v>0</v>
      </c>
      <c r="L82" s="51" t="s">
        <v>2371</v>
      </c>
      <c r="M82" s="51" t="s">
        <v>1789</v>
      </c>
      <c r="N82" s="51" t="s">
        <v>1790</v>
      </c>
      <c r="O82" s="51" t="s">
        <v>67</v>
      </c>
      <c r="P82" s="51" t="s">
        <v>67</v>
      </c>
      <c r="Q82" s="45">
        <v>46227.003081932868</v>
      </c>
      <c r="R82" s="46">
        <v>46310</v>
      </c>
      <c r="S82" s="46">
        <v>46305</v>
      </c>
      <c r="T82" s="51" t="s">
        <v>6119</v>
      </c>
      <c r="U82" s="15">
        <v>219.53</v>
      </c>
      <c r="V82" s="15">
        <v>1015.22</v>
      </c>
      <c r="W82" s="15">
        <v>9.34</v>
      </c>
      <c r="X82" s="15">
        <v>0</v>
      </c>
      <c r="Y82" s="15">
        <v>1.6247</v>
      </c>
      <c r="Z82" s="15">
        <v>6</v>
      </c>
      <c r="AA82" s="46">
        <v>46280</v>
      </c>
      <c r="AB82" s="15"/>
      <c r="AC82" s="15"/>
      <c r="AD82" s="15"/>
      <c r="AE82" s="15"/>
      <c r="AF82" s="15"/>
      <c r="AG82" s="15"/>
      <c r="AH82" s="15"/>
      <c r="AI82" s="46"/>
      <c r="AJ82" s="51" t="s">
        <v>67</v>
      </c>
      <c r="AK82" s="51" t="s">
        <v>6121</v>
      </c>
      <c r="AL82" s="15">
        <v>219.53</v>
      </c>
      <c r="AM82" s="51" t="s">
        <v>6705</v>
      </c>
      <c r="AN82" s="51" t="s">
        <v>6708</v>
      </c>
      <c r="AO82" s="50" t="s">
        <v>9554</v>
      </c>
    </row>
    <row r="83" spans="1:41" hidden="1" x14ac:dyDescent="0.25">
      <c r="A83" s="51" t="s">
        <v>2325</v>
      </c>
      <c r="B83" s="51" t="s">
        <v>1881</v>
      </c>
      <c r="C83" s="54" t="s">
        <v>607</v>
      </c>
      <c r="D83" s="51" t="s">
        <v>1882</v>
      </c>
      <c r="E83" s="20">
        <v>3053.33</v>
      </c>
      <c r="F83" s="20">
        <v>176.08</v>
      </c>
      <c r="G83" s="20">
        <v>4823.92</v>
      </c>
      <c r="H83" s="20">
        <v>1053.33</v>
      </c>
      <c r="I83" s="20">
        <v>176.08</v>
      </c>
      <c r="J83" s="51" t="s">
        <v>6724</v>
      </c>
      <c r="K83" s="15">
        <v>0</v>
      </c>
      <c r="L83" s="51" t="s">
        <v>2371</v>
      </c>
      <c r="M83" s="51" t="s">
        <v>1883</v>
      </c>
      <c r="N83" s="51" t="s">
        <v>1884</v>
      </c>
      <c r="O83" s="51" t="s">
        <v>67</v>
      </c>
      <c r="P83" s="51" t="s">
        <v>67</v>
      </c>
      <c r="Q83" s="45">
        <v>46227.032733576387</v>
      </c>
      <c r="R83" s="46">
        <v>46310</v>
      </c>
      <c r="S83" s="46">
        <v>46305</v>
      </c>
      <c r="T83" s="51" t="s">
        <v>6119</v>
      </c>
      <c r="U83" s="15"/>
      <c r="V83" s="15"/>
      <c r="W83" s="15"/>
      <c r="X83" s="15"/>
      <c r="Y83" s="15"/>
      <c r="Z83" s="15"/>
      <c r="AA83" s="46"/>
      <c r="AB83" s="15"/>
      <c r="AC83" s="15"/>
      <c r="AD83" s="15"/>
      <c r="AE83" s="15"/>
      <c r="AF83" s="15"/>
      <c r="AG83" s="15"/>
      <c r="AH83" s="15"/>
      <c r="AI83" s="46"/>
      <c r="AJ83" s="51" t="s">
        <v>67</v>
      </c>
      <c r="AK83" s="51" t="s">
        <v>67</v>
      </c>
      <c r="AL83" s="15"/>
      <c r="AM83" s="51" t="s">
        <v>67</v>
      </c>
      <c r="AN83" s="51" t="s">
        <v>67</v>
      </c>
      <c r="AO83" s="50" t="s">
        <v>9554</v>
      </c>
    </row>
    <row r="84" spans="1:41" x14ac:dyDescent="0.25">
      <c r="A84" s="51" t="s">
        <v>2326</v>
      </c>
      <c r="B84" s="51" t="s">
        <v>1851</v>
      </c>
      <c r="C84" s="54" t="s">
        <v>607</v>
      </c>
      <c r="D84" s="51" t="s">
        <v>1852</v>
      </c>
      <c r="E84" s="20">
        <v>4954.18</v>
      </c>
      <c r="F84" s="20">
        <v>932.61</v>
      </c>
      <c r="G84" s="20">
        <v>14687.36</v>
      </c>
      <c r="H84" s="20">
        <v>859.72</v>
      </c>
      <c r="I84" s="20">
        <v>932.61</v>
      </c>
      <c r="J84" s="51" t="s">
        <v>6727</v>
      </c>
      <c r="K84" s="15">
        <v>11</v>
      </c>
      <c r="L84" s="51" t="s">
        <v>2369</v>
      </c>
      <c r="M84" s="51" t="s">
        <v>1853</v>
      </c>
      <c r="N84" s="51" t="s">
        <v>1340</v>
      </c>
      <c r="O84" s="51" t="s">
        <v>67</v>
      </c>
      <c r="P84" s="51" t="s">
        <v>67</v>
      </c>
      <c r="Q84" s="45">
        <v>46227.032754270833</v>
      </c>
      <c r="R84" s="46">
        <v>46310</v>
      </c>
      <c r="S84" s="46">
        <v>46305</v>
      </c>
      <c r="T84" s="51" t="s">
        <v>6119</v>
      </c>
      <c r="U84" s="15">
        <v>188.35</v>
      </c>
      <c r="V84" s="15">
        <v>871.03</v>
      </c>
      <c r="W84" s="15">
        <v>8</v>
      </c>
      <c r="X84" s="15">
        <v>3.31</v>
      </c>
      <c r="Y84" s="15">
        <v>1.662185</v>
      </c>
      <c r="Z84" s="15">
        <v>6</v>
      </c>
      <c r="AA84" s="46">
        <v>46280</v>
      </c>
      <c r="AB84" s="15"/>
      <c r="AC84" s="15"/>
      <c r="AD84" s="15"/>
      <c r="AE84" s="15"/>
      <c r="AF84" s="15"/>
      <c r="AG84" s="15"/>
      <c r="AH84" s="15"/>
      <c r="AI84" s="46"/>
      <c r="AJ84" s="51" t="s">
        <v>6121</v>
      </c>
      <c r="AK84" s="51" t="s">
        <v>6121</v>
      </c>
      <c r="AL84" s="15">
        <v>188.35</v>
      </c>
      <c r="AM84" s="51" t="s">
        <v>67</v>
      </c>
      <c r="AN84" s="51" t="s">
        <v>67</v>
      </c>
      <c r="AO84" s="50" t="s">
        <v>9554</v>
      </c>
    </row>
    <row r="85" spans="1:41" hidden="1" x14ac:dyDescent="0.25">
      <c r="A85" s="51" t="s">
        <v>2327</v>
      </c>
      <c r="B85" s="51" t="s">
        <v>1607</v>
      </c>
      <c r="C85" s="54" t="s">
        <v>607</v>
      </c>
      <c r="D85" s="51" t="s">
        <v>1608</v>
      </c>
      <c r="E85" s="20">
        <v>30834.61</v>
      </c>
      <c r="F85" s="20">
        <v>2487.3200000000002</v>
      </c>
      <c r="G85" s="20">
        <v>12512.68</v>
      </c>
      <c r="H85" s="20">
        <v>6216.93</v>
      </c>
      <c r="I85" s="20">
        <v>1487.32</v>
      </c>
      <c r="J85" s="51" t="s">
        <v>6724</v>
      </c>
      <c r="K85" s="15">
        <v>0</v>
      </c>
      <c r="L85" s="51" t="s">
        <v>2371</v>
      </c>
      <c r="M85" s="51" t="s">
        <v>1609</v>
      </c>
      <c r="N85" s="51" t="s">
        <v>1610</v>
      </c>
      <c r="O85" s="51" t="s">
        <v>67</v>
      </c>
      <c r="P85" s="51" t="s">
        <v>67</v>
      </c>
      <c r="Q85" s="45">
        <v>46227.043519270832</v>
      </c>
      <c r="R85" s="46">
        <v>46310</v>
      </c>
      <c r="S85" s="46">
        <v>46305</v>
      </c>
      <c r="T85" s="51" t="s">
        <v>6119</v>
      </c>
      <c r="U85" s="15"/>
      <c r="V85" s="15"/>
      <c r="W85" s="15"/>
      <c r="X85" s="15"/>
      <c r="Y85" s="15"/>
      <c r="Z85" s="15"/>
      <c r="AA85" s="46"/>
      <c r="AB85" s="15"/>
      <c r="AC85" s="15"/>
      <c r="AD85" s="15"/>
      <c r="AE85" s="15"/>
      <c r="AF85" s="15"/>
      <c r="AG85" s="15"/>
      <c r="AH85" s="15"/>
      <c r="AI85" s="46"/>
      <c r="AJ85" s="51" t="s">
        <v>67</v>
      </c>
      <c r="AK85" s="51" t="s">
        <v>67</v>
      </c>
      <c r="AL85" s="15"/>
      <c r="AM85" s="51" t="s">
        <v>6705</v>
      </c>
      <c r="AN85" s="51" t="s">
        <v>6120</v>
      </c>
      <c r="AO85" s="50" t="s">
        <v>9554</v>
      </c>
    </row>
    <row r="86" spans="1:41" hidden="1" x14ac:dyDescent="0.25">
      <c r="A86" s="51" t="s">
        <v>2328</v>
      </c>
      <c r="B86" s="51" t="s">
        <v>1639</v>
      </c>
      <c r="C86" s="54" t="s">
        <v>607</v>
      </c>
      <c r="D86" s="51" t="s">
        <v>1640</v>
      </c>
      <c r="E86" s="20">
        <v>10000</v>
      </c>
      <c r="F86" s="20">
        <v>294.70999999999998</v>
      </c>
      <c r="G86" s="20">
        <v>4705.29</v>
      </c>
      <c r="H86" s="20">
        <v>1048.47</v>
      </c>
      <c r="I86" s="20">
        <v>173.56</v>
      </c>
      <c r="J86" s="51" t="s">
        <v>6724</v>
      </c>
      <c r="K86" s="15">
        <v>0</v>
      </c>
      <c r="L86" s="51" t="s">
        <v>2371</v>
      </c>
      <c r="M86" s="51" t="s">
        <v>1641</v>
      </c>
      <c r="N86" s="51" t="s">
        <v>1642</v>
      </c>
      <c r="O86" s="51" t="s">
        <v>67</v>
      </c>
      <c r="P86" s="51" t="s">
        <v>67</v>
      </c>
      <c r="Q86" s="45">
        <v>46227.045257141202</v>
      </c>
      <c r="R86" s="46">
        <v>46310</v>
      </c>
      <c r="S86" s="46">
        <v>46305</v>
      </c>
      <c r="T86" s="51" t="s">
        <v>6119</v>
      </c>
      <c r="U86" s="15"/>
      <c r="V86" s="15"/>
      <c r="W86" s="15"/>
      <c r="X86" s="15"/>
      <c r="Y86" s="15"/>
      <c r="Z86" s="15"/>
      <c r="AA86" s="46"/>
      <c r="AB86" s="15"/>
      <c r="AC86" s="15"/>
      <c r="AD86" s="15"/>
      <c r="AE86" s="15"/>
      <c r="AF86" s="15"/>
      <c r="AG86" s="15"/>
      <c r="AH86" s="15"/>
      <c r="AI86" s="46"/>
      <c r="AJ86" s="51" t="s">
        <v>67</v>
      </c>
      <c r="AK86" s="51" t="s">
        <v>67</v>
      </c>
      <c r="AL86" s="15"/>
      <c r="AM86" s="51" t="s">
        <v>67</v>
      </c>
      <c r="AN86" s="51" t="s">
        <v>67</v>
      </c>
      <c r="AO86" s="50" t="s">
        <v>9554</v>
      </c>
    </row>
    <row r="87" spans="1:41" hidden="1" x14ac:dyDescent="0.25">
      <c r="A87" s="51" t="s">
        <v>2329</v>
      </c>
      <c r="B87" s="51" t="s">
        <v>1453</v>
      </c>
      <c r="C87" s="54" t="s">
        <v>607</v>
      </c>
      <c r="D87" s="51" t="s">
        <v>1454</v>
      </c>
      <c r="E87" s="20">
        <v>12687.76</v>
      </c>
      <c r="F87" s="20">
        <v>92.13</v>
      </c>
      <c r="G87" s="20">
        <v>17025.310000000001</v>
      </c>
      <c r="H87" s="20">
        <v>5577.58</v>
      </c>
      <c r="I87" s="20">
        <v>92.13</v>
      </c>
      <c r="J87" s="51" t="s">
        <v>6724</v>
      </c>
      <c r="K87" s="15">
        <v>0</v>
      </c>
      <c r="L87" s="51" t="s">
        <v>2371</v>
      </c>
      <c r="M87" s="51" t="s">
        <v>1455</v>
      </c>
      <c r="N87" s="51" t="s">
        <v>1340</v>
      </c>
      <c r="O87" s="51" t="s">
        <v>67</v>
      </c>
      <c r="P87" s="51" t="s">
        <v>67</v>
      </c>
      <c r="Q87" s="45">
        <v>46227.091320914355</v>
      </c>
      <c r="R87" s="46">
        <v>46310</v>
      </c>
      <c r="S87" s="46">
        <v>46305</v>
      </c>
      <c r="T87" s="51" t="s">
        <v>6119</v>
      </c>
      <c r="U87" s="15"/>
      <c r="V87" s="15"/>
      <c r="W87" s="15"/>
      <c r="X87" s="15"/>
      <c r="Y87" s="15"/>
      <c r="Z87" s="15"/>
      <c r="AA87" s="46"/>
      <c r="AB87" s="15"/>
      <c r="AC87" s="15"/>
      <c r="AD87" s="15"/>
      <c r="AE87" s="15"/>
      <c r="AF87" s="15"/>
      <c r="AG87" s="15"/>
      <c r="AH87" s="15"/>
      <c r="AI87" s="46"/>
      <c r="AJ87" s="51" t="s">
        <v>67</v>
      </c>
      <c r="AK87" s="51" t="s">
        <v>67</v>
      </c>
      <c r="AL87" s="15"/>
      <c r="AM87" s="51" t="s">
        <v>67</v>
      </c>
      <c r="AN87" s="51" t="s">
        <v>67</v>
      </c>
      <c r="AO87" s="50" t="s">
        <v>9554</v>
      </c>
    </row>
    <row r="88" spans="1:41" hidden="1" x14ac:dyDescent="0.25">
      <c r="A88" s="51" t="s">
        <v>2330</v>
      </c>
      <c r="B88" s="51" t="s">
        <v>1756</v>
      </c>
      <c r="C88" s="54" t="s">
        <v>607</v>
      </c>
      <c r="D88" s="51" t="s">
        <v>1757</v>
      </c>
      <c r="E88" s="20">
        <v>10499.7</v>
      </c>
      <c r="F88" s="20">
        <v>92.13</v>
      </c>
      <c r="G88" s="20">
        <v>9282.7999999999993</v>
      </c>
      <c r="H88" s="20">
        <v>4703.9799999999996</v>
      </c>
      <c r="I88" s="20">
        <v>92.13</v>
      </c>
      <c r="J88" s="51" t="s">
        <v>6724</v>
      </c>
      <c r="K88" s="15">
        <v>0</v>
      </c>
      <c r="L88" s="51" t="s">
        <v>2371</v>
      </c>
      <c r="M88" s="51" t="s">
        <v>1758</v>
      </c>
      <c r="N88" s="51" t="s">
        <v>1340</v>
      </c>
      <c r="O88" s="51" t="s">
        <v>67</v>
      </c>
      <c r="P88" s="51" t="s">
        <v>67</v>
      </c>
      <c r="Q88" s="45">
        <v>46227.092144479167</v>
      </c>
      <c r="R88" s="46">
        <v>46310</v>
      </c>
      <c r="S88" s="46">
        <v>46305</v>
      </c>
      <c r="T88" s="51" t="s">
        <v>6119</v>
      </c>
      <c r="U88" s="15"/>
      <c r="V88" s="15"/>
      <c r="W88" s="15"/>
      <c r="X88" s="15"/>
      <c r="Y88" s="15"/>
      <c r="Z88" s="15"/>
      <c r="AA88" s="46"/>
      <c r="AB88" s="15"/>
      <c r="AC88" s="15"/>
      <c r="AD88" s="15"/>
      <c r="AE88" s="15"/>
      <c r="AF88" s="15"/>
      <c r="AG88" s="15"/>
      <c r="AH88" s="15"/>
      <c r="AI88" s="46"/>
      <c r="AJ88" s="51" t="s">
        <v>67</v>
      </c>
      <c r="AK88" s="51" t="s">
        <v>67</v>
      </c>
      <c r="AL88" s="15"/>
      <c r="AM88" s="51" t="s">
        <v>67</v>
      </c>
      <c r="AN88" s="51" t="s">
        <v>67</v>
      </c>
      <c r="AO88" s="50" t="s">
        <v>9554</v>
      </c>
    </row>
    <row r="89" spans="1:41" hidden="1" x14ac:dyDescent="0.25">
      <c r="A89" s="51" t="s">
        <v>2331</v>
      </c>
      <c r="B89" s="51" t="s">
        <v>1447</v>
      </c>
      <c r="C89" s="54" t="s">
        <v>607</v>
      </c>
      <c r="D89" s="51" t="s">
        <v>1445</v>
      </c>
      <c r="E89" s="20">
        <v>21247.14</v>
      </c>
      <c r="F89" s="20">
        <v>92.13</v>
      </c>
      <c r="G89" s="20">
        <v>3134.98</v>
      </c>
      <c r="H89" s="20">
        <v>5123.1499999999996</v>
      </c>
      <c r="I89" s="20">
        <v>92.13</v>
      </c>
      <c r="J89" s="51" t="s">
        <v>6724</v>
      </c>
      <c r="K89" s="15">
        <v>0</v>
      </c>
      <c r="L89" s="51" t="s">
        <v>2371</v>
      </c>
      <c r="M89" s="51" t="s">
        <v>1448</v>
      </c>
      <c r="N89" s="51" t="s">
        <v>1340</v>
      </c>
      <c r="O89" s="51" t="s">
        <v>67</v>
      </c>
      <c r="P89" s="51" t="s">
        <v>67</v>
      </c>
      <c r="Q89" s="45">
        <v>46227.092706481482</v>
      </c>
      <c r="R89" s="46">
        <v>46310</v>
      </c>
      <c r="S89" s="46">
        <v>46305</v>
      </c>
      <c r="T89" s="51" t="s">
        <v>6119</v>
      </c>
      <c r="U89" s="15"/>
      <c r="V89" s="15"/>
      <c r="W89" s="15"/>
      <c r="X89" s="15"/>
      <c r="Y89" s="15"/>
      <c r="Z89" s="15"/>
      <c r="AA89" s="46"/>
      <c r="AB89" s="15"/>
      <c r="AC89" s="15"/>
      <c r="AD89" s="15"/>
      <c r="AE89" s="15"/>
      <c r="AF89" s="15"/>
      <c r="AG89" s="15"/>
      <c r="AH89" s="15"/>
      <c r="AI89" s="46"/>
      <c r="AJ89" s="51" t="s">
        <v>67</v>
      </c>
      <c r="AK89" s="51" t="s">
        <v>67</v>
      </c>
      <c r="AL89" s="15"/>
      <c r="AM89" s="51" t="s">
        <v>67</v>
      </c>
      <c r="AN89" s="51" t="s">
        <v>67</v>
      </c>
      <c r="AO89" s="50" t="s">
        <v>9554</v>
      </c>
    </row>
    <row r="90" spans="1:41" hidden="1" x14ac:dyDescent="0.25">
      <c r="A90" s="51" t="s">
        <v>2332</v>
      </c>
      <c r="B90" s="51" t="s">
        <v>1807</v>
      </c>
      <c r="C90" s="54" t="s">
        <v>607</v>
      </c>
      <c r="D90" s="51" t="s">
        <v>1808</v>
      </c>
      <c r="E90" s="20">
        <v>16194.68</v>
      </c>
      <c r="F90" s="20">
        <v>92.13</v>
      </c>
      <c r="G90" s="20">
        <v>13686.3</v>
      </c>
      <c r="H90" s="20">
        <v>4561.32</v>
      </c>
      <c r="I90" s="20">
        <v>92.13</v>
      </c>
      <c r="J90" s="51" t="s">
        <v>6724</v>
      </c>
      <c r="K90" s="15">
        <v>0</v>
      </c>
      <c r="L90" s="51" t="s">
        <v>2371</v>
      </c>
      <c r="M90" s="51" t="s">
        <v>1809</v>
      </c>
      <c r="N90" s="51" t="s">
        <v>1340</v>
      </c>
      <c r="O90" s="51" t="s">
        <v>67</v>
      </c>
      <c r="P90" s="51" t="s">
        <v>67</v>
      </c>
      <c r="Q90" s="45">
        <v>46227.702812094911</v>
      </c>
      <c r="R90" s="46">
        <v>46310</v>
      </c>
      <c r="S90" s="46">
        <v>46305</v>
      </c>
      <c r="T90" s="51" t="s">
        <v>6119</v>
      </c>
      <c r="U90" s="15"/>
      <c r="V90" s="15"/>
      <c r="W90" s="15"/>
      <c r="X90" s="15"/>
      <c r="Y90" s="15"/>
      <c r="Z90" s="15"/>
      <c r="AA90" s="46"/>
      <c r="AB90" s="15"/>
      <c r="AC90" s="15"/>
      <c r="AD90" s="15"/>
      <c r="AE90" s="15"/>
      <c r="AF90" s="15"/>
      <c r="AG90" s="15"/>
      <c r="AH90" s="15"/>
      <c r="AI90" s="46"/>
      <c r="AJ90" s="51" t="s">
        <v>67</v>
      </c>
      <c r="AK90" s="51" t="s">
        <v>67</v>
      </c>
      <c r="AL90" s="15"/>
      <c r="AM90" s="51" t="s">
        <v>67</v>
      </c>
      <c r="AN90" s="51" t="s">
        <v>67</v>
      </c>
      <c r="AO90" s="50" t="s">
        <v>9554</v>
      </c>
    </row>
    <row r="91" spans="1:41" hidden="1" x14ac:dyDescent="0.25">
      <c r="A91" s="51" t="s">
        <v>2333</v>
      </c>
      <c r="B91" s="51" t="s">
        <v>2033</v>
      </c>
      <c r="C91" s="54" t="s">
        <v>605</v>
      </c>
      <c r="D91" s="51" t="s">
        <v>2034</v>
      </c>
      <c r="E91" s="20">
        <v>8524.61</v>
      </c>
      <c r="F91" s="20">
        <v>2439.31</v>
      </c>
      <c r="G91" s="20">
        <v>531.75</v>
      </c>
      <c r="H91" s="20">
        <v>1651.69</v>
      </c>
      <c r="I91" s="20">
        <v>3639.31</v>
      </c>
      <c r="J91" s="51" t="s">
        <v>6724</v>
      </c>
      <c r="K91" s="15">
        <v>0</v>
      </c>
      <c r="L91" s="51" t="s">
        <v>2371</v>
      </c>
      <c r="M91" s="51" t="s">
        <v>2035</v>
      </c>
      <c r="N91" s="51" t="s">
        <v>1340</v>
      </c>
      <c r="O91" s="51" t="s">
        <v>67</v>
      </c>
      <c r="P91" s="51" t="s">
        <v>67</v>
      </c>
      <c r="Q91" s="45">
        <v>46227.713644745367</v>
      </c>
      <c r="R91" s="46">
        <v>46305</v>
      </c>
      <c r="S91" s="46">
        <v>46300</v>
      </c>
      <c r="T91" s="51" t="s">
        <v>6119</v>
      </c>
      <c r="U91" s="15"/>
      <c r="V91" s="15"/>
      <c r="W91" s="15"/>
      <c r="X91" s="15"/>
      <c r="Y91" s="15"/>
      <c r="Z91" s="15"/>
      <c r="AA91" s="46"/>
      <c r="AB91" s="15"/>
      <c r="AC91" s="15"/>
      <c r="AD91" s="15"/>
      <c r="AE91" s="15"/>
      <c r="AF91" s="15"/>
      <c r="AG91" s="15"/>
      <c r="AH91" s="15"/>
      <c r="AI91" s="46"/>
      <c r="AJ91" s="51" t="s">
        <v>67</v>
      </c>
      <c r="AK91" s="51" t="s">
        <v>67</v>
      </c>
      <c r="AL91" s="15"/>
      <c r="AM91" s="51" t="s">
        <v>6705</v>
      </c>
      <c r="AN91" s="51" t="s">
        <v>6712</v>
      </c>
      <c r="AO91" s="50" t="s">
        <v>9554</v>
      </c>
    </row>
    <row r="92" spans="1:41" x14ac:dyDescent="0.25">
      <c r="A92" s="51" t="s">
        <v>2334</v>
      </c>
      <c r="B92" s="51" t="s">
        <v>1331</v>
      </c>
      <c r="C92" s="54" t="s">
        <v>605</v>
      </c>
      <c r="D92" s="51" t="s">
        <v>2382</v>
      </c>
      <c r="E92" s="20">
        <v>10000</v>
      </c>
      <c r="F92" s="20">
        <v>2295.77</v>
      </c>
      <c r="G92" s="20">
        <v>2704.23</v>
      </c>
      <c r="H92" s="20">
        <v>848.41</v>
      </c>
      <c r="I92" s="20">
        <v>2295.77</v>
      </c>
      <c r="J92" s="51" t="s">
        <v>6727</v>
      </c>
      <c r="K92" s="15">
        <v>47</v>
      </c>
      <c r="L92" s="51" t="s">
        <v>2369</v>
      </c>
      <c r="M92" s="51" t="s">
        <v>1332</v>
      </c>
      <c r="N92" s="51" t="s">
        <v>1333</v>
      </c>
      <c r="O92" s="51" t="s">
        <v>67</v>
      </c>
      <c r="P92" s="51" t="s">
        <v>67</v>
      </c>
      <c r="Q92" s="45">
        <v>46228.083944062499</v>
      </c>
      <c r="R92" s="46">
        <v>46305</v>
      </c>
      <c r="S92" s="46">
        <v>46300</v>
      </c>
      <c r="T92" s="51" t="s">
        <v>6119</v>
      </c>
      <c r="U92" s="15">
        <v>186.26</v>
      </c>
      <c r="V92" s="15">
        <v>859.65</v>
      </c>
      <c r="W92" s="15">
        <v>7.97</v>
      </c>
      <c r="X92" s="15">
        <v>3.27</v>
      </c>
      <c r="Y92" s="15">
        <v>1.6621459999999999</v>
      </c>
      <c r="Z92" s="15">
        <v>6</v>
      </c>
      <c r="AA92" s="46">
        <v>46244</v>
      </c>
      <c r="AB92" s="15">
        <v>46.66</v>
      </c>
      <c r="AC92" s="15">
        <v>84.84</v>
      </c>
      <c r="AD92" s="15">
        <v>8.48</v>
      </c>
      <c r="AE92" s="15">
        <v>127.62</v>
      </c>
      <c r="AF92" s="15">
        <v>817.46</v>
      </c>
      <c r="AG92" s="15">
        <v>12.6</v>
      </c>
      <c r="AH92" s="15">
        <v>1.586158</v>
      </c>
      <c r="AI92" s="46">
        <v>46283</v>
      </c>
      <c r="AJ92" s="51" t="s">
        <v>6121</v>
      </c>
      <c r="AK92" s="51" t="s">
        <v>6121</v>
      </c>
      <c r="AL92" s="15">
        <v>186.26</v>
      </c>
      <c r="AM92" s="51" t="s">
        <v>67</v>
      </c>
      <c r="AN92" s="51" t="s">
        <v>67</v>
      </c>
      <c r="AO92" s="50" t="s">
        <v>9554</v>
      </c>
    </row>
    <row r="93" spans="1:41" hidden="1" x14ac:dyDescent="0.25">
      <c r="A93" s="51" t="s">
        <v>2335</v>
      </c>
      <c r="B93" s="51" t="s">
        <v>1901</v>
      </c>
      <c r="C93" s="54" t="s">
        <v>607</v>
      </c>
      <c r="D93" s="51" t="s">
        <v>1902</v>
      </c>
      <c r="E93" s="20">
        <v>10921.39</v>
      </c>
      <c r="F93" s="20">
        <v>469.92</v>
      </c>
      <c r="G93" s="20">
        <v>9646.07</v>
      </c>
      <c r="H93" s="20">
        <v>607.6</v>
      </c>
      <c r="I93" s="20">
        <v>469.92</v>
      </c>
      <c r="J93" s="51" t="s">
        <v>6726</v>
      </c>
      <c r="K93" s="15">
        <v>0</v>
      </c>
      <c r="L93" s="51" t="s">
        <v>2371</v>
      </c>
      <c r="M93" s="51" t="s">
        <v>1903</v>
      </c>
      <c r="N93" s="51" t="s">
        <v>1340</v>
      </c>
      <c r="O93" s="51" t="s">
        <v>67</v>
      </c>
      <c r="P93" s="51" t="s">
        <v>67</v>
      </c>
      <c r="Q93" s="45">
        <v>46230.152296446759</v>
      </c>
      <c r="R93" s="46">
        <v>46310</v>
      </c>
      <c r="S93" s="46">
        <v>46305</v>
      </c>
      <c r="T93" s="51" t="s">
        <v>6119</v>
      </c>
      <c r="U93" s="15">
        <v>120.05</v>
      </c>
      <c r="V93" s="15">
        <v>554.09</v>
      </c>
      <c r="W93" s="15">
        <v>5.14</v>
      </c>
      <c r="X93" s="15">
        <v>2.11</v>
      </c>
      <c r="Y93" s="15">
        <v>1.661877</v>
      </c>
      <c r="Z93" s="15">
        <v>6</v>
      </c>
      <c r="AA93" s="46">
        <v>46249</v>
      </c>
      <c r="AB93" s="15"/>
      <c r="AC93" s="15"/>
      <c r="AD93" s="15"/>
      <c r="AE93" s="15"/>
      <c r="AF93" s="15"/>
      <c r="AG93" s="15"/>
      <c r="AH93" s="15"/>
      <c r="AI93" s="46"/>
      <c r="AJ93" s="51" t="s">
        <v>67</v>
      </c>
      <c r="AK93" s="51" t="s">
        <v>6121</v>
      </c>
      <c r="AL93" s="15">
        <v>120.05</v>
      </c>
      <c r="AM93" s="51" t="s">
        <v>6705</v>
      </c>
      <c r="AN93" s="51" t="s">
        <v>6120</v>
      </c>
      <c r="AO93" s="50" t="s">
        <v>9555</v>
      </c>
    </row>
    <row r="94" spans="1:41" x14ac:dyDescent="0.25">
      <c r="A94" s="51" t="s">
        <v>2336</v>
      </c>
      <c r="B94" s="51" t="s">
        <v>1604</v>
      </c>
      <c r="C94" s="54" t="s">
        <v>608</v>
      </c>
      <c r="D94" s="51" t="s">
        <v>1605</v>
      </c>
      <c r="E94" s="20">
        <v>6756.02</v>
      </c>
      <c r="F94" s="20">
        <v>5400.51</v>
      </c>
      <c r="G94" s="20">
        <v>3390.97</v>
      </c>
      <c r="H94" s="20">
        <v>4514.22</v>
      </c>
      <c r="I94" s="20">
        <v>5400.51</v>
      </c>
      <c r="J94" s="51" t="s">
        <v>6727</v>
      </c>
      <c r="K94" s="15">
        <v>37</v>
      </c>
      <c r="L94" s="51" t="s">
        <v>2369</v>
      </c>
      <c r="M94" s="51" t="s">
        <v>1606</v>
      </c>
      <c r="N94" s="51" t="s">
        <v>1340</v>
      </c>
      <c r="O94" s="51" t="s">
        <v>67</v>
      </c>
      <c r="P94" s="51" t="s">
        <v>67</v>
      </c>
      <c r="Q94" s="45">
        <v>46230.152555451386</v>
      </c>
      <c r="R94" s="46">
        <v>46315</v>
      </c>
      <c r="S94" s="46">
        <v>46310</v>
      </c>
      <c r="T94" s="51" t="s">
        <v>6119</v>
      </c>
      <c r="U94" s="15">
        <v>140.69999999999999</v>
      </c>
      <c r="V94" s="15">
        <v>649.38</v>
      </c>
      <c r="W94" s="15">
        <v>6.02</v>
      </c>
      <c r="X94" s="15">
        <v>0</v>
      </c>
      <c r="Y94" s="15">
        <v>1.6246499999999999</v>
      </c>
      <c r="Z94" s="15">
        <v>6</v>
      </c>
      <c r="AA94" s="46">
        <v>46254</v>
      </c>
      <c r="AB94" s="15"/>
      <c r="AC94" s="15"/>
      <c r="AD94" s="15"/>
      <c r="AE94" s="15"/>
      <c r="AF94" s="15"/>
      <c r="AG94" s="15"/>
      <c r="AH94" s="15"/>
      <c r="AI94" s="46"/>
      <c r="AJ94" s="51" t="s">
        <v>6121</v>
      </c>
      <c r="AK94" s="51" t="s">
        <v>6121</v>
      </c>
      <c r="AL94" s="15">
        <v>140.69999999999999</v>
      </c>
      <c r="AM94" s="51" t="s">
        <v>67</v>
      </c>
      <c r="AN94" s="51" t="s">
        <v>67</v>
      </c>
      <c r="AO94" s="50" t="s">
        <v>9554</v>
      </c>
    </row>
    <row r="95" spans="1:41" hidden="1" x14ac:dyDescent="0.25">
      <c r="A95" s="51" t="s">
        <v>2337</v>
      </c>
      <c r="B95" s="51" t="s">
        <v>1885</v>
      </c>
      <c r="C95" s="54" t="s">
        <v>611</v>
      </c>
      <c r="D95" s="51" t="s">
        <v>1886</v>
      </c>
      <c r="E95" s="20">
        <v>11655.22</v>
      </c>
      <c r="F95" s="20">
        <v>16.48</v>
      </c>
      <c r="G95" s="20">
        <v>7372.92</v>
      </c>
      <c r="H95" s="20">
        <v>692.55</v>
      </c>
      <c r="I95" s="20">
        <v>16.48</v>
      </c>
      <c r="J95" s="51" t="s">
        <v>6724</v>
      </c>
      <c r="K95" s="15">
        <v>0</v>
      </c>
      <c r="L95" s="51" t="s">
        <v>2371</v>
      </c>
      <c r="M95" s="51" t="s">
        <v>1887</v>
      </c>
      <c r="N95" s="51" t="s">
        <v>1340</v>
      </c>
      <c r="O95" s="51" t="s">
        <v>67</v>
      </c>
      <c r="P95" s="51" t="s">
        <v>67</v>
      </c>
      <c r="Q95" s="45">
        <v>46232.992079490738</v>
      </c>
      <c r="R95" s="46">
        <v>46320</v>
      </c>
      <c r="S95" s="46">
        <v>46315</v>
      </c>
      <c r="T95" s="51" t="s">
        <v>6119</v>
      </c>
      <c r="U95" s="15">
        <v>152.04</v>
      </c>
      <c r="V95" s="15">
        <v>701.74</v>
      </c>
      <c r="W95" s="15">
        <v>6.52</v>
      </c>
      <c r="X95" s="15">
        <v>2.67</v>
      </c>
      <c r="Y95" s="15">
        <v>1.661986</v>
      </c>
      <c r="Z95" s="15">
        <v>6</v>
      </c>
      <c r="AA95" s="46">
        <v>46259</v>
      </c>
      <c r="AB95" s="15"/>
      <c r="AC95" s="15"/>
      <c r="AD95" s="15"/>
      <c r="AE95" s="15"/>
      <c r="AF95" s="15"/>
      <c r="AG95" s="15"/>
      <c r="AH95" s="15"/>
      <c r="AI95" s="46"/>
      <c r="AJ95" s="51" t="s">
        <v>67</v>
      </c>
      <c r="AK95" s="51" t="s">
        <v>6121</v>
      </c>
      <c r="AL95" s="15">
        <v>152.04</v>
      </c>
      <c r="AM95" s="51" t="s">
        <v>67</v>
      </c>
      <c r="AN95" s="51" t="s">
        <v>67</v>
      </c>
      <c r="AO95" s="50" t="s">
        <v>9554</v>
      </c>
    </row>
    <row r="96" spans="1:41" hidden="1" x14ac:dyDescent="0.25">
      <c r="A96" s="51" t="s">
        <v>2338</v>
      </c>
      <c r="B96" s="51" t="s">
        <v>2094</v>
      </c>
      <c r="C96" s="54" t="s">
        <v>5596</v>
      </c>
      <c r="D96" s="51" t="s">
        <v>2095</v>
      </c>
      <c r="E96" s="20">
        <v>11461.3</v>
      </c>
      <c r="F96" s="20">
        <v>315.25</v>
      </c>
      <c r="G96" s="20">
        <v>19313.89</v>
      </c>
      <c r="H96" s="20">
        <v>519.51</v>
      </c>
      <c r="I96" s="20">
        <v>315.25</v>
      </c>
      <c r="J96" s="51" t="s">
        <v>6726</v>
      </c>
      <c r="K96" s="15">
        <v>0</v>
      </c>
      <c r="L96" s="51" t="s">
        <v>2371</v>
      </c>
      <c r="M96" s="51" t="s">
        <v>2096</v>
      </c>
      <c r="N96" s="51" t="s">
        <v>1340</v>
      </c>
      <c r="O96" s="51" t="s">
        <v>67</v>
      </c>
      <c r="P96" s="51" t="s">
        <v>67</v>
      </c>
      <c r="Q96" s="45">
        <v>46232.992214583333</v>
      </c>
      <c r="R96" s="46">
        <v>46300</v>
      </c>
      <c r="S96" s="46">
        <v>46295</v>
      </c>
      <c r="T96" s="51" t="s">
        <v>6119</v>
      </c>
      <c r="U96" s="15">
        <v>25.2</v>
      </c>
      <c r="V96" s="15">
        <v>116.53</v>
      </c>
      <c r="W96" s="15">
        <v>1.08</v>
      </c>
      <c r="X96" s="15">
        <v>0</v>
      </c>
      <c r="Y96" s="15">
        <v>1.62602</v>
      </c>
      <c r="Z96" s="15">
        <v>6</v>
      </c>
      <c r="AA96" s="46">
        <v>46271</v>
      </c>
      <c r="AB96" s="15">
        <v>6.36</v>
      </c>
      <c r="AC96" s="15">
        <v>11.55</v>
      </c>
      <c r="AD96" s="15">
        <v>1.1599999999999999</v>
      </c>
      <c r="AE96" s="15">
        <v>17.260000000000002</v>
      </c>
      <c r="AF96" s="15">
        <v>110.78</v>
      </c>
      <c r="AG96" s="15">
        <v>1.69</v>
      </c>
      <c r="AH96" s="15">
        <v>1.5583009999999999</v>
      </c>
      <c r="AI96" s="46">
        <v>46283</v>
      </c>
      <c r="AJ96" s="51" t="s">
        <v>67</v>
      </c>
      <c r="AK96" s="51" t="s">
        <v>6121</v>
      </c>
      <c r="AL96" s="15">
        <v>25.2</v>
      </c>
      <c r="AM96" s="51" t="s">
        <v>67</v>
      </c>
      <c r="AN96" s="51" t="s">
        <v>67</v>
      </c>
      <c r="AO96" s="50" t="s">
        <v>9555</v>
      </c>
    </row>
    <row r="97" spans="1:41" x14ac:dyDescent="0.25">
      <c r="A97" s="51" t="s">
        <v>2339</v>
      </c>
      <c r="B97" s="51" t="s">
        <v>1868</v>
      </c>
      <c r="C97" s="54" t="s">
        <v>608</v>
      </c>
      <c r="D97" s="51" t="s">
        <v>1869</v>
      </c>
      <c r="E97" s="20">
        <v>2913.49</v>
      </c>
      <c r="F97" s="20">
        <v>961.87</v>
      </c>
      <c r="G97" s="20">
        <v>4100.5</v>
      </c>
      <c r="H97" s="20">
        <v>782.67</v>
      </c>
      <c r="I97" s="20">
        <v>961.87</v>
      </c>
      <c r="J97" s="51" t="s">
        <v>6727</v>
      </c>
      <c r="K97" s="15">
        <v>37</v>
      </c>
      <c r="L97" s="51" t="s">
        <v>2369</v>
      </c>
      <c r="M97" s="51" t="s">
        <v>1870</v>
      </c>
      <c r="N97" s="51" t="s">
        <v>1340</v>
      </c>
      <c r="O97" s="51" t="s">
        <v>67</v>
      </c>
      <c r="P97" s="51" t="s">
        <v>67</v>
      </c>
      <c r="Q97" s="45">
        <v>46232.99238520833</v>
      </c>
      <c r="R97" s="46">
        <v>46315</v>
      </c>
      <c r="S97" s="46">
        <v>46310</v>
      </c>
      <c r="T97" s="51" t="s">
        <v>6119</v>
      </c>
      <c r="U97" s="15">
        <v>171.83</v>
      </c>
      <c r="V97" s="15">
        <v>793.04</v>
      </c>
      <c r="W97" s="15">
        <v>7.36</v>
      </c>
      <c r="X97" s="15">
        <v>3.01</v>
      </c>
      <c r="Y97" s="15">
        <v>1.662293</v>
      </c>
      <c r="Z97" s="15">
        <v>6</v>
      </c>
      <c r="AA97" s="46">
        <v>46254</v>
      </c>
      <c r="AB97" s="15"/>
      <c r="AC97" s="15"/>
      <c r="AD97" s="15"/>
      <c r="AE97" s="15"/>
      <c r="AF97" s="15"/>
      <c r="AG97" s="15"/>
      <c r="AH97" s="15"/>
      <c r="AI97" s="46"/>
      <c r="AJ97" s="51" t="s">
        <v>6121</v>
      </c>
      <c r="AK97" s="51" t="s">
        <v>6121</v>
      </c>
      <c r="AL97" s="15">
        <v>171.83</v>
      </c>
      <c r="AM97" s="51" t="s">
        <v>67</v>
      </c>
      <c r="AN97" s="51" t="s">
        <v>67</v>
      </c>
      <c r="AO97" s="50" t="s">
        <v>9554</v>
      </c>
    </row>
    <row r="98" spans="1:41" hidden="1" x14ac:dyDescent="0.25">
      <c r="A98" s="51" t="s">
        <v>2340</v>
      </c>
      <c r="B98" s="51" t="s">
        <v>1536</v>
      </c>
      <c r="C98" s="54" t="s">
        <v>608</v>
      </c>
      <c r="D98" s="51" t="s">
        <v>1534</v>
      </c>
      <c r="E98" s="20">
        <v>11537.34</v>
      </c>
      <c r="F98" s="20">
        <v>22.81</v>
      </c>
      <c r="G98" s="20">
        <v>20677.73</v>
      </c>
      <c r="H98" s="20">
        <v>958.36</v>
      </c>
      <c r="I98" s="20">
        <v>22.81</v>
      </c>
      <c r="J98" s="51" t="s">
        <v>6724</v>
      </c>
      <c r="K98" s="15">
        <v>0</v>
      </c>
      <c r="L98" s="51" t="s">
        <v>2371</v>
      </c>
      <c r="M98" s="51" t="s">
        <v>1537</v>
      </c>
      <c r="N98" s="51" t="s">
        <v>1344</v>
      </c>
      <c r="O98" s="51" t="s">
        <v>67</v>
      </c>
      <c r="P98" s="51" t="s">
        <v>67</v>
      </c>
      <c r="Q98" s="45">
        <v>46232.992877268516</v>
      </c>
      <c r="R98" s="46">
        <v>46315</v>
      </c>
      <c r="S98" s="46">
        <v>46310</v>
      </c>
      <c r="T98" s="51" t="s">
        <v>6119</v>
      </c>
      <c r="U98" s="15">
        <v>210.4</v>
      </c>
      <c r="V98" s="15">
        <v>971.06</v>
      </c>
      <c r="W98" s="15">
        <v>9.01</v>
      </c>
      <c r="X98" s="15">
        <v>3.69</v>
      </c>
      <c r="Y98" s="15">
        <v>1.6622189999999999</v>
      </c>
      <c r="Z98" s="15">
        <v>6</v>
      </c>
      <c r="AA98" s="46">
        <v>46254</v>
      </c>
      <c r="AB98" s="15"/>
      <c r="AC98" s="15"/>
      <c r="AD98" s="15"/>
      <c r="AE98" s="15"/>
      <c r="AF98" s="15"/>
      <c r="AG98" s="15"/>
      <c r="AH98" s="15"/>
      <c r="AI98" s="46"/>
      <c r="AJ98" s="51" t="s">
        <v>67</v>
      </c>
      <c r="AK98" s="51" t="s">
        <v>6121</v>
      </c>
      <c r="AL98" s="15">
        <v>210.4</v>
      </c>
      <c r="AM98" s="51" t="s">
        <v>67</v>
      </c>
      <c r="AN98" s="51" t="s">
        <v>67</v>
      </c>
      <c r="AO98" s="50" t="s">
        <v>9554</v>
      </c>
    </row>
    <row r="99" spans="1:41" hidden="1" x14ac:dyDescent="0.25">
      <c r="A99" s="51" t="s">
        <v>2341</v>
      </c>
      <c r="B99" s="51" t="s">
        <v>1878</v>
      </c>
      <c r="C99" s="54" t="s">
        <v>5596</v>
      </c>
      <c r="D99" s="51" t="s">
        <v>1879</v>
      </c>
      <c r="E99" s="20">
        <v>69245.59</v>
      </c>
      <c r="F99" s="20">
        <v>5.3</v>
      </c>
      <c r="G99" s="20">
        <v>2235.17</v>
      </c>
      <c r="H99" s="20">
        <v>4586.96</v>
      </c>
      <c r="I99" s="20">
        <v>13.26</v>
      </c>
      <c r="J99" s="51" t="s">
        <v>6726</v>
      </c>
      <c r="K99" s="15">
        <v>0</v>
      </c>
      <c r="L99" s="51" t="s">
        <v>2371</v>
      </c>
      <c r="M99" s="51" t="s">
        <v>1880</v>
      </c>
      <c r="N99" s="51" t="s">
        <v>1340</v>
      </c>
      <c r="O99" s="51" t="s">
        <v>67</v>
      </c>
      <c r="P99" s="51" t="s">
        <v>67</v>
      </c>
      <c r="Q99" s="45">
        <v>46232.993164664353</v>
      </c>
      <c r="R99" s="46">
        <v>46300</v>
      </c>
      <c r="S99" s="46">
        <v>46295</v>
      </c>
      <c r="T99" s="51" t="s">
        <v>6119</v>
      </c>
      <c r="U99" s="15"/>
      <c r="V99" s="15"/>
      <c r="W99" s="15"/>
      <c r="X99" s="15"/>
      <c r="Y99" s="15"/>
      <c r="Z99" s="15"/>
      <c r="AA99" s="46"/>
      <c r="AB99" s="15"/>
      <c r="AC99" s="15"/>
      <c r="AD99" s="15"/>
      <c r="AE99" s="15"/>
      <c r="AF99" s="15"/>
      <c r="AG99" s="15"/>
      <c r="AH99" s="15"/>
      <c r="AI99" s="46"/>
      <c r="AJ99" s="51" t="s">
        <v>67</v>
      </c>
      <c r="AK99" s="51" t="s">
        <v>67</v>
      </c>
      <c r="AL99" s="15"/>
      <c r="AM99" s="51" t="s">
        <v>67</v>
      </c>
      <c r="AN99" s="51" t="s">
        <v>67</v>
      </c>
      <c r="AO99" s="50" t="s">
        <v>9554</v>
      </c>
    </row>
    <row r="100" spans="1:41" hidden="1" x14ac:dyDescent="0.25">
      <c r="A100" s="51" t="s">
        <v>2342</v>
      </c>
      <c r="B100" s="51" t="s">
        <v>1934</v>
      </c>
      <c r="C100" s="54" t="s">
        <v>5596</v>
      </c>
      <c r="D100" s="51" t="s">
        <v>1935</v>
      </c>
      <c r="E100" s="20">
        <v>18182.27</v>
      </c>
      <c r="F100" s="20">
        <v>2407.59</v>
      </c>
      <c r="G100" s="20">
        <v>18593.2</v>
      </c>
      <c r="H100" s="20">
        <v>4189.66</v>
      </c>
      <c r="I100" s="20">
        <v>7.59</v>
      </c>
      <c r="J100" s="51" t="s">
        <v>6724</v>
      </c>
      <c r="K100" s="15">
        <v>0</v>
      </c>
      <c r="L100" s="51" t="s">
        <v>2371</v>
      </c>
      <c r="M100" s="51" t="s">
        <v>1936</v>
      </c>
      <c r="N100" s="51" t="s">
        <v>1340</v>
      </c>
      <c r="O100" s="51" t="s">
        <v>67</v>
      </c>
      <c r="P100" s="51" t="s">
        <v>67</v>
      </c>
      <c r="Q100" s="45">
        <v>46232.993239537034</v>
      </c>
      <c r="R100" s="46">
        <v>46300</v>
      </c>
      <c r="S100" s="46">
        <v>46295</v>
      </c>
      <c r="T100" s="51" t="s">
        <v>6119</v>
      </c>
      <c r="U100" s="15"/>
      <c r="V100" s="15"/>
      <c r="W100" s="15"/>
      <c r="X100" s="15"/>
      <c r="Y100" s="15"/>
      <c r="Z100" s="15"/>
      <c r="AA100" s="46"/>
      <c r="AB100" s="15"/>
      <c r="AC100" s="15"/>
      <c r="AD100" s="15"/>
      <c r="AE100" s="15"/>
      <c r="AF100" s="15"/>
      <c r="AG100" s="15"/>
      <c r="AH100" s="15"/>
      <c r="AI100" s="46"/>
      <c r="AJ100" s="51" t="s">
        <v>67</v>
      </c>
      <c r="AK100" s="51" t="s">
        <v>67</v>
      </c>
      <c r="AL100" s="15"/>
      <c r="AM100" s="51" t="s">
        <v>6705</v>
      </c>
      <c r="AN100" s="51" t="s">
        <v>6709</v>
      </c>
      <c r="AO100" s="50" t="s">
        <v>9554</v>
      </c>
    </row>
    <row r="101" spans="1:41" hidden="1" x14ac:dyDescent="0.25">
      <c r="A101" s="51" t="s">
        <v>2131</v>
      </c>
      <c r="B101" s="51" t="s">
        <v>1812</v>
      </c>
      <c r="C101" s="54" t="s">
        <v>5596</v>
      </c>
      <c r="D101" s="51" t="s">
        <v>1813</v>
      </c>
      <c r="E101" s="20">
        <v>14559.77</v>
      </c>
      <c r="F101" s="20">
        <v>1292.1300000000001</v>
      </c>
      <c r="G101" s="20">
        <v>3707.87</v>
      </c>
      <c r="H101" s="20">
        <v>4235.83</v>
      </c>
      <c r="I101" s="20">
        <v>2492.13</v>
      </c>
      <c r="J101" s="51" t="s">
        <v>6724</v>
      </c>
      <c r="K101" s="15">
        <v>0</v>
      </c>
      <c r="L101" s="51" t="s">
        <v>2371</v>
      </c>
      <c r="M101" s="51" t="s">
        <v>1814</v>
      </c>
      <c r="N101" s="51" t="s">
        <v>1340</v>
      </c>
      <c r="O101" s="51" t="s">
        <v>67</v>
      </c>
      <c r="P101" s="51" t="s">
        <v>67</v>
      </c>
      <c r="Q101" s="45">
        <v>46232.993319004629</v>
      </c>
      <c r="R101" s="46">
        <v>46300</v>
      </c>
      <c r="S101" s="46">
        <v>46295</v>
      </c>
      <c r="T101" s="51" t="s">
        <v>6119</v>
      </c>
      <c r="U101" s="15"/>
      <c r="V101" s="15"/>
      <c r="W101" s="15"/>
      <c r="X101" s="15"/>
      <c r="Y101" s="15"/>
      <c r="Z101" s="15"/>
      <c r="AA101" s="46"/>
      <c r="AB101" s="15"/>
      <c r="AC101" s="15"/>
      <c r="AD101" s="15"/>
      <c r="AE101" s="15"/>
      <c r="AF101" s="15"/>
      <c r="AG101" s="15"/>
      <c r="AH101" s="15"/>
      <c r="AI101" s="46"/>
      <c r="AJ101" s="51" t="s">
        <v>67</v>
      </c>
      <c r="AK101" s="51" t="s">
        <v>67</v>
      </c>
      <c r="AL101" s="15"/>
      <c r="AM101" s="51" t="s">
        <v>67</v>
      </c>
      <c r="AN101" s="51" t="s">
        <v>67</v>
      </c>
      <c r="AO101" s="50" t="s">
        <v>9554</v>
      </c>
    </row>
    <row r="102" spans="1:41" hidden="1" x14ac:dyDescent="0.25">
      <c r="A102" s="51" t="s">
        <v>2132</v>
      </c>
      <c r="B102" s="51" t="s">
        <v>1646</v>
      </c>
      <c r="C102" s="54" t="s">
        <v>607</v>
      </c>
      <c r="D102" s="51" t="s">
        <v>1644</v>
      </c>
      <c r="E102" s="20">
        <v>5011.09</v>
      </c>
      <c r="F102" s="20">
        <v>17.46</v>
      </c>
      <c r="G102" s="20">
        <v>8635.0300000000007</v>
      </c>
      <c r="H102" s="20">
        <v>733.7</v>
      </c>
      <c r="I102" s="20">
        <v>17.46</v>
      </c>
      <c r="J102" s="51" t="s">
        <v>6724</v>
      </c>
      <c r="K102" s="15">
        <v>0</v>
      </c>
      <c r="L102" s="51" t="s">
        <v>2371</v>
      </c>
      <c r="M102" s="51" t="s">
        <v>1647</v>
      </c>
      <c r="N102" s="51" t="s">
        <v>1340</v>
      </c>
      <c r="O102" s="51" t="s">
        <v>67</v>
      </c>
      <c r="P102" s="51" t="s">
        <v>67</v>
      </c>
      <c r="Q102" s="45">
        <v>46234.060672094907</v>
      </c>
      <c r="R102" s="46">
        <v>46310</v>
      </c>
      <c r="S102" s="46">
        <v>46305</v>
      </c>
      <c r="T102" s="51" t="s">
        <v>6119</v>
      </c>
      <c r="U102" s="15">
        <v>161.07</v>
      </c>
      <c r="V102" s="15">
        <v>743.41</v>
      </c>
      <c r="W102" s="15">
        <v>6.89</v>
      </c>
      <c r="X102" s="15">
        <v>2.82</v>
      </c>
      <c r="Y102" s="15">
        <v>1.6617470000000001</v>
      </c>
      <c r="Z102" s="15">
        <v>6</v>
      </c>
      <c r="AA102" s="46">
        <v>46249</v>
      </c>
      <c r="AB102" s="15">
        <v>40.36</v>
      </c>
      <c r="AC102" s="15">
        <v>73.37</v>
      </c>
      <c r="AD102" s="15">
        <v>7.34</v>
      </c>
      <c r="AE102" s="15">
        <v>110.36</v>
      </c>
      <c r="AF102" s="15">
        <v>706.91</v>
      </c>
      <c r="AG102" s="15">
        <v>10.88</v>
      </c>
      <c r="AH102" s="15">
        <v>1.585866</v>
      </c>
      <c r="AI102" s="46">
        <v>46283</v>
      </c>
      <c r="AJ102" s="51" t="s">
        <v>67</v>
      </c>
      <c r="AK102" s="51" t="s">
        <v>6121</v>
      </c>
      <c r="AL102" s="15">
        <v>161.07</v>
      </c>
      <c r="AM102" s="51" t="s">
        <v>67</v>
      </c>
      <c r="AN102" s="51" t="s">
        <v>67</v>
      </c>
      <c r="AO102" s="50" t="s">
        <v>9554</v>
      </c>
    </row>
    <row r="103" spans="1:41" hidden="1" x14ac:dyDescent="0.25">
      <c r="A103" s="51" t="s">
        <v>2133</v>
      </c>
      <c r="B103" s="51" t="s">
        <v>2016</v>
      </c>
      <c r="C103" s="54" t="s">
        <v>5596</v>
      </c>
      <c r="D103" s="51" t="s">
        <v>2014</v>
      </c>
      <c r="E103" s="20">
        <v>10010.49</v>
      </c>
      <c r="F103" s="20">
        <v>1104.23</v>
      </c>
      <c r="G103" s="20">
        <v>7780.2</v>
      </c>
      <c r="H103" s="20">
        <v>896.87</v>
      </c>
      <c r="I103" s="20">
        <v>1104.23</v>
      </c>
      <c r="J103" s="51" t="s">
        <v>6726</v>
      </c>
      <c r="K103" s="15">
        <v>52</v>
      </c>
      <c r="L103" s="51" t="s">
        <v>2369</v>
      </c>
      <c r="M103" s="51" t="s">
        <v>2017</v>
      </c>
      <c r="N103" s="51" t="s">
        <v>1340</v>
      </c>
      <c r="O103" s="51" t="s">
        <v>67</v>
      </c>
      <c r="P103" s="51" t="s">
        <v>67</v>
      </c>
      <c r="Q103" s="45">
        <v>46234.060997615743</v>
      </c>
      <c r="R103" s="46">
        <v>46300</v>
      </c>
      <c r="S103" s="46">
        <v>46295</v>
      </c>
      <c r="T103" s="51" t="s">
        <v>6119</v>
      </c>
      <c r="U103" s="15">
        <v>43.5</v>
      </c>
      <c r="V103" s="15">
        <v>201.16</v>
      </c>
      <c r="W103" s="15">
        <v>1.86</v>
      </c>
      <c r="X103" s="15">
        <v>0</v>
      </c>
      <c r="Y103" s="15">
        <v>1.625467</v>
      </c>
      <c r="Z103" s="15">
        <v>6</v>
      </c>
      <c r="AA103" s="46">
        <v>46271</v>
      </c>
      <c r="AB103" s="15">
        <v>10.96</v>
      </c>
      <c r="AC103" s="15">
        <v>19.93</v>
      </c>
      <c r="AD103" s="15">
        <v>1.99</v>
      </c>
      <c r="AE103" s="15">
        <v>29.81</v>
      </c>
      <c r="AF103" s="15">
        <v>191.29</v>
      </c>
      <c r="AG103" s="15">
        <v>2.95</v>
      </c>
      <c r="AH103" s="15">
        <v>1.5613490000000001</v>
      </c>
      <c r="AI103" s="46">
        <v>46283</v>
      </c>
      <c r="AJ103" s="51" t="s">
        <v>6121</v>
      </c>
      <c r="AK103" s="51" t="s">
        <v>6121</v>
      </c>
      <c r="AL103" s="15">
        <v>43.5</v>
      </c>
      <c r="AM103" s="51" t="s">
        <v>67</v>
      </c>
      <c r="AN103" s="51" t="s">
        <v>67</v>
      </c>
      <c r="AO103" s="50" t="s">
        <v>9554</v>
      </c>
    </row>
    <row r="104" spans="1:41" x14ac:dyDescent="0.25">
      <c r="A104" s="51" t="s">
        <v>2134</v>
      </c>
      <c r="B104" s="51" t="s">
        <v>1774</v>
      </c>
      <c r="C104" s="54" t="s">
        <v>611</v>
      </c>
      <c r="D104" s="51" t="s">
        <v>1775</v>
      </c>
      <c r="E104" s="20">
        <v>7506</v>
      </c>
      <c r="F104" s="20">
        <v>5004.8</v>
      </c>
      <c r="G104" s="20">
        <v>7102.66</v>
      </c>
      <c r="H104" s="20">
        <v>4225.82</v>
      </c>
      <c r="I104" s="20">
        <v>5004.8</v>
      </c>
      <c r="J104" s="51" t="s">
        <v>6727</v>
      </c>
      <c r="K104" s="15">
        <v>32</v>
      </c>
      <c r="L104" s="51" t="s">
        <v>2369</v>
      </c>
      <c r="M104" s="51" t="s">
        <v>1776</v>
      </c>
      <c r="N104" s="51" t="s">
        <v>1344</v>
      </c>
      <c r="O104" s="51" t="s">
        <v>67</v>
      </c>
      <c r="P104" s="51" t="s">
        <v>67</v>
      </c>
      <c r="Q104" s="45">
        <v>46234.061213113426</v>
      </c>
      <c r="R104" s="46">
        <v>46320</v>
      </c>
      <c r="S104" s="46">
        <v>46315</v>
      </c>
      <c r="T104" s="51" t="s">
        <v>6119</v>
      </c>
      <c r="U104" s="15">
        <v>77.63</v>
      </c>
      <c r="V104" s="15">
        <v>358.28</v>
      </c>
      <c r="W104" s="15">
        <v>3.32</v>
      </c>
      <c r="X104" s="15">
        <v>0</v>
      </c>
      <c r="Y104" s="15">
        <v>1.6248750000000001</v>
      </c>
      <c r="Z104" s="15">
        <v>6</v>
      </c>
      <c r="AA104" s="46">
        <v>46259</v>
      </c>
      <c r="AB104" s="15"/>
      <c r="AC104" s="15"/>
      <c r="AD104" s="15"/>
      <c r="AE104" s="15"/>
      <c r="AF104" s="15"/>
      <c r="AG104" s="15"/>
      <c r="AH104" s="15"/>
      <c r="AI104" s="46"/>
      <c r="AJ104" s="51" t="s">
        <v>6121</v>
      </c>
      <c r="AK104" s="51" t="s">
        <v>6121</v>
      </c>
      <c r="AL104" s="15">
        <v>77.63</v>
      </c>
      <c r="AM104" s="51" t="s">
        <v>67</v>
      </c>
      <c r="AN104" s="51" t="s">
        <v>67</v>
      </c>
      <c r="AO104" s="50" t="s">
        <v>9554</v>
      </c>
    </row>
    <row r="105" spans="1:41" x14ac:dyDescent="0.25">
      <c r="A105" s="51" t="s">
        <v>2135</v>
      </c>
      <c r="B105" s="51" t="s">
        <v>1595</v>
      </c>
      <c r="C105" s="54" t="s">
        <v>608</v>
      </c>
      <c r="D105" s="51" t="s">
        <v>1596</v>
      </c>
      <c r="E105" s="20">
        <v>2477.81</v>
      </c>
      <c r="F105" s="20">
        <v>1125.3</v>
      </c>
      <c r="G105" s="20">
        <v>5275.2</v>
      </c>
      <c r="H105" s="20">
        <v>915.65</v>
      </c>
      <c r="I105" s="20">
        <v>1125.3</v>
      </c>
      <c r="J105" s="51" t="s">
        <v>6727</v>
      </c>
      <c r="K105" s="15">
        <v>37</v>
      </c>
      <c r="L105" s="51" t="s">
        <v>2369</v>
      </c>
      <c r="M105" s="51" t="s">
        <v>1597</v>
      </c>
      <c r="N105" s="51" t="s">
        <v>1340</v>
      </c>
      <c r="O105" s="51" t="s">
        <v>67</v>
      </c>
      <c r="P105" s="51" t="s">
        <v>67</v>
      </c>
      <c r="Q105" s="45">
        <v>46234.061284085648</v>
      </c>
      <c r="R105" s="46">
        <v>46315</v>
      </c>
      <c r="S105" s="46">
        <v>46310</v>
      </c>
      <c r="T105" s="51" t="s">
        <v>6119</v>
      </c>
      <c r="U105" s="15">
        <v>201.02</v>
      </c>
      <c r="V105" s="15">
        <v>927.79</v>
      </c>
      <c r="W105" s="15">
        <v>8.6199999999999992</v>
      </c>
      <c r="X105" s="15">
        <v>3.52</v>
      </c>
      <c r="Y105" s="15">
        <v>1.6620550000000001</v>
      </c>
      <c r="Z105" s="15">
        <v>6</v>
      </c>
      <c r="AA105" s="46">
        <v>46254</v>
      </c>
      <c r="AB105" s="15"/>
      <c r="AC105" s="15"/>
      <c r="AD105" s="15"/>
      <c r="AE105" s="15"/>
      <c r="AF105" s="15"/>
      <c r="AG105" s="15"/>
      <c r="AH105" s="15"/>
      <c r="AI105" s="46"/>
      <c r="AJ105" s="51" t="s">
        <v>6121</v>
      </c>
      <c r="AK105" s="51" t="s">
        <v>6121</v>
      </c>
      <c r="AL105" s="15">
        <v>201.02</v>
      </c>
      <c r="AM105" s="51" t="s">
        <v>67</v>
      </c>
      <c r="AN105" s="51" t="s">
        <v>67</v>
      </c>
      <c r="AO105" s="50" t="s">
        <v>9554</v>
      </c>
    </row>
    <row r="106" spans="1:41" hidden="1" x14ac:dyDescent="0.25">
      <c r="A106" s="51" t="s">
        <v>2136</v>
      </c>
      <c r="B106" s="51" t="s">
        <v>2069</v>
      </c>
      <c r="C106" s="54" t="s">
        <v>608</v>
      </c>
      <c r="D106" s="51" t="s">
        <v>2070</v>
      </c>
      <c r="E106" s="20">
        <v>8976.5499999999993</v>
      </c>
      <c r="F106" s="20">
        <v>1213.46</v>
      </c>
      <c r="G106" s="20">
        <v>15546.53</v>
      </c>
      <c r="H106" s="20">
        <v>4485.29</v>
      </c>
      <c r="I106" s="20">
        <v>1213.46</v>
      </c>
      <c r="J106" s="51" t="s">
        <v>6726</v>
      </c>
      <c r="K106" s="15">
        <v>0</v>
      </c>
      <c r="L106" s="51" t="s">
        <v>2371</v>
      </c>
      <c r="M106" s="51" t="s">
        <v>2071</v>
      </c>
      <c r="N106" s="51" t="s">
        <v>1340</v>
      </c>
      <c r="O106" s="51" t="s">
        <v>67</v>
      </c>
      <c r="P106" s="51" t="s">
        <v>67</v>
      </c>
      <c r="Q106" s="45">
        <v>46234.061412268522</v>
      </c>
      <c r="R106" s="46">
        <v>46315</v>
      </c>
      <c r="S106" s="46">
        <v>46310</v>
      </c>
      <c r="T106" s="51" t="s">
        <v>6119</v>
      </c>
      <c r="U106" s="15">
        <v>134.37</v>
      </c>
      <c r="V106" s="15">
        <v>620.17999999999995</v>
      </c>
      <c r="W106" s="15">
        <v>5.75</v>
      </c>
      <c r="X106" s="15">
        <v>0</v>
      </c>
      <c r="Y106" s="15">
        <v>1.6244240000000001</v>
      </c>
      <c r="Z106" s="15">
        <v>6</v>
      </c>
      <c r="AA106" s="46">
        <v>46254</v>
      </c>
      <c r="AB106" s="15"/>
      <c r="AC106" s="15"/>
      <c r="AD106" s="15"/>
      <c r="AE106" s="15"/>
      <c r="AF106" s="15"/>
      <c r="AG106" s="15"/>
      <c r="AH106" s="15"/>
      <c r="AI106" s="46"/>
      <c r="AJ106" s="51" t="s">
        <v>67</v>
      </c>
      <c r="AK106" s="51" t="s">
        <v>6121</v>
      </c>
      <c r="AL106" s="15">
        <v>134.37</v>
      </c>
      <c r="AM106" s="51" t="s">
        <v>67</v>
      </c>
      <c r="AN106" s="51" t="s">
        <v>67</v>
      </c>
      <c r="AO106" s="50" t="s">
        <v>9554</v>
      </c>
    </row>
    <row r="107" spans="1:41" hidden="1" x14ac:dyDescent="0.25">
      <c r="A107" s="51" t="s">
        <v>2137</v>
      </c>
      <c r="B107" s="51" t="s">
        <v>1426</v>
      </c>
      <c r="C107" s="54" t="s">
        <v>605</v>
      </c>
      <c r="D107" s="51" t="s">
        <v>1427</v>
      </c>
      <c r="E107" s="20">
        <v>10000</v>
      </c>
      <c r="F107" s="20">
        <v>1206.06</v>
      </c>
      <c r="G107" s="20">
        <v>3793.94</v>
      </c>
      <c r="H107" s="20">
        <v>0</v>
      </c>
      <c r="I107" s="20">
        <v>1206.06</v>
      </c>
      <c r="J107" s="51" t="s">
        <v>2654</v>
      </c>
      <c r="K107" s="15">
        <v>0</v>
      </c>
      <c r="L107" s="51" t="s">
        <v>2371</v>
      </c>
      <c r="M107" s="51" t="s">
        <v>1428</v>
      </c>
      <c r="N107" s="51" t="s">
        <v>1429</v>
      </c>
      <c r="O107" s="51" t="s">
        <v>67</v>
      </c>
      <c r="P107" s="51" t="s">
        <v>67</v>
      </c>
      <c r="Q107" s="45">
        <v>46235.050194502313</v>
      </c>
      <c r="R107" s="46">
        <v>46305</v>
      </c>
      <c r="S107" s="46">
        <v>46300</v>
      </c>
      <c r="T107" s="51" t="s">
        <v>6119</v>
      </c>
      <c r="U107" s="15"/>
      <c r="V107" s="15"/>
      <c r="W107" s="15"/>
      <c r="X107" s="15"/>
      <c r="Y107" s="15"/>
      <c r="Z107" s="15"/>
      <c r="AA107" s="46"/>
      <c r="AB107" s="15"/>
      <c r="AC107" s="15"/>
      <c r="AD107" s="15"/>
      <c r="AE107" s="15"/>
      <c r="AF107" s="15"/>
      <c r="AG107" s="15"/>
      <c r="AH107" s="15"/>
      <c r="AI107" s="46"/>
      <c r="AJ107" s="51" t="s">
        <v>67</v>
      </c>
      <c r="AK107" s="51" t="s">
        <v>67</v>
      </c>
      <c r="AL107" s="15"/>
      <c r="AM107" s="51" t="s">
        <v>67</v>
      </c>
      <c r="AN107" s="51" t="s">
        <v>67</v>
      </c>
      <c r="AO107" s="50" t="s">
        <v>9554</v>
      </c>
    </row>
    <row r="108" spans="1:41" hidden="1" x14ac:dyDescent="0.25">
      <c r="A108" s="51" t="s">
        <v>2138</v>
      </c>
      <c r="B108" s="51" t="s">
        <v>1919</v>
      </c>
      <c r="C108" s="54" t="s">
        <v>605</v>
      </c>
      <c r="D108" s="51" t="s">
        <v>1920</v>
      </c>
      <c r="E108" s="20">
        <v>10000</v>
      </c>
      <c r="F108" s="20">
        <v>1206.06</v>
      </c>
      <c r="G108" s="20">
        <v>3793.94</v>
      </c>
      <c r="H108" s="20">
        <v>0</v>
      </c>
      <c r="I108" s="20">
        <v>1206.06</v>
      </c>
      <c r="J108" s="51" t="s">
        <v>2654</v>
      </c>
      <c r="K108" s="15">
        <v>0</v>
      </c>
      <c r="L108" s="51" t="s">
        <v>2371</v>
      </c>
      <c r="M108" s="51" t="s">
        <v>1921</v>
      </c>
      <c r="N108" s="51" t="s">
        <v>1922</v>
      </c>
      <c r="O108" s="51" t="s">
        <v>67</v>
      </c>
      <c r="P108" s="51" t="s">
        <v>67</v>
      </c>
      <c r="Q108" s="45">
        <v>46235.05055547454</v>
      </c>
      <c r="R108" s="46">
        <v>46305</v>
      </c>
      <c r="S108" s="46">
        <v>46300</v>
      </c>
      <c r="T108" s="51" t="s">
        <v>6119</v>
      </c>
      <c r="U108" s="15"/>
      <c r="V108" s="15"/>
      <c r="W108" s="15"/>
      <c r="X108" s="15"/>
      <c r="Y108" s="15"/>
      <c r="Z108" s="15"/>
      <c r="AA108" s="46"/>
      <c r="AB108" s="15"/>
      <c r="AC108" s="15"/>
      <c r="AD108" s="15"/>
      <c r="AE108" s="15"/>
      <c r="AF108" s="15"/>
      <c r="AG108" s="15"/>
      <c r="AH108" s="15"/>
      <c r="AI108" s="46"/>
      <c r="AJ108" s="51" t="s">
        <v>67</v>
      </c>
      <c r="AK108" s="51" t="s">
        <v>67</v>
      </c>
      <c r="AL108" s="15"/>
      <c r="AM108" s="51" t="s">
        <v>67</v>
      </c>
      <c r="AN108" s="51" t="s">
        <v>67</v>
      </c>
      <c r="AO108" s="50" t="s">
        <v>9554</v>
      </c>
    </row>
    <row r="109" spans="1:41" hidden="1" x14ac:dyDescent="0.25">
      <c r="A109" s="51" t="s">
        <v>2139</v>
      </c>
      <c r="B109" s="51" t="s">
        <v>1319</v>
      </c>
      <c r="C109" s="54" t="s">
        <v>605</v>
      </c>
      <c r="D109" s="51" t="s">
        <v>1320</v>
      </c>
      <c r="E109" s="20">
        <v>10000</v>
      </c>
      <c r="F109" s="20">
        <v>1206.06</v>
      </c>
      <c r="G109" s="20">
        <v>3793.94</v>
      </c>
      <c r="H109" s="20">
        <v>0</v>
      </c>
      <c r="I109" s="20">
        <v>1206.06</v>
      </c>
      <c r="J109" s="51" t="s">
        <v>2654</v>
      </c>
      <c r="K109" s="15">
        <v>0</v>
      </c>
      <c r="L109" s="51" t="s">
        <v>2371</v>
      </c>
      <c r="M109" s="51" t="s">
        <v>1321</v>
      </c>
      <c r="N109" s="51" t="s">
        <v>1322</v>
      </c>
      <c r="O109" s="51" t="s">
        <v>67</v>
      </c>
      <c r="P109" s="51" t="s">
        <v>67</v>
      </c>
      <c r="Q109" s="45">
        <v>46235.099009027777</v>
      </c>
      <c r="R109" s="46">
        <v>46305</v>
      </c>
      <c r="S109" s="46">
        <v>46300</v>
      </c>
      <c r="T109" s="51" t="s">
        <v>6119</v>
      </c>
      <c r="U109" s="15"/>
      <c r="V109" s="15"/>
      <c r="W109" s="15"/>
      <c r="X109" s="15"/>
      <c r="Y109" s="15"/>
      <c r="Z109" s="15"/>
      <c r="AA109" s="46"/>
      <c r="AB109" s="15"/>
      <c r="AC109" s="15"/>
      <c r="AD109" s="15"/>
      <c r="AE109" s="15"/>
      <c r="AF109" s="15"/>
      <c r="AG109" s="15"/>
      <c r="AH109" s="15"/>
      <c r="AI109" s="46"/>
      <c r="AJ109" s="51" t="s">
        <v>67</v>
      </c>
      <c r="AK109" s="51" t="s">
        <v>67</v>
      </c>
      <c r="AL109" s="15"/>
      <c r="AM109" s="51" t="s">
        <v>67</v>
      </c>
      <c r="AN109" s="51" t="s">
        <v>67</v>
      </c>
      <c r="AO109" s="50" t="s">
        <v>9554</v>
      </c>
    </row>
    <row r="110" spans="1:41" hidden="1" x14ac:dyDescent="0.25">
      <c r="A110" s="51" t="s">
        <v>2140</v>
      </c>
      <c r="B110" s="51" t="s">
        <v>1388</v>
      </c>
      <c r="C110" s="54" t="s">
        <v>611</v>
      </c>
      <c r="D110" s="51" t="s">
        <v>1389</v>
      </c>
      <c r="E110" s="20">
        <v>639.69000000000005</v>
      </c>
      <c r="F110" s="20">
        <v>675.13</v>
      </c>
      <c r="G110" s="20">
        <v>6994.18</v>
      </c>
      <c r="H110" s="20">
        <v>562.03</v>
      </c>
      <c r="I110" s="20">
        <v>675.13</v>
      </c>
      <c r="J110" s="51" t="s">
        <v>6727</v>
      </c>
      <c r="K110" s="15">
        <v>32</v>
      </c>
      <c r="L110" s="51" t="s">
        <v>2369</v>
      </c>
      <c r="M110" s="51" t="s">
        <v>1390</v>
      </c>
      <c r="N110" s="51" t="s">
        <v>1340</v>
      </c>
      <c r="O110" s="51" t="s">
        <v>67</v>
      </c>
      <c r="P110" s="51" t="s">
        <v>67</v>
      </c>
      <c r="Q110" s="45">
        <v>46235.110217638889</v>
      </c>
      <c r="R110" s="46">
        <v>46320</v>
      </c>
      <c r="S110" s="46">
        <v>46315</v>
      </c>
      <c r="T110" s="51" t="s">
        <v>6119</v>
      </c>
      <c r="U110" s="15">
        <v>123.38</v>
      </c>
      <c r="V110" s="15">
        <v>569.46</v>
      </c>
      <c r="W110" s="15">
        <v>5.27</v>
      </c>
      <c r="X110" s="15">
        <v>2.16</v>
      </c>
      <c r="Y110" s="15">
        <v>1.661502</v>
      </c>
      <c r="Z110" s="15">
        <v>6</v>
      </c>
      <c r="AA110" s="46">
        <v>46259</v>
      </c>
      <c r="AB110" s="15"/>
      <c r="AC110" s="15"/>
      <c r="AD110" s="15"/>
      <c r="AE110" s="15"/>
      <c r="AF110" s="15"/>
      <c r="AG110" s="15"/>
      <c r="AH110" s="15"/>
      <c r="AI110" s="46"/>
      <c r="AJ110" s="51" t="s">
        <v>6121</v>
      </c>
      <c r="AK110" s="51" t="s">
        <v>6121</v>
      </c>
      <c r="AL110" s="15">
        <v>123.38</v>
      </c>
      <c r="AM110" s="51" t="s">
        <v>67</v>
      </c>
      <c r="AN110" s="51" t="s">
        <v>67</v>
      </c>
      <c r="AO110" s="50" t="s">
        <v>9554</v>
      </c>
    </row>
    <row r="111" spans="1:41" hidden="1" x14ac:dyDescent="0.25">
      <c r="A111" s="51" t="s">
        <v>2141</v>
      </c>
      <c r="B111" s="51" t="s">
        <v>2125</v>
      </c>
      <c r="C111" s="54" t="s">
        <v>611</v>
      </c>
      <c r="D111" s="51" t="s">
        <v>2126</v>
      </c>
      <c r="E111" s="20">
        <v>8851.0499999999993</v>
      </c>
      <c r="F111" s="20">
        <v>11.81</v>
      </c>
      <c r="G111" s="20">
        <v>7379.08</v>
      </c>
      <c r="H111" s="20">
        <v>496.07</v>
      </c>
      <c r="I111" s="20">
        <v>11.81</v>
      </c>
      <c r="J111" s="51" t="s">
        <v>6724</v>
      </c>
      <c r="K111" s="15">
        <v>0</v>
      </c>
      <c r="L111" s="51" t="s">
        <v>2371</v>
      </c>
      <c r="M111" s="51" t="s">
        <v>2127</v>
      </c>
      <c r="N111" s="51" t="s">
        <v>1340</v>
      </c>
      <c r="O111" s="51" t="s">
        <v>67</v>
      </c>
      <c r="P111" s="51" t="s">
        <v>67</v>
      </c>
      <c r="Q111" s="45">
        <v>46235.110344675923</v>
      </c>
      <c r="R111" s="46">
        <v>46320</v>
      </c>
      <c r="S111" s="46">
        <v>46315</v>
      </c>
      <c r="T111" s="51" t="s">
        <v>6119</v>
      </c>
      <c r="U111" s="15">
        <v>108.91</v>
      </c>
      <c r="V111" s="15">
        <v>502.64</v>
      </c>
      <c r="W111" s="15">
        <v>4.66</v>
      </c>
      <c r="X111" s="15">
        <v>1.91</v>
      </c>
      <c r="Y111" s="15">
        <v>1.6623939999999999</v>
      </c>
      <c r="Z111" s="15">
        <v>6</v>
      </c>
      <c r="AA111" s="46">
        <v>46259</v>
      </c>
      <c r="AB111" s="15"/>
      <c r="AC111" s="15"/>
      <c r="AD111" s="15"/>
      <c r="AE111" s="15"/>
      <c r="AF111" s="15"/>
      <c r="AG111" s="15"/>
      <c r="AH111" s="15"/>
      <c r="AI111" s="46"/>
      <c r="AJ111" s="51" t="s">
        <v>67</v>
      </c>
      <c r="AK111" s="51" t="s">
        <v>6121</v>
      </c>
      <c r="AL111" s="15">
        <v>108.91</v>
      </c>
      <c r="AM111" s="51" t="s">
        <v>67</v>
      </c>
      <c r="AN111" s="51" t="s">
        <v>67</v>
      </c>
      <c r="AO111" s="50" t="s">
        <v>9554</v>
      </c>
    </row>
    <row r="112" spans="1:41" hidden="1" x14ac:dyDescent="0.25">
      <c r="A112" s="51" t="s">
        <v>2142</v>
      </c>
      <c r="B112" s="51" t="s">
        <v>1633</v>
      </c>
      <c r="C112" s="54" t="s">
        <v>607</v>
      </c>
      <c r="D112" s="51" t="s">
        <v>1634</v>
      </c>
      <c r="E112" s="20">
        <v>1001.85</v>
      </c>
      <c r="F112" s="20">
        <v>4703.38</v>
      </c>
      <c r="G112" s="20">
        <v>4295.03</v>
      </c>
      <c r="H112" s="20">
        <v>4272.1499999999996</v>
      </c>
      <c r="I112" s="20">
        <v>4703.38</v>
      </c>
      <c r="J112" s="51" t="s">
        <v>6727</v>
      </c>
      <c r="K112" s="15">
        <v>42</v>
      </c>
      <c r="L112" s="51" t="s">
        <v>2369</v>
      </c>
      <c r="M112" s="51" t="s">
        <v>1635</v>
      </c>
      <c r="N112" s="51" t="s">
        <v>1340</v>
      </c>
      <c r="O112" s="51" t="s">
        <v>67</v>
      </c>
      <c r="P112" s="51" t="s">
        <v>67</v>
      </c>
      <c r="Q112" s="45">
        <v>46235.110576238425</v>
      </c>
      <c r="R112" s="46">
        <v>46310</v>
      </c>
      <c r="S112" s="46">
        <v>46305</v>
      </c>
      <c r="T112" s="51" t="s">
        <v>6119</v>
      </c>
      <c r="U112" s="15">
        <v>848.05</v>
      </c>
      <c r="V112" s="15">
        <v>3921.84</v>
      </c>
      <c r="W112" s="15">
        <v>36.08</v>
      </c>
      <c r="X112" s="15">
        <v>14.9</v>
      </c>
      <c r="Y112" s="15">
        <v>1.662307</v>
      </c>
      <c r="Z112" s="15">
        <v>6</v>
      </c>
      <c r="AA112" s="46">
        <v>46280</v>
      </c>
      <c r="AB112" s="15"/>
      <c r="AC112" s="15"/>
      <c r="AD112" s="15"/>
      <c r="AE112" s="15"/>
      <c r="AF112" s="15"/>
      <c r="AG112" s="15"/>
      <c r="AH112" s="15"/>
      <c r="AI112" s="46"/>
      <c r="AJ112" s="51" t="s">
        <v>6121</v>
      </c>
      <c r="AK112" s="51" t="s">
        <v>6121</v>
      </c>
      <c r="AL112" s="15">
        <v>848.05</v>
      </c>
      <c r="AM112" s="51" t="s">
        <v>67</v>
      </c>
      <c r="AN112" s="51" t="s">
        <v>67</v>
      </c>
      <c r="AO112" s="50" t="s">
        <v>9554</v>
      </c>
    </row>
    <row r="113" spans="1:41" hidden="1" x14ac:dyDescent="0.25">
      <c r="A113" s="51" t="s">
        <v>2143</v>
      </c>
      <c r="B113" s="51" t="s">
        <v>1651</v>
      </c>
      <c r="C113" s="54" t="s">
        <v>611</v>
      </c>
      <c r="D113" s="51" t="s">
        <v>1649</v>
      </c>
      <c r="E113" s="20">
        <v>5305.35</v>
      </c>
      <c r="F113" s="20">
        <v>92.13</v>
      </c>
      <c r="G113" s="20">
        <v>4310.83</v>
      </c>
      <c r="H113" s="20">
        <v>4543</v>
      </c>
      <c r="I113" s="20">
        <v>92.13</v>
      </c>
      <c r="J113" s="51" t="s">
        <v>6724</v>
      </c>
      <c r="K113" s="15">
        <v>0</v>
      </c>
      <c r="L113" s="51" t="s">
        <v>2371</v>
      </c>
      <c r="M113" s="51" t="s">
        <v>1652</v>
      </c>
      <c r="N113" s="51" t="s">
        <v>1340</v>
      </c>
      <c r="O113" s="51" t="s">
        <v>67</v>
      </c>
      <c r="P113" s="51" t="s">
        <v>67</v>
      </c>
      <c r="Q113" s="45">
        <v>46235.110649768518</v>
      </c>
      <c r="R113" s="46">
        <v>46320</v>
      </c>
      <c r="S113" s="46">
        <v>46315</v>
      </c>
      <c r="T113" s="51" t="s">
        <v>6119</v>
      </c>
      <c r="U113" s="15"/>
      <c r="V113" s="15"/>
      <c r="W113" s="15"/>
      <c r="X113" s="15"/>
      <c r="Y113" s="15"/>
      <c r="Z113" s="15"/>
      <c r="AA113" s="46"/>
      <c r="AB113" s="15"/>
      <c r="AC113" s="15"/>
      <c r="AD113" s="15"/>
      <c r="AE113" s="15"/>
      <c r="AF113" s="15"/>
      <c r="AG113" s="15"/>
      <c r="AH113" s="15"/>
      <c r="AI113" s="46"/>
      <c r="AJ113" s="51" t="s">
        <v>67</v>
      </c>
      <c r="AK113" s="51" t="s">
        <v>67</v>
      </c>
      <c r="AL113" s="15"/>
      <c r="AM113" s="51" t="s">
        <v>67</v>
      </c>
      <c r="AN113" s="51" t="s">
        <v>67</v>
      </c>
      <c r="AO113" s="50" t="s">
        <v>9554</v>
      </c>
    </row>
    <row r="114" spans="1:41" hidden="1" x14ac:dyDescent="0.25">
      <c r="A114" s="51" t="s">
        <v>2144</v>
      </c>
      <c r="B114" s="51" t="s">
        <v>1653</v>
      </c>
      <c r="C114" s="54" t="s">
        <v>608</v>
      </c>
      <c r="D114" s="51" t="s">
        <v>1654</v>
      </c>
      <c r="E114" s="20">
        <v>11583.44</v>
      </c>
      <c r="F114" s="20">
        <v>223.24</v>
      </c>
      <c r="G114" s="20">
        <v>18322.13</v>
      </c>
      <c r="H114" s="20">
        <v>426.73</v>
      </c>
      <c r="I114" s="20">
        <v>223.24</v>
      </c>
      <c r="J114" s="51" t="s">
        <v>6726</v>
      </c>
      <c r="K114" s="15">
        <v>0</v>
      </c>
      <c r="L114" s="51" t="s">
        <v>2371</v>
      </c>
      <c r="M114" s="51" t="s">
        <v>1655</v>
      </c>
      <c r="N114" s="51" t="s">
        <v>1340</v>
      </c>
      <c r="O114" s="51" t="s">
        <v>67</v>
      </c>
      <c r="P114" s="51" t="s">
        <v>67</v>
      </c>
      <c r="Q114" s="45">
        <v>46235.110796782406</v>
      </c>
      <c r="R114" s="46">
        <v>46315</v>
      </c>
      <c r="S114" s="46">
        <v>46310</v>
      </c>
      <c r="T114" s="51" t="s">
        <v>6119</v>
      </c>
      <c r="U114" s="15">
        <v>93.69</v>
      </c>
      <c r="V114" s="15">
        <v>432.39</v>
      </c>
      <c r="W114" s="15">
        <v>4.0199999999999996</v>
      </c>
      <c r="X114" s="15">
        <v>1.64</v>
      </c>
      <c r="Y114" s="15">
        <v>1.662739</v>
      </c>
      <c r="Z114" s="15">
        <v>6</v>
      </c>
      <c r="AA114" s="46">
        <v>46254</v>
      </c>
      <c r="AB114" s="15"/>
      <c r="AC114" s="15"/>
      <c r="AD114" s="15"/>
      <c r="AE114" s="15"/>
      <c r="AF114" s="15"/>
      <c r="AG114" s="15"/>
      <c r="AH114" s="15"/>
      <c r="AI114" s="46"/>
      <c r="AJ114" s="51" t="s">
        <v>67</v>
      </c>
      <c r="AK114" s="51" t="s">
        <v>6121</v>
      </c>
      <c r="AL114" s="15">
        <v>93.69</v>
      </c>
      <c r="AM114" s="51" t="s">
        <v>67</v>
      </c>
      <c r="AN114" s="51" t="s">
        <v>67</v>
      </c>
      <c r="AO114" s="50" t="s">
        <v>9554</v>
      </c>
    </row>
    <row r="115" spans="1:41" hidden="1" x14ac:dyDescent="0.25">
      <c r="A115" s="51" t="s">
        <v>2145</v>
      </c>
      <c r="B115" s="51" t="s">
        <v>1912</v>
      </c>
      <c r="C115" s="54" t="s">
        <v>607</v>
      </c>
      <c r="D115" s="51" t="s">
        <v>1910</v>
      </c>
      <c r="E115" s="20">
        <v>684.62</v>
      </c>
      <c r="F115" s="20">
        <v>4818.6499999999996</v>
      </c>
      <c r="G115" s="20">
        <v>11095.54</v>
      </c>
      <c r="H115" s="20">
        <v>4490.41</v>
      </c>
      <c r="I115" s="20">
        <v>4818.6499999999996</v>
      </c>
      <c r="J115" s="51" t="s">
        <v>6727</v>
      </c>
      <c r="K115" s="15">
        <v>11</v>
      </c>
      <c r="L115" s="51" t="s">
        <v>2369</v>
      </c>
      <c r="M115" s="51" t="s">
        <v>1913</v>
      </c>
      <c r="N115" s="51" t="s">
        <v>1340</v>
      </c>
      <c r="O115" s="51" t="s">
        <v>67</v>
      </c>
      <c r="P115" s="51" t="s">
        <v>67</v>
      </c>
      <c r="Q115" s="45">
        <v>46237.856307164351</v>
      </c>
      <c r="R115" s="46">
        <v>46310</v>
      </c>
      <c r="S115" s="46">
        <v>46305</v>
      </c>
      <c r="T115" s="51" t="s">
        <v>6119</v>
      </c>
      <c r="U115" s="15">
        <v>135.22</v>
      </c>
      <c r="V115" s="15">
        <v>625.30999999999995</v>
      </c>
      <c r="W115" s="15">
        <v>5.76</v>
      </c>
      <c r="X115" s="15">
        <v>0</v>
      </c>
      <c r="Y115" s="15">
        <v>1.625078</v>
      </c>
      <c r="Z115" s="15">
        <v>6</v>
      </c>
      <c r="AA115" s="46">
        <v>46280</v>
      </c>
      <c r="AB115" s="15"/>
      <c r="AC115" s="15"/>
      <c r="AD115" s="15"/>
      <c r="AE115" s="15"/>
      <c r="AF115" s="15"/>
      <c r="AG115" s="15"/>
      <c r="AH115" s="15"/>
      <c r="AI115" s="46"/>
      <c r="AJ115" s="51" t="s">
        <v>6121</v>
      </c>
      <c r="AK115" s="51" t="s">
        <v>6121</v>
      </c>
      <c r="AL115" s="15">
        <v>135.22</v>
      </c>
      <c r="AM115" s="51" t="s">
        <v>67</v>
      </c>
      <c r="AN115" s="51" t="s">
        <v>67</v>
      </c>
      <c r="AO115" s="50" t="s">
        <v>9554</v>
      </c>
    </row>
    <row r="116" spans="1:41" hidden="1" x14ac:dyDescent="0.25">
      <c r="A116" s="51" t="s">
        <v>2146</v>
      </c>
      <c r="B116" s="51" t="s">
        <v>2067</v>
      </c>
      <c r="C116" s="54" t="s">
        <v>608</v>
      </c>
      <c r="D116" s="51" t="s">
        <v>2065</v>
      </c>
      <c r="E116" s="20">
        <v>17431.89</v>
      </c>
      <c r="F116" s="20">
        <v>0</v>
      </c>
      <c r="G116" s="20">
        <v>18255.72</v>
      </c>
      <c r="H116" s="20">
        <v>4603.01</v>
      </c>
      <c r="I116" s="20">
        <v>209.3</v>
      </c>
      <c r="J116" s="51" t="s">
        <v>6726</v>
      </c>
      <c r="K116" s="15">
        <v>0</v>
      </c>
      <c r="L116" s="51" t="s">
        <v>2371</v>
      </c>
      <c r="M116" s="51" t="s">
        <v>2068</v>
      </c>
      <c r="N116" s="51" t="s">
        <v>1340</v>
      </c>
      <c r="O116" s="51" t="s">
        <v>67</v>
      </c>
      <c r="P116" s="51" t="s">
        <v>67</v>
      </c>
      <c r="Q116" s="45">
        <v>46237.856593946759</v>
      </c>
      <c r="R116" s="46">
        <v>46315</v>
      </c>
      <c r="S116" s="46">
        <v>46310</v>
      </c>
      <c r="T116" s="51" t="s">
        <v>6119</v>
      </c>
      <c r="U116" s="15"/>
      <c r="V116" s="15"/>
      <c r="W116" s="15"/>
      <c r="X116" s="15"/>
      <c r="Y116" s="15"/>
      <c r="Z116" s="15"/>
      <c r="AA116" s="46"/>
      <c r="AB116" s="15"/>
      <c r="AC116" s="15"/>
      <c r="AD116" s="15"/>
      <c r="AE116" s="15"/>
      <c r="AF116" s="15"/>
      <c r="AG116" s="15"/>
      <c r="AH116" s="15"/>
      <c r="AI116" s="46"/>
      <c r="AJ116" s="51" t="s">
        <v>67</v>
      </c>
      <c r="AK116" s="51" t="s">
        <v>67</v>
      </c>
      <c r="AL116" s="15"/>
      <c r="AM116" s="51" t="s">
        <v>67</v>
      </c>
      <c r="AN116" s="51" t="s">
        <v>67</v>
      </c>
      <c r="AO116" s="50" t="s">
        <v>9554</v>
      </c>
    </row>
    <row r="117" spans="1:41" hidden="1" x14ac:dyDescent="0.25">
      <c r="A117" s="51" t="s">
        <v>2147</v>
      </c>
      <c r="B117" s="51" t="s">
        <v>1827</v>
      </c>
      <c r="C117" s="54" t="s">
        <v>611</v>
      </c>
      <c r="D117" s="51" t="s">
        <v>1828</v>
      </c>
      <c r="E117" s="20">
        <v>9296.61</v>
      </c>
      <c r="F117" s="20">
        <v>0</v>
      </c>
      <c r="G117" s="20">
        <v>16604.02</v>
      </c>
      <c r="H117" s="20">
        <v>0</v>
      </c>
      <c r="I117" s="20">
        <v>756.7</v>
      </c>
      <c r="J117" s="51" t="s">
        <v>2654</v>
      </c>
      <c r="K117" s="15">
        <v>0</v>
      </c>
      <c r="L117" s="51" t="s">
        <v>2371</v>
      </c>
      <c r="M117" s="51" t="s">
        <v>1829</v>
      </c>
      <c r="N117" s="51" t="s">
        <v>1340</v>
      </c>
      <c r="O117" s="51" t="s">
        <v>67</v>
      </c>
      <c r="P117" s="51" t="s">
        <v>67</v>
      </c>
      <c r="Q117" s="45">
        <v>46237.856802858798</v>
      </c>
      <c r="R117" s="46">
        <v>46320</v>
      </c>
      <c r="S117" s="46">
        <v>46315</v>
      </c>
      <c r="T117" s="51" t="s">
        <v>6119</v>
      </c>
      <c r="U117" s="15"/>
      <c r="V117" s="15"/>
      <c r="W117" s="15"/>
      <c r="X117" s="15"/>
      <c r="Y117" s="15"/>
      <c r="Z117" s="15"/>
      <c r="AA117" s="46"/>
      <c r="AB117" s="15"/>
      <c r="AC117" s="15"/>
      <c r="AD117" s="15"/>
      <c r="AE117" s="15"/>
      <c r="AF117" s="15"/>
      <c r="AG117" s="15"/>
      <c r="AH117" s="15"/>
      <c r="AI117" s="46"/>
      <c r="AJ117" s="51" t="s">
        <v>67</v>
      </c>
      <c r="AK117" s="51" t="s">
        <v>67</v>
      </c>
      <c r="AL117" s="15"/>
      <c r="AM117" s="51" t="s">
        <v>67</v>
      </c>
      <c r="AN117" s="51" t="s">
        <v>67</v>
      </c>
      <c r="AO117" s="50" t="s">
        <v>9554</v>
      </c>
    </row>
    <row r="118" spans="1:41" hidden="1" x14ac:dyDescent="0.25">
      <c r="A118" s="51" t="s">
        <v>2148</v>
      </c>
      <c r="B118" s="51" t="s">
        <v>1680</v>
      </c>
      <c r="C118" s="54" t="s">
        <v>5596</v>
      </c>
      <c r="D118" s="51" t="s">
        <v>1681</v>
      </c>
      <c r="E118" s="20">
        <v>8217.57</v>
      </c>
      <c r="F118" s="20">
        <v>4773.68</v>
      </c>
      <c r="G118" s="20">
        <v>10233.280000000001</v>
      </c>
      <c r="H118" s="20">
        <v>4230.8100000000004</v>
      </c>
      <c r="I118" s="20">
        <v>4773.68</v>
      </c>
      <c r="J118" s="51" t="s">
        <v>6727</v>
      </c>
      <c r="K118" s="15">
        <v>21</v>
      </c>
      <c r="L118" s="51" t="s">
        <v>2369</v>
      </c>
      <c r="M118" s="51" t="s">
        <v>1682</v>
      </c>
      <c r="N118" s="51" t="s">
        <v>1340</v>
      </c>
      <c r="O118" s="51" t="s">
        <v>67</v>
      </c>
      <c r="P118" s="51" t="s">
        <v>67</v>
      </c>
      <c r="Q118" s="45">
        <v>46237.857035266206</v>
      </c>
      <c r="R118" s="46">
        <v>46300</v>
      </c>
      <c r="S118" s="46">
        <v>46295</v>
      </c>
      <c r="T118" s="51" t="s">
        <v>6119</v>
      </c>
      <c r="U118" s="15">
        <v>78.56</v>
      </c>
      <c r="V118" s="15">
        <v>363.29</v>
      </c>
      <c r="W118" s="15">
        <v>3.34</v>
      </c>
      <c r="X118" s="15">
        <v>0</v>
      </c>
      <c r="Y118" s="15">
        <v>1.62496</v>
      </c>
      <c r="Z118" s="15">
        <v>6</v>
      </c>
      <c r="AA118" s="46">
        <v>46270</v>
      </c>
      <c r="AB118" s="15"/>
      <c r="AC118" s="15"/>
      <c r="AD118" s="15"/>
      <c r="AE118" s="15"/>
      <c r="AF118" s="15"/>
      <c r="AG118" s="15"/>
      <c r="AH118" s="15"/>
      <c r="AI118" s="46"/>
      <c r="AJ118" s="51" t="s">
        <v>6121</v>
      </c>
      <c r="AK118" s="51" t="s">
        <v>6121</v>
      </c>
      <c r="AL118" s="15">
        <v>78.56</v>
      </c>
      <c r="AM118" s="51" t="s">
        <v>67</v>
      </c>
      <c r="AN118" s="51" t="s">
        <v>67</v>
      </c>
      <c r="AO118" s="50" t="s">
        <v>9554</v>
      </c>
    </row>
    <row r="119" spans="1:41" hidden="1" x14ac:dyDescent="0.25">
      <c r="A119" s="51" t="s">
        <v>2149</v>
      </c>
      <c r="B119" s="51" t="s">
        <v>1337</v>
      </c>
      <c r="C119" s="54" t="s">
        <v>5596</v>
      </c>
      <c r="D119" s="51" t="s">
        <v>1338</v>
      </c>
      <c r="E119" s="20">
        <v>8029.59</v>
      </c>
      <c r="F119" s="20">
        <v>4150.57</v>
      </c>
      <c r="G119" s="20">
        <v>11448.16</v>
      </c>
      <c r="H119" s="20">
        <v>4459.82</v>
      </c>
      <c r="I119" s="20">
        <v>4150.57</v>
      </c>
      <c r="J119" s="51" t="s">
        <v>6726</v>
      </c>
      <c r="K119" s="15">
        <v>0</v>
      </c>
      <c r="L119" s="51" t="s">
        <v>2371</v>
      </c>
      <c r="M119" s="51" t="s">
        <v>1339</v>
      </c>
      <c r="N119" s="51" t="s">
        <v>1340</v>
      </c>
      <c r="O119" s="51" t="s">
        <v>67</v>
      </c>
      <c r="P119" s="51" t="s">
        <v>67</v>
      </c>
      <c r="Q119" s="45">
        <v>46238.635651157405</v>
      </c>
      <c r="R119" s="46">
        <v>46300</v>
      </c>
      <c r="S119" s="46">
        <v>46295</v>
      </c>
      <c r="T119" s="51" t="s">
        <v>6119</v>
      </c>
      <c r="U119" s="15">
        <v>128.54</v>
      </c>
      <c r="V119" s="15">
        <v>594.44000000000005</v>
      </c>
      <c r="W119" s="15">
        <v>5.48</v>
      </c>
      <c r="X119" s="15">
        <v>0</v>
      </c>
      <c r="Y119" s="15">
        <v>1.6248069999999999</v>
      </c>
      <c r="Z119" s="15">
        <v>6</v>
      </c>
      <c r="AA119" s="46">
        <v>46270</v>
      </c>
      <c r="AB119" s="15"/>
      <c r="AC119" s="15"/>
      <c r="AD119" s="15"/>
      <c r="AE119" s="15"/>
      <c r="AF119" s="15"/>
      <c r="AG119" s="15"/>
      <c r="AH119" s="15"/>
      <c r="AI119" s="46"/>
      <c r="AJ119" s="51" t="s">
        <v>67</v>
      </c>
      <c r="AK119" s="51" t="s">
        <v>6121</v>
      </c>
      <c r="AL119" s="15">
        <v>128.54</v>
      </c>
      <c r="AM119" s="51" t="s">
        <v>67</v>
      </c>
      <c r="AN119" s="51" t="s">
        <v>67</v>
      </c>
      <c r="AO119" s="50" t="s">
        <v>9554</v>
      </c>
    </row>
    <row r="120" spans="1:41" hidden="1" x14ac:dyDescent="0.25">
      <c r="A120" s="51" t="s">
        <v>2150</v>
      </c>
      <c r="B120" s="51" t="s">
        <v>2106</v>
      </c>
      <c r="C120" s="54" t="s">
        <v>605</v>
      </c>
      <c r="D120" s="51" t="s">
        <v>2107</v>
      </c>
      <c r="E120" s="20">
        <v>10406.83</v>
      </c>
      <c r="F120" s="20">
        <v>0</v>
      </c>
      <c r="G120" s="20">
        <v>7608.38</v>
      </c>
      <c r="H120" s="20">
        <v>0</v>
      </c>
      <c r="I120" s="20">
        <v>723.78</v>
      </c>
      <c r="J120" s="51" t="s">
        <v>2654</v>
      </c>
      <c r="K120" s="15">
        <v>0</v>
      </c>
      <c r="L120" s="51" t="s">
        <v>2371</v>
      </c>
      <c r="M120" s="51" t="s">
        <v>2108</v>
      </c>
      <c r="N120" s="51" t="s">
        <v>1340</v>
      </c>
      <c r="O120" s="51" t="s">
        <v>67</v>
      </c>
      <c r="P120" s="51" t="s">
        <v>67</v>
      </c>
      <c r="Q120" s="45">
        <v>46238.635910590281</v>
      </c>
      <c r="R120" s="46">
        <v>46305</v>
      </c>
      <c r="S120" s="46">
        <v>46300</v>
      </c>
      <c r="T120" s="51" t="s">
        <v>6119</v>
      </c>
      <c r="U120" s="15"/>
      <c r="V120" s="15"/>
      <c r="W120" s="15"/>
      <c r="X120" s="15"/>
      <c r="Y120" s="15"/>
      <c r="Z120" s="15"/>
      <c r="AA120" s="46"/>
      <c r="AB120" s="15"/>
      <c r="AC120" s="15"/>
      <c r="AD120" s="15"/>
      <c r="AE120" s="15"/>
      <c r="AF120" s="15"/>
      <c r="AG120" s="15"/>
      <c r="AH120" s="15"/>
      <c r="AI120" s="46"/>
      <c r="AJ120" s="51" t="s">
        <v>67</v>
      </c>
      <c r="AK120" s="51" t="s">
        <v>67</v>
      </c>
      <c r="AL120" s="15"/>
      <c r="AM120" s="51" t="s">
        <v>67</v>
      </c>
      <c r="AN120" s="51" t="s">
        <v>67</v>
      </c>
      <c r="AO120" s="50" t="s">
        <v>9554</v>
      </c>
    </row>
    <row r="121" spans="1:41" hidden="1" x14ac:dyDescent="0.25">
      <c r="A121" s="51" t="s">
        <v>2151</v>
      </c>
      <c r="B121" s="51" t="s">
        <v>2114</v>
      </c>
      <c r="C121" s="54" t="s">
        <v>605</v>
      </c>
      <c r="D121" s="51" t="s">
        <v>2115</v>
      </c>
      <c r="E121" s="20">
        <v>13725.29</v>
      </c>
      <c r="F121" s="20">
        <v>4214.38</v>
      </c>
      <c r="G121" s="20">
        <v>15082.45</v>
      </c>
      <c r="H121" s="20">
        <v>4580.28</v>
      </c>
      <c r="I121" s="20">
        <v>4214.38</v>
      </c>
      <c r="J121" s="51" t="s">
        <v>6725</v>
      </c>
      <c r="K121" s="15">
        <v>0</v>
      </c>
      <c r="L121" s="51" t="s">
        <v>2371</v>
      </c>
      <c r="M121" s="51" t="s">
        <v>2116</v>
      </c>
      <c r="N121" s="51" t="s">
        <v>1340</v>
      </c>
      <c r="O121" s="51" t="s">
        <v>67</v>
      </c>
      <c r="P121" s="51" t="s">
        <v>67</v>
      </c>
      <c r="Q121" s="45">
        <v>46238.819167268521</v>
      </c>
      <c r="R121" s="46">
        <v>46305</v>
      </c>
      <c r="S121" s="46">
        <v>46300</v>
      </c>
      <c r="T121" s="51" t="s">
        <v>6119</v>
      </c>
      <c r="U121" s="15">
        <v>154.83000000000001</v>
      </c>
      <c r="V121" s="15">
        <v>716.01</v>
      </c>
      <c r="W121" s="15">
        <v>6.59</v>
      </c>
      <c r="X121" s="15">
        <v>0</v>
      </c>
      <c r="Y121" s="15">
        <v>1.624789</v>
      </c>
      <c r="Z121" s="15">
        <v>6</v>
      </c>
      <c r="AA121" s="46">
        <v>46275</v>
      </c>
      <c r="AB121" s="15"/>
      <c r="AC121" s="15"/>
      <c r="AD121" s="15"/>
      <c r="AE121" s="15"/>
      <c r="AF121" s="15"/>
      <c r="AG121" s="15"/>
      <c r="AH121" s="15"/>
      <c r="AI121" s="46"/>
      <c r="AJ121" s="51" t="s">
        <v>67</v>
      </c>
      <c r="AK121" s="51" t="s">
        <v>6121</v>
      </c>
      <c r="AL121" s="15">
        <v>154.83000000000001</v>
      </c>
      <c r="AM121" s="51" t="s">
        <v>67</v>
      </c>
      <c r="AN121" s="51" t="s">
        <v>67</v>
      </c>
      <c r="AO121" s="50" t="s">
        <v>9554</v>
      </c>
    </row>
    <row r="122" spans="1:41" hidden="1" x14ac:dyDescent="0.25">
      <c r="A122" s="51" t="s">
        <v>2152</v>
      </c>
      <c r="B122" s="51" t="s">
        <v>1411</v>
      </c>
      <c r="C122" s="54" t="s">
        <v>5596</v>
      </c>
      <c r="D122" s="51" t="s">
        <v>1412</v>
      </c>
      <c r="E122" s="20">
        <v>11765.4</v>
      </c>
      <c r="F122" s="20">
        <v>874.45</v>
      </c>
      <c r="G122" s="20">
        <v>7216.13</v>
      </c>
      <c r="H122" s="20">
        <v>766.9</v>
      </c>
      <c r="I122" s="20">
        <v>874.45</v>
      </c>
      <c r="J122" s="51" t="s">
        <v>6727</v>
      </c>
      <c r="K122" s="15">
        <v>21</v>
      </c>
      <c r="L122" s="51" t="s">
        <v>2369</v>
      </c>
      <c r="M122" s="51" t="s">
        <v>1413</v>
      </c>
      <c r="N122" s="51" t="s">
        <v>1344</v>
      </c>
      <c r="O122" s="51" t="s">
        <v>67</v>
      </c>
      <c r="P122" s="51" t="s">
        <v>67</v>
      </c>
      <c r="Q122" s="45">
        <v>46239.950234618052</v>
      </c>
      <c r="R122" s="46">
        <v>46300</v>
      </c>
      <c r="S122" s="46">
        <v>46295</v>
      </c>
      <c r="T122" s="51" t="s">
        <v>6119</v>
      </c>
      <c r="U122" s="15">
        <v>168.01</v>
      </c>
      <c r="V122" s="15">
        <v>776.99</v>
      </c>
      <c r="W122" s="15">
        <v>7.14</v>
      </c>
      <c r="X122" s="15">
        <v>2.95</v>
      </c>
      <c r="Y122" s="15">
        <v>1.661907</v>
      </c>
      <c r="Z122" s="15">
        <v>6</v>
      </c>
      <c r="AA122" s="46">
        <v>46270</v>
      </c>
      <c r="AB122" s="15"/>
      <c r="AC122" s="15"/>
      <c r="AD122" s="15"/>
      <c r="AE122" s="15"/>
      <c r="AF122" s="15"/>
      <c r="AG122" s="15"/>
      <c r="AH122" s="15"/>
      <c r="AI122" s="46"/>
      <c r="AJ122" s="51" t="s">
        <v>6121</v>
      </c>
      <c r="AK122" s="51" t="s">
        <v>6121</v>
      </c>
      <c r="AL122" s="15">
        <v>168.01</v>
      </c>
      <c r="AM122" s="51" t="s">
        <v>67</v>
      </c>
      <c r="AN122" s="51" t="s">
        <v>67</v>
      </c>
      <c r="AO122" s="50" t="s">
        <v>9554</v>
      </c>
    </row>
    <row r="123" spans="1:41" hidden="1" x14ac:dyDescent="0.25">
      <c r="A123" s="51" t="s">
        <v>2153</v>
      </c>
      <c r="B123" s="51" t="s">
        <v>1719</v>
      </c>
      <c r="C123" s="54" t="s">
        <v>607</v>
      </c>
      <c r="D123" s="51" t="s">
        <v>1720</v>
      </c>
      <c r="E123" s="20">
        <v>4678.7</v>
      </c>
      <c r="F123" s="20">
        <v>92.13</v>
      </c>
      <c r="G123" s="20">
        <v>2998.55</v>
      </c>
      <c r="H123" s="20">
        <v>4582.0600000000004</v>
      </c>
      <c r="I123" s="20">
        <v>92.13</v>
      </c>
      <c r="J123" s="51" t="s">
        <v>6724</v>
      </c>
      <c r="K123" s="15">
        <v>0</v>
      </c>
      <c r="L123" s="51" t="s">
        <v>2371</v>
      </c>
      <c r="M123" s="51" t="s">
        <v>1721</v>
      </c>
      <c r="N123" s="51" t="s">
        <v>1340</v>
      </c>
      <c r="O123" s="51" t="s">
        <v>67</v>
      </c>
      <c r="P123" s="51" t="s">
        <v>67</v>
      </c>
      <c r="Q123" s="45">
        <v>46239.951312395831</v>
      </c>
      <c r="R123" s="46">
        <v>46310</v>
      </c>
      <c r="S123" s="46">
        <v>46305</v>
      </c>
      <c r="T123" s="51" t="s">
        <v>6119</v>
      </c>
      <c r="U123" s="15"/>
      <c r="V123" s="15"/>
      <c r="W123" s="15"/>
      <c r="X123" s="15"/>
      <c r="Y123" s="15"/>
      <c r="Z123" s="15"/>
      <c r="AA123" s="46"/>
      <c r="AB123" s="15"/>
      <c r="AC123" s="15"/>
      <c r="AD123" s="15"/>
      <c r="AE123" s="15"/>
      <c r="AF123" s="15"/>
      <c r="AG123" s="15"/>
      <c r="AH123" s="15"/>
      <c r="AI123" s="46"/>
      <c r="AJ123" s="51" t="s">
        <v>67</v>
      </c>
      <c r="AK123" s="51" t="s">
        <v>67</v>
      </c>
      <c r="AL123" s="15"/>
      <c r="AM123" s="51" t="s">
        <v>67</v>
      </c>
      <c r="AN123" s="51" t="s">
        <v>67</v>
      </c>
      <c r="AO123" s="50" t="s">
        <v>9554</v>
      </c>
    </row>
    <row r="124" spans="1:41" hidden="1" x14ac:dyDescent="0.25">
      <c r="A124" s="51" t="s">
        <v>2154</v>
      </c>
      <c r="B124" s="51" t="s">
        <v>2117</v>
      </c>
      <c r="C124" s="54" t="s">
        <v>605</v>
      </c>
      <c r="D124" s="51" t="s">
        <v>2118</v>
      </c>
      <c r="E124" s="20">
        <v>12216.95</v>
      </c>
      <c r="F124" s="20">
        <v>1076.8900000000001</v>
      </c>
      <c r="G124" s="20">
        <v>7844.9</v>
      </c>
      <c r="H124" s="20">
        <v>967.97</v>
      </c>
      <c r="I124" s="20">
        <v>1076.8900000000001</v>
      </c>
      <c r="J124" s="51" t="s">
        <v>6727</v>
      </c>
      <c r="K124" s="15">
        <v>16</v>
      </c>
      <c r="L124" s="51" t="s">
        <v>2369</v>
      </c>
      <c r="M124" s="51" t="s">
        <v>2119</v>
      </c>
      <c r="N124" s="51" t="s">
        <v>1344</v>
      </c>
      <c r="O124" s="51" t="s">
        <v>67</v>
      </c>
      <c r="P124" s="51" t="s">
        <v>67</v>
      </c>
      <c r="Q124" s="45">
        <v>46242.955038877313</v>
      </c>
      <c r="R124" s="46">
        <v>46305</v>
      </c>
      <c r="S124" s="46">
        <v>46300</v>
      </c>
      <c r="T124" s="51" t="s">
        <v>6119</v>
      </c>
      <c r="U124" s="15">
        <v>212.07</v>
      </c>
      <c r="V124" s="15">
        <v>980.71</v>
      </c>
      <c r="W124" s="15">
        <v>9.01</v>
      </c>
      <c r="X124" s="15">
        <v>3.73</v>
      </c>
      <c r="Y124" s="15">
        <v>1.6623829999999999</v>
      </c>
      <c r="Z124" s="15">
        <v>6</v>
      </c>
      <c r="AA124" s="46">
        <v>46275</v>
      </c>
      <c r="AB124" s="15"/>
      <c r="AC124" s="15"/>
      <c r="AD124" s="15"/>
      <c r="AE124" s="15"/>
      <c r="AF124" s="15"/>
      <c r="AG124" s="15"/>
      <c r="AH124" s="15"/>
      <c r="AI124" s="46"/>
      <c r="AJ124" s="51" t="s">
        <v>6121</v>
      </c>
      <c r="AK124" s="51" t="s">
        <v>6121</v>
      </c>
      <c r="AL124" s="15">
        <v>212.07</v>
      </c>
      <c r="AM124" s="51" t="s">
        <v>67</v>
      </c>
      <c r="AN124" s="51" t="s">
        <v>67</v>
      </c>
      <c r="AO124" s="50" t="s">
        <v>9554</v>
      </c>
    </row>
    <row r="125" spans="1:41" hidden="1" x14ac:dyDescent="0.25">
      <c r="A125" s="51" t="s">
        <v>2155</v>
      </c>
      <c r="B125" s="51" t="s">
        <v>2057</v>
      </c>
      <c r="C125" s="54" t="s">
        <v>607</v>
      </c>
      <c r="D125" s="51" t="s">
        <v>2058</v>
      </c>
      <c r="E125" s="20">
        <v>977.93</v>
      </c>
      <c r="F125" s="20">
        <v>423.42</v>
      </c>
      <c r="G125" s="20">
        <v>3825.24</v>
      </c>
      <c r="H125" s="20">
        <v>390.31</v>
      </c>
      <c r="I125" s="20">
        <v>423.42</v>
      </c>
      <c r="J125" s="51" t="s">
        <v>6727</v>
      </c>
      <c r="K125" s="15">
        <v>11</v>
      </c>
      <c r="L125" s="51" t="s">
        <v>2369</v>
      </c>
      <c r="M125" s="51" t="s">
        <v>2059</v>
      </c>
      <c r="N125" s="51" t="s">
        <v>1340</v>
      </c>
      <c r="O125" s="51" t="s">
        <v>67</v>
      </c>
      <c r="P125" s="51" t="s">
        <v>67</v>
      </c>
      <c r="Q125" s="45">
        <v>46242.955227025464</v>
      </c>
      <c r="R125" s="46">
        <v>46310</v>
      </c>
      <c r="S125" s="46">
        <v>46305</v>
      </c>
      <c r="T125" s="51" t="s">
        <v>6119</v>
      </c>
      <c r="U125" s="15">
        <v>85.51</v>
      </c>
      <c r="V125" s="15">
        <v>395.46</v>
      </c>
      <c r="W125" s="15">
        <v>3.65</v>
      </c>
      <c r="X125" s="15">
        <v>1.5</v>
      </c>
      <c r="Y125" s="15">
        <v>1.6621539999999999</v>
      </c>
      <c r="Z125" s="15">
        <v>6</v>
      </c>
      <c r="AA125" s="46">
        <v>46280</v>
      </c>
      <c r="AB125" s="15"/>
      <c r="AC125" s="15"/>
      <c r="AD125" s="15"/>
      <c r="AE125" s="15"/>
      <c r="AF125" s="15"/>
      <c r="AG125" s="15"/>
      <c r="AH125" s="15"/>
      <c r="AI125" s="46"/>
      <c r="AJ125" s="51" t="s">
        <v>6121</v>
      </c>
      <c r="AK125" s="51" t="s">
        <v>6121</v>
      </c>
      <c r="AL125" s="15">
        <v>85.51</v>
      </c>
      <c r="AM125" s="51" t="s">
        <v>67</v>
      </c>
      <c r="AN125" s="51" t="s">
        <v>67</v>
      </c>
      <c r="AO125" s="50" t="s">
        <v>9554</v>
      </c>
    </row>
    <row r="126" spans="1:41" hidden="1" x14ac:dyDescent="0.25">
      <c r="A126" s="52" t="s">
        <v>2156</v>
      </c>
      <c r="B126" s="51" t="s">
        <v>1753</v>
      </c>
      <c r="C126" s="54" t="s">
        <v>605</v>
      </c>
      <c r="D126" s="51" t="s">
        <v>1754</v>
      </c>
      <c r="E126" s="20">
        <v>1680.44</v>
      </c>
      <c r="F126" s="20">
        <v>4625.3500000000004</v>
      </c>
      <c r="G126" s="20">
        <v>13089.83</v>
      </c>
      <c r="H126" s="20">
        <v>4189.8</v>
      </c>
      <c r="I126" s="20">
        <v>4625.3500000000004</v>
      </c>
      <c r="J126" s="51" t="s">
        <v>6727</v>
      </c>
      <c r="K126" s="15">
        <v>16</v>
      </c>
      <c r="L126" s="51" t="s">
        <v>2369</v>
      </c>
      <c r="M126" s="51" t="s">
        <v>1755</v>
      </c>
      <c r="N126" s="51" t="s">
        <v>1340</v>
      </c>
      <c r="O126" s="51" t="s">
        <v>67</v>
      </c>
      <c r="P126" s="51" t="s">
        <v>67</v>
      </c>
      <c r="Q126" s="45">
        <v>46246.861578564814</v>
      </c>
      <c r="R126" s="46">
        <v>46305</v>
      </c>
      <c r="S126" s="46">
        <v>46300</v>
      </c>
      <c r="T126" s="51" t="s">
        <v>6119</v>
      </c>
      <c r="U126" s="15">
        <v>69.61</v>
      </c>
      <c r="V126" s="15">
        <v>321.89999999999998</v>
      </c>
      <c r="W126" s="15">
        <v>2.96</v>
      </c>
      <c r="X126" s="15">
        <v>0</v>
      </c>
      <c r="Y126" s="15">
        <v>1.625035</v>
      </c>
      <c r="Z126" s="15">
        <v>6</v>
      </c>
      <c r="AA126" s="46">
        <v>46275</v>
      </c>
      <c r="AB126" s="15"/>
      <c r="AC126" s="15"/>
      <c r="AD126" s="15"/>
      <c r="AE126" s="15"/>
      <c r="AF126" s="15"/>
      <c r="AG126" s="15"/>
      <c r="AH126" s="15"/>
      <c r="AI126" s="46"/>
      <c r="AJ126" s="51" t="s">
        <v>6121</v>
      </c>
      <c r="AK126" s="51" t="s">
        <v>6121</v>
      </c>
      <c r="AL126" s="15">
        <v>69.61</v>
      </c>
      <c r="AM126" s="51" t="s">
        <v>67</v>
      </c>
      <c r="AN126" s="51" t="s">
        <v>67</v>
      </c>
      <c r="AO126" s="50" t="s">
        <v>9554</v>
      </c>
    </row>
    <row r="127" spans="1:41" hidden="1" x14ac:dyDescent="0.25">
      <c r="A127" s="51" t="s">
        <v>2157</v>
      </c>
      <c r="B127" s="51" t="s">
        <v>2050</v>
      </c>
      <c r="C127" s="54" t="s">
        <v>608</v>
      </c>
      <c r="D127" s="51" t="s">
        <v>2051</v>
      </c>
      <c r="E127" s="20">
        <v>8713.15</v>
      </c>
      <c r="F127" s="20">
        <v>0</v>
      </c>
      <c r="G127" s="20">
        <v>15623.91</v>
      </c>
      <c r="H127" s="20">
        <v>0</v>
      </c>
      <c r="I127" s="20">
        <v>921.99</v>
      </c>
      <c r="J127" s="51" t="s">
        <v>2654</v>
      </c>
      <c r="K127" s="15">
        <v>0</v>
      </c>
      <c r="L127" s="51" t="s">
        <v>2371</v>
      </c>
      <c r="M127" s="51" t="s">
        <v>2052</v>
      </c>
      <c r="N127" s="51" t="s">
        <v>1340</v>
      </c>
      <c r="O127" s="51" t="s">
        <v>67</v>
      </c>
      <c r="P127" s="51" t="s">
        <v>67</v>
      </c>
      <c r="Q127" s="45">
        <v>46248.862783680554</v>
      </c>
      <c r="R127" s="46">
        <v>46315</v>
      </c>
      <c r="S127" s="46">
        <v>46310</v>
      </c>
      <c r="T127" s="51" t="s">
        <v>6119</v>
      </c>
      <c r="U127" s="15"/>
      <c r="V127" s="15"/>
      <c r="W127" s="15"/>
      <c r="X127" s="15"/>
      <c r="Y127" s="15"/>
      <c r="Z127" s="15"/>
      <c r="AA127" s="46"/>
      <c r="AB127" s="15"/>
      <c r="AC127" s="15"/>
      <c r="AD127" s="15"/>
      <c r="AE127" s="15"/>
      <c r="AF127" s="15"/>
      <c r="AG127" s="15"/>
      <c r="AH127" s="15"/>
      <c r="AI127" s="46"/>
      <c r="AJ127" s="51" t="s">
        <v>67</v>
      </c>
      <c r="AK127" s="51" t="s">
        <v>67</v>
      </c>
      <c r="AL127" s="15"/>
      <c r="AM127" s="51" t="s">
        <v>67</v>
      </c>
      <c r="AN127" s="51" t="s">
        <v>67</v>
      </c>
      <c r="AO127" s="50" t="s">
        <v>9554</v>
      </c>
    </row>
    <row r="128" spans="1:41" hidden="1" x14ac:dyDescent="0.25">
      <c r="A128" s="51" t="s">
        <v>2158</v>
      </c>
      <c r="B128" s="51" t="s">
        <v>1345</v>
      </c>
      <c r="C128" s="54" t="s">
        <v>608</v>
      </c>
      <c r="D128" s="51" t="s">
        <v>1342</v>
      </c>
      <c r="E128" s="20">
        <v>6908.51</v>
      </c>
      <c r="F128" s="20">
        <v>2043.29</v>
      </c>
      <c r="G128" s="20">
        <v>12584.4</v>
      </c>
      <c r="H128" s="20">
        <v>4335.91</v>
      </c>
      <c r="I128" s="20">
        <v>2043.29</v>
      </c>
      <c r="J128" s="51" t="s">
        <v>6726</v>
      </c>
      <c r="K128" s="15">
        <v>0</v>
      </c>
      <c r="L128" s="51" t="s">
        <v>2371</v>
      </c>
      <c r="M128" s="51" t="s">
        <v>1346</v>
      </c>
      <c r="N128" s="51" t="s">
        <v>1340</v>
      </c>
      <c r="O128" s="51" t="s">
        <v>67</v>
      </c>
      <c r="P128" s="51" t="s">
        <v>67</v>
      </c>
      <c r="Q128" s="45">
        <v>46248.863533020834</v>
      </c>
      <c r="R128" s="46">
        <v>46315</v>
      </c>
      <c r="S128" s="46">
        <v>46310</v>
      </c>
      <c r="T128" s="51" t="s">
        <v>6119</v>
      </c>
      <c r="U128" s="15">
        <v>101.49</v>
      </c>
      <c r="V128" s="15">
        <v>469.36</v>
      </c>
      <c r="W128" s="15">
        <v>4.3099999999999996</v>
      </c>
      <c r="X128" s="15">
        <v>0</v>
      </c>
      <c r="Y128" s="15">
        <v>1.62416</v>
      </c>
      <c r="Z128" s="15">
        <v>6</v>
      </c>
      <c r="AA128" s="46">
        <v>46285</v>
      </c>
      <c r="AB128" s="15"/>
      <c r="AC128" s="15"/>
      <c r="AD128" s="15"/>
      <c r="AE128" s="15"/>
      <c r="AF128" s="15"/>
      <c r="AG128" s="15"/>
      <c r="AH128" s="15"/>
      <c r="AI128" s="46"/>
      <c r="AJ128" s="51" t="s">
        <v>67</v>
      </c>
      <c r="AK128" s="51" t="s">
        <v>6121</v>
      </c>
      <c r="AL128" s="15">
        <v>101.49</v>
      </c>
      <c r="AM128" s="51" t="s">
        <v>67</v>
      </c>
      <c r="AN128" s="51" t="s">
        <v>67</v>
      </c>
      <c r="AO128" s="50" t="s">
        <v>9554</v>
      </c>
    </row>
    <row r="129" spans="1:41" hidden="1" x14ac:dyDescent="0.25">
      <c r="A129" s="51" t="s">
        <v>2159</v>
      </c>
      <c r="B129" s="51" t="s">
        <v>1796</v>
      </c>
      <c r="C129" s="54" t="s">
        <v>611</v>
      </c>
      <c r="D129" s="51" t="s">
        <v>1797</v>
      </c>
      <c r="E129" s="20">
        <v>1960.12</v>
      </c>
      <c r="F129" s="20">
        <v>3.77</v>
      </c>
      <c r="G129" s="20">
        <v>2160.86</v>
      </c>
      <c r="H129" s="20">
        <v>158.43</v>
      </c>
      <c r="I129" s="20">
        <v>3.77</v>
      </c>
      <c r="J129" s="51" t="s">
        <v>6724</v>
      </c>
      <c r="K129" s="15">
        <v>0</v>
      </c>
      <c r="L129" s="51" t="s">
        <v>2371</v>
      </c>
      <c r="M129" s="51" t="s">
        <v>1798</v>
      </c>
      <c r="N129" s="51" t="s">
        <v>1340</v>
      </c>
      <c r="O129" s="51" t="s">
        <v>67</v>
      </c>
      <c r="P129" s="51" t="s">
        <v>67</v>
      </c>
      <c r="Q129" s="45">
        <v>46248.906450787035</v>
      </c>
      <c r="R129" s="46">
        <v>46320</v>
      </c>
      <c r="S129" s="46">
        <v>46315</v>
      </c>
      <c r="T129" s="51" t="s">
        <v>6119</v>
      </c>
      <c r="U129" s="15">
        <v>34.78</v>
      </c>
      <c r="V129" s="15">
        <v>160.52000000000001</v>
      </c>
      <c r="W129" s="15">
        <v>1.48</v>
      </c>
      <c r="X129" s="15">
        <v>0.61</v>
      </c>
      <c r="Y129" s="15">
        <v>1.6616569999999999</v>
      </c>
      <c r="Z129" s="15">
        <v>6</v>
      </c>
      <c r="AA129" s="46">
        <v>46259</v>
      </c>
      <c r="AB129" s="15"/>
      <c r="AC129" s="15"/>
      <c r="AD129" s="15"/>
      <c r="AE129" s="15"/>
      <c r="AF129" s="15"/>
      <c r="AG129" s="15"/>
      <c r="AH129" s="15"/>
      <c r="AI129" s="46"/>
      <c r="AJ129" s="51" t="s">
        <v>67</v>
      </c>
      <c r="AK129" s="51" t="s">
        <v>6121</v>
      </c>
      <c r="AL129" s="15">
        <v>34.78</v>
      </c>
      <c r="AM129" s="51" t="s">
        <v>67</v>
      </c>
      <c r="AN129" s="51" t="s">
        <v>67</v>
      </c>
      <c r="AO129" s="50" t="s">
        <v>9554</v>
      </c>
    </row>
    <row r="130" spans="1:41" hidden="1" x14ac:dyDescent="0.25">
      <c r="A130" s="51" t="s">
        <v>2160</v>
      </c>
      <c r="B130" s="51" t="s">
        <v>1636</v>
      </c>
      <c r="C130" s="54" t="s">
        <v>608</v>
      </c>
      <c r="D130" s="51" t="s">
        <v>1637</v>
      </c>
      <c r="E130" s="20">
        <v>12011.93</v>
      </c>
      <c r="F130" s="20">
        <v>824.29</v>
      </c>
      <c r="G130" s="20">
        <v>7305.16</v>
      </c>
      <c r="H130" s="20">
        <v>4563.49</v>
      </c>
      <c r="I130" s="20">
        <v>824.29</v>
      </c>
      <c r="J130" s="51" t="s">
        <v>6726</v>
      </c>
      <c r="K130" s="15">
        <v>6</v>
      </c>
      <c r="L130" s="51" t="s">
        <v>2369</v>
      </c>
      <c r="M130" s="51" t="s">
        <v>1638</v>
      </c>
      <c r="N130" s="51" t="s">
        <v>1340</v>
      </c>
      <c r="O130" s="51" t="s">
        <v>67</v>
      </c>
      <c r="P130" s="51" t="s">
        <v>67</v>
      </c>
      <c r="Q130" s="45">
        <v>46248.906556458336</v>
      </c>
      <c r="R130" s="46">
        <v>46315</v>
      </c>
      <c r="S130" s="46">
        <v>46310</v>
      </c>
      <c r="T130" s="51" t="s">
        <v>6119</v>
      </c>
      <c r="U130" s="15"/>
      <c r="V130" s="15"/>
      <c r="W130" s="15"/>
      <c r="X130" s="15"/>
      <c r="Y130" s="15"/>
      <c r="Z130" s="15"/>
      <c r="AA130" s="46"/>
      <c r="AB130" s="15"/>
      <c r="AC130" s="15"/>
      <c r="AD130" s="15"/>
      <c r="AE130" s="15"/>
      <c r="AF130" s="15"/>
      <c r="AG130" s="15"/>
      <c r="AH130" s="15"/>
      <c r="AI130" s="46"/>
      <c r="AJ130" s="51" t="s">
        <v>67</v>
      </c>
      <c r="AK130" s="51" t="s">
        <v>67</v>
      </c>
      <c r="AL130" s="15"/>
      <c r="AM130" s="51" t="s">
        <v>67</v>
      </c>
      <c r="AN130" s="51" t="s">
        <v>67</v>
      </c>
      <c r="AO130" s="50" t="s">
        <v>9554</v>
      </c>
    </row>
    <row r="131" spans="1:41" hidden="1" x14ac:dyDescent="0.25">
      <c r="A131" s="51" t="s">
        <v>2161</v>
      </c>
      <c r="B131" s="51" t="s">
        <v>2038</v>
      </c>
      <c r="C131" s="54" t="s">
        <v>5596</v>
      </c>
      <c r="D131" s="51" t="s">
        <v>2039</v>
      </c>
      <c r="E131" s="20">
        <v>8195.49</v>
      </c>
      <c r="F131" s="20">
        <v>92.13</v>
      </c>
      <c r="G131" s="20">
        <v>6300.57</v>
      </c>
      <c r="H131" s="20">
        <v>4314.97</v>
      </c>
      <c r="I131" s="20">
        <v>92.13</v>
      </c>
      <c r="J131" s="51" t="s">
        <v>6724</v>
      </c>
      <c r="K131" s="15">
        <v>0</v>
      </c>
      <c r="L131" s="51" t="s">
        <v>2371</v>
      </c>
      <c r="M131" s="51" t="s">
        <v>2040</v>
      </c>
      <c r="N131" s="51" t="s">
        <v>1344</v>
      </c>
      <c r="O131" s="51" t="s">
        <v>67</v>
      </c>
      <c r="P131" s="51" t="s">
        <v>67</v>
      </c>
      <c r="Q131" s="45">
        <v>46248.906787442131</v>
      </c>
      <c r="R131" s="46">
        <v>46300</v>
      </c>
      <c r="S131" s="46">
        <v>46295</v>
      </c>
      <c r="T131" s="51" t="s">
        <v>6119</v>
      </c>
      <c r="U131" s="15">
        <v>96.93</v>
      </c>
      <c r="V131" s="15">
        <v>448.24</v>
      </c>
      <c r="W131" s="15">
        <v>4.13</v>
      </c>
      <c r="X131" s="15">
        <v>0</v>
      </c>
      <c r="Y131" s="15">
        <v>1.6251469999999999</v>
      </c>
      <c r="Z131" s="15">
        <v>6</v>
      </c>
      <c r="AA131" s="46">
        <v>46270</v>
      </c>
      <c r="AB131" s="15"/>
      <c r="AC131" s="15"/>
      <c r="AD131" s="15"/>
      <c r="AE131" s="15"/>
      <c r="AF131" s="15"/>
      <c r="AG131" s="15"/>
      <c r="AH131" s="15"/>
      <c r="AI131" s="46"/>
      <c r="AJ131" s="51" t="s">
        <v>67</v>
      </c>
      <c r="AK131" s="51" t="s">
        <v>6121</v>
      </c>
      <c r="AL131" s="15">
        <v>96.93</v>
      </c>
      <c r="AM131" s="51" t="s">
        <v>67</v>
      </c>
      <c r="AN131" s="51" t="s">
        <v>67</v>
      </c>
      <c r="AO131" s="50" t="s">
        <v>9554</v>
      </c>
    </row>
    <row r="132" spans="1:41" hidden="1" x14ac:dyDescent="0.25">
      <c r="A132" s="51" t="s">
        <v>2162</v>
      </c>
      <c r="B132" s="51" t="s">
        <v>1975</v>
      </c>
      <c r="C132" s="54" t="s">
        <v>5596</v>
      </c>
      <c r="D132" s="51" t="s">
        <v>1976</v>
      </c>
      <c r="E132" s="20">
        <v>2101.79</v>
      </c>
      <c r="F132" s="20">
        <v>10.82</v>
      </c>
      <c r="G132" s="20">
        <v>7642.43</v>
      </c>
      <c r="H132" s="20">
        <v>454.26</v>
      </c>
      <c r="I132" s="20">
        <v>10.82</v>
      </c>
      <c r="J132" s="51" t="s">
        <v>6724</v>
      </c>
      <c r="K132" s="15">
        <v>0</v>
      </c>
      <c r="L132" s="51" t="s">
        <v>2371</v>
      </c>
      <c r="M132" s="51" t="s">
        <v>1977</v>
      </c>
      <c r="N132" s="51" t="s">
        <v>1340</v>
      </c>
      <c r="O132" s="51" t="s">
        <v>67</v>
      </c>
      <c r="P132" s="51" t="s">
        <v>67</v>
      </c>
      <c r="Q132" s="45">
        <v>46250.881448541666</v>
      </c>
      <c r="R132" s="46">
        <v>46300</v>
      </c>
      <c r="S132" s="46">
        <v>46295</v>
      </c>
      <c r="T132" s="51" t="s">
        <v>6119</v>
      </c>
      <c r="U132" s="15">
        <v>99.52</v>
      </c>
      <c r="V132" s="15">
        <v>460.24</v>
      </c>
      <c r="W132" s="15">
        <v>4.2300000000000004</v>
      </c>
      <c r="X132" s="15">
        <v>1.75</v>
      </c>
      <c r="Y132" s="15">
        <v>1.662123</v>
      </c>
      <c r="Z132" s="15">
        <v>6</v>
      </c>
      <c r="AA132" s="46">
        <v>46270</v>
      </c>
      <c r="AB132" s="15"/>
      <c r="AC132" s="15"/>
      <c r="AD132" s="15"/>
      <c r="AE132" s="15"/>
      <c r="AF132" s="15"/>
      <c r="AG132" s="15"/>
      <c r="AH132" s="15"/>
      <c r="AI132" s="46"/>
      <c r="AJ132" s="51" t="s">
        <v>67</v>
      </c>
      <c r="AK132" s="51" t="s">
        <v>6121</v>
      </c>
      <c r="AL132" s="15">
        <v>99.52</v>
      </c>
      <c r="AM132" s="51" t="s">
        <v>67</v>
      </c>
      <c r="AN132" s="51" t="s">
        <v>67</v>
      </c>
      <c r="AO132" s="50" t="s">
        <v>9554</v>
      </c>
    </row>
    <row r="133" spans="1:41" hidden="1" x14ac:dyDescent="0.25">
      <c r="A133" s="51" t="s">
        <v>2163</v>
      </c>
      <c r="B133" s="51" t="s">
        <v>2041</v>
      </c>
      <c r="C133" s="54" t="s">
        <v>611</v>
      </c>
      <c r="D133" s="51" t="s">
        <v>2042</v>
      </c>
      <c r="E133" s="20">
        <v>13270.67</v>
      </c>
      <c r="F133" s="20">
        <v>0</v>
      </c>
      <c r="G133" s="20">
        <v>19097.46</v>
      </c>
      <c r="H133" s="20">
        <v>0</v>
      </c>
      <c r="I133" s="20">
        <v>929.13</v>
      </c>
      <c r="J133" s="51" t="s">
        <v>2654</v>
      </c>
      <c r="K133" s="15">
        <v>0</v>
      </c>
      <c r="L133" s="51" t="s">
        <v>2371</v>
      </c>
      <c r="M133" s="51" t="s">
        <v>2043</v>
      </c>
      <c r="N133" s="51" t="s">
        <v>1340</v>
      </c>
      <c r="O133" s="51" t="s">
        <v>67</v>
      </c>
      <c r="P133" s="51" t="s">
        <v>67</v>
      </c>
      <c r="Q133" s="45">
        <v>46250.881584907409</v>
      </c>
      <c r="R133" s="46">
        <v>46320</v>
      </c>
      <c r="S133" s="46">
        <v>46315</v>
      </c>
      <c r="T133" s="51" t="s">
        <v>6119</v>
      </c>
      <c r="U133" s="15"/>
      <c r="V133" s="15"/>
      <c r="W133" s="15"/>
      <c r="X133" s="15"/>
      <c r="Y133" s="15"/>
      <c r="Z133" s="15"/>
      <c r="AA133" s="46"/>
      <c r="AB133" s="15"/>
      <c r="AC133" s="15"/>
      <c r="AD133" s="15"/>
      <c r="AE133" s="15"/>
      <c r="AF133" s="15"/>
      <c r="AG133" s="15"/>
      <c r="AH133" s="15"/>
      <c r="AI133" s="46"/>
      <c r="AJ133" s="51" t="s">
        <v>67</v>
      </c>
      <c r="AK133" s="51" t="s">
        <v>67</v>
      </c>
      <c r="AL133" s="15"/>
      <c r="AM133" s="51" t="s">
        <v>67</v>
      </c>
      <c r="AN133" s="51" t="s">
        <v>67</v>
      </c>
      <c r="AO133" s="50" t="s">
        <v>9554</v>
      </c>
    </row>
    <row r="134" spans="1:41" hidden="1" x14ac:dyDescent="0.25">
      <c r="A134" s="51" t="s">
        <v>2164</v>
      </c>
      <c r="B134" s="51" t="s">
        <v>1906</v>
      </c>
      <c r="C134" s="54" t="s">
        <v>607</v>
      </c>
      <c r="D134" s="51" t="s">
        <v>1907</v>
      </c>
      <c r="E134" s="20">
        <v>6978.61</v>
      </c>
      <c r="F134" s="20">
        <v>13.59</v>
      </c>
      <c r="G134" s="20">
        <v>19506.64</v>
      </c>
      <c r="H134" s="20">
        <v>571.12</v>
      </c>
      <c r="I134" s="20">
        <v>13.59</v>
      </c>
      <c r="J134" s="51" t="s">
        <v>6724</v>
      </c>
      <c r="K134" s="15">
        <v>0</v>
      </c>
      <c r="L134" s="51" t="s">
        <v>2371</v>
      </c>
      <c r="M134" s="51" t="s">
        <v>1908</v>
      </c>
      <c r="N134" s="51" t="s">
        <v>1340</v>
      </c>
      <c r="O134" s="51" t="s">
        <v>67</v>
      </c>
      <c r="P134" s="51" t="s">
        <v>67</v>
      </c>
      <c r="Q134" s="45">
        <v>46250.881724999999</v>
      </c>
      <c r="R134" s="46">
        <v>46310</v>
      </c>
      <c r="S134" s="46">
        <v>46305</v>
      </c>
      <c r="T134" s="51" t="s">
        <v>6119</v>
      </c>
      <c r="U134" s="15">
        <v>125.12</v>
      </c>
      <c r="V134" s="15">
        <v>578.64</v>
      </c>
      <c r="W134" s="15">
        <v>5.32</v>
      </c>
      <c r="X134" s="15">
        <v>2.2000000000000002</v>
      </c>
      <c r="Y134" s="15">
        <v>1.661975</v>
      </c>
      <c r="Z134" s="15">
        <v>6</v>
      </c>
      <c r="AA134" s="46">
        <v>46280</v>
      </c>
      <c r="AB134" s="15"/>
      <c r="AC134" s="15"/>
      <c r="AD134" s="15"/>
      <c r="AE134" s="15"/>
      <c r="AF134" s="15"/>
      <c r="AG134" s="15"/>
      <c r="AH134" s="15"/>
      <c r="AI134" s="46"/>
      <c r="AJ134" s="51" t="s">
        <v>67</v>
      </c>
      <c r="AK134" s="51" t="s">
        <v>6121</v>
      </c>
      <c r="AL134" s="15">
        <v>125.12</v>
      </c>
      <c r="AM134" s="51" t="s">
        <v>67</v>
      </c>
      <c r="AN134" s="51" t="s">
        <v>67</v>
      </c>
      <c r="AO134" s="50" t="s">
        <v>9554</v>
      </c>
    </row>
    <row r="135" spans="1:41" hidden="1" x14ac:dyDescent="0.25">
      <c r="A135" s="51" t="s">
        <v>2165</v>
      </c>
      <c r="B135" s="51" t="s">
        <v>1769</v>
      </c>
      <c r="C135" s="54" t="s">
        <v>605</v>
      </c>
      <c r="D135" s="51" t="s">
        <v>1770</v>
      </c>
      <c r="E135" s="20">
        <v>15039.88</v>
      </c>
      <c r="F135" s="20">
        <v>18.11</v>
      </c>
      <c r="G135" s="20">
        <v>16684.18</v>
      </c>
      <c r="H135" s="20">
        <v>760.93</v>
      </c>
      <c r="I135" s="20">
        <v>18.11</v>
      </c>
      <c r="J135" s="51" t="s">
        <v>6724</v>
      </c>
      <c r="K135" s="15">
        <v>0</v>
      </c>
      <c r="L135" s="51" t="s">
        <v>2371</v>
      </c>
      <c r="M135" s="51" t="s">
        <v>1771</v>
      </c>
      <c r="N135" s="51" t="s">
        <v>1340</v>
      </c>
      <c r="O135" s="51" t="s">
        <v>67</v>
      </c>
      <c r="P135" s="51" t="s">
        <v>67</v>
      </c>
      <c r="Q135" s="45">
        <v>46250.88215096065</v>
      </c>
      <c r="R135" s="46">
        <v>46305</v>
      </c>
      <c r="S135" s="46">
        <v>46300</v>
      </c>
      <c r="T135" s="51" t="s">
        <v>6119</v>
      </c>
      <c r="U135" s="15"/>
      <c r="V135" s="15"/>
      <c r="W135" s="15"/>
      <c r="X135" s="15"/>
      <c r="Y135" s="15"/>
      <c r="Z135" s="15"/>
      <c r="AA135" s="46"/>
      <c r="AB135" s="15"/>
      <c r="AC135" s="15"/>
      <c r="AD135" s="15"/>
      <c r="AE135" s="15"/>
      <c r="AF135" s="15"/>
      <c r="AG135" s="15"/>
      <c r="AH135" s="15"/>
      <c r="AI135" s="46"/>
      <c r="AJ135" s="51" t="s">
        <v>67</v>
      </c>
      <c r="AK135" s="51" t="s">
        <v>67</v>
      </c>
      <c r="AL135" s="15"/>
      <c r="AM135" s="51" t="s">
        <v>67</v>
      </c>
      <c r="AN135" s="51" t="s">
        <v>67</v>
      </c>
      <c r="AO135" s="50" t="s">
        <v>9554</v>
      </c>
    </row>
    <row r="136" spans="1:41" hidden="1" x14ac:dyDescent="0.25">
      <c r="A136" s="51" t="s">
        <v>2166</v>
      </c>
      <c r="B136" s="51" t="s">
        <v>1731</v>
      </c>
      <c r="C136" s="54" t="s">
        <v>608</v>
      </c>
      <c r="D136" s="51" t="s">
        <v>1732</v>
      </c>
      <c r="E136" s="20">
        <v>5972.53</v>
      </c>
      <c r="F136" s="20">
        <v>5308.68</v>
      </c>
      <c r="G136" s="20">
        <v>12173.58</v>
      </c>
      <c r="H136" s="20">
        <v>4422.3900000000003</v>
      </c>
      <c r="I136" s="20">
        <v>5308.68</v>
      </c>
      <c r="J136" s="51" t="s">
        <v>6727</v>
      </c>
      <c r="K136" s="15">
        <v>37</v>
      </c>
      <c r="L136" s="51" t="s">
        <v>2369</v>
      </c>
      <c r="M136" s="51" t="s">
        <v>1733</v>
      </c>
      <c r="N136" s="51" t="s">
        <v>1340</v>
      </c>
      <c r="O136" s="51" t="s">
        <v>67</v>
      </c>
      <c r="P136" s="51" t="s">
        <v>67</v>
      </c>
      <c r="Q136" s="45">
        <v>46250.882265671295</v>
      </c>
      <c r="R136" s="46">
        <v>46315</v>
      </c>
      <c r="S136" s="46">
        <v>46310</v>
      </c>
      <c r="T136" s="51" t="s">
        <v>6119</v>
      </c>
      <c r="U136" s="15">
        <v>120.37</v>
      </c>
      <c r="V136" s="15">
        <v>556.64</v>
      </c>
      <c r="W136" s="15">
        <v>5.1100000000000003</v>
      </c>
      <c r="X136" s="15">
        <v>0</v>
      </c>
      <c r="Y136" s="15">
        <v>1.6247320000000001</v>
      </c>
      <c r="Z136" s="15">
        <v>6</v>
      </c>
      <c r="AA136" s="46">
        <v>46285</v>
      </c>
      <c r="AB136" s="15"/>
      <c r="AC136" s="15"/>
      <c r="AD136" s="15"/>
      <c r="AE136" s="15"/>
      <c r="AF136" s="15"/>
      <c r="AG136" s="15"/>
      <c r="AH136" s="15"/>
      <c r="AI136" s="46"/>
      <c r="AJ136" s="51" t="s">
        <v>6121</v>
      </c>
      <c r="AK136" s="51" t="s">
        <v>6121</v>
      </c>
      <c r="AL136" s="15">
        <v>120.37</v>
      </c>
      <c r="AM136" s="51" t="s">
        <v>67</v>
      </c>
      <c r="AN136" s="51" t="s">
        <v>67</v>
      </c>
      <c r="AO136" s="50" t="s">
        <v>9554</v>
      </c>
    </row>
    <row r="137" spans="1:41" hidden="1" x14ac:dyDescent="0.25">
      <c r="A137" s="51" t="s">
        <v>2167</v>
      </c>
      <c r="B137" s="51" t="s">
        <v>1728</v>
      </c>
      <c r="C137" s="54" t="s">
        <v>611</v>
      </c>
      <c r="D137" s="51" t="s">
        <v>1729</v>
      </c>
      <c r="E137" s="20">
        <v>10908.02</v>
      </c>
      <c r="F137" s="20">
        <v>0</v>
      </c>
      <c r="G137" s="20">
        <v>6130.04</v>
      </c>
      <c r="H137" s="20">
        <v>0</v>
      </c>
      <c r="I137" s="20">
        <v>475.5</v>
      </c>
      <c r="J137" s="51" t="s">
        <v>2654</v>
      </c>
      <c r="K137" s="15">
        <v>0</v>
      </c>
      <c r="L137" s="51" t="s">
        <v>2371</v>
      </c>
      <c r="M137" s="51" t="s">
        <v>1730</v>
      </c>
      <c r="N137" s="51" t="s">
        <v>1340</v>
      </c>
      <c r="O137" s="51" t="s">
        <v>67</v>
      </c>
      <c r="P137" s="51" t="s">
        <v>67</v>
      </c>
      <c r="Q137" s="45">
        <v>46250.882673796295</v>
      </c>
      <c r="R137" s="46">
        <v>46320</v>
      </c>
      <c r="S137" s="46">
        <v>46315</v>
      </c>
      <c r="T137" s="51" t="s">
        <v>6119</v>
      </c>
      <c r="U137" s="15"/>
      <c r="V137" s="15"/>
      <c r="W137" s="15"/>
      <c r="X137" s="15"/>
      <c r="Y137" s="15"/>
      <c r="Z137" s="15"/>
      <c r="AA137" s="46"/>
      <c r="AB137" s="15"/>
      <c r="AC137" s="15"/>
      <c r="AD137" s="15"/>
      <c r="AE137" s="15"/>
      <c r="AF137" s="15"/>
      <c r="AG137" s="15"/>
      <c r="AH137" s="15"/>
      <c r="AI137" s="46"/>
      <c r="AJ137" s="51" t="s">
        <v>67</v>
      </c>
      <c r="AK137" s="51" t="s">
        <v>67</v>
      </c>
      <c r="AL137" s="15"/>
      <c r="AM137" s="51" t="s">
        <v>67</v>
      </c>
      <c r="AN137" s="51" t="s">
        <v>67</v>
      </c>
      <c r="AO137" s="50" t="s">
        <v>9554</v>
      </c>
    </row>
    <row r="138" spans="1:41" hidden="1" x14ac:dyDescent="0.25">
      <c r="A138" s="51" t="s">
        <v>2168</v>
      </c>
      <c r="B138" s="51" t="s">
        <v>1456</v>
      </c>
      <c r="C138" s="54" t="s">
        <v>607</v>
      </c>
      <c r="D138" s="51" t="s">
        <v>1457</v>
      </c>
      <c r="E138" s="20">
        <v>1692.16</v>
      </c>
      <c r="F138" s="20">
        <v>4683.62</v>
      </c>
      <c r="G138" s="20">
        <v>-173.85</v>
      </c>
      <c r="H138" s="20">
        <v>4355.3900000000003</v>
      </c>
      <c r="I138" s="20">
        <v>4683.62</v>
      </c>
      <c r="J138" s="51" t="s">
        <v>6727</v>
      </c>
      <c r="K138" s="15">
        <v>11</v>
      </c>
      <c r="L138" s="51" t="s">
        <v>2369</v>
      </c>
      <c r="M138" s="51" t="s">
        <v>1458</v>
      </c>
      <c r="N138" s="51" t="s">
        <v>1344</v>
      </c>
      <c r="O138" s="51" t="s">
        <v>67</v>
      </c>
      <c r="P138" s="51" t="s">
        <v>67</v>
      </c>
      <c r="Q138" s="45">
        <v>46250.882918483796</v>
      </c>
      <c r="R138" s="46">
        <v>46310</v>
      </c>
      <c r="S138" s="46">
        <v>46305</v>
      </c>
      <c r="T138" s="51" t="s">
        <v>6119</v>
      </c>
      <c r="U138" s="15">
        <v>105.75</v>
      </c>
      <c r="V138" s="15">
        <v>489.03</v>
      </c>
      <c r="W138" s="15">
        <v>4.5</v>
      </c>
      <c r="X138" s="15">
        <v>0</v>
      </c>
      <c r="Y138" s="15">
        <v>1.6249690000000001</v>
      </c>
      <c r="Z138" s="15">
        <v>6</v>
      </c>
      <c r="AA138" s="46">
        <v>46280</v>
      </c>
      <c r="AB138" s="15"/>
      <c r="AC138" s="15"/>
      <c r="AD138" s="15"/>
      <c r="AE138" s="15"/>
      <c r="AF138" s="15"/>
      <c r="AG138" s="15"/>
      <c r="AH138" s="15"/>
      <c r="AI138" s="46"/>
      <c r="AJ138" s="51" t="s">
        <v>6121</v>
      </c>
      <c r="AK138" s="51" t="s">
        <v>6121</v>
      </c>
      <c r="AL138" s="15">
        <v>105.75</v>
      </c>
      <c r="AM138" s="51" t="s">
        <v>6705</v>
      </c>
      <c r="AN138" s="51" t="s">
        <v>6713</v>
      </c>
      <c r="AO138" s="50" t="s">
        <v>9554</v>
      </c>
    </row>
    <row r="139" spans="1:41" hidden="1" x14ac:dyDescent="0.25">
      <c r="A139" s="51" t="s">
        <v>2169</v>
      </c>
      <c r="B139" s="51" t="s">
        <v>1557</v>
      </c>
      <c r="C139" s="54" t="s">
        <v>607</v>
      </c>
      <c r="D139" s="51" t="s">
        <v>1558</v>
      </c>
      <c r="E139" s="20">
        <v>13181.41</v>
      </c>
      <c r="F139" s="20">
        <v>857.49</v>
      </c>
      <c r="G139" s="20">
        <v>17246.330000000002</v>
      </c>
      <c r="H139" s="20">
        <v>928.22</v>
      </c>
      <c r="I139" s="20">
        <v>857.49</v>
      </c>
      <c r="J139" s="51" t="s">
        <v>6725</v>
      </c>
      <c r="K139" s="15">
        <v>0</v>
      </c>
      <c r="L139" s="51" t="s">
        <v>2371</v>
      </c>
      <c r="M139" s="51" t="s">
        <v>1559</v>
      </c>
      <c r="N139" s="51" t="s">
        <v>1340</v>
      </c>
      <c r="O139" s="51" t="s">
        <v>67</v>
      </c>
      <c r="P139" s="51" t="s">
        <v>67</v>
      </c>
      <c r="Q139" s="45">
        <v>46250.883081793982</v>
      </c>
      <c r="R139" s="46">
        <v>46310</v>
      </c>
      <c r="S139" s="46">
        <v>46305</v>
      </c>
      <c r="T139" s="51" t="s">
        <v>6119</v>
      </c>
      <c r="U139" s="15">
        <v>203.36</v>
      </c>
      <c r="V139" s="15">
        <v>940.44</v>
      </c>
      <c r="W139" s="15">
        <v>8.65</v>
      </c>
      <c r="X139" s="15">
        <v>3.57</v>
      </c>
      <c r="Y139" s="15">
        <v>1.6623209999999999</v>
      </c>
      <c r="Z139" s="15">
        <v>6</v>
      </c>
      <c r="AA139" s="46">
        <v>46280</v>
      </c>
      <c r="AB139" s="15"/>
      <c r="AC139" s="15"/>
      <c r="AD139" s="15"/>
      <c r="AE139" s="15"/>
      <c r="AF139" s="15"/>
      <c r="AG139" s="15"/>
      <c r="AH139" s="15"/>
      <c r="AI139" s="46"/>
      <c r="AJ139" s="51" t="s">
        <v>67</v>
      </c>
      <c r="AK139" s="51" t="s">
        <v>6121</v>
      </c>
      <c r="AL139" s="15">
        <v>203.36</v>
      </c>
      <c r="AM139" s="51" t="s">
        <v>67</v>
      </c>
      <c r="AN139" s="51" t="s">
        <v>67</v>
      </c>
      <c r="AO139" s="50" t="s">
        <v>9554</v>
      </c>
    </row>
    <row r="140" spans="1:41" hidden="1" x14ac:dyDescent="0.25">
      <c r="A140" s="51" t="s">
        <v>2170</v>
      </c>
      <c r="B140" s="51" t="s">
        <v>1745</v>
      </c>
      <c r="C140" s="54" t="s">
        <v>5596</v>
      </c>
      <c r="D140" s="51" t="s">
        <v>1746</v>
      </c>
      <c r="E140" s="20">
        <v>11592.85</v>
      </c>
      <c r="F140" s="20">
        <v>17.64</v>
      </c>
      <c r="G140" s="20">
        <v>2132.04</v>
      </c>
      <c r="H140" s="20">
        <v>741.04</v>
      </c>
      <c r="I140" s="20">
        <v>17.64</v>
      </c>
      <c r="J140" s="51" t="s">
        <v>6724</v>
      </c>
      <c r="K140" s="15">
        <v>0</v>
      </c>
      <c r="L140" s="51" t="s">
        <v>2371</v>
      </c>
      <c r="M140" s="51" t="s">
        <v>1747</v>
      </c>
      <c r="N140" s="51" t="s">
        <v>1344</v>
      </c>
      <c r="O140" s="51" t="s">
        <v>67</v>
      </c>
      <c r="P140" s="51" t="s">
        <v>67</v>
      </c>
      <c r="Q140" s="45">
        <v>46250.883168171298</v>
      </c>
      <c r="R140" s="46">
        <v>46300</v>
      </c>
      <c r="S140" s="46">
        <v>46295</v>
      </c>
      <c r="T140" s="51" t="s">
        <v>6119</v>
      </c>
      <c r="U140" s="15">
        <v>162.35</v>
      </c>
      <c r="V140" s="15">
        <v>750.8</v>
      </c>
      <c r="W140" s="15">
        <v>6.91</v>
      </c>
      <c r="X140" s="15">
        <v>2.85</v>
      </c>
      <c r="Y140" s="15">
        <v>1.662231</v>
      </c>
      <c r="Z140" s="15">
        <v>6</v>
      </c>
      <c r="AA140" s="46">
        <v>46270</v>
      </c>
      <c r="AB140" s="15"/>
      <c r="AC140" s="15"/>
      <c r="AD140" s="15"/>
      <c r="AE140" s="15"/>
      <c r="AF140" s="15"/>
      <c r="AG140" s="15"/>
      <c r="AH140" s="15"/>
      <c r="AI140" s="46"/>
      <c r="AJ140" s="51" t="s">
        <v>67</v>
      </c>
      <c r="AK140" s="51" t="s">
        <v>6121</v>
      </c>
      <c r="AL140" s="15">
        <v>162.35</v>
      </c>
      <c r="AM140" s="51" t="s">
        <v>67</v>
      </c>
      <c r="AN140" s="51" t="s">
        <v>67</v>
      </c>
      <c r="AO140" s="50" t="s">
        <v>9554</v>
      </c>
    </row>
    <row r="141" spans="1:41" hidden="1" x14ac:dyDescent="0.25">
      <c r="A141" s="51" t="s">
        <v>2171</v>
      </c>
      <c r="B141" s="51" t="s">
        <v>2103</v>
      </c>
      <c r="C141" s="54" t="s">
        <v>5596</v>
      </c>
      <c r="D141" s="51" t="s">
        <v>2104</v>
      </c>
      <c r="E141" s="20">
        <v>5889.65</v>
      </c>
      <c r="F141" s="20">
        <v>5132.71</v>
      </c>
      <c r="G141" s="20">
        <v>13157.72</v>
      </c>
      <c r="H141" s="20">
        <v>4589.83</v>
      </c>
      <c r="I141" s="20">
        <v>5132.7</v>
      </c>
      <c r="J141" s="51" t="s">
        <v>6727</v>
      </c>
      <c r="K141" s="15">
        <v>21</v>
      </c>
      <c r="L141" s="51" t="s">
        <v>2369</v>
      </c>
      <c r="M141" s="51" t="s">
        <v>2105</v>
      </c>
      <c r="N141" s="51" t="s">
        <v>1340</v>
      </c>
      <c r="O141" s="51" t="s">
        <v>67</v>
      </c>
      <c r="P141" s="51" t="s">
        <v>67</v>
      </c>
      <c r="Q141" s="45">
        <v>46250.884165960648</v>
      </c>
      <c r="R141" s="46">
        <v>46300</v>
      </c>
      <c r="S141" s="46">
        <v>46295</v>
      </c>
      <c r="T141" s="51" t="s">
        <v>6119</v>
      </c>
      <c r="U141" s="15">
        <v>156.91</v>
      </c>
      <c r="V141" s="15">
        <v>725.65</v>
      </c>
      <c r="W141" s="15">
        <v>6.68</v>
      </c>
      <c r="X141" s="15">
        <v>0</v>
      </c>
      <c r="Y141" s="15">
        <v>1.6245240000000001</v>
      </c>
      <c r="Z141" s="15">
        <v>6</v>
      </c>
      <c r="AA141" s="46">
        <v>46270</v>
      </c>
      <c r="AB141" s="15"/>
      <c r="AC141" s="15"/>
      <c r="AD141" s="15"/>
      <c r="AE141" s="15"/>
      <c r="AF141" s="15"/>
      <c r="AG141" s="15"/>
      <c r="AH141" s="15"/>
      <c r="AI141" s="46"/>
      <c r="AJ141" s="51" t="s">
        <v>6121</v>
      </c>
      <c r="AK141" s="51" t="s">
        <v>6121</v>
      </c>
      <c r="AL141" s="15">
        <v>156.91</v>
      </c>
      <c r="AM141" s="51" t="s">
        <v>67</v>
      </c>
      <c r="AN141" s="51" t="s">
        <v>67</v>
      </c>
      <c r="AO141" s="50" t="s">
        <v>9554</v>
      </c>
    </row>
    <row r="142" spans="1:41" hidden="1" x14ac:dyDescent="0.25">
      <c r="A142" s="51" t="s">
        <v>2172</v>
      </c>
      <c r="B142" s="51" t="s">
        <v>1748</v>
      </c>
      <c r="C142" s="54" t="s">
        <v>608</v>
      </c>
      <c r="D142" s="51" t="s">
        <v>1749</v>
      </c>
      <c r="E142" s="20">
        <v>3035.55</v>
      </c>
      <c r="F142" s="20">
        <v>5331.94</v>
      </c>
      <c r="G142" s="20">
        <v>3190.69</v>
      </c>
      <c r="H142" s="20">
        <v>4445.62</v>
      </c>
      <c r="I142" s="20">
        <v>5331.94</v>
      </c>
      <c r="J142" s="51" t="s">
        <v>6727</v>
      </c>
      <c r="K142" s="15">
        <v>37</v>
      </c>
      <c r="L142" s="51" t="s">
        <v>2369</v>
      </c>
      <c r="M142" s="51" t="s">
        <v>1750</v>
      </c>
      <c r="N142" s="51" t="s">
        <v>1340</v>
      </c>
      <c r="O142" s="51" t="s">
        <v>67</v>
      </c>
      <c r="P142" s="51" t="s">
        <v>67</v>
      </c>
      <c r="Q142" s="45">
        <v>46250.897699745372</v>
      </c>
      <c r="R142" s="46">
        <v>46315</v>
      </c>
      <c r="S142" s="46">
        <v>46310</v>
      </c>
      <c r="T142" s="51" t="s">
        <v>6119</v>
      </c>
      <c r="U142" s="15">
        <v>125.44</v>
      </c>
      <c r="V142" s="15">
        <v>580.09</v>
      </c>
      <c r="W142" s="15">
        <v>5.33</v>
      </c>
      <c r="X142" s="15">
        <v>0</v>
      </c>
      <c r="Y142" s="15">
        <v>1.6247400000000001</v>
      </c>
      <c r="Z142" s="15">
        <v>6</v>
      </c>
      <c r="AA142" s="46">
        <v>46285</v>
      </c>
      <c r="AB142" s="15"/>
      <c r="AC142" s="15"/>
      <c r="AD142" s="15"/>
      <c r="AE142" s="15"/>
      <c r="AF142" s="15"/>
      <c r="AG142" s="15"/>
      <c r="AH142" s="15"/>
      <c r="AI142" s="46"/>
      <c r="AJ142" s="51" t="s">
        <v>6121</v>
      </c>
      <c r="AK142" s="51" t="s">
        <v>6121</v>
      </c>
      <c r="AL142" s="15">
        <v>125.44</v>
      </c>
      <c r="AM142" s="51" t="s">
        <v>67</v>
      </c>
      <c r="AN142" s="51" t="s">
        <v>67</v>
      </c>
      <c r="AO142" s="50" t="s">
        <v>9554</v>
      </c>
    </row>
    <row r="143" spans="1:41" hidden="1" x14ac:dyDescent="0.25">
      <c r="A143" s="51" t="s">
        <v>2173</v>
      </c>
      <c r="B143" s="51" t="s">
        <v>1791</v>
      </c>
      <c r="C143" s="54" t="s">
        <v>605</v>
      </c>
      <c r="D143" s="51" t="s">
        <v>1792</v>
      </c>
      <c r="E143" s="20">
        <v>8503.75</v>
      </c>
      <c r="F143" s="20">
        <v>832.88</v>
      </c>
      <c r="G143" s="20">
        <v>19076.11</v>
      </c>
      <c r="H143" s="20">
        <v>814.93</v>
      </c>
      <c r="I143" s="20">
        <v>833.29</v>
      </c>
      <c r="J143" s="51" t="s">
        <v>6726</v>
      </c>
      <c r="K143" s="15">
        <v>16</v>
      </c>
      <c r="L143" s="51" t="s">
        <v>2369</v>
      </c>
      <c r="M143" s="51" t="s">
        <v>1793</v>
      </c>
      <c r="N143" s="51" t="s">
        <v>1340</v>
      </c>
      <c r="O143" s="51" t="s">
        <v>67</v>
      </c>
      <c r="P143" s="51" t="s">
        <v>67</v>
      </c>
      <c r="Q143" s="45">
        <v>46250.898502719909</v>
      </c>
      <c r="R143" s="46">
        <v>46305</v>
      </c>
      <c r="S143" s="46">
        <v>46300</v>
      </c>
      <c r="T143" s="51" t="s">
        <v>6119</v>
      </c>
      <c r="U143" s="15">
        <v>178.54</v>
      </c>
      <c r="V143" s="15">
        <v>825.67</v>
      </c>
      <c r="W143" s="15">
        <v>7.6</v>
      </c>
      <c r="X143" s="15">
        <v>3.14</v>
      </c>
      <c r="Y143" s="15">
        <v>1.6623349999999999</v>
      </c>
      <c r="Z143" s="15">
        <v>6</v>
      </c>
      <c r="AA143" s="46">
        <v>46275</v>
      </c>
      <c r="AB143" s="15"/>
      <c r="AC143" s="15"/>
      <c r="AD143" s="15"/>
      <c r="AE143" s="15"/>
      <c r="AF143" s="15"/>
      <c r="AG143" s="15"/>
      <c r="AH143" s="15"/>
      <c r="AI143" s="46"/>
      <c r="AJ143" s="51" t="s">
        <v>6121</v>
      </c>
      <c r="AK143" s="51" t="s">
        <v>6121</v>
      </c>
      <c r="AL143" s="15">
        <v>178.54</v>
      </c>
      <c r="AM143" s="51" t="s">
        <v>67</v>
      </c>
      <c r="AN143" s="51" t="s">
        <v>67</v>
      </c>
      <c r="AO143" s="50" t="s">
        <v>9554</v>
      </c>
    </row>
    <row r="144" spans="1:41" hidden="1" x14ac:dyDescent="0.25">
      <c r="A144" s="51" t="s">
        <v>2174</v>
      </c>
      <c r="B144" s="51" t="s">
        <v>2120</v>
      </c>
      <c r="C144" s="54" t="s">
        <v>607</v>
      </c>
      <c r="D144" s="51" t="s">
        <v>2121</v>
      </c>
      <c r="E144" s="20">
        <v>13392.63</v>
      </c>
      <c r="F144" s="20">
        <v>92.13</v>
      </c>
      <c r="G144" s="20">
        <v>6872.86</v>
      </c>
      <c r="H144" s="20">
        <v>4639.6400000000003</v>
      </c>
      <c r="I144" s="20">
        <v>92.13</v>
      </c>
      <c r="J144" s="51" t="s">
        <v>6724</v>
      </c>
      <c r="K144" s="15">
        <v>0</v>
      </c>
      <c r="L144" s="51" t="s">
        <v>2371</v>
      </c>
      <c r="M144" s="51" t="s">
        <v>2122</v>
      </c>
      <c r="N144" s="51" t="s">
        <v>1340</v>
      </c>
      <c r="O144" s="51" t="s">
        <v>67</v>
      </c>
      <c r="P144" s="51" t="s">
        <v>67</v>
      </c>
      <c r="Q144" s="45">
        <v>46250.94605489583</v>
      </c>
      <c r="R144" s="46">
        <v>46310</v>
      </c>
      <c r="S144" s="46">
        <v>46305</v>
      </c>
      <c r="T144" s="51" t="s">
        <v>6119</v>
      </c>
      <c r="U144" s="15"/>
      <c r="V144" s="15"/>
      <c r="W144" s="15"/>
      <c r="X144" s="15"/>
      <c r="Y144" s="15"/>
      <c r="Z144" s="15"/>
      <c r="AA144" s="46"/>
      <c r="AB144" s="15"/>
      <c r="AC144" s="15"/>
      <c r="AD144" s="15"/>
      <c r="AE144" s="15"/>
      <c r="AF144" s="15"/>
      <c r="AG144" s="15"/>
      <c r="AH144" s="15"/>
      <c r="AI144" s="46"/>
      <c r="AJ144" s="51" t="s">
        <v>67</v>
      </c>
      <c r="AK144" s="51" t="s">
        <v>67</v>
      </c>
      <c r="AL144" s="15"/>
      <c r="AM144" s="51" t="s">
        <v>67</v>
      </c>
      <c r="AN144" s="51" t="s">
        <v>67</v>
      </c>
      <c r="AO144" s="50" t="s">
        <v>9554</v>
      </c>
    </row>
    <row r="145" spans="1:41" hidden="1" x14ac:dyDescent="0.25">
      <c r="A145" s="51" t="s">
        <v>2175</v>
      </c>
      <c r="B145" s="51" t="s">
        <v>1892</v>
      </c>
      <c r="C145" s="54" t="s">
        <v>5596</v>
      </c>
      <c r="D145" s="51" t="s">
        <v>1893</v>
      </c>
      <c r="E145" s="20">
        <v>3412.12</v>
      </c>
      <c r="F145" s="20">
        <v>5612.13</v>
      </c>
      <c r="G145" s="20">
        <v>-1704.92</v>
      </c>
      <c r="H145" s="20">
        <v>4403.88</v>
      </c>
      <c r="I145" s="20">
        <v>5612.13</v>
      </c>
      <c r="J145" s="51" t="s">
        <v>6727</v>
      </c>
      <c r="K145" s="15">
        <v>52</v>
      </c>
      <c r="L145" s="51" t="s">
        <v>2369</v>
      </c>
      <c r="M145" s="51" t="s">
        <v>1894</v>
      </c>
      <c r="N145" s="51" t="s">
        <v>1340</v>
      </c>
      <c r="O145" s="51" t="s">
        <v>67</v>
      </c>
      <c r="P145" s="51" t="s">
        <v>67</v>
      </c>
      <c r="Q145" s="45">
        <v>46254.905631608795</v>
      </c>
      <c r="R145" s="46">
        <v>46300</v>
      </c>
      <c r="S145" s="46">
        <v>46295</v>
      </c>
      <c r="T145" s="51" t="s">
        <v>6119</v>
      </c>
      <c r="U145" s="15">
        <v>116.33</v>
      </c>
      <c r="V145" s="15">
        <v>537.97</v>
      </c>
      <c r="W145" s="15">
        <v>4.95</v>
      </c>
      <c r="X145" s="15">
        <v>0</v>
      </c>
      <c r="Y145" s="15">
        <v>1.6247119999999999</v>
      </c>
      <c r="Z145" s="15">
        <v>6</v>
      </c>
      <c r="AA145" s="46">
        <v>46270</v>
      </c>
      <c r="AB145" s="15">
        <v>29.32</v>
      </c>
      <c r="AC145" s="15">
        <v>53.3</v>
      </c>
      <c r="AD145" s="15">
        <v>5.33</v>
      </c>
      <c r="AE145" s="15">
        <v>79.7</v>
      </c>
      <c r="AF145" s="15">
        <v>511.54</v>
      </c>
      <c r="AG145" s="15">
        <v>7.84</v>
      </c>
      <c r="AH145" s="15">
        <v>1.5592969999999999</v>
      </c>
      <c r="AI145" s="46">
        <v>46283</v>
      </c>
      <c r="AJ145" s="51" t="s">
        <v>6121</v>
      </c>
      <c r="AK145" s="51" t="s">
        <v>6121</v>
      </c>
      <c r="AL145" s="15">
        <v>116.33</v>
      </c>
      <c r="AM145" s="51" t="s">
        <v>6705</v>
      </c>
      <c r="AN145" s="51" t="s">
        <v>6713</v>
      </c>
      <c r="AO145" s="50" t="s">
        <v>9554</v>
      </c>
    </row>
    <row r="146" spans="1:41" hidden="1" x14ac:dyDescent="0.25">
      <c r="A146" s="51" t="s">
        <v>2176</v>
      </c>
      <c r="B146" s="51" t="s">
        <v>1586</v>
      </c>
      <c r="C146" s="54" t="s">
        <v>5596</v>
      </c>
      <c r="D146" s="51" t="s">
        <v>1587</v>
      </c>
      <c r="E146" s="20">
        <v>3690.43</v>
      </c>
      <c r="F146" s="20">
        <v>1134.72</v>
      </c>
      <c r="G146" s="20">
        <v>15129.21</v>
      </c>
      <c r="H146" s="20">
        <v>995.15</v>
      </c>
      <c r="I146" s="20">
        <v>1134.72</v>
      </c>
      <c r="J146" s="51" t="s">
        <v>6727</v>
      </c>
      <c r="K146" s="15">
        <v>21</v>
      </c>
      <c r="L146" s="51" t="s">
        <v>2369</v>
      </c>
      <c r="M146" s="51" t="s">
        <v>1588</v>
      </c>
      <c r="N146" s="51" t="s">
        <v>1340</v>
      </c>
      <c r="O146" s="51" t="s">
        <v>67</v>
      </c>
      <c r="P146" s="51" t="s">
        <v>67</v>
      </c>
      <c r="Q146" s="45">
        <v>46254.907106284722</v>
      </c>
      <c r="R146" s="46">
        <v>46300</v>
      </c>
      <c r="S146" s="46">
        <v>46295</v>
      </c>
      <c r="T146" s="51" t="s">
        <v>6119</v>
      </c>
      <c r="U146" s="15">
        <v>218.03</v>
      </c>
      <c r="V146" s="15">
        <v>1008.27</v>
      </c>
      <c r="W146" s="15">
        <v>9.2899999999999991</v>
      </c>
      <c r="X146" s="15">
        <v>3.83</v>
      </c>
      <c r="Y146" s="15">
        <v>1.6626190000000001</v>
      </c>
      <c r="Z146" s="15">
        <v>6</v>
      </c>
      <c r="AA146" s="46">
        <v>46270</v>
      </c>
      <c r="AB146" s="15"/>
      <c r="AC146" s="15"/>
      <c r="AD146" s="15"/>
      <c r="AE146" s="15"/>
      <c r="AF146" s="15"/>
      <c r="AG146" s="15"/>
      <c r="AH146" s="15"/>
      <c r="AI146" s="46"/>
      <c r="AJ146" s="51" t="s">
        <v>6121</v>
      </c>
      <c r="AK146" s="51" t="s">
        <v>6121</v>
      </c>
      <c r="AL146" s="15">
        <v>218.03</v>
      </c>
      <c r="AM146" s="51" t="s">
        <v>67</v>
      </c>
      <c r="AN146" s="51" t="s">
        <v>67</v>
      </c>
      <c r="AO146" s="50" t="s">
        <v>9554</v>
      </c>
    </row>
    <row r="147" spans="1:41" hidden="1" x14ac:dyDescent="0.25">
      <c r="A147" s="51" t="s">
        <v>2177</v>
      </c>
      <c r="B147" s="51" t="s">
        <v>1949</v>
      </c>
      <c r="C147" s="54" t="s">
        <v>5596</v>
      </c>
      <c r="D147" s="51" t="s">
        <v>1950</v>
      </c>
      <c r="E147" s="20">
        <v>1291.8900000000001</v>
      </c>
      <c r="F147" s="20">
        <v>5384.7</v>
      </c>
      <c r="G147" s="20">
        <v>6279.12</v>
      </c>
      <c r="H147" s="20">
        <v>4176.4399999999996</v>
      </c>
      <c r="I147" s="20">
        <v>5384.69</v>
      </c>
      <c r="J147" s="51" t="s">
        <v>6727</v>
      </c>
      <c r="K147" s="15">
        <v>52</v>
      </c>
      <c r="L147" s="51" t="s">
        <v>2369</v>
      </c>
      <c r="M147" s="51" t="s">
        <v>1951</v>
      </c>
      <c r="N147" s="51" t="s">
        <v>1344</v>
      </c>
      <c r="O147" s="51" t="s">
        <v>67</v>
      </c>
      <c r="P147" s="51" t="s">
        <v>67</v>
      </c>
      <c r="Q147" s="45">
        <v>46254.919112152777</v>
      </c>
      <c r="R147" s="46">
        <v>46300</v>
      </c>
      <c r="S147" s="46">
        <v>46295</v>
      </c>
      <c r="T147" s="51" t="s">
        <v>6119</v>
      </c>
      <c r="U147" s="15">
        <v>66.69</v>
      </c>
      <c r="V147" s="15">
        <v>308.41000000000003</v>
      </c>
      <c r="W147" s="15">
        <v>2.83</v>
      </c>
      <c r="X147" s="15">
        <v>0</v>
      </c>
      <c r="Y147" s="15">
        <v>1.624433</v>
      </c>
      <c r="Z147" s="15">
        <v>6</v>
      </c>
      <c r="AA147" s="46">
        <v>46270</v>
      </c>
      <c r="AB147" s="15">
        <v>16.809999999999999</v>
      </c>
      <c r="AC147" s="15">
        <v>30.56</v>
      </c>
      <c r="AD147" s="15">
        <v>3.06</v>
      </c>
      <c r="AE147" s="15">
        <v>45.69</v>
      </c>
      <c r="AF147" s="15">
        <v>293.26</v>
      </c>
      <c r="AG147" s="15">
        <v>4.49</v>
      </c>
      <c r="AH147" s="15">
        <v>1.5590250000000001</v>
      </c>
      <c r="AI147" s="46">
        <v>46283</v>
      </c>
      <c r="AJ147" s="51" t="s">
        <v>6121</v>
      </c>
      <c r="AK147" s="51" t="s">
        <v>6121</v>
      </c>
      <c r="AL147" s="15">
        <v>66.69</v>
      </c>
      <c r="AM147" s="51" t="s">
        <v>67</v>
      </c>
      <c r="AN147" s="51" t="s">
        <v>67</v>
      </c>
      <c r="AO147" s="50" t="s">
        <v>9554</v>
      </c>
    </row>
    <row r="148" spans="1:41" hidden="1" x14ac:dyDescent="0.25">
      <c r="A148" s="51" t="s">
        <v>2178</v>
      </c>
      <c r="B148" s="51" t="s">
        <v>1830</v>
      </c>
      <c r="C148" s="54" t="s">
        <v>611</v>
      </c>
      <c r="D148" s="51" t="s">
        <v>1828</v>
      </c>
      <c r="E148" s="20">
        <v>2559.06</v>
      </c>
      <c r="F148" s="20">
        <v>4649.84</v>
      </c>
      <c r="G148" s="20">
        <v>1410.83</v>
      </c>
      <c r="H148" s="20">
        <v>3870.86</v>
      </c>
      <c r="I148" s="20">
        <v>4649.84</v>
      </c>
      <c r="J148" s="51" t="s">
        <v>6727</v>
      </c>
      <c r="K148" s="15">
        <v>32</v>
      </c>
      <c r="L148" s="51" t="s">
        <v>2369</v>
      </c>
      <c r="M148" s="51" t="s">
        <v>1831</v>
      </c>
      <c r="N148" s="51" t="s">
        <v>1344</v>
      </c>
      <c r="O148" s="51" t="s">
        <v>67</v>
      </c>
      <c r="P148" s="51" t="s">
        <v>67</v>
      </c>
      <c r="Q148" s="45">
        <v>46254.919206250001</v>
      </c>
      <c r="R148" s="46">
        <v>46320</v>
      </c>
      <c r="S148" s="46">
        <v>46315</v>
      </c>
      <c r="T148" s="51" t="s">
        <v>6119</v>
      </c>
      <c r="U148" s="15">
        <v>849.8</v>
      </c>
      <c r="V148" s="15">
        <v>3922.15</v>
      </c>
      <c r="W148" s="15">
        <v>36.39</v>
      </c>
      <c r="X148" s="15">
        <v>14.9</v>
      </c>
      <c r="Y148" s="15">
        <v>1.6620440000000001</v>
      </c>
      <c r="Z148" s="15">
        <v>6</v>
      </c>
      <c r="AA148" s="46">
        <v>46259</v>
      </c>
      <c r="AB148" s="15"/>
      <c r="AC148" s="15"/>
      <c r="AD148" s="15"/>
      <c r="AE148" s="15"/>
      <c r="AF148" s="15"/>
      <c r="AG148" s="15"/>
      <c r="AH148" s="15"/>
      <c r="AI148" s="46"/>
      <c r="AJ148" s="51" t="s">
        <v>6121</v>
      </c>
      <c r="AK148" s="51" t="s">
        <v>6121</v>
      </c>
      <c r="AL148" s="15">
        <v>849.8</v>
      </c>
      <c r="AM148" s="51" t="s">
        <v>67</v>
      </c>
      <c r="AN148" s="51" t="s">
        <v>67</v>
      </c>
      <c r="AO148" s="50" t="s">
        <v>9554</v>
      </c>
    </row>
    <row r="149" spans="1:41" hidden="1" x14ac:dyDescent="0.25">
      <c r="A149" s="51" t="s">
        <v>2179</v>
      </c>
      <c r="B149" s="51" t="s">
        <v>1772</v>
      </c>
      <c r="C149" s="54" t="s">
        <v>5596</v>
      </c>
      <c r="D149" s="51" t="s">
        <v>1770</v>
      </c>
      <c r="E149" s="20">
        <v>1951.23</v>
      </c>
      <c r="F149" s="20">
        <v>5389.43</v>
      </c>
      <c r="G149" s="20">
        <v>-2689.03</v>
      </c>
      <c r="H149" s="20">
        <v>4181.17</v>
      </c>
      <c r="I149" s="20">
        <v>5389.42</v>
      </c>
      <c r="J149" s="51" t="s">
        <v>6727</v>
      </c>
      <c r="K149" s="15">
        <v>52</v>
      </c>
      <c r="L149" s="51" t="s">
        <v>2369</v>
      </c>
      <c r="M149" s="51" t="s">
        <v>1773</v>
      </c>
      <c r="N149" s="51" t="s">
        <v>1340</v>
      </c>
      <c r="O149" s="51" t="s">
        <v>67</v>
      </c>
      <c r="P149" s="51" t="s">
        <v>67</v>
      </c>
      <c r="Q149" s="45">
        <v>46254.9192621412</v>
      </c>
      <c r="R149" s="46">
        <v>46300</v>
      </c>
      <c r="S149" s="46">
        <v>46295</v>
      </c>
      <c r="T149" s="51" t="s">
        <v>6119</v>
      </c>
      <c r="U149" s="15">
        <v>67.73</v>
      </c>
      <c r="V149" s="15">
        <v>313.2</v>
      </c>
      <c r="W149" s="15">
        <v>2.89</v>
      </c>
      <c r="X149" s="15">
        <v>0</v>
      </c>
      <c r="Y149" s="15">
        <v>1.625542</v>
      </c>
      <c r="Z149" s="15">
        <v>6</v>
      </c>
      <c r="AA149" s="46">
        <v>46270</v>
      </c>
      <c r="AB149" s="15">
        <v>17.07</v>
      </c>
      <c r="AC149" s="15">
        <v>31.03</v>
      </c>
      <c r="AD149" s="15">
        <v>3.1</v>
      </c>
      <c r="AE149" s="15">
        <v>46.4</v>
      </c>
      <c r="AF149" s="15">
        <v>297.81</v>
      </c>
      <c r="AG149" s="15">
        <v>4.57</v>
      </c>
      <c r="AH149" s="15">
        <v>1.5594060000000001</v>
      </c>
      <c r="AI149" s="46">
        <v>46283</v>
      </c>
      <c r="AJ149" s="51" t="s">
        <v>6121</v>
      </c>
      <c r="AK149" s="51" t="s">
        <v>6121</v>
      </c>
      <c r="AL149" s="15">
        <v>67.73</v>
      </c>
      <c r="AM149" s="51" t="s">
        <v>6705</v>
      </c>
      <c r="AN149" s="51" t="s">
        <v>6713</v>
      </c>
      <c r="AO149" s="50" t="s">
        <v>9554</v>
      </c>
    </row>
    <row r="150" spans="1:41" hidden="1" x14ac:dyDescent="0.25">
      <c r="A150" s="51" t="s">
        <v>2180</v>
      </c>
      <c r="B150" s="51" t="s">
        <v>1656</v>
      </c>
      <c r="C150" s="54" t="s">
        <v>605</v>
      </c>
      <c r="D150" s="51" t="s">
        <v>1654</v>
      </c>
      <c r="E150" s="20">
        <v>791.24</v>
      </c>
      <c r="F150" s="20">
        <v>1138.5</v>
      </c>
      <c r="G150" s="20">
        <v>3612.38</v>
      </c>
      <c r="H150" s="20">
        <v>4185.4799999999996</v>
      </c>
      <c r="I150" s="20">
        <v>1138.5</v>
      </c>
      <c r="J150" s="51" t="s">
        <v>6726</v>
      </c>
      <c r="K150" s="15">
        <v>0</v>
      </c>
      <c r="L150" s="51" t="s">
        <v>2371</v>
      </c>
      <c r="M150" s="51" t="s">
        <v>1657</v>
      </c>
      <c r="N150" s="51" t="s">
        <v>1340</v>
      </c>
      <c r="O150" s="51" t="s">
        <v>67</v>
      </c>
      <c r="P150" s="51" t="s">
        <v>67</v>
      </c>
      <c r="Q150" s="45">
        <v>46254.919327650467</v>
      </c>
      <c r="R150" s="46">
        <v>46305</v>
      </c>
      <c r="S150" s="46">
        <v>46300</v>
      </c>
      <c r="T150" s="51" t="s">
        <v>6119</v>
      </c>
      <c r="U150" s="15">
        <v>68.66</v>
      </c>
      <c r="V150" s="15">
        <v>317.54000000000002</v>
      </c>
      <c r="W150" s="15">
        <v>2.92</v>
      </c>
      <c r="X150" s="15">
        <v>0</v>
      </c>
      <c r="Y150" s="15">
        <v>1.624023</v>
      </c>
      <c r="Z150" s="15">
        <v>6</v>
      </c>
      <c r="AA150" s="46">
        <v>46275</v>
      </c>
      <c r="AB150" s="15"/>
      <c r="AC150" s="15"/>
      <c r="AD150" s="15"/>
      <c r="AE150" s="15"/>
      <c r="AF150" s="15"/>
      <c r="AG150" s="15"/>
      <c r="AH150" s="15"/>
      <c r="AI150" s="46"/>
      <c r="AJ150" s="51" t="s">
        <v>67</v>
      </c>
      <c r="AK150" s="51" t="s">
        <v>6121</v>
      </c>
      <c r="AL150" s="15">
        <v>68.66</v>
      </c>
      <c r="AM150" s="51" t="s">
        <v>67</v>
      </c>
      <c r="AN150" s="51" t="s">
        <v>67</v>
      </c>
      <c r="AO150" s="50" t="s">
        <v>9554</v>
      </c>
    </row>
    <row r="151" spans="1:41" hidden="1" x14ac:dyDescent="0.25">
      <c r="A151" s="51" t="s">
        <v>2181</v>
      </c>
      <c r="B151" s="51" t="s">
        <v>1643</v>
      </c>
      <c r="C151" s="54" t="s">
        <v>5596</v>
      </c>
      <c r="D151" s="51" t="s">
        <v>1644</v>
      </c>
      <c r="E151" s="20">
        <v>11338.54</v>
      </c>
      <c r="F151" s="20">
        <v>92.13</v>
      </c>
      <c r="G151" s="20">
        <v>12929.41</v>
      </c>
      <c r="H151" s="20">
        <v>4575.22</v>
      </c>
      <c r="I151" s="20">
        <v>92.13</v>
      </c>
      <c r="J151" s="51" t="s">
        <v>6724</v>
      </c>
      <c r="K151" s="15">
        <v>0</v>
      </c>
      <c r="L151" s="51" t="s">
        <v>2371</v>
      </c>
      <c r="M151" s="51" t="s">
        <v>1645</v>
      </c>
      <c r="N151" s="51" t="s">
        <v>1340</v>
      </c>
      <c r="O151" s="51" t="s">
        <v>67</v>
      </c>
      <c r="P151" s="51" t="s">
        <v>67</v>
      </c>
      <c r="Q151" s="45">
        <v>46254.919455636576</v>
      </c>
      <c r="R151" s="46">
        <v>46300</v>
      </c>
      <c r="S151" s="46">
        <v>46295</v>
      </c>
      <c r="T151" s="51" t="s">
        <v>6119</v>
      </c>
      <c r="U151" s="15"/>
      <c r="V151" s="15"/>
      <c r="W151" s="15"/>
      <c r="X151" s="15"/>
      <c r="Y151" s="15"/>
      <c r="Z151" s="15"/>
      <c r="AA151" s="46"/>
      <c r="AB151" s="15"/>
      <c r="AC151" s="15"/>
      <c r="AD151" s="15"/>
      <c r="AE151" s="15"/>
      <c r="AF151" s="15"/>
      <c r="AG151" s="15"/>
      <c r="AH151" s="15"/>
      <c r="AI151" s="46"/>
      <c r="AJ151" s="51" t="s">
        <v>67</v>
      </c>
      <c r="AK151" s="51" t="s">
        <v>67</v>
      </c>
      <c r="AL151" s="15"/>
      <c r="AM151" s="51" t="s">
        <v>67</v>
      </c>
      <c r="AN151" s="51" t="s">
        <v>67</v>
      </c>
      <c r="AO151" s="50" t="s">
        <v>9554</v>
      </c>
    </row>
    <row r="152" spans="1:41" hidden="1" x14ac:dyDescent="0.25">
      <c r="A152" s="51" t="s">
        <v>2182</v>
      </c>
      <c r="B152" s="51" t="s">
        <v>1589</v>
      </c>
      <c r="C152" s="54" t="s">
        <v>608</v>
      </c>
      <c r="D152" s="51" t="s">
        <v>1587</v>
      </c>
      <c r="E152" s="20">
        <v>6831.36</v>
      </c>
      <c r="F152" s="20">
        <v>3769.11</v>
      </c>
      <c r="G152" s="20">
        <v>10101.25</v>
      </c>
      <c r="H152" s="20">
        <v>4513.92</v>
      </c>
      <c r="I152" s="20">
        <v>3769.11</v>
      </c>
      <c r="J152" s="51" t="s">
        <v>6726</v>
      </c>
      <c r="K152" s="15">
        <v>0</v>
      </c>
      <c r="L152" s="51" t="s">
        <v>2371</v>
      </c>
      <c r="M152" s="51" t="s">
        <v>1590</v>
      </c>
      <c r="N152" s="51" t="s">
        <v>1340</v>
      </c>
      <c r="O152" s="51" t="s">
        <v>67</v>
      </c>
      <c r="P152" s="51" t="s">
        <v>67</v>
      </c>
      <c r="Q152" s="45">
        <v>46254.91957283565</v>
      </c>
      <c r="R152" s="46">
        <v>46315</v>
      </c>
      <c r="S152" s="46">
        <v>46310</v>
      </c>
      <c r="T152" s="51" t="s">
        <v>6119</v>
      </c>
      <c r="U152" s="15"/>
      <c r="V152" s="15"/>
      <c r="W152" s="15"/>
      <c r="X152" s="15"/>
      <c r="Y152" s="15"/>
      <c r="Z152" s="15"/>
      <c r="AA152" s="46"/>
      <c r="AB152" s="15"/>
      <c r="AC152" s="15"/>
      <c r="AD152" s="15"/>
      <c r="AE152" s="15"/>
      <c r="AF152" s="15"/>
      <c r="AG152" s="15"/>
      <c r="AH152" s="15"/>
      <c r="AI152" s="46"/>
      <c r="AJ152" s="51" t="s">
        <v>67</v>
      </c>
      <c r="AK152" s="51" t="s">
        <v>67</v>
      </c>
      <c r="AL152" s="15"/>
      <c r="AM152" s="51" t="s">
        <v>6705</v>
      </c>
      <c r="AN152" s="51" t="s">
        <v>6120</v>
      </c>
      <c r="AO152" s="50" t="s">
        <v>9554</v>
      </c>
    </row>
    <row r="153" spans="1:41" hidden="1" x14ac:dyDescent="0.25">
      <c r="A153" s="51" t="s">
        <v>2183</v>
      </c>
      <c r="B153" s="51" t="s">
        <v>2109</v>
      </c>
      <c r="C153" s="54" t="s">
        <v>611</v>
      </c>
      <c r="D153" s="51" t="s">
        <v>2107</v>
      </c>
      <c r="E153" s="20">
        <v>3827.43</v>
      </c>
      <c r="F153" s="20">
        <v>0</v>
      </c>
      <c r="G153" s="20">
        <v>16751.29</v>
      </c>
      <c r="H153" s="20">
        <v>0</v>
      </c>
      <c r="I153" s="20">
        <v>748.99</v>
      </c>
      <c r="J153" s="51" t="s">
        <v>2654</v>
      </c>
      <c r="K153" s="15">
        <v>0</v>
      </c>
      <c r="L153" s="51" t="s">
        <v>2371</v>
      </c>
      <c r="M153" s="51" t="s">
        <v>2110</v>
      </c>
      <c r="N153" s="51" t="s">
        <v>1344</v>
      </c>
      <c r="O153" s="51" t="s">
        <v>67</v>
      </c>
      <c r="P153" s="51" t="s">
        <v>67</v>
      </c>
      <c r="Q153" s="45">
        <v>46254.919802245371</v>
      </c>
      <c r="R153" s="46">
        <v>46320</v>
      </c>
      <c r="S153" s="46">
        <v>46315</v>
      </c>
      <c r="T153" s="51" t="s">
        <v>6119</v>
      </c>
      <c r="U153" s="15"/>
      <c r="V153" s="15"/>
      <c r="W153" s="15"/>
      <c r="X153" s="15"/>
      <c r="Y153" s="15"/>
      <c r="Z153" s="15"/>
      <c r="AA153" s="46"/>
      <c r="AB153" s="15"/>
      <c r="AC153" s="15"/>
      <c r="AD153" s="15"/>
      <c r="AE153" s="15"/>
      <c r="AF153" s="15"/>
      <c r="AG153" s="15"/>
      <c r="AH153" s="15"/>
      <c r="AI153" s="46"/>
      <c r="AJ153" s="51" t="s">
        <v>67</v>
      </c>
      <c r="AK153" s="51" t="s">
        <v>67</v>
      </c>
      <c r="AL153" s="15"/>
      <c r="AM153" s="51" t="s">
        <v>67</v>
      </c>
      <c r="AN153" s="51" t="s">
        <v>67</v>
      </c>
      <c r="AO153" s="50" t="s">
        <v>9554</v>
      </c>
    </row>
    <row r="154" spans="1:41" hidden="1" x14ac:dyDescent="0.25">
      <c r="A154" s="51" t="s">
        <v>2184</v>
      </c>
      <c r="B154" s="51" t="s">
        <v>1465</v>
      </c>
      <c r="C154" s="54" t="s">
        <v>611</v>
      </c>
      <c r="D154" s="51" t="s">
        <v>1462</v>
      </c>
      <c r="E154" s="20">
        <v>1238.25</v>
      </c>
      <c r="F154" s="20">
        <v>4936.51</v>
      </c>
      <c r="G154" s="20">
        <v>-1922.84</v>
      </c>
      <c r="H154" s="20">
        <v>4157.5200000000004</v>
      </c>
      <c r="I154" s="20">
        <v>4936.5</v>
      </c>
      <c r="J154" s="51" t="s">
        <v>6727</v>
      </c>
      <c r="K154" s="15">
        <v>32</v>
      </c>
      <c r="L154" s="51" t="s">
        <v>2369</v>
      </c>
      <c r="M154" s="51" t="s">
        <v>1466</v>
      </c>
      <c r="N154" s="51" t="s">
        <v>1344</v>
      </c>
      <c r="O154" s="51" t="s">
        <v>67</v>
      </c>
      <c r="P154" s="51" t="s">
        <v>67</v>
      </c>
      <c r="Q154" s="45">
        <v>46254.919881412039</v>
      </c>
      <c r="R154" s="46">
        <v>46320</v>
      </c>
      <c r="S154" s="46">
        <v>46315</v>
      </c>
      <c r="T154" s="51" t="s">
        <v>6119</v>
      </c>
      <c r="U154" s="15">
        <v>849.8</v>
      </c>
      <c r="V154" s="15">
        <v>3922.15</v>
      </c>
      <c r="W154" s="15">
        <v>36.39</v>
      </c>
      <c r="X154" s="15">
        <v>14.9</v>
      </c>
      <c r="Y154" s="15">
        <v>1.6620440000000001</v>
      </c>
      <c r="Z154" s="15">
        <v>6</v>
      </c>
      <c r="AA154" s="46">
        <v>46259</v>
      </c>
      <c r="AB154" s="15"/>
      <c r="AC154" s="15"/>
      <c r="AD154" s="15"/>
      <c r="AE154" s="15"/>
      <c r="AF154" s="15"/>
      <c r="AG154" s="15"/>
      <c r="AH154" s="15"/>
      <c r="AI154" s="46"/>
      <c r="AJ154" s="51" t="s">
        <v>6121</v>
      </c>
      <c r="AK154" s="51" t="s">
        <v>6121</v>
      </c>
      <c r="AL154" s="15">
        <v>849.8</v>
      </c>
      <c r="AM154" s="51" t="s">
        <v>6705</v>
      </c>
      <c r="AN154" s="51" t="s">
        <v>6713</v>
      </c>
      <c r="AO154" s="50" t="s">
        <v>9554</v>
      </c>
    </row>
    <row r="155" spans="1:41" hidden="1" x14ac:dyDescent="0.25">
      <c r="A155" s="51" t="s">
        <v>2185</v>
      </c>
      <c r="B155" s="51" t="s">
        <v>1751</v>
      </c>
      <c r="C155" s="54" t="s">
        <v>611</v>
      </c>
      <c r="D155" s="51" t="s">
        <v>1749</v>
      </c>
      <c r="E155" s="20">
        <v>5743.67</v>
      </c>
      <c r="F155" s="20">
        <v>2025.06</v>
      </c>
      <c r="G155" s="20">
        <v>13212.79</v>
      </c>
      <c r="H155" s="20">
        <v>3870.86</v>
      </c>
      <c r="I155" s="20">
        <v>2025.06</v>
      </c>
      <c r="J155" s="51" t="s">
        <v>6726</v>
      </c>
      <c r="K155" s="15">
        <v>0</v>
      </c>
      <c r="L155" s="51" t="s">
        <v>2371</v>
      </c>
      <c r="M155" s="51" t="s">
        <v>1752</v>
      </c>
      <c r="N155" s="51" t="s">
        <v>1340</v>
      </c>
      <c r="O155" s="51" t="s">
        <v>67</v>
      </c>
      <c r="P155" s="51" t="s">
        <v>67</v>
      </c>
      <c r="Q155" s="45">
        <v>46254.919977650461</v>
      </c>
      <c r="R155" s="46">
        <v>46320</v>
      </c>
      <c r="S155" s="46">
        <v>46315</v>
      </c>
      <c r="T155" s="51" t="s">
        <v>6119</v>
      </c>
      <c r="U155" s="15">
        <v>849.8</v>
      </c>
      <c r="V155" s="15">
        <v>3922.15</v>
      </c>
      <c r="W155" s="15">
        <v>36.39</v>
      </c>
      <c r="X155" s="15">
        <v>14.9</v>
      </c>
      <c r="Y155" s="15">
        <v>1.6620440000000001</v>
      </c>
      <c r="Z155" s="15">
        <v>6</v>
      </c>
      <c r="AA155" s="46">
        <v>46259</v>
      </c>
      <c r="AB155" s="15"/>
      <c r="AC155" s="15"/>
      <c r="AD155" s="15"/>
      <c r="AE155" s="15"/>
      <c r="AF155" s="15"/>
      <c r="AG155" s="15"/>
      <c r="AH155" s="15"/>
      <c r="AI155" s="46"/>
      <c r="AJ155" s="51" t="s">
        <v>67</v>
      </c>
      <c r="AK155" s="51" t="s">
        <v>6121</v>
      </c>
      <c r="AL155" s="15">
        <v>849.8</v>
      </c>
      <c r="AM155" s="51" t="s">
        <v>67</v>
      </c>
      <c r="AN155" s="51" t="s">
        <v>67</v>
      </c>
      <c r="AO155" s="50" t="s">
        <v>9554</v>
      </c>
    </row>
    <row r="156" spans="1:41" hidden="1" x14ac:dyDescent="0.25">
      <c r="A156" s="51" t="s">
        <v>2186</v>
      </c>
      <c r="B156" s="51" t="s">
        <v>1810</v>
      </c>
      <c r="C156" s="54" t="s">
        <v>608</v>
      </c>
      <c r="D156" s="51" t="s">
        <v>1808</v>
      </c>
      <c r="E156" s="20">
        <v>5812.85</v>
      </c>
      <c r="F156" s="20">
        <v>731.59</v>
      </c>
      <c r="G156" s="20">
        <v>19062.23</v>
      </c>
      <c r="H156" s="20">
        <v>4475.79</v>
      </c>
      <c r="I156" s="20">
        <v>731.59</v>
      </c>
      <c r="J156" s="51" t="s">
        <v>6726</v>
      </c>
      <c r="K156" s="15">
        <v>6</v>
      </c>
      <c r="L156" s="51" t="s">
        <v>2369</v>
      </c>
      <c r="M156" s="51" t="s">
        <v>1811</v>
      </c>
      <c r="N156" s="51" t="s">
        <v>1344</v>
      </c>
      <c r="O156" s="51" t="s">
        <v>67</v>
      </c>
      <c r="P156" s="51" t="s">
        <v>67</v>
      </c>
      <c r="Q156" s="45">
        <v>46254.921526134262</v>
      </c>
      <c r="R156" s="46">
        <v>46315</v>
      </c>
      <c r="S156" s="46">
        <v>46310</v>
      </c>
      <c r="T156" s="51" t="s">
        <v>6119</v>
      </c>
      <c r="U156" s="15"/>
      <c r="V156" s="15"/>
      <c r="W156" s="15"/>
      <c r="X156" s="15"/>
      <c r="Y156" s="15"/>
      <c r="Z156" s="15"/>
      <c r="AA156" s="46"/>
      <c r="AB156" s="15"/>
      <c r="AC156" s="15"/>
      <c r="AD156" s="15"/>
      <c r="AE156" s="15"/>
      <c r="AF156" s="15"/>
      <c r="AG156" s="15"/>
      <c r="AH156" s="15"/>
      <c r="AI156" s="46"/>
      <c r="AJ156" s="51" t="s">
        <v>67</v>
      </c>
      <c r="AK156" s="51" t="s">
        <v>67</v>
      </c>
      <c r="AL156" s="15"/>
      <c r="AM156" s="51" t="s">
        <v>67</v>
      </c>
      <c r="AN156" s="51" t="s">
        <v>67</v>
      </c>
      <c r="AO156" s="50" t="s">
        <v>9554</v>
      </c>
    </row>
    <row r="157" spans="1:41" hidden="1" x14ac:dyDescent="0.25">
      <c r="A157" s="51" t="s">
        <v>2187</v>
      </c>
      <c r="B157" s="51" t="s">
        <v>2074</v>
      </c>
      <c r="C157" s="54" t="s">
        <v>605</v>
      </c>
      <c r="D157" s="51" t="s">
        <v>2075</v>
      </c>
      <c r="E157" s="20">
        <v>1000</v>
      </c>
      <c r="F157" s="20">
        <v>3820.49</v>
      </c>
      <c r="G157" s="20">
        <v>1179.51</v>
      </c>
      <c r="H157" s="20">
        <v>2235.64</v>
      </c>
      <c r="I157" s="20">
        <v>3820.49</v>
      </c>
      <c r="J157" s="51" t="s">
        <v>6727</v>
      </c>
      <c r="K157" s="15">
        <v>16</v>
      </c>
      <c r="L157" s="51" t="s">
        <v>2369</v>
      </c>
      <c r="M157" s="51" t="s">
        <v>2076</v>
      </c>
      <c r="N157" s="51" t="s">
        <v>1340</v>
      </c>
      <c r="O157" s="51" t="s">
        <v>67</v>
      </c>
      <c r="P157" s="51" t="s">
        <v>67</v>
      </c>
      <c r="Q157" s="45">
        <v>46254.958003009262</v>
      </c>
      <c r="R157" s="46">
        <v>46305</v>
      </c>
      <c r="S157" s="46">
        <v>46300</v>
      </c>
      <c r="T157" s="51" t="s">
        <v>6119</v>
      </c>
      <c r="U157" s="15">
        <v>489.79</v>
      </c>
      <c r="V157" s="15">
        <v>2265.08</v>
      </c>
      <c r="W157" s="15">
        <v>20.83</v>
      </c>
      <c r="X157" s="15">
        <v>8.61</v>
      </c>
      <c r="Y157" s="15">
        <v>1.662172</v>
      </c>
      <c r="Z157" s="15">
        <v>6</v>
      </c>
      <c r="AA157" s="46">
        <v>46275</v>
      </c>
      <c r="AB157" s="15"/>
      <c r="AC157" s="15"/>
      <c r="AD157" s="15"/>
      <c r="AE157" s="15"/>
      <c r="AF157" s="15"/>
      <c r="AG157" s="15"/>
      <c r="AH157" s="15"/>
      <c r="AI157" s="46"/>
      <c r="AJ157" s="51" t="s">
        <v>6121</v>
      </c>
      <c r="AK157" s="51" t="s">
        <v>6121</v>
      </c>
      <c r="AL157" s="15">
        <v>489.79</v>
      </c>
      <c r="AM157" s="51" t="s">
        <v>6705</v>
      </c>
      <c r="AN157" s="51" t="s">
        <v>6709</v>
      </c>
      <c r="AO157" s="50" t="s">
        <v>9554</v>
      </c>
    </row>
    <row r="158" spans="1:41" hidden="1" x14ac:dyDescent="0.25">
      <c r="A158" s="51" t="s">
        <v>2188</v>
      </c>
      <c r="B158" s="51" t="s">
        <v>2047</v>
      </c>
      <c r="C158" s="54" t="s">
        <v>607</v>
      </c>
      <c r="D158" s="51" t="s">
        <v>2048</v>
      </c>
      <c r="E158" s="20">
        <v>500</v>
      </c>
      <c r="F158" s="20">
        <v>931.62</v>
      </c>
      <c r="G158" s="20">
        <v>2068.38</v>
      </c>
      <c r="H158" s="20">
        <v>858.75</v>
      </c>
      <c r="I158" s="20">
        <v>931.62</v>
      </c>
      <c r="J158" s="51" t="s">
        <v>6727</v>
      </c>
      <c r="K158" s="15">
        <v>11</v>
      </c>
      <c r="L158" s="51" t="s">
        <v>2369</v>
      </c>
      <c r="M158" s="51" t="s">
        <v>2049</v>
      </c>
      <c r="N158" s="51" t="s">
        <v>1340</v>
      </c>
      <c r="O158" s="51" t="s">
        <v>67</v>
      </c>
      <c r="P158" s="51" t="s">
        <v>67</v>
      </c>
      <c r="Q158" s="45">
        <v>46254.958762824077</v>
      </c>
      <c r="R158" s="46">
        <v>46310</v>
      </c>
      <c r="S158" s="46">
        <v>46305</v>
      </c>
      <c r="T158" s="51" t="s">
        <v>6119</v>
      </c>
      <c r="U158" s="15">
        <v>188.14</v>
      </c>
      <c r="V158" s="15">
        <v>870.06</v>
      </c>
      <c r="W158" s="15">
        <v>8</v>
      </c>
      <c r="X158" s="15">
        <v>3.31</v>
      </c>
      <c r="Y158" s="15">
        <v>1.6623159999999999</v>
      </c>
      <c r="Z158" s="15">
        <v>6</v>
      </c>
      <c r="AA158" s="46">
        <v>46280</v>
      </c>
      <c r="AB158" s="15"/>
      <c r="AC158" s="15"/>
      <c r="AD158" s="15"/>
      <c r="AE158" s="15"/>
      <c r="AF158" s="15"/>
      <c r="AG158" s="15"/>
      <c r="AH158" s="15"/>
      <c r="AI158" s="46"/>
      <c r="AJ158" s="51" t="s">
        <v>6121</v>
      </c>
      <c r="AK158" s="51" t="s">
        <v>6121</v>
      </c>
      <c r="AL158" s="15">
        <v>188.14</v>
      </c>
      <c r="AM158" s="51" t="s">
        <v>67</v>
      </c>
      <c r="AN158" s="51" t="s">
        <v>67</v>
      </c>
      <c r="AO158" s="50" t="s">
        <v>9554</v>
      </c>
    </row>
    <row r="159" spans="1:41" hidden="1" x14ac:dyDescent="0.25">
      <c r="A159" s="51" t="s">
        <v>2189</v>
      </c>
      <c r="B159" s="51" t="s">
        <v>2044</v>
      </c>
      <c r="C159" s="54" t="s">
        <v>608</v>
      </c>
      <c r="D159" s="51" t="s">
        <v>2045</v>
      </c>
      <c r="E159" s="20">
        <v>750</v>
      </c>
      <c r="F159" s="20">
        <v>5512.17</v>
      </c>
      <c r="G159" s="20">
        <v>-1512.17</v>
      </c>
      <c r="H159" s="20">
        <v>4625.88</v>
      </c>
      <c r="I159" s="20">
        <v>5512.17</v>
      </c>
      <c r="J159" s="51" t="s">
        <v>6727</v>
      </c>
      <c r="K159" s="15">
        <v>37</v>
      </c>
      <c r="L159" s="51" t="s">
        <v>2369</v>
      </c>
      <c r="M159" s="51" t="s">
        <v>2046</v>
      </c>
      <c r="N159" s="51" t="s">
        <v>1344</v>
      </c>
      <c r="O159" s="51" t="s">
        <v>67</v>
      </c>
      <c r="P159" s="51" t="s">
        <v>67</v>
      </c>
      <c r="Q159" s="45">
        <v>46254.961377581021</v>
      </c>
      <c r="R159" s="46">
        <v>46315</v>
      </c>
      <c r="S159" s="46">
        <v>46310</v>
      </c>
      <c r="T159" s="51" t="s">
        <v>6119</v>
      </c>
      <c r="U159" s="15">
        <v>164.78</v>
      </c>
      <c r="V159" s="15">
        <v>762.03</v>
      </c>
      <c r="W159" s="15">
        <v>7.01</v>
      </c>
      <c r="X159" s="15">
        <v>0</v>
      </c>
      <c r="Y159" s="15">
        <v>1.624663</v>
      </c>
      <c r="Z159" s="15">
        <v>6</v>
      </c>
      <c r="AA159" s="46">
        <v>46285</v>
      </c>
      <c r="AB159" s="15"/>
      <c r="AC159" s="15"/>
      <c r="AD159" s="15"/>
      <c r="AE159" s="15"/>
      <c r="AF159" s="15"/>
      <c r="AG159" s="15"/>
      <c r="AH159" s="15"/>
      <c r="AI159" s="46"/>
      <c r="AJ159" s="51" t="s">
        <v>6121</v>
      </c>
      <c r="AK159" s="51" t="s">
        <v>6121</v>
      </c>
      <c r="AL159" s="15">
        <v>164.78</v>
      </c>
      <c r="AM159" s="51" t="s">
        <v>6705</v>
      </c>
      <c r="AN159" s="51" t="s">
        <v>6713</v>
      </c>
      <c r="AO159" s="50" t="s">
        <v>9554</v>
      </c>
    </row>
    <row r="160" spans="1:41" hidden="1" x14ac:dyDescent="0.25">
      <c r="A160" s="51" t="s">
        <v>2190</v>
      </c>
      <c r="B160" s="51" t="s">
        <v>1505</v>
      </c>
      <c r="C160" s="54" t="s">
        <v>605</v>
      </c>
      <c r="D160" s="51" t="s">
        <v>1506</v>
      </c>
      <c r="E160" s="20">
        <v>2353</v>
      </c>
      <c r="F160" s="20">
        <v>6603.17</v>
      </c>
      <c r="G160" s="20">
        <v>13396.83</v>
      </c>
      <c r="H160" s="20">
        <v>3870.16</v>
      </c>
      <c r="I160" s="20">
        <v>6603.17</v>
      </c>
      <c r="J160" s="51" t="s">
        <v>6727</v>
      </c>
      <c r="K160" s="15">
        <v>16</v>
      </c>
      <c r="L160" s="51" t="s">
        <v>2369</v>
      </c>
      <c r="M160" s="51" t="s">
        <v>1507</v>
      </c>
      <c r="N160" s="51" t="s">
        <v>1340</v>
      </c>
      <c r="O160" s="51" t="s">
        <v>67</v>
      </c>
      <c r="P160" s="51" t="s">
        <v>67</v>
      </c>
      <c r="Q160" s="45">
        <v>46254.965238321762</v>
      </c>
      <c r="R160" s="46">
        <v>46305</v>
      </c>
      <c r="S160" s="46">
        <v>46300</v>
      </c>
      <c r="T160" s="51" t="s">
        <v>6119</v>
      </c>
      <c r="U160" s="15">
        <v>847.9</v>
      </c>
      <c r="V160" s="15">
        <v>3921.14</v>
      </c>
      <c r="W160" s="15">
        <v>36.08</v>
      </c>
      <c r="X160" s="15">
        <v>14.9</v>
      </c>
      <c r="Y160" s="15">
        <v>1.662347</v>
      </c>
      <c r="Z160" s="15">
        <v>6</v>
      </c>
      <c r="AA160" s="46">
        <v>46275</v>
      </c>
      <c r="AB160" s="15"/>
      <c r="AC160" s="15"/>
      <c r="AD160" s="15"/>
      <c r="AE160" s="15"/>
      <c r="AF160" s="15"/>
      <c r="AG160" s="15"/>
      <c r="AH160" s="15"/>
      <c r="AI160" s="46"/>
      <c r="AJ160" s="51" t="s">
        <v>6121</v>
      </c>
      <c r="AK160" s="51" t="s">
        <v>6121</v>
      </c>
      <c r="AL160" s="15">
        <v>847.9</v>
      </c>
      <c r="AM160" s="51" t="s">
        <v>6705</v>
      </c>
      <c r="AN160" s="51" t="s">
        <v>6714</v>
      </c>
      <c r="AO160" s="50" t="s">
        <v>9554</v>
      </c>
    </row>
    <row r="161" spans="1:41" hidden="1" x14ac:dyDescent="0.25">
      <c r="A161" s="51" t="s">
        <v>2191</v>
      </c>
      <c r="B161" s="51" t="s">
        <v>1538</v>
      </c>
      <c r="C161" s="54" t="s">
        <v>605</v>
      </c>
      <c r="D161" s="51" t="s">
        <v>1539</v>
      </c>
      <c r="E161" s="20">
        <v>100</v>
      </c>
      <c r="F161" s="20">
        <v>1058.4000000000001</v>
      </c>
      <c r="G161" s="20">
        <v>7941.6</v>
      </c>
      <c r="H161" s="20">
        <v>951.34</v>
      </c>
      <c r="I161" s="20">
        <v>1058.3900000000001</v>
      </c>
      <c r="J161" s="51" t="s">
        <v>6727</v>
      </c>
      <c r="K161" s="15">
        <v>16</v>
      </c>
      <c r="L161" s="51" t="s">
        <v>2369</v>
      </c>
      <c r="M161" s="51" t="s">
        <v>1540</v>
      </c>
      <c r="N161" s="51" t="s">
        <v>1340</v>
      </c>
      <c r="O161" s="51" t="s">
        <v>67</v>
      </c>
      <c r="P161" s="51" t="s">
        <v>67</v>
      </c>
      <c r="Q161" s="45">
        <v>46254.971112581021</v>
      </c>
      <c r="R161" s="46">
        <v>46305</v>
      </c>
      <c r="S161" s="46">
        <v>46300</v>
      </c>
      <c r="T161" s="51" t="s">
        <v>6119</v>
      </c>
      <c r="U161" s="15">
        <v>208.42</v>
      </c>
      <c r="V161" s="15">
        <v>963.86</v>
      </c>
      <c r="W161" s="15">
        <v>8.86</v>
      </c>
      <c r="X161" s="15">
        <v>3.66</v>
      </c>
      <c r="Y161" s="15">
        <v>1.662072</v>
      </c>
      <c r="Z161" s="15">
        <v>6</v>
      </c>
      <c r="AA161" s="46">
        <v>46275</v>
      </c>
      <c r="AB161" s="15"/>
      <c r="AC161" s="15"/>
      <c r="AD161" s="15"/>
      <c r="AE161" s="15"/>
      <c r="AF161" s="15"/>
      <c r="AG161" s="15"/>
      <c r="AH161" s="15"/>
      <c r="AI161" s="46"/>
      <c r="AJ161" s="51" t="s">
        <v>6121</v>
      </c>
      <c r="AK161" s="51" t="s">
        <v>6121</v>
      </c>
      <c r="AL161" s="15">
        <v>208.42</v>
      </c>
      <c r="AM161" s="51" t="s">
        <v>67</v>
      </c>
      <c r="AN161" s="51" t="s">
        <v>67</v>
      </c>
      <c r="AO161" s="50" t="s">
        <v>9554</v>
      </c>
    </row>
    <row r="162" spans="1:41" hidden="1" x14ac:dyDescent="0.25">
      <c r="A162" s="51" t="s">
        <v>2192</v>
      </c>
      <c r="B162" s="51" t="s">
        <v>1399</v>
      </c>
      <c r="C162" s="54" t="s">
        <v>605</v>
      </c>
      <c r="D162" s="51" t="s">
        <v>1400</v>
      </c>
      <c r="E162" s="20">
        <v>10000</v>
      </c>
      <c r="F162" s="20">
        <v>1206.06</v>
      </c>
      <c r="G162" s="20">
        <v>3793.94</v>
      </c>
      <c r="H162" s="20">
        <v>0</v>
      </c>
      <c r="I162" s="20">
        <v>1206.06</v>
      </c>
      <c r="J162" s="51" t="s">
        <v>2654</v>
      </c>
      <c r="K162" s="15">
        <v>0</v>
      </c>
      <c r="L162" s="51" t="s">
        <v>2371</v>
      </c>
      <c r="M162" s="51" t="s">
        <v>1401</v>
      </c>
      <c r="N162" s="51" t="s">
        <v>1402</v>
      </c>
      <c r="O162" s="51" t="s">
        <v>67</v>
      </c>
      <c r="P162" s="51" t="s">
        <v>67</v>
      </c>
      <c r="Q162" s="45">
        <v>46263.815067581018</v>
      </c>
      <c r="R162" s="46">
        <v>46305</v>
      </c>
      <c r="S162" s="46">
        <v>46300</v>
      </c>
      <c r="T162" s="51" t="s">
        <v>6119</v>
      </c>
      <c r="U162" s="15"/>
      <c r="V162" s="15"/>
      <c r="W162" s="15"/>
      <c r="X162" s="15"/>
      <c r="Y162" s="15"/>
      <c r="Z162" s="15"/>
      <c r="AA162" s="46"/>
      <c r="AB162" s="15"/>
      <c r="AC162" s="15"/>
      <c r="AD162" s="15"/>
      <c r="AE162" s="15"/>
      <c r="AF162" s="15"/>
      <c r="AG162" s="15"/>
      <c r="AH162" s="15"/>
      <c r="AI162" s="46"/>
      <c r="AJ162" s="51" t="s">
        <v>67</v>
      </c>
      <c r="AK162" s="51" t="s">
        <v>67</v>
      </c>
      <c r="AL162" s="15"/>
      <c r="AM162" s="51" t="s">
        <v>67</v>
      </c>
      <c r="AN162" s="51" t="s">
        <v>67</v>
      </c>
      <c r="AO162" s="50" t="s">
        <v>9554</v>
      </c>
    </row>
    <row r="163" spans="1:41" hidden="1" x14ac:dyDescent="0.25">
      <c r="A163" s="51" t="s">
        <v>2193</v>
      </c>
      <c r="B163" s="51" t="s">
        <v>1777</v>
      </c>
      <c r="C163" s="54" t="s">
        <v>5596</v>
      </c>
      <c r="D163" s="51" t="s">
        <v>1775</v>
      </c>
      <c r="E163" s="20">
        <v>4498.93</v>
      </c>
      <c r="F163" s="20">
        <v>4661.55</v>
      </c>
      <c r="G163" s="20">
        <v>9299.86</v>
      </c>
      <c r="H163" s="20">
        <v>4118.68</v>
      </c>
      <c r="I163" s="20">
        <v>4661.55</v>
      </c>
      <c r="J163" s="51" t="s">
        <v>6727</v>
      </c>
      <c r="K163" s="15">
        <v>21</v>
      </c>
      <c r="L163" s="51" t="s">
        <v>2369</v>
      </c>
      <c r="M163" s="51" t="s">
        <v>1778</v>
      </c>
      <c r="N163" s="51" t="s">
        <v>1340</v>
      </c>
      <c r="O163" s="51" t="s">
        <v>67</v>
      </c>
      <c r="P163" s="51" t="s">
        <v>67</v>
      </c>
      <c r="Q163" s="45">
        <v>46263.81759820602</v>
      </c>
      <c r="R163" s="46">
        <v>46300</v>
      </c>
      <c r="S163" s="46">
        <v>46295</v>
      </c>
      <c r="T163" s="51" t="s">
        <v>6119</v>
      </c>
      <c r="U163" s="15">
        <v>54.08</v>
      </c>
      <c r="V163" s="15">
        <v>250.11</v>
      </c>
      <c r="W163" s="15">
        <v>2.29</v>
      </c>
      <c r="X163" s="15">
        <v>0</v>
      </c>
      <c r="Y163" s="15">
        <v>1.6236390000000001</v>
      </c>
      <c r="Z163" s="15">
        <v>6</v>
      </c>
      <c r="AA163" s="46">
        <v>46270</v>
      </c>
      <c r="AB163" s="15"/>
      <c r="AC163" s="15"/>
      <c r="AD163" s="15"/>
      <c r="AE163" s="15"/>
      <c r="AF163" s="15"/>
      <c r="AG163" s="15"/>
      <c r="AH163" s="15"/>
      <c r="AI163" s="46"/>
      <c r="AJ163" s="51" t="s">
        <v>6121</v>
      </c>
      <c r="AK163" s="51" t="s">
        <v>6121</v>
      </c>
      <c r="AL163" s="15">
        <v>54.08</v>
      </c>
      <c r="AM163" s="51" t="s">
        <v>67</v>
      </c>
      <c r="AN163" s="51" t="s">
        <v>67</v>
      </c>
      <c r="AO163" s="50" t="s">
        <v>9554</v>
      </c>
    </row>
    <row r="164" spans="1:41" hidden="1" x14ac:dyDescent="0.25">
      <c r="A164" s="51" t="s">
        <v>2194</v>
      </c>
      <c r="B164" s="51" t="s">
        <v>2064</v>
      </c>
      <c r="C164" s="54" t="s">
        <v>611</v>
      </c>
      <c r="D164" s="51" t="s">
        <v>2065</v>
      </c>
      <c r="E164" s="20">
        <v>6839.28</v>
      </c>
      <c r="F164" s="20">
        <v>695.16</v>
      </c>
      <c r="G164" s="20">
        <v>2884.65</v>
      </c>
      <c r="H164" s="20">
        <v>675.34</v>
      </c>
      <c r="I164" s="20">
        <v>695.16</v>
      </c>
      <c r="J164" s="51" t="s">
        <v>6727</v>
      </c>
      <c r="K164" s="15">
        <v>1</v>
      </c>
      <c r="L164" s="51" t="s">
        <v>2369</v>
      </c>
      <c r="M164" s="51" t="s">
        <v>2066</v>
      </c>
      <c r="N164" s="51" t="s">
        <v>1340</v>
      </c>
      <c r="O164" s="51" t="s">
        <v>67</v>
      </c>
      <c r="P164" s="51" t="s">
        <v>67</v>
      </c>
      <c r="Q164" s="45">
        <v>46263.817697268518</v>
      </c>
      <c r="R164" s="46">
        <v>46320</v>
      </c>
      <c r="S164" s="46">
        <v>46315</v>
      </c>
      <c r="T164" s="51" t="s">
        <v>6119</v>
      </c>
      <c r="U164" s="15"/>
      <c r="V164" s="15"/>
      <c r="W164" s="15"/>
      <c r="X164" s="15"/>
      <c r="Y164" s="15"/>
      <c r="Z164" s="15"/>
      <c r="AA164" s="46"/>
      <c r="AB164" s="15"/>
      <c r="AC164" s="15"/>
      <c r="AD164" s="15"/>
      <c r="AE164" s="15"/>
      <c r="AF164" s="15"/>
      <c r="AG164" s="15"/>
      <c r="AH164" s="15"/>
      <c r="AI164" s="46"/>
      <c r="AJ164" s="51" t="s">
        <v>67</v>
      </c>
      <c r="AK164" s="51" t="s">
        <v>67</v>
      </c>
      <c r="AL164" s="15"/>
      <c r="AM164" s="51" t="s">
        <v>67</v>
      </c>
      <c r="AN164" s="51" t="s">
        <v>67</v>
      </c>
      <c r="AO164" s="50" t="s">
        <v>9554</v>
      </c>
    </row>
    <row r="165" spans="1:41" hidden="1" x14ac:dyDescent="0.25">
      <c r="A165" s="51" t="s">
        <v>2195</v>
      </c>
      <c r="B165" s="51" t="s">
        <v>1533</v>
      </c>
      <c r="C165" s="54" t="s">
        <v>607</v>
      </c>
      <c r="D165" s="51" t="s">
        <v>1534</v>
      </c>
      <c r="E165" s="20">
        <v>2650.74</v>
      </c>
      <c r="F165" s="20">
        <v>535.54</v>
      </c>
      <c r="G165" s="20">
        <v>16175.63</v>
      </c>
      <c r="H165" s="20">
        <v>493.69</v>
      </c>
      <c r="I165" s="20">
        <v>535.54999999999995</v>
      </c>
      <c r="J165" s="51" t="s">
        <v>6727</v>
      </c>
      <c r="K165" s="15">
        <v>11</v>
      </c>
      <c r="L165" s="51" t="s">
        <v>2369</v>
      </c>
      <c r="M165" s="51" t="s">
        <v>1535</v>
      </c>
      <c r="N165" s="51" t="s">
        <v>1340</v>
      </c>
      <c r="O165" s="51" t="s">
        <v>67</v>
      </c>
      <c r="P165" s="51" t="s">
        <v>67</v>
      </c>
      <c r="Q165" s="45">
        <v>46263.817762245373</v>
      </c>
      <c r="R165" s="46">
        <v>46310</v>
      </c>
      <c r="S165" s="46">
        <v>46305</v>
      </c>
      <c r="T165" s="51" t="s">
        <v>6119</v>
      </c>
      <c r="U165" s="15">
        <v>108.16</v>
      </c>
      <c r="V165" s="15">
        <v>500.2</v>
      </c>
      <c r="W165" s="15">
        <v>4.6100000000000003</v>
      </c>
      <c r="X165" s="15">
        <v>1.9</v>
      </c>
      <c r="Y165" s="15">
        <v>1.6622699999999999</v>
      </c>
      <c r="Z165" s="15">
        <v>6</v>
      </c>
      <c r="AA165" s="46">
        <v>46280</v>
      </c>
      <c r="AB165" s="15"/>
      <c r="AC165" s="15"/>
      <c r="AD165" s="15"/>
      <c r="AE165" s="15"/>
      <c r="AF165" s="15"/>
      <c r="AG165" s="15"/>
      <c r="AH165" s="15"/>
      <c r="AI165" s="46"/>
      <c r="AJ165" s="51" t="s">
        <v>6121</v>
      </c>
      <c r="AK165" s="51" t="s">
        <v>6121</v>
      </c>
      <c r="AL165" s="15">
        <v>108.16</v>
      </c>
      <c r="AM165" s="51" t="s">
        <v>67</v>
      </c>
      <c r="AN165" s="51" t="s">
        <v>67</v>
      </c>
      <c r="AO165" s="50" t="s">
        <v>9554</v>
      </c>
    </row>
    <row r="166" spans="1:41" hidden="1" x14ac:dyDescent="0.25">
      <c r="A166" s="51" t="s">
        <v>2196</v>
      </c>
      <c r="B166" s="51" t="s">
        <v>2123</v>
      </c>
      <c r="C166" s="54" t="s">
        <v>605</v>
      </c>
      <c r="D166" s="51" t="s">
        <v>2121</v>
      </c>
      <c r="E166" s="20">
        <v>17117.240000000002</v>
      </c>
      <c r="F166" s="20">
        <v>92.13</v>
      </c>
      <c r="G166" s="20">
        <v>14620.04</v>
      </c>
      <c r="H166" s="20">
        <v>4186.54</v>
      </c>
      <c r="I166" s="20">
        <v>92.13</v>
      </c>
      <c r="J166" s="51" t="s">
        <v>6724</v>
      </c>
      <c r="K166" s="15">
        <v>0</v>
      </c>
      <c r="L166" s="51" t="s">
        <v>2371</v>
      </c>
      <c r="M166" s="51" t="s">
        <v>2124</v>
      </c>
      <c r="N166" s="51" t="s">
        <v>1344</v>
      </c>
      <c r="O166" s="51" t="s">
        <v>67</v>
      </c>
      <c r="P166" s="51" t="s">
        <v>67</v>
      </c>
      <c r="Q166" s="45">
        <v>46263.817832361114</v>
      </c>
      <c r="R166" s="46">
        <v>46305</v>
      </c>
      <c r="S166" s="46">
        <v>46300</v>
      </c>
      <c r="T166" s="51" t="s">
        <v>6119</v>
      </c>
      <c r="U166" s="15"/>
      <c r="V166" s="15"/>
      <c r="W166" s="15"/>
      <c r="X166" s="15"/>
      <c r="Y166" s="15"/>
      <c r="Z166" s="15"/>
      <c r="AA166" s="46"/>
      <c r="AB166" s="15"/>
      <c r="AC166" s="15"/>
      <c r="AD166" s="15"/>
      <c r="AE166" s="15"/>
      <c r="AF166" s="15"/>
      <c r="AG166" s="15"/>
      <c r="AH166" s="15"/>
      <c r="AI166" s="46"/>
      <c r="AJ166" s="51" t="s">
        <v>67</v>
      </c>
      <c r="AK166" s="51" t="s">
        <v>67</v>
      </c>
      <c r="AL166" s="15"/>
      <c r="AM166" s="51" t="s">
        <v>67</v>
      </c>
      <c r="AN166" s="51" t="s">
        <v>67</v>
      </c>
      <c r="AO166" s="50" t="s">
        <v>9554</v>
      </c>
    </row>
    <row r="167" spans="1:41" hidden="1" x14ac:dyDescent="0.25">
      <c r="A167" s="51" t="s">
        <v>2197</v>
      </c>
      <c r="B167" s="51" t="s">
        <v>1598</v>
      </c>
      <c r="C167" s="54" t="s">
        <v>608</v>
      </c>
      <c r="D167" s="51" t="s">
        <v>1596</v>
      </c>
      <c r="E167" s="20">
        <v>13431.47</v>
      </c>
      <c r="F167" s="20">
        <v>3903.67</v>
      </c>
      <c r="G167" s="20">
        <v>9883.83</v>
      </c>
      <c r="H167" s="20">
        <v>4235.05</v>
      </c>
      <c r="I167" s="20">
        <v>3903.67</v>
      </c>
      <c r="J167" s="51" t="s">
        <v>6725</v>
      </c>
      <c r="K167" s="15">
        <v>0</v>
      </c>
      <c r="L167" s="51" t="s">
        <v>2371</v>
      </c>
      <c r="M167" s="51" t="s">
        <v>1599</v>
      </c>
      <c r="N167" s="51" t="s">
        <v>1344</v>
      </c>
      <c r="O167" s="51" t="s">
        <v>67</v>
      </c>
      <c r="P167" s="51" t="s">
        <v>67</v>
      </c>
      <c r="Q167" s="45">
        <v>46263.817934525461</v>
      </c>
      <c r="R167" s="46">
        <v>46315</v>
      </c>
      <c r="S167" s="46">
        <v>46310</v>
      </c>
      <c r="T167" s="51" t="s">
        <v>6119</v>
      </c>
      <c r="U167" s="15">
        <v>79.48</v>
      </c>
      <c r="V167" s="15">
        <v>367.57</v>
      </c>
      <c r="W167" s="15">
        <v>3.38</v>
      </c>
      <c r="X167" s="15">
        <v>0</v>
      </c>
      <c r="Y167" s="15">
        <v>1.6243000000000001</v>
      </c>
      <c r="Z167" s="15">
        <v>6</v>
      </c>
      <c r="AA167" s="46">
        <v>46285</v>
      </c>
      <c r="AB167" s="15"/>
      <c r="AC167" s="15"/>
      <c r="AD167" s="15"/>
      <c r="AE167" s="15"/>
      <c r="AF167" s="15"/>
      <c r="AG167" s="15"/>
      <c r="AH167" s="15"/>
      <c r="AI167" s="46"/>
      <c r="AJ167" s="51" t="s">
        <v>67</v>
      </c>
      <c r="AK167" s="51" t="s">
        <v>6121</v>
      </c>
      <c r="AL167" s="15">
        <v>79.48</v>
      </c>
      <c r="AM167" s="51" t="s">
        <v>67</v>
      </c>
      <c r="AN167" s="51" t="s">
        <v>67</v>
      </c>
      <c r="AO167" s="50" t="s">
        <v>9554</v>
      </c>
    </row>
    <row r="168" spans="1:41" hidden="1" x14ac:dyDescent="0.25">
      <c r="A168" s="51" t="s">
        <v>2198</v>
      </c>
      <c r="B168" s="51" t="s">
        <v>1444</v>
      </c>
      <c r="C168" s="54" t="s">
        <v>605</v>
      </c>
      <c r="D168" s="51" t="s">
        <v>1445</v>
      </c>
      <c r="E168" s="20">
        <v>4930.3</v>
      </c>
      <c r="F168" s="20">
        <v>13.07</v>
      </c>
      <c r="G168" s="20">
        <v>9030.66</v>
      </c>
      <c r="H168" s="20">
        <v>549.23</v>
      </c>
      <c r="I168" s="20">
        <v>13.07</v>
      </c>
      <c r="J168" s="51" t="s">
        <v>6724</v>
      </c>
      <c r="K168" s="15">
        <v>0</v>
      </c>
      <c r="L168" s="51" t="s">
        <v>2371</v>
      </c>
      <c r="M168" s="51" t="s">
        <v>1446</v>
      </c>
      <c r="N168" s="51" t="s">
        <v>1340</v>
      </c>
      <c r="O168" s="51" t="s">
        <v>67</v>
      </c>
      <c r="P168" s="51" t="s">
        <v>67</v>
      </c>
      <c r="Q168" s="45">
        <v>46263.817990162039</v>
      </c>
      <c r="R168" s="46">
        <v>46305</v>
      </c>
      <c r="S168" s="46">
        <v>46300</v>
      </c>
      <c r="T168" s="51" t="s">
        <v>6119</v>
      </c>
      <c r="U168" s="15">
        <v>120.33</v>
      </c>
      <c r="V168" s="15">
        <v>556.45000000000005</v>
      </c>
      <c r="W168" s="15">
        <v>5.1100000000000003</v>
      </c>
      <c r="X168" s="15">
        <v>2.11</v>
      </c>
      <c r="Y168" s="15">
        <v>1.662436</v>
      </c>
      <c r="Z168" s="15">
        <v>6</v>
      </c>
      <c r="AA168" s="46">
        <v>46275</v>
      </c>
      <c r="AB168" s="15"/>
      <c r="AC168" s="15"/>
      <c r="AD168" s="15"/>
      <c r="AE168" s="15"/>
      <c r="AF168" s="15"/>
      <c r="AG168" s="15"/>
      <c r="AH168" s="15"/>
      <c r="AI168" s="46"/>
      <c r="AJ168" s="51" t="s">
        <v>67</v>
      </c>
      <c r="AK168" s="51" t="s">
        <v>6121</v>
      </c>
      <c r="AL168" s="15">
        <v>120.33</v>
      </c>
      <c r="AM168" s="51" t="s">
        <v>67</v>
      </c>
      <c r="AN168" s="51" t="s">
        <v>67</v>
      </c>
      <c r="AO168" s="50" t="s">
        <v>9554</v>
      </c>
    </row>
    <row r="169" spans="1:41" hidden="1" x14ac:dyDescent="0.25">
      <c r="A169" s="51" t="s">
        <v>2199</v>
      </c>
      <c r="B169" s="51" t="s">
        <v>1937</v>
      </c>
      <c r="C169" s="54" t="s">
        <v>607</v>
      </c>
      <c r="D169" s="51" t="s">
        <v>1935</v>
      </c>
      <c r="E169" s="20">
        <v>17046.71</v>
      </c>
      <c r="F169" s="20">
        <v>0</v>
      </c>
      <c r="G169" s="20">
        <v>2573.5700000000002</v>
      </c>
      <c r="H169" s="20">
        <v>4324.49</v>
      </c>
      <c r="I169" s="20">
        <v>0</v>
      </c>
      <c r="J169" s="51" t="s">
        <v>6726</v>
      </c>
      <c r="K169" s="15">
        <v>0</v>
      </c>
      <c r="L169" s="51" t="s">
        <v>2371</v>
      </c>
      <c r="M169" s="51" t="s">
        <v>1938</v>
      </c>
      <c r="N169" s="51" t="s">
        <v>1340</v>
      </c>
      <c r="O169" s="51" t="s">
        <v>67</v>
      </c>
      <c r="P169" s="51" t="s">
        <v>67</v>
      </c>
      <c r="Q169" s="45">
        <v>46263.81810571759</v>
      </c>
      <c r="R169" s="46">
        <v>46310</v>
      </c>
      <c r="S169" s="46">
        <v>46305</v>
      </c>
      <c r="T169" s="51" t="s">
        <v>6119</v>
      </c>
      <c r="U169" s="15"/>
      <c r="V169" s="15"/>
      <c r="W169" s="15"/>
      <c r="X169" s="15"/>
      <c r="Y169" s="15"/>
      <c r="Z169" s="15"/>
      <c r="AA169" s="46"/>
      <c r="AB169" s="15"/>
      <c r="AC169" s="15"/>
      <c r="AD169" s="15"/>
      <c r="AE169" s="15"/>
      <c r="AF169" s="15"/>
      <c r="AG169" s="15"/>
      <c r="AH169" s="15"/>
      <c r="AI169" s="46"/>
      <c r="AJ169" s="51" t="s">
        <v>67</v>
      </c>
      <c r="AK169" s="51" t="s">
        <v>67</v>
      </c>
      <c r="AL169" s="15"/>
      <c r="AM169" s="51" t="s">
        <v>67</v>
      </c>
      <c r="AN169" s="51" t="s">
        <v>67</v>
      </c>
      <c r="AO169" s="50" t="s">
        <v>9554</v>
      </c>
    </row>
    <row r="170" spans="1:41" hidden="1" x14ac:dyDescent="0.25">
      <c r="A170" s="51" t="s">
        <v>2200</v>
      </c>
      <c r="B170" s="51" t="s">
        <v>1648</v>
      </c>
      <c r="C170" s="54" t="s">
        <v>608</v>
      </c>
      <c r="D170" s="51" t="s">
        <v>1649</v>
      </c>
      <c r="E170" s="20">
        <v>4213.6400000000003</v>
      </c>
      <c r="F170" s="20">
        <v>941.43</v>
      </c>
      <c r="G170" s="20">
        <v>13176.7</v>
      </c>
      <c r="H170" s="20">
        <v>890.61</v>
      </c>
      <c r="I170" s="20">
        <v>941.43</v>
      </c>
      <c r="J170" s="51" t="s">
        <v>6727</v>
      </c>
      <c r="K170" s="15">
        <v>6</v>
      </c>
      <c r="L170" s="51" t="s">
        <v>2369</v>
      </c>
      <c r="M170" s="51" t="s">
        <v>1650</v>
      </c>
      <c r="N170" s="51" t="s">
        <v>1340</v>
      </c>
      <c r="O170" s="51" t="s">
        <v>67</v>
      </c>
      <c r="P170" s="51" t="s">
        <v>67</v>
      </c>
      <c r="Q170" s="45">
        <v>46263.8182103125</v>
      </c>
      <c r="R170" s="46">
        <v>46315</v>
      </c>
      <c r="S170" s="46">
        <v>46310</v>
      </c>
      <c r="T170" s="51" t="s">
        <v>6119</v>
      </c>
      <c r="U170" s="15">
        <v>195.12</v>
      </c>
      <c r="V170" s="15">
        <v>902.34</v>
      </c>
      <c r="W170" s="15">
        <v>8.3000000000000007</v>
      </c>
      <c r="X170" s="15">
        <v>3.43</v>
      </c>
      <c r="Y170" s="15">
        <v>1.6623129999999999</v>
      </c>
      <c r="Z170" s="15">
        <v>6</v>
      </c>
      <c r="AA170" s="46">
        <v>46285</v>
      </c>
      <c r="AB170" s="15"/>
      <c r="AC170" s="15"/>
      <c r="AD170" s="15"/>
      <c r="AE170" s="15"/>
      <c r="AF170" s="15"/>
      <c r="AG170" s="15"/>
      <c r="AH170" s="15"/>
      <c r="AI170" s="46"/>
      <c r="AJ170" s="51" t="s">
        <v>67</v>
      </c>
      <c r="AK170" s="51" t="s">
        <v>6121</v>
      </c>
      <c r="AL170" s="15">
        <v>195.12</v>
      </c>
      <c r="AM170" s="51" t="s">
        <v>67</v>
      </c>
      <c r="AN170" s="51" t="s">
        <v>67</v>
      </c>
      <c r="AO170" s="50" t="s">
        <v>9554</v>
      </c>
    </row>
    <row r="171" spans="1:41" hidden="1" x14ac:dyDescent="0.25">
      <c r="A171" s="51" t="s">
        <v>2201</v>
      </c>
      <c r="B171" s="51" t="s">
        <v>1854</v>
      </c>
      <c r="C171" s="54" t="s">
        <v>608</v>
      </c>
      <c r="D171" s="51" t="s">
        <v>1852</v>
      </c>
      <c r="E171" s="20">
        <v>5559.3</v>
      </c>
      <c r="F171" s="20">
        <v>675.66</v>
      </c>
      <c r="G171" s="20">
        <v>13598.36</v>
      </c>
      <c r="H171" s="20">
        <v>639.19000000000005</v>
      </c>
      <c r="I171" s="20">
        <v>675.66</v>
      </c>
      <c r="J171" s="51" t="s">
        <v>6727</v>
      </c>
      <c r="K171" s="15">
        <v>6</v>
      </c>
      <c r="L171" s="51" t="s">
        <v>2369</v>
      </c>
      <c r="M171" s="51" t="s">
        <v>1855</v>
      </c>
      <c r="N171" s="51" t="s">
        <v>1344</v>
      </c>
      <c r="O171" s="51" t="s">
        <v>67</v>
      </c>
      <c r="P171" s="51" t="s">
        <v>67</v>
      </c>
      <c r="Q171" s="45">
        <v>46263.81830392361</v>
      </c>
      <c r="R171" s="46">
        <v>46315</v>
      </c>
      <c r="S171" s="46">
        <v>46310</v>
      </c>
      <c r="T171" s="51" t="s">
        <v>6119</v>
      </c>
      <c r="U171" s="15">
        <v>140.04</v>
      </c>
      <c r="V171" s="15">
        <v>647.61</v>
      </c>
      <c r="W171" s="15">
        <v>5.96</v>
      </c>
      <c r="X171" s="15">
        <v>2.46</v>
      </c>
      <c r="Y171" s="15">
        <v>1.6624920000000001</v>
      </c>
      <c r="Z171" s="15">
        <v>6</v>
      </c>
      <c r="AA171" s="46">
        <v>46285</v>
      </c>
      <c r="AB171" s="15"/>
      <c r="AC171" s="15"/>
      <c r="AD171" s="15"/>
      <c r="AE171" s="15"/>
      <c r="AF171" s="15"/>
      <c r="AG171" s="15"/>
      <c r="AH171" s="15"/>
      <c r="AI171" s="46"/>
      <c r="AJ171" s="51" t="s">
        <v>67</v>
      </c>
      <c r="AK171" s="51" t="s">
        <v>6121</v>
      </c>
      <c r="AL171" s="15">
        <v>140.04</v>
      </c>
      <c r="AM171" s="51" t="s">
        <v>67</v>
      </c>
      <c r="AN171" s="51" t="s">
        <v>67</v>
      </c>
      <c r="AO171" s="50" t="s">
        <v>9554</v>
      </c>
    </row>
    <row r="172" spans="1:41" hidden="1" x14ac:dyDescent="0.25">
      <c r="A172" s="51" t="s">
        <v>2202</v>
      </c>
      <c r="B172" s="51" t="s">
        <v>1407</v>
      </c>
      <c r="C172" s="54" t="s">
        <v>605</v>
      </c>
      <c r="D172" s="51" t="s">
        <v>1408</v>
      </c>
      <c r="E172" s="20">
        <v>10000</v>
      </c>
      <c r="F172" s="20">
        <v>1206.06</v>
      </c>
      <c r="G172" s="20">
        <v>3793.94</v>
      </c>
      <c r="H172" s="20">
        <v>0</v>
      </c>
      <c r="I172" s="20">
        <v>1206.06</v>
      </c>
      <c r="J172" s="51" t="s">
        <v>2654</v>
      </c>
      <c r="K172" s="15">
        <v>0</v>
      </c>
      <c r="L172" s="51" t="s">
        <v>2371</v>
      </c>
      <c r="M172" s="51" t="s">
        <v>1409</v>
      </c>
      <c r="N172" s="51" t="s">
        <v>1410</v>
      </c>
      <c r="O172" s="51" t="s">
        <v>67</v>
      </c>
      <c r="P172" s="51" t="s">
        <v>67</v>
      </c>
      <c r="Q172" s="45">
        <v>46264.63551709491</v>
      </c>
      <c r="R172" s="46">
        <v>46305</v>
      </c>
      <c r="S172" s="46">
        <v>46300</v>
      </c>
      <c r="T172" s="51" t="s">
        <v>6119</v>
      </c>
      <c r="U172" s="15"/>
      <c r="V172" s="15"/>
      <c r="W172" s="15"/>
      <c r="X172" s="15"/>
      <c r="Y172" s="15"/>
      <c r="Z172" s="15"/>
      <c r="AA172" s="46"/>
      <c r="AB172" s="15"/>
      <c r="AC172" s="15"/>
      <c r="AD172" s="15"/>
      <c r="AE172" s="15"/>
      <c r="AF172" s="15"/>
      <c r="AG172" s="15"/>
      <c r="AH172" s="15"/>
      <c r="AI172" s="46"/>
      <c r="AJ172" s="51" t="s">
        <v>67</v>
      </c>
      <c r="AK172" s="51" t="s">
        <v>67</v>
      </c>
      <c r="AL172" s="15"/>
      <c r="AM172" s="51" t="s">
        <v>67</v>
      </c>
      <c r="AN172" s="51" t="s">
        <v>67</v>
      </c>
      <c r="AO172" s="50" t="s">
        <v>9554</v>
      </c>
    </row>
    <row r="173" spans="1:41" hidden="1" x14ac:dyDescent="0.25">
      <c r="A173" s="51" t="s">
        <v>2203</v>
      </c>
      <c r="B173" s="51" t="s">
        <v>1630</v>
      </c>
      <c r="C173" s="54" t="s">
        <v>605</v>
      </c>
      <c r="D173" s="51" t="s">
        <v>2383</v>
      </c>
      <c r="E173" s="20">
        <v>10000</v>
      </c>
      <c r="F173" s="20">
        <v>1206.06</v>
      </c>
      <c r="G173" s="20">
        <v>3793.94</v>
      </c>
      <c r="H173" s="20">
        <v>0</v>
      </c>
      <c r="I173" s="20">
        <v>1206.06</v>
      </c>
      <c r="J173" s="51" t="s">
        <v>2654</v>
      </c>
      <c r="K173" s="15">
        <v>0</v>
      </c>
      <c r="L173" s="51" t="s">
        <v>2371</v>
      </c>
      <c r="M173" s="51" t="s">
        <v>1631</v>
      </c>
      <c r="N173" s="51" t="s">
        <v>1632</v>
      </c>
      <c r="O173" s="51" t="s">
        <v>67</v>
      </c>
      <c r="P173" s="51" t="s">
        <v>67</v>
      </c>
      <c r="Q173" s="45">
        <v>46264.636143495372</v>
      </c>
      <c r="R173" s="46">
        <v>46305</v>
      </c>
      <c r="S173" s="46">
        <v>46300</v>
      </c>
      <c r="T173" s="51" t="s">
        <v>6119</v>
      </c>
      <c r="U173" s="15"/>
      <c r="V173" s="15"/>
      <c r="W173" s="15"/>
      <c r="X173" s="15"/>
      <c r="Y173" s="15"/>
      <c r="Z173" s="15"/>
      <c r="AA173" s="46"/>
      <c r="AB173" s="15"/>
      <c r="AC173" s="15"/>
      <c r="AD173" s="15"/>
      <c r="AE173" s="15"/>
      <c r="AF173" s="15"/>
      <c r="AG173" s="15"/>
      <c r="AH173" s="15"/>
      <c r="AI173" s="46"/>
      <c r="AJ173" s="51" t="s">
        <v>67</v>
      </c>
      <c r="AK173" s="51" t="s">
        <v>67</v>
      </c>
      <c r="AL173" s="15"/>
      <c r="AM173" s="51" t="s">
        <v>67</v>
      </c>
      <c r="AN173" s="51" t="s">
        <v>67</v>
      </c>
      <c r="AO173" s="50" t="s">
        <v>9554</v>
      </c>
    </row>
    <row r="174" spans="1:41" hidden="1" x14ac:dyDescent="0.25">
      <c r="A174" s="51" t="s">
        <v>2204</v>
      </c>
      <c r="B174" s="51" t="s">
        <v>1677</v>
      </c>
      <c r="C174" s="54" t="s">
        <v>605</v>
      </c>
      <c r="D174" s="51" t="s">
        <v>1678</v>
      </c>
      <c r="E174" s="20">
        <v>10000</v>
      </c>
      <c r="F174" s="20">
        <v>1206.06</v>
      </c>
      <c r="G174" s="20">
        <v>3793.94</v>
      </c>
      <c r="H174" s="20">
        <v>0</v>
      </c>
      <c r="I174" s="20">
        <v>1206.06</v>
      </c>
      <c r="J174" s="51" t="s">
        <v>2654</v>
      </c>
      <c r="K174" s="15">
        <v>0</v>
      </c>
      <c r="L174" s="51" t="s">
        <v>2371</v>
      </c>
      <c r="M174" s="51" t="s">
        <v>1679</v>
      </c>
      <c r="N174" s="51" t="s">
        <v>6087</v>
      </c>
      <c r="O174" s="51" t="s">
        <v>67</v>
      </c>
      <c r="P174" s="51" t="s">
        <v>67</v>
      </c>
      <c r="Q174" s="45">
        <v>46264.795068796295</v>
      </c>
      <c r="R174" s="46">
        <v>46305</v>
      </c>
      <c r="S174" s="46">
        <v>46300</v>
      </c>
      <c r="T174" s="51" t="s">
        <v>6119</v>
      </c>
      <c r="U174" s="15"/>
      <c r="V174" s="15"/>
      <c r="W174" s="15"/>
      <c r="X174" s="15"/>
      <c r="Y174" s="15"/>
      <c r="Z174" s="15"/>
      <c r="AA174" s="46"/>
      <c r="AB174" s="15"/>
      <c r="AC174" s="15"/>
      <c r="AD174" s="15"/>
      <c r="AE174" s="15"/>
      <c r="AF174" s="15"/>
      <c r="AG174" s="15"/>
      <c r="AH174" s="15"/>
      <c r="AI174" s="46"/>
      <c r="AJ174" s="51" t="s">
        <v>67</v>
      </c>
      <c r="AK174" s="51" t="s">
        <v>67</v>
      </c>
      <c r="AL174" s="15"/>
      <c r="AM174" s="51" t="s">
        <v>67</v>
      </c>
      <c r="AN174" s="51" t="s">
        <v>67</v>
      </c>
      <c r="AO174" s="50" t="s">
        <v>9554</v>
      </c>
    </row>
    <row r="175" spans="1:41" hidden="1" x14ac:dyDescent="0.25">
      <c r="A175" s="51" t="s">
        <v>2205</v>
      </c>
      <c r="B175" s="51" t="s">
        <v>1552</v>
      </c>
      <c r="C175" s="54" t="s">
        <v>605</v>
      </c>
      <c r="D175" s="51" t="s">
        <v>2384</v>
      </c>
      <c r="E175" s="20">
        <v>10000</v>
      </c>
      <c r="F175" s="20">
        <v>1206.06</v>
      </c>
      <c r="G175" s="20">
        <v>3793.94</v>
      </c>
      <c r="H175" s="20">
        <v>0</v>
      </c>
      <c r="I175" s="20">
        <v>1206.06</v>
      </c>
      <c r="J175" s="51" t="s">
        <v>2654</v>
      </c>
      <c r="K175" s="15">
        <v>0</v>
      </c>
      <c r="L175" s="51" t="s">
        <v>2371</v>
      </c>
      <c r="M175" s="51" t="s">
        <v>1553</v>
      </c>
      <c r="N175" s="51" t="s">
        <v>461</v>
      </c>
      <c r="O175" s="51" t="s">
        <v>67</v>
      </c>
      <c r="P175" s="51" t="s">
        <v>67</v>
      </c>
      <c r="Q175" s="45">
        <v>46264.795742962961</v>
      </c>
      <c r="R175" s="46">
        <v>46305</v>
      </c>
      <c r="S175" s="46">
        <v>46300</v>
      </c>
      <c r="T175" s="51" t="s">
        <v>6119</v>
      </c>
      <c r="U175" s="15"/>
      <c r="V175" s="15"/>
      <c r="W175" s="15"/>
      <c r="X175" s="15"/>
      <c r="Y175" s="15"/>
      <c r="Z175" s="15"/>
      <c r="AA175" s="46"/>
      <c r="AB175" s="15"/>
      <c r="AC175" s="15"/>
      <c r="AD175" s="15"/>
      <c r="AE175" s="15"/>
      <c r="AF175" s="15"/>
      <c r="AG175" s="15"/>
      <c r="AH175" s="15"/>
      <c r="AI175" s="46"/>
      <c r="AJ175" s="51" t="s">
        <v>67</v>
      </c>
      <c r="AK175" s="51" t="s">
        <v>67</v>
      </c>
      <c r="AL175" s="15"/>
      <c r="AM175" s="51" t="s">
        <v>67</v>
      </c>
      <c r="AN175" s="51" t="s">
        <v>67</v>
      </c>
      <c r="AO175" s="50" t="s">
        <v>9554</v>
      </c>
    </row>
    <row r="176" spans="1:41" hidden="1" x14ac:dyDescent="0.25">
      <c r="A176" s="51" t="s">
        <v>2206</v>
      </c>
      <c r="B176" s="51" t="s">
        <v>2021</v>
      </c>
      <c r="C176" s="54" t="s">
        <v>605</v>
      </c>
      <c r="D176" s="51" t="s">
        <v>2022</v>
      </c>
      <c r="E176" s="20">
        <v>10000</v>
      </c>
      <c r="F176" s="20">
        <v>1206.06</v>
      </c>
      <c r="G176" s="20">
        <v>3793.94</v>
      </c>
      <c r="H176" s="20">
        <v>0</v>
      </c>
      <c r="I176" s="20">
        <v>1206.06</v>
      </c>
      <c r="J176" s="51" t="s">
        <v>2654</v>
      </c>
      <c r="K176" s="15">
        <v>0</v>
      </c>
      <c r="L176" s="51" t="s">
        <v>2371</v>
      </c>
      <c r="M176" s="51" t="s">
        <v>2023</v>
      </c>
      <c r="N176" s="51" t="s">
        <v>2024</v>
      </c>
      <c r="O176" s="51" t="s">
        <v>67</v>
      </c>
      <c r="P176" s="51" t="s">
        <v>67</v>
      </c>
      <c r="Q176" s="45">
        <v>46264.796442465275</v>
      </c>
      <c r="R176" s="46">
        <v>46305</v>
      </c>
      <c r="S176" s="46">
        <v>46300</v>
      </c>
      <c r="T176" s="51" t="s">
        <v>6119</v>
      </c>
      <c r="U176" s="15"/>
      <c r="V176" s="15"/>
      <c r="W176" s="15"/>
      <c r="X176" s="15"/>
      <c r="Y176" s="15"/>
      <c r="Z176" s="15"/>
      <c r="AA176" s="46"/>
      <c r="AB176" s="15"/>
      <c r="AC176" s="15"/>
      <c r="AD176" s="15"/>
      <c r="AE176" s="15"/>
      <c r="AF176" s="15"/>
      <c r="AG176" s="15"/>
      <c r="AH176" s="15"/>
      <c r="AI176" s="46"/>
      <c r="AJ176" s="51" t="s">
        <v>67</v>
      </c>
      <c r="AK176" s="51" t="s">
        <v>67</v>
      </c>
      <c r="AL176" s="15"/>
      <c r="AM176" s="51" t="s">
        <v>67</v>
      </c>
      <c r="AN176" s="51" t="s">
        <v>67</v>
      </c>
      <c r="AO176" s="50" t="s">
        <v>9554</v>
      </c>
    </row>
    <row r="177" spans="1:41" hidden="1" x14ac:dyDescent="0.25">
      <c r="A177" s="51" t="s">
        <v>2207</v>
      </c>
      <c r="B177" s="51" t="s">
        <v>1611</v>
      </c>
      <c r="C177" s="54" t="s">
        <v>605</v>
      </c>
      <c r="D177" s="51" t="s">
        <v>1612</v>
      </c>
      <c r="E177" s="20">
        <v>10000</v>
      </c>
      <c r="F177" s="20">
        <v>1206.06</v>
      </c>
      <c r="G177" s="20">
        <v>3793.94</v>
      </c>
      <c r="H177" s="20">
        <v>0</v>
      </c>
      <c r="I177" s="20">
        <v>1206.06</v>
      </c>
      <c r="J177" s="51" t="s">
        <v>2654</v>
      </c>
      <c r="K177" s="15">
        <v>0</v>
      </c>
      <c r="L177" s="51" t="s">
        <v>2371</v>
      </c>
      <c r="M177" s="51" t="s">
        <v>1613</v>
      </c>
      <c r="N177" s="51" t="s">
        <v>1614</v>
      </c>
      <c r="O177" s="51" t="s">
        <v>67</v>
      </c>
      <c r="P177" s="51" t="s">
        <v>67</v>
      </c>
      <c r="Q177" s="45">
        <v>46264.798346006944</v>
      </c>
      <c r="R177" s="46">
        <v>46305</v>
      </c>
      <c r="S177" s="46">
        <v>46300</v>
      </c>
      <c r="T177" s="51" t="s">
        <v>6119</v>
      </c>
      <c r="U177" s="15"/>
      <c r="V177" s="15"/>
      <c r="W177" s="15"/>
      <c r="X177" s="15"/>
      <c r="Y177" s="15"/>
      <c r="Z177" s="15"/>
      <c r="AA177" s="46"/>
      <c r="AB177" s="15"/>
      <c r="AC177" s="15"/>
      <c r="AD177" s="15"/>
      <c r="AE177" s="15"/>
      <c r="AF177" s="15"/>
      <c r="AG177" s="15"/>
      <c r="AH177" s="15"/>
      <c r="AI177" s="46"/>
      <c r="AJ177" s="51" t="s">
        <v>67</v>
      </c>
      <c r="AK177" s="51" t="s">
        <v>67</v>
      </c>
      <c r="AL177" s="15"/>
      <c r="AM177" s="51" t="s">
        <v>67</v>
      </c>
      <c r="AN177" s="51" t="s">
        <v>67</v>
      </c>
      <c r="AO177" s="50" t="s">
        <v>9554</v>
      </c>
    </row>
    <row r="178" spans="1:41" hidden="1" x14ac:dyDescent="0.25">
      <c r="A178" s="51" t="s">
        <v>2208</v>
      </c>
      <c r="B178" s="51" t="s">
        <v>1941</v>
      </c>
      <c r="C178" s="54" t="s">
        <v>605</v>
      </c>
      <c r="D178" s="51" t="s">
        <v>1942</v>
      </c>
      <c r="E178" s="20">
        <v>10000</v>
      </c>
      <c r="F178" s="20">
        <v>1206.06</v>
      </c>
      <c r="G178" s="20">
        <v>3793.94</v>
      </c>
      <c r="H178" s="20">
        <v>0</v>
      </c>
      <c r="I178" s="20">
        <v>1206.06</v>
      </c>
      <c r="J178" s="51" t="s">
        <v>2654</v>
      </c>
      <c r="K178" s="15">
        <v>0</v>
      </c>
      <c r="L178" s="51" t="s">
        <v>2371</v>
      </c>
      <c r="M178" s="51" t="s">
        <v>1943</v>
      </c>
      <c r="N178" s="51" t="s">
        <v>1944</v>
      </c>
      <c r="O178" s="51" t="s">
        <v>67</v>
      </c>
      <c r="P178" s="51" t="s">
        <v>67</v>
      </c>
      <c r="Q178" s="45">
        <v>46264.798953275465</v>
      </c>
      <c r="R178" s="46">
        <v>46305</v>
      </c>
      <c r="S178" s="46">
        <v>46300</v>
      </c>
      <c r="T178" s="51" t="s">
        <v>6119</v>
      </c>
      <c r="U178" s="15"/>
      <c r="V178" s="15"/>
      <c r="W178" s="15"/>
      <c r="X178" s="15"/>
      <c r="Y178" s="15"/>
      <c r="Z178" s="15"/>
      <c r="AA178" s="46"/>
      <c r="AB178" s="15"/>
      <c r="AC178" s="15"/>
      <c r="AD178" s="15"/>
      <c r="AE178" s="15"/>
      <c r="AF178" s="15"/>
      <c r="AG178" s="15"/>
      <c r="AH178" s="15"/>
      <c r="AI178" s="46"/>
      <c r="AJ178" s="51" t="s">
        <v>67</v>
      </c>
      <c r="AK178" s="51" t="s">
        <v>67</v>
      </c>
      <c r="AL178" s="15"/>
      <c r="AM178" s="51" t="s">
        <v>67</v>
      </c>
      <c r="AN178" s="51" t="s">
        <v>67</v>
      </c>
      <c r="AO178" s="50" t="s">
        <v>9554</v>
      </c>
    </row>
    <row r="179" spans="1:41" hidden="1" x14ac:dyDescent="0.25">
      <c r="A179" s="51" t="s">
        <v>2209</v>
      </c>
      <c r="B179" s="51" t="s">
        <v>1895</v>
      </c>
      <c r="C179" s="54" t="s">
        <v>5596</v>
      </c>
      <c r="D179" s="51" t="s">
        <v>1893</v>
      </c>
      <c r="E179" s="20">
        <v>12216.65</v>
      </c>
      <c r="F179" s="20">
        <v>4191.22</v>
      </c>
      <c r="G179" s="20">
        <v>14181.6</v>
      </c>
      <c r="H179" s="20">
        <v>3870.86</v>
      </c>
      <c r="I179" s="20">
        <v>4065.36</v>
      </c>
      <c r="J179" s="51" t="s">
        <v>6726</v>
      </c>
      <c r="K179" s="15">
        <v>21</v>
      </c>
      <c r="L179" s="51" t="s">
        <v>2369</v>
      </c>
      <c r="M179" s="51" t="s">
        <v>1896</v>
      </c>
      <c r="N179" s="51" t="s">
        <v>1340</v>
      </c>
      <c r="O179" s="51" t="s">
        <v>67</v>
      </c>
      <c r="P179" s="51" t="s">
        <v>67</v>
      </c>
      <c r="Q179" s="45">
        <v>46265.874030509258</v>
      </c>
      <c r="R179" s="46">
        <v>46300</v>
      </c>
      <c r="S179" s="46">
        <v>46295</v>
      </c>
      <c r="T179" s="51" t="s">
        <v>6119</v>
      </c>
      <c r="U179" s="15">
        <v>848.05</v>
      </c>
      <c r="V179" s="15">
        <v>3921.84</v>
      </c>
      <c r="W179" s="15">
        <v>36.08</v>
      </c>
      <c r="X179" s="15">
        <v>14.9</v>
      </c>
      <c r="Y179" s="15">
        <v>1.662307</v>
      </c>
      <c r="Z179" s="15">
        <v>6</v>
      </c>
      <c r="AA179" s="46">
        <v>46270</v>
      </c>
      <c r="AB179" s="15"/>
      <c r="AC179" s="15"/>
      <c r="AD179" s="15"/>
      <c r="AE179" s="15"/>
      <c r="AF179" s="15"/>
      <c r="AG179" s="15"/>
      <c r="AH179" s="15"/>
      <c r="AI179" s="46"/>
      <c r="AJ179" s="51" t="s">
        <v>6121</v>
      </c>
      <c r="AK179" s="51" t="s">
        <v>6121</v>
      </c>
      <c r="AL179" s="15">
        <v>848.05</v>
      </c>
      <c r="AM179" s="51" t="s">
        <v>67</v>
      </c>
      <c r="AN179" s="51" t="s">
        <v>67</v>
      </c>
      <c r="AO179" s="50" t="s">
        <v>9554</v>
      </c>
    </row>
    <row r="180" spans="1:41" hidden="1" x14ac:dyDescent="0.25">
      <c r="A180" s="51" t="s">
        <v>2210</v>
      </c>
      <c r="B180" s="51" t="s">
        <v>1474</v>
      </c>
      <c r="C180" s="54" t="s">
        <v>5596</v>
      </c>
      <c r="D180" s="51" t="s">
        <v>1475</v>
      </c>
      <c r="E180" s="20">
        <v>14784.02</v>
      </c>
      <c r="F180" s="20">
        <v>117.31</v>
      </c>
      <c r="G180" s="20">
        <v>19472.86</v>
      </c>
      <c r="H180" s="20">
        <v>0</v>
      </c>
      <c r="I180" s="20">
        <v>527.91</v>
      </c>
      <c r="J180" s="51" t="s">
        <v>2654</v>
      </c>
      <c r="K180" s="15">
        <v>0</v>
      </c>
      <c r="L180" s="51" t="s">
        <v>2371</v>
      </c>
      <c r="M180" s="51" t="s">
        <v>1476</v>
      </c>
      <c r="N180" s="51" t="s">
        <v>1340</v>
      </c>
      <c r="O180" s="51" t="s">
        <v>67</v>
      </c>
      <c r="P180" s="51" t="s">
        <v>67</v>
      </c>
      <c r="Q180" s="45">
        <v>46265.874098020831</v>
      </c>
      <c r="R180" s="46">
        <v>46300</v>
      </c>
      <c r="S180" s="46">
        <v>46295</v>
      </c>
      <c r="T180" s="51" t="s">
        <v>6119</v>
      </c>
      <c r="U180" s="15"/>
      <c r="V180" s="15"/>
      <c r="W180" s="15"/>
      <c r="X180" s="15"/>
      <c r="Y180" s="15"/>
      <c r="Z180" s="15"/>
      <c r="AA180" s="46"/>
      <c r="AB180" s="15"/>
      <c r="AC180" s="15"/>
      <c r="AD180" s="15"/>
      <c r="AE180" s="15"/>
      <c r="AF180" s="15"/>
      <c r="AG180" s="15"/>
      <c r="AH180" s="15"/>
      <c r="AI180" s="46"/>
      <c r="AJ180" s="51" t="s">
        <v>67</v>
      </c>
      <c r="AK180" s="51" t="s">
        <v>67</v>
      </c>
      <c r="AL180" s="15"/>
      <c r="AM180" s="51" t="s">
        <v>67</v>
      </c>
      <c r="AN180" s="51" t="s">
        <v>67</v>
      </c>
      <c r="AO180" s="50" t="s">
        <v>9554</v>
      </c>
    </row>
    <row r="181" spans="1:41" hidden="1" x14ac:dyDescent="0.25">
      <c r="A181" s="51" t="s">
        <v>2211</v>
      </c>
      <c r="B181" s="51" t="s">
        <v>1341</v>
      </c>
      <c r="C181" s="54" t="s">
        <v>607</v>
      </c>
      <c r="D181" s="51" t="s">
        <v>1342</v>
      </c>
      <c r="E181" s="20">
        <v>1839.67</v>
      </c>
      <c r="F181" s="20">
        <v>4774.88</v>
      </c>
      <c r="G181" s="20">
        <v>2268.52</v>
      </c>
      <c r="H181" s="20">
        <v>4446.6400000000003</v>
      </c>
      <c r="I181" s="20">
        <v>4774.88</v>
      </c>
      <c r="J181" s="51" t="s">
        <v>6727</v>
      </c>
      <c r="K181" s="15">
        <v>11</v>
      </c>
      <c r="L181" s="51" t="s">
        <v>2369</v>
      </c>
      <c r="M181" s="51" t="s">
        <v>1343</v>
      </c>
      <c r="N181" s="51" t="s">
        <v>1344</v>
      </c>
      <c r="O181" s="51" t="s">
        <v>67</v>
      </c>
      <c r="P181" s="51" t="s">
        <v>67</v>
      </c>
      <c r="Q181" s="45">
        <v>46265.874172430558</v>
      </c>
      <c r="R181" s="46">
        <v>46310</v>
      </c>
      <c r="S181" s="46">
        <v>46305</v>
      </c>
      <c r="T181" s="51" t="s">
        <v>6119</v>
      </c>
      <c r="U181" s="15">
        <v>125.66</v>
      </c>
      <c r="V181" s="15">
        <v>581.13</v>
      </c>
      <c r="W181" s="15">
        <v>5.35</v>
      </c>
      <c r="X181" s="15">
        <v>0</v>
      </c>
      <c r="Y181" s="15">
        <v>1.624538</v>
      </c>
      <c r="Z181" s="15">
        <v>6</v>
      </c>
      <c r="AA181" s="46">
        <v>46280</v>
      </c>
      <c r="AB181" s="15"/>
      <c r="AC181" s="15"/>
      <c r="AD181" s="15"/>
      <c r="AE181" s="15"/>
      <c r="AF181" s="15"/>
      <c r="AG181" s="15"/>
      <c r="AH181" s="15"/>
      <c r="AI181" s="46"/>
      <c r="AJ181" s="51" t="s">
        <v>6121</v>
      </c>
      <c r="AK181" s="51" t="s">
        <v>6121</v>
      </c>
      <c r="AL181" s="15">
        <v>125.66</v>
      </c>
      <c r="AM181" s="51" t="s">
        <v>67</v>
      </c>
      <c r="AN181" s="51" t="s">
        <v>67</v>
      </c>
      <c r="AO181" s="50" t="s">
        <v>9554</v>
      </c>
    </row>
    <row r="182" spans="1:41" hidden="1" x14ac:dyDescent="0.25">
      <c r="A182" s="51" t="s">
        <v>2212</v>
      </c>
      <c r="B182" s="51" t="s">
        <v>1459</v>
      </c>
      <c r="C182" s="54" t="s">
        <v>611</v>
      </c>
      <c r="D182" s="51" t="s">
        <v>1457</v>
      </c>
      <c r="E182" s="20">
        <v>5201.07</v>
      </c>
      <c r="F182" s="20">
        <v>5053.0600000000004</v>
      </c>
      <c r="G182" s="20">
        <v>3135.89</v>
      </c>
      <c r="H182" s="20">
        <v>4602.93</v>
      </c>
      <c r="I182" s="20">
        <v>5053.0600000000004</v>
      </c>
      <c r="J182" s="51" t="s">
        <v>6726</v>
      </c>
      <c r="K182" s="15">
        <v>32</v>
      </c>
      <c r="L182" s="51" t="s">
        <v>2369</v>
      </c>
      <c r="M182" s="51" t="s">
        <v>1460</v>
      </c>
      <c r="N182" s="51" t="s">
        <v>1340</v>
      </c>
      <c r="O182" s="51" t="s">
        <v>67</v>
      </c>
      <c r="P182" s="51" t="s">
        <v>67</v>
      </c>
      <c r="Q182" s="45">
        <v>46265.874232997689</v>
      </c>
      <c r="R182" s="46">
        <v>46320</v>
      </c>
      <c r="S182" s="46">
        <v>46315</v>
      </c>
      <c r="T182" s="51" t="s">
        <v>6119</v>
      </c>
      <c r="U182" s="15">
        <v>849.8</v>
      </c>
      <c r="V182" s="15">
        <v>3922.15</v>
      </c>
      <c r="W182" s="15">
        <v>36.39</v>
      </c>
      <c r="X182" s="15">
        <v>14.9</v>
      </c>
      <c r="Y182" s="15">
        <v>1.6620440000000001</v>
      </c>
      <c r="Z182" s="15">
        <v>6</v>
      </c>
      <c r="AA182" s="46">
        <v>46259</v>
      </c>
      <c r="AB182" s="15"/>
      <c r="AC182" s="15"/>
      <c r="AD182" s="15"/>
      <c r="AE182" s="15"/>
      <c r="AF182" s="15"/>
      <c r="AG182" s="15"/>
      <c r="AH182" s="15"/>
      <c r="AI182" s="46"/>
      <c r="AJ182" s="51" t="s">
        <v>6121</v>
      </c>
      <c r="AK182" s="51" t="s">
        <v>6121</v>
      </c>
      <c r="AL182" s="15">
        <v>849.8</v>
      </c>
      <c r="AM182" s="51" t="s">
        <v>67</v>
      </c>
      <c r="AN182" s="51" t="s">
        <v>67</v>
      </c>
      <c r="AO182" s="50" t="s">
        <v>9554</v>
      </c>
    </row>
    <row r="183" spans="1:41" hidden="1" x14ac:dyDescent="0.25">
      <c r="A183" s="51" t="s">
        <v>2213</v>
      </c>
      <c r="B183" s="51" t="s">
        <v>2013</v>
      </c>
      <c r="C183" s="54" t="s">
        <v>611</v>
      </c>
      <c r="D183" s="51" t="s">
        <v>2014</v>
      </c>
      <c r="E183" s="20">
        <v>1868.22</v>
      </c>
      <c r="F183" s="20">
        <v>5344.25</v>
      </c>
      <c r="G183" s="20">
        <v>6275.76</v>
      </c>
      <c r="H183" s="20">
        <v>4565.2700000000004</v>
      </c>
      <c r="I183" s="20">
        <v>5344.25</v>
      </c>
      <c r="J183" s="51" t="s">
        <v>6727</v>
      </c>
      <c r="K183" s="15">
        <v>32</v>
      </c>
      <c r="L183" s="51" t="s">
        <v>2369</v>
      </c>
      <c r="M183" s="51" t="s">
        <v>2015</v>
      </c>
      <c r="N183" s="51" t="s">
        <v>1344</v>
      </c>
      <c r="O183" s="51" t="s">
        <v>67</v>
      </c>
      <c r="P183" s="51" t="s">
        <v>67</v>
      </c>
      <c r="Q183" s="45">
        <v>46265.874414398146</v>
      </c>
      <c r="R183" s="46">
        <v>46320</v>
      </c>
      <c r="S183" s="46">
        <v>46315</v>
      </c>
      <c r="T183" s="51" t="s">
        <v>6119</v>
      </c>
      <c r="U183" s="15">
        <v>849.8</v>
      </c>
      <c r="V183" s="15">
        <v>3922.15</v>
      </c>
      <c r="W183" s="15">
        <v>36.39</v>
      </c>
      <c r="X183" s="15">
        <v>14.9</v>
      </c>
      <c r="Y183" s="15">
        <v>1.6620440000000001</v>
      </c>
      <c r="Z183" s="15">
        <v>6</v>
      </c>
      <c r="AA183" s="46">
        <v>46259</v>
      </c>
      <c r="AB183" s="15"/>
      <c r="AC183" s="15"/>
      <c r="AD183" s="15"/>
      <c r="AE183" s="15"/>
      <c r="AF183" s="15"/>
      <c r="AG183" s="15"/>
      <c r="AH183" s="15"/>
      <c r="AI183" s="46"/>
      <c r="AJ183" s="51" t="s">
        <v>6121</v>
      </c>
      <c r="AK183" s="51" t="s">
        <v>6121</v>
      </c>
      <c r="AL183" s="15">
        <v>849.8</v>
      </c>
      <c r="AM183" s="51" t="s">
        <v>67</v>
      </c>
      <c r="AN183" s="51" t="s">
        <v>67</v>
      </c>
      <c r="AO183" s="50" t="s">
        <v>9554</v>
      </c>
    </row>
    <row r="184" spans="1:41" hidden="1" x14ac:dyDescent="0.25">
      <c r="A184" s="51" t="s">
        <v>2214</v>
      </c>
      <c r="B184" s="51" t="s">
        <v>1794</v>
      </c>
      <c r="C184" s="54" t="s">
        <v>5596</v>
      </c>
      <c r="D184" s="51" t="s">
        <v>1792</v>
      </c>
      <c r="E184" s="20">
        <v>12335.36</v>
      </c>
      <c r="F184" s="20">
        <v>2041.45</v>
      </c>
      <c r="G184" s="20">
        <v>3159.59</v>
      </c>
      <c r="H184" s="20">
        <v>3870.86</v>
      </c>
      <c r="I184" s="20">
        <v>1834.02</v>
      </c>
      <c r="J184" s="51" t="s">
        <v>6726</v>
      </c>
      <c r="K184" s="15">
        <v>0</v>
      </c>
      <c r="L184" s="51" t="s">
        <v>2371</v>
      </c>
      <c r="M184" s="51" t="s">
        <v>1795</v>
      </c>
      <c r="N184" s="51" t="s">
        <v>1344</v>
      </c>
      <c r="O184" s="51" t="s">
        <v>67</v>
      </c>
      <c r="P184" s="51" t="s">
        <v>67</v>
      </c>
      <c r="Q184" s="45">
        <v>46265.874484560183</v>
      </c>
      <c r="R184" s="46">
        <v>46300</v>
      </c>
      <c r="S184" s="46">
        <v>46295</v>
      </c>
      <c r="T184" s="51" t="s">
        <v>6119</v>
      </c>
      <c r="U184" s="15">
        <v>848.05</v>
      </c>
      <c r="V184" s="15">
        <v>3921.84</v>
      </c>
      <c r="W184" s="15">
        <v>36.08</v>
      </c>
      <c r="X184" s="15">
        <v>14.9</v>
      </c>
      <c r="Y184" s="15">
        <v>1.662307</v>
      </c>
      <c r="Z184" s="15">
        <v>6</v>
      </c>
      <c r="AA184" s="46">
        <v>46270</v>
      </c>
      <c r="AB184" s="15"/>
      <c r="AC184" s="15"/>
      <c r="AD184" s="15"/>
      <c r="AE184" s="15"/>
      <c r="AF184" s="15"/>
      <c r="AG184" s="15"/>
      <c r="AH184" s="15"/>
      <c r="AI184" s="46"/>
      <c r="AJ184" s="51" t="s">
        <v>67</v>
      </c>
      <c r="AK184" s="51" t="s">
        <v>6121</v>
      </c>
      <c r="AL184" s="15">
        <v>848.05</v>
      </c>
      <c r="AM184" s="51" t="s">
        <v>67</v>
      </c>
      <c r="AN184" s="51" t="s">
        <v>67</v>
      </c>
      <c r="AO184" s="50" t="s">
        <v>9554</v>
      </c>
    </row>
    <row r="185" spans="1:41" hidden="1" x14ac:dyDescent="0.25">
      <c r="A185" s="51" t="s">
        <v>2215</v>
      </c>
      <c r="B185" s="51" t="s">
        <v>1909</v>
      </c>
      <c r="C185" s="54" t="s">
        <v>5596</v>
      </c>
      <c r="D185" s="51" t="s">
        <v>1910</v>
      </c>
      <c r="E185" s="20">
        <v>566.49</v>
      </c>
      <c r="F185" s="20">
        <v>4697.45</v>
      </c>
      <c r="G185" s="20">
        <v>6369.6</v>
      </c>
      <c r="H185" s="20">
        <v>4154.55</v>
      </c>
      <c r="I185" s="20">
        <v>4697.45</v>
      </c>
      <c r="J185" s="51" t="s">
        <v>6727</v>
      </c>
      <c r="K185" s="15">
        <v>21</v>
      </c>
      <c r="L185" s="51" t="s">
        <v>2369</v>
      </c>
      <c r="M185" s="51" t="s">
        <v>1911</v>
      </c>
      <c r="N185" s="51" t="s">
        <v>1340</v>
      </c>
      <c r="O185" s="51" t="s">
        <v>67</v>
      </c>
      <c r="P185" s="51" t="s">
        <v>67</v>
      </c>
      <c r="Q185" s="45">
        <v>46265.874572245368</v>
      </c>
      <c r="R185" s="46">
        <v>46300</v>
      </c>
      <c r="S185" s="46">
        <v>46295</v>
      </c>
      <c r="T185" s="51" t="s">
        <v>6119</v>
      </c>
      <c r="U185" s="15">
        <v>61.92</v>
      </c>
      <c r="V185" s="15">
        <v>286.33</v>
      </c>
      <c r="W185" s="15">
        <v>2.64</v>
      </c>
      <c r="X185" s="15">
        <v>0</v>
      </c>
      <c r="Y185" s="15">
        <v>1.625578</v>
      </c>
      <c r="Z185" s="15">
        <v>6</v>
      </c>
      <c r="AA185" s="46">
        <v>46270</v>
      </c>
      <c r="AB185" s="15"/>
      <c r="AC185" s="15"/>
      <c r="AD185" s="15"/>
      <c r="AE185" s="15"/>
      <c r="AF185" s="15"/>
      <c r="AG185" s="15"/>
      <c r="AH185" s="15"/>
      <c r="AI185" s="46"/>
      <c r="AJ185" s="51" t="s">
        <v>6121</v>
      </c>
      <c r="AK185" s="51" t="s">
        <v>6121</v>
      </c>
      <c r="AL185" s="15">
        <v>61.92</v>
      </c>
      <c r="AM185" s="51" t="s">
        <v>67</v>
      </c>
      <c r="AN185" s="51" t="s">
        <v>67</v>
      </c>
      <c r="AO185" s="50" t="s">
        <v>9554</v>
      </c>
    </row>
    <row r="186" spans="1:41" hidden="1" x14ac:dyDescent="0.25">
      <c r="A186" s="51" t="s">
        <v>2216</v>
      </c>
      <c r="B186" s="51" t="s">
        <v>1722</v>
      </c>
      <c r="C186" s="54" t="s">
        <v>5596</v>
      </c>
      <c r="D186" s="51" t="s">
        <v>1720</v>
      </c>
      <c r="E186" s="20">
        <v>8658.7900000000009</v>
      </c>
      <c r="F186" s="20">
        <v>0</v>
      </c>
      <c r="G186" s="20">
        <v>19562.439999999999</v>
      </c>
      <c r="H186" s="20">
        <v>4297.91</v>
      </c>
      <c r="I186" s="20">
        <v>0</v>
      </c>
      <c r="J186" s="51" t="s">
        <v>6726</v>
      </c>
      <c r="K186" s="15">
        <v>0</v>
      </c>
      <c r="L186" s="51" t="s">
        <v>2371</v>
      </c>
      <c r="M186" s="51" t="s">
        <v>1723</v>
      </c>
      <c r="N186" s="51" t="s">
        <v>1340</v>
      </c>
      <c r="O186" s="51" t="s">
        <v>67</v>
      </c>
      <c r="P186" s="51" t="s">
        <v>67</v>
      </c>
      <c r="Q186" s="45">
        <v>46265.874654282408</v>
      </c>
      <c r="R186" s="46">
        <v>46300</v>
      </c>
      <c r="S186" s="46">
        <v>46295</v>
      </c>
      <c r="T186" s="51" t="s">
        <v>6119</v>
      </c>
      <c r="U186" s="15"/>
      <c r="V186" s="15"/>
      <c r="W186" s="15"/>
      <c r="X186" s="15"/>
      <c r="Y186" s="15"/>
      <c r="Z186" s="15"/>
      <c r="AA186" s="46"/>
      <c r="AB186" s="15"/>
      <c r="AC186" s="15"/>
      <c r="AD186" s="15"/>
      <c r="AE186" s="15"/>
      <c r="AF186" s="15"/>
      <c r="AG186" s="15"/>
      <c r="AH186" s="15"/>
      <c r="AI186" s="46"/>
      <c r="AJ186" s="51" t="s">
        <v>67</v>
      </c>
      <c r="AK186" s="51" t="s">
        <v>67</v>
      </c>
      <c r="AL186" s="15"/>
      <c r="AM186" s="51" t="s">
        <v>67</v>
      </c>
      <c r="AN186" s="51" t="s">
        <v>67</v>
      </c>
      <c r="AO186" s="50" t="s">
        <v>9554</v>
      </c>
    </row>
    <row r="187" spans="1:41" hidden="1" x14ac:dyDescent="0.25">
      <c r="A187" s="51" t="s">
        <v>2217</v>
      </c>
      <c r="B187" s="51" t="s">
        <v>1904</v>
      </c>
      <c r="C187" s="54" t="s">
        <v>611</v>
      </c>
      <c r="D187" s="51" t="s">
        <v>1902</v>
      </c>
      <c r="E187" s="20">
        <v>4130.62</v>
      </c>
      <c r="F187" s="20">
        <v>2258.39</v>
      </c>
      <c r="G187" s="20">
        <v>15558.53</v>
      </c>
      <c r="H187" s="20">
        <v>4285.57</v>
      </c>
      <c r="I187" s="20">
        <v>2258.39</v>
      </c>
      <c r="J187" s="51" t="s">
        <v>6726</v>
      </c>
      <c r="K187" s="15">
        <v>0</v>
      </c>
      <c r="L187" s="51" t="s">
        <v>2371</v>
      </c>
      <c r="M187" s="51" t="s">
        <v>1905</v>
      </c>
      <c r="N187" s="51" t="s">
        <v>1340</v>
      </c>
      <c r="O187" s="51" t="s">
        <v>67</v>
      </c>
      <c r="P187" s="51" t="s">
        <v>67</v>
      </c>
      <c r="Q187" s="45">
        <v>46265.874700925924</v>
      </c>
      <c r="R187" s="46">
        <v>46320</v>
      </c>
      <c r="S187" s="46">
        <v>46315</v>
      </c>
      <c r="T187" s="51" t="s">
        <v>6119</v>
      </c>
      <c r="U187" s="15">
        <v>849.8</v>
      </c>
      <c r="V187" s="15">
        <v>3922.15</v>
      </c>
      <c r="W187" s="15">
        <v>36.39</v>
      </c>
      <c r="X187" s="15">
        <v>14.9</v>
      </c>
      <c r="Y187" s="15">
        <v>1.6620440000000001</v>
      </c>
      <c r="Z187" s="15">
        <v>6</v>
      </c>
      <c r="AA187" s="46">
        <v>46259</v>
      </c>
      <c r="AB187" s="15"/>
      <c r="AC187" s="15"/>
      <c r="AD187" s="15"/>
      <c r="AE187" s="15"/>
      <c r="AF187" s="15"/>
      <c r="AG187" s="15"/>
      <c r="AH187" s="15"/>
      <c r="AI187" s="46"/>
      <c r="AJ187" s="51" t="s">
        <v>67</v>
      </c>
      <c r="AK187" s="51" t="s">
        <v>6121</v>
      </c>
      <c r="AL187" s="15">
        <v>849.8</v>
      </c>
      <c r="AM187" s="51" t="s">
        <v>67</v>
      </c>
      <c r="AN187" s="51" t="s">
        <v>67</v>
      </c>
      <c r="AO187" s="50" t="s">
        <v>9554</v>
      </c>
    </row>
    <row r="188" spans="1:41" hidden="1" x14ac:dyDescent="0.25">
      <c r="A188" s="51" t="s">
        <v>2218</v>
      </c>
      <c r="B188" s="51" t="s">
        <v>1529</v>
      </c>
      <c r="C188" s="54" t="s">
        <v>605</v>
      </c>
      <c r="D188" s="51" t="s">
        <v>1530</v>
      </c>
      <c r="E188" s="20">
        <v>10000</v>
      </c>
      <c r="F188" s="20">
        <v>1206.06</v>
      </c>
      <c r="G188" s="20">
        <v>3793.94</v>
      </c>
      <c r="H188" s="20">
        <v>0</v>
      </c>
      <c r="I188" s="20">
        <v>1206.06</v>
      </c>
      <c r="J188" s="51" t="s">
        <v>2654</v>
      </c>
      <c r="K188" s="15">
        <v>0</v>
      </c>
      <c r="L188" s="51" t="s">
        <v>2371</v>
      </c>
      <c r="M188" s="51" t="s">
        <v>1531</v>
      </c>
      <c r="N188" s="51" t="s">
        <v>1532</v>
      </c>
      <c r="O188" s="51" t="s">
        <v>67</v>
      </c>
      <c r="P188" s="51" t="s">
        <v>67</v>
      </c>
      <c r="Q188" s="45">
        <v>46266.010815474539</v>
      </c>
      <c r="R188" s="46">
        <v>46305</v>
      </c>
      <c r="S188" s="46">
        <v>46300</v>
      </c>
      <c r="T188" s="51" t="s">
        <v>6119</v>
      </c>
      <c r="U188" s="15"/>
      <c r="V188" s="15"/>
      <c r="W188" s="15"/>
      <c r="X188" s="15"/>
      <c r="Y188" s="15"/>
      <c r="Z188" s="15"/>
      <c r="AA188" s="46"/>
      <c r="AB188" s="15"/>
      <c r="AC188" s="15"/>
      <c r="AD188" s="15"/>
      <c r="AE188" s="15"/>
      <c r="AF188" s="15"/>
      <c r="AG188" s="15"/>
      <c r="AH188" s="15"/>
      <c r="AI188" s="46"/>
      <c r="AJ188" s="51" t="s">
        <v>67</v>
      </c>
      <c r="AK188" s="51" t="s">
        <v>67</v>
      </c>
      <c r="AL188" s="15"/>
      <c r="AM188" s="51" t="s">
        <v>67</v>
      </c>
      <c r="AN188" s="51" t="s">
        <v>67</v>
      </c>
      <c r="AO188" s="50" t="s">
        <v>9554</v>
      </c>
    </row>
    <row r="189" spans="1:41" hidden="1" x14ac:dyDescent="0.25">
      <c r="A189" s="51" t="s">
        <v>2219</v>
      </c>
      <c r="B189" s="51" t="s">
        <v>1668</v>
      </c>
      <c r="C189" s="54" t="s">
        <v>605</v>
      </c>
      <c r="D189" s="51" t="s">
        <v>1669</v>
      </c>
      <c r="E189" s="20">
        <v>10000</v>
      </c>
      <c r="F189" s="20">
        <v>1206.06</v>
      </c>
      <c r="G189" s="20">
        <v>3793.94</v>
      </c>
      <c r="H189" s="20">
        <v>0</v>
      </c>
      <c r="I189" s="20">
        <v>1206.06</v>
      </c>
      <c r="J189" s="51" t="s">
        <v>2654</v>
      </c>
      <c r="K189" s="15">
        <v>0</v>
      </c>
      <c r="L189" s="51" t="s">
        <v>2371</v>
      </c>
      <c r="M189" s="51" t="s">
        <v>1670</v>
      </c>
      <c r="N189" s="51" t="s">
        <v>6088</v>
      </c>
      <c r="O189" s="51" t="s">
        <v>67</v>
      </c>
      <c r="P189" s="51" t="s">
        <v>67</v>
      </c>
      <c r="Q189" s="45">
        <v>46272.518815370371</v>
      </c>
      <c r="R189" s="46">
        <v>46305</v>
      </c>
      <c r="S189" s="46">
        <v>46300</v>
      </c>
      <c r="T189" s="51" t="s">
        <v>6119</v>
      </c>
      <c r="U189" s="15"/>
      <c r="V189" s="15"/>
      <c r="W189" s="15"/>
      <c r="X189" s="15"/>
      <c r="Y189" s="15"/>
      <c r="Z189" s="15"/>
      <c r="AA189" s="46"/>
      <c r="AB189" s="15"/>
      <c r="AC189" s="15"/>
      <c r="AD189" s="15"/>
      <c r="AE189" s="15"/>
      <c r="AF189" s="15"/>
      <c r="AG189" s="15"/>
      <c r="AH189" s="15"/>
      <c r="AI189" s="46"/>
      <c r="AJ189" s="51" t="s">
        <v>67</v>
      </c>
      <c r="AK189" s="51" t="s">
        <v>67</v>
      </c>
      <c r="AL189" s="15"/>
      <c r="AM189" s="51" t="s">
        <v>67</v>
      </c>
      <c r="AN189" s="51" t="s">
        <v>67</v>
      </c>
      <c r="AO189" s="50" t="s">
        <v>9554</v>
      </c>
    </row>
    <row r="190" spans="1:41" hidden="1" x14ac:dyDescent="0.25">
      <c r="A190" s="51" t="s">
        <v>2220</v>
      </c>
      <c r="B190" s="51" t="s">
        <v>1897</v>
      </c>
      <c r="C190" s="54" t="s">
        <v>605</v>
      </c>
      <c r="D190" s="51" t="s">
        <v>1898</v>
      </c>
      <c r="E190" s="20">
        <v>10000</v>
      </c>
      <c r="F190" s="20">
        <v>1206.06</v>
      </c>
      <c r="G190" s="20">
        <v>3793.94</v>
      </c>
      <c r="H190" s="20">
        <v>0</v>
      </c>
      <c r="I190" s="20">
        <v>1206.06</v>
      </c>
      <c r="J190" s="51" t="s">
        <v>2654</v>
      </c>
      <c r="K190" s="15">
        <v>0</v>
      </c>
      <c r="L190" s="51" t="s">
        <v>2371</v>
      </c>
      <c r="M190" s="51" t="s">
        <v>1899</v>
      </c>
      <c r="N190" s="51" t="s">
        <v>1900</v>
      </c>
      <c r="O190" s="51" t="s">
        <v>67</v>
      </c>
      <c r="P190" s="51" t="s">
        <v>67</v>
      </c>
      <c r="Q190" s="45">
        <v>46272.519735844908</v>
      </c>
      <c r="R190" s="46">
        <v>46305</v>
      </c>
      <c r="S190" s="46">
        <v>46300</v>
      </c>
      <c r="T190" s="51" t="s">
        <v>6119</v>
      </c>
      <c r="U190" s="15"/>
      <c r="V190" s="15"/>
      <c r="W190" s="15"/>
      <c r="X190" s="15"/>
      <c r="Y190" s="15"/>
      <c r="Z190" s="15"/>
      <c r="AA190" s="46"/>
      <c r="AB190" s="15"/>
      <c r="AC190" s="15"/>
      <c r="AD190" s="15"/>
      <c r="AE190" s="15"/>
      <c r="AF190" s="15"/>
      <c r="AG190" s="15"/>
      <c r="AH190" s="15"/>
      <c r="AI190" s="46"/>
      <c r="AJ190" s="51" t="s">
        <v>67</v>
      </c>
      <c r="AK190" s="51" t="s">
        <v>67</v>
      </c>
      <c r="AL190" s="15"/>
      <c r="AM190" s="51" t="s">
        <v>67</v>
      </c>
      <c r="AN190" s="51" t="s">
        <v>67</v>
      </c>
      <c r="AO190" s="50" t="s">
        <v>9554</v>
      </c>
    </row>
    <row r="191" spans="1:41" hidden="1" x14ac:dyDescent="0.25">
      <c r="A191" s="51" t="s">
        <v>2221</v>
      </c>
      <c r="B191" s="51" t="s">
        <v>1564</v>
      </c>
      <c r="C191" s="54" t="s">
        <v>605</v>
      </c>
      <c r="D191" s="51" t="s">
        <v>1565</v>
      </c>
      <c r="E191" s="20">
        <v>10000</v>
      </c>
      <c r="F191" s="20">
        <v>1206.06</v>
      </c>
      <c r="G191" s="20">
        <v>3793.94</v>
      </c>
      <c r="H191" s="20">
        <v>0</v>
      </c>
      <c r="I191" s="20">
        <v>1206.06</v>
      </c>
      <c r="J191" s="51" t="s">
        <v>2654</v>
      </c>
      <c r="K191" s="15">
        <v>0</v>
      </c>
      <c r="L191" s="51" t="s">
        <v>2371</v>
      </c>
      <c r="M191" s="51" t="s">
        <v>1566</v>
      </c>
      <c r="N191" s="51" t="s">
        <v>1567</v>
      </c>
      <c r="O191" s="51" t="s">
        <v>67</v>
      </c>
      <c r="P191" s="51" t="s">
        <v>67</v>
      </c>
      <c r="Q191" s="45">
        <v>46272.522888356485</v>
      </c>
      <c r="R191" s="46">
        <v>46305</v>
      </c>
      <c r="S191" s="46">
        <v>46300</v>
      </c>
      <c r="T191" s="51" t="s">
        <v>6119</v>
      </c>
      <c r="U191" s="15"/>
      <c r="V191" s="15"/>
      <c r="W191" s="15"/>
      <c r="X191" s="15"/>
      <c r="Y191" s="15"/>
      <c r="Z191" s="15"/>
      <c r="AA191" s="46"/>
      <c r="AB191" s="15"/>
      <c r="AC191" s="15"/>
      <c r="AD191" s="15"/>
      <c r="AE191" s="15"/>
      <c r="AF191" s="15"/>
      <c r="AG191" s="15"/>
      <c r="AH191" s="15"/>
      <c r="AI191" s="46"/>
      <c r="AJ191" s="51" t="s">
        <v>67</v>
      </c>
      <c r="AK191" s="51" t="s">
        <v>67</v>
      </c>
      <c r="AL191" s="15"/>
      <c r="AM191" s="51" t="s">
        <v>67</v>
      </c>
      <c r="AN191" s="51" t="s">
        <v>67</v>
      </c>
      <c r="AO191" s="50" t="s">
        <v>9554</v>
      </c>
    </row>
    <row r="192" spans="1:41" hidden="1" x14ac:dyDescent="0.25">
      <c r="A192" s="51" t="s">
        <v>2222</v>
      </c>
      <c r="B192" s="51" t="s">
        <v>1541</v>
      </c>
      <c r="C192" s="54" t="s">
        <v>605</v>
      </c>
      <c r="D192" s="51" t="s">
        <v>1542</v>
      </c>
      <c r="E192" s="20">
        <v>10000</v>
      </c>
      <c r="F192" s="20">
        <v>1206.06</v>
      </c>
      <c r="G192" s="20">
        <v>3793.94</v>
      </c>
      <c r="H192" s="20">
        <v>0</v>
      </c>
      <c r="I192" s="20">
        <v>1206.06</v>
      </c>
      <c r="J192" s="51" t="s">
        <v>2654</v>
      </c>
      <c r="K192" s="15">
        <v>0</v>
      </c>
      <c r="L192" s="51" t="s">
        <v>2371</v>
      </c>
      <c r="M192" s="51" t="s">
        <v>1543</v>
      </c>
      <c r="N192" s="51" t="s">
        <v>1544</v>
      </c>
      <c r="O192" s="51" t="s">
        <v>67</v>
      </c>
      <c r="P192" s="51" t="s">
        <v>67</v>
      </c>
      <c r="Q192" s="45">
        <v>46272.523915081016</v>
      </c>
      <c r="R192" s="46">
        <v>46305</v>
      </c>
      <c r="S192" s="46">
        <v>46300</v>
      </c>
      <c r="T192" s="51" t="s">
        <v>6119</v>
      </c>
      <c r="U192" s="15"/>
      <c r="V192" s="15"/>
      <c r="W192" s="15"/>
      <c r="X192" s="15"/>
      <c r="Y192" s="15"/>
      <c r="Z192" s="15"/>
      <c r="AA192" s="46"/>
      <c r="AB192" s="15"/>
      <c r="AC192" s="15"/>
      <c r="AD192" s="15"/>
      <c r="AE192" s="15"/>
      <c r="AF192" s="15"/>
      <c r="AG192" s="15"/>
      <c r="AH192" s="15"/>
      <c r="AI192" s="46"/>
      <c r="AJ192" s="51" t="s">
        <v>67</v>
      </c>
      <c r="AK192" s="51" t="s">
        <v>67</v>
      </c>
      <c r="AL192" s="15"/>
      <c r="AM192" s="51" t="s">
        <v>67</v>
      </c>
      <c r="AN192" s="51" t="s">
        <v>67</v>
      </c>
      <c r="AO192" s="50" t="s">
        <v>9554</v>
      </c>
    </row>
    <row r="193" spans="1:41" hidden="1" x14ac:dyDescent="0.25">
      <c r="A193" s="51" t="s">
        <v>2223</v>
      </c>
      <c r="B193" s="51" t="s">
        <v>2097</v>
      </c>
      <c r="C193" s="54" t="s">
        <v>605</v>
      </c>
      <c r="D193" s="51" t="s">
        <v>2098</v>
      </c>
      <c r="E193" s="20">
        <v>10000</v>
      </c>
      <c r="F193" s="20">
        <v>1206.06</v>
      </c>
      <c r="G193" s="20">
        <v>3793.94</v>
      </c>
      <c r="H193" s="20">
        <v>0</v>
      </c>
      <c r="I193" s="20">
        <v>1206.06</v>
      </c>
      <c r="J193" s="51" t="s">
        <v>2654</v>
      </c>
      <c r="K193" s="15">
        <v>0</v>
      </c>
      <c r="L193" s="51" t="s">
        <v>2371</v>
      </c>
      <c r="M193" s="51" t="s">
        <v>2099</v>
      </c>
      <c r="N193" s="51" t="s">
        <v>2100</v>
      </c>
      <c r="O193" s="51" t="s">
        <v>67</v>
      </c>
      <c r="P193" s="51" t="s">
        <v>67</v>
      </c>
      <c r="Q193" s="45">
        <v>46272.525327083335</v>
      </c>
      <c r="R193" s="46">
        <v>46305</v>
      </c>
      <c r="S193" s="46">
        <v>46300</v>
      </c>
      <c r="T193" s="51" t="s">
        <v>6119</v>
      </c>
      <c r="U193" s="15"/>
      <c r="V193" s="15"/>
      <c r="W193" s="15"/>
      <c r="X193" s="15"/>
      <c r="Y193" s="15"/>
      <c r="Z193" s="15"/>
      <c r="AA193" s="46"/>
      <c r="AB193" s="15"/>
      <c r="AC193" s="15"/>
      <c r="AD193" s="15"/>
      <c r="AE193" s="15"/>
      <c r="AF193" s="15"/>
      <c r="AG193" s="15"/>
      <c r="AH193" s="15"/>
      <c r="AI193" s="46"/>
      <c r="AJ193" s="51" t="s">
        <v>67</v>
      </c>
      <c r="AK193" s="51" t="s">
        <v>67</v>
      </c>
      <c r="AL193" s="15"/>
      <c r="AM193" s="51" t="s">
        <v>67</v>
      </c>
      <c r="AN193" s="51" t="s">
        <v>67</v>
      </c>
      <c r="AO193" s="50" t="s">
        <v>9554</v>
      </c>
    </row>
    <row r="194" spans="1:41" hidden="1" x14ac:dyDescent="0.25">
      <c r="A194" s="51" t="s">
        <v>2224</v>
      </c>
      <c r="B194" s="51" t="s">
        <v>1711</v>
      </c>
      <c r="C194" s="54" t="s">
        <v>605</v>
      </c>
      <c r="D194" s="51" t="s">
        <v>1712</v>
      </c>
      <c r="E194" s="20">
        <v>10000</v>
      </c>
      <c r="F194" s="20">
        <v>1206.06</v>
      </c>
      <c r="G194" s="20">
        <v>3793.94</v>
      </c>
      <c r="H194" s="20">
        <v>0</v>
      </c>
      <c r="I194" s="20">
        <v>1206.06</v>
      </c>
      <c r="J194" s="51" t="s">
        <v>2654</v>
      </c>
      <c r="K194" s="15">
        <v>0</v>
      </c>
      <c r="L194" s="51" t="s">
        <v>2371</v>
      </c>
      <c r="M194" s="51" t="s">
        <v>1713</v>
      </c>
      <c r="N194" s="51" t="s">
        <v>1714</v>
      </c>
      <c r="O194" s="51" t="s">
        <v>67</v>
      </c>
      <c r="P194" s="51" t="s">
        <v>67</v>
      </c>
      <c r="Q194" s="45">
        <v>46272.52654914352</v>
      </c>
      <c r="R194" s="46">
        <v>46305</v>
      </c>
      <c r="S194" s="46">
        <v>46300</v>
      </c>
      <c r="T194" s="51" t="s">
        <v>6119</v>
      </c>
      <c r="U194" s="15"/>
      <c r="V194" s="15"/>
      <c r="W194" s="15"/>
      <c r="X194" s="15"/>
      <c r="Y194" s="15"/>
      <c r="Z194" s="15"/>
      <c r="AA194" s="46"/>
      <c r="AB194" s="15"/>
      <c r="AC194" s="15"/>
      <c r="AD194" s="15"/>
      <c r="AE194" s="15"/>
      <c r="AF194" s="15"/>
      <c r="AG194" s="15"/>
      <c r="AH194" s="15"/>
      <c r="AI194" s="46"/>
      <c r="AJ194" s="51" t="s">
        <v>67</v>
      </c>
      <c r="AK194" s="51" t="s">
        <v>67</v>
      </c>
      <c r="AL194" s="15"/>
      <c r="AM194" s="51" t="s">
        <v>67</v>
      </c>
      <c r="AN194" s="51" t="s">
        <v>67</v>
      </c>
      <c r="AO194" s="50" t="s">
        <v>9554</v>
      </c>
    </row>
    <row r="195" spans="1:41" hidden="1" x14ac:dyDescent="0.25">
      <c r="A195" s="51" t="s">
        <v>2225</v>
      </c>
      <c r="B195" s="51" t="s">
        <v>1576</v>
      </c>
      <c r="C195" s="54" t="s">
        <v>605</v>
      </c>
      <c r="D195" s="51" t="s">
        <v>1577</v>
      </c>
      <c r="E195" s="20">
        <v>10000</v>
      </c>
      <c r="F195" s="20">
        <v>1206.06</v>
      </c>
      <c r="G195" s="20">
        <v>3793.94</v>
      </c>
      <c r="H195" s="20">
        <v>0</v>
      </c>
      <c r="I195" s="20">
        <v>1206.06</v>
      </c>
      <c r="J195" s="51" t="s">
        <v>2654</v>
      </c>
      <c r="K195" s="15">
        <v>0</v>
      </c>
      <c r="L195" s="51" t="s">
        <v>2371</v>
      </c>
      <c r="M195" s="51" t="s">
        <v>1578</v>
      </c>
      <c r="N195" s="51" t="s">
        <v>1579</v>
      </c>
      <c r="O195" s="51" t="s">
        <v>67</v>
      </c>
      <c r="P195" s="51" t="s">
        <v>67</v>
      </c>
      <c r="Q195" s="45">
        <v>46272.529768668981</v>
      </c>
      <c r="R195" s="46">
        <v>46305</v>
      </c>
      <c r="S195" s="46">
        <v>46300</v>
      </c>
      <c r="T195" s="51" t="s">
        <v>6119</v>
      </c>
      <c r="U195" s="15"/>
      <c r="V195" s="15"/>
      <c r="W195" s="15"/>
      <c r="X195" s="15"/>
      <c r="Y195" s="15"/>
      <c r="Z195" s="15"/>
      <c r="AA195" s="46"/>
      <c r="AB195" s="15"/>
      <c r="AC195" s="15"/>
      <c r="AD195" s="15"/>
      <c r="AE195" s="15"/>
      <c r="AF195" s="15"/>
      <c r="AG195" s="15"/>
      <c r="AH195" s="15"/>
      <c r="AI195" s="46"/>
      <c r="AJ195" s="51" t="s">
        <v>67</v>
      </c>
      <c r="AK195" s="51" t="s">
        <v>67</v>
      </c>
      <c r="AL195" s="15"/>
      <c r="AM195" s="51" t="s">
        <v>67</v>
      </c>
      <c r="AN195" s="51" t="s">
        <v>67</v>
      </c>
      <c r="AO195" s="50" t="s">
        <v>9554</v>
      </c>
    </row>
    <row r="196" spans="1:41" hidden="1" x14ac:dyDescent="0.25">
      <c r="A196" s="51" t="s">
        <v>2226</v>
      </c>
      <c r="B196" s="51" t="s">
        <v>1449</v>
      </c>
      <c r="C196" s="54" t="s">
        <v>605</v>
      </c>
      <c r="D196" s="51" t="s">
        <v>1450</v>
      </c>
      <c r="E196" s="20">
        <v>10000</v>
      </c>
      <c r="F196" s="20">
        <v>1206.06</v>
      </c>
      <c r="G196" s="20">
        <v>3793.94</v>
      </c>
      <c r="H196" s="20">
        <v>0</v>
      </c>
      <c r="I196" s="20">
        <v>1206.06</v>
      </c>
      <c r="J196" s="51" t="s">
        <v>2654</v>
      </c>
      <c r="K196" s="15">
        <v>0</v>
      </c>
      <c r="L196" s="51" t="s">
        <v>2371</v>
      </c>
      <c r="M196" s="51" t="s">
        <v>1451</v>
      </c>
      <c r="N196" s="51" t="s">
        <v>1452</v>
      </c>
      <c r="O196" s="51" t="s">
        <v>67</v>
      </c>
      <c r="P196" s="51" t="s">
        <v>67</v>
      </c>
      <c r="Q196" s="45">
        <v>46272.531179363425</v>
      </c>
      <c r="R196" s="46">
        <v>46305</v>
      </c>
      <c r="S196" s="46">
        <v>46300</v>
      </c>
      <c r="T196" s="51" t="s">
        <v>6119</v>
      </c>
      <c r="U196" s="15"/>
      <c r="V196" s="15"/>
      <c r="W196" s="15"/>
      <c r="X196" s="15"/>
      <c r="Y196" s="15"/>
      <c r="Z196" s="15"/>
      <c r="AA196" s="46"/>
      <c r="AB196" s="15"/>
      <c r="AC196" s="15"/>
      <c r="AD196" s="15"/>
      <c r="AE196" s="15"/>
      <c r="AF196" s="15"/>
      <c r="AG196" s="15"/>
      <c r="AH196" s="15"/>
      <c r="AI196" s="46"/>
      <c r="AJ196" s="51" t="s">
        <v>67</v>
      </c>
      <c r="AK196" s="51" t="s">
        <v>67</v>
      </c>
      <c r="AL196" s="15"/>
      <c r="AM196" s="51" t="s">
        <v>67</v>
      </c>
      <c r="AN196" s="51" t="s">
        <v>67</v>
      </c>
      <c r="AO196" s="50" t="s">
        <v>9554</v>
      </c>
    </row>
    <row r="197" spans="1:41" hidden="1" x14ac:dyDescent="0.25">
      <c r="A197" s="51" t="s">
        <v>2227</v>
      </c>
      <c r="B197" s="51" t="s">
        <v>1517</v>
      </c>
      <c r="C197" s="54" t="s">
        <v>605</v>
      </c>
      <c r="D197" s="51" t="s">
        <v>1518</v>
      </c>
      <c r="E197" s="20">
        <v>10000</v>
      </c>
      <c r="F197" s="20">
        <v>1206.06</v>
      </c>
      <c r="G197" s="20">
        <v>3793.94</v>
      </c>
      <c r="H197" s="20">
        <v>0</v>
      </c>
      <c r="I197" s="20">
        <v>1206.06</v>
      </c>
      <c r="J197" s="51" t="s">
        <v>2654</v>
      </c>
      <c r="K197" s="15">
        <v>0</v>
      </c>
      <c r="L197" s="51" t="s">
        <v>2371</v>
      </c>
      <c r="M197" s="51" t="s">
        <v>1519</v>
      </c>
      <c r="N197" s="51" t="s">
        <v>1520</v>
      </c>
      <c r="O197" s="51" t="s">
        <v>67</v>
      </c>
      <c r="P197" s="51" t="s">
        <v>67</v>
      </c>
      <c r="Q197" s="45">
        <v>46272.532392349538</v>
      </c>
      <c r="R197" s="46">
        <v>46305</v>
      </c>
      <c r="S197" s="46">
        <v>46300</v>
      </c>
      <c r="T197" s="51" t="s">
        <v>6119</v>
      </c>
      <c r="U197" s="15"/>
      <c r="V197" s="15"/>
      <c r="W197" s="15"/>
      <c r="X197" s="15"/>
      <c r="Y197" s="15"/>
      <c r="Z197" s="15"/>
      <c r="AA197" s="46"/>
      <c r="AB197" s="15"/>
      <c r="AC197" s="15"/>
      <c r="AD197" s="15"/>
      <c r="AE197" s="15"/>
      <c r="AF197" s="15"/>
      <c r="AG197" s="15"/>
      <c r="AH197" s="15"/>
      <c r="AI197" s="46"/>
      <c r="AJ197" s="51" t="s">
        <v>67</v>
      </c>
      <c r="AK197" s="51" t="s">
        <v>67</v>
      </c>
      <c r="AL197" s="15"/>
      <c r="AM197" s="51" t="s">
        <v>67</v>
      </c>
      <c r="AN197" s="51" t="s">
        <v>67</v>
      </c>
      <c r="AO197" s="50" t="s">
        <v>9554</v>
      </c>
    </row>
    <row r="198" spans="1:41" hidden="1" x14ac:dyDescent="0.25">
      <c r="A198" s="51" t="s">
        <v>2228</v>
      </c>
      <c r="B198" s="51" t="s">
        <v>1799</v>
      </c>
      <c r="C198" s="54" t="s">
        <v>605</v>
      </c>
      <c r="D198" s="51" t="s">
        <v>1800</v>
      </c>
      <c r="E198" s="20">
        <v>10000</v>
      </c>
      <c r="F198" s="20">
        <v>1206.06</v>
      </c>
      <c r="G198" s="20">
        <v>3793.94</v>
      </c>
      <c r="H198" s="20">
        <v>0</v>
      </c>
      <c r="I198" s="20">
        <v>1206.06</v>
      </c>
      <c r="J198" s="51" t="s">
        <v>2654</v>
      </c>
      <c r="K198" s="15">
        <v>0</v>
      </c>
      <c r="L198" s="51" t="s">
        <v>2371</v>
      </c>
      <c r="M198" s="51" t="s">
        <v>1801</v>
      </c>
      <c r="N198" s="51" t="s">
        <v>1802</v>
      </c>
      <c r="O198" s="51" t="s">
        <v>67</v>
      </c>
      <c r="P198" s="51" t="s">
        <v>67</v>
      </c>
      <c r="Q198" s="45">
        <v>46272.54458483796</v>
      </c>
      <c r="R198" s="46">
        <v>46305</v>
      </c>
      <c r="S198" s="46">
        <v>46300</v>
      </c>
      <c r="T198" s="51" t="s">
        <v>6119</v>
      </c>
      <c r="U198" s="15"/>
      <c r="V198" s="15"/>
      <c r="W198" s="15"/>
      <c r="X198" s="15"/>
      <c r="Y198" s="15"/>
      <c r="Z198" s="15"/>
      <c r="AA198" s="46"/>
      <c r="AB198" s="15"/>
      <c r="AC198" s="15"/>
      <c r="AD198" s="15"/>
      <c r="AE198" s="15"/>
      <c r="AF198" s="15"/>
      <c r="AG198" s="15"/>
      <c r="AH198" s="15"/>
      <c r="AI198" s="46"/>
      <c r="AJ198" s="51" t="s">
        <v>67</v>
      </c>
      <c r="AK198" s="51" t="s">
        <v>67</v>
      </c>
      <c r="AL198" s="15"/>
      <c r="AM198" s="51" t="s">
        <v>67</v>
      </c>
      <c r="AN198" s="51" t="s">
        <v>67</v>
      </c>
      <c r="AO198" s="50" t="s">
        <v>9554</v>
      </c>
    </row>
    <row r="199" spans="1:41" hidden="1" x14ac:dyDescent="0.25">
      <c r="A199" s="51" t="s">
        <v>2229</v>
      </c>
      <c r="B199" s="51" t="s">
        <v>1365</v>
      </c>
      <c r="C199" s="54" t="s">
        <v>605</v>
      </c>
      <c r="D199" s="51" t="s">
        <v>1366</v>
      </c>
      <c r="E199" s="20">
        <v>10000</v>
      </c>
      <c r="F199" s="20">
        <v>1206.06</v>
      </c>
      <c r="G199" s="20">
        <v>3793.94</v>
      </c>
      <c r="H199" s="20">
        <v>0</v>
      </c>
      <c r="I199" s="20">
        <v>1206.06</v>
      </c>
      <c r="J199" s="51" t="s">
        <v>2654</v>
      </c>
      <c r="K199" s="15">
        <v>0</v>
      </c>
      <c r="L199" s="51" t="s">
        <v>2371</v>
      </c>
      <c r="M199" s="51" t="s">
        <v>1367</v>
      </c>
      <c r="N199" s="51" t="s">
        <v>1368</v>
      </c>
      <c r="O199" s="51" t="s">
        <v>67</v>
      </c>
      <c r="P199" s="51" t="s">
        <v>67</v>
      </c>
      <c r="Q199" s="45">
        <v>46272.553600127314</v>
      </c>
      <c r="R199" s="46">
        <v>46305</v>
      </c>
      <c r="S199" s="46">
        <v>46300</v>
      </c>
      <c r="T199" s="51" t="s">
        <v>6119</v>
      </c>
      <c r="U199" s="15"/>
      <c r="V199" s="15"/>
      <c r="W199" s="15"/>
      <c r="X199" s="15"/>
      <c r="Y199" s="15"/>
      <c r="Z199" s="15"/>
      <c r="AA199" s="46"/>
      <c r="AB199" s="15"/>
      <c r="AC199" s="15"/>
      <c r="AD199" s="15"/>
      <c r="AE199" s="15"/>
      <c r="AF199" s="15"/>
      <c r="AG199" s="15"/>
      <c r="AH199" s="15"/>
      <c r="AI199" s="46"/>
      <c r="AJ199" s="51" t="s">
        <v>67</v>
      </c>
      <c r="AK199" s="51" t="s">
        <v>67</v>
      </c>
      <c r="AL199" s="15"/>
      <c r="AM199" s="51" t="s">
        <v>67</v>
      </c>
      <c r="AN199" s="51" t="s">
        <v>67</v>
      </c>
      <c r="AO199" s="50" t="s">
        <v>9554</v>
      </c>
    </row>
    <row r="200" spans="1:41" hidden="1" x14ac:dyDescent="0.25">
      <c r="A200" s="51" t="s">
        <v>2230</v>
      </c>
      <c r="B200" s="51" t="s">
        <v>1832</v>
      </c>
      <c r="C200" s="54" t="s">
        <v>605</v>
      </c>
      <c r="D200" s="51" t="s">
        <v>1833</v>
      </c>
      <c r="E200" s="20">
        <v>10000</v>
      </c>
      <c r="F200" s="20">
        <v>1206.06</v>
      </c>
      <c r="G200" s="20">
        <v>3793.94</v>
      </c>
      <c r="H200" s="20">
        <v>0</v>
      </c>
      <c r="I200" s="20">
        <v>1206.06</v>
      </c>
      <c r="J200" s="51" t="s">
        <v>2654</v>
      </c>
      <c r="K200" s="15">
        <v>0</v>
      </c>
      <c r="L200" s="51" t="s">
        <v>2371</v>
      </c>
      <c r="M200" s="51" t="s">
        <v>1834</v>
      </c>
      <c r="N200" s="51" t="s">
        <v>1835</v>
      </c>
      <c r="O200" s="51" t="s">
        <v>67</v>
      </c>
      <c r="P200" s="51" t="s">
        <v>67</v>
      </c>
      <c r="Q200" s="45">
        <v>46272.556713078702</v>
      </c>
      <c r="R200" s="46">
        <v>46305</v>
      </c>
      <c r="S200" s="46">
        <v>46300</v>
      </c>
      <c r="T200" s="51" t="s">
        <v>6119</v>
      </c>
      <c r="U200" s="15"/>
      <c r="V200" s="15"/>
      <c r="W200" s="15"/>
      <c r="X200" s="15"/>
      <c r="Y200" s="15"/>
      <c r="Z200" s="15"/>
      <c r="AA200" s="46"/>
      <c r="AB200" s="15"/>
      <c r="AC200" s="15"/>
      <c r="AD200" s="15"/>
      <c r="AE200" s="15"/>
      <c r="AF200" s="15"/>
      <c r="AG200" s="15"/>
      <c r="AH200" s="15"/>
      <c r="AI200" s="46"/>
      <c r="AJ200" s="51" t="s">
        <v>67</v>
      </c>
      <c r="AK200" s="51" t="s">
        <v>67</v>
      </c>
      <c r="AL200" s="15"/>
      <c r="AM200" s="51" t="s">
        <v>67</v>
      </c>
      <c r="AN200" s="51" t="s">
        <v>67</v>
      </c>
      <c r="AO200" s="50" t="s">
        <v>9554</v>
      </c>
    </row>
    <row r="201" spans="1:41" hidden="1" x14ac:dyDescent="0.25">
      <c r="A201" s="51" t="s">
        <v>2231</v>
      </c>
      <c r="B201" s="51" t="s">
        <v>1734</v>
      </c>
      <c r="C201" s="54" t="s">
        <v>605</v>
      </c>
      <c r="D201" s="51" t="s">
        <v>1735</v>
      </c>
      <c r="E201" s="20">
        <v>10000</v>
      </c>
      <c r="F201" s="20">
        <v>1206.06</v>
      </c>
      <c r="G201" s="20">
        <v>3793.94</v>
      </c>
      <c r="H201" s="20">
        <v>0</v>
      </c>
      <c r="I201" s="20">
        <v>1206.06</v>
      </c>
      <c r="J201" s="51" t="s">
        <v>2654</v>
      </c>
      <c r="K201" s="15">
        <v>0</v>
      </c>
      <c r="L201" s="51" t="s">
        <v>2371</v>
      </c>
      <c r="M201" s="51" t="s">
        <v>1736</v>
      </c>
      <c r="N201" s="51" t="s">
        <v>1737</v>
      </c>
      <c r="O201" s="51" t="s">
        <v>67</v>
      </c>
      <c r="P201" s="51" t="s">
        <v>67</v>
      </c>
      <c r="Q201" s="45">
        <v>46272.557428182874</v>
      </c>
      <c r="R201" s="46">
        <v>46305</v>
      </c>
      <c r="S201" s="46">
        <v>46300</v>
      </c>
      <c r="T201" s="51" t="s">
        <v>6119</v>
      </c>
      <c r="U201" s="15"/>
      <c r="V201" s="15"/>
      <c r="W201" s="15"/>
      <c r="X201" s="15"/>
      <c r="Y201" s="15"/>
      <c r="Z201" s="15"/>
      <c r="AA201" s="46"/>
      <c r="AB201" s="15"/>
      <c r="AC201" s="15"/>
      <c r="AD201" s="15"/>
      <c r="AE201" s="15"/>
      <c r="AF201" s="15"/>
      <c r="AG201" s="15"/>
      <c r="AH201" s="15"/>
      <c r="AI201" s="46"/>
      <c r="AJ201" s="51" t="s">
        <v>67</v>
      </c>
      <c r="AK201" s="51" t="s">
        <v>67</v>
      </c>
      <c r="AL201" s="15"/>
      <c r="AM201" s="51" t="s">
        <v>67</v>
      </c>
      <c r="AN201" s="51" t="s">
        <v>67</v>
      </c>
      <c r="AO201" s="50" t="s">
        <v>9554</v>
      </c>
    </row>
    <row r="202" spans="1:41" hidden="1" x14ac:dyDescent="0.25">
      <c r="A202" s="51" t="s">
        <v>2232</v>
      </c>
      <c r="B202" s="51" t="s">
        <v>1694</v>
      </c>
      <c r="C202" s="54" t="s">
        <v>605</v>
      </c>
      <c r="D202" s="51" t="s">
        <v>1695</v>
      </c>
      <c r="E202" s="20">
        <v>10000</v>
      </c>
      <c r="F202" s="20">
        <v>1206.06</v>
      </c>
      <c r="G202" s="20">
        <v>3793.94</v>
      </c>
      <c r="H202" s="20">
        <v>0</v>
      </c>
      <c r="I202" s="20">
        <v>1206.06</v>
      </c>
      <c r="J202" s="51" t="s">
        <v>2654</v>
      </c>
      <c r="K202" s="15">
        <v>0</v>
      </c>
      <c r="L202" s="51" t="s">
        <v>2371</v>
      </c>
      <c r="M202" s="51" t="s">
        <v>1696</v>
      </c>
      <c r="N202" s="51" t="s">
        <v>1642</v>
      </c>
      <c r="O202" s="51" t="s">
        <v>67</v>
      </c>
      <c r="P202" s="51" t="s">
        <v>67</v>
      </c>
      <c r="Q202" s="45">
        <v>46272.587850706019</v>
      </c>
      <c r="R202" s="46">
        <v>46305</v>
      </c>
      <c r="S202" s="46">
        <v>46300</v>
      </c>
      <c r="T202" s="51" t="s">
        <v>6119</v>
      </c>
      <c r="U202" s="15"/>
      <c r="V202" s="15"/>
      <c r="W202" s="15"/>
      <c r="X202" s="15"/>
      <c r="Y202" s="15"/>
      <c r="Z202" s="15"/>
      <c r="AA202" s="46"/>
      <c r="AB202" s="15"/>
      <c r="AC202" s="15"/>
      <c r="AD202" s="15"/>
      <c r="AE202" s="15"/>
      <c r="AF202" s="15"/>
      <c r="AG202" s="15"/>
      <c r="AH202" s="15"/>
      <c r="AI202" s="46"/>
      <c r="AJ202" s="51" t="s">
        <v>67</v>
      </c>
      <c r="AK202" s="51" t="s">
        <v>67</v>
      </c>
      <c r="AL202" s="15"/>
      <c r="AM202" s="51" t="s">
        <v>67</v>
      </c>
      <c r="AN202" s="51" t="s">
        <v>67</v>
      </c>
      <c r="AO202" s="50" t="s">
        <v>9554</v>
      </c>
    </row>
    <row r="203" spans="1:41" hidden="1" x14ac:dyDescent="0.25">
      <c r="A203" s="51" t="s">
        <v>2233</v>
      </c>
      <c r="B203" s="51" t="s">
        <v>2053</v>
      </c>
      <c r="C203" s="54" t="s">
        <v>605</v>
      </c>
      <c r="D203" s="51" t="s">
        <v>2054</v>
      </c>
      <c r="E203" s="20">
        <v>10000</v>
      </c>
      <c r="F203" s="20">
        <v>1206.06</v>
      </c>
      <c r="G203" s="20">
        <v>3793.94</v>
      </c>
      <c r="H203" s="20">
        <v>0</v>
      </c>
      <c r="I203" s="20">
        <v>1206.06</v>
      </c>
      <c r="J203" s="51" t="s">
        <v>2654</v>
      </c>
      <c r="K203" s="15">
        <v>0</v>
      </c>
      <c r="L203" s="51" t="s">
        <v>2371</v>
      </c>
      <c r="M203" s="51" t="s">
        <v>2055</v>
      </c>
      <c r="N203" s="51" t="s">
        <v>2056</v>
      </c>
      <c r="O203" s="51" t="s">
        <v>67</v>
      </c>
      <c r="P203" s="51" t="s">
        <v>67</v>
      </c>
      <c r="Q203" s="45">
        <v>46272.609908946761</v>
      </c>
      <c r="R203" s="46">
        <v>46305</v>
      </c>
      <c r="S203" s="46">
        <v>46300</v>
      </c>
      <c r="T203" s="51" t="s">
        <v>6119</v>
      </c>
      <c r="U203" s="15"/>
      <c r="V203" s="15"/>
      <c r="W203" s="15"/>
      <c r="X203" s="15"/>
      <c r="Y203" s="15"/>
      <c r="Z203" s="15"/>
      <c r="AA203" s="46"/>
      <c r="AB203" s="15"/>
      <c r="AC203" s="15"/>
      <c r="AD203" s="15"/>
      <c r="AE203" s="15"/>
      <c r="AF203" s="15"/>
      <c r="AG203" s="15"/>
      <c r="AH203" s="15"/>
      <c r="AI203" s="46"/>
      <c r="AJ203" s="51" t="s">
        <v>67</v>
      </c>
      <c r="AK203" s="51" t="s">
        <v>67</v>
      </c>
      <c r="AL203" s="15"/>
      <c r="AM203" s="51" t="s">
        <v>67</v>
      </c>
      <c r="AN203" s="51" t="s">
        <v>67</v>
      </c>
      <c r="AO203" s="50" t="s">
        <v>9554</v>
      </c>
    </row>
    <row r="204" spans="1:41" hidden="1" x14ac:dyDescent="0.25">
      <c r="A204" s="51" t="s">
        <v>2234</v>
      </c>
      <c r="B204" s="51" t="s">
        <v>1783</v>
      </c>
      <c r="C204" s="54" t="s">
        <v>605</v>
      </c>
      <c r="D204" s="51" t="s">
        <v>1784</v>
      </c>
      <c r="E204" s="20">
        <v>10000</v>
      </c>
      <c r="F204" s="20">
        <v>1206.06</v>
      </c>
      <c r="G204" s="20">
        <v>3793.94</v>
      </c>
      <c r="H204" s="20">
        <v>0</v>
      </c>
      <c r="I204" s="20">
        <v>1206.06</v>
      </c>
      <c r="J204" s="51" t="s">
        <v>2654</v>
      </c>
      <c r="K204" s="15">
        <v>0</v>
      </c>
      <c r="L204" s="51" t="s">
        <v>2371</v>
      </c>
      <c r="M204" s="51" t="s">
        <v>1785</v>
      </c>
      <c r="N204" s="51" t="s">
        <v>1786</v>
      </c>
      <c r="O204" s="51" t="s">
        <v>67</v>
      </c>
      <c r="P204" s="51" t="s">
        <v>67</v>
      </c>
      <c r="Q204" s="45">
        <v>46272.613215127312</v>
      </c>
      <c r="R204" s="46">
        <v>46305</v>
      </c>
      <c r="S204" s="46">
        <v>46300</v>
      </c>
      <c r="T204" s="51" t="s">
        <v>6119</v>
      </c>
      <c r="U204" s="15"/>
      <c r="V204" s="15"/>
      <c r="W204" s="15"/>
      <c r="X204" s="15"/>
      <c r="Y204" s="15"/>
      <c r="Z204" s="15"/>
      <c r="AA204" s="46"/>
      <c r="AB204" s="15"/>
      <c r="AC204" s="15"/>
      <c r="AD204" s="15"/>
      <c r="AE204" s="15"/>
      <c r="AF204" s="15"/>
      <c r="AG204" s="15"/>
      <c r="AH204" s="15"/>
      <c r="AI204" s="46"/>
      <c r="AJ204" s="51" t="s">
        <v>67</v>
      </c>
      <c r="AK204" s="51" t="s">
        <v>67</v>
      </c>
      <c r="AL204" s="15"/>
      <c r="AM204" s="51" t="s">
        <v>67</v>
      </c>
      <c r="AN204" s="51" t="s">
        <v>67</v>
      </c>
      <c r="AO204" s="50" t="s">
        <v>9554</v>
      </c>
    </row>
    <row r="205" spans="1:41" hidden="1" x14ac:dyDescent="0.25">
      <c r="A205" s="51" t="s">
        <v>2235</v>
      </c>
      <c r="B205" s="51" t="s">
        <v>1836</v>
      </c>
      <c r="C205" s="54" t="s">
        <v>605</v>
      </c>
      <c r="D205" s="51" t="s">
        <v>1837</v>
      </c>
      <c r="E205" s="20">
        <v>10000</v>
      </c>
      <c r="F205" s="20">
        <v>1206.06</v>
      </c>
      <c r="G205" s="20">
        <v>3793.94</v>
      </c>
      <c r="H205" s="20">
        <v>0</v>
      </c>
      <c r="I205" s="20">
        <v>1206.06</v>
      </c>
      <c r="J205" s="51" t="s">
        <v>2654</v>
      </c>
      <c r="K205" s="15">
        <v>0</v>
      </c>
      <c r="L205" s="51" t="s">
        <v>2371</v>
      </c>
      <c r="M205" s="51" t="s">
        <v>1838</v>
      </c>
      <c r="N205" s="51" t="s">
        <v>550</v>
      </c>
      <c r="O205" s="51" t="s">
        <v>67</v>
      </c>
      <c r="P205" s="51" t="s">
        <v>67</v>
      </c>
      <c r="Q205" s="45">
        <v>46272.64908116898</v>
      </c>
      <c r="R205" s="46">
        <v>46305</v>
      </c>
      <c r="S205" s="46">
        <v>46300</v>
      </c>
      <c r="T205" s="51" t="s">
        <v>6119</v>
      </c>
      <c r="U205" s="15"/>
      <c r="V205" s="15"/>
      <c r="W205" s="15"/>
      <c r="X205" s="15"/>
      <c r="Y205" s="15"/>
      <c r="Z205" s="15"/>
      <c r="AA205" s="46"/>
      <c r="AB205" s="15"/>
      <c r="AC205" s="15"/>
      <c r="AD205" s="15"/>
      <c r="AE205" s="15"/>
      <c r="AF205" s="15"/>
      <c r="AG205" s="15"/>
      <c r="AH205" s="15"/>
      <c r="AI205" s="46"/>
      <c r="AJ205" s="51" t="s">
        <v>67</v>
      </c>
      <c r="AK205" s="51" t="s">
        <v>67</v>
      </c>
      <c r="AL205" s="15"/>
      <c r="AM205" s="51" t="s">
        <v>67</v>
      </c>
      <c r="AN205" s="51" t="s">
        <v>67</v>
      </c>
      <c r="AO205" s="50" t="s">
        <v>9554</v>
      </c>
    </row>
    <row r="206" spans="1:41" hidden="1" x14ac:dyDescent="0.25">
      <c r="A206" s="51" t="s">
        <v>2236</v>
      </c>
      <c r="B206" s="51" t="s">
        <v>1664</v>
      </c>
      <c r="C206" s="54" t="s">
        <v>605</v>
      </c>
      <c r="D206" s="51" t="s">
        <v>1665</v>
      </c>
      <c r="E206" s="20">
        <v>10000</v>
      </c>
      <c r="F206" s="20">
        <v>1206.06</v>
      </c>
      <c r="G206" s="20">
        <v>3793.94</v>
      </c>
      <c r="H206" s="20">
        <v>0</v>
      </c>
      <c r="I206" s="20">
        <v>1206.06</v>
      </c>
      <c r="J206" s="51" t="s">
        <v>2654</v>
      </c>
      <c r="K206" s="15">
        <v>0</v>
      </c>
      <c r="L206" s="51" t="s">
        <v>2371</v>
      </c>
      <c r="M206" s="51" t="s">
        <v>1666</v>
      </c>
      <c r="N206" s="51" t="s">
        <v>1667</v>
      </c>
      <c r="O206" s="51" t="s">
        <v>67</v>
      </c>
      <c r="P206" s="51" t="s">
        <v>67</v>
      </c>
      <c r="Q206" s="45">
        <v>46272.677135370373</v>
      </c>
      <c r="R206" s="46">
        <v>46305</v>
      </c>
      <c r="S206" s="46">
        <v>46300</v>
      </c>
      <c r="T206" s="51" t="s">
        <v>6119</v>
      </c>
      <c r="U206" s="15"/>
      <c r="V206" s="15"/>
      <c r="W206" s="15"/>
      <c r="X206" s="15"/>
      <c r="Y206" s="15"/>
      <c r="Z206" s="15"/>
      <c r="AA206" s="46"/>
      <c r="AB206" s="15"/>
      <c r="AC206" s="15"/>
      <c r="AD206" s="15"/>
      <c r="AE206" s="15"/>
      <c r="AF206" s="15"/>
      <c r="AG206" s="15"/>
      <c r="AH206" s="15"/>
      <c r="AI206" s="46"/>
      <c r="AJ206" s="51" t="s">
        <v>67</v>
      </c>
      <c r="AK206" s="51" t="s">
        <v>67</v>
      </c>
      <c r="AL206" s="15"/>
      <c r="AM206" s="51" t="s">
        <v>67</v>
      </c>
      <c r="AN206" s="51" t="s">
        <v>67</v>
      </c>
      <c r="AO206" s="50" t="s">
        <v>9554</v>
      </c>
    </row>
    <row r="207" spans="1:41" hidden="1" x14ac:dyDescent="0.25">
      <c r="A207" s="51" t="s">
        <v>2237</v>
      </c>
      <c r="B207" s="51" t="s">
        <v>1986</v>
      </c>
      <c r="C207" s="54" t="s">
        <v>605</v>
      </c>
      <c r="D207" s="51" t="s">
        <v>1987</v>
      </c>
      <c r="E207" s="20">
        <v>10000</v>
      </c>
      <c r="F207" s="20">
        <v>1206.06</v>
      </c>
      <c r="G207" s="20">
        <v>3793.94</v>
      </c>
      <c r="H207" s="20">
        <v>0</v>
      </c>
      <c r="I207" s="20">
        <v>1206.06</v>
      </c>
      <c r="J207" s="51" t="s">
        <v>2654</v>
      </c>
      <c r="K207" s="15">
        <v>0</v>
      </c>
      <c r="L207" s="51" t="s">
        <v>2371</v>
      </c>
      <c r="M207" s="51" t="s">
        <v>1988</v>
      </c>
      <c r="N207" s="51" t="s">
        <v>1989</v>
      </c>
      <c r="O207" s="51" t="s">
        <v>67</v>
      </c>
      <c r="P207" s="51" t="s">
        <v>67</v>
      </c>
      <c r="Q207" s="45">
        <v>46272.678136273149</v>
      </c>
      <c r="R207" s="46">
        <v>46305</v>
      </c>
      <c r="S207" s="46">
        <v>46300</v>
      </c>
      <c r="T207" s="51" t="s">
        <v>6119</v>
      </c>
      <c r="U207" s="15"/>
      <c r="V207" s="15"/>
      <c r="W207" s="15"/>
      <c r="X207" s="15"/>
      <c r="Y207" s="15"/>
      <c r="Z207" s="15"/>
      <c r="AA207" s="46"/>
      <c r="AB207" s="15"/>
      <c r="AC207" s="15"/>
      <c r="AD207" s="15"/>
      <c r="AE207" s="15"/>
      <c r="AF207" s="15"/>
      <c r="AG207" s="15"/>
      <c r="AH207" s="15"/>
      <c r="AI207" s="46"/>
      <c r="AJ207" s="51" t="s">
        <v>67</v>
      </c>
      <c r="AK207" s="51" t="s">
        <v>67</v>
      </c>
      <c r="AL207" s="15"/>
      <c r="AM207" s="51" t="s">
        <v>67</v>
      </c>
      <c r="AN207" s="51" t="s">
        <v>67</v>
      </c>
      <c r="AO207" s="50" t="s">
        <v>9554</v>
      </c>
    </row>
    <row r="208" spans="1:41" hidden="1" x14ac:dyDescent="0.25">
      <c r="A208" s="51" t="s">
        <v>2238</v>
      </c>
      <c r="B208" s="51" t="s">
        <v>1978</v>
      </c>
      <c r="C208" s="54" t="s">
        <v>605</v>
      </c>
      <c r="D208" s="51" t="s">
        <v>1979</v>
      </c>
      <c r="E208" s="20">
        <v>10000</v>
      </c>
      <c r="F208" s="20">
        <v>1206.06</v>
      </c>
      <c r="G208" s="20">
        <v>3793.94</v>
      </c>
      <c r="H208" s="20">
        <v>0</v>
      </c>
      <c r="I208" s="20">
        <v>1206.06</v>
      </c>
      <c r="J208" s="51" t="s">
        <v>2654</v>
      </c>
      <c r="K208" s="15">
        <v>0</v>
      </c>
      <c r="L208" s="51" t="s">
        <v>2371</v>
      </c>
      <c r="M208" s="51" t="s">
        <v>1980</v>
      </c>
      <c r="N208" s="51" t="s">
        <v>1981</v>
      </c>
      <c r="O208" s="51" t="s">
        <v>67</v>
      </c>
      <c r="P208" s="51" t="s">
        <v>67</v>
      </c>
      <c r="Q208" s="45">
        <v>46272.679381967595</v>
      </c>
      <c r="R208" s="46">
        <v>46305</v>
      </c>
      <c r="S208" s="46">
        <v>46300</v>
      </c>
      <c r="T208" s="51" t="s">
        <v>6119</v>
      </c>
      <c r="U208" s="15"/>
      <c r="V208" s="15"/>
      <c r="W208" s="15"/>
      <c r="X208" s="15"/>
      <c r="Y208" s="15"/>
      <c r="Z208" s="15"/>
      <c r="AA208" s="46"/>
      <c r="AB208" s="15"/>
      <c r="AC208" s="15"/>
      <c r="AD208" s="15"/>
      <c r="AE208" s="15"/>
      <c r="AF208" s="15"/>
      <c r="AG208" s="15"/>
      <c r="AH208" s="15"/>
      <c r="AI208" s="46"/>
      <c r="AJ208" s="51" t="s">
        <v>67</v>
      </c>
      <c r="AK208" s="51" t="s">
        <v>67</v>
      </c>
      <c r="AL208" s="15"/>
      <c r="AM208" s="51" t="s">
        <v>67</v>
      </c>
      <c r="AN208" s="51" t="s">
        <v>67</v>
      </c>
      <c r="AO208" s="50" t="s">
        <v>9554</v>
      </c>
    </row>
    <row r="209" spans="1:41" hidden="1" x14ac:dyDescent="0.25">
      <c r="A209" s="51" t="s">
        <v>2239</v>
      </c>
      <c r="B209" s="51" t="s">
        <v>1993</v>
      </c>
      <c r="C209" s="54" t="s">
        <v>605</v>
      </c>
      <c r="D209" s="51" t="s">
        <v>1994</v>
      </c>
      <c r="E209" s="20">
        <v>10000</v>
      </c>
      <c r="F209" s="20">
        <v>1206.06</v>
      </c>
      <c r="G209" s="20">
        <v>3793.94</v>
      </c>
      <c r="H209" s="20">
        <v>0</v>
      </c>
      <c r="I209" s="20">
        <v>1206.06</v>
      </c>
      <c r="J209" s="51" t="s">
        <v>2654</v>
      </c>
      <c r="K209" s="15">
        <v>0</v>
      </c>
      <c r="L209" s="51" t="s">
        <v>2371</v>
      </c>
      <c r="M209" s="51" t="s">
        <v>1995</v>
      </c>
      <c r="N209" s="51" t="s">
        <v>1996</v>
      </c>
      <c r="O209" s="51" t="s">
        <v>67</v>
      </c>
      <c r="P209" s="51" t="s">
        <v>67</v>
      </c>
      <c r="Q209" s="45">
        <v>46272.679894479166</v>
      </c>
      <c r="R209" s="46">
        <v>46305</v>
      </c>
      <c r="S209" s="46">
        <v>46300</v>
      </c>
      <c r="T209" s="51" t="s">
        <v>6119</v>
      </c>
      <c r="U209" s="15"/>
      <c r="V209" s="15"/>
      <c r="W209" s="15"/>
      <c r="X209" s="15"/>
      <c r="Y209" s="15"/>
      <c r="Z209" s="15"/>
      <c r="AA209" s="46"/>
      <c r="AB209" s="15"/>
      <c r="AC209" s="15"/>
      <c r="AD209" s="15"/>
      <c r="AE209" s="15"/>
      <c r="AF209" s="15"/>
      <c r="AG209" s="15"/>
      <c r="AH209" s="15"/>
      <c r="AI209" s="46"/>
      <c r="AJ209" s="51" t="s">
        <v>67</v>
      </c>
      <c r="AK209" s="51" t="s">
        <v>67</v>
      </c>
      <c r="AL209" s="15"/>
      <c r="AM209" s="51" t="s">
        <v>67</v>
      </c>
      <c r="AN209" s="51" t="s">
        <v>67</v>
      </c>
      <c r="AO209" s="50" t="s">
        <v>9554</v>
      </c>
    </row>
    <row r="210" spans="1:41" hidden="1" x14ac:dyDescent="0.25">
      <c r="A210" s="51" t="s">
        <v>2240</v>
      </c>
      <c r="B210" s="51" t="s">
        <v>1545</v>
      </c>
      <c r="C210" s="54" t="s">
        <v>605</v>
      </c>
      <c r="D210" s="51" t="s">
        <v>1546</v>
      </c>
      <c r="E210" s="20">
        <v>10000</v>
      </c>
      <c r="F210" s="20">
        <v>1206.06</v>
      </c>
      <c r="G210" s="20">
        <v>3793.94</v>
      </c>
      <c r="H210" s="20">
        <v>0</v>
      </c>
      <c r="I210" s="20">
        <v>1206.06</v>
      </c>
      <c r="J210" s="51" t="s">
        <v>2654</v>
      </c>
      <c r="K210" s="15">
        <v>0</v>
      </c>
      <c r="L210" s="51" t="s">
        <v>2371</v>
      </c>
      <c r="M210" s="51" t="s">
        <v>1547</v>
      </c>
      <c r="N210" s="51" t="s">
        <v>6089</v>
      </c>
      <c r="O210" s="51" t="s">
        <v>67</v>
      </c>
      <c r="P210" s="51" t="s">
        <v>67</v>
      </c>
      <c r="Q210" s="45">
        <v>46272.690495277777</v>
      </c>
      <c r="R210" s="46">
        <v>46305</v>
      </c>
      <c r="S210" s="46">
        <v>46300</v>
      </c>
      <c r="T210" s="51" t="s">
        <v>6119</v>
      </c>
      <c r="U210" s="15"/>
      <c r="V210" s="15"/>
      <c r="W210" s="15"/>
      <c r="X210" s="15"/>
      <c r="Y210" s="15"/>
      <c r="Z210" s="15"/>
      <c r="AA210" s="46"/>
      <c r="AB210" s="15"/>
      <c r="AC210" s="15"/>
      <c r="AD210" s="15"/>
      <c r="AE210" s="15"/>
      <c r="AF210" s="15"/>
      <c r="AG210" s="15"/>
      <c r="AH210" s="15"/>
      <c r="AI210" s="46"/>
      <c r="AJ210" s="51" t="s">
        <v>67</v>
      </c>
      <c r="AK210" s="51" t="s">
        <v>67</v>
      </c>
      <c r="AL210" s="15"/>
      <c r="AM210" s="51" t="s">
        <v>67</v>
      </c>
      <c r="AN210" s="51" t="s">
        <v>67</v>
      </c>
      <c r="AO210" s="50" t="s">
        <v>9554</v>
      </c>
    </row>
    <row r="211" spans="1:41" hidden="1" x14ac:dyDescent="0.25">
      <c r="A211" s="51" t="s">
        <v>2241</v>
      </c>
      <c r="B211" s="51" t="s">
        <v>1369</v>
      </c>
      <c r="C211" s="54" t="s">
        <v>605</v>
      </c>
      <c r="D211" s="51" t="s">
        <v>1370</v>
      </c>
      <c r="E211" s="20">
        <v>10000</v>
      </c>
      <c r="F211" s="20">
        <v>1206.06</v>
      </c>
      <c r="G211" s="20">
        <v>3793.94</v>
      </c>
      <c r="H211" s="20">
        <v>0</v>
      </c>
      <c r="I211" s="20">
        <v>1206.06</v>
      </c>
      <c r="J211" s="51" t="s">
        <v>2654</v>
      </c>
      <c r="K211" s="15">
        <v>0</v>
      </c>
      <c r="L211" s="51" t="s">
        <v>2371</v>
      </c>
      <c r="M211" s="51" t="s">
        <v>1371</v>
      </c>
      <c r="N211" s="51" t="s">
        <v>6090</v>
      </c>
      <c r="O211" s="51" t="s">
        <v>67</v>
      </c>
      <c r="P211" s="51" t="s">
        <v>67</v>
      </c>
      <c r="Q211" s="45">
        <v>46272.699782256946</v>
      </c>
      <c r="R211" s="46">
        <v>46305</v>
      </c>
      <c r="S211" s="46">
        <v>46300</v>
      </c>
      <c r="T211" s="51" t="s">
        <v>6119</v>
      </c>
      <c r="U211" s="15"/>
      <c r="V211" s="15"/>
      <c r="W211" s="15"/>
      <c r="X211" s="15"/>
      <c r="Y211" s="15"/>
      <c r="Z211" s="15"/>
      <c r="AA211" s="46"/>
      <c r="AB211" s="15"/>
      <c r="AC211" s="15"/>
      <c r="AD211" s="15"/>
      <c r="AE211" s="15"/>
      <c r="AF211" s="15"/>
      <c r="AG211" s="15"/>
      <c r="AH211" s="15"/>
      <c r="AI211" s="46"/>
      <c r="AJ211" s="51" t="s">
        <v>67</v>
      </c>
      <c r="AK211" s="51" t="s">
        <v>67</v>
      </c>
      <c r="AL211" s="15"/>
      <c r="AM211" s="51" t="s">
        <v>67</v>
      </c>
      <c r="AN211" s="51" t="s">
        <v>67</v>
      </c>
      <c r="AO211" s="50" t="s">
        <v>9554</v>
      </c>
    </row>
    <row r="212" spans="1:41" hidden="1" x14ac:dyDescent="0.25">
      <c r="A212" s="51" t="s">
        <v>2242</v>
      </c>
      <c r="B212" s="51" t="s">
        <v>1560</v>
      </c>
      <c r="C212" s="54" t="s">
        <v>605</v>
      </c>
      <c r="D212" s="51" t="s">
        <v>1561</v>
      </c>
      <c r="E212" s="20">
        <v>10000</v>
      </c>
      <c r="F212" s="20">
        <v>1206.06</v>
      </c>
      <c r="G212" s="20">
        <v>3793.94</v>
      </c>
      <c r="H212" s="20">
        <v>0</v>
      </c>
      <c r="I212" s="20">
        <v>1206.06</v>
      </c>
      <c r="J212" s="51" t="s">
        <v>2654</v>
      </c>
      <c r="K212" s="15">
        <v>0</v>
      </c>
      <c r="L212" s="51" t="s">
        <v>2371</v>
      </c>
      <c r="M212" s="51" t="s">
        <v>1562</v>
      </c>
      <c r="N212" s="51" t="s">
        <v>1563</v>
      </c>
      <c r="O212" s="51" t="s">
        <v>67</v>
      </c>
      <c r="P212" s="51" t="s">
        <v>67</v>
      </c>
      <c r="Q212" s="45">
        <v>46272.70552596065</v>
      </c>
      <c r="R212" s="46">
        <v>46305</v>
      </c>
      <c r="S212" s="46">
        <v>46300</v>
      </c>
      <c r="T212" s="51" t="s">
        <v>6119</v>
      </c>
      <c r="U212" s="15"/>
      <c r="V212" s="15"/>
      <c r="W212" s="15"/>
      <c r="X212" s="15"/>
      <c r="Y212" s="15"/>
      <c r="Z212" s="15"/>
      <c r="AA212" s="46"/>
      <c r="AB212" s="15"/>
      <c r="AC212" s="15"/>
      <c r="AD212" s="15"/>
      <c r="AE212" s="15"/>
      <c r="AF212" s="15"/>
      <c r="AG212" s="15"/>
      <c r="AH212" s="15"/>
      <c r="AI212" s="46"/>
      <c r="AJ212" s="51" t="s">
        <v>67</v>
      </c>
      <c r="AK212" s="51" t="s">
        <v>67</v>
      </c>
      <c r="AL212" s="15"/>
      <c r="AM212" s="51" t="s">
        <v>67</v>
      </c>
      <c r="AN212" s="51" t="s">
        <v>67</v>
      </c>
      <c r="AO212" s="50" t="s">
        <v>9554</v>
      </c>
    </row>
    <row r="213" spans="1:41" hidden="1" x14ac:dyDescent="0.25">
      <c r="A213" s="51" t="s">
        <v>2243</v>
      </c>
      <c r="B213" s="51" t="s">
        <v>2029</v>
      </c>
      <c r="C213" s="54" t="s">
        <v>605</v>
      </c>
      <c r="D213" s="51" t="s">
        <v>2030</v>
      </c>
      <c r="E213" s="20">
        <v>10000</v>
      </c>
      <c r="F213" s="20">
        <v>1206.06</v>
      </c>
      <c r="G213" s="20">
        <v>3793.94</v>
      </c>
      <c r="H213" s="20">
        <v>0</v>
      </c>
      <c r="I213" s="20">
        <v>1206.06</v>
      </c>
      <c r="J213" s="51" t="s">
        <v>2654</v>
      </c>
      <c r="K213" s="15">
        <v>0</v>
      </c>
      <c r="L213" s="51" t="s">
        <v>2371</v>
      </c>
      <c r="M213" s="51" t="s">
        <v>2031</v>
      </c>
      <c r="N213" s="51" t="s">
        <v>2032</v>
      </c>
      <c r="O213" s="51" t="s">
        <v>67</v>
      </c>
      <c r="P213" s="51" t="s">
        <v>67</v>
      </c>
      <c r="Q213" s="45">
        <v>46272.706366319442</v>
      </c>
      <c r="R213" s="46">
        <v>46305</v>
      </c>
      <c r="S213" s="46">
        <v>46300</v>
      </c>
      <c r="T213" s="51" t="s">
        <v>6119</v>
      </c>
      <c r="U213" s="15"/>
      <c r="V213" s="15"/>
      <c r="W213" s="15"/>
      <c r="X213" s="15"/>
      <c r="Y213" s="15"/>
      <c r="Z213" s="15"/>
      <c r="AA213" s="46"/>
      <c r="AB213" s="15"/>
      <c r="AC213" s="15"/>
      <c r="AD213" s="15"/>
      <c r="AE213" s="15"/>
      <c r="AF213" s="15"/>
      <c r="AG213" s="15"/>
      <c r="AH213" s="15"/>
      <c r="AI213" s="46"/>
      <c r="AJ213" s="51" t="s">
        <v>67</v>
      </c>
      <c r="AK213" s="51" t="s">
        <v>67</v>
      </c>
      <c r="AL213" s="15"/>
      <c r="AM213" s="51" t="s">
        <v>67</v>
      </c>
      <c r="AN213" s="51" t="s">
        <v>67</v>
      </c>
      <c r="AO213" s="50" t="s">
        <v>9554</v>
      </c>
    </row>
    <row r="214" spans="1:41" hidden="1" x14ac:dyDescent="0.25">
      <c r="A214" s="51" t="s">
        <v>2244</v>
      </c>
      <c r="B214" s="51" t="s">
        <v>1844</v>
      </c>
      <c r="C214" s="54" t="s">
        <v>605</v>
      </c>
      <c r="D214" s="51" t="s">
        <v>1845</v>
      </c>
      <c r="E214" s="20">
        <v>10000</v>
      </c>
      <c r="F214" s="20">
        <v>1206.06</v>
      </c>
      <c r="G214" s="20">
        <v>3793.94</v>
      </c>
      <c r="H214" s="20">
        <v>0</v>
      </c>
      <c r="I214" s="20">
        <v>1206.06</v>
      </c>
      <c r="J214" s="51" t="s">
        <v>2654</v>
      </c>
      <c r="K214" s="15">
        <v>0</v>
      </c>
      <c r="L214" s="51" t="s">
        <v>2371</v>
      </c>
      <c r="M214" s="51" t="s">
        <v>1846</v>
      </c>
      <c r="N214" s="51" t="s">
        <v>1847</v>
      </c>
      <c r="O214" s="51" t="s">
        <v>67</v>
      </c>
      <c r="P214" s="51" t="s">
        <v>67</v>
      </c>
      <c r="Q214" s="45">
        <v>46272.709627638891</v>
      </c>
      <c r="R214" s="46">
        <v>46305</v>
      </c>
      <c r="S214" s="46">
        <v>46300</v>
      </c>
      <c r="T214" s="51" t="s">
        <v>6119</v>
      </c>
      <c r="U214" s="15"/>
      <c r="V214" s="15"/>
      <c r="W214" s="15"/>
      <c r="X214" s="15"/>
      <c r="Y214" s="15"/>
      <c r="Z214" s="15"/>
      <c r="AA214" s="46"/>
      <c r="AB214" s="15"/>
      <c r="AC214" s="15"/>
      <c r="AD214" s="15"/>
      <c r="AE214" s="15"/>
      <c r="AF214" s="15"/>
      <c r="AG214" s="15"/>
      <c r="AH214" s="15"/>
      <c r="AI214" s="46"/>
      <c r="AJ214" s="51" t="s">
        <v>67</v>
      </c>
      <c r="AK214" s="51" t="s">
        <v>67</v>
      </c>
      <c r="AL214" s="15"/>
      <c r="AM214" s="51" t="s">
        <v>67</v>
      </c>
      <c r="AN214" s="51" t="s">
        <v>67</v>
      </c>
      <c r="AO214" s="50" t="s">
        <v>9554</v>
      </c>
    </row>
    <row r="215" spans="1:41" hidden="1" x14ac:dyDescent="0.25">
      <c r="A215" s="51" t="s">
        <v>2245</v>
      </c>
      <c r="B215" s="51" t="s">
        <v>1819</v>
      </c>
      <c r="C215" s="54" t="s">
        <v>605</v>
      </c>
      <c r="D215" s="51" t="s">
        <v>1820</v>
      </c>
      <c r="E215" s="20">
        <v>10000</v>
      </c>
      <c r="F215" s="20">
        <v>1206.06</v>
      </c>
      <c r="G215" s="20">
        <v>3793.94</v>
      </c>
      <c r="H215" s="20">
        <v>0</v>
      </c>
      <c r="I215" s="20">
        <v>1206.06</v>
      </c>
      <c r="J215" s="51" t="s">
        <v>2654</v>
      </c>
      <c r="K215" s="15">
        <v>0</v>
      </c>
      <c r="L215" s="51" t="s">
        <v>2371</v>
      </c>
      <c r="M215" s="51" t="s">
        <v>1821</v>
      </c>
      <c r="N215" s="51" t="s">
        <v>1822</v>
      </c>
      <c r="O215" s="51" t="s">
        <v>67</v>
      </c>
      <c r="P215" s="51" t="s">
        <v>67</v>
      </c>
      <c r="Q215" s="45">
        <v>46272.715459259256</v>
      </c>
      <c r="R215" s="46">
        <v>46305</v>
      </c>
      <c r="S215" s="46">
        <v>46300</v>
      </c>
      <c r="T215" s="51" t="s">
        <v>6119</v>
      </c>
      <c r="U215" s="15"/>
      <c r="V215" s="15"/>
      <c r="W215" s="15"/>
      <c r="X215" s="15"/>
      <c r="Y215" s="15"/>
      <c r="Z215" s="15"/>
      <c r="AA215" s="46"/>
      <c r="AB215" s="15"/>
      <c r="AC215" s="15"/>
      <c r="AD215" s="15"/>
      <c r="AE215" s="15"/>
      <c r="AF215" s="15"/>
      <c r="AG215" s="15"/>
      <c r="AH215" s="15"/>
      <c r="AI215" s="46"/>
      <c r="AJ215" s="51" t="s">
        <v>67</v>
      </c>
      <c r="AK215" s="51" t="s">
        <v>67</v>
      </c>
      <c r="AL215" s="15"/>
      <c r="AM215" s="51" t="s">
        <v>67</v>
      </c>
      <c r="AN215" s="51" t="s">
        <v>67</v>
      </c>
      <c r="AO215" s="50" t="s">
        <v>9554</v>
      </c>
    </row>
    <row r="216" spans="1:41" hidden="1" x14ac:dyDescent="0.25">
      <c r="A216" s="51" t="s">
        <v>2246</v>
      </c>
      <c r="B216" s="51" t="s">
        <v>1848</v>
      </c>
      <c r="C216" s="54" t="s">
        <v>605</v>
      </c>
      <c r="D216" s="51" t="s">
        <v>1849</v>
      </c>
      <c r="E216" s="20">
        <v>10000</v>
      </c>
      <c r="F216" s="20">
        <v>1206.06</v>
      </c>
      <c r="G216" s="20">
        <v>3793.94</v>
      </c>
      <c r="H216" s="20">
        <v>0</v>
      </c>
      <c r="I216" s="20">
        <v>1206.06</v>
      </c>
      <c r="J216" s="51" t="s">
        <v>2654</v>
      </c>
      <c r="K216" s="15">
        <v>0</v>
      </c>
      <c r="L216" s="51" t="s">
        <v>2371</v>
      </c>
      <c r="M216" s="51" t="s">
        <v>1850</v>
      </c>
      <c r="N216" s="51" t="s">
        <v>6087</v>
      </c>
      <c r="O216" s="51" t="s">
        <v>67</v>
      </c>
      <c r="P216" s="51" t="s">
        <v>67</v>
      </c>
      <c r="Q216" s="45">
        <v>46272.718173333335</v>
      </c>
      <c r="R216" s="46">
        <v>46305</v>
      </c>
      <c r="S216" s="46">
        <v>46300</v>
      </c>
      <c r="T216" s="51" t="s">
        <v>6119</v>
      </c>
      <c r="U216" s="15"/>
      <c r="V216" s="15"/>
      <c r="W216" s="15"/>
      <c r="X216" s="15"/>
      <c r="Y216" s="15"/>
      <c r="Z216" s="15"/>
      <c r="AA216" s="46"/>
      <c r="AB216" s="15"/>
      <c r="AC216" s="15"/>
      <c r="AD216" s="15"/>
      <c r="AE216" s="15"/>
      <c r="AF216" s="15"/>
      <c r="AG216" s="15"/>
      <c r="AH216" s="15"/>
      <c r="AI216" s="46"/>
      <c r="AJ216" s="51" t="s">
        <v>67</v>
      </c>
      <c r="AK216" s="51" t="s">
        <v>67</v>
      </c>
      <c r="AL216" s="15"/>
      <c r="AM216" s="51" t="s">
        <v>67</v>
      </c>
      <c r="AN216" s="51" t="s">
        <v>67</v>
      </c>
      <c r="AO216" s="50" t="s">
        <v>9554</v>
      </c>
    </row>
    <row r="217" spans="1:41" hidden="1" x14ac:dyDescent="0.25">
      <c r="A217" s="52" t="s">
        <v>2247</v>
      </c>
      <c r="B217" s="51" t="s">
        <v>1418</v>
      </c>
      <c r="C217" s="54" t="s">
        <v>605</v>
      </c>
      <c r="D217" s="51" t="s">
        <v>1419</v>
      </c>
      <c r="E217" s="20">
        <v>10000</v>
      </c>
      <c r="F217" s="20">
        <v>1206.06</v>
      </c>
      <c r="G217" s="20">
        <v>3793.94</v>
      </c>
      <c r="H217" s="20">
        <v>0</v>
      </c>
      <c r="I217" s="20">
        <v>1206.06</v>
      </c>
      <c r="J217" s="51" t="s">
        <v>2654</v>
      </c>
      <c r="K217" s="15">
        <v>0</v>
      </c>
      <c r="L217" s="51" t="s">
        <v>2371</v>
      </c>
      <c r="M217" s="51" t="s">
        <v>1420</v>
      </c>
      <c r="N217" s="51" t="s">
        <v>1421</v>
      </c>
      <c r="O217" s="51" t="s">
        <v>67</v>
      </c>
      <c r="P217" s="51" t="s">
        <v>67</v>
      </c>
      <c r="Q217" s="45">
        <v>46272.739803796299</v>
      </c>
      <c r="R217" s="46">
        <v>46305</v>
      </c>
      <c r="S217" s="46">
        <v>46300</v>
      </c>
      <c r="T217" s="51" t="s">
        <v>6119</v>
      </c>
      <c r="U217" s="15"/>
      <c r="V217" s="15"/>
      <c r="W217" s="15"/>
      <c r="X217" s="15"/>
      <c r="Y217" s="15"/>
      <c r="Z217" s="15"/>
      <c r="AA217" s="46"/>
      <c r="AB217" s="15"/>
      <c r="AC217" s="15"/>
      <c r="AD217" s="15"/>
      <c r="AE217" s="15"/>
      <c r="AF217" s="15"/>
      <c r="AG217" s="15"/>
      <c r="AH217" s="15"/>
      <c r="AI217" s="46"/>
      <c r="AJ217" s="51" t="s">
        <v>67</v>
      </c>
      <c r="AK217" s="51" t="s">
        <v>67</v>
      </c>
      <c r="AL217" s="15"/>
      <c r="AM217" s="51" t="s">
        <v>67</v>
      </c>
      <c r="AN217" s="51" t="s">
        <v>67</v>
      </c>
      <c r="AO217" s="50" t="s">
        <v>9554</v>
      </c>
    </row>
    <row r="218" spans="1:41" hidden="1" x14ac:dyDescent="0.25">
      <c r="A218" s="51" t="s">
        <v>2248</v>
      </c>
      <c r="B218" s="51" t="s">
        <v>1701</v>
      </c>
      <c r="C218" s="54" t="s">
        <v>605</v>
      </c>
      <c r="D218" s="51" t="s">
        <v>1702</v>
      </c>
      <c r="E218" s="20">
        <v>10000</v>
      </c>
      <c r="F218" s="20">
        <v>1206.06</v>
      </c>
      <c r="G218" s="20">
        <v>3793.94</v>
      </c>
      <c r="H218" s="20">
        <v>0</v>
      </c>
      <c r="I218" s="20">
        <v>1206.06</v>
      </c>
      <c r="J218" s="51" t="s">
        <v>2654</v>
      </c>
      <c r="K218" s="15">
        <v>0</v>
      </c>
      <c r="L218" s="51" t="s">
        <v>2371</v>
      </c>
      <c r="M218" s="51" t="s">
        <v>1703</v>
      </c>
      <c r="N218" s="51" t="s">
        <v>1704</v>
      </c>
      <c r="O218" s="51" t="s">
        <v>67</v>
      </c>
      <c r="P218" s="51" t="s">
        <v>67</v>
      </c>
      <c r="Q218" s="45">
        <v>46272.742951898152</v>
      </c>
      <c r="R218" s="46">
        <v>46305</v>
      </c>
      <c r="S218" s="46">
        <v>46300</v>
      </c>
      <c r="T218" s="51" t="s">
        <v>6119</v>
      </c>
      <c r="U218" s="15"/>
      <c r="V218" s="15"/>
      <c r="W218" s="15"/>
      <c r="X218" s="15"/>
      <c r="Y218" s="15"/>
      <c r="Z218" s="15"/>
      <c r="AA218" s="46"/>
      <c r="AB218" s="15"/>
      <c r="AC218" s="15"/>
      <c r="AD218" s="15"/>
      <c r="AE218" s="15"/>
      <c r="AF218" s="15"/>
      <c r="AG218" s="15"/>
      <c r="AH218" s="15"/>
      <c r="AI218" s="46"/>
      <c r="AJ218" s="51" t="s">
        <v>67</v>
      </c>
      <c r="AK218" s="51" t="s">
        <v>67</v>
      </c>
      <c r="AL218" s="15"/>
      <c r="AM218" s="51" t="s">
        <v>67</v>
      </c>
      <c r="AN218" s="51" t="s">
        <v>67</v>
      </c>
      <c r="AO218" s="50" t="s">
        <v>9554</v>
      </c>
    </row>
    <row r="219" spans="1:41" hidden="1" x14ac:dyDescent="0.25">
      <c r="A219" s="51" t="s">
        <v>2249</v>
      </c>
      <c r="B219" s="51" t="s">
        <v>1600</v>
      </c>
      <c r="C219" s="54" t="s">
        <v>605</v>
      </c>
      <c r="D219" s="51" t="s">
        <v>1601</v>
      </c>
      <c r="E219" s="20">
        <v>10000</v>
      </c>
      <c r="F219" s="20">
        <v>1206.06</v>
      </c>
      <c r="G219" s="20">
        <v>3793.94</v>
      </c>
      <c r="H219" s="20">
        <v>0</v>
      </c>
      <c r="I219" s="20">
        <v>1206.06</v>
      </c>
      <c r="J219" s="51" t="s">
        <v>2654</v>
      </c>
      <c r="K219" s="15">
        <v>0</v>
      </c>
      <c r="L219" s="51" t="s">
        <v>2371</v>
      </c>
      <c r="M219" s="51" t="s">
        <v>1602</v>
      </c>
      <c r="N219" s="51" t="s">
        <v>1603</v>
      </c>
      <c r="O219" s="51" t="s">
        <v>67</v>
      </c>
      <c r="P219" s="51" t="s">
        <v>67</v>
      </c>
      <c r="Q219" s="45">
        <v>46272.764313194442</v>
      </c>
      <c r="R219" s="46">
        <v>46305</v>
      </c>
      <c r="S219" s="46">
        <v>46300</v>
      </c>
      <c r="T219" s="51" t="s">
        <v>6119</v>
      </c>
      <c r="U219" s="15"/>
      <c r="V219" s="15"/>
      <c r="W219" s="15"/>
      <c r="X219" s="15"/>
      <c r="Y219" s="15"/>
      <c r="Z219" s="15"/>
      <c r="AA219" s="46"/>
      <c r="AB219" s="15"/>
      <c r="AC219" s="15"/>
      <c r="AD219" s="15"/>
      <c r="AE219" s="15"/>
      <c r="AF219" s="15"/>
      <c r="AG219" s="15"/>
      <c r="AH219" s="15"/>
      <c r="AI219" s="46"/>
      <c r="AJ219" s="51" t="s">
        <v>67</v>
      </c>
      <c r="AK219" s="51" t="s">
        <v>67</v>
      </c>
      <c r="AL219" s="15"/>
      <c r="AM219" s="51" t="s">
        <v>67</v>
      </c>
      <c r="AN219" s="51" t="s">
        <v>67</v>
      </c>
      <c r="AO219" s="50" t="s">
        <v>9554</v>
      </c>
    </row>
    <row r="220" spans="1:41" hidden="1" x14ac:dyDescent="0.25">
      <c r="A220" s="51" t="s">
        <v>2250</v>
      </c>
      <c r="B220" s="51" t="s">
        <v>1823</v>
      </c>
      <c r="C220" s="54" t="s">
        <v>605</v>
      </c>
      <c r="D220" s="51" t="s">
        <v>1824</v>
      </c>
      <c r="E220" s="20">
        <v>10000</v>
      </c>
      <c r="F220" s="20">
        <v>1206.06</v>
      </c>
      <c r="G220" s="20">
        <v>3793.94</v>
      </c>
      <c r="H220" s="20">
        <v>0</v>
      </c>
      <c r="I220" s="20">
        <v>1206.06</v>
      </c>
      <c r="J220" s="51" t="s">
        <v>2654</v>
      </c>
      <c r="K220" s="15">
        <v>0</v>
      </c>
      <c r="L220" s="51" t="s">
        <v>2371</v>
      </c>
      <c r="M220" s="51" t="s">
        <v>1825</v>
      </c>
      <c r="N220" s="51" t="s">
        <v>1826</v>
      </c>
      <c r="O220" s="51" t="s">
        <v>67</v>
      </c>
      <c r="P220" s="51" t="s">
        <v>67</v>
      </c>
      <c r="Q220" s="45">
        <v>46272.765182291667</v>
      </c>
      <c r="R220" s="46">
        <v>46305</v>
      </c>
      <c r="S220" s="46">
        <v>46300</v>
      </c>
      <c r="T220" s="51" t="s">
        <v>6119</v>
      </c>
      <c r="U220" s="15"/>
      <c r="V220" s="15"/>
      <c r="W220" s="15"/>
      <c r="X220" s="15"/>
      <c r="Y220" s="15"/>
      <c r="Z220" s="15"/>
      <c r="AA220" s="46"/>
      <c r="AB220" s="15"/>
      <c r="AC220" s="15"/>
      <c r="AD220" s="15"/>
      <c r="AE220" s="15"/>
      <c r="AF220" s="15"/>
      <c r="AG220" s="15"/>
      <c r="AH220" s="15"/>
      <c r="AI220" s="46"/>
      <c r="AJ220" s="51" t="s">
        <v>67</v>
      </c>
      <c r="AK220" s="51" t="s">
        <v>67</v>
      </c>
      <c r="AL220" s="15"/>
      <c r="AM220" s="51" t="s">
        <v>67</v>
      </c>
      <c r="AN220" s="51" t="s">
        <v>67</v>
      </c>
      <c r="AO220" s="50" t="s">
        <v>9554</v>
      </c>
    </row>
    <row r="221" spans="1:41" hidden="1" x14ac:dyDescent="0.25">
      <c r="A221" s="51" t="s">
        <v>2251</v>
      </c>
      <c r="B221" s="51" t="s">
        <v>1738</v>
      </c>
      <c r="C221" s="54" t="s">
        <v>605</v>
      </c>
      <c r="D221" s="51" t="s">
        <v>1739</v>
      </c>
      <c r="E221" s="20">
        <v>10000</v>
      </c>
      <c r="F221" s="20">
        <v>1206.06</v>
      </c>
      <c r="G221" s="20">
        <v>3793.94</v>
      </c>
      <c r="H221" s="20">
        <v>0</v>
      </c>
      <c r="I221" s="20">
        <v>1206.06</v>
      </c>
      <c r="J221" s="51" t="s">
        <v>2654</v>
      </c>
      <c r="K221" s="15">
        <v>0</v>
      </c>
      <c r="L221" s="51" t="s">
        <v>2371</v>
      </c>
      <c r="M221" s="51" t="s">
        <v>1740</v>
      </c>
      <c r="N221" s="51" t="s">
        <v>1741</v>
      </c>
      <c r="O221" s="51" t="s">
        <v>67</v>
      </c>
      <c r="P221" s="51" t="s">
        <v>67</v>
      </c>
      <c r="Q221" s="45">
        <v>46272.768547766202</v>
      </c>
      <c r="R221" s="46">
        <v>46305</v>
      </c>
      <c r="S221" s="46">
        <v>46300</v>
      </c>
      <c r="T221" s="51" t="s">
        <v>6119</v>
      </c>
      <c r="U221" s="15"/>
      <c r="V221" s="15"/>
      <c r="W221" s="15"/>
      <c r="X221" s="15"/>
      <c r="Y221" s="15"/>
      <c r="Z221" s="15"/>
      <c r="AA221" s="46"/>
      <c r="AB221" s="15"/>
      <c r="AC221" s="15"/>
      <c r="AD221" s="15"/>
      <c r="AE221" s="15"/>
      <c r="AF221" s="15"/>
      <c r="AG221" s="15"/>
      <c r="AH221" s="15"/>
      <c r="AI221" s="46"/>
      <c r="AJ221" s="51" t="s">
        <v>67</v>
      </c>
      <c r="AK221" s="51" t="s">
        <v>67</v>
      </c>
      <c r="AL221" s="15"/>
      <c r="AM221" s="51" t="s">
        <v>67</v>
      </c>
      <c r="AN221" s="51" t="s">
        <v>67</v>
      </c>
      <c r="AO221" s="50" t="s">
        <v>9554</v>
      </c>
    </row>
    <row r="222" spans="1:41" hidden="1" x14ac:dyDescent="0.25">
      <c r="A222" s="51" t="s">
        <v>2252</v>
      </c>
      <c r="B222" s="51" t="s">
        <v>1803</v>
      </c>
      <c r="C222" s="54" t="s">
        <v>605</v>
      </c>
      <c r="D222" s="51" t="s">
        <v>1804</v>
      </c>
      <c r="E222" s="20">
        <v>10000</v>
      </c>
      <c r="F222" s="20">
        <v>1206.06</v>
      </c>
      <c r="G222" s="20">
        <v>3793.94</v>
      </c>
      <c r="H222" s="20">
        <v>0</v>
      </c>
      <c r="I222" s="20">
        <v>1206.06</v>
      </c>
      <c r="J222" s="51" t="s">
        <v>2654</v>
      </c>
      <c r="K222" s="15">
        <v>0</v>
      </c>
      <c r="L222" s="51" t="s">
        <v>2371</v>
      </c>
      <c r="M222" s="51" t="s">
        <v>1805</v>
      </c>
      <c r="N222" s="51" t="s">
        <v>1806</v>
      </c>
      <c r="O222" s="51" t="s">
        <v>67</v>
      </c>
      <c r="P222" s="51" t="s">
        <v>67</v>
      </c>
      <c r="Q222" s="45">
        <v>46272.778767337964</v>
      </c>
      <c r="R222" s="46">
        <v>46305</v>
      </c>
      <c r="S222" s="46">
        <v>46300</v>
      </c>
      <c r="T222" s="51" t="s">
        <v>6119</v>
      </c>
      <c r="U222" s="15"/>
      <c r="V222" s="15"/>
      <c r="W222" s="15"/>
      <c r="X222" s="15"/>
      <c r="Y222" s="15"/>
      <c r="Z222" s="15"/>
      <c r="AA222" s="46"/>
      <c r="AB222" s="15"/>
      <c r="AC222" s="15"/>
      <c r="AD222" s="15"/>
      <c r="AE222" s="15"/>
      <c r="AF222" s="15"/>
      <c r="AG222" s="15"/>
      <c r="AH222" s="15"/>
      <c r="AI222" s="46"/>
      <c r="AJ222" s="51" t="s">
        <v>67</v>
      </c>
      <c r="AK222" s="51" t="s">
        <v>67</v>
      </c>
      <c r="AL222" s="15"/>
      <c r="AM222" s="51" t="s">
        <v>67</v>
      </c>
      <c r="AN222" s="51" t="s">
        <v>67</v>
      </c>
      <c r="AO222" s="50" t="s">
        <v>9554</v>
      </c>
    </row>
    <row r="223" spans="1:41" hidden="1" x14ac:dyDescent="0.25">
      <c r="A223" s="51" t="s">
        <v>2359</v>
      </c>
      <c r="B223" s="51" t="s">
        <v>1580</v>
      </c>
      <c r="C223" s="54" t="s">
        <v>605</v>
      </c>
      <c r="D223" s="51" t="s">
        <v>1581</v>
      </c>
      <c r="E223" s="20">
        <v>10000</v>
      </c>
      <c r="F223" s="20">
        <v>1206.06</v>
      </c>
      <c r="G223" s="20">
        <v>3793.94</v>
      </c>
      <c r="H223" s="20">
        <v>0</v>
      </c>
      <c r="I223" s="20">
        <v>1206.06</v>
      </c>
      <c r="J223" s="51" t="s">
        <v>2654</v>
      </c>
      <c r="K223" s="15">
        <v>0</v>
      </c>
      <c r="L223" s="51" t="s">
        <v>2371</v>
      </c>
      <c r="M223" s="51" t="s">
        <v>1582</v>
      </c>
      <c r="N223" s="51" t="s">
        <v>1583</v>
      </c>
      <c r="O223" s="51" t="s">
        <v>67</v>
      </c>
      <c r="P223" s="51" t="s">
        <v>67</v>
      </c>
      <c r="Q223" s="45">
        <v>46272.787845439816</v>
      </c>
      <c r="R223" s="46">
        <v>46305</v>
      </c>
      <c r="S223" s="46">
        <v>46300</v>
      </c>
      <c r="T223" s="51" t="s">
        <v>6119</v>
      </c>
      <c r="U223" s="15"/>
      <c r="V223" s="15"/>
      <c r="W223" s="15"/>
      <c r="X223" s="15"/>
      <c r="Y223" s="15"/>
      <c r="Z223" s="15"/>
      <c r="AA223" s="46"/>
      <c r="AB223" s="15"/>
      <c r="AC223" s="15"/>
      <c r="AD223" s="15"/>
      <c r="AE223" s="15"/>
      <c r="AF223" s="15"/>
      <c r="AG223" s="15"/>
      <c r="AH223" s="15"/>
      <c r="AI223" s="46"/>
      <c r="AJ223" s="51" t="s">
        <v>67</v>
      </c>
      <c r="AK223" s="51" t="s">
        <v>67</v>
      </c>
      <c r="AL223" s="15"/>
      <c r="AM223" s="51" t="s">
        <v>67</v>
      </c>
      <c r="AN223" s="51" t="s">
        <v>67</v>
      </c>
      <c r="AO223" s="50" t="s">
        <v>9554</v>
      </c>
    </row>
    <row r="224" spans="1:41" hidden="1" x14ac:dyDescent="0.25">
      <c r="A224" s="51" t="s">
        <v>2360</v>
      </c>
      <c r="B224" s="51" t="s">
        <v>1815</v>
      </c>
      <c r="C224" s="54" t="s">
        <v>605</v>
      </c>
      <c r="D224" s="51" t="s">
        <v>1816</v>
      </c>
      <c r="E224" s="20">
        <v>10000</v>
      </c>
      <c r="F224" s="20">
        <v>1206.06</v>
      </c>
      <c r="G224" s="20">
        <v>3793.94</v>
      </c>
      <c r="H224" s="20">
        <v>0</v>
      </c>
      <c r="I224" s="20">
        <v>1206.06</v>
      </c>
      <c r="J224" s="51" t="s">
        <v>2654</v>
      </c>
      <c r="K224" s="15">
        <v>0</v>
      </c>
      <c r="L224" s="51" t="s">
        <v>2371</v>
      </c>
      <c r="M224" s="51" t="s">
        <v>1817</v>
      </c>
      <c r="N224" s="51" t="s">
        <v>1818</v>
      </c>
      <c r="O224" s="51" t="s">
        <v>67</v>
      </c>
      <c r="P224" s="51" t="s">
        <v>67</v>
      </c>
      <c r="Q224" s="45">
        <v>46272.789627905091</v>
      </c>
      <c r="R224" s="46">
        <v>46305</v>
      </c>
      <c r="S224" s="46">
        <v>46300</v>
      </c>
      <c r="T224" s="51" t="s">
        <v>6119</v>
      </c>
      <c r="U224" s="15"/>
      <c r="V224" s="15"/>
      <c r="W224" s="15"/>
      <c r="X224" s="15"/>
      <c r="Y224" s="15"/>
      <c r="Z224" s="15"/>
      <c r="AA224" s="46"/>
      <c r="AB224" s="15"/>
      <c r="AC224" s="15"/>
      <c r="AD224" s="15"/>
      <c r="AE224" s="15"/>
      <c r="AF224" s="15"/>
      <c r="AG224" s="15"/>
      <c r="AH224" s="15"/>
      <c r="AI224" s="46"/>
      <c r="AJ224" s="51" t="s">
        <v>67</v>
      </c>
      <c r="AK224" s="51" t="s">
        <v>67</v>
      </c>
      <c r="AL224" s="15"/>
      <c r="AM224" s="51" t="s">
        <v>67</v>
      </c>
      <c r="AN224" s="51" t="s">
        <v>67</v>
      </c>
      <c r="AO224" s="50" t="s">
        <v>9554</v>
      </c>
    </row>
    <row r="225" spans="1:41" hidden="1" x14ac:dyDescent="0.25">
      <c r="A225" s="51" t="s">
        <v>2361</v>
      </c>
      <c r="B225" s="51" t="s">
        <v>1521</v>
      </c>
      <c r="C225" s="54" t="s">
        <v>605</v>
      </c>
      <c r="D225" s="51" t="s">
        <v>1522</v>
      </c>
      <c r="E225" s="20">
        <v>10000</v>
      </c>
      <c r="F225" s="20">
        <v>1206.06</v>
      </c>
      <c r="G225" s="20">
        <v>3793.94</v>
      </c>
      <c r="H225" s="20">
        <v>0</v>
      </c>
      <c r="I225" s="20">
        <v>1206.06</v>
      </c>
      <c r="J225" s="51" t="s">
        <v>2654</v>
      </c>
      <c r="K225" s="15">
        <v>0</v>
      </c>
      <c r="L225" s="51" t="s">
        <v>2371</v>
      </c>
      <c r="M225" s="51" t="s">
        <v>1523</v>
      </c>
      <c r="N225" s="51" t="s">
        <v>1524</v>
      </c>
      <c r="O225" s="51" t="s">
        <v>67</v>
      </c>
      <c r="P225" s="51" t="s">
        <v>67</v>
      </c>
      <c r="Q225" s="45">
        <v>46272.801445324076</v>
      </c>
      <c r="R225" s="46">
        <v>46305</v>
      </c>
      <c r="S225" s="46">
        <v>46300</v>
      </c>
      <c r="T225" s="51" t="s">
        <v>6119</v>
      </c>
      <c r="U225" s="15"/>
      <c r="V225" s="15"/>
      <c r="W225" s="15"/>
      <c r="X225" s="15"/>
      <c r="Y225" s="15"/>
      <c r="Z225" s="15"/>
      <c r="AA225" s="46"/>
      <c r="AB225" s="15"/>
      <c r="AC225" s="15"/>
      <c r="AD225" s="15"/>
      <c r="AE225" s="15"/>
      <c r="AF225" s="15"/>
      <c r="AG225" s="15"/>
      <c r="AH225" s="15"/>
      <c r="AI225" s="46"/>
      <c r="AJ225" s="51" t="s">
        <v>67</v>
      </c>
      <c r="AK225" s="51" t="s">
        <v>67</v>
      </c>
      <c r="AL225" s="15"/>
      <c r="AM225" s="51" t="s">
        <v>67</v>
      </c>
      <c r="AN225" s="51" t="s">
        <v>67</v>
      </c>
      <c r="AO225" s="50" t="s">
        <v>9554</v>
      </c>
    </row>
    <row r="226" spans="1:41" hidden="1" x14ac:dyDescent="0.25">
      <c r="A226" s="51" t="s">
        <v>2385</v>
      </c>
      <c r="B226" s="51" t="s">
        <v>2060</v>
      </c>
      <c r="C226" s="54" t="s">
        <v>605</v>
      </c>
      <c r="D226" s="51" t="s">
        <v>2061</v>
      </c>
      <c r="E226" s="20">
        <v>10000</v>
      </c>
      <c r="F226" s="20">
        <v>1206.06</v>
      </c>
      <c r="G226" s="20">
        <v>3793.94</v>
      </c>
      <c r="H226" s="20">
        <v>0</v>
      </c>
      <c r="I226" s="20">
        <v>1206.06</v>
      </c>
      <c r="J226" s="51" t="s">
        <v>2654</v>
      </c>
      <c r="K226" s="15">
        <v>0</v>
      </c>
      <c r="L226" s="51" t="s">
        <v>2371</v>
      </c>
      <c r="M226" s="51" t="s">
        <v>2062</v>
      </c>
      <c r="N226" s="51" t="s">
        <v>2063</v>
      </c>
      <c r="O226" s="51" t="s">
        <v>67</v>
      </c>
      <c r="P226" s="51" t="s">
        <v>67</v>
      </c>
      <c r="Q226" s="45">
        <v>46272.807084409724</v>
      </c>
      <c r="R226" s="46">
        <v>46305</v>
      </c>
      <c r="S226" s="46">
        <v>46300</v>
      </c>
      <c r="T226" s="51" t="s">
        <v>6119</v>
      </c>
      <c r="U226" s="15"/>
      <c r="V226" s="15"/>
      <c r="W226" s="15"/>
      <c r="X226" s="15"/>
      <c r="Y226" s="15"/>
      <c r="Z226" s="15"/>
      <c r="AA226" s="46"/>
      <c r="AB226" s="15"/>
      <c r="AC226" s="15"/>
      <c r="AD226" s="15"/>
      <c r="AE226" s="15"/>
      <c r="AF226" s="15"/>
      <c r="AG226" s="15"/>
      <c r="AH226" s="15"/>
      <c r="AI226" s="46"/>
      <c r="AJ226" s="51" t="s">
        <v>67</v>
      </c>
      <c r="AK226" s="51" t="s">
        <v>67</v>
      </c>
      <c r="AL226" s="15"/>
      <c r="AM226" s="51" t="s">
        <v>67</v>
      </c>
      <c r="AN226" s="51" t="s">
        <v>67</v>
      </c>
      <c r="AO226" s="50" t="s">
        <v>9554</v>
      </c>
    </row>
    <row r="227" spans="1:41" hidden="1" x14ac:dyDescent="0.25">
      <c r="A227" s="51" t="s">
        <v>2386</v>
      </c>
      <c r="B227" s="51" t="s">
        <v>1860</v>
      </c>
      <c r="C227" s="54" t="s">
        <v>605</v>
      </c>
      <c r="D227" s="51" t="s">
        <v>1861</v>
      </c>
      <c r="E227" s="20">
        <v>10000</v>
      </c>
      <c r="F227" s="20">
        <v>1206.06</v>
      </c>
      <c r="G227" s="20">
        <v>3793.94</v>
      </c>
      <c r="H227" s="20">
        <v>0</v>
      </c>
      <c r="I227" s="20">
        <v>1206.06</v>
      </c>
      <c r="J227" s="51" t="s">
        <v>2654</v>
      </c>
      <c r="K227" s="15">
        <v>0</v>
      </c>
      <c r="L227" s="51" t="s">
        <v>2371</v>
      </c>
      <c r="M227" s="51" t="s">
        <v>1862</v>
      </c>
      <c r="N227" s="51" t="s">
        <v>1863</v>
      </c>
      <c r="O227" s="51" t="s">
        <v>67</v>
      </c>
      <c r="P227" s="51" t="s">
        <v>67</v>
      </c>
      <c r="Q227" s="45">
        <v>46272.843128946763</v>
      </c>
      <c r="R227" s="46">
        <v>46305</v>
      </c>
      <c r="S227" s="46">
        <v>46300</v>
      </c>
      <c r="T227" s="51" t="s">
        <v>6119</v>
      </c>
      <c r="U227" s="15"/>
      <c r="V227" s="15"/>
      <c r="W227" s="15"/>
      <c r="X227" s="15"/>
      <c r="Y227" s="15"/>
      <c r="Z227" s="15"/>
      <c r="AA227" s="46"/>
      <c r="AB227" s="15"/>
      <c r="AC227" s="15"/>
      <c r="AD227" s="15"/>
      <c r="AE227" s="15"/>
      <c r="AF227" s="15"/>
      <c r="AG227" s="15"/>
      <c r="AH227" s="15"/>
      <c r="AI227" s="46"/>
      <c r="AJ227" s="51" t="s">
        <v>67</v>
      </c>
      <c r="AK227" s="51" t="s">
        <v>67</v>
      </c>
      <c r="AL227" s="15"/>
      <c r="AM227" s="51" t="s">
        <v>67</v>
      </c>
      <c r="AN227" s="51" t="s">
        <v>67</v>
      </c>
      <c r="AO227" s="50" t="s">
        <v>9554</v>
      </c>
    </row>
    <row r="228" spans="1:41" hidden="1" x14ac:dyDescent="0.25">
      <c r="A228" s="51" t="s">
        <v>2387</v>
      </c>
      <c r="B228" s="51" t="s">
        <v>1856</v>
      </c>
      <c r="C228" s="54" t="s">
        <v>605</v>
      </c>
      <c r="D228" s="51" t="s">
        <v>1857</v>
      </c>
      <c r="E228" s="20">
        <v>10000</v>
      </c>
      <c r="F228" s="20">
        <v>1206.06</v>
      </c>
      <c r="G228" s="20">
        <v>3793.94</v>
      </c>
      <c r="H228" s="20">
        <v>0</v>
      </c>
      <c r="I228" s="20">
        <v>1206.06</v>
      </c>
      <c r="J228" s="51" t="s">
        <v>2654</v>
      </c>
      <c r="K228" s="15">
        <v>0</v>
      </c>
      <c r="L228" s="51" t="s">
        <v>2371</v>
      </c>
      <c r="M228" s="51" t="s">
        <v>1858</v>
      </c>
      <c r="N228" s="51" t="s">
        <v>1859</v>
      </c>
      <c r="O228" s="51" t="s">
        <v>67</v>
      </c>
      <c r="P228" s="51" t="s">
        <v>67</v>
      </c>
      <c r="Q228" s="45">
        <v>46272.851136805555</v>
      </c>
      <c r="R228" s="46">
        <v>46305</v>
      </c>
      <c r="S228" s="46">
        <v>46300</v>
      </c>
      <c r="T228" s="51" t="s">
        <v>6119</v>
      </c>
      <c r="U228" s="15"/>
      <c r="V228" s="15"/>
      <c r="W228" s="15"/>
      <c r="X228" s="15"/>
      <c r="Y228" s="15"/>
      <c r="Z228" s="15"/>
      <c r="AA228" s="46"/>
      <c r="AB228" s="15"/>
      <c r="AC228" s="15"/>
      <c r="AD228" s="15"/>
      <c r="AE228" s="15"/>
      <c r="AF228" s="15"/>
      <c r="AG228" s="15"/>
      <c r="AH228" s="15"/>
      <c r="AI228" s="46"/>
      <c r="AJ228" s="51" t="s">
        <v>67</v>
      </c>
      <c r="AK228" s="51" t="s">
        <v>67</v>
      </c>
      <c r="AL228" s="15"/>
      <c r="AM228" s="51" t="s">
        <v>67</v>
      </c>
      <c r="AN228" s="51" t="s">
        <v>67</v>
      </c>
      <c r="AO228" s="50" t="s">
        <v>9554</v>
      </c>
    </row>
    <row r="229" spans="1:41" hidden="1" x14ac:dyDescent="0.25">
      <c r="A229" s="51" t="s">
        <v>2388</v>
      </c>
      <c r="B229" s="51" t="s">
        <v>1671</v>
      </c>
      <c r="C229" s="54" t="s">
        <v>605</v>
      </c>
      <c r="D229" s="51" t="s">
        <v>1672</v>
      </c>
      <c r="E229" s="20">
        <v>10000</v>
      </c>
      <c r="F229" s="20">
        <v>1206.06</v>
      </c>
      <c r="G229" s="20">
        <v>3793.94</v>
      </c>
      <c r="H229" s="20">
        <v>0</v>
      </c>
      <c r="I229" s="20">
        <v>1206.06</v>
      </c>
      <c r="J229" s="51" t="s">
        <v>2654</v>
      </c>
      <c r="K229" s="15">
        <v>0</v>
      </c>
      <c r="L229" s="51" t="s">
        <v>2371</v>
      </c>
      <c r="M229" s="51" t="s">
        <v>1673</v>
      </c>
      <c r="N229" s="51" t="s">
        <v>1359</v>
      </c>
      <c r="O229" s="51" t="s">
        <v>67</v>
      </c>
      <c r="P229" s="51" t="s">
        <v>67</v>
      </c>
      <c r="Q229" s="45">
        <v>46272.855130405092</v>
      </c>
      <c r="R229" s="46">
        <v>46305</v>
      </c>
      <c r="S229" s="46">
        <v>46300</v>
      </c>
      <c r="T229" s="51" t="s">
        <v>6119</v>
      </c>
      <c r="U229" s="15"/>
      <c r="V229" s="15"/>
      <c r="W229" s="15"/>
      <c r="X229" s="15"/>
      <c r="Y229" s="15"/>
      <c r="Z229" s="15"/>
      <c r="AA229" s="46"/>
      <c r="AB229" s="15"/>
      <c r="AC229" s="15"/>
      <c r="AD229" s="15"/>
      <c r="AE229" s="15"/>
      <c r="AF229" s="15"/>
      <c r="AG229" s="15"/>
      <c r="AH229" s="15"/>
      <c r="AI229" s="46"/>
      <c r="AJ229" s="51" t="s">
        <v>67</v>
      </c>
      <c r="AK229" s="51" t="s">
        <v>67</v>
      </c>
      <c r="AL229" s="15"/>
      <c r="AM229" s="51" t="s">
        <v>67</v>
      </c>
      <c r="AN229" s="51" t="s">
        <v>67</v>
      </c>
      <c r="AO229" s="50" t="s">
        <v>9554</v>
      </c>
    </row>
    <row r="230" spans="1:41" hidden="1" x14ac:dyDescent="0.25">
      <c r="A230" s="51" t="s">
        <v>2389</v>
      </c>
      <c r="B230" s="51" t="s">
        <v>1347</v>
      </c>
      <c r="C230" s="54" t="s">
        <v>605</v>
      </c>
      <c r="D230" s="51" t="s">
        <v>1348</v>
      </c>
      <c r="E230" s="20">
        <v>10000</v>
      </c>
      <c r="F230" s="20">
        <v>1206.06</v>
      </c>
      <c r="G230" s="20">
        <v>3793.94</v>
      </c>
      <c r="H230" s="20">
        <v>0</v>
      </c>
      <c r="I230" s="20">
        <v>1206.06</v>
      </c>
      <c r="J230" s="51" t="s">
        <v>2654</v>
      </c>
      <c r="K230" s="15">
        <v>0</v>
      </c>
      <c r="L230" s="51" t="s">
        <v>2371</v>
      </c>
      <c r="M230" s="51" t="s">
        <v>1349</v>
      </c>
      <c r="N230" s="51" t="s">
        <v>1350</v>
      </c>
      <c r="O230" s="51" t="s">
        <v>67</v>
      </c>
      <c r="P230" s="51" t="s">
        <v>67</v>
      </c>
      <c r="Q230" s="45">
        <v>46272.859991053243</v>
      </c>
      <c r="R230" s="46">
        <v>46305</v>
      </c>
      <c r="S230" s="46">
        <v>46300</v>
      </c>
      <c r="T230" s="51" t="s">
        <v>6119</v>
      </c>
      <c r="U230" s="15"/>
      <c r="V230" s="15"/>
      <c r="W230" s="15"/>
      <c r="X230" s="15"/>
      <c r="Y230" s="15"/>
      <c r="Z230" s="15"/>
      <c r="AA230" s="46"/>
      <c r="AB230" s="15"/>
      <c r="AC230" s="15"/>
      <c r="AD230" s="15"/>
      <c r="AE230" s="15"/>
      <c r="AF230" s="15"/>
      <c r="AG230" s="15"/>
      <c r="AH230" s="15"/>
      <c r="AI230" s="46"/>
      <c r="AJ230" s="51" t="s">
        <v>67</v>
      </c>
      <c r="AK230" s="51" t="s">
        <v>67</v>
      </c>
      <c r="AL230" s="15"/>
      <c r="AM230" s="51" t="s">
        <v>67</v>
      </c>
      <c r="AN230" s="51" t="s">
        <v>67</v>
      </c>
      <c r="AO230" s="50" t="s">
        <v>9554</v>
      </c>
    </row>
    <row r="231" spans="1:41" hidden="1" x14ac:dyDescent="0.25">
      <c r="A231" s="51" t="s">
        <v>2390</v>
      </c>
      <c r="B231" s="51" t="s">
        <v>1361</v>
      </c>
      <c r="C231" s="54" t="s">
        <v>605</v>
      </c>
      <c r="D231" s="51" t="s">
        <v>1362</v>
      </c>
      <c r="E231" s="20">
        <v>10000</v>
      </c>
      <c r="F231" s="20">
        <v>1206.06</v>
      </c>
      <c r="G231" s="20">
        <v>3793.94</v>
      </c>
      <c r="H231" s="20">
        <v>0</v>
      </c>
      <c r="I231" s="20">
        <v>1206.06</v>
      </c>
      <c r="J231" s="51" t="s">
        <v>2654</v>
      </c>
      <c r="K231" s="15">
        <v>0</v>
      </c>
      <c r="L231" s="51" t="s">
        <v>2371</v>
      </c>
      <c r="M231" s="51" t="s">
        <v>1363</v>
      </c>
      <c r="N231" s="51" t="s">
        <v>1364</v>
      </c>
      <c r="O231" s="51" t="s">
        <v>67</v>
      </c>
      <c r="P231" s="51" t="s">
        <v>67</v>
      </c>
      <c r="Q231" s="45">
        <v>46272.880725960647</v>
      </c>
      <c r="R231" s="46">
        <v>46305</v>
      </c>
      <c r="S231" s="46">
        <v>46300</v>
      </c>
      <c r="T231" s="51" t="s">
        <v>6119</v>
      </c>
      <c r="U231" s="15"/>
      <c r="V231" s="15"/>
      <c r="W231" s="15"/>
      <c r="X231" s="15"/>
      <c r="Y231" s="15"/>
      <c r="Z231" s="15"/>
      <c r="AA231" s="46"/>
      <c r="AB231" s="15"/>
      <c r="AC231" s="15"/>
      <c r="AD231" s="15"/>
      <c r="AE231" s="15"/>
      <c r="AF231" s="15"/>
      <c r="AG231" s="15"/>
      <c r="AH231" s="15"/>
      <c r="AI231" s="46"/>
      <c r="AJ231" s="51" t="s">
        <v>67</v>
      </c>
      <c r="AK231" s="51" t="s">
        <v>67</v>
      </c>
      <c r="AL231" s="15"/>
      <c r="AM231" s="51" t="s">
        <v>67</v>
      </c>
      <c r="AN231" s="51" t="s">
        <v>67</v>
      </c>
      <c r="AO231" s="50" t="s">
        <v>9554</v>
      </c>
    </row>
    <row r="232" spans="1:41" hidden="1" x14ac:dyDescent="0.25">
      <c r="A232" s="51" t="s">
        <v>2391</v>
      </c>
      <c r="B232" s="51" t="s">
        <v>1930</v>
      </c>
      <c r="C232" s="54" t="s">
        <v>605</v>
      </c>
      <c r="D232" s="51" t="s">
        <v>1931</v>
      </c>
      <c r="E232" s="20">
        <v>10000</v>
      </c>
      <c r="F232" s="20">
        <v>1206.06</v>
      </c>
      <c r="G232" s="20">
        <v>3793.94</v>
      </c>
      <c r="H232" s="20">
        <v>0</v>
      </c>
      <c r="I232" s="20">
        <v>1206.06</v>
      </c>
      <c r="J232" s="51" t="s">
        <v>2654</v>
      </c>
      <c r="K232" s="15">
        <v>0</v>
      </c>
      <c r="L232" s="51" t="s">
        <v>2371</v>
      </c>
      <c r="M232" s="51" t="s">
        <v>1932</v>
      </c>
      <c r="N232" s="51" t="s">
        <v>1933</v>
      </c>
      <c r="O232" s="51" t="s">
        <v>67</v>
      </c>
      <c r="P232" s="51" t="s">
        <v>67</v>
      </c>
      <c r="Q232" s="45">
        <v>46272.882913842594</v>
      </c>
      <c r="R232" s="46">
        <v>46305</v>
      </c>
      <c r="S232" s="46">
        <v>46300</v>
      </c>
      <c r="T232" s="51" t="s">
        <v>6119</v>
      </c>
      <c r="U232" s="15"/>
      <c r="V232" s="15"/>
      <c r="W232" s="15"/>
      <c r="X232" s="15"/>
      <c r="Y232" s="15"/>
      <c r="Z232" s="15"/>
      <c r="AA232" s="46"/>
      <c r="AB232" s="15"/>
      <c r="AC232" s="15"/>
      <c r="AD232" s="15"/>
      <c r="AE232" s="15"/>
      <c r="AF232" s="15"/>
      <c r="AG232" s="15"/>
      <c r="AH232" s="15"/>
      <c r="AI232" s="46"/>
      <c r="AJ232" s="51" t="s">
        <v>67</v>
      </c>
      <c r="AK232" s="51" t="s">
        <v>67</v>
      </c>
      <c r="AL232" s="15"/>
      <c r="AM232" s="51" t="s">
        <v>67</v>
      </c>
      <c r="AN232" s="51" t="s">
        <v>67</v>
      </c>
      <c r="AO232" s="50" t="s">
        <v>9554</v>
      </c>
    </row>
    <row r="233" spans="1:41" hidden="1" x14ac:dyDescent="0.25">
      <c r="A233" s="51" t="s">
        <v>2392</v>
      </c>
      <c r="B233" s="51" t="s">
        <v>1761</v>
      </c>
      <c r="C233" s="54" t="s">
        <v>605</v>
      </c>
      <c r="D233" s="51" t="s">
        <v>1762</v>
      </c>
      <c r="E233" s="20">
        <v>10000</v>
      </c>
      <c r="F233" s="20">
        <v>1206.06</v>
      </c>
      <c r="G233" s="20">
        <v>3793.94</v>
      </c>
      <c r="H233" s="20">
        <v>0</v>
      </c>
      <c r="I233" s="20">
        <v>1206.06</v>
      </c>
      <c r="J233" s="51" t="s">
        <v>2654</v>
      </c>
      <c r="K233" s="15">
        <v>0</v>
      </c>
      <c r="L233" s="51" t="s">
        <v>2371</v>
      </c>
      <c r="M233" s="51" t="s">
        <v>1763</v>
      </c>
      <c r="N233" s="51" t="s">
        <v>1764</v>
      </c>
      <c r="O233" s="51" t="s">
        <v>67</v>
      </c>
      <c r="P233" s="51" t="s">
        <v>67</v>
      </c>
      <c r="Q233" s="45">
        <v>46272.888164814816</v>
      </c>
      <c r="R233" s="46">
        <v>46305</v>
      </c>
      <c r="S233" s="46">
        <v>46300</v>
      </c>
      <c r="T233" s="51" t="s">
        <v>6119</v>
      </c>
      <c r="U233" s="15"/>
      <c r="V233" s="15"/>
      <c r="W233" s="15"/>
      <c r="X233" s="15"/>
      <c r="Y233" s="15"/>
      <c r="Z233" s="15"/>
      <c r="AA233" s="46"/>
      <c r="AB233" s="15"/>
      <c r="AC233" s="15"/>
      <c r="AD233" s="15"/>
      <c r="AE233" s="15"/>
      <c r="AF233" s="15"/>
      <c r="AG233" s="15"/>
      <c r="AH233" s="15"/>
      <c r="AI233" s="46"/>
      <c r="AJ233" s="51" t="s">
        <v>67</v>
      </c>
      <c r="AK233" s="51" t="s">
        <v>67</v>
      </c>
      <c r="AL233" s="15"/>
      <c r="AM233" s="51" t="s">
        <v>67</v>
      </c>
      <c r="AN233" s="51" t="s">
        <v>67</v>
      </c>
      <c r="AO233" s="50" t="s">
        <v>9554</v>
      </c>
    </row>
    <row r="234" spans="1:41" hidden="1" x14ac:dyDescent="0.25">
      <c r="A234" s="51" t="s">
        <v>2393</v>
      </c>
      <c r="B234" s="51" t="s">
        <v>2077</v>
      </c>
      <c r="C234" s="54" t="s">
        <v>605</v>
      </c>
      <c r="D234" s="51" t="s">
        <v>2078</v>
      </c>
      <c r="E234" s="20">
        <v>10000</v>
      </c>
      <c r="F234" s="20">
        <v>1206.06</v>
      </c>
      <c r="G234" s="20">
        <v>3793.94</v>
      </c>
      <c r="H234" s="20">
        <v>0</v>
      </c>
      <c r="I234" s="20">
        <v>1206.06</v>
      </c>
      <c r="J234" s="51" t="s">
        <v>2654</v>
      </c>
      <c r="K234" s="15">
        <v>0</v>
      </c>
      <c r="L234" s="51" t="s">
        <v>2371</v>
      </c>
      <c r="M234" s="51" t="s">
        <v>2079</v>
      </c>
      <c r="N234" s="51" t="s">
        <v>2080</v>
      </c>
      <c r="O234" s="51" t="s">
        <v>67</v>
      </c>
      <c r="P234" s="51" t="s">
        <v>67</v>
      </c>
      <c r="Q234" s="45">
        <v>46274.128464710651</v>
      </c>
      <c r="R234" s="46">
        <v>46305</v>
      </c>
      <c r="S234" s="46">
        <v>46300</v>
      </c>
      <c r="T234" s="51" t="s">
        <v>6119</v>
      </c>
      <c r="U234" s="15"/>
      <c r="V234" s="15"/>
      <c r="W234" s="15"/>
      <c r="X234" s="15"/>
      <c r="Y234" s="15"/>
      <c r="Z234" s="15"/>
      <c r="AA234" s="46"/>
      <c r="AB234" s="15"/>
      <c r="AC234" s="15"/>
      <c r="AD234" s="15"/>
      <c r="AE234" s="15"/>
      <c r="AF234" s="15"/>
      <c r="AG234" s="15"/>
      <c r="AH234" s="15"/>
      <c r="AI234" s="46"/>
      <c r="AJ234" s="51" t="s">
        <v>67</v>
      </c>
      <c r="AK234" s="51" t="s">
        <v>67</v>
      </c>
      <c r="AL234" s="15"/>
      <c r="AM234" s="51" t="s">
        <v>67</v>
      </c>
      <c r="AN234" s="51" t="s">
        <v>67</v>
      </c>
      <c r="AO234" s="50" t="s">
        <v>9554</v>
      </c>
    </row>
    <row r="235" spans="1:41" hidden="1" x14ac:dyDescent="0.25">
      <c r="A235" s="51" t="s">
        <v>2394</v>
      </c>
      <c r="B235" s="51" t="s">
        <v>1434</v>
      </c>
      <c r="C235" s="54" t="s">
        <v>605</v>
      </c>
      <c r="D235" s="51" t="s">
        <v>1431</v>
      </c>
      <c r="E235" s="20">
        <v>1002</v>
      </c>
      <c r="F235" s="20">
        <v>4091.96</v>
      </c>
      <c r="G235" s="20">
        <v>908.04</v>
      </c>
      <c r="H235" s="20">
        <v>0</v>
      </c>
      <c r="I235" s="20">
        <v>4091.96</v>
      </c>
      <c r="J235" s="51" t="s">
        <v>2654</v>
      </c>
      <c r="K235" s="15">
        <v>0</v>
      </c>
      <c r="L235" s="51" t="s">
        <v>2371</v>
      </c>
      <c r="M235" s="51" t="s">
        <v>1435</v>
      </c>
      <c r="N235" s="51" t="s">
        <v>1436</v>
      </c>
      <c r="O235" s="51" t="s">
        <v>67</v>
      </c>
      <c r="P235" s="51" t="s">
        <v>67</v>
      </c>
      <c r="Q235" s="45">
        <v>46274.654943888891</v>
      </c>
      <c r="R235" s="46">
        <v>46305</v>
      </c>
      <c r="S235" s="46">
        <v>46300</v>
      </c>
      <c r="T235" s="51" t="s">
        <v>6119</v>
      </c>
      <c r="U235" s="15"/>
      <c r="V235" s="15"/>
      <c r="W235" s="15"/>
      <c r="X235" s="15"/>
      <c r="Y235" s="15"/>
      <c r="Z235" s="15"/>
      <c r="AA235" s="46"/>
      <c r="AB235" s="15"/>
      <c r="AC235" s="15"/>
      <c r="AD235" s="15"/>
      <c r="AE235" s="15"/>
      <c r="AF235" s="15"/>
      <c r="AG235" s="15"/>
      <c r="AH235" s="15"/>
      <c r="AI235" s="46"/>
      <c r="AJ235" s="51" t="s">
        <v>67</v>
      </c>
      <c r="AK235" s="51" t="s">
        <v>67</v>
      </c>
      <c r="AL235" s="15"/>
      <c r="AM235" s="51" t="s">
        <v>67</v>
      </c>
      <c r="AN235" s="51" t="s">
        <v>67</v>
      </c>
      <c r="AO235" s="50" t="s">
        <v>9554</v>
      </c>
    </row>
    <row r="236" spans="1:41" hidden="1" x14ac:dyDescent="0.25">
      <c r="A236" s="51" t="s">
        <v>2395</v>
      </c>
      <c r="B236" s="51" t="s">
        <v>1430</v>
      </c>
      <c r="C236" s="54" t="s">
        <v>605</v>
      </c>
      <c r="D236" s="51" t="s">
        <v>1431</v>
      </c>
      <c r="E236" s="20">
        <v>1101.8</v>
      </c>
      <c r="F236" s="20">
        <v>3852.36</v>
      </c>
      <c r="G236" s="20">
        <v>1147.6400000000001</v>
      </c>
      <c r="H236" s="20">
        <v>0</v>
      </c>
      <c r="I236" s="20">
        <v>3852.36</v>
      </c>
      <c r="J236" s="51" t="s">
        <v>2654</v>
      </c>
      <c r="K236" s="15">
        <v>0</v>
      </c>
      <c r="L236" s="51" t="s">
        <v>2371</v>
      </c>
      <c r="M236" s="51" t="s">
        <v>1432</v>
      </c>
      <c r="N236" s="51" t="s">
        <v>1433</v>
      </c>
      <c r="O236" s="51" t="s">
        <v>67</v>
      </c>
      <c r="P236" s="51" t="s">
        <v>67</v>
      </c>
      <c r="Q236" s="45">
        <v>46274.659754328706</v>
      </c>
      <c r="R236" s="46">
        <v>46305</v>
      </c>
      <c r="S236" s="46">
        <v>46300</v>
      </c>
      <c r="T236" s="51" t="s">
        <v>6119</v>
      </c>
      <c r="U236" s="15"/>
      <c r="V236" s="15"/>
      <c r="W236" s="15"/>
      <c r="X236" s="15"/>
      <c r="Y236" s="15"/>
      <c r="Z236" s="15"/>
      <c r="AA236" s="46"/>
      <c r="AB236" s="15"/>
      <c r="AC236" s="15"/>
      <c r="AD236" s="15"/>
      <c r="AE236" s="15"/>
      <c r="AF236" s="15"/>
      <c r="AG236" s="15"/>
      <c r="AH236" s="15"/>
      <c r="AI236" s="46"/>
      <c r="AJ236" s="51" t="s">
        <v>67</v>
      </c>
      <c r="AK236" s="51" t="s">
        <v>67</v>
      </c>
      <c r="AL236" s="15"/>
      <c r="AM236" s="51" t="s">
        <v>67</v>
      </c>
      <c r="AN236" s="51" t="s">
        <v>67</v>
      </c>
      <c r="AO236" s="50" t="s">
        <v>9554</v>
      </c>
    </row>
    <row r="237" spans="1:41" hidden="1" x14ac:dyDescent="0.25">
      <c r="A237" s="51" t="s">
        <v>2396</v>
      </c>
      <c r="B237" s="51" t="s">
        <v>1437</v>
      </c>
      <c r="C237" s="54" t="s">
        <v>605</v>
      </c>
      <c r="D237" s="51" t="s">
        <v>1431</v>
      </c>
      <c r="E237" s="20">
        <v>1151.7</v>
      </c>
      <c r="F237" s="20">
        <v>3762.46</v>
      </c>
      <c r="G237" s="20">
        <v>1237.54</v>
      </c>
      <c r="H237" s="20">
        <v>0</v>
      </c>
      <c r="I237" s="20">
        <v>3762.46</v>
      </c>
      <c r="J237" s="51" t="s">
        <v>2654</v>
      </c>
      <c r="K237" s="15">
        <v>0</v>
      </c>
      <c r="L237" s="51" t="s">
        <v>2371</v>
      </c>
      <c r="M237" s="51" t="s">
        <v>1438</v>
      </c>
      <c r="N237" s="51" t="s">
        <v>1439</v>
      </c>
      <c r="O237" s="51" t="s">
        <v>67</v>
      </c>
      <c r="P237" s="51" t="s">
        <v>67</v>
      </c>
      <c r="Q237" s="45">
        <v>46274.661077430559</v>
      </c>
      <c r="R237" s="46">
        <v>46305</v>
      </c>
      <c r="S237" s="46">
        <v>46300</v>
      </c>
      <c r="T237" s="51" t="s">
        <v>6119</v>
      </c>
      <c r="U237" s="15"/>
      <c r="V237" s="15"/>
      <c r="W237" s="15"/>
      <c r="X237" s="15"/>
      <c r="Y237" s="15"/>
      <c r="Z237" s="15"/>
      <c r="AA237" s="46"/>
      <c r="AB237" s="15"/>
      <c r="AC237" s="15"/>
      <c r="AD237" s="15"/>
      <c r="AE237" s="15"/>
      <c r="AF237" s="15"/>
      <c r="AG237" s="15"/>
      <c r="AH237" s="15"/>
      <c r="AI237" s="46"/>
      <c r="AJ237" s="51" t="s">
        <v>67</v>
      </c>
      <c r="AK237" s="51" t="s">
        <v>67</v>
      </c>
      <c r="AL237" s="15"/>
      <c r="AM237" s="51" t="s">
        <v>67</v>
      </c>
      <c r="AN237" s="51" t="s">
        <v>67</v>
      </c>
      <c r="AO237" s="50" t="s">
        <v>9554</v>
      </c>
    </row>
    <row r="238" spans="1:41" hidden="1" x14ac:dyDescent="0.25">
      <c r="A238" s="51" t="s">
        <v>2397</v>
      </c>
      <c r="B238" s="51" t="s">
        <v>11</v>
      </c>
      <c r="C238" s="54" t="s">
        <v>605</v>
      </c>
      <c r="D238" s="51" t="s">
        <v>51</v>
      </c>
      <c r="E238" s="20">
        <v>10000</v>
      </c>
      <c r="F238" s="20">
        <v>1206.06</v>
      </c>
      <c r="G238" s="20">
        <v>3793.94</v>
      </c>
      <c r="H238" s="20">
        <v>0</v>
      </c>
      <c r="I238" s="20">
        <v>1206.06</v>
      </c>
      <c r="J238" s="51" t="s">
        <v>2654</v>
      </c>
      <c r="K238" s="15">
        <v>0</v>
      </c>
      <c r="L238" s="51" t="s">
        <v>2371</v>
      </c>
      <c r="M238" s="51" t="s">
        <v>1662</v>
      </c>
      <c r="N238" s="51" t="s">
        <v>1663</v>
      </c>
      <c r="O238" s="51" t="s">
        <v>67</v>
      </c>
      <c r="P238" s="51" t="s">
        <v>67</v>
      </c>
      <c r="Q238" s="45">
        <v>46274.817525347222</v>
      </c>
      <c r="R238" s="46">
        <v>46305</v>
      </c>
      <c r="S238" s="46">
        <v>46300</v>
      </c>
      <c r="T238" s="51" t="s">
        <v>6119</v>
      </c>
      <c r="U238" s="15"/>
      <c r="V238" s="15"/>
      <c r="W238" s="15"/>
      <c r="X238" s="15"/>
      <c r="Y238" s="15"/>
      <c r="Z238" s="15"/>
      <c r="AA238" s="46"/>
      <c r="AB238" s="15"/>
      <c r="AC238" s="15"/>
      <c r="AD238" s="15"/>
      <c r="AE238" s="15"/>
      <c r="AF238" s="15"/>
      <c r="AG238" s="15"/>
      <c r="AH238" s="15"/>
      <c r="AI238" s="46"/>
      <c r="AJ238" s="51" t="s">
        <v>67</v>
      </c>
      <c r="AK238" s="51" t="s">
        <v>67</v>
      </c>
      <c r="AL238" s="15"/>
      <c r="AM238" s="51" t="s">
        <v>67</v>
      </c>
      <c r="AN238" s="51" t="s">
        <v>67</v>
      </c>
      <c r="AO238" s="50" t="s">
        <v>9554</v>
      </c>
    </row>
    <row r="239" spans="1:41" hidden="1" x14ac:dyDescent="0.25">
      <c r="A239" s="51" t="s">
        <v>2398</v>
      </c>
      <c r="B239" s="51" t="s">
        <v>72</v>
      </c>
      <c r="C239" s="54" t="s">
        <v>605</v>
      </c>
      <c r="D239" s="51" t="s">
        <v>69</v>
      </c>
      <c r="E239" s="20">
        <v>1898.39</v>
      </c>
      <c r="F239" s="20">
        <v>1206.06</v>
      </c>
      <c r="G239" s="20">
        <v>3793.94</v>
      </c>
      <c r="H239" s="20">
        <v>0</v>
      </c>
      <c r="I239" s="20">
        <v>1206.06</v>
      </c>
      <c r="J239" s="51" t="s">
        <v>2654</v>
      </c>
      <c r="K239" s="15">
        <v>0</v>
      </c>
      <c r="L239" s="51" t="s">
        <v>2371</v>
      </c>
      <c r="M239" s="51" t="s">
        <v>1515</v>
      </c>
      <c r="N239" s="51" t="s">
        <v>1516</v>
      </c>
      <c r="O239" s="51" t="s">
        <v>67</v>
      </c>
      <c r="P239" s="51" t="s">
        <v>67</v>
      </c>
      <c r="Q239" s="45">
        <v>46274.835714768516</v>
      </c>
      <c r="R239" s="46">
        <v>46305</v>
      </c>
      <c r="S239" s="46">
        <v>46300</v>
      </c>
      <c r="T239" s="51" t="s">
        <v>6119</v>
      </c>
      <c r="U239" s="15"/>
      <c r="V239" s="15"/>
      <c r="W239" s="15"/>
      <c r="X239" s="15"/>
      <c r="Y239" s="15"/>
      <c r="Z239" s="15"/>
      <c r="AA239" s="46"/>
      <c r="AB239" s="15"/>
      <c r="AC239" s="15"/>
      <c r="AD239" s="15"/>
      <c r="AE239" s="15"/>
      <c r="AF239" s="15"/>
      <c r="AG239" s="15"/>
      <c r="AH239" s="15"/>
      <c r="AI239" s="46"/>
      <c r="AJ239" s="51" t="s">
        <v>67</v>
      </c>
      <c r="AK239" s="51" t="s">
        <v>67</v>
      </c>
      <c r="AL239" s="15"/>
      <c r="AM239" s="51" t="s">
        <v>67</v>
      </c>
      <c r="AN239" s="51" t="s">
        <v>67</v>
      </c>
      <c r="AO239" s="50" t="s">
        <v>9554</v>
      </c>
    </row>
    <row r="240" spans="1:41" hidden="1" x14ac:dyDescent="0.25">
      <c r="A240" s="51" t="s">
        <v>2399</v>
      </c>
      <c r="B240" s="51" t="s">
        <v>89</v>
      </c>
      <c r="C240" s="54" t="s">
        <v>605</v>
      </c>
      <c r="D240" s="51" t="s">
        <v>86</v>
      </c>
      <c r="E240" s="20">
        <v>1715.34</v>
      </c>
      <c r="F240" s="20">
        <v>3162.56</v>
      </c>
      <c r="G240" s="20">
        <v>1837.44</v>
      </c>
      <c r="H240" s="20">
        <v>0</v>
      </c>
      <c r="I240" s="20">
        <v>3162.56</v>
      </c>
      <c r="J240" s="51" t="s">
        <v>2654</v>
      </c>
      <c r="K240" s="15">
        <v>0</v>
      </c>
      <c r="L240" s="51" t="s">
        <v>2371</v>
      </c>
      <c r="M240" s="51" t="s">
        <v>1967</v>
      </c>
      <c r="N240" s="51" t="s">
        <v>1968</v>
      </c>
      <c r="O240" s="51" t="s">
        <v>67</v>
      </c>
      <c r="P240" s="51" t="s">
        <v>67</v>
      </c>
      <c r="Q240" s="45">
        <v>46274.844761261571</v>
      </c>
      <c r="R240" s="46">
        <v>46305</v>
      </c>
      <c r="S240" s="46">
        <v>46300</v>
      </c>
      <c r="T240" s="51" t="s">
        <v>6119</v>
      </c>
      <c r="U240" s="15"/>
      <c r="V240" s="15"/>
      <c r="W240" s="15"/>
      <c r="X240" s="15"/>
      <c r="Y240" s="15"/>
      <c r="Z240" s="15"/>
      <c r="AA240" s="46"/>
      <c r="AB240" s="15"/>
      <c r="AC240" s="15"/>
      <c r="AD240" s="15"/>
      <c r="AE240" s="15"/>
      <c r="AF240" s="15"/>
      <c r="AG240" s="15"/>
      <c r="AH240" s="15"/>
      <c r="AI240" s="46"/>
      <c r="AJ240" s="51" t="s">
        <v>67</v>
      </c>
      <c r="AK240" s="51" t="s">
        <v>67</v>
      </c>
      <c r="AL240" s="15"/>
      <c r="AM240" s="51" t="s">
        <v>67</v>
      </c>
      <c r="AN240" s="51" t="s">
        <v>67</v>
      </c>
      <c r="AO240" s="50" t="s">
        <v>9554</v>
      </c>
    </row>
    <row r="241" spans="1:41" hidden="1" x14ac:dyDescent="0.25">
      <c r="A241" s="51" t="s">
        <v>2400</v>
      </c>
      <c r="B241" s="51" t="s">
        <v>104</v>
      </c>
      <c r="C241" s="54" t="s">
        <v>605</v>
      </c>
      <c r="D241" s="51" t="s">
        <v>101</v>
      </c>
      <c r="E241" s="20">
        <v>10000</v>
      </c>
      <c r="F241" s="20">
        <v>1714.36</v>
      </c>
      <c r="G241" s="20">
        <v>3285.64</v>
      </c>
      <c r="H241" s="20">
        <v>0</v>
      </c>
      <c r="I241" s="20">
        <v>1714.36</v>
      </c>
      <c r="J241" s="51" t="s">
        <v>2654</v>
      </c>
      <c r="K241" s="15">
        <v>0</v>
      </c>
      <c r="L241" s="51" t="s">
        <v>2371</v>
      </c>
      <c r="M241" s="51" t="s">
        <v>1584</v>
      </c>
      <c r="N241" s="51" t="s">
        <v>1585</v>
      </c>
      <c r="O241" s="51" t="s">
        <v>67</v>
      </c>
      <c r="P241" s="51" t="s">
        <v>67</v>
      </c>
      <c r="Q241" s="45">
        <v>46274.852203518516</v>
      </c>
      <c r="R241" s="46">
        <v>46305</v>
      </c>
      <c r="S241" s="46">
        <v>46300</v>
      </c>
      <c r="T241" s="51" t="s">
        <v>6119</v>
      </c>
      <c r="U241" s="15"/>
      <c r="V241" s="15"/>
      <c r="W241" s="15"/>
      <c r="X241" s="15"/>
      <c r="Y241" s="15"/>
      <c r="Z241" s="15"/>
      <c r="AA241" s="46"/>
      <c r="AB241" s="15"/>
      <c r="AC241" s="15"/>
      <c r="AD241" s="15"/>
      <c r="AE241" s="15"/>
      <c r="AF241" s="15"/>
      <c r="AG241" s="15"/>
      <c r="AH241" s="15"/>
      <c r="AI241" s="46"/>
      <c r="AJ241" s="51" t="s">
        <v>67</v>
      </c>
      <c r="AK241" s="51" t="s">
        <v>67</v>
      </c>
      <c r="AL241" s="15"/>
      <c r="AM241" s="51" t="s">
        <v>67</v>
      </c>
      <c r="AN241" s="51" t="s">
        <v>67</v>
      </c>
      <c r="AO241" s="50" t="s">
        <v>9554</v>
      </c>
    </row>
    <row r="242" spans="1:41" hidden="1" x14ac:dyDescent="0.25">
      <c r="A242" s="51" t="s">
        <v>2401</v>
      </c>
      <c r="B242" s="51" t="s">
        <v>119</v>
      </c>
      <c r="C242" s="54" t="s">
        <v>605</v>
      </c>
      <c r="D242" s="51" t="s">
        <v>116</v>
      </c>
      <c r="E242" s="20">
        <v>10000</v>
      </c>
      <c r="F242" s="20">
        <v>2734.36</v>
      </c>
      <c r="G242" s="20">
        <v>2265.64</v>
      </c>
      <c r="H242" s="20">
        <v>0</v>
      </c>
      <c r="I242" s="20">
        <v>2734.36</v>
      </c>
      <c r="J242" s="51" t="s">
        <v>2654</v>
      </c>
      <c r="K242" s="15">
        <v>0</v>
      </c>
      <c r="L242" s="51" t="s">
        <v>2371</v>
      </c>
      <c r="M242" s="51" t="s">
        <v>2101</v>
      </c>
      <c r="N242" s="51" t="s">
        <v>2102</v>
      </c>
      <c r="O242" s="51" t="s">
        <v>67</v>
      </c>
      <c r="P242" s="51" t="s">
        <v>67</v>
      </c>
      <c r="Q242" s="45">
        <v>46274.85621189815</v>
      </c>
      <c r="R242" s="46">
        <v>46305</v>
      </c>
      <c r="S242" s="46">
        <v>46300</v>
      </c>
      <c r="T242" s="51" t="s">
        <v>6119</v>
      </c>
      <c r="U242" s="15"/>
      <c r="V242" s="15"/>
      <c r="W242" s="15"/>
      <c r="X242" s="15"/>
      <c r="Y242" s="15"/>
      <c r="Z242" s="15"/>
      <c r="AA242" s="46"/>
      <c r="AB242" s="15"/>
      <c r="AC242" s="15"/>
      <c r="AD242" s="15"/>
      <c r="AE242" s="15"/>
      <c r="AF242" s="15"/>
      <c r="AG242" s="15"/>
      <c r="AH242" s="15"/>
      <c r="AI242" s="46"/>
      <c r="AJ242" s="51" t="s">
        <v>67</v>
      </c>
      <c r="AK242" s="51" t="s">
        <v>67</v>
      </c>
      <c r="AL242" s="15"/>
      <c r="AM242" s="51" t="s">
        <v>67</v>
      </c>
      <c r="AN242" s="51" t="s">
        <v>67</v>
      </c>
      <c r="AO242" s="50" t="s">
        <v>9554</v>
      </c>
    </row>
    <row r="243" spans="1:41" hidden="1" x14ac:dyDescent="0.25">
      <c r="A243" s="51" t="s">
        <v>2402</v>
      </c>
      <c r="B243" s="51" t="s">
        <v>133</v>
      </c>
      <c r="C243" s="54" t="s">
        <v>605</v>
      </c>
      <c r="D243" s="51" t="s">
        <v>130</v>
      </c>
      <c r="E243" s="20">
        <v>10000</v>
      </c>
      <c r="F243" s="20">
        <v>1206.06</v>
      </c>
      <c r="G243" s="20">
        <v>3793.94</v>
      </c>
      <c r="H243" s="20">
        <v>0</v>
      </c>
      <c r="I243" s="20">
        <v>1206.06</v>
      </c>
      <c r="J243" s="51" t="s">
        <v>2654</v>
      </c>
      <c r="K243" s="15">
        <v>0</v>
      </c>
      <c r="L243" s="51" t="s">
        <v>2371</v>
      </c>
      <c r="M243" s="51" t="s">
        <v>1759</v>
      </c>
      <c r="N243" s="51" t="s">
        <v>1760</v>
      </c>
      <c r="O243" s="51" t="s">
        <v>67</v>
      </c>
      <c r="P243" s="51" t="s">
        <v>67</v>
      </c>
      <c r="Q243" s="45">
        <v>46274.86301922454</v>
      </c>
      <c r="R243" s="46">
        <v>46305</v>
      </c>
      <c r="S243" s="46">
        <v>46300</v>
      </c>
      <c r="T243" s="51" t="s">
        <v>6119</v>
      </c>
      <c r="U243" s="15"/>
      <c r="V243" s="15"/>
      <c r="W243" s="15"/>
      <c r="X243" s="15"/>
      <c r="Y243" s="15"/>
      <c r="Z243" s="15"/>
      <c r="AA243" s="46"/>
      <c r="AB243" s="15"/>
      <c r="AC243" s="15"/>
      <c r="AD243" s="15"/>
      <c r="AE243" s="15"/>
      <c r="AF243" s="15"/>
      <c r="AG243" s="15"/>
      <c r="AH243" s="15"/>
      <c r="AI243" s="46"/>
      <c r="AJ243" s="51" t="s">
        <v>67</v>
      </c>
      <c r="AK243" s="51" t="s">
        <v>67</v>
      </c>
      <c r="AL243" s="15"/>
      <c r="AM243" s="51" t="s">
        <v>67</v>
      </c>
      <c r="AN243" s="51" t="s">
        <v>67</v>
      </c>
      <c r="AO243" s="50" t="s">
        <v>9554</v>
      </c>
    </row>
    <row r="244" spans="1:41" hidden="1" x14ac:dyDescent="0.25">
      <c r="A244" s="51" t="s">
        <v>2403</v>
      </c>
      <c r="B244" s="51" t="s">
        <v>149</v>
      </c>
      <c r="C244" s="54" t="s">
        <v>605</v>
      </c>
      <c r="D244" s="51" t="s">
        <v>146</v>
      </c>
      <c r="E244" s="20">
        <v>1151.7</v>
      </c>
      <c r="F244" s="20">
        <v>2054.36</v>
      </c>
      <c r="G244" s="20">
        <v>2945.64</v>
      </c>
      <c r="H244" s="20">
        <v>0</v>
      </c>
      <c r="I244" s="20">
        <v>2054.36</v>
      </c>
      <c r="J244" s="51" t="s">
        <v>2654</v>
      </c>
      <c r="K244" s="15">
        <v>0</v>
      </c>
      <c r="L244" s="51" t="s">
        <v>2371</v>
      </c>
      <c r="M244" s="51" t="s">
        <v>1917</v>
      </c>
      <c r="N244" s="51" t="s">
        <v>1918</v>
      </c>
      <c r="O244" s="51" t="s">
        <v>67</v>
      </c>
      <c r="P244" s="51" t="s">
        <v>67</v>
      </c>
      <c r="Q244" s="45">
        <v>46274.866391550924</v>
      </c>
      <c r="R244" s="46">
        <v>46305</v>
      </c>
      <c r="S244" s="46">
        <v>46300</v>
      </c>
      <c r="T244" s="51" t="s">
        <v>6119</v>
      </c>
      <c r="U244" s="15"/>
      <c r="V244" s="15"/>
      <c r="W244" s="15"/>
      <c r="X244" s="15"/>
      <c r="Y244" s="15"/>
      <c r="Z244" s="15"/>
      <c r="AA244" s="46"/>
      <c r="AB244" s="15"/>
      <c r="AC244" s="15"/>
      <c r="AD244" s="15"/>
      <c r="AE244" s="15"/>
      <c r="AF244" s="15"/>
      <c r="AG244" s="15"/>
      <c r="AH244" s="15"/>
      <c r="AI244" s="46"/>
      <c r="AJ244" s="51" t="s">
        <v>67</v>
      </c>
      <c r="AK244" s="51" t="s">
        <v>67</v>
      </c>
      <c r="AL244" s="15"/>
      <c r="AM244" s="51" t="s">
        <v>67</v>
      </c>
      <c r="AN244" s="51" t="s">
        <v>67</v>
      </c>
      <c r="AO244" s="50" t="s">
        <v>9554</v>
      </c>
    </row>
    <row r="245" spans="1:41" hidden="1" x14ac:dyDescent="0.25">
      <c r="A245" s="51" t="s">
        <v>2404</v>
      </c>
      <c r="B245" s="51" t="s">
        <v>164</v>
      </c>
      <c r="C245" s="54" t="s">
        <v>605</v>
      </c>
      <c r="D245" s="51" t="s">
        <v>161</v>
      </c>
      <c r="E245" s="20">
        <v>1661.7</v>
      </c>
      <c r="F245" s="20">
        <v>1544.36</v>
      </c>
      <c r="G245" s="20">
        <v>3455.64</v>
      </c>
      <c r="H245" s="20">
        <v>0</v>
      </c>
      <c r="I245" s="20">
        <v>1544.36</v>
      </c>
      <c r="J245" s="51" t="s">
        <v>2654</v>
      </c>
      <c r="K245" s="15">
        <v>0</v>
      </c>
      <c r="L245" s="51" t="s">
        <v>2371</v>
      </c>
      <c r="M245" s="51" t="s">
        <v>2072</v>
      </c>
      <c r="N245" s="51" t="s">
        <v>2073</v>
      </c>
      <c r="O245" s="51" t="s">
        <v>67</v>
      </c>
      <c r="P245" s="51" t="s">
        <v>67</v>
      </c>
      <c r="Q245" s="45">
        <v>46274.874759479164</v>
      </c>
      <c r="R245" s="46">
        <v>46305</v>
      </c>
      <c r="S245" s="46">
        <v>46300</v>
      </c>
      <c r="T245" s="51" t="s">
        <v>6119</v>
      </c>
      <c r="U245" s="15"/>
      <c r="V245" s="15"/>
      <c r="W245" s="15"/>
      <c r="X245" s="15"/>
      <c r="Y245" s="15"/>
      <c r="Z245" s="15"/>
      <c r="AA245" s="46"/>
      <c r="AB245" s="15"/>
      <c r="AC245" s="15"/>
      <c r="AD245" s="15"/>
      <c r="AE245" s="15"/>
      <c r="AF245" s="15"/>
      <c r="AG245" s="15"/>
      <c r="AH245" s="15"/>
      <c r="AI245" s="46"/>
      <c r="AJ245" s="51" t="s">
        <v>67</v>
      </c>
      <c r="AK245" s="51" t="s">
        <v>67</v>
      </c>
      <c r="AL245" s="15"/>
      <c r="AM245" s="51" t="s">
        <v>67</v>
      </c>
      <c r="AN245" s="51" t="s">
        <v>67</v>
      </c>
      <c r="AO245" s="50" t="s">
        <v>9554</v>
      </c>
    </row>
    <row r="246" spans="1:41" hidden="1" x14ac:dyDescent="0.25">
      <c r="A246" s="51" t="s">
        <v>2405</v>
      </c>
      <c r="B246" s="51" t="s">
        <v>193</v>
      </c>
      <c r="C246" s="54" t="s">
        <v>605</v>
      </c>
      <c r="D246" s="51" t="s">
        <v>190</v>
      </c>
      <c r="E246" s="20">
        <v>2047.97</v>
      </c>
      <c r="F246" s="20">
        <v>1714.36</v>
      </c>
      <c r="G246" s="20">
        <v>3285.64</v>
      </c>
      <c r="H246" s="20">
        <v>0</v>
      </c>
      <c r="I246" s="20">
        <v>1714.36</v>
      </c>
      <c r="J246" s="51" t="s">
        <v>2654</v>
      </c>
      <c r="K246" s="15">
        <v>0</v>
      </c>
      <c r="L246" s="51" t="s">
        <v>2371</v>
      </c>
      <c r="M246" s="51" t="s">
        <v>2036</v>
      </c>
      <c r="N246" s="51" t="s">
        <v>2037</v>
      </c>
      <c r="O246" s="51" t="s">
        <v>67</v>
      </c>
      <c r="P246" s="51" t="s">
        <v>67</v>
      </c>
      <c r="Q246" s="45">
        <v>46274.880745706017</v>
      </c>
      <c r="R246" s="46">
        <v>46305</v>
      </c>
      <c r="S246" s="46">
        <v>46300</v>
      </c>
      <c r="T246" s="51" t="s">
        <v>6119</v>
      </c>
      <c r="U246" s="15"/>
      <c r="V246" s="15"/>
      <c r="W246" s="15"/>
      <c r="X246" s="15"/>
      <c r="Y246" s="15"/>
      <c r="Z246" s="15"/>
      <c r="AA246" s="46"/>
      <c r="AB246" s="15"/>
      <c r="AC246" s="15"/>
      <c r="AD246" s="15"/>
      <c r="AE246" s="15"/>
      <c r="AF246" s="15"/>
      <c r="AG246" s="15"/>
      <c r="AH246" s="15"/>
      <c r="AI246" s="46"/>
      <c r="AJ246" s="51" t="s">
        <v>67</v>
      </c>
      <c r="AK246" s="51" t="s">
        <v>67</v>
      </c>
      <c r="AL246" s="15"/>
      <c r="AM246" s="51" t="s">
        <v>67</v>
      </c>
      <c r="AN246" s="51" t="s">
        <v>67</v>
      </c>
      <c r="AO246" s="50" t="s">
        <v>9554</v>
      </c>
    </row>
    <row r="247" spans="1:41" hidden="1" x14ac:dyDescent="0.25">
      <c r="A247" s="51" t="s">
        <v>2406</v>
      </c>
      <c r="B247" s="51" t="s">
        <v>179</v>
      </c>
      <c r="C247" s="54" t="s">
        <v>605</v>
      </c>
      <c r="D247" s="51" t="s">
        <v>176</v>
      </c>
      <c r="E247" s="20">
        <v>2321.84</v>
      </c>
      <c r="F247" s="20">
        <v>1206.06</v>
      </c>
      <c r="G247" s="20">
        <v>3793.94</v>
      </c>
      <c r="H247" s="20">
        <v>0</v>
      </c>
      <c r="I247" s="20">
        <v>1206.06</v>
      </c>
      <c r="J247" s="51" t="s">
        <v>2654</v>
      </c>
      <c r="K247" s="15">
        <v>0</v>
      </c>
      <c r="L247" s="51" t="s">
        <v>2371</v>
      </c>
      <c r="M247" s="51" t="s">
        <v>1360</v>
      </c>
      <c r="N247" s="51" t="s">
        <v>1326</v>
      </c>
      <c r="O247" s="51" t="s">
        <v>67</v>
      </c>
      <c r="P247" s="51" t="s">
        <v>67</v>
      </c>
      <c r="Q247" s="45">
        <v>46274.901166759257</v>
      </c>
      <c r="R247" s="46">
        <v>46305</v>
      </c>
      <c r="S247" s="46">
        <v>46300</v>
      </c>
      <c r="T247" s="51" t="s">
        <v>6119</v>
      </c>
      <c r="U247" s="15"/>
      <c r="V247" s="15"/>
      <c r="W247" s="15"/>
      <c r="X247" s="15"/>
      <c r="Y247" s="15"/>
      <c r="Z247" s="15"/>
      <c r="AA247" s="46"/>
      <c r="AB247" s="15"/>
      <c r="AC247" s="15"/>
      <c r="AD247" s="15"/>
      <c r="AE247" s="15"/>
      <c r="AF247" s="15"/>
      <c r="AG247" s="15"/>
      <c r="AH247" s="15"/>
      <c r="AI247" s="46"/>
      <c r="AJ247" s="51" t="s">
        <v>67</v>
      </c>
      <c r="AK247" s="51" t="s">
        <v>67</v>
      </c>
      <c r="AL247" s="15"/>
      <c r="AM247" s="51" t="s">
        <v>67</v>
      </c>
      <c r="AN247" s="51" t="s">
        <v>67</v>
      </c>
      <c r="AO247" s="50" t="s">
        <v>9554</v>
      </c>
    </row>
    <row r="248" spans="1:41" hidden="1" x14ac:dyDescent="0.25">
      <c r="A248" s="51" t="s">
        <v>2407</v>
      </c>
      <c r="B248" s="51" t="s">
        <v>206</v>
      </c>
      <c r="C248" s="54" t="s">
        <v>605</v>
      </c>
      <c r="D248" s="51" t="s">
        <v>203</v>
      </c>
      <c r="E248" s="20">
        <v>10000</v>
      </c>
      <c r="F248" s="20">
        <v>1206.06</v>
      </c>
      <c r="G248" s="20">
        <v>3793.94</v>
      </c>
      <c r="H248" s="20">
        <v>0</v>
      </c>
      <c r="I248" s="20">
        <v>1206.06</v>
      </c>
      <c r="J248" s="51" t="s">
        <v>2654</v>
      </c>
      <c r="K248" s="15">
        <v>0</v>
      </c>
      <c r="L248" s="51" t="s">
        <v>2371</v>
      </c>
      <c r="M248" s="51" t="s">
        <v>1843</v>
      </c>
      <c r="N248" s="51" t="s">
        <v>1452</v>
      </c>
      <c r="O248" s="51" t="s">
        <v>67</v>
      </c>
      <c r="P248" s="51" t="s">
        <v>67</v>
      </c>
      <c r="Q248" s="45">
        <v>46274.922464618059</v>
      </c>
      <c r="R248" s="46">
        <v>46305</v>
      </c>
      <c r="S248" s="46">
        <v>46300</v>
      </c>
      <c r="T248" s="51" t="s">
        <v>6119</v>
      </c>
      <c r="U248" s="15"/>
      <c r="V248" s="15"/>
      <c r="W248" s="15"/>
      <c r="X248" s="15"/>
      <c r="Y248" s="15"/>
      <c r="Z248" s="15"/>
      <c r="AA248" s="46"/>
      <c r="AB248" s="15"/>
      <c r="AC248" s="15"/>
      <c r="AD248" s="15"/>
      <c r="AE248" s="15"/>
      <c r="AF248" s="15"/>
      <c r="AG248" s="15"/>
      <c r="AH248" s="15"/>
      <c r="AI248" s="46"/>
      <c r="AJ248" s="51" t="s">
        <v>67</v>
      </c>
      <c r="AK248" s="51" t="s">
        <v>67</v>
      </c>
      <c r="AL248" s="15"/>
      <c r="AM248" s="51" t="s">
        <v>67</v>
      </c>
      <c r="AN248" s="51" t="s">
        <v>67</v>
      </c>
      <c r="AO248" s="50" t="s">
        <v>9554</v>
      </c>
    </row>
    <row r="249" spans="1:41" hidden="1" x14ac:dyDescent="0.25">
      <c r="A249" s="51" t="s">
        <v>2408</v>
      </c>
      <c r="B249" s="51" t="s">
        <v>220</v>
      </c>
      <c r="C249" s="54" t="s">
        <v>605</v>
      </c>
      <c r="D249" s="51" t="s">
        <v>217</v>
      </c>
      <c r="E249" s="20">
        <v>1661.7</v>
      </c>
      <c r="F249" s="20">
        <v>3072.66</v>
      </c>
      <c r="G249" s="20">
        <v>1927.34</v>
      </c>
      <c r="H249" s="20">
        <v>0</v>
      </c>
      <c r="I249" s="20">
        <v>3072.66</v>
      </c>
      <c r="J249" s="51" t="s">
        <v>2654</v>
      </c>
      <c r="K249" s="15">
        <v>0</v>
      </c>
      <c r="L249" s="51" t="s">
        <v>2371</v>
      </c>
      <c r="M249" s="51" t="s">
        <v>2025</v>
      </c>
      <c r="N249" s="51" t="s">
        <v>2026</v>
      </c>
      <c r="O249" s="51" t="s">
        <v>2027</v>
      </c>
      <c r="P249" s="51" t="s">
        <v>2028</v>
      </c>
      <c r="Q249" s="45">
        <v>46274.944994768521</v>
      </c>
      <c r="R249" s="46">
        <v>46305</v>
      </c>
      <c r="S249" s="46">
        <v>46300</v>
      </c>
      <c r="T249" s="51" t="s">
        <v>6119</v>
      </c>
      <c r="U249" s="15"/>
      <c r="V249" s="15"/>
      <c r="W249" s="15"/>
      <c r="X249" s="15"/>
      <c r="Y249" s="15"/>
      <c r="Z249" s="15"/>
      <c r="AA249" s="46"/>
      <c r="AB249" s="15"/>
      <c r="AC249" s="15"/>
      <c r="AD249" s="15"/>
      <c r="AE249" s="15"/>
      <c r="AF249" s="15"/>
      <c r="AG249" s="15"/>
      <c r="AH249" s="15"/>
      <c r="AI249" s="46"/>
      <c r="AJ249" s="51" t="s">
        <v>67</v>
      </c>
      <c r="AK249" s="51" t="s">
        <v>67</v>
      </c>
      <c r="AL249" s="15"/>
      <c r="AM249" s="51" t="s">
        <v>67</v>
      </c>
      <c r="AN249" s="51" t="s">
        <v>67</v>
      </c>
      <c r="AO249" s="50" t="s">
        <v>9554</v>
      </c>
    </row>
    <row r="250" spans="1:41" hidden="1" x14ac:dyDescent="0.25">
      <c r="A250" s="51" t="s">
        <v>2409</v>
      </c>
      <c r="B250" s="51" t="s">
        <v>234</v>
      </c>
      <c r="C250" s="54" t="s">
        <v>605</v>
      </c>
      <c r="D250" s="51" t="s">
        <v>231</v>
      </c>
      <c r="E250" s="20">
        <v>10000</v>
      </c>
      <c r="F250" s="20">
        <v>2734.36</v>
      </c>
      <c r="G250" s="20">
        <v>2265.64</v>
      </c>
      <c r="H250" s="20">
        <v>0</v>
      </c>
      <c r="I250" s="20">
        <v>2734.36</v>
      </c>
      <c r="J250" s="51" t="s">
        <v>2654</v>
      </c>
      <c r="K250" s="15">
        <v>0</v>
      </c>
      <c r="L250" s="51" t="s">
        <v>2371</v>
      </c>
      <c r="M250" s="51" t="s">
        <v>1939</v>
      </c>
      <c r="N250" s="51" t="s">
        <v>1940</v>
      </c>
      <c r="O250" s="51" t="s">
        <v>67</v>
      </c>
      <c r="P250" s="51" t="s">
        <v>67</v>
      </c>
      <c r="Q250" s="45">
        <v>46274.949902511573</v>
      </c>
      <c r="R250" s="46">
        <v>46305</v>
      </c>
      <c r="S250" s="46">
        <v>46300</v>
      </c>
      <c r="T250" s="51" t="s">
        <v>6119</v>
      </c>
      <c r="U250" s="15"/>
      <c r="V250" s="15"/>
      <c r="W250" s="15"/>
      <c r="X250" s="15"/>
      <c r="Y250" s="15"/>
      <c r="Z250" s="15"/>
      <c r="AA250" s="46"/>
      <c r="AB250" s="15"/>
      <c r="AC250" s="15"/>
      <c r="AD250" s="15"/>
      <c r="AE250" s="15"/>
      <c r="AF250" s="15"/>
      <c r="AG250" s="15"/>
      <c r="AH250" s="15"/>
      <c r="AI250" s="46"/>
      <c r="AJ250" s="51" t="s">
        <v>67</v>
      </c>
      <c r="AK250" s="51" t="s">
        <v>67</v>
      </c>
      <c r="AL250" s="15"/>
      <c r="AM250" s="51" t="s">
        <v>67</v>
      </c>
      <c r="AN250" s="51" t="s">
        <v>67</v>
      </c>
      <c r="AO250" s="50" t="s">
        <v>9554</v>
      </c>
    </row>
    <row r="251" spans="1:41" hidden="1" x14ac:dyDescent="0.25">
      <c r="A251" s="51" t="s">
        <v>2410</v>
      </c>
      <c r="B251" s="51" t="s">
        <v>248</v>
      </c>
      <c r="C251" s="54" t="s">
        <v>605</v>
      </c>
      <c r="D251" s="51" t="s">
        <v>245</v>
      </c>
      <c r="E251" s="20">
        <v>1678.16</v>
      </c>
      <c r="F251" s="20">
        <v>906.06</v>
      </c>
      <c r="G251" s="20">
        <v>4093.94</v>
      </c>
      <c r="H251" s="20">
        <v>0</v>
      </c>
      <c r="I251" s="20">
        <v>906.06</v>
      </c>
      <c r="J251" s="51" t="s">
        <v>2654</v>
      </c>
      <c r="K251" s="15">
        <v>0</v>
      </c>
      <c r="L251" s="51" t="s">
        <v>2371</v>
      </c>
      <c r="M251" s="51" t="s">
        <v>1358</v>
      </c>
      <c r="N251" s="51" t="s">
        <v>1359</v>
      </c>
      <c r="O251" s="51" t="s">
        <v>67</v>
      </c>
      <c r="P251" s="51" t="s">
        <v>67</v>
      </c>
      <c r="Q251" s="45">
        <v>46274.973782199071</v>
      </c>
      <c r="R251" s="46">
        <v>46305</v>
      </c>
      <c r="S251" s="46">
        <v>46300</v>
      </c>
      <c r="T251" s="51" t="s">
        <v>6119</v>
      </c>
      <c r="U251" s="15"/>
      <c r="V251" s="15"/>
      <c r="W251" s="15"/>
      <c r="X251" s="15"/>
      <c r="Y251" s="15"/>
      <c r="Z251" s="15"/>
      <c r="AA251" s="46"/>
      <c r="AB251" s="15"/>
      <c r="AC251" s="15"/>
      <c r="AD251" s="15"/>
      <c r="AE251" s="15"/>
      <c r="AF251" s="15"/>
      <c r="AG251" s="15"/>
      <c r="AH251" s="15"/>
      <c r="AI251" s="46"/>
      <c r="AJ251" s="51" t="s">
        <v>67</v>
      </c>
      <c r="AK251" s="51" t="s">
        <v>67</v>
      </c>
      <c r="AL251" s="15"/>
      <c r="AM251" s="51" t="s">
        <v>67</v>
      </c>
      <c r="AN251" s="51" t="s">
        <v>67</v>
      </c>
      <c r="AO251" s="50" t="s">
        <v>9554</v>
      </c>
    </row>
    <row r="252" spans="1:41" hidden="1" x14ac:dyDescent="0.25">
      <c r="A252" s="51" t="s">
        <v>2411</v>
      </c>
      <c r="B252" s="51" t="s">
        <v>394</v>
      </c>
      <c r="C252" s="54" t="s">
        <v>605</v>
      </c>
      <c r="D252" s="51" t="s">
        <v>391</v>
      </c>
      <c r="E252" s="20">
        <v>10000</v>
      </c>
      <c r="F252" s="20">
        <v>2434.36</v>
      </c>
      <c r="G252" s="20">
        <v>2565.64</v>
      </c>
      <c r="H252" s="20">
        <v>0</v>
      </c>
      <c r="I252" s="20">
        <v>2434.36</v>
      </c>
      <c r="J252" s="51" t="s">
        <v>2654</v>
      </c>
      <c r="K252" s="15">
        <v>0</v>
      </c>
      <c r="L252" s="51" t="s">
        <v>2371</v>
      </c>
      <c r="M252" s="51" t="s">
        <v>1997</v>
      </c>
      <c r="N252" s="51" t="s">
        <v>1998</v>
      </c>
      <c r="O252" s="51" t="s">
        <v>67</v>
      </c>
      <c r="P252" s="51" t="s">
        <v>67</v>
      </c>
      <c r="Q252" s="45">
        <v>46274.981324664353</v>
      </c>
      <c r="R252" s="46">
        <v>46305</v>
      </c>
      <c r="S252" s="46">
        <v>46300</v>
      </c>
      <c r="T252" s="51" t="s">
        <v>6119</v>
      </c>
      <c r="U252" s="15"/>
      <c r="V252" s="15"/>
      <c r="W252" s="15"/>
      <c r="X252" s="15"/>
      <c r="Y252" s="15"/>
      <c r="Z252" s="15"/>
      <c r="AA252" s="46"/>
      <c r="AB252" s="15"/>
      <c r="AC252" s="15"/>
      <c r="AD252" s="15"/>
      <c r="AE252" s="15"/>
      <c r="AF252" s="15"/>
      <c r="AG252" s="15"/>
      <c r="AH252" s="15"/>
      <c r="AI252" s="46"/>
      <c r="AJ252" s="51" t="s">
        <v>67</v>
      </c>
      <c r="AK252" s="51" t="s">
        <v>67</v>
      </c>
      <c r="AL252" s="15"/>
      <c r="AM252" s="51" t="s">
        <v>67</v>
      </c>
      <c r="AN252" s="51" t="s">
        <v>67</v>
      </c>
      <c r="AO252" s="50" t="s">
        <v>9554</v>
      </c>
    </row>
    <row r="253" spans="1:41" hidden="1" x14ac:dyDescent="0.25">
      <c r="A253" s="51" t="s">
        <v>2412</v>
      </c>
      <c r="B253" s="51" t="s">
        <v>261</v>
      </c>
      <c r="C253" s="54" t="s">
        <v>605</v>
      </c>
      <c r="D253" s="51" t="s">
        <v>258</v>
      </c>
      <c r="E253" s="20">
        <v>10000</v>
      </c>
      <c r="F253" s="20">
        <v>810.32</v>
      </c>
      <c r="G253" s="20">
        <v>4189.68</v>
      </c>
      <c r="H253" s="20">
        <v>0</v>
      </c>
      <c r="I253" s="20">
        <v>810.32</v>
      </c>
      <c r="J253" s="51" t="s">
        <v>2654</v>
      </c>
      <c r="K253" s="15">
        <v>0</v>
      </c>
      <c r="L253" s="51" t="s">
        <v>2371</v>
      </c>
      <c r="M253" s="51" t="s">
        <v>1705</v>
      </c>
      <c r="N253" s="51" t="s">
        <v>1706</v>
      </c>
      <c r="O253" s="51" t="s">
        <v>67</v>
      </c>
      <c r="P253" s="51" t="s">
        <v>67</v>
      </c>
      <c r="Q253" s="45">
        <v>46274.991066493058</v>
      </c>
      <c r="R253" s="46">
        <v>46305</v>
      </c>
      <c r="S253" s="46">
        <v>46300</v>
      </c>
      <c r="T253" s="51" t="s">
        <v>6119</v>
      </c>
      <c r="U253" s="15"/>
      <c r="V253" s="15"/>
      <c r="W253" s="15"/>
      <c r="X253" s="15"/>
      <c r="Y253" s="15"/>
      <c r="Z253" s="15"/>
      <c r="AA253" s="46"/>
      <c r="AB253" s="15"/>
      <c r="AC253" s="15"/>
      <c r="AD253" s="15"/>
      <c r="AE253" s="15"/>
      <c r="AF253" s="15"/>
      <c r="AG253" s="15"/>
      <c r="AH253" s="15"/>
      <c r="AI253" s="46"/>
      <c r="AJ253" s="51" t="s">
        <v>67</v>
      </c>
      <c r="AK253" s="51" t="s">
        <v>67</v>
      </c>
      <c r="AL253" s="15"/>
      <c r="AM253" s="51" t="s">
        <v>67</v>
      </c>
      <c r="AN253" s="51" t="s">
        <v>67</v>
      </c>
      <c r="AO253" s="50" t="s">
        <v>9554</v>
      </c>
    </row>
    <row r="254" spans="1:41" hidden="1" x14ac:dyDescent="0.25">
      <c r="A254" s="51" t="s">
        <v>2413</v>
      </c>
      <c r="B254" s="51" t="s">
        <v>274</v>
      </c>
      <c r="C254" s="54" t="s">
        <v>605</v>
      </c>
      <c r="D254" s="51" t="s">
        <v>271</v>
      </c>
      <c r="E254" s="20">
        <v>10000</v>
      </c>
      <c r="F254" s="20">
        <v>629.41</v>
      </c>
      <c r="G254" s="20">
        <v>4370.59</v>
      </c>
      <c r="H254" s="20">
        <v>0</v>
      </c>
      <c r="I254" s="20">
        <v>629.41</v>
      </c>
      <c r="J254" s="51" t="s">
        <v>2654</v>
      </c>
      <c r="K254" s="15">
        <v>0</v>
      </c>
      <c r="L254" s="51" t="s">
        <v>2371</v>
      </c>
      <c r="M254" s="51" t="s">
        <v>2414</v>
      </c>
      <c r="N254" s="51" t="s">
        <v>2415</v>
      </c>
      <c r="O254" s="51" t="s">
        <v>67</v>
      </c>
      <c r="P254" s="51" t="s">
        <v>67</v>
      </c>
      <c r="Q254" s="45">
        <v>46275.50468607639</v>
      </c>
      <c r="R254" s="46">
        <v>46305</v>
      </c>
      <c r="S254" s="46">
        <v>46300</v>
      </c>
      <c r="T254" s="51" t="s">
        <v>6119</v>
      </c>
      <c r="U254" s="15"/>
      <c r="V254" s="15"/>
      <c r="W254" s="15"/>
      <c r="X254" s="15"/>
      <c r="Y254" s="15"/>
      <c r="Z254" s="15"/>
      <c r="AA254" s="46"/>
      <c r="AB254" s="15"/>
      <c r="AC254" s="15"/>
      <c r="AD254" s="15"/>
      <c r="AE254" s="15"/>
      <c r="AF254" s="15"/>
      <c r="AG254" s="15"/>
      <c r="AH254" s="15"/>
      <c r="AI254" s="46"/>
      <c r="AJ254" s="51" t="s">
        <v>67</v>
      </c>
      <c r="AK254" s="51" t="s">
        <v>67</v>
      </c>
      <c r="AL254" s="15"/>
      <c r="AM254" s="51" t="s">
        <v>67</v>
      </c>
      <c r="AN254" s="51" t="s">
        <v>67</v>
      </c>
      <c r="AO254" s="50" t="s">
        <v>9554</v>
      </c>
    </row>
    <row r="255" spans="1:41" hidden="1" x14ac:dyDescent="0.25">
      <c r="A255" s="51" t="s">
        <v>2416</v>
      </c>
      <c r="B255" s="51" t="s">
        <v>287</v>
      </c>
      <c r="C255" s="54" t="s">
        <v>605</v>
      </c>
      <c r="D255" s="51" t="s">
        <v>284</v>
      </c>
      <c r="E255" s="20">
        <v>10000</v>
      </c>
      <c r="F255" s="20">
        <v>629.41</v>
      </c>
      <c r="G255" s="20">
        <v>4370.59</v>
      </c>
      <c r="H255" s="20">
        <v>0</v>
      </c>
      <c r="I255" s="20">
        <v>629.41</v>
      </c>
      <c r="J255" s="51" t="s">
        <v>2654</v>
      </c>
      <c r="K255" s="15">
        <v>0</v>
      </c>
      <c r="L255" s="51" t="s">
        <v>2371</v>
      </c>
      <c r="M255" s="51" t="s">
        <v>2417</v>
      </c>
      <c r="N255" s="51" t="s">
        <v>2418</v>
      </c>
      <c r="O255" s="51" t="s">
        <v>67</v>
      </c>
      <c r="P255" s="51" t="s">
        <v>67</v>
      </c>
      <c r="Q255" s="45">
        <v>46275.511498888889</v>
      </c>
      <c r="R255" s="46">
        <v>46305</v>
      </c>
      <c r="S255" s="46">
        <v>46300</v>
      </c>
      <c r="T255" s="51" t="s">
        <v>6119</v>
      </c>
      <c r="U255" s="15"/>
      <c r="V255" s="15"/>
      <c r="W255" s="15"/>
      <c r="X255" s="15"/>
      <c r="Y255" s="15"/>
      <c r="Z255" s="15"/>
      <c r="AA255" s="46"/>
      <c r="AB255" s="15"/>
      <c r="AC255" s="15"/>
      <c r="AD255" s="15"/>
      <c r="AE255" s="15"/>
      <c r="AF255" s="15"/>
      <c r="AG255" s="15"/>
      <c r="AH255" s="15"/>
      <c r="AI255" s="46"/>
      <c r="AJ255" s="51" t="s">
        <v>67</v>
      </c>
      <c r="AK255" s="51" t="s">
        <v>67</v>
      </c>
      <c r="AL255" s="15"/>
      <c r="AM255" s="51" t="s">
        <v>67</v>
      </c>
      <c r="AN255" s="51" t="s">
        <v>67</v>
      </c>
      <c r="AO255" s="50" t="s">
        <v>9554</v>
      </c>
    </row>
    <row r="256" spans="1:41" hidden="1" x14ac:dyDescent="0.25">
      <c r="A256" s="51" t="s">
        <v>2419</v>
      </c>
      <c r="B256" s="51" t="s">
        <v>327</v>
      </c>
      <c r="C256" s="54" t="s">
        <v>605</v>
      </c>
      <c r="D256" s="51" t="s">
        <v>324</v>
      </c>
      <c r="E256" s="20">
        <v>10000</v>
      </c>
      <c r="F256" s="20">
        <v>151.01</v>
      </c>
      <c r="G256" s="20">
        <v>4848.99</v>
      </c>
      <c r="H256" s="20">
        <v>0</v>
      </c>
      <c r="I256" s="20">
        <v>151.01</v>
      </c>
      <c r="J256" s="51" t="s">
        <v>2654</v>
      </c>
      <c r="K256" s="15">
        <v>0</v>
      </c>
      <c r="L256" s="51" t="s">
        <v>2371</v>
      </c>
      <c r="M256" s="51" t="s">
        <v>9549</v>
      </c>
      <c r="N256" s="51" t="s">
        <v>9550</v>
      </c>
      <c r="O256" s="51" t="s">
        <v>67</v>
      </c>
      <c r="P256" s="51" t="s">
        <v>67</v>
      </c>
      <c r="Q256" s="45">
        <v>46276.623914490738</v>
      </c>
      <c r="R256" s="46">
        <v>46305</v>
      </c>
      <c r="S256" s="46">
        <v>46300</v>
      </c>
      <c r="T256" s="51" t="s">
        <v>6119</v>
      </c>
      <c r="U256" s="15"/>
      <c r="V256" s="15"/>
      <c r="W256" s="15"/>
      <c r="X256" s="15"/>
      <c r="Y256" s="15"/>
      <c r="Z256" s="15"/>
      <c r="AA256" s="46"/>
      <c r="AB256" s="15"/>
      <c r="AC256" s="15"/>
      <c r="AD256" s="15"/>
      <c r="AE256" s="15"/>
      <c r="AF256" s="15"/>
      <c r="AG256" s="15"/>
      <c r="AH256" s="15"/>
      <c r="AI256" s="46"/>
      <c r="AJ256" s="51" t="s">
        <v>67</v>
      </c>
      <c r="AK256" s="51" t="s">
        <v>67</v>
      </c>
      <c r="AL256" s="15"/>
      <c r="AM256" s="51" t="s">
        <v>67</v>
      </c>
      <c r="AN256" s="51" t="s">
        <v>67</v>
      </c>
      <c r="AO256" s="50" t="s">
        <v>9554</v>
      </c>
    </row>
    <row r="257" spans="1:41" hidden="1" x14ac:dyDescent="0.25">
      <c r="A257" s="51" t="s">
        <v>2420</v>
      </c>
      <c r="B257" s="51" t="s">
        <v>300</v>
      </c>
      <c r="C257" s="54" t="s">
        <v>605</v>
      </c>
      <c r="D257" s="51" t="s">
        <v>297</v>
      </c>
      <c r="E257" s="20">
        <v>1251.5</v>
      </c>
      <c r="F257" s="20">
        <v>899.51</v>
      </c>
      <c r="G257" s="20">
        <v>4100.49</v>
      </c>
      <c r="H257" s="20">
        <v>0</v>
      </c>
      <c r="I257" s="20">
        <v>899.51</v>
      </c>
      <c r="J257" s="51" t="s">
        <v>2654</v>
      </c>
      <c r="K257" s="15">
        <v>0</v>
      </c>
      <c r="L257" s="51" t="s">
        <v>2371</v>
      </c>
      <c r="M257" s="51" t="s">
        <v>9551</v>
      </c>
      <c r="N257" s="51" t="s">
        <v>9552</v>
      </c>
      <c r="O257" s="51" t="s">
        <v>67</v>
      </c>
      <c r="P257" s="51" t="s">
        <v>67</v>
      </c>
      <c r="Q257" s="45">
        <v>46276.628953796295</v>
      </c>
      <c r="R257" s="46">
        <v>46305</v>
      </c>
      <c r="S257" s="46">
        <v>46300</v>
      </c>
      <c r="T257" s="51" t="s">
        <v>6119</v>
      </c>
      <c r="U257" s="15"/>
      <c r="V257" s="15"/>
      <c r="W257" s="15"/>
      <c r="X257" s="15"/>
      <c r="Y257" s="15"/>
      <c r="Z257" s="15"/>
      <c r="AA257" s="46"/>
      <c r="AB257" s="15"/>
      <c r="AC257" s="15"/>
      <c r="AD257" s="15"/>
      <c r="AE257" s="15"/>
      <c r="AF257" s="15"/>
      <c r="AG257" s="15"/>
      <c r="AH257" s="15"/>
      <c r="AI257" s="46"/>
      <c r="AJ257" s="51" t="s">
        <v>67</v>
      </c>
      <c r="AK257" s="51" t="s">
        <v>67</v>
      </c>
      <c r="AL257" s="15"/>
      <c r="AM257" s="51" t="s">
        <v>67</v>
      </c>
      <c r="AN257" s="51" t="s">
        <v>67</v>
      </c>
      <c r="AO257" s="50" t="s">
        <v>9554</v>
      </c>
    </row>
    <row r="258" spans="1:41" hidden="1" x14ac:dyDescent="0.25">
      <c r="A258" s="51" t="s">
        <v>2421</v>
      </c>
      <c r="B258" s="51" t="s">
        <v>2422</v>
      </c>
      <c r="C258" s="54" t="s">
        <v>605</v>
      </c>
      <c r="D258" s="51" t="s">
        <v>2423</v>
      </c>
      <c r="E258" s="20">
        <v>6129.14</v>
      </c>
      <c r="F258" s="20">
        <v>452.45</v>
      </c>
      <c r="G258" s="20">
        <v>19547.55</v>
      </c>
      <c r="H258" s="20">
        <v>3870.86</v>
      </c>
      <c r="I258" s="20">
        <v>372.38</v>
      </c>
      <c r="J258" s="51" t="s">
        <v>6724</v>
      </c>
      <c r="K258" s="15">
        <v>0</v>
      </c>
      <c r="L258" s="51" t="s">
        <v>2371</v>
      </c>
      <c r="M258" s="51" t="s">
        <v>2424</v>
      </c>
      <c r="N258" s="51" t="s">
        <v>1340</v>
      </c>
      <c r="O258" s="51" t="s">
        <v>67</v>
      </c>
      <c r="P258" s="51" t="s">
        <v>67</v>
      </c>
      <c r="Q258" s="45">
        <v>46277.580545358796</v>
      </c>
      <c r="R258" s="46">
        <v>46305</v>
      </c>
      <c r="S258" s="46">
        <v>46300</v>
      </c>
      <c r="T258" s="51" t="s">
        <v>6119</v>
      </c>
      <c r="U258" s="15">
        <v>848.05</v>
      </c>
      <c r="V258" s="15">
        <v>3921.84</v>
      </c>
      <c r="W258" s="15">
        <v>36.08</v>
      </c>
      <c r="X258" s="15">
        <v>14.9</v>
      </c>
      <c r="Y258" s="15">
        <v>1.662307</v>
      </c>
      <c r="Z258" s="15">
        <v>6</v>
      </c>
      <c r="AA258" s="46">
        <v>46275</v>
      </c>
      <c r="AB258" s="15"/>
      <c r="AC258" s="15"/>
      <c r="AD258" s="15"/>
      <c r="AE258" s="15"/>
      <c r="AF258" s="15"/>
      <c r="AG258" s="15"/>
      <c r="AH258" s="15"/>
      <c r="AI258" s="46"/>
      <c r="AJ258" s="51" t="s">
        <v>67</v>
      </c>
      <c r="AK258" s="51" t="s">
        <v>6121</v>
      </c>
      <c r="AL258" s="15">
        <v>848.05</v>
      </c>
      <c r="AM258" s="51" t="s">
        <v>67</v>
      </c>
      <c r="AN258" s="51" t="s">
        <v>67</v>
      </c>
      <c r="AO258" s="50" t="s">
        <v>9554</v>
      </c>
    </row>
    <row r="259" spans="1:41" hidden="1" x14ac:dyDescent="0.25">
      <c r="A259" s="51" t="s">
        <v>2425</v>
      </c>
      <c r="B259" s="51" t="s">
        <v>2426</v>
      </c>
      <c r="C259" s="54" t="s">
        <v>608</v>
      </c>
      <c r="D259" s="51" t="s">
        <v>1558</v>
      </c>
      <c r="E259" s="20">
        <v>2502.21</v>
      </c>
      <c r="F259" s="20">
        <v>9399.5</v>
      </c>
      <c r="G259" s="20">
        <v>4925.5</v>
      </c>
      <c r="H259" s="20">
        <v>3870.86</v>
      </c>
      <c r="I259" s="20">
        <v>6388.82</v>
      </c>
      <c r="J259" s="51" t="s">
        <v>6727</v>
      </c>
      <c r="K259" s="15">
        <v>37</v>
      </c>
      <c r="L259" s="51" t="s">
        <v>2369</v>
      </c>
      <c r="M259" s="51" t="s">
        <v>2427</v>
      </c>
      <c r="N259" s="51" t="s">
        <v>1344</v>
      </c>
      <c r="O259" s="51" t="s">
        <v>67</v>
      </c>
      <c r="P259" s="51" t="s">
        <v>67</v>
      </c>
      <c r="Q259" s="45">
        <v>46279.826091655093</v>
      </c>
      <c r="R259" s="46">
        <v>46315</v>
      </c>
      <c r="S259" s="46">
        <v>46310</v>
      </c>
      <c r="T259" s="51" t="s">
        <v>6119</v>
      </c>
      <c r="U259" s="15">
        <v>849.8</v>
      </c>
      <c r="V259" s="15">
        <v>3922.15</v>
      </c>
      <c r="W259" s="15">
        <v>36.39</v>
      </c>
      <c r="X259" s="15">
        <v>14.9</v>
      </c>
      <c r="Y259" s="15">
        <v>1.6620440000000001</v>
      </c>
      <c r="Z259" s="15">
        <v>6</v>
      </c>
      <c r="AA259" s="46">
        <v>46254</v>
      </c>
      <c r="AB259" s="15"/>
      <c r="AC259" s="15"/>
      <c r="AD259" s="15"/>
      <c r="AE259" s="15"/>
      <c r="AF259" s="15"/>
      <c r="AG259" s="15"/>
      <c r="AH259" s="15"/>
      <c r="AI259" s="46"/>
      <c r="AJ259" s="51" t="s">
        <v>6121</v>
      </c>
      <c r="AK259" s="51" t="s">
        <v>6121</v>
      </c>
      <c r="AL259" s="15">
        <v>849.8</v>
      </c>
      <c r="AM259" s="51" t="s">
        <v>67</v>
      </c>
      <c r="AN259" s="51" t="s">
        <v>67</v>
      </c>
      <c r="AO259" s="50" t="s">
        <v>9554</v>
      </c>
    </row>
    <row r="260" spans="1:41" hidden="1" x14ac:dyDescent="0.25">
      <c r="A260" s="51" t="s">
        <v>2428</v>
      </c>
      <c r="B260" s="51" t="s">
        <v>2429</v>
      </c>
      <c r="C260" s="54" t="s">
        <v>605</v>
      </c>
      <c r="D260" s="51" t="s">
        <v>2051</v>
      </c>
      <c r="E260" s="20">
        <v>3966.78</v>
      </c>
      <c r="F260" s="20">
        <v>4730.38</v>
      </c>
      <c r="G260" s="20">
        <v>10078.450000000001</v>
      </c>
      <c r="H260" s="20">
        <v>3870.86</v>
      </c>
      <c r="I260" s="20">
        <v>4589.0600000000004</v>
      </c>
      <c r="J260" s="51" t="s">
        <v>6727</v>
      </c>
      <c r="K260" s="15">
        <v>16</v>
      </c>
      <c r="L260" s="51" t="s">
        <v>2369</v>
      </c>
      <c r="M260" s="51" t="s">
        <v>2430</v>
      </c>
      <c r="N260" s="51" t="s">
        <v>1340</v>
      </c>
      <c r="O260" s="51" t="s">
        <v>67</v>
      </c>
      <c r="P260" s="51" t="s">
        <v>67</v>
      </c>
      <c r="Q260" s="45">
        <v>46279.826197604169</v>
      </c>
      <c r="R260" s="46">
        <v>46305</v>
      </c>
      <c r="S260" s="46">
        <v>46300</v>
      </c>
      <c r="T260" s="51" t="s">
        <v>6119</v>
      </c>
      <c r="U260" s="15">
        <v>848.05</v>
      </c>
      <c r="V260" s="15">
        <v>3921.84</v>
      </c>
      <c r="W260" s="15">
        <v>36.08</v>
      </c>
      <c r="X260" s="15">
        <v>14.9</v>
      </c>
      <c r="Y260" s="15">
        <v>1.662307</v>
      </c>
      <c r="Z260" s="15">
        <v>6</v>
      </c>
      <c r="AA260" s="46">
        <v>46275</v>
      </c>
      <c r="AB260" s="15"/>
      <c r="AC260" s="15"/>
      <c r="AD260" s="15"/>
      <c r="AE260" s="15"/>
      <c r="AF260" s="15"/>
      <c r="AG260" s="15"/>
      <c r="AH260" s="15"/>
      <c r="AI260" s="46"/>
      <c r="AJ260" s="51" t="s">
        <v>6121</v>
      </c>
      <c r="AK260" s="51" t="s">
        <v>6121</v>
      </c>
      <c r="AL260" s="15">
        <v>848.05</v>
      </c>
      <c r="AM260" s="51" t="s">
        <v>67</v>
      </c>
      <c r="AN260" s="51" t="s">
        <v>67</v>
      </c>
      <c r="AO260" s="50" t="s">
        <v>9554</v>
      </c>
    </row>
    <row r="261" spans="1:41" hidden="1" x14ac:dyDescent="0.25">
      <c r="A261" s="51" t="s">
        <v>2431</v>
      </c>
      <c r="B261" s="51" t="s">
        <v>2432</v>
      </c>
      <c r="C261" s="54" t="s">
        <v>605</v>
      </c>
      <c r="D261" s="51" t="s">
        <v>2070</v>
      </c>
      <c r="E261" s="20">
        <v>2212.34</v>
      </c>
      <c r="F261" s="20">
        <v>0</v>
      </c>
      <c r="G261" s="20">
        <v>2023.38</v>
      </c>
      <c r="H261" s="20">
        <v>3870.86</v>
      </c>
      <c r="I261" s="20">
        <v>491.33</v>
      </c>
      <c r="J261" s="51" t="s">
        <v>6726</v>
      </c>
      <c r="K261" s="15">
        <v>0</v>
      </c>
      <c r="L261" s="51" t="s">
        <v>2371</v>
      </c>
      <c r="M261" s="51" t="s">
        <v>2433</v>
      </c>
      <c r="N261" s="51" t="s">
        <v>1340</v>
      </c>
      <c r="O261" s="51" t="s">
        <v>67</v>
      </c>
      <c r="P261" s="51" t="s">
        <v>67</v>
      </c>
      <c r="Q261" s="45">
        <v>46279.826284664348</v>
      </c>
      <c r="R261" s="46">
        <v>46305</v>
      </c>
      <c r="S261" s="46">
        <v>46300</v>
      </c>
      <c r="T261" s="51" t="s">
        <v>6119</v>
      </c>
      <c r="U261" s="15">
        <v>848.05</v>
      </c>
      <c r="V261" s="15">
        <v>3921.84</v>
      </c>
      <c r="W261" s="15">
        <v>36.08</v>
      </c>
      <c r="X261" s="15">
        <v>14.9</v>
      </c>
      <c r="Y261" s="15">
        <v>1.662307</v>
      </c>
      <c r="Z261" s="15">
        <v>6</v>
      </c>
      <c r="AA261" s="46">
        <v>46275</v>
      </c>
      <c r="AB261" s="15"/>
      <c r="AC261" s="15"/>
      <c r="AD261" s="15"/>
      <c r="AE261" s="15"/>
      <c r="AF261" s="15"/>
      <c r="AG261" s="15"/>
      <c r="AH261" s="15"/>
      <c r="AI261" s="46"/>
      <c r="AJ261" s="51" t="s">
        <v>67</v>
      </c>
      <c r="AK261" s="51" t="s">
        <v>6121</v>
      </c>
      <c r="AL261" s="15">
        <v>848.05</v>
      </c>
      <c r="AM261" s="51" t="s">
        <v>6705</v>
      </c>
      <c r="AN261" s="51" t="s">
        <v>6713</v>
      </c>
      <c r="AO261" s="50" t="s">
        <v>9554</v>
      </c>
    </row>
    <row r="262" spans="1:41" hidden="1" x14ac:dyDescent="0.25">
      <c r="A262" s="51" t="s">
        <v>2434</v>
      </c>
      <c r="B262" s="51" t="s">
        <v>2435</v>
      </c>
      <c r="C262" s="54" t="s">
        <v>607</v>
      </c>
      <c r="D262" s="51" t="s">
        <v>1813</v>
      </c>
      <c r="E262" s="20">
        <v>5754.36</v>
      </c>
      <c r="F262" s="20">
        <v>4719.03</v>
      </c>
      <c r="G262" s="20">
        <v>11349.72</v>
      </c>
      <c r="H262" s="20">
        <v>3870.86</v>
      </c>
      <c r="I262" s="20">
        <v>4199.09</v>
      </c>
      <c r="J262" s="51" t="s">
        <v>6727</v>
      </c>
      <c r="K262" s="15">
        <v>11</v>
      </c>
      <c r="L262" s="51" t="s">
        <v>2369</v>
      </c>
      <c r="M262" s="51" t="s">
        <v>2436</v>
      </c>
      <c r="N262" s="51" t="s">
        <v>1344</v>
      </c>
      <c r="O262" s="51" t="s">
        <v>67</v>
      </c>
      <c r="P262" s="51" t="s">
        <v>67</v>
      </c>
      <c r="Q262" s="45">
        <v>46279.827236296296</v>
      </c>
      <c r="R262" s="46">
        <v>46310</v>
      </c>
      <c r="S262" s="46">
        <v>46305</v>
      </c>
      <c r="T262" s="51" t="s">
        <v>6119</v>
      </c>
      <c r="U262" s="15">
        <v>848.05</v>
      </c>
      <c r="V262" s="15">
        <v>3921.84</v>
      </c>
      <c r="W262" s="15">
        <v>36.08</v>
      </c>
      <c r="X262" s="15">
        <v>14.9</v>
      </c>
      <c r="Y262" s="15">
        <v>1.662307</v>
      </c>
      <c r="Z262" s="15">
        <v>6</v>
      </c>
      <c r="AA262" s="46">
        <v>46280</v>
      </c>
      <c r="AB262" s="15"/>
      <c r="AC262" s="15"/>
      <c r="AD262" s="15"/>
      <c r="AE262" s="15"/>
      <c r="AF262" s="15"/>
      <c r="AG262" s="15"/>
      <c r="AH262" s="15"/>
      <c r="AI262" s="46"/>
      <c r="AJ262" s="51" t="s">
        <v>6121</v>
      </c>
      <c r="AK262" s="51" t="s">
        <v>6121</v>
      </c>
      <c r="AL262" s="15">
        <v>848.05</v>
      </c>
      <c r="AM262" s="51" t="s">
        <v>67</v>
      </c>
      <c r="AN262" s="51" t="s">
        <v>67</v>
      </c>
      <c r="AO262" s="50" t="s">
        <v>9554</v>
      </c>
    </row>
    <row r="263" spans="1:41" hidden="1" x14ac:dyDescent="0.25">
      <c r="A263" s="51" t="s">
        <v>2437</v>
      </c>
      <c r="B263" s="51" t="s">
        <v>2438</v>
      </c>
      <c r="C263" s="54" t="s">
        <v>611</v>
      </c>
      <c r="D263" s="51" t="s">
        <v>2034</v>
      </c>
      <c r="E263" s="20">
        <v>567.29</v>
      </c>
      <c r="F263" s="20">
        <v>5332.25</v>
      </c>
      <c r="G263" s="20">
        <v>2154.52</v>
      </c>
      <c r="H263" s="20">
        <v>4553.2700000000004</v>
      </c>
      <c r="I263" s="20">
        <v>5332.25</v>
      </c>
      <c r="J263" s="51" t="s">
        <v>6727</v>
      </c>
      <c r="K263" s="15">
        <v>32</v>
      </c>
      <c r="L263" s="51" t="s">
        <v>2369</v>
      </c>
      <c r="M263" s="51" t="s">
        <v>2439</v>
      </c>
      <c r="N263" s="51" t="s">
        <v>1340</v>
      </c>
      <c r="O263" s="51" t="s">
        <v>67</v>
      </c>
      <c r="P263" s="51" t="s">
        <v>67</v>
      </c>
      <c r="Q263" s="45">
        <v>46279.829223101849</v>
      </c>
      <c r="R263" s="46">
        <v>46320</v>
      </c>
      <c r="S263" s="46">
        <v>46315</v>
      </c>
      <c r="T263" s="51" t="s">
        <v>6119</v>
      </c>
      <c r="U263" s="15">
        <v>849.8</v>
      </c>
      <c r="V263" s="15">
        <v>3922.15</v>
      </c>
      <c r="W263" s="15">
        <v>36.39</v>
      </c>
      <c r="X263" s="15">
        <v>14.9</v>
      </c>
      <c r="Y263" s="15">
        <v>1.6620440000000001</v>
      </c>
      <c r="Z263" s="15">
        <v>6</v>
      </c>
      <c r="AA263" s="46">
        <v>46259</v>
      </c>
      <c r="AB263" s="15"/>
      <c r="AC263" s="15"/>
      <c r="AD263" s="15"/>
      <c r="AE263" s="15"/>
      <c r="AF263" s="15"/>
      <c r="AG263" s="15"/>
      <c r="AH263" s="15"/>
      <c r="AI263" s="46"/>
      <c r="AJ263" s="51" t="s">
        <v>6121</v>
      </c>
      <c r="AK263" s="51" t="s">
        <v>6121</v>
      </c>
      <c r="AL263" s="15">
        <v>849.8</v>
      </c>
      <c r="AM263" s="51" t="s">
        <v>67</v>
      </c>
      <c r="AN263" s="51" t="s">
        <v>67</v>
      </c>
      <c r="AO263" s="50" t="s">
        <v>9554</v>
      </c>
    </row>
    <row r="264" spans="1:41" hidden="1" x14ac:dyDescent="0.25">
      <c r="A264" s="51" t="s">
        <v>2440</v>
      </c>
      <c r="B264" s="51" t="s">
        <v>2441</v>
      </c>
      <c r="C264" s="54" t="s">
        <v>611</v>
      </c>
      <c r="D264" s="51" t="s">
        <v>1698</v>
      </c>
      <c r="E264" s="20">
        <v>3905.32</v>
      </c>
      <c r="F264" s="20">
        <v>5853.82</v>
      </c>
      <c r="G264" s="20">
        <v>963.07</v>
      </c>
      <c r="H264" s="20">
        <v>5074.84</v>
      </c>
      <c r="I264" s="20">
        <v>5853.82</v>
      </c>
      <c r="J264" s="51" t="s">
        <v>6727</v>
      </c>
      <c r="K264" s="15">
        <v>32</v>
      </c>
      <c r="L264" s="51" t="s">
        <v>2369</v>
      </c>
      <c r="M264" s="51" t="s">
        <v>2442</v>
      </c>
      <c r="N264" s="51" t="s">
        <v>1340</v>
      </c>
      <c r="O264" s="51" t="s">
        <v>67</v>
      </c>
      <c r="P264" s="51" t="s">
        <v>67</v>
      </c>
      <c r="Q264" s="45">
        <v>46279.829410069447</v>
      </c>
      <c r="R264" s="46">
        <v>46320</v>
      </c>
      <c r="S264" s="46">
        <v>46315</v>
      </c>
      <c r="T264" s="51" t="s">
        <v>6119</v>
      </c>
      <c r="U264" s="15">
        <v>849.8</v>
      </c>
      <c r="V264" s="15">
        <v>3922.15</v>
      </c>
      <c r="W264" s="15">
        <v>36.39</v>
      </c>
      <c r="X264" s="15">
        <v>14.9</v>
      </c>
      <c r="Y264" s="15">
        <v>1.6620440000000001</v>
      </c>
      <c r="Z264" s="15">
        <v>6</v>
      </c>
      <c r="AA264" s="46">
        <v>46259</v>
      </c>
      <c r="AB264" s="15"/>
      <c r="AC264" s="15"/>
      <c r="AD264" s="15"/>
      <c r="AE264" s="15"/>
      <c r="AF264" s="15"/>
      <c r="AG264" s="15"/>
      <c r="AH264" s="15"/>
      <c r="AI264" s="46"/>
      <c r="AJ264" s="51" t="s">
        <v>6121</v>
      </c>
      <c r="AK264" s="51" t="s">
        <v>6121</v>
      </c>
      <c r="AL264" s="15">
        <v>849.8</v>
      </c>
      <c r="AM264" s="51" t="s">
        <v>67</v>
      </c>
      <c r="AN264" s="51" t="s">
        <v>67</v>
      </c>
      <c r="AO264" s="50" t="s">
        <v>9554</v>
      </c>
    </row>
    <row r="265" spans="1:41" hidden="1" x14ac:dyDescent="0.25">
      <c r="A265" s="51" t="s">
        <v>2443</v>
      </c>
      <c r="B265" s="51" t="s">
        <v>2444</v>
      </c>
      <c r="C265" s="54" t="s">
        <v>608</v>
      </c>
      <c r="D265" s="51" t="s">
        <v>1754</v>
      </c>
      <c r="E265" s="20">
        <v>5884.6</v>
      </c>
      <c r="F265" s="20">
        <v>3105.5</v>
      </c>
      <c r="G265" s="20">
        <v>1609.77</v>
      </c>
      <c r="H265" s="20">
        <v>3870.86</v>
      </c>
      <c r="I265" s="20">
        <v>2163.58</v>
      </c>
      <c r="J265" s="51" t="s">
        <v>6726</v>
      </c>
      <c r="K265" s="15">
        <v>0</v>
      </c>
      <c r="L265" s="51" t="s">
        <v>2371</v>
      </c>
      <c r="M265" s="51" t="s">
        <v>2445</v>
      </c>
      <c r="N265" s="51" t="s">
        <v>1340</v>
      </c>
      <c r="O265" s="51" t="s">
        <v>67</v>
      </c>
      <c r="P265" s="51" t="s">
        <v>67</v>
      </c>
      <c r="Q265" s="45">
        <v>46279.829533750002</v>
      </c>
      <c r="R265" s="46">
        <v>46315</v>
      </c>
      <c r="S265" s="46">
        <v>46310</v>
      </c>
      <c r="T265" s="51" t="s">
        <v>6119</v>
      </c>
      <c r="U265" s="15">
        <v>849.8</v>
      </c>
      <c r="V265" s="15">
        <v>3922.15</v>
      </c>
      <c r="W265" s="15">
        <v>36.39</v>
      </c>
      <c r="X265" s="15">
        <v>14.9</v>
      </c>
      <c r="Y265" s="15">
        <v>1.6620440000000001</v>
      </c>
      <c r="Z265" s="15">
        <v>6</v>
      </c>
      <c r="AA265" s="46">
        <v>46254</v>
      </c>
      <c r="AB265" s="15"/>
      <c r="AC265" s="15"/>
      <c r="AD265" s="15"/>
      <c r="AE265" s="15"/>
      <c r="AF265" s="15"/>
      <c r="AG265" s="15"/>
      <c r="AH265" s="15"/>
      <c r="AI265" s="46"/>
      <c r="AJ265" s="51" t="s">
        <v>67</v>
      </c>
      <c r="AK265" s="51" t="s">
        <v>6121</v>
      </c>
      <c r="AL265" s="15">
        <v>849.8</v>
      </c>
      <c r="AM265" s="51" t="s">
        <v>6705</v>
      </c>
      <c r="AN265" s="51" t="s">
        <v>6713</v>
      </c>
      <c r="AO265" s="50" t="s">
        <v>9554</v>
      </c>
    </row>
    <row r="266" spans="1:41" hidden="1" x14ac:dyDescent="0.25">
      <c r="A266" s="51" t="s">
        <v>2446</v>
      </c>
      <c r="B266" s="51" t="s">
        <v>2447</v>
      </c>
      <c r="C266" s="54" t="s">
        <v>607</v>
      </c>
      <c r="D266" s="51" t="s">
        <v>2115</v>
      </c>
      <c r="E266" s="20">
        <v>3862.21</v>
      </c>
      <c r="F266" s="20">
        <v>4434.83</v>
      </c>
      <c r="G266" s="20">
        <v>5858.62</v>
      </c>
      <c r="H266" s="20">
        <v>3870.86</v>
      </c>
      <c r="I266" s="20">
        <v>4199.09</v>
      </c>
      <c r="J266" s="51" t="s">
        <v>6727</v>
      </c>
      <c r="K266" s="15">
        <v>11</v>
      </c>
      <c r="L266" s="51" t="s">
        <v>2369</v>
      </c>
      <c r="M266" s="51" t="s">
        <v>2448</v>
      </c>
      <c r="N266" s="51" t="s">
        <v>1340</v>
      </c>
      <c r="O266" s="51" t="s">
        <v>67</v>
      </c>
      <c r="P266" s="51" t="s">
        <v>67</v>
      </c>
      <c r="Q266" s="45">
        <v>46279.829615057868</v>
      </c>
      <c r="R266" s="46">
        <v>46310</v>
      </c>
      <c r="S266" s="46">
        <v>46305</v>
      </c>
      <c r="T266" s="51" t="s">
        <v>6119</v>
      </c>
      <c r="U266" s="15">
        <v>848.05</v>
      </c>
      <c r="V266" s="15">
        <v>3921.84</v>
      </c>
      <c r="W266" s="15">
        <v>36.08</v>
      </c>
      <c r="X266" s="15">
        <v>14.9</v>
      </c>
      <c r="Y266" s="15">
        <v>1.662307</v>
      </c>
      <c r="Z266" s="15">
        <v>6</v>
      </c>
      <c r="AA266" s="46">
        <v>46280</v>
      </c>
      <c r="AB266" s="15"/>
      <c r="AC266" s="15"/>
      <c r="AD266" s="15"/>
      <c r="AE266" s="15"/>
      <c r="AF266" s="15"/>
      <c r="AG266" s="15"/>
      <c r="AH266" s="15"/>
      <c r="AI266" s="46"/>
      <c r="AJ266" s="51" t="s">
        <v>6121</v>
      </c>
      <c r="AK266" s="51" t="s">
        <v>6121</v>
      </c>
      <c r="AL266" s="15">
        <v>848.05</v>
      </c>
      <c r="AM266" s="51" t="s">
        <v>67</v>
      </c>
      <c r="AN266" s="51" t="s">
        <v>67</v>
      </c>
      <c r="AO266" s="50" t="s">
        <v>9554</v>
      </c>
    </row>
    <row r="267" spans="1:41" hidden="1" x14ac:dyDescent="0.25">
      <c r="A267" s="51" t="s">
        <v>2449</v>
      </c>
      <c r="B267" s="51" t="s">
        <v>2450</v>
      </c>
      <c r="C267" s="54" t="s">
        <v>611</v>
      </c>
      <c r="D267" s="51" t="s">
        <v>1976</v>
      </c>
      <c r="E267" s="20">
        <v>11225.86</v>
      </c>
      <c r="F267" s="20">
        <v>6564.77</v>
      </c>
      <c r="G267" s="20">
        <v>11707.44</v>
      </c>
      <c r="H267" s="20">
        <v>7143.8</v>
      </c>
      <c r="I267" s="20">
        <v>6564.77</v>
      </c>
      <c r="J267" s="51" t="s">
        <v>6726</v>
      </c>
      <c r="K267" s="15">
        <v>0</v>
      </c>
      <c r="L267" s="51" t="s">
        <v>2371</v>
      </c>
      <c r="M267" s="51" t="s">
        <v>2451</v>
      </c>
      <c r="N267" s="51" t="s">
        <v>1340</v>
      </c>
      <c r="O267" s="51" t="s">
        <v>67</v>
      </c>
      <c r="P267" s="51" t="s">
        <v>67</v>
      </c>
      <c r="Q267" s="45">
        <v>46279.834082905094</v>
      </c>
      <c r="R267" s="46">
        <v>46320</v>
      </c>
      <c r="S267" s="46">
        <v>46315</v>
      </c>
      <c r="T267" s="51" t="s">
        <v>6119</v>
      </c>
      <c r="U267" s="15">
        <v>679.84</v>
      </c>
      <c r="V267" s="15">
        <v>3137.69</v>
      </c>
      <c r="W267" s="15">
        <v>29.09</v>
      </c>
      <c r="X267" s="15">
        <v>11.92</v>
      </c>
      <c r="Y267" s="15">
        <v>1.662069</v>
      </c>
      <c r="Z267" s="15">
        <v>6</v>
      </c>
      <c r="AA267" s="46">
        <v>46259</v>
      </c>
      <c r="AB267" s="15"/>
      <c r="AC267" s="15"/>
      <c r="AD267" s="15"/>
      <c r="AE267" s="15"/>
      <c r="AF267" s="15"/>
      <c r="AG267" s="15"/>
      <c r="AH267" s="15"/>
      <c r="AI267" s="46"/>
      <c r="AJ267" s="51" t="s">
        <v>67</v>
      </c>
      <c r="AK267" s="51" t="s">
        <v>6121</v>
      </c>
      <c r="AL267" s="15">
        <v>679.84</v>
      </c>
      <c r="AM267" s="51" t="s">
        <v>6705</v>
      </c>
      <c r="AN267" s="51" t="s">
        <v>6120</v>
      </c>
      <c r="AO267" s="50" t="s">
        <v>9554</v>
      </c>
    </row>
    <row r="268" spans="1:41" hidden="1" x14ac:dyDescent="0.25">
      <c r="A268" s="51" t="s">
        <v>2452</v>
      </c>
      <c r="B268" s="51" t="s">
        <v>2453</v>
      </c>
      <c r="C268" s="54" t="s">
        <v>608</v>
      </c>
      <c r="D268" s="51" t="s">
        <v>2126</v>
      </c>
      <c r="E268" s="20">
        <v>6721.27</v>
      </c>
      <c r="F268" s="20">
        <v>5921.73</v>
      </c>
      <c r="G268" s="20">
        <v>-758.72</v>
      </c>
      <c r="H268" s="20">
        <v>3870.86</v>
      </c>
      <c r="I268" s="20">
        <v>3771.25</v>
      </c>
      <c r="J268" s="51" t="s">
        <v>6726</v>
      </c>
      <c r="K268" s="15">
        <v>0</v>
      </c>
      <c r="L268" s="51" t="s">
        <v>2371</v>
      </c>
      <c r="M268" s="51" t="s">
        <v>2454</v>
      </c>
      <c r="N268" s="51" t="s">
        <v>1340</v>
      </c>
      <c r="O268" s="51" t="s">
        <v>67</v>
      </c>
      <c r="P268" s="51" t="s">
        <v>67</v>
      </c>
      <c r="Q268" s="45">
        <v>46279.834206678242</v>
      </c>
      <c r="R268" s="46">
        <v>46315</v>
      </c>
      <c r="S268" s="46">
        <v>46310</v>
      </c>
      <c r="T268" s="51" t="s">
        <v>6119</v>
      </c>
      <c r="U268" s="15">
        <v>679.84</v>
      </c>
      <c r="V268" s="15">
        <v>3137.69</v>
      </c>
      <c r="W268" s="15">
        <v>29.09</v>
      </c>
      <c r="X268" s="15">
        <v>11.92</v>
      </c>
      <c r="Y268" s="15">
        <v>1.662069</v>
      </c>
      <c r="Z268" s="15">
        <v>6</v>
      </c>
      <c r="AA268" s="46">
        <v>46254</v>
      </c>
      <c r="AB268" s="15"/>
      <c r="AC268" s="15"/>
      <c r="AD268" s="15"/>
      <c r="AE268" s="15"/>
      <c r="AF268" s="15"/>
      <c r="AG268" s="15"/>
      <c r="AH268" s="15"/>
      <c r="AI268" s="46"/>
      <c r="AJ268" s="51" t="s">
        <v>67</v>
      </c>
      <c r="AK268" s="51" t="s">
        <v>6121</v>
      </c>
      <c r="AL268" s="15">
        <v>679.84</v>
      </c>
      <c r="AM268" s="51" t="s">
        <v>6705</v>
      </c>
      <c r="AN268" s="51" t="s">
        <v>6120</v>
      </c>
      <c r="AO268" s="50" t="s">
        <v>9554</v>
      </c>
    </row>
    <row r="269" spans="1:41" hidden="1" x14ac:dyDescent="0.25">
      <c r="A269" s="51" t="s">
        <v>2455</v>
      </c>
      <c r="B269" s="51" t="s">
        <v>2456</v>
      </c>
      <c r="C269" s="54" t="s">
        <v>608</v>
      </c>
      <c r="D269" s="51" t="s">
        <v>2058</v>
      </c>
      <c r="E269" s="20">
        <v>9011.68</v>
      </c>
      <c r="F269" s="20">
        <v>5099.22</v>
      </c>
      <c r="G269" s="20">
        <v>1605.8</v>
      </c>
      <c r="H269" s="20">
        <v>3870.86</v>
      </c>
      <c r="I269" s="20">
        <v>3378.84</v>
      </c>
      <c r="J269" s="51" t="s">
        <v>6726</v>
      </c>
      <c r="K269" s="15">
        <v>0</v>
      </c>
      <c r="L269" s="51" t="s">
        <v>2371</v>
      </c>
      <c r="M269" s="51" t="s">
        <v>67</v>
      </c>
      <c r="N269" s="51" t="s">
        <v>67</v>
      </c>
      <c r="O269" s="51" t="s">
        <v>2457</v>
      </c>
      <c r="P269" s="51" t="s">
        <v>1340</v>
      </c>
      <c r="Q269" s="45">
        <v>46279.838397962965</v>
      </c>
      <c r="R269" s="46">
        <v>46315</v>
      </c>
      <c r="S269" s="46">
        <v>46310</v>
      </c>
      <c r="T269" s="51" t="s">
        <v>6119</v>
      </c>
      <c r="U269" s="15">
        <v>849.8</v>
      </c>
      <c r="V269" s="15">
        <v>3922.15</v>
      </c>
      <c r="W269" s="15">
        <v>36.39</v>
      </c>
      <c r="X269" s="15">
        <v>14.9</v>
      </c>
      <c r="Y269" s="15">
        <v>1.6620440000000001</v>
      </c>
      <c r="Z269" s="15">
        <v>6</v>
      </c>
      <c r="AA269" s="46">
        <v>46254</v>
      </c>
      <c r="AB269" s="15"/>
      <c r="AC269" s="15"/>
      <c r="AD269" s="15"/>
      <c r="AE269" s="15"/>
      <c r="AF269" s="15"/>
      <c r="AG269" s="15"/>
      <c r="AH269" s="15"/>
      <c r="AI269" s="46"/>
      <c r="AJ269" s="51" t="s">
        <v>67</v>
      </c>
      <c r="AK269" s="51" t="s">
        <v>6121</v>
      </c>
      <c r="AL269" s="15">
        <v>849.8</v>
      </c>
      <c r="AM269" s="51" t="s">
        <v>6705</v>
      </c>
      <c r="AN269" s="51" t="s">
        <v>6713</v>
      </c>
      <c r="AO269" s="50" t="s">
        <v>9554</v>
      </c>
    </row>
    <row r="270" spans="1:41" hidden="1" x14ac:dyDescent="0.25">
      <c r="A270" s="51" t="s">
        <v>2458</v>
      </c>
      <c r="B270" s="51" t="s">
        <v>2459</v>
      </c>
      <c r="C270" s="54" t="s">
        <v>607</v>
      </c>
      <c r="D270" s="51" t="s">
        <v>1637</v>
      </c>
      <c r="E270" s="20">
        <v>11026.34</v>
      </c>
      <c r="F270" s="20">
        <v>3902.16</v>
      </c>
      <c r="G270" s="20">
        <v>1599.27</v>
      </c>
      <c r="H270" s="20">
        <v>3870.86</v>
      </c>
      <c r="I270" s="20">
        <v>3575.9</v>
      </c>
      <c r="J270" s="51" t="s">
        <v>6725</v>
      </c>
      <c r="K270" s="15">
        <v>0</v>
      </c>
      <c r="L270" s="51" t="s">
        <v>2371</v>
      </c>
      <c r="M270" s="51" t="s">
        <v>2460</v>
      </c>
      <c r="N270" s="51" t="s">
        <v>1340</v>
      </c>
      <c r="O270" s="51" t="s">
        <v>2461</v>
      </c>
      <c r="P270" s="51" t="s">
        <v>1340</v>
      </c>
      <c r="Q270" s="45">
        <v>46279.838760937499</v>
      </c>
      <c r="R270" s="46">
        <v>46310</v>
      </c>
      <c r="S270" s="46">
        <v>46305</v>
      </c>
      <c r="T270" s="51" t="s">
        <v>6119</v>
      </c>
      <c r="U270" s="15">
        <v>848.05</v>
      </c>
      <c r="V270" s="15">
        <v>3921.84</v>
      </c>
      <c r="W270" s="15">
        <v>36.08</v>
      </c>
      <c r="X270" s="15">
        <v>14.9</v>
      </c>
      <c r="Y270" s="15">
        <v>1.662307</v>
      </c>
      <c r="Z270" s="15">
        <v>6</v>
      </c>
      <c r="AA270" s="46">
        <v>46280</v>
      </c>
      <c r="AB270" s="15"/>
      <c r="AC270" s="15"/>
      <c r="AD270" s="15"/>
      <c r="AE270" s="15"/>
      <c r="AF270" s="15"/>
      <c r="AG270" s="15"/>
      <c r="AH270" s="15"/>
      <c r="AI270" s="46"/>
      <c r="AJ270" s="51" t="s">
        <v>67</v>
      </c>
      <c r="AK270" s="51" t="s">
        <v>6121</v>
      </c>
      <c r="AL270" s="15">
        <v>848.05</v>
      </c>
      <c r="AM270" s="51" t="s">
        <v>67</v>
      </c>
      <c r="AN270" s="51" t="s">
        <v>67</v>
      </c>
      <c r="AO270" s="50" t="s">
        <v>9554</v>
      </c>
    </row>
    <row r="271" spans="1:41" hidden="1" x14ac:dyDescent="0.25">
      <c r="A271" s="51" t="s">
        <v>2462</v>
      </c>
      <c r="B271" s="51" t="s">
        <v>2463</v>
      </c>
      <c r="C271" s="54" t="s">
        <v>605</v>
      </c>
      <c r="D271" s="51" t="s">
        <v>1338</v>
      </c>
      <c r="E271" s="20">
        <v>14410.07</v>
      </c>
      <c r="F271" s="20">
        <v>425.74</v>
      </c>
      <c r="G271" s="20">
        <v>3222.45</v>
      </c>
      <c r="H271" s="20">
        <v>3870.86</v>
      </c>
      <c r="I271" s="20">
        <v>425.74</v>
      </c>
      <c r="J271" s="51" t="s">
        <v>6724</v>
      </c>
      <c r="K271" s="15">
        <v>0</v>
      </c>
      <c r="L271" s="51" t="s">
        <v>2371</v>
      </c>
      <c r="M271" s="51" t="s">
        <v>2464</v>
      </c>
      <c r="N271" s="51" t="s">
        <v>1340</v>
      </c>
      <c r="O271" s="51" t="s">
        <v>2465</v>
      </c>
      <c r="P271" s="51" t="s">
        <v>1340</v>
      </c>
      <c r="Q271" s="45">
        <v>46279.839013564815</v>
      </c>
      <c r="R271" s="46">
        <v>46305</v>
      </c>
      <c r="S271" s="46">
        <v>46300</v>
      </c>
      <c r="T271" s="51" t="s">
        <v>6119</v>
      </c>
      <c r="U271" s="15"/>
      <c r="V271" s="15"/>
      <c r="W271" s="15"/>
      <c r="X271" s="15"/>
      <c r="Y271" s="15"/>
      <c r="Z271" s="15"/>
      <c r="AA271" s="46"/>
      <c r="AB271" s="15"/>
      <c r="AC271" s="15"/>
      <c r="AD271" s="15"/>
      <c r="AE271" s="15"/>
      <c r="AF271" s="15"/>
      <c r="AG271" s="15"/>
      <c r="AH271" s="15"/>
      <c r="AI271" s="46"/>
      <c r="AJ271" s="51" t="s">
        <v>67</v>
      </c>
      <c r="AK271" s="51" t="s">
        <v>67</v>
      </c>
      <c r="AL271" s="15"/>
      <c r="AM271" s="51" t="s">
        <v>67</v>
      </c>
      <c r="AN271" s="51" t="s">
        <v>67</v>
      </c>
      <c r="AO271" s="50" t="s">
        <v>9554</v>
      </c>
    </row>
    <row r="272" spans="1:41" hidden="1" x14ac:dyDescent="0.25">
      <c r="A272" s="51" t="s">
        <v>2466</v>
      </c>
      <c r="B272" s="51" t="s">
        <v>2467</v>
      </c>
      <c r="C272" s="54" t="s">
        <v>608</v>
      </c>
      <c r="D272" s="51" t="s">
        <v>1454</v>
      </c>
      <c r="E272" s="20">
        <v>5669.41</v>
      </c>
      <c r="F272" s="20">
        <v>5535.99</v>
      </c>
      <c r="G272" s="20">
        <v>12636.42</v>
      </c>
      <c r="H272" s="20">
        <v>3870.86</v>
      </c>
      <c r="I272" s="20">
        <v>2525.3200000000002</v>
      </c>
      <c r="J272" s="51" t="s">
        <v>6726</v>
      </c>
      <c r="K272" s="15">
        <v>0</v>
      </c>
      <c r="L272" s="51" t="s">
        <v>2371</v>
      </c>
      <c r="M272" s="51" t="s">
        <v>2468</v>
      </c>
      <c r="N272" s="51" t="s">
        <v>1344</v>
      </c>
      <c r="O272" s="51" t="s">
        <v>2469</v>
      </c>
      <c r="P272" s="51" t="s">
        <v>1344</v>
      </c>
      <c r="Q272" s="45">
        <v>46279.839123194448</v>
      </c>
      <c r="R272" s="46">
        <v>46315</v>
      </c>
      <c r="S272" s="46">
        <v>46310</v>
      </c>
      <c r="T272" s="51" t="s">
        <v>6119</v>
      </c>
      <c r="U272" s="15">
        <v>849.8</v>
      </c>
      <c r="V272" s="15">
        <v>3922.15</v>
      </c>
      <c r="W272" s="15">
        <v>36.39</v>
      </c>
      <c r="X272" s="15">
        <v>14.9</v>
      </c>
      <c r="Y272" s="15">
        <v>1.6620440000000001</v>
      </c>
      <c r="Z272" s="15">
        <v>6</v>
      </c>
      <c r="AA272" s="46">
        <v>46254</v>
      </c>
      <c r="AB272" s="15"/>
      <c r="AC272" s="15"/>
      <c r="AD272" s="15"/>
      <c r="AE272" s="15"/>
      <c r="AF272" s="15"/>
      <c r="AG272" s="15"/>
      <c r="AH272" s="15"/>
      <c r="AI272" s="46"/>
      <c r="AJ272" s="51" t="s">
        <v>67</v>
      </c>
      <c r="AK272" s="51" t="s">
        <v>6121</v>
      </c>
      <c r="AL272" s="15">
        <v>849.8</v>
      </c>
      <c r="AM272" s="51" t="s">
        <v>67</v>
      </c>
      <c r="AN272" s="51" t="s">
        <v>67</v>
      </c>
      <c r="AO272" s="50" t="s">
        <v>9554</v>
      </c>
    </row>
    <row r="273" spans="1:41" hidden="1" x14ac:dyDescent="0.25">
      <c r="A273" s="51" t="s">
        <v>2470</v>
      </c>
      <c r="B273" s="51" t="s">
        <v>2471</v>
      </c>
      <c r="C273" s="54" t="s">
        <v>607</v>
      </c>
      <c r="D273" s="51" t="s">
        <v>1634</v>
      </c>
      <c r="E273" s="20">
        <v>10367</v>
      </c>
      <c r="F273" s="20">
        <v>4016.08</v>
      </c>
      <c r="G273" s="20">
        <v>13394.8</v>
      </c>
      <c r="H273" s="20">
        <v>3870.86</v>
      </c>
      <c r="I273" s="20">
        <v>3850.72</v>
      </c>
      <c r="J273" s="51" t="s">
        <v>6726</v>
      </c>
      <c r="K273" s="15">
        <v>11</v>
      </c>
      <c r="L273" s="51" t="s">
        <v>2369</v>
      </c>
      <c r="M273" s="51" t="s">
        <v>2472</v>
      </c>
      <c r="N273" s="51" t="s">
        <v>1340</v>
      </c>
      <c r="O273" s="51" t="s">
        <v>2473</v>
      </c>
      <c r="P273" s="51" t="s">
        <v>1340</v>
      </c>
      <c r="Q273" s="45">
        <v>46279.839266909723</v>
      </c>
      <c r="R273" s="46">
        <v>46310</v>
      </c>
      <c r="S273" s="46">
        <v>46305</v>
      </c>
      <c r="T273" s="51" t="s">
        <v>6119</v>
      </c>
      <c r="U273" s="15">
        <v>848.05</v>
      </c>
      <c r="V273" s="15">
        <v>3921.84</v>
      </c>
      <c r="W273" s="15">
        <v>36.08</v>
      </c>
      <c r="X273" s="15">
        <v>14.9</v>
      </c>
      <c r="Y273" s="15">
        <v>1.662307</v>
      </c>
      <c r="Z273" s="15">
        <v>6</v>
      </c>
      <c r="AA273" s="46">
        <v>46280</v>
      </c>
      <c r="AB273" s="15"/>
      <c r="AC273" s="15"/>
      <c r="AD273" s="15"/>
      <c r="AE273" s="15"/>
      <c r="AF273" s="15"/>
      <c r="AG273" s="15"/>
      <c r="AH273" s="15"/>
      <c r="AI273" s="46"/>
      <c r="AJ273" s="51" t="s">
        <v>6121</v>
      </c>
      <c r="AK273" s="51" t="s">
        <v>6121</v>
      </c>
      <c r="AL273" s="15">
        <v>848.05</v>
      </c>
      <c r="AM273" s="51" t="s">
        <v>67</v>
      </c>
      <c r="AN273" s="51" t="s">
        <v>67</v>
      </c>
      <c r="AO273" s="50" t="s">
        <v>9554</v>
      </c>
    </row>
    <row r="274" spans="1:41" hidden="1" x14ac:dyDescent="0.25">
      <c r="A274" s="51" t="s">
        <v>2474</v>
      </c>
      <c r="B274" s="51" t="s">
        <v>2475</v>
      </c>
      <c r="C274" s="54" t="s">
        <v>5596</v>
      </c>
      <c r="D274" s="51" t="s">
        <v>1389</v>
      </c>
      <c r="E274" s="20">
        <v>11105.66</v>
      </c>
      <c r="F274" s="20">
        <v>2520.13</v>
      </c>
      <c r="G274" s="20">
        <v>12872</v>
      </c>
      <c r="H274" s="20">
        <v>3870.86</v>
      </c>
      <c r="I274" s="20">
        <v>2520.13</v>
      </c>
      <c r="J274" s="51" t="s">
        <v>6726</v>
      </c>
      <c r="K274" s="15">
        <v>0</v>
      </c>
      <c r="L274" s="51" t="s">
        <v>2371</v>
      </c>
      <c r="M274" s="51" t="s">
        <v>67</v>
      </c>
      <c r="N274" s="51" t="s">
        <v>67</v>
      </c>
      <c r="O274" s="51" t="s">
        <v>2476</v>
      </c>
      <c r="P274" s="51" t="s">
        <v>1340</v>
      </c>
      <c r="Q274" s="45">
        <v>46279.840428807867</v>
      </c>
      <c r="R274" s="46">
        <v>46300</v>
      </c>
      <c r="S274" s="46">
        <v>46295</v>
      </c>
      <c r="T274" s="51" t="s">
        <v>6119</v>
      </c>
      <c r="U274" s="15">
        <v>848.05</v>
      </c>
      <c r="V274" s="15">
        <v>3921.84</v>
      </c>
      <c r="W274" s="15">
        <v>36.08</v>
      </c>
      <c r="X274" s="15">
        <v>14.9</v>
      </c>
      <c r="Y274" s="15">
        <v>1.662307</v>
      </c>
      <c r="Z274" s="15">
        <v>6</v>
      </c>
      <c r="AA274" s="46">
        <v>46270</v>
      </c>
      <c r="AB274" s="15"/>
      <c r="AC274" s="15"/>
      <c r="AD274" s="15"/>
      <c r="AE274" s="15"/>
      <c r="AF274" s="15"/>
      <c r="AG274" s="15"/>
      <c r="AH274" s="15"/>
      <c r="AI274" s="46"/>
      <c r="AJ274" s="51" t="s">
        <v>67</v>
      </c>
      <c r="AK274" s="51" t="s">
        <v>6121</v>
      </c>
      <c r="AL274" s="15">
        <v>848.05</v>
      </c>
      <c r="AM274" s="51" t="s">
        <v>67</v>
      </c>
      <c r="AN274" s="51" t="s">
        <v>67</v>
      </c>
      <c r="AO274" s="50" t="s">
        <v>9554</v>
      </c>
    </row>
    <row r="275" spans="1:41" hidden="1" x14ac:dyDescent="0.25">
      <c r="A275" s="51" t="s">
        <v>2477</v>
      </c>
      <c r="B275" s="51" t="s">
        <v>2478</v>
      </c>
      <c r="C275" s="54" t="s">
        <v>611</v>
      </c>
      <c r="D275" s="51" t="s">
        <v>1412</v>
      </c>
      <c r="E275" s="20">
        <v>5534.29</v>
      </c>
      <c r="F275" s="20">
        <v>4978.22</v>
      </c>
      <c r="G275" s="20">
        <v>4192.45</v>
      </c>
      <c r="H275" s="20">
        <v>4199.2299999999996</v>
      </c>
      <c r="I275" s="20">
        <v>4978.22</v>
      </c>
      <c r="J275" s="51" t="s">
        <v>6727</v>
      </c>
      <c r="K275" s="15">
        <v>32</v>
      </c>
      <c r="L275" s="51" t="s">
        <v>2369</v>
      </c>
      <c r="M275" s="51" t="s">
        <v>2479</v>
      </c>
      <c r="N275" s="51" t="s">
        <v>1340</v>
      </c>
      <c r="O275" s="51" t="s">
        <v>2480</v>
      </c>
      <c r="P275" s="51" t="s">
        <v>1340</v>
      </c>
      <c r="Q275" s="45">
        <v>46279.843504340279</v>
      </c>
      <c r="R275" s="46">
        <v>46320</v>
      </c>
      <c r="S275" s="46">
        <v>46315</v>
      </c>
      <c r="T275" s="51" t="s">
        <v>6119</v>
      </c>
      <c r="U275" s="15">
        <v>849.8</v>
      </c>
      <c r="V275" s="15">
        <v>3922.15</v>
      </c>
      <c r="W275" s="15">
        <v>36.39</v>
      </c>
      <c r="X275" s="15">
        <v>14.9</v>
      </c>
      <c r="Y275" s="15">
        <v>1.6620440000000001</v>
      </c>
      <c r="Z275" s="15">
        <v>6</v>
      </c>
      <c r="AA275" s="46">
        <v>46259</v>
      </c>
      <c r="AB275" s="15"/>
      <c r="AC275" s="15"/>
      <c r="AD275" s="15"/>
      <c r="AE275" s="15"/>
      <c r="AF275" s="15"/>
      <c r="AG275" s="15"/>
      <c r="AH275" s="15"/>
      <c r="AI275" s="46"/>
      <c r="AJ275" s="51" t="s">
        <v>6121</v>
      </c>
      <c r="AK275" s="51" t="s">
        <v>6121</v>
      </c>
      <c r="AL275" s="15">
        <v>849.8</v>
      </c>
      <c r="AM275" s="51" t="s">
        <v>67</v>
      </c>
      <c r="AN275" s="51" t="s">
        <v>67</v>
      </c>
      <c r="AO275" s="50" t="s">
        <v>9554</v>
      </c>
    </row>
    <row r="276" spans="1:41" hidden="1" x14ac:dyDescent="0.25">
      <c r="A276" s="51" t="s">
        <v>2481</v>
      </c>
      <c r="B276" s="51" t="s">
        <v>2482</v>
      </c>
      <c r="C276" s="54" t="s">
        <v>607</v>
      </c>
      <c r="D276" s="51" t="s">
        <v>1729</v>
      </c>
      <c r="E276" s="20">
        <v>8334.5300000000007</v>
      </c>
      <c r="F276" s="20">
        <v>785.16</v>
      </c>
      <c r="G276" s="20">
        <v>16267.41</v>
      </c>
      <c r="H276" s="20">
        <v>3870.86</v>
      </c>
      <c r="I276" s="20">
        <v>92.13</v>
      </c>
      <c r="J276" s="51" t="s">
        <v>6724</v>
      </c>
      <c r="K276" s="15">
        <v>0</v>
      </c>
      <c r="L276" s="51" t="s">
        <v>2371</v>
      </c>
      <c r="M276" s="51" t="s">
        <v>2483</v>
      </c>
      <c r="N276" s="51" t="s">
        <v>1340</v>
      </c>
      <c r="O276" s="51" t="s">
        <v>2484</v>
      </c>
      <c r="P276" s="51" t="s">
        <v>1340</v>
      </c>
      <c r="Q276" s="45">
        <v>46279.843694062503</v>
      </c>
      <c r="R276" s="46">
        <v>46310</v>
      </c>
      <c r="S276" s="46">
        <v>46305</v>
      </c>
      <c r="T276" s="51" t="s">
        <v>6119</v>
      </c>
      <c r="U276" s="15">
        <v>848.05</v>
      </c>
      <c r="V276" s="15">
        <v>3921.84</v>
      </c>
      <c r="W276" s="15">
        <v>36.08</v>
      </c>
      <c r="X276" s="15">
        <v>14.9</v>
      </c>
      <c r="Y276" s="15">
        <v>1.662307</v>
      </c>
      <c r="Z276" s="15">
        <v>6</v>
      </c>
      <c r="AA276" s="46">
        <v>46280</v>
      </c>
      <c r="AB276" s="15"/>
      <c r="AC276" s="15"/>
      <c r="AD276" s="15"/>
      <c r="AE276" s="15"/>
      <c r="AF276" s="15"/>
      <c r="AG276" s="15"/>
      <c r="AH276" s="15"/>
      <c r="AI276" s="46"/>
      <c r="AJ276" s="51" t="s">
        <v>67</v>
      </c>
      <c r="AK276" s="51" t="s">
        <v>6121</v>
      </c>
      <c r="AL276" s="15">
        <v>848.05</v>
      </c>
      <c r="AM276" s="51" t="s">
        <v>67</v>
      </c>
      <c r="AN276" s="51" t="s">
        <v>67</v>
      </c>
      <c r="AO276" s="50" t="s">
        <v>9554</v>
      </c>
    </row>
    <row r="277" spans="1:41" hidden="1" x14ac:dyDescent="0.25">
      <c r="A277" s="51" t="s">
        <v>2485</v>
      </c>
      <c r="B277" s="51" t="s">
        <v>2486</v>
      </c>
      <c r="C277" s="54" t="s">
        <v>608</v>
      </c>
      <c r="D277" s="51" t="s">
        <v>1732</v>
      </c>
      <c r="E277" s="20">
        <v>14677.78</v>
      </c>
      <c r="F277" s="20">
        <v>3039.64</v>
      </c>
      <c r="G277" s="20">
        <v>12780.6</v>
      </c>
      <c r="H277" s="20">
        <v>3870.86</v>
      </c>
      <c r="I277" s="20">
        <v>2179.4499999999998</v>
      </c>
      <c r="J277" s="51" t="s">
        <v>6724</v>
      </c>
      <c r="K277" s="15">
        <v>0</v>
      </c>
      <c r="L277" s="51" t="s">
        <v>2371</v>
      </c>
      <c r="M277" s="51" t="s">
        <v>67</v>
      </c>
      <c r="N277" s="51" t="s">
        <v>67</v>
      </c>
      <c r="O277" s="51" t="s">
        <v>2487</v>
      </c>
      <c r="P277" s="51" t="s">
        <v>1340</v>
      </c>
      <c r="Q277" s="45">
        <v>46279.84410065972</v>
      </c>
      <c r="R277" s="46">
        <v>46315</v>
      </c>
      <c r="S277" s="46">
        <v>46310</v>
      </c>
      <c r="T277" s="51" t="s">
        <v>6119</v>
      </c>
      <c r="U277" s="15"/>
      <c r="V277" s="15"/>
      <c r="W277" s="15"/>
      <c r="X277" s="15"/>
      <c r="Y277" s="15"/>
      <c r="Z277" s="15"/>
      <c r="AA277" s="46"/>
      <c r="AB277" s="15"/>
      <c r="AC277" s="15"/>
      <c r="AD277" s="15"/>
      <c r="AE277" s="15"/>
      <c r="AF277" s="15"/>
      <c r="AG277" s="15"/>
      <c r="AH277" s="15"/>
      <c r="AI277" s="46"/>
      <c r="AJ277" s="51" t="s">
        <v>67</v>
      </c>
      <c r="AK277" s="51" t="s">
        <v>67</v>
      </c>
      <c r="AL277" s="15"/>
      <c r="AM277" s="51" t="s">
        <v>67</v>
      </c>
      <c r="AN277" s="51" t="s">
        <v>67</v>
      </c>
      <c r="AO277" s="50" t="s">
        <v>9554</v>
      </c>
    </row>
    <row r="278" spans="1:41" hidden="1" x14ac:dyDescent="0.25">
      <c r="A278" s="51" t="s">
        <v>2488</v>
      </c>
      <c r="B278" s="51" t="s">
        <v>2489</v>
      </c>
      <c r="C278" s="54" t="s">
        <v>5596</v>
      </c>
      <c r="D278" s="51" t="s">
        <v>1757</v>
      </c>
      <c r="E278" s="20">
        <v>17697.919999999998</v>
      </c>
      <c r="F278" s="20">
        <v>0</v>
      </c>
      <c r="G278" s="20">
        <v>16682.919999999998</v>
      </c>
      <c r="H278" s="20">
        <v>3870.86</v>
      </c>
      <c r="I278" s="20">
        <v>406.13</v>
      </c>
      <c r="J278" s="51" t="s">
        <v>6726</v>
      </c>
      <c r="K278" s="15">
        <v>0</v>
      </c>
      <c r="L278" s="51" t="s">
        <v>2371</v>
      </c>
      <c r="M278" s="51" t="s">
        <v>2490</v>
      </c>
      <c r="N278" s="51" t="s">
        <v>1340</v>
      </c>
      <c r="O278" s="51" t="s">
        <v>67</v>
      </c>
      <c r="P278" s="51" t="s">
        <v>67</v>
      </c>
      <c r="Q278" s="45">
        <v>46279.855863460645</v>
      </c>
      <c r="R278" s="46">
        <v>46300</v>
      </c>
      <c r="S278" s="46">
        <v>46295</v>
      </c>
      <c r="T278" s="51" t="s">
        <v>6119</v>
      </c>
      <c r="U278" s="15"/>
      <c r="V278" s="15"/>
      <c r="W278" s="15"/>
      <c r="X278" s="15"/>
      <c r="Y278" s="15"/>
      <c r="Z278" s="15"/>
      <c r="AA278" s="46"/>
      <c r="AB278" s="15"/>
      <c r="AC278" s="15"/>
      <c r="AD278" s="15"/>
      <c r="AE278" s="15"/>
      <c r="AF278" s="15"/>
      <c r="AG278" s="15"/>
      <c r="AH278" s="15"/>
      <c r="AI278" s="46"/>
      <c r="AJ278" s="51" t="s">
        <v>67</v>
      </c>
      <c r="AK278" s="51" t="s">
        <v>67</v>
      </c>
      <c r="AL278" s="15"/>
      <c r="AM278" s="51" t="s">
        <v>67</v>
      </c>
      <c r="AN278" s="51" t="s">
        <v>67</v>
      </c>
      <c r="AO278" s="50" t="s">
        <v>9554</v>
      </c>
    </row>
    <row r="279" spans="1:41" hidden="1" x14ac:dyDescent="0.25">
      <c r="A279" s="51" t="s">
        <v>2491</v>
      </c>
      <c r="B279" s="51" t="s">
        <v>2492</v>
      </c>
      <c r="C279" s="54" t="s">
        <v>608</v>
      </c>
      <c r="D279" s="51" t="s">
        <v>2019</v>
      </c>
      <c r="E279" s="20">
        <v>9369.85</v>
      </c>
      <c r="F279" s="20">
        <v>9044.93</v>
      </c>
      <c r="G279" s="20">
        <v>9262.94</v>
      </c>
      <c r="H279" s="20">
        <v>3870.86</v>
      </c>
      <c r="I279" s="20">
        <v>5175.1000000000004</v>
      </c>
      <c r="J279" s="51" t="s">
        <v>6726</v>
      </c>
      <c r="K279" s="15">
        <v>37</v>
      </c>
      <c r="L279" s="51" t="s">
        <v>2369</v>
      </c>
      <c r="M279" s="51" t="s">
        <v>2493</v>
      </c>
      <c r="N279" s="51" t="s">
        <v>1340</v>
      </c>
      <c r="O279" s="51" t="s">
        <v>2494</v>
      </c>
      <c r="P279" s="51" t="s">
        <v>1340</v>
      </c>
      <c r="Q279" s="45">
        <v>46279.856026319445</v>
      </c>
      <c r="R279" s="46">
        <v>46315</v>
      </c>
      <c r="S279" s="46">
        <v>46310</v>
      </c>
      <c r="T279" s="51" t="s">
        <v>6119</v>
      </c>
      <c r="U279" s="15">
        <v>808.66</v>
      </c>
      <c r="V279" s="15">
        <v>3732.26</v>
      </c>
      <c r="W279" s="15">
        <v>34.619999999999997</v>
      </c>
      <c r="X279" s="15">
        <v>14.18</v>
      </c>
      <c r="Y279" s="15">
        <v>1.6620600000000001</v>
      </c>
      <c r="Z279" s="15">
        <v>6</v>
      </c>
      <c r="AA279" s="46">
        <v>46254</v>
      </c>
      <c r="AB279" s="15"/>
      <c r="AC279" s="15"/>
      <c r="AD279" s="15"/>
      <c r="AE279" s="15"/>
      <c r="AF279" s="15"/>
      <c r="AG279" s="15"/>
      <c r="AH279" s="15"/>
      <c r="AI279" s="46"/>
      <c r="AJ279" s="51" t="s">
        <v>6121</v>
      </c>
      <c r="AK279" s="51" t="s">
        <v>6121</v>
      </c>
      <c r="AL279" s="15">
        <v>808.66</v>
      </c>
      <c r="AM279" s="51" t="s">
        <v>6705</v>
      </c>
      <c r="AN279" s="51" t="s">
        <v>6120</v>
      </c>
      <c r="AO279" s="50" t="s">
        <v>9554</v>
      </c>
    </row>
    <row r="280" spans="1:41" hidden="1" x14ac:dyDescent="0.25">
      <c r="A280" s="51" t="s">
        <v>2495</v>
      </c>
      <c r="B280" s="51" t="s">
        <v>2496</v>
      </c>
      <c r="C280" s="54" t="s">
        <v>611</v>
      </c>
      <c r="D280" s="51" t="s">
        <v>1605</v>
      </c>
      <c r="E280" s="20">
        <v>9208.98</v>
      </c>
      <c r="F280" s="20">
        <v>4655.04</v>
      </c>
      <c r="G280" s="20">
        <v>552.02</v>
      </c>
      <c r="H280" s="20">
        <v>6318.19</v>
      </c>
      <c r="I280" s="20">
        <v>4655.04</v>
      </c>
      <c r="J280" s="51" t="s">
        <v>6726</v>
      </c>
      <c r="K280" s="15">
        <v>0</v>
      </c>
      <c r="L280" s="51" t="s">
        <v>2371</v>
      </c>
      <c r="M280" s="51" t="s">
        <v>67</v>
      </c>
      <c r="N280" s="51" t="s">
        <v>67</v>
      </c>
      <c r="O280" s="51" t="s">
        <v>2497</v>
      </c>
      <c r="P280" s="51" t="s">
        <v>1340</v>
      </c>
      <c r="Q280" s="45">
        <v>46279.856105451392</v>
      </c>
      <c r="R280" s="46">
        <v>46320</v>
      </c>
      <c r="S280" s="46">
        <v>46315</v>
      </c>
      <c r="T280" s="51" t="s">
        <v>6119</v>
      </c>
      <c r="U280" s="15">
        <v>449.5</v>
      </c>
      <c r="V280" s="15">
        <v>2074.6</v>
      </c>
      <c r="W280" s="15">
        <v>19.239999999999998</v>
      </c>
      <c r="X280" s="15">
        <v>7.88</v>
      </c>
      <c r="Y280" s="15">
        <v>1.662061</v>
      </c>
      <c r="Z280" s="15">
        <v>6</v>
      </c>
      <c r="AA280" s="46">
        <v>46259</v>
      </c>
      <c r="AB280" s="15"/>
      <c r="AC280" s="15"/>
      <c r="AD280" s="15"/>
      <c r="AE280" s="15"/>
      <c r="AF280" s="15"/>
      <c r="AG280" s="15"/>
      <c r="AH280" s="15"/>
      <c r="AI280" s="46"/>
      <c r="AJ280" s="51" t="s">
        <v>67</v>
      </c>
      <c r="AK280" s="51" t="s">
        <v>6121</v>
      </c>
      <c r="AL280" s="15">
        <v>449.5</v>
      </c>
      <c r="AM280" s="51" t="s">
        <v>6705</v>
      </c>
      <c r="AN280" s="51" t="s">
        <v>6120</v>
      </c>
      <c r="AO280" s="50" t="s">
        <v>9554</v>
      </c>
    </row>
    <row r="281" spans="1:41" hidden="1" x14ac:dyDescent="0.25">
      <c r="A281" s="51" t="s">
        <v>2498</v>
      </c>
      <c r="B281" s="51" t="s">
        <v>2499</v>
      </c>
      <c r="C281" s="54" t="s">
        <v>607</v>
      </c>
      <c r="D281" s="51" t="s">
        <v>1879</v>
      </c>
      <c r="E281" s="20">
        <v>10311.98</v>
      </c>
      <c r="F281" s="20">
        <v>4014.92</v>
      </c>
      <c r="G281" s="20">
        <v>5772.33</v>
      </c>
      <c r="H281" s="20">
        <v>3870.86</v>
      </c>
      <c r="I281" s="20">
        <v>3575.9</v>
      </c>
      <c r="J281" s="51" t="s">
        <v>6725</v>
      </c>
      <c r="K281" s="15">
        <v>0</v>
      </c>
      <c r="L281" s="51" t="s">
        <v>2371</v>
      </c>
      <c r="M281" s="51" t="s">
        <v>2500</v>
      </c>
      <c r="N281" s="51" t="s">
        <v>1340</v>
      </c>
      <c r="O281" s="51" t="s">
        <v>2501</v>
      </c>
      <c r="P281" s="51" t="s">
        <v>1340</v>
      </c>
      <c r="Q281" s="45">
        <v>46279.85622483796</v>
      </c>
      <c r="R281" s="46">
        <v>46310</v>
      </c>
      <c r="S281" s="46">
        <v>46305</v>
      </c>
      <c r="T281" s="51" t="s">
        <v>6119</v>
      </c>
      <c r="U281" s="15">
        <v>848.05</v>
      </c>
      <c r="V281" s="15">
        <v>3921.84</v>
      </c>
      <c r="W281" s="15">
        <v>36.08</v>
      </c>
      <c r="X281" s="15">
        <v>14.9</v>
      </c>
      <c r="Y281" s="15">
        <v>1.662307</v>
      </c>
      <c r="Z281" s="15">
        <v>6</v>
      </c>
      <c r="AA281" s="46">
        <v>46280</v>
      </c>
      <c r="AB281" s="15"/>
      <c r="AC281" s="15"/>
      <c r="AD281" s="15"/>
      <c r="AE281" s="15"/>
      <c r="AF281" s="15"/>
      <c r="AG281" s="15"/>
      <c r="AH281" s="15"/>
      <c r="AI281" s="46"/>
      <c r="AJ281" s="51" t="s">
        <v>67</v>
      </c>
      <c r="AK281" s="51" t="s">
        <v>6121</v>
      </c>
      <c r="AL281" s="15">
        <v>848.05</v>
      </c>
      <c r="AM281" s="51" t="s">
        <v>67</v>
      </c>
      <c r="AN281" s="51" t="s">
        <v>67</v>
      </c>
      <c r="AO281" s="50" t="s">
        <v>9554</v>
      </c>
    </row>
    <row r="282" spans="1:41" hidden="1" x14ac:dyDescent="0.25">
      <c r="A282" s="51" t="s">
        <v>2502</v>
      </c>
      <c r="B282" s="51" t="s">
        <v>2503</v>
      </c>
      <c r="C282" s="54" t="s">
        <v>607</v>
      </c>
      <c r="D282" s="51" t="s">
        <v>2039</v>
      </c>
      <c r="E282" s="20">
        <v>15488.15</v>
      </c>
      <c r="F282" s="20">
        <v>874.51</v>
      </c>
      <c r="G282" s="20">
        <v>15132.39</v>
      </c>
      <c r="H282" s="20">
        <v>3870.86</v>
      </c>
      <c r="I282" s="20">
        <v>92.13</v>
      </c>
      <c r="J282" s="51" t="s">
        <v>6724</v>
      </c>
      <c r="K282" s="15">
        <v>0</v>
      </c>
      <c r="L282" s="51" t="s">
        <v>2371</v>
      </c>
      <c r="M282" s="51" t="s">
        <v>2504</v>
      </c>
      <c r="N282" s="51" t="s">
        <v>1340</v>
      </c>
      <c r="O282" s="51" t="s">
        <v>67</v>
      </c>
      <c r="P282" s="51" t="s">
        <v>67</v>
      </c>
      <c r="Q282" s="45">
        <v>46279.85645417824</v>
      </c>
      <c r="R282" s="46">
        <v>46310</v>
      </c>
      <c r="S282" s="46">
        <v>46305</v>
      </c>
      <c r="T282" s="51" t="s">
        <v>6119</v>
      </c>
      <c r="U282" s="15"/>
      <c r="V282" s="15"/>
      <c r="W282" s="15"/>
      <c r="X282" s="15"/>
      <c r="Y282" s="15"/>
      <c r="Z282" s="15"/>
      <c r="AA282" s="46"/>
      <c r="AB282" s="15"/>
      <c r="AC282" s="15"/>
      <c r="AD282" s="15"/>
      <c r="AE282" s="15"/>
      <c r="AF282" s="15"/>
      <c r="AG282" s="15"/>
      <c r="AH282" s="15"/>
      <c r="AI282" s="46"/>
      <c r="AJ282" s="51" t="s">
        <v>67</v>
      </c>
      <c r="AK282" s="51" t="s">
        <v>67</v>
      </c>
      <c r="AL282" s="15"/>
      <c r="AM282" s="51" t="s">
        <v>67</v>
      </c>
      <c r="AN282" s="51" t="s">
        <v>67</v>
      </c>
      <c r="AO282" s="50" t="s">
        <v>9554</v>
      </c>
    </row>
    <row r="283" spans="1:41" hidden="1" x14ac:dyDescent="0.25">
      <c r="A283" s="51" t="s">
        <v>2505</v>
      </c>
      <c r="B283" s="51" t="s">
        <v>2506</v>
      </c>
      <c r="C283" s="54" t="s">
        <v>607</v>
      </c>
      <c r="D283" s="51" t="s">
        <v>1907</v>
      </c>
      <c r="E283" s="20">
        <v>724.44</v>
      </c>
      <c r="F283" s="20">
        <v>197.3</v>
      </c>
      <c r="G283" s="20">
        <v>16594.53</v>
      </c>
      <c r="H283" s="20">
        <v>0</v>
      </c>
      <c r="I283" s="20">
        <v>591.91</v>
      </c>
      <c r="J283" s="51" t="s">
        <v>2654</v>
      </c>
      <c r="K283" s="15">
        <v>0</v>
      </c>
      <c r="L283" s="51" t="s">
        <v>2371</v>
      </c>
      <c r="M283" s="51" t="s">
        <v>2507</v>
      </c>
      <c r="N283" s="51" t="s">
        <v>1340</v>
      </c>
      <c r="O283" s="51" t="s">
        <v>67</v>
      </c>
      <c r="P283" s="51" t="s">
        <v>67</v>
      </c>
      <c r="Q283" s="45">
        <v>46279.893739953703</v>
      </c>
      <c r="R283" s="46">
        <v>46310</v>
      </c>
      <c r="S283" s="46">
        <v>46305</v>
      </c>
      <c r="T283" s="51" t="s">
        <v>6119</v>
      </c>
      <c r="U283" s="15"/>
      <c r="V283" s="15"/>
      <c r="W283" s="15"/>
      <c r="X283" s="15"/>
      <c r="Y283" s="15"/>
      <c r="Z283" s="15"/>
      <c r="AA283" s="46"/>
      <c r="AB283" s="15"/>
      <c r="AC283" s="15"/>
      <c r="AD283" s="15"/>
      <c r="AE283" s="15"/>
      <c r="AF283" s="15"/>
      <c r="AG283" s="15"/>
      <c r="AH283" s="15"/>
      <c r="AI283" s="46"/>
      <c r="AJ283" s="51" t="s">
        <v>67</v>
      </c>
      <c r="AK283" s="51" t="s">
        <v>67</v>
      </c>
      <c r="AL283" s="15"/>
      <c r="AM283" s="51" t="s">
        <v>67</v>
      </c>
      <c r="AN283" s="51" t="s">
        <v>67</v>
      </c>
      <c r="AO283" s="50" t="s">
        <v>9554</v>
      </c>
    </row>
    <row r="284" spans="1:41" hidden="1" x14ac:dyDescent="0.25">
      <c r="A284" s="51" t="s">
        <v>2508</v>
      </c>
      <c r="B284" s="51" t="s">
        <v>2509</v>
      </c>
      <c r="C284" s="54" t="s">
        <v>5596</v>
      </c>
      <c r="D284" s="51" t="s">
        <v>2104</v>
      </c>
      <c r="E284" s="20">
        <v>11632.27</v>
      </c>
      <c r="F284" s="20">
        <v>4173.3</v>
      </c>
      <c r="G284" s="20">
        <v>-709.56</v>
      </c>
      <c r="H284" s="20">
        <v>3870.86</v>
      </c>
      <c r="I284" s="20">
        <v>4173.3</v>
      </c>
      <c r="J284" s="51" t="s">
        <v>6725</v>
      </c>
      <c r="K284" s="15">
        <v>0</v>
      </c>
      <c r="L284" s="51" t="s">
        <v>2371</v>
      </c>
      <c r="M284" s="51" t="s">
        <v>2510</v>
      </c>
      <c r="N284" s="51" t="s">
        <v>1340</v>
      </c>
      <c r="O284" s="51" t="s">
        <v>67</v>
      </c>
      <c r="P284" s="51" t="s">
        <v>67</v>
      </c>
      <c r="Q284" s="45">
        <v>46279.894253576385</v>
      </c>
      <c r="R284" s="46">
        <v>46300</v>
      </c>
      <c r="S284" s="46">
        <v>46295</v>
      </c>
      <c r="T284" s="51" t="s">
        <v>6119</v>
      </c>
      <c r="U284" s="15">
        <v>763.24</v>
      </c>
      <c r="V284" s="15">
        <v>3529.66</v>
      </c>
      <c r="W284" s="15">
        <v>32.479999999999997</v>
      </c>
      <c r="X284" s="15">
        <v>13.41</v>
      </c>
      <c r="Y284" s="15">
        <v>1.6622539999999999</v>
      </c>
      <c r="Z284" s="15">
        <v>6</v>
      </c>
      <c r="AA284" s="46">
        <v>46270</v>
      </c>
      <c r="AB284" s="15"/>
      <c r="AC284" s="15"/>
      <c r="AD284" s="15"/>
      <c r="AE284" s="15"/>
      <c r="AF284" s="15"/>
      <c r="AG284" s="15"/>
      <c r="AH284" s="15"/>
      <c r="AI284" s="46"/>
      <c r="AJ284" s="51" t="s">
        <v>67</v>
      </c>
      <c r="AK284" s="51" t="s">
        <v>6121</v>
      </c>
      <c r="AL284" s="15">
        <v>848.05</v>
      </c>
      <c r="AM284" s="51" t="s">
        <v>6705</v>
      </c>
      <c r="AN284" s="51" t="s">
        <v>6713</v>
      </c>
      <c r="AO284" s="50" t="s">
        <v>9554</v>
      </c>
    </row>
    <row r="285" spans="1:41" hidden="1" x14ac:dyDescent="0.25">
      <c r="A285" s="51" t="s">
        <v>2511</v>
      </c>
      <c r="B285" s="51" t="s">
        <v>2512</v>
      </c>
      <c r="C285" s="54" t="s">
        <v>5596</v>
      </c>
      <c r="D285" s="51" t="s">
        <v>1886</v>
      </c>
      <c r="E285" s="20">
        <v>847.97</v>
      </c>
      <c r="F285" s="20">
        <v>5152.0200000000004</v>
      </c>
      <c r="G285" s="20">
        <v>13565.63</v>
      </c>
      <c r="H285" s="20">
        <v>3870.86</v>
      </c>
      <c r="I285" s="20">
        <v>5152.0200000000004</v>
      </c>
      <c r="J285" s="51" t="s">
        <v>6727</v>
      </c>
      <c r="K285" s="15">
        <v>21</v>
      </c>
      <c r="L285" s="51" t="s">
        <v>2369</v>
      </c>
      <c r="M285" s="51" t="s">
        <v>2513</v>
      </c>
      <c r="N285" s="51" t="s">
        <v>1340</v>
      </c>
      <c r="O285" s="51" t="s">
        <v>2514</v>
      </c>
      <c r="P285" s="51" t="s">
        <v>1340</v>
      </c>
      <c r="Q285" s="45">
        <v>46279.942514097223</v>
      </c>
      <c r="R285" s="46">
        <v>46300</v>
      </c>
      <c r="S285" s="46">
        <v>46295</v>
      </c>
      <c r="T285" s="51" t="s">
        <v>6119</v>
      </c>
      <c r="U285" s="15">
        <v>848.05</v>
      </c>
      <c r="V285" s="15">
        <v>3921.84</v>
      </c>
      <c r="W285" s="15">
        <v>36.08</v>
      </c>
      <c r="X285" s="15">
        <v>14.9</v>
      </c>
      <c r="Y285" s="15">
        <v>1.662307</v>
      </c>
      <c r="Z285" s="15">
        <v>6</v>
      </c>
      <c r="AA285" s="46">
        <v>46270</v>
      </c>
      <c r="AB285" s="15"/>
      <c r="AC285" s="15"/>
      <c r="AD285" s="15"/>
      <c r="AE285" s="15"/>
      <c r="AF285" s="15"/>
      <c r="AG285" s="15"/>
      <c r="AH285" s="15"/>
      <c r="AI285" s="46"/>
      <c r="AJ285" s="51" t="s">
        <v>6121</v>
      </c>
      <c r="AK285" s="51" t="s">
        <v>6121</v>
      </c>
      <c r="AL285" s="15">
        <v>848.05</v>
      </c>
      <c r="AM285" s="51" t="s">
        <v>67</v>
      </c>
      <c r="AN285" s="51" t="s">
        <v>67</v>
      </c>
      <c r="AO285" s="50" t="s">
        <v>9554</v>
      </c>
    </row>
    <row r="286" spans="1:41" hidden="1" x14ac:dyDescent="0.25">
      <c r="A286" s="51" t="s">
        <v>2515</v>
      </c>
      <c r="B286" s="51" t="s">
        <v>2516</v>
      </c>
      <c r="C286" s="54" t="s">
        <v>611</v>
      </c>
      <c r="D286" s="51" t="s">
        <v>1797</v>
      </c>
      <c r="E286" s="20">
        <v>3221.58</v>
      </c>
      <c r="F286" s="20">
        <v>5860.59</v>
      </c>
      <c r="G286" s="20">
        <v>5623.88</v>
      </c>
      <c r="H286" s="20">
        <v>5081.6099999999997</v>
      </c>
      <c r="I286" s="20">
        <v>5860.59</v>
      </c>
      <c r="J286" s="51" t="s">
        <v>6727</v>
      </c>
      <c r="K286" s="15">
        <v>32</v>
      </c>
      <c r="L286" s="51" t="s">
        <v>2369</v>
      </c>
      <c r="M286" s="51" t="s">
        <v>67</v>
      </c>
      <c r="N286" s="51" t="s">
        <v>67</v>
      </c>
      <c r="O286" s="51" t="s">
        <v>2517</v>
      </c>
      <c r="P286" s="51" t="s">
        <v>1344</v>
      </c>
      <c r="Q286" s="45">
        <v>46279.942597106485</v>
      </c>
      <c r="R286" s="46">
        <v>46320</v>
      </c>
      <c r="S286" s="46">
        <v>46315</v>
      </c>
      <c r="T286" s="51" t="s">
        <v>6119</v>
      </c>
      <c r="U286" s="15">
        <v>849.8</v>
      </c>
      <c r="V286" s="15">
        <v>3922.15</v>
      </c>
      <c r="W286" s="15">
        <v>36.39</v>
      </c>
      <c r="X286" s="15">
        <v>14.9</v>
      </c>
      <c r="Y286" s="15">
        <v>1.6620440000000001</v>
      </c>
      <c r="Z286" s="15">
        <v>6</v>
      </c>
      <c r="AA286" s="46">
        <v>46259</v>
      </c>
      <c r="AB286" s="15"/>
      <c r="AC286" s="15"/>
      <c r="AD286" s="15"/>
      <c r="AE286" s="15"/>
      <c r="AF286" s="15"/>
      <c r="AG286" s="15"/>
      <c r="AH286" s="15"/>
      <c r="AI286" s="46"/>
      <c r="AJ286" s="51" t="s">
        <v>6121</v>
      </c>
      <c r="AK286" s="51" t="s">
        <v>6121</v>
      </c>
      <c r="AL286" s="15">
        <v>849.8</v>
      </c>
      <c r="AM286" s="51" t="s">
        <v>67</v>
      </c>
      <c r="AN286" s="51" t="s">
        <v>67</v>
      </c>
      <c r="AO286" s="50" t="s">
        <v>9554</v>
      </c>
    </row>
    <row r="287" spans="1:41" hidden="1" x14ac:dyDescent="0.25">
      <c r="A287" s="51" t="s">
        <v>2518</v>
      </c>
      <c r="B287" s="51" t="s">
        <v>2519</v>
      </c>
      <c r="C287" s="54" t="s">
        <v>608</v>
      </c>
      <c r="D287" s="51" t="s">
        <v>2118</v>
      </c>
      <c r="E287" s="20">
        <v>9673.1200000000008</v>
      </c>
      <c r="F287" s="20">
        <v>8057.68</v>
      </c>
      <c r="G287" s="20">
        <v>2969.11</v>
      </c>
      <c r="H287" s="20">
        <v>3870.86</v>
      </c>
      <c r="I287" s="20">
        <v>5907.2</v>
      </c>
      <c r="J287" s="51" t="s">
        <v>6725</v>
      </c>
      <c r="K287" s="15">
        <v>0</v>
      </c>
      <c r="L287" s="51" t="s">
        <v>2371</v>
      </c>
      <c r="M287" s="51" t="s">
        <v>2520</v>
      </c>
      <c r="N287" s="51" t="s">
        <v>1340</v>
      </c>
      <c r="O287" s="51" t="s">
        <v>2521</v>
      </c>
      <c r="P287" s="51" t="s">
        <v>1340</v>
      </c>
      <c r="Q287" s="45">
        <v>46279.94265261574</v>
      </c>
      <c r="R287" s="46">
        <v>46315</v>
      </c>
      <c r="S287" s="46">
        <v>46310</v>
      </c>
      <c r="T287" s="51" t="s">
        <v>6119</v>
      </c>
      <c r="U287" s="15">
        <v>764.83</v>
      </c>
      <c r="V287" s="15">
        <v>3529.94</v>
      </c>
      <c r="W287" s="15">
        <v>32.76</v>
      </c>
      <c r="X287" s="15">
        <v>13.41</v>
      </c>
      <c r="Y287" s="15">
        <v>1.662183</v>
      </c>
      <c r="Z287" s="15">
        <v>6</v>
      </c>
      <c r="AA287" s="46">
        <v>46254</v>
      </c>
      <c r="AB287" s="15"/>
      <c r="AC287" s="15"/>
      <c r="AD287" s="15"/>
      <c r="AE287" s="15"/>
      <c r="AF287" s="15"/>
      <c r="AG287" s="15"/>
      <c r="AH287" s="15"/>
      <c r="AI287" s="46"/>
      <c r="AJ287" s="51" t="s">
        <v>67</v>
      </c>
      <c r="AK287" s="51" t="s">
        <v>6121</v>
      </c>
      <c r="AL287" s="15">
        <v>764.83</v>
      </c>
      <c r="AM287" s="51" t="s">
        <v>6705</v>
      </c>
      <c r="AN287" s="51" t="s">
        <v>6120</v>
      </c>
      <c r="AO287" s="50" t="s">
        <v>9554</v>
      </c>
    </row>
    <row r="288" spans="1:41" hidden="1" x14ac:dyDescent="0.25">
      <c r="A288" s="51" t="s">
        <v>2522</v>
      </c>
      <c r="B288" s="51" t="s">
        <v>2523</v>
      </c>
      <c r="C288" s="54" t="s">
        <v>608</v>
      </c>
      <c r="D288" s="51" t="s">
        <v>1628</v>
      </c>
      <c r="E288" s="20">
        <v>2715.54</v>
      </c>
      <c r="F288" s="20">
        <v>7907.87</v>
      </c>
      <c r="G288" s="20">
        <v>278.64999999999998</v>
      </c>
      <c r="H288" s="20">
        <v>3870.86</v>
      </c>
      <c r="I288" s="20">
        <v>4897.2</v>
      </c>
      <c r="J288" s="51" t="s">
        <v>6726</v>
      </c>
      <c r="K288" s="15">
        <v>0</v>
      </c>
      <c r="L288" s="51" t="s">
        <v>2371</v>
      </c>
      <c r="M288" s="51" t="s">
        <v>2524</v>
      </c>
      <c r="N288" s="51" t="s">
        <v>1340</v>
      </c>
      <c r="O288" s="51" t="s">
        <v>67</v>
      </c>
      <c r="P288" s="51" t="s">
        <v>67</v>
      </c>
      <c r="Q288" s="45">
        <v>46279.942934780091</v>
      </c>
      <c r="R288" s="46">
        <v>46315</v>
      </c>
      <c r="S288" s="46">
        <v>46310</v>
      </c>
      <c r="T288" s="51" t="s">
        <v>6119</v>
      </c>
      <c r="U288" s="15">
        <v>700.76</v>
      </c>
      <c r="V288" s="15">
        <v>3234.26</v>
      </c>
      <c r="W288" s="15">
        <v>30</v>
      </c>
      <c r="X288" s="15">
        <v>12.29</v>
      </c>
      <c r="Y288" s="15">
        <v>1.662072</v>
      </c>
      <c r="Z288" s="15">
        <v>6</v>
      </c>
      <c r="AA288" s="46">
        <v>46254</v>
      </c>
      <c r="AB288" s="15"/>
      <c r="AC288" s="15"/>
      <c r="AD288" s="15"/>
      <c r="AE288" s="15"/>
      <c r="AF288" s="15"/>
      <c r="AG288" s="15"/>
      <c r="AH288" s="15"/>
      <c r="AI288" s="46"/>
      <c r="AJ288" s="51" t="s">
        <v>67</v>
      </c>
      <c r="AK288" s="51" t="s">
        <v>6121</v>
      </c>
      <c r="AL288" s="15">
        <v>700.76</v>
      </c>
      <c r="AM288" s="51" t="s">
        <v>6705</v>
      </c>
      <c r="AN288" s="51" t="s">
        <v>6120</v>
      </c>
      <c r="AO288" s="50" t="s">
        <v>9554</v>
      </c>
    </row>
    <row r="289" spans="1:41" hidden="1" x14ac:dyDescent="0.25">
      <c r="A289" s="51" t="s">
        <v>2525</v>
      </c>
      <c r="B289" s="51" t="s">
        <v>2526</v>
      </c>
      <c r="C289" s="54" t="s">
        <v>608</v>
      </c>
      <c r="D289" s="51" t="s">
        <v>2095</v>
      </c>
      <c r="E289" s="20">
        <v>12758.39</v>
      </c>
      <c r="F289" s="20">
        <v>9097.61</v>
      </c>
      <c r="G289" s="20">
        <v>8297.59</v>
      </c>
      <c r="H289" s="20">
        <v>3870.86</v>
      </c>
      <c r="I289" s="20">
        <v>6086.94</v>
      </c>
      <c r="J289" s="51" t="s">
        <v>6726</v>
      </c>
      <c r="K289" s="15">
        <v>37</v>
      </c>
      <c r="L289" s="51" t="s">
        <v>2369</v>
      </c>
      <c r="M289" s="51" t="s">
        <v>2527</v>
      </c>
      <c r="N289" s="51" t="s">
        <v>1340</v>
      </c>
      <c r="O289" s="51" t="s">
        <v>2528</v>
      </c>
      <c r="P289" s="51" t="s">
        <v>1340</v>
      </c>
      <c r="Q289" s="45">
        <v>46279.943204444447</v>
      </c>
      <c r="R289" s="46">
        <v>46315</v>
      </c>
      <c r="S289" s="46">
        <v>46310</v>
      </c>
      <c r="T289" s="51" t="s">
        <v>6119</v>
      </c>
      <c r="U289" s="15">
        <v>793.78</v>
      </c>
      <c r="V289" s="15">
        <v>3663.59</v>
      </c>
      <c r="W289" s="15">
        <v>33.979999999999997</v>
      </c>
      <c r="X289" s="15">
        <v>13.92</v>
      </c>
      <c r="Y289" s="15">
        <v>1.662037</v>
      </c>
      <c r="Z289" s="15">
        <v>6</v>
      </c>
      <c r="AA289" s="46">
        <v>46254</v>
      </c>
      <c r="AB289" s="15"/>
      <c r="AC289" s="15"/>
      <c r="AD289" s="15"/>
      <c r="AE289" s="15"/>
      <c r="AF289" s="15"/>
      <c r="AG289" s="15"/>
      <c r="AH289" s="15"/>
      <c r="AI289" s="46"/>
      <c r="AJ289" s="51" t="s">
        <v>6121</v>
      </c>
      <c r="AK289" s="51" t="s">
        <v>6121</v>
      </c>
      <c r="AL289" s="15">
        <v>793.78</v>
      </c>
      <c r="AM289" s="51" t="s">
        <v>6705</v>
      </c>
      <c r="AN289" s="51" t="s">
        <v>6120</v>
      </c>
      <c r="AO289" s="50" t="s">
        <v>9554</v>
      </c>
    </row>
    <row r="290" spans="1:41" hidden="1" x14ac:dyDescent="0.25">
      <c r="A290" s="51" t="s">
        <v>2529</v>
      </c>
      <c r="B290" s="51" t="s">
        <v>2530</v>
      </c>
      <c r="C290" s="54" t="s">
        <v>608</v>
      </c>
      <c r="D290" s="51" t="s">
        <v>2042</v>
      </c>
      <c r="E290" s="20">
        <v>5179.29</v>
      </c>
      <c r="F290" s="20">
        <v>0</v>
      </c>
      <c r="G290" s="20">
        <v>21501.01</v>
      </c>
      <c r="H290" s="20">
        <v>0</v>
      </c>
      <c r="I290" s="20">
        <v>517.16999999999996</v>
      </c>
      <c r="J290" s="51" t="s">
        <v>2654</v>
      </c>
      <c r="K290" s="15">
        <v>0</v>
      </c>
      <c r="L290" s="51" t="s">
        <v>2371</v>
      </c>
      <c r="M290" s="51" t="s">
        <v>2531</v>
      </c>
      <c r="N290" s="51" t="s">
        <v>1340</v>
      </c>
      <c r="O290" s="51" t="s">
        <v>2532</v>
      </c>
      <c r="P290" s="51" t="s">
        <v>1340</v>
      </c>
      <c r="Q290" s="45">
        <v>46279.953190729168</v>
      </c>
      <c r="R290" s="46">
        <v>46315</v>
      </c>
      <c r="S290" s="46">
        <v>46310</v>
      </c>
      <c r="T290" s="51" t="s">
        <v>6119</v>
      </c>
      <c r="U290" s="15"/>
      <c r="V290" s="15"/>
      <c r="W290" s="15"/>
      <c r="X290" s="15"/>
      <c r="Y290" s="15"/>
      <c r="Z290" s="15"/>
      <c r="AA290" s="46"/>
      <c r="AB290" s="15"/>
      <c r="AC290" s="15"/>
      <c r="AD290" s="15"/>
      <c r="AE290" s="15"/>
      <c r="AF290" s="15"/>
      <c r="AG290" s="15"/>
      <c r="AH290" s="15"/>
      <c r="AI290" s="46"/>
      <c r="AJ290" s="51" t="s">
        <v>67</v>
      </c>
      <c r="AK290" s="51" t="s">
        <v>67</v>
      </c>
      <c r="AL290" s="15"/>
      <c r="AM290" s="51" t="s">
        <v>67</v>
      </c>
      <c r="AN290" s="51" t="s">
        <v>67</v>
      </c>
      <c r="AO290" s="50" t="s">
        <v>9554</v>
      </c>
    </row>
    <row r="291" spans="1:41" hidden="1" x14ac:dyDescent="0.25">
      <c r="A291" s="51" t="s">
        <v>2542</v>
      </c>
      <c r="B291" s="51" t="s">
        <v>2543</v>
      </c>
      <c r="C291" s="54" t="s">
        <v>611</v>
      </c>
      <c r="D291" s="51" t="s">
        <v>2544</v>
      </c>
      <c r="E291" s="20">
        <v>6428.54</v>
      </c>
      <c r="F291" s="20">
        <v>852.7</v>
      </c>
      <c r="G291" s="20">
        <v>6979.76</v>
      </c>
      <c r="H291" s="20">
        <v>828.38</v>
      </c>
      <c r="I291" s="20">
        <v>852.7</v>
      </c>
      <c r="J291" s="51" t="s">
        <v>6727</v>
      </c>
      <c r="K291" s="15">
        <v>1</v>
      </c>
      <c r="L291" s="51" t="s">
        <v>2369</v>
      </c>
      <c r="M291" s="51" t="s">
        <v>67</v>
      </c>
      <c r="N291" s="51" t="s">
        <v>67</v>
      </c>
      <c r="O291" s="51" t="s">
        <v>2545</v>
      </c>
      <c r="P291" s="51" t="s">
        <v>1344</v>
      </c>
      <c r="Q291" s="45">
        <v>46280.835939351855</v>
      </c>
      <c r="R291" s="46">
        <v>46320</v>
      </c>
      <c r="S291" s="46">
        <v>46315</v>
      </c>
      <c r="T291" s="51" t="s">
        <v>6119</v>
      </c>
      <c r="U291" s="15"/>
      <c r="V291" s="15"/>
      <c r="W291" s="15"/>
      <c r="X291" s="15"/>
      <c r="Y291" s="15"/>
      <c r="Z291" s="15"/>
      <c r="AA291" s="46"/>
      <c r="AB291" s="15"/>
      <c r="AC291" s="15"/>
      <c r="AD291" s="15"/>
      <c r="AE291" s="15"/>
      <c r="AF291" s="15"/>
      <c r="AG291" s="15"/>
      <c r="AH291" s="15"/>
      <c r="AI291" s="46"/>
      <c r="AJ291" s="51" t="s">
        <v>67</v>
      </c>
      <c r="AK291" s="51" t="s">
        <v>67</v>
      </c>
      <c r="AL291" s="15"/>
      <c r="AM291" s="51" t="s">
        <v>67</v>
      </c>
      <c r="AN291" s="51" t="s">
        <v>67</v>
      </c>
      <c r="AO291" s="50" t="s">
        <v>9554</v>
      </c>
    </row>
    <row r="292" spans="1:41" hidden="1" x14ac:dyDescent="0.25">
      <c r="A292" s="51" t="s">
        <v>2546</v>
      </c>
      <c r="B292" s="51" t="s">
        <v>2547</v>
      </c>
      <c r="C292" s="54" t="s">
        <v>5596</v>
      </c>
      <c r="D292" s="51" t="s">
        <v>2548</v>
      </c>
      <c r="E292" s="20">
        <v>6391.97</v>
      </c>
      <c r="F292" s="20">
        <v>3747.47</v>
      </c>
      <c r="G292" s="20">
        <v>3951.73</v>
      </c>
      <c r="H292" s="20">
        <v>3870.86</v>
      </c>
      <c r="I292" s="20">
        <v>3747.47</v>
      </c>
      <c r="J292" s="51" t="s">
        <v>6726</v>
      </c>
      <c r="K292" s="15">
        <v>0</v>
      </c>
      <c r="L292" s="51" t="s">
        <v>2371</v>
      </c>
      <c r="M292" s="51" t="s">
        <v>2549</v>
      </c>
      <c r="N292" s="51" t="s">
        <v>1340</v>
      </c>
      <c r="O292" s="51" t="s">
        <v>2550</v>
      </c>
      <c r="P292" s="51" t="s">
        <v>1340</v>
      </c>
      <c r="Q292" s="45">
        <v>46280.836083310183</v>
      </c>
      <c r="R292" s="46">
        <v>46300</v>
      </c>
      <c r="S292" s="46">
        <v>46295</v>
      </c>
      <c r="T292" s="51" t="s">
        <v>6119</v>
      </c>
      <c r="U292" s="15">
        <v>709.41</v>
      </c>
      <c r="V292" s="15">
        <v>3280.69</v>
      </c>
      <c r="W292" s="15">
        <v>30.18</v>
      </c>
      <c r="X292" s="15">
        <v>12.46</v>
      </c>
      <c r="Y292" s="15">
        <v>1.6623019999999999</v>
      </c>
      <c r="Z292" s="15">
        <v>6</v>
      </c>
      <c r="AA292" s="46">
        <v>46270</v>
      </c>
      <c r="AB292" s="15"/>
      <c r="AC292" s="15"/>
      <c r="AD292" s="15"/>
      <c r="AE292" s="15"/>
      <c r="AF292" s="15"/>
      <c r="AG292" s="15"/>
      <c r="AH292" s="15"/>
      <c r="AI292" s="46"/>
      <c r="AJ292" s="51" t="s">
        <v>67</v>
      </c>
      <c r="AK292" s="51" t="s">
        <v>6121</v>
      </c>
      <c r="AL292" s="15">
        <v>709.41</v>
      </c>
      <c r="AM292" s="51" t="s">
        <v>6705</v>
      </c>
      <c r="AN292" s="51" t="s">
        <v>6120</v>
      </c>
      <c r="AO292" s="50" t="s">
        <v>9554</v>
      </c>
    </row>
    <row r="293" spans="1:41" hidden="1" x14ac:dyDescent="0.25">
      <c r="A293" s="51" t="s">
        <v>2551</v>
      </c>
      <c r="B293" s="51" t="s">
        <v>2552</v>
      </c>
      <c r="C293" s="54" t="s">
        <v>605</v>
      </c>
      <c r="D293" s="51" t="s">
        <v>2553</v>
      </c>
      <c r="E293" s="20">
        <v>15365.46</v>
      </c>
      <c r="F293" s="20">
        <v>542.34</v>
      </c>
      <c r="G293" s="20">
        <v>8704.34</v>
      </c>
      <c r="H293" s="20">
        <v>3870.86</v>
      </c>
      <c r="I293" s="20">
        <v>542.34</v>
      </c>
      <c r="J293" s="51" t="s">
        <v>6724</v>
      </c>
      <c r="K293" s="15">
        <v>0</v>
      </c>
      <c r="L293" s="51" t="s">
        <v>2371</v>
      </c>
      <c r="M293" s="51" t="s">
        <v>2554</v>
      </c>
      <c r="N293" s="51" t="s">
        <v>1340</v>
      </c>
      <c r="O293" s="51" t="s">
        <v>67</v>
      </c>
      <c r="P293" s="51" t="s">
        <v>67</v>
      </c>
      <c r="Q293" s="45">
        <v>46280.836234988426</v>
      </c>
      <c r="R293" s="46">
        <v>46305</v>
      </c>
      <c r="S293" s="46">
        <v>46300</v>
      </c>
      <c r="T293" s="51" t="s">
        <v>6119</v>
      </c>
      <c r="U293" s="15"/>
      <c r="V293" s="15"/>
      <c r="W293" s="15"/>
      <c r="X293" s="15"/>
      <c r="Y293" s="15"/>
      <c r="Z293" s="15"/>
      <c r="AA293" s="46"/>
      <c r="AB293" s="15"/>
      <c r="AC293" s="15"/>
      <c r="AD293" s="15"/>
      <c r="AE293" s="15"/>
      <c r="AF293" s="15"/>
      <c r="AG293" s="15"/>
      <c r="AH293" s="15"/>
      <c r="AI293" s="46"/>
      <c r="AJ293" s="51" t="s">
        <v>67</v>
      </c>
      <c r="AK293" s="51" t="s">
        <v>67</v>
      </c>
      <c r="AL293" s="15"/>
      <c r="AM293" s="51" t="s">
        <v>67</v>
      </c>
      <c r="AN293" s="51" t="s">
        <v>67</v>
      </c>
      <c r="AO293" s="50" t="s">
        <v>9554</v>
      </c>
    </row>
    <row r="294" spans="1:41" hidden="1" x14ac:dyDescent="0.25">
      <c r="A294" s="51" t="s">
        <v>2555</v>
      </c>
      <c r="B294" s="51" t="s">
        <v>2556</v>
      </c>
      <c r="C294" s="54" t="s">
        <v>5596</v>
      </c>
      <c r="D294" s="51" t="s">
        <v>2557</v>
      </c>
      <c r="E294" s="20">
        <v>8010.97</v>
      </c>
      <c r="F294" s="20">
        <v>883.91</v>
      </c>
      <c r="G294" s="20">
        <v>7274.47</v>
      </c>
      <c r="H294" s="20">
        <v>3870.86</v>
      </c>
      <c r="I294" s="20">
        <v>883.91</v>
      </c>
      <c r="J294" s="51" t="s">
        <v>6724</v>
      </c>
      <c r="K294" s="15">
        <v>0</v>
      </c>
      <c r="L294" s="51" t="s">
        <v>2371</v>
      </c>
      <c r="M294" s="51" t="s">
        <v>67</v>
      </c>
      <c r="N294" s="51" t="s">
        <v>67</v>
      </c>
      <c r="O294" s="51" t="s">
        <v>2558</v>
      </c>
      <c r="P294" s="51" t="s">
        <v>1340</v>
      </c>
      <c r="Q294" s="45">
        <v>46280.836424733796</v>
      </c>
      <c r="R294" s="46">
        <v>46300</v>
      </c>
      <c r="S294" s="46">
        <v>46295</v>
      </c>
      <c r="T294" s="51" t="s">
        <v>6119</v>
      </c>
      <c r="U294" s="15"/>
      <c r="V294" s="15"/>
      <c r="W294" s="15"/>
      <c r="X294" s="15"/>
      <c r="Y294" s="15"/>
      <c r="Z294" s="15"/>
      <c r="AA294" s="46"/>
      <c r="AB294" s="15"/>
      <c r="AC294" s="15"/>
      <c r="AD294" s="15"/>
      <c r="AE294" s="15"/>
      <c r="AF294" s="15"/>
      <c r="AG294" s="15"/>
      <c r="AH294" s="15"/>
      <c r="AI294" s="46"/>
      <c r="AJ294" s="51" t="s">
        <v>67</v>
      </c>
      <c r="AK294" s="51" t="s">
        <v>67</v>
      </c>
      <c r="AL294" s="15"/>
      <c r="AM294" s="51" t="s">
        <v>67</v>
      </c>
      <c r="AN294" s="51" t="s">
        <v>67</v>
      </c>
      <c r="AO294" s="50" t="s">
        <v>9554</v>
      </c>
    </row>
    <row r="295" spans="1:41" hidden="1" x14ac:dyDescent="0.25">
      <c r="A295" s="51" t="s">
        <v>2559</v>
      </c>
      <c r="B295" s="51" t="s">
        <v>2560</v>
      </c>
      <c r="C295" s="54" t="s">
        <v>5596</v>
      </c>
      <c r="D295" s="51" t="s">
        <v>2561</v>
      </c>
      <c r="E295" s="20">
        <v>11350.58</v>
      </c>
      <c r="F295" s="20">
        <v>619.35</v>
      </c>
      <c r="G295" s="20">
        <v>9016.91</v>
      </c>
      <c r="H295" s="20">
        <v>3870.86</v>
      </c>
      <c r="I295" s="20">
        <v>619.35</v>
      </c>
      <c r="J295" s="51" t="s">
        <v>6724</v>
      </c>
      <c r="K295" s="15">
        <v>0</v>
      </c>
      <c r="L295" s="51" t="s">
        <v>2371</v>
      </c>
      <c r="M295" s="51" t="s">
        <v>67</v>
      </c>
      <c r="N295" s="51" t="s">
        <v>67</v>
      </c>
      <c r="O295" s="51" t="s">
        <v>2562</v>
      </c>
      <c r="P295" s="51" t="s">
        <v>1340</v>
      </c>
      <c r="Q295" s="45">
        <v>46280.836768159723</v>
      </c>
      <c r="R295" s="46">
        <v>46300</v>
      </c>
      <c r="S295" s="46">
        <v>46295</v>
      </c>
      <c r="T295" s="51" t="s">
        <v>6119</v>
      </c>
      <c r="U295" s="15"/>
      <c r="V295" s="15"/>
      <c r="W295" s="15"/>
      <c r="X295" s="15"/>
      <c r="Y295" s="15"/>
      <c r="Z295" s="15"/>
      <c r="AA295" s="46"/>
      <c r="AB295" s="15"/>
      <c r="AC295" s="15"/>
      <c r="AD295" s="15"/>
      <c r="AE295" s="15"/>
      <c r="AF295" s="15"/>
      <c r="AG295" s="15"/>
      <c r="AH295" s="15"/>
      <c r="AI295" s="46"/>
      <c r="AJ295" s="51" t="s">
        <v>67</v>
      </c>
      <c r="AK295" s="51" t="s">
        <v>67</v>
      </c>
      <c r="AL295" s="15"/>
      <c r="AM295" s="51" t="s">
        <v>67</v>
      </c>
      <c r="AN295" s="51" t="s">
        <v>67</v>
      </c>
      <c r="AO295" s="50" t="s">
        <v>9554</v>
      </c>
    </row>
    <row r="296" spans="1:41" hidden="1" x14ac:dyDescent="0.25">
      <c r="A296" s="51" t="s">
        <v>2563</v>
      </c>
      <c r="B296" s="51" t="s">
        <v>2564</v>
      </c>
      <c r="C296" s="54" t="s">
        <v>5596</v>
      </c>
      <c r="D296" s="51" t="s">
        <v>2565</v>
      </c>
      <c r="E296" s="20">
        <v>13719.26</v>
      </c>
      <c r="F296" s="20">
        <v>4909.3900000000003</v>
      </c>
      <c r="G296" s="20">
        <v>10542.65</v>
      </c>
      <c r="H296" s="20">
        <v>3870.86</v>
      </c>
      <c r="I296" s="20">
        <v>4909.3900000000003</v>
      </c>
      <c r="J296" s="51" t="s">
        <v>6727</v>
      </c>
      <c r="K296" s="15">
        <v>21</v>
      </c>
      <c r="L296" s="51" t="s">
        <v>2369</v>
      </c>
      <c r="M296" s="51" t="s">
        <v>2566</v>
      </c>
      <c r="N296" s="51" t="s">
        <v>1340</v>
      </c>
      <c r="O296" s="51" t="s">
        <v>2567</v>
      </c>
      <c r="P296" s="51" t="s">
        <v>1340</v>
      </c>
      <c r="Q296" s="45">
        <v>46280.836855347225</v>
      </c>
      <c r="R296" s="46">
        <v>46300</v>
      </c>
      <c r="S296" s="46">
        <v>46295</v>
      </c>
      <c r="T296" s="51" t="s">
        <v>6119</v>
      </c>
      <c r="U296" s="15">
        <v>848.05</v>
      </c>
      <c r="V296" s="15">
        <v>3921.84</v>
      </c>
      <c r="W296" s="15">
        <v>36.08</v>
      </c>
      <c r="X296" s="15">
        <v>14.9</v>
      </c>
      <c r="Y296" s="15">
        <v>1.662307</v>
      </c>
      <c r="Z296" s="15">
        <v>6</v>
      </c>
      <c r="AA296" s="46">
        <v>46270</v>
      </c>
      <c r="AB296" s="15"/>
      <c r="AC296" s="15"/>
      <c r="AD296" s="15"/>
      <c r="AE296" s="15"/>
      <c r="AF296" s="15"/>
      <c r="AG296" s="15"/>
      <c r="AH296" s="15"/>
      <c r="AI296" s="46"/>
      <c r="AJ296" s="51" t="s">
        <v>6121</v>
      </c>
      <c r="AK296" s="51" t="s">
        <v>6121</v>
      </c>
      <c r="AL296" s="15">
        <v>848.05</v>
      </c>
      <c r="AM296" s="51" t="s">
        <v>67</v>
      </c>
      <c r="AN296" s="51" t="s">
        <v>67</v>
      </c>
      <c r="AO296" s="50" t="s">
        <v>9554</v>
      </c>
    </row>
    <row r="297" spans="1:41" hidden="1" x14ac:dyDescent="0.25">
      <c r="A297" s="51" t="s">
        <v>2568</v>
      </c>
      <c r="B297" s="51" t="s">
        <v>2569</v>
      </c>
      <c r="C297" s="54" t="s">
        <v>608</v>
      </c>
      <c r="D297" s="51" t="s">
        <v>2570</v>
      </c>
      <c r="E297" s="20">
        <v>11317.4</v>
      </c>
      <c r="F297" s="20">
        <v>8507.48</v>
      </c>
      <c r="G297" s="20">
        <v>1163.97</v>
      </c>
      <c r="H297" s="20">
        <v>3870.86</v>
      </c>
      <c r="I297" s="20">
        <v>6787.1</v>
      </c>
      <c r="J297" s="51" t="s">
        <v>6727</v>
      </c>
      <c r="K297" s="15">
        <v>37</v>
      </c>
      <c r="L297" s="51" t="s">
        <v>2369</v>
      </c>
      <c r="M297" s="51" t="s">
        <v>2571</v>
      </c>
      <c r="N297" s="51" t="s">
        <v>1340</v>
      </c>
      <c r="O297" s="51" t="s">
        <v>2572</v>
      </c>
      <c r="P297" s="51" t="s">
        <v>1340</v>
      </c>
      <c r="Q297" s="45">
        <v>46280.836999664352</v>
      </c>
      <c r="R297" s="46">
        <v>46315</v>
      </c>
      <c r="S297" s="46">
        <v>46310</v>
      </c>
      <c r="T297" s="51" t="s">
        <v>6119</v>
      </c>
      <c r="U297" s="15">
        <v>849.8</v>
      </c>
      <c r="V297" s="15">
        <v>3922.15</v>
      </c>
      <c r="W297" s="15">
        <v>36.39</v>
      </c>
      <c r="X297" s="15">
        <v>14.9</v>
      </c>
      <c r="Y297" s="15">
        <v>1.6620440000000001</v>
      </c>
      <c r="Z297" s="15">
        <v>6</v>
      </c>
      <c r="AA297" s="46">
        <v>46254</v>
      </c>
      <c r="AB297" s="15"/>
      <c r="AC297" s="15"/>
      <c r="AD297" s="15"/>
      <c r="AE297" s="15"/>
      <c r="AF297" s="15"/>
      <c r="AG297" s="15"/>
      <c r="AH297" s="15"/>
      <c r="AI297" s="46"/>
      <c r="AJ297" s="51" t="s">
        <v>6121</v>
      </c>
      <c r="AK297" s="51" t="s">
        <v>6121</v>
      </c>
      <c r="AL297" s="15">
        <v>849.8</v>
      </c>
      <c r="AM297" s="51" t="s">
        <v>67</v>
      </c>
      <c r="AN297" s="51" t="s">
        <v>67</v>
      </c>
      <c r="AO297" s="50" t="s">
        <v>9554</v>
      </c>
    </row>
    <row r="298" spans="1:41" hidden="1" x14ac:dyDescent="0.25">
      <c r="A298" s="51" t="s">
        <v>2573</v>
      </c>
      <c r="B298" s="51" t="s">
        <v>2574</v>
      </c>
      <c r="C298" s="54" t="s">
        <v>5596</v>
      </c>
      <c r="D298" s="51" t="s">
        <v>2575</v>
      </c>
      <c r="E298" s="20">
        <v>7492.92</v>
      </c>
      <c r="F298" s="20">
        <v>4888.78</v>
      </c>
      <c r="G298" s="20">
        <v>5998.91</v>
      </c>
      <c r="H298" s="20">
        <v>3870.86</v>
      </c>
      <c r="I298" s="20">
        <v>4888.7700000000004</v>
      </c>
      <c r="J298" s="51" t="s">
        <v>6727</v>
      </c>
      <c r="K298" s="15">
        <v>21</v>
      </c>
      <c r="L298" s="51" t="s">
        <v>2369</v>
      </c>
      <c r="M298" s="51" t="s">
        <v>67</v>
      </c>
      <c r="N298" s="51" t="s">
        <v>67</v>
      </c>
      <c r="O298" s="51" t="s">
        <v>2576</v>
      </c>
      <c r="P298" s="51" t="s">
        <v>1340</v>
      </c>
      <c r="Q298" s="45">
        <v>46280.837455023146</v>
      </c>
      <c r="R298" s="46">
        <v>46300</v>
      </c>
      <c r="S298" s="46">
        <v>46295</v>
      </c>
      <c r="T298" s="51" t="s">
        <v>6119</v>
      </c>
      <c r="U298" s="15">
        <v>848.05</v>
      </c>
      <c r="V298" s="15">
        <v>3921.84</v>
      </c>
      <c r="W298" s="15">
        <v>36.08</v>
      </c>
      <c r="X298" s="15">
        <v>14.9</v>
      </c>
      <c r="Y298" s="15">
        <v>1.662307</v>
      </c>
      <c r="Z298" s="15">
        <v>6</v>
      </c>
      <c r="AA298" s="46">
        <v>46270</v>
      </c>
      <c r="AB298" s="15"/>
      <c r="AC298" s="15"/>
      <c r="AD298" s="15"/>
      <c r="AE298" s="15"/>
      <c r="AF298" s="15"/>
      <c r="AG298" s="15"/>
      <c r="AH298" s="15"/>
      <c r="AI298" s="46"/>
      <c r="AJ298" s="51" t="s">
        <v>6121</v>
      </c>
      <c r="AK298" s="51" t="s">
        <v>6121</v>
      </c>
      <c r="AL298" s="15">
        <v>848.05</v>
      </c>
      <c r="AM298" s="51" t="s">
        <v>67</v>
      </c>
      <c r="AN298" s="51" t="s">
        <v>67</v>
      </c>
      <c r="AO298" s="50" t="s">
        <v>9554</v>
      </c>
    </row>
    <row r="299" spans="1:41" hidden="1" x14ac:dyDescent="0.25">
      <c r="A299" s="51" t="s">
        <v>2577</v>
      </c>
      <c r="B299" s="51" t="s">
        <v>2578</v>
      </c>
      <c r="C299" s="54" t="s">
        <v>5596</v>
      </c>
      <c r="D299" s="51" t="s">
        <v>2579</v>
      </c>
      <c r="E299" s="20">
        <v>8150.45</v>
      </c>
      <c r="F299" s="20">
        <v>835.49</v>
      </c>
      <c r="G299" s="20">
        <v>14346.21</v>
      </c>
      <c r="H299" s="20">
        <v>0</v>
      </c>
      <c r="I299" s="20">
        <v>835.49</v>
      </c>
      <c r="J299" s="51" t="s">
        <v>2654</v>
      </c>
      <c r="K299" s="15">
        <v>0</v>
      </c>
      <c r="L299" s="51" t="s">
        <v>2371</v>
      </c>
      <c r="M299" s="51" t="s">
        <v>2580</v>
      </c>
      <c r="N299" s="51" t="s">
        <v>1344</v>
      </c>
      <c r="O299" s="51" t="s">
        <v>2581</v>
      </c>
      <c r="P299" s="51" t="s">
        <v>1344</v>
      </c>
      <c r="Q299" s="45">
        <v>46280.837568101852</v>
      </c>
      <c r="R299" s="46">
        <v>46300</v>
      </c>
      <c r="S299" s="46">
        <v>46295</v>
      </c>
      <c r="T299" s="51" t="s">
        <v>6119</v>
      </c>
      <c r="U299" s="15"/>
      <c r="V299" s="15"/>
      <c r="W299" s="15"/>
      <c r="X299" s="15"/>
      <c r="Y299" s="15"/>
      <c r="Z299" s="15"/>
      <c r="AA299" s="46"/>
      <c r="AB299" s="15"/>
      <c r="AC299" s="15"/>
      <c r="AD299" s="15"/>
      <c r="AE299" s="15"/>
      <c r="AF299" s="15"/>
      <c r="AG299" s="15"/>
      <c r="AH299" s="15"/>
      <c r="AI299" s="46"/>
      <c r="AJ299" s="51" t="s">
        <v>67</v>
      </c>
      <c r="AK299" s="51" t="s">
        <v>67</v>
      </c>
      <c r="AL299" s="15"/>
      <c r="AM299" s="51" t="s">
        <v>67</v>
      </c>
      <c r="AN299" s="51" t="s">
        <v>67</v>
      </c>
      <c r="AO299" s="50" t="s">
        <v>9554</v>
      </c>
    </row>
    <row r="300" spans="1:41" hidden="1" x14ac:dyDescent="0.25">
      <c r="A300" s="51" t="s">
        <v>2582</v>
      </c>
      <c r="B300" s="51" t="s">
        <v>2583</v>
      </c>
      <c r="C300" s="54" t="s">
        <v>611</v>
      </c>
      <c r="D300" s="51" t="s">
        <v>2584</v>
      </c>
      <c r="E300" s="20">
        <v>15220.9</v>
      </c>
      <c r="F300" s="20">
        <v>980.9</v>
      </c>
      <c r="G300" s="20">
        <v>12416.16</v>
      </c>
      <c r="H300" s="20">
        <v>952.93</v>
      </c>
      <c r="I300" s="20">
        <v>980.9</v>
      </c>
      <c r="J300" s="51" t="s">
        <v>6727</v>
      </c>
      <c r="K300" s="15">
        <v>1</v>
      </c>
      <c r="L300" s="51" t="s">
        <v>2369</v>
      </c>
      <c r="M300" s="51" t="s">
        <v>2585</v>
      </c>
      <c r="N300" s="51" t="s">
        <v>1340</v>
      </c>
      <c r="O300" s="51" t="s">
        <v>2586</v>
      </c>
      <c r="P300" s="51" t="s">
        <v>1340</v>
      </c>
      <c r="Q300" s="45">
        <v>46280.837710347223</v>
      </c>
      <c r="R300" s="46">
        <v>46320</v>
      </c>
      <c r="S300" s="46">
        <v>46315</v>
      </c>
      <c r="T300" s="51" t="s">
        <v>6119</v>
      </c>
      <c r="U300" s="15"/>
      <c r="V300" s="15"/>
      <c r="W300" s="15"/>
      <c r="X300" s="15"/>
      <c r="Y300" s="15"/>
      <c r="Z300" s="15"/>
      <c r="AA300" s="46"/>
      <c r="AB300" s="15"/>
      <c r="AC300" s="15"/>
      <c r="AD300" s="15"/>
      <c r="AE300" s="15"/>
      <c r="AF300" s="15"/>
      <c r="AG300" s="15"/>
      <c r="AH300" s="15"/>
      <c r="AI300" s="46"/>
      <c r="AJ300" s="51" t="s">
        <v>67</v>
      </c>
      <c r="AK300" s="51" t="s">
        <v>67</v>
      </c>
      <c r="AL300" s="15"/>
      <c r="AM300" s="51" t="s">
        <v>67</v>
      </c>
      <c r="AN300" s="51" t="s">
        <v>67</v>
      </c>
      <c r="AO300" s="50" t="s">
        <v>9554</v>
      </c>
    </row>
    <row r="301" spans="1:41" hidden="1" x14ac:dyDescent="0.25">
      <c r="A301" s="51" t="s">
        <v>2587</v>
      </c>
      <c r="B301" s="51" t="s">
        <v>2588</v>
      </c>
      <c r="C301" s="54" t="s">
        <v>605</v>
      </c>
      <c r="D301" s="51" t="s">
        <v>2589</v>
      </c>
      <c r="E301" s="20">
        <v>7264.36</v>
      </c>
      <c r="F301" s="20">
        <v>781.9</v>
      </c>
      <c r="G301" s="20">
        <v>16208.75</v>
      </c>
      <c r="H301" s="20">
        <v>0</v>
      </c>
      <c r="I301" s="20">
        <v>781.9</v>
      </c>
      <c r="J301" s="51" t="s">
        <v>2654</v>
      </c>
      <c r="K301" s="15">
        <v>0</v>
      </c>
      <c r="L301" s="51" t="s">
        <v>2371</v>
      </c>
      <c r="M301" s="51" t="s">
        <v>2590</v>
      </c>
      <c r="N301" s="51" t="s">
        <v>1340</v>
      </c>
      <c r="O301" s="51" t="s">
        <v>67</v>
      </c>
      <c r="P301" s="51" t="s">
        <v>67</v>
      </c>
      <c r="Q301" s="45">
        <v>46280.838113472222</v>
      </c>
      <c r="R301" s="46">
        <v>46305</v>
      </c>
      <c r="S301" s="46">
        <v>46300</v>
      </c>
      <c r="T301" s="51" t="s">
        <v>6119</v>
      </c>
      <c r="U301" s="15"/>
      <c r="V301" s="15"/>
      <c r="W301" s="15"/>
      <c r="X301" s="15"/>
      <c r="Y301" s="15"/>
      <c r="Z301" s="15"/>
      <c r="AA301" s="46"/>
      <c r="AB301" s="15"/>
      <c r="AC301" s="15"/>
      <c r="AD301" s="15"/>
      <c r="AE301" s="15"/>
      <c r="AF301" s="15"/>
      <c r="AG301" s="15"/>
      <c r="AH301" s="15"/>
      <c r="AI301" s="46"/>
      <c r="AJ301" s="51" t="s">
        <v>67</v>
      </c>
      <c r="AK301" s="51" t="s">
        <v>67</v>
      </c>
      <c r="AL301" s="15"/>
      <c r="AM301" s="51" t="s">
        <v>67</v>
      </c>
      <c r="AN301" s="51" t="s">
        <v>67</v>
      </c>
      <c r="AO301" s="50" t="s">
        <v>9554</v>
      </c>
    </row>
    <row r="302" spans="1:41" hidden="1" x14ac:dyDescent="0.25">
      <c r="A302" s="51" t="s">
        <v>2591</v>
      </c>
      <c r="B302" s="51" t="s">
        <v>2599</v>
      </c>
      <c r="C302" s="54" t="s">
        <v>605</v>
      </c>
      <c r="D302" s="51" t="s">
        <v>2600</v>
      </c>
      <c r="E302" s="20">
        <v>12452.52</v>
      </c>
      <c r="F302" s="20">
        <v>4701.87</v>
      </c>
      <c r="G302" s="20">
        <v>295.10000000000002</v>
      </c>
      <c r="H302" s="20">
        <v>3870.86</v>
      </c>
      <c r="I302" s="20">
        <v>4701.87</v>
      </c>
      <c r="J302" s="51" t="s">
        <v>6727</v>
      </c>
      <c r="K302" s="15">
        <v>16</v>
      </c>
      <c r="L302" s="51" t="s">
        <v>2369</v>
      </c>
      <c r="M302" s="51" t="s">
        <v>2601</v>
      </c>
      <c r="N302" s="51" t="s">
        <v>1344</v>
      </c>
      <c r="O302" s="51" t="s">
        <v>2602</v>
      </c>
      <c r="P302" s="51" t="s">
        <v>1344</v>
      </c>
      <c r="Q302" s="45">
        <v>46280.878631192129</v>
      </c>
      <c r="R302" s="46">
        <v>46305</v>
      </c>
      <c r="S302" s="46">
        <v>46300</v>
      </c>
      <c r="T302" s="51" t="s">
        <v>6119</v>
      </c>
      <c r="U302" s="15">
        <v>848.05</v>
      </c>
      <c r="V302" s="15">
        <v>3921.84</v>
      </c>
      <c r="W302" s="15">
        <v>36.08</v>
      </c>
      <c r="X302" s="15">
        <v>14.9</v>
      </c>
      <c r="Y302" s="15">
        <v>1.662307</v>
      </c>
      <c r="Z302" s="15">
        <v>6</v>
      </c>
      <c r="AA302" s="46">
        <v>46275</v>
      </c>
      <c r="AB302" s="15"/>
      <c r="AC302" s="15"/>
      <c r="AD302" s="15"/>
      <c r="AE302" s="15"/>
      <c r="AF302" s="15"/>
      <c r="AG302" s="15"/>
      <c r="AH302" s="15"/>
      <c r="AI302" s="46"/>
      <c r="AJ302" s="51" t="s">
        <v>6121</v>
      </c>
      <c r="AK302" s="51" t="s">
        <v>6121</v>
      </c>
      <c r="AL302" s="15">
        <v>848.05</v>
      </c>
      <c r="AM302" s="51" t="s">
        <v>67</v>
      </c>
      <c r="AN302" s="51" t="s">
        <v>67</v>
      </c>
      <c r="AO302" s="50" t="s">
        <v>9554</v>
      </c>
    </row>
    <row r="303" spans="1:41" hidden="1" x14ac:dyDescent="0.25">
      <c r="A303" s="51" t="s">
        <v>2592</v>
      </c>
      <c r="B303" s="51" t="s">
        <v>2603</v>
      </c>
      <c r="C303" s="54" t="s">
        <v>605</v>
      </c>
      <c r="D303" s="51" t="s">
        <v>2604</v>
      </c>
      <c r="E303" s="20">
        <v>10755.37</v>
      </c>
      <c r="F303" s="20">
        <v>724.4</v>
      </c>
      <c r="G303" s="20">
        <v>6737.67</v>
      </c>
      <c r="H303" s="20">
        <v>0</v>
      </c>
      <c r="I303" s="20">
        <v>724.4</v>
      </c>
      <c r="J303" s="51" t="s">
        <v>2654</v>
      </c>
      <c r="K303" s="15">
        <v>0</v>
      </c>
      <c r="L303" s="51" t="s">
        <v>2371</v>
      </c>
      <c r="M303" s="51" t="s">
        <v>2605</v>
      </c>
      <c r="N303" s="51" t="s">
        <v>1340</v>
      </c>
      <c r="O303" s="51" t="s">
        <v>67</v>
      </c>
      <c r="P303" s="51" t="s">
        <v>67</v>
      </c>
      <c r="Q303" s="45">
        <v>46280.878757881947</v>
      </c>
      <c r="R303" s="46">
        <v>46305</v>
      </c>
      <c r="S303" s="46">
        <v>46300</v>
      </c>
      <c r="T303" s="51" t="s">
        <v>6119</v>
      </c>
      <c r="U303" s="15"/>
      <c r="V303" s="15"/>
      <c r="W303" s="15"/>
      <c r="X303" s="15"/>
      <c r="Y303" s="15"/>
      <c r="Z303" s="15"/>
      <c r="AA303" s="46"/>
      <c r="AB303" s="15"/>
      <c r="AC303" s="15"/>
      <c r="AD303" s="15"/>
      <c r="AE303" s="15"/>
      <c r="AF303" s="15"/>
      <c r="AG303" s="15"/>
      <c r="AH303" s="15"/>
      <c r="AI303" s="46"/>
      <c r="AJ303" s="51" t="s">
        <v>67</v>
      </c>
      <c r="AK303" s="51" t="s">
        <v>67</v>
      </c>
      <c r="AL303" s="15"/>
      <c r="AM303" s="51" t="s">
        <v>67</v>
      </c>
      <c r="AN303" s="51" t="s">
        <v>67</v>
      </c>
      <c r="AO303" s="50" t="s">
        <v>9554</v>
      </c>
    </row>
    <row r="304" spans="1:41" hidden="1" x14ac:dyDescent="0.25">
      <c r="A304" s="51" t="s">
        <v>2593</v>
      </c>
      <c r="B304" s="51" t="s">
        <v>2606</v>
      </c>
      <c r="C304" s="54" t="s">
        <v>611</v>
      </c>
      <c r="D304" s="51" t="s">
        <v>2607</v>
      </c>
      <c r="E304" s="20">
        <v>9245.74</v>
      </c>
      <c r="F304" s="20">
        <v>5428.28</v>
      </c>
      <c r="G304" s="20">
        <v>15051.36</v>
      </c>
      <c r="H304" s="20">
        <v>5929.06</v>
      </c>
      <c r="I304" s="20">
        <v>5428.28</v>
      </c>
      <c r="J304" s="51" t="s">
        <v>6725</v>
      </c>
      <c r="K304" s="15">
        <v>0</v>
      </c>
      <c r="L304" s="51" t="s">
        <v>2371</v>
      </c>
      <c r="M304" s="51" t="s">
        <v>2608</v>
      </c>
      <c r="N304" s="51" t="s">
        <v>1340</v>
      </c>
      <c r="O304" s="51" t="s">
        <v>67</v>
      </c>
      <c r="P304" s="51" t="s">
        <v>67</v>
      </c>
      <c r="Q304" s="45">
        <v>46280.878863206017</v>
      </c>
      <c r="R304" s="46">
        <v>46320</v>
      </c>
      <c r="S304" s="46">
        <v>46315</v>
      </c>
      <c r="T304" s="51" t="s">
        <v>6119</v>
      </c>
      <c r="U304" s="15">
        <v>849.8</v>
      </c>
      <c r="V304" s="15">
        <v>3922.15</v>
      </c>
      <c r="W304" s="15">
        <v>36.39</v>
      </c>
      <c r="X304" s="15">
        <v>14.9</v>
      </c>
      <c r="Y304" s="15">
        <v>1.6620440000000001</v>
      </c>
      <c r="Z304" s="15">
        <v>6</v>
      </c>
      <c r="AA304" s="46">
        <v>46259</v>
      </c>
      <c r="AB304" s="15"/>
      <c r="AC304" s="15"/>
      <c r="AD304" s="15"/>
      <c r="AE304" s="15"/>
      <c r="AF304" s="15"/>
      <c r="AG304" s="15"/>
      <c r="AH304" s="15"/>
      <c r="AI304" s="46"/>
      <c r="AJ304" s="51" t="s">
        <v>67</v>
      </c>
      <c r="AK304" s="51" t="s">
        <v>6121</v>
      </c>
      <c r="AL304" s="15">
        <v>849.8</v>
      </c>
      <c r="AM304" s="51" t="s">
        <v>67</v>
      </c>
      <c r="AN304" s="51" t="s">
        <v>67</v>
      </c>
      <c r="AO304" s="50" t="s">
        <v>9554</v>
      </c>
    </row>
    <row r="305" spans="1:41" hidden="1" x14ac:dyDescent="0.25">
      <c r="A305" s="51" t="s">
        <v>2594</v>
      </c>
      <c r="B305" s="51" t="s">
        <v>2609</v>
      </c>
      <c r="C305" s="54" t="s">
        <v>607</v>
      </c>
      <c r="D305" s="51" t="s">
        <v>2610</v>
      </c>
      <c r="E305" s="20">
        <v>10298.299999999999</v>
      </c>
      <c r="F305" s="20">
        <v>4919.74</v>
      </c>
      <c r="G305" s="20">
        <v>7395</v>
      </c>
      <c r="H305" s="20">
        <v>3870.86</v>
      </c>
      <c r="I305" s="20">
        <v>4199.1000000000004</v>
      </c>
      <c r="J305" s="51" t="s">
        <v>6727</v>
      </c>
      <c r="K305" s="15">
        <v>11</v>
      </c>
      <c r="L305" s="51" t="s">
        <v>2369</v>
      </c>
      <c r="M305" s="51" t="s">
        <v>67</v>
      </c>
      <c r="N305" s="51" t="s">
        <v>67</v>
      </c>
      <c r="O305" s="51" t="s">
        <v>2611</v>
      </c>
      <c r="P305" s="51" t="s">
        <v>1344</v>
      </c>
      <c r="Q305" s="45">
        <v>46280.879030300923</v>
      </c>
      <c r="R305" s="46">
        <v>46310</v>
      </c>
      <c r="S305" s="46">
        <v>46305</v>
      </c>
      <c r="T305" s="51" t="s">
        <v>6119</v>
      </c>
      <c r="U305" s="15">
        <v>848.05</v>
      </c>
      <c r="V305" s="15">
        <v>3921.84</v>
      </c>
      <c r="W305" s="15">
        <v>36.08</v>
      </c>
      <c r="X305" s="15">
        <v>14.9</v>
      </c>
      <c r="Y305" s="15">
        <v>1.662307</v>
      </c>
      <c r="Z305" s="15">
        <v>6</v>
      </c>
      <c r="AA305" s="46">
        <v>46280</v>
      </c>
      <c r="AB305" s="15"/>
      <c r="AC305" s="15"/>
      <c r="AD305" s="15"/>
      <c r="AE305" s="15"/>
      <c r="AF305" s="15"/>
      <c r="AG305" s="15"/>
      <c r="AH305" s="15"/>
      <c r="AI305" s="46"/>
      <c r="AJ305" s="51" t="s">
        <v>6121</v>
      </c>
      <c r="AK305" s="51" t="s">
        <v>6121</v>
      </c>
      <c r="AL305" s="15">
        <v>848.05</v>
      </c>
      <c r="AM305" s="51" t="s">
        <v>67</v>
      </c>
      <c r="AN305" s="51" t="s">
        <v>67</v>
      </c>
      <c r="AO305" s="50" t="s">
        <v>9554</v>
      </c>
    </row>
    <row r="306" spans="1:41" hidden="1" x14ac:dyDescent="0.25">
      <c r="A306" s="51" t="s">
        <v>2595</v>
      </c>
      <c r="B306" s="51" t="s">
        <v>2612</v>
      </c>
      <c r="C306" s="54" t="s">
        <v>607</v>
      </c>
      <c r="D306" s="51" t="s">
        <v>2613</v>
      </c>
      <c r="E306" s="20">
        <v>9970.2099999999991</v>
      </c>
      <c r="F306" s="20">
        <v>4610.38</v>
      </c>
      <c r="G306" s="20">
        <v>14111.36</v>
      </c>
      <c r="H306" s="20">
        <v>3870.86</v>
      </c>
      <c r="I306" s="20">
        <v>4381.88</v>
      </c>
      <c r="J306" s="51" t="s">
        <v>6727</v>
      </c>
      <c r="K306" s="15">
        <v>11</v>
      </c>
      <c r="L306" s="51" t="s">
        <v>2369</v>
      </c>
      <c r="M306" s="51" t="s">
        <v>2614</v>
      </c>
      <c r="N306" s="51" t="s">
        <v>1344</v>
      </c>
      <c r="O306" s="51" t="s">
        <v>2615</v>
      </c>
      <c r="P306" s="51" t="s">
        <v>1344</v>
      </c>
      <c r="Q306" s="45">
        <v>46280.879128356479</v>
      </c>
      <c r="R306" s="46">
        <v>46310</v>
      </c>
      <c r="S306" s="46">
        <v>46305</v>
      </c>
      <c r="T306" s="51" t="s">
        <v>6119</v>
      </c>
      <c r="U306" s="15">
        <v>848.05</v>
      </c>
      <c r="V306" s="15">
        <v>3921.84</v>
      </c>
      <c r="W306" s="15">
        <v>36.08</v>
      </c>
      <c r="X306" s="15">
        <v>14.9</v>
      </c>
      <c r="Y306" s="15">
        <v>1.662307</v>
      </c>
      <c r="Z306" s="15">
        <v>6</v>
      </c>
      <c r="AA306" s="46">
        <v>46280</v>
      </c>
      <c r="AB306" s="15"/>
      <c r="AC306" s="15"/>
      <c r="AD306" s="15"/>
      <c r="AE306" s="15"/>
      <c r="AF306" s="15"/>
      <c r="AG306" s="15"/>
      <c r="AH306" s="15"/>
      <c r="AI306" s="46"/>
      <c r="AJ306" s="51" t="s">
        <v>6121</v>
      </c>
      <c r="AK306" s="51" t="s">
        <v>6121</v>
      </c>
      <c r="AL306" s="15">
        <v>848.05</v>
      </c>
      <c r="AM306" s="51" t="s">
        <v>67</v>
      </c>
      <c r="AN306" s="51" t="s">
        <v>67</v>
      </c>
      <c r="AO306" s="50" t="s">
        <v>9554</v>
      </c>
    </row>
    <row r="307" spans="1:41" hidden="1" x14ac:dyDescent="0.25">
      <c r="A307" s="51" t="s">
        <v>2596</v>
      </c>
      <c r="B307" s="51" t="s">
        <v>2616</v>
      </c>
      <c r="C307" s="54" t="s">
        <v>611</v>
      </c>
      <c r="D307" s="51" t="s">
        <v>2617</v>
      </c>
      <c r="E307" s="20">
        <v>6931.8</v>
      </c>
      <c r="F307" s="20">
        <v>1023.45</v>
      </c>
      <c r="G307" s="20">
        <v>13522.85</v>
      </c>
      <c r="H307" s="20">
        <v>994.27</v>
      </c>
      <c r="I307" s="20">
        <v>1023.45</v>
      </c>
      <c r="J307" s="51" t="s">
        <v>6727</v>
      </c>
      <c r="K307" s="15">
        <v>1</v>
      </c>
      <c r="L307" s="51" t="s">
        <v>2369</v>
      </c>
      <c r="M307" s="51" t="s">
        <v>67</v>
      </c>
      <c r="N307" s="51" t="s">
        <v>67</v>
      </c>
      <c r="O307" s="51" t="s">
        <v>2618</v>
      </c>
      <c r="P307" s="51" t="s">
        <v>1340</v>
      </c>
      <c r="Q307" s="45">
        <v>46280.879301006942</v>
      </c>
      <c r="R307" s="46">
        <v>46320</v>
      </c>
      <c r="S307" s="46">
        <v>46315</v>
      </c>
      <c r="T307" s="51" t="s">
        <v>6119</v>
      </c>
      <c r="U307" s="15"/>
      <c r="V307" s="15"/>
      <c r="W307" s="15"/>
      <c r="X307" s="15"/>
      <c r="Y307" s="15"/>
      <c r="Z307" s="15"/>
      <c r="AA307" s="46"/>
      <c r="AB307" s="15"/>
      <c r="AC307" s="15"/>
      <c r="AD307" s="15"/>
      <c r="AE307" s="15"/>
      <c r="AF307" s="15"/>
      <c r="AG307" s="15"/>
      <c r="AH307" s="15"/>
      <c r="AI307" s="46"/>
      <c r="AJ307" s="51" t="s">
        <v>67</v>
      </c>
      <c r="AK307" s="51" t="s">
        <v>67</v>
      </c>
      <c r="AL307" s="15"/>
      <c r="AM307" s="51" t="s">
        <v>67</v>
      </c>
      <c r="AN307" s="51" t="s">
        <v>67</v>
      </c>
      <c r="AO307" s="50" t="s">
        <v>9554</v>
      </c>
    </row>
    <row r="308" spans="1:41" hidden="1" x14ac:dyDescent="0.25">
      <c r="A308" s="51" t="s">
        <v>2597</v>
      </c>
      <c r="B308" s="51" t="s">
        <v>2619</v>
      </c>
      <c r="C308" s="54" t="s">
        <v>611</v>
      </c>
      <c r="D308" s="51" t="s">
        <v>2620</v>
      </c>
      <c r="E308" s="20">
        <v>9055.59</v>
      </c>
      <c r="F308" s="20">
        <v>1403.24</v>
      </c>
      <c r="G308" s="20">
        <v>4253.38</v>
      </c>
      <c r="H308" s="20">
        <v>5461.54</v>
      </c>
      <c r="I308" s="20">
        <v>1403.24</v>
      </c>
      <c r="J308" s="51" t="s">
        <v>6726</v>
      </c>
      <c r="K308" s="15">
        <v>0</v>
      </c>
      <c r="L308" s="51" t="s">
        <v>2371</v>
      </c>
      <c r="M308" s="51" t="s">
        <v>2621</v>
      </c>
      <c r="N308" s="51" t="s">
        <v>1340</v>
      </c>
      <c r="O308" s="51" t="s">
        <v>67</v>
      </c>
      <c r="P308" s="51" t="s">
        <v>67</v>
      </c>
      <c r="Q308" s="45">
        <v>46280.879471064814</v>
      </c>
      <c r="R308" s="46">
        <v>46320</v>
      </c>
      <c r="S308" s="46">
        <v>46315</v>
      </c>
      <c r="T308" s="51" t="s">
        <v>6119</v>
      </c>
      <c r="U308" s="15">
        <v>849.8</v>
      </c>
      <c r="V308" s="15">
        <v>3922.15</v>
      </c>
      <c r="W308" s="15">
        <v>36.39</v>
      </c>
      <c r="X308" s="15">
        <v>14.9</v>
      </c>
      <c r="Y308" s="15">
        <v>1.6620440000000001</v>
      </c>
      <c r="Z308" s="15">
        <v>6</v>
      </c>
      <c r="AA308" s="46">
        <v>46259</v>
      </c>
      <c r="AB308" s="15"/>
      <c r="AC308" s="15"/>
      <c r="AD308" s="15"/>
      <c r="AE308" s="15"/>
      <c r="AF308" s="15"/>
      <c r="AG308" s="15"/>
      <c r="AH308" s="15"/>
      <c r="AI308" s="46"/>
      <c r="AJ308" s="51" t="s">
        <v>67</v>
      </c>
      <c r="AK308" s="51" t="s">
        <v>6121</v>
      </c>
      <c r="AL308" s="15">
        <v>849.8</v>
      </c>
      <c r="AM308" s="51" t="s">
        <v>6705</v>
      </c>
      <c r="AN308" s="51" t="s">
        <v>6713</v>
      </c>
      <c r="AO308" s="50" t="s">
        <v>9554</v>
      </c>
    </row>
    <row r="309" spans="1:41" hidden="1" x14ac:dyDescent="0.25">
      <c r="A309" s="51" t="s">
        <v>2598</v>
      </c>
      <c r="B309" s="51" t="s">
        <v>2622</v>
      </c>
      <c r="C309" s="54" t="s">
        <v>605</v>
      </c>
      <c r="D309" s="51" t="s">
        <v>2623</v>
      </c>
      <c r="E309" s="20">
        <v>15485.59</v>
      </c>
      <c r="F309" s="20">
        <v>817.44</v>
      </c>
      <c r="G309" s="20">
        <v>17505.53</v>
      </c>
      <c r="H309" s="20">
        <v>3870.86</v>
      </c>
      <c r="I309" s="20">
        <v>817.44</v>
      </c>
      <c r="J309" s="51" t="s">
        <v>6724</v>
      </c>
      <c r="K309" s="15">
        <v>0</v>
      </c>
      <c r="L309" s="51" t="s">
        <v>2371</v>
      </c>
      <c r="M309" s="51" t="s">
        <v>2624</v>
      </c>
      <c r="N309" s="51" t="s">
        <v>1340</v>
      </c>
      <c r="O309" s="51" t="s">
        <v>67</v>
      </c>
      <c r="P309" s="51" t="s">
        <v>67</v>
      </c>
      <c r="Q309" s="45">
        <v>46280.879560208334</v>
      </c>
      <c r="R309" s="46">
        <v>46305</v>
      </c>
      <c r="S309" s="46">
        <v>46300</v>
      </c>
      <c r="T309" s="51" t="s">
        <v>6119</v>
      </c>
      <c r="U309" s="15">
        <v>848.05</v>
      </c>
      <c r="V309" s="15">
        <v>3921.84</v>
      </c>
      <c r="W309" s="15">
        <v>36.08</v>
      </c>
      <c r="X309" s="15">
        <v>14.9</v>
      </c>
      <c r="Y309" s="15">
        <v>1.662307</v>
      </c>
      <c r="Z309" s="15">
        <v>6</v>
      </c>
      <c r="AA309" s="46">
        <v>46275</v>
      </c>
      <c r="AB309" s="15"/>
      <c r="AC309" s="15"/>
      <c r="AD309" s="15"/>
      <c r="AE309" s="15"/>
      <c r="AF309" s="15"/>
      <c r="AG309" s="15"/>
      <c r="AH309" s="15"/>
      <c r="AI309" s="46"/>
      <c r="AJ309" s="51" t="s">
        <v>67</v>
      </c>
      <c r="AK309" s="51" t="s">
        <v>6121</v>
      </c>
      <c r="AL309" s="15">
        <v>848.05</v>
      </c>
      <c r="AM309" s="51" t="s">
        <v>67</v>
      </c>
      <c r="AN309" s="51" t="s">
        <v>67</v>
      </c>
      <c r="AO309" s="50" t="s">
        <v>9554</v>
      </c>
    </row>
    <row r="310" spans="1:41" hidden="1" x14ac:dyDescent="0.25">
      <c r="A310" s="51" t="s">
        <v>2625</v>
      </c>
      <c r="B310" s="51" t="s">
        <v>2626</v>
      </c>
      <c r="C310" s="54" t="s">
        <v>607</v>
      </c>
      <c r="D310" s="51" t="s">
        <v>1746</v>
      </c>
      <c r="E310" s="20">
        <v>13060.76</v>
      </c>
      <c r="F310" s="20">
        <v>4504.79</v>
      </c>
      <c r="G310" s="20">
        <v>-1815.37</v>
      </c>
      <c r="H310" s="20">
        <v>3870.86</v>
      </c>
      <c r="I310" s="20">
        <v>4041.58</v>
      </c>
      <c r="J310" s="51" t="s">
        <v>6726</v>
      </c>
      <c r="K310" s="15">
        <v>11</v>
      </c>
      <c r="L310" s="51" t="s">
        <v>2369</v>
      </c>
      <c r="M310" s="51" t="s">
        <v>67</v>
      </c>
      <c r="N310" s="51" t="s">
        <v>67</v>
      </c>
      <c r="O310" s="51" t="s">
        <v>2627</v>
      </c>
      <c r="P310" s="51" t="s">
        <v>1340</v>
      </c>
      <c r="Q310" s="45">
        <v>46280.879969166665</v>
      </c>
      <c r="R310" s="46">
        <v>46310</v>
      </c>
      <c r="S310" s="46">
        <v>46305</v>
      </c>
      <c r="T310" s="51" t="s">
        <v>6119</v>
      </c>
      <c r="U310" s="15">
        <v>848.05</v>
      </c>
      <c r="V310" s="15">
        <v>3921.84</v>
      </c>
      <c r="W310" s="15">
        <v>36.08</v>
      </c>
      <c r="X310" s="15">
        <v>14.9</v>
      </c>
      <c r="Y310" s="15">
        <v>1.662307</v>
      </c>
      <c r="Z310" s="15">
        <v>6</v>
      </c>
      <c r="AA310" s="46">
        <v>46280</v>
      </c>
      <c r="AB310" s="15"/>
      <c r="AC310" s="15"/>
      <c r="AD310" s="15"/>
      <c r="AE310" s="15"/>
      <c r="AF310" s="15"/>
      <c r="AG310" s="15"/>
      <c r="AH310" s="15"/>
      <c r="AI310" s="46"/>
      <c r="AJ310" s="51" t="s">
        <v>6121</v>
      </c>
      <c r="AK310" s="51" t="s">
        <v>6121</v>
      </c>
      <c r="AL310" s="15">
        <v>848.05</v>
      </c>
      <c r="AM310" s="51" t="s">
        <v>6705</v>
      </c>
      <c r="AN310" s="51" t="s">
        <v>6713</v>
      </c>
      <c r="AO310" s="50" t="s">
        <v>9554</v>
      </c>
    </row>
    <row r="311" spans="1:41" hidden="1" x14ac:dyDescent="0.25">
      <c r="A311" s="51" t="s">
        <v>2628</v>
      </c>
      <c r="B311" s="51" t="s">
        <v>2629</v>
      </c>
      <c r="C311" s="54" t="s">
        <v>607</v>
      </c>
      <c r="D311" s="51" t="s">
        <v>2630</v>
      </c>
      <c r="E311" s="20">
        <v>12609.55</v>
      </c>
      <c r="F311" s="20">
        <v>4791.41</v>
      </c>
      <c r="G311" s="20">
        <v>1161.58</v>
      </c>
      <c r="H311" s="20">
        <v>3870.86</v>
      </c>
      <c r="I311" s="20">
        <v>4462.3500000000004</v>
      </c>
      <c r="J311" s="51" t="s">
        <v>6727</v>
      </c>
      <c r="K311" s="15">
        <v>11</v>
      </c>
      <c r="L311" s="51" t="s">
        <v>2369</v>
      </c>
      <c r="M311" s="51" t="s">
        <v>67</v>
      </c>
      <c r="N311" s="51" t="s">
        <v>67</v>
      </c>
      <c r="O311" s="51" t="s">
        <v>2631</v>
      </c>
      <c r="P311" s="51" t="s">
        <v>1340</v>
      </c>
      <c r="Q311" s="45">
        <v>46280.880173437501</v>
      </c>
      <c r="R311" s="46">
        <v>46310</v>
      </c>
      <c r="S311" s="46">
        <v>46305</v>
      </c>
      <c r="T311" s="51" t="s">
        <v>6119</v>
      </c>
      <c r="U311" s="15">
        <v>848.05</v>
      </c>
      <c r="V311" s="15">
        <v>3921.84</v>
      </c>
      <c r="W311" s="15">
        <v>36.08</v>
      </c>
      <c r="X311" s="15">
        <v>14.9</v>
      </c>
      <c r="Y311" s="15">
        <v>1.662307</v>
      </c>
      <c r="Z311" s="15">
        <v>6</v>
      </c>
      <c r="AA311" s="46">
        <v>46280</v>
      </c>
      <c r="AB311" s="15"/>
      <c r="AC311" s="15"/>
      <c r="AD311" s="15"/>
      <c r="AE311" s="15"/>
      <c r="AF311" s="15"/>
      <c r="AG311" s="15"/>
      <c r="AH311" s="15"/>
      <c r="AI311" s="46"/>
      <c r="AJ311" s="51" t="s">
        <v>6121</v>
      </c>
      <c r="AK311" s="51" t="s">
        <v>6121</v>
      </c>
      <c r="AL311" s="15">
        <v>848.05</v>
      </c>
      <c r="AM311" s="51" t="s">
        <v>67</v>
      </c>
      <c r="AN311" s="51" t="s">
        <v>67</v>
      </c>
      <c r="AO311" s="50" t="s">
        <v>9554</v>
      </c>
    </row>
    <row r="312" spans="1:41" hidden="1" x14ac:dyDescent="0.25">
      <c r="A312" s="51" t="s">
        <v>2632</v>
      </c>
      <c r="B312" s="51" t="s">
        <v>2633</v>
      </c>
      <c r="C312" s="54" t="s">
        <v>608</v>
      </c>
      <c r="D312" s="51" t="s">
        <v>2634</v>
      </c>
      <c r="E312" s="20">
        <v>11734.44</v>
      </c>
      <c r="F312" s="20">
        <v>5482.33</v>
      </c>
      <c r="G312" s="20">
        <v>972.78</v>
      </c>
      <c r="H312" s="20">
        <v>3870.86</v>
      </c>
      <c r="I312" s="20">
        <v>3761.95</v>
      </c>
      <c r="J312" s="51" t="s">
        <v>6726</v>
      </c>
      <c r="K312" s="15">
        <v>0</v>
      </c>
      <c r="L312" s="51" t="s">
        <v>2371</v>
      </c>
      <c r="M312" s="51" t="s">
        <v>2635</v>
      </c>
      <c r="N312" s="51" t="s">
        <v>1340</v>
      </c>
      <c r="O312" s="51" t="s">
        <v>67</v>
      </c>
      <c r="P312" s="51" t="s">
        <v>67</v>
      </c>
      <c r="Q312" s="45">
        <v>46280.88029108796</v>
      </c>
      <c r="R312" s="46">
        <v>46315</v>
      </c>
      <c r="S312" s="46">
        <v>46310</v>
      </c>
      <c r="T312" s="51" t="s">
        <v>6119</v>
      </c>
      <c r="U312" s="15">
        <v>849.8</v>
      </c>
      <c r="V312" s="15">
        <v>3922.15</v>
      </c>
      <c r="W312" s="15">
        <v>36.39</v>
      </c>
      <c r="X312" s="15">
        <v>14.9</v>
      </c>
      <c r="Y312" s="15">
        <v>1.6620440000000001</v>
      </c>
      <c r="Z312" s="15">
        <v>6</v>
      </c>
      <c r="AA312" s="46">
        <v>46254</v>
      </c>
      <c r="AB312" s="15"/>
      <c r="AC312" s="15"/>
      <c r="AD312" s="15"/>
      <c r="AE312" s="15"/>
      <c r="AF312" s="15"/>
      <c r="AG312" s="15"/>
      <c r="AH312" s="15"/>
      <c r="AI312" s="46"/>
      <c r="AJ312" s="51" t="s">
        <v>67</v>
      </c>
      <c r="AK312" s="51" t="s">
        <v>6121</v>
      </c>
      <c r="AL312" s="15">
        <v>849.8</v>
      </c>
      <c r="AM312" s="51" t="s">
        <v>6705</v>
      </c>
      <c r="AN312" s="51" t="s">
        <v>6713</v>
      </c>
      <c r="AO312" s="50" t="s">
        <v>9554</v>
      </c>
    </row>
    <row r="313" spans="1:41" hidden="1" x14ac:dyDescent="0.25">
      <c r="A313" s="51" t="s">
        <v>2636</v>
      </c>
      <c r="B313" s="51" t="s">
        <v>2637</v>
      </c>
      <c r="C313" s="54" t="s">
        <v>611</v>
      </c>
      <c r="D313" s="51" t="s">
        <v>2638</v>
      </c>
      <c r="E313" s="20">
        <v>14914.09</v>
      </c>
      <c r="F313" s="20">
        <v>6710.14</v>
      </c>
      <c r="G313" s="20">
        <v>4316.87</v>
      </c>
      <c r="H313" s="20">
        <v>7336.1</v>
      </c>
      <c r="I313" s="20">
        <v>6710.14</v>
      </c>
      <c r="J313" s="51" t="s">
        <v>6726</v>
      </c>
      <c r="K313" s="15">
        <v>0</v>
      </c>
      <c r="L313" s="51" t="s">
        <v>2371</v>
      </c>
      <c r="M313" s="51" t="s">
        <v>2639</v>
      </c>
      <c r="N313" s="51" t="s">
        <v>1344</v>
      </c>
      <c r="O313" s="51" t="s">
        <v>67</v>
      </c>
      <c r="P313" s="51" t="s">
        <v>67</v>
      </c>
      <c r="Q313" s="45">
        <v>46280.880413344908</v>
      </c>
      <c r="R313" s="46">
        <v>46320</v>
      </c>
      <c r="S313" s="46">
        <v>46315</v>
      </c>
      <c r="T313" s="51" t="s">
        <v>6119</v>
      </c>
      <c r="U313" s="15">
        <v>849.8</v>
      </c>
      <c r="V313" s="15">
        <v>3922.15</v>
      </c>
      <c r="W313" s="15">
        <v>36.39</v>
      </c>
      <c r="X313" s="15">
        <v>14.9</v>
      </c>
      <c r="Y313" s="15">
        <v>1.6620440000000001</v>
      </c>
      <c r="Z313" s="15">
        <v>6</v>
      </c>
      <c r="AA313" s="46">
        <v>46259</v>
      </c>
      <c r="AB313" s="15"/>
      <c r="AC313" s="15"/>
      <c r="AD313" s="15"/>
      <c r="AE313" s="15"/>
      <c r="AF313" s="15"/>
      <c r="AG313" s="15"/>
      <c r="AH313" s="15"/>
      <c r="AI313" s="46"/>
      <c r="AJ313" s="51" t="s">
        <v>67</v>
      </c>
      <c r="AK313" s="51" t="s">
        <v>6121</v>
      </c>
      <c r="AL313" s="15">
        <v>849.8</v>
      </c>
      <c r="AM313" s="51" t="s">
        <v>67</v>
      </c>
      <c r="AN313" s="51" t="s">
        <v>67</v>
      </c>
      <c r="AO313" s="50" t="s">
        <v>9554</v>
      </c>
    </row>
    <row r="314" spans="1:41" hidden="1" x14ac:dyDescent="0.25">
      <c r="A314" s="51" t="s">
        <v>2640</v>
      </c>
      <c r="B314" s="51" t="s">
        <v>2641</v>
      </c>
      <c r="C314" s="54" t="s">
        <v>5596</v>
      </c>
      <c r="D314" s="51" t="s">
        <v>2642</v>
      </c>
      <c r="E314" s="20">
        <v>15358.95</v>
      </c>
      <c r="F314" s="20">
        <v>563.25</v>
      </c>
      <c r="G314" s="20">
        <v>12671.87</v>
      </c>
      <c r="H314" s="20">
        <v>3870.86</v>
      </c>
      <c r="I314" s="20">
        <v>563.25</v>
      </c>
      <c r="J314" s="51" t="s">
        <v>6724</v>
      </c>
      <c r="K314" s="15">
        <v>0</v>
      </c>
      <c r="L314" s="51" t="s">
        <v>2371</v>
      </c>
      <c r="M314" s="51" t="s">
        <v>2643</v>
      </c>
      <c r="N314" s="51" t="s">
        <v>1340</v>
      </c>
      <c r="O314" s="51" t="s">
        <v>67</v>
      </c>
      <c r="P314" s="51" t="s">
        <v>67</v>
      </c>
      <c r="Q314" s="45">
        <v>46280.887824768521</v>
      </c>
      <c r="R314" s="46">
        <v>46300</v>
      </c>
      <c r="S314" s="46">
        <v>46295</v>
      </c>
      <c r="T314" s="51" t="s">
        <v>6119</v>
      </c>
      <c r="U314" s="15">
        <v>848.05</v>
      </c>
      <c r="V314" s="15">
        <v>3921.84</v>
      </c>
      <c r="W314" s="15">
        <v>36.08</v>
      </c>
      <c r="X314" s="15">
        <v>14.9</v>
      </c>
      <c r="Y314" s="15">
        <v>1.662307</v>
      </c>
      <c r="Z314" s="15">
        <v>6</v>
      </c>
      <c r="AA314" s="46">
        <v>46270</v>
      </c>
      <c r="AB314" s="15"/>
      <c r="AC314" s="15"/>
      <c r="AD314" s="15"/>
      <c r="AE314" s="15"/>
      <c r="AF314" s="15"/>
      <c r="AG314" s="15"/>
      <c r="AH314" s="15"/>
      <c r="AI314" s="46"/>
      <c r="AJ314" s="51" t="s">
        <v>67</v>
      </c>
      <c r="AK314" s="51" t="s">
        <v>6121</v>
      </c>
      <c r="AL314" s="15">
        <v>848.05</v>
      </c>
      <c r="AM314" s="51" t="s">
        <v>6705</v>
      </c>
      <c r="AN314" s="51" t="s">
        <v>6715</v>
      </c>
      <c r="AO314" s="50" t="s">
        <v>9554</v>
      </c>
    </row>
    <row r="315" spans="1:41" hidden="1" x14ac:dyDescent="0.25">
      <c r="A315" s="51" t="s">
        <v>2644</v>
      </c>
      <c r="B315" s="51" t="s">
        <v>2645</v>
      </c>
      <c r="C315" s="54" t="s">
        <v>5596</v>
      </c>
      <c r="D315" s="51" t="s">
        <v>2646</v>
      </c>
      <c r="E315" s="20">
        <v>7452.39</v>
      </c>
      <c r="F315" s="20">
        <v>672.68</v>
      </c>
      <c r="G315" s="20">
        <v>3032.96</v>
      </c>
      <c r="H315" s="20">
        <v>3870.86</v>
      </c>
      <c r="I315" s="20">
        <v>672.68</v>
      </c>
      <c r="J315" s="51" t="s">
        <v>6724</v>
      </c>
      <c r="K315" s="15">
        <v>0</v>
      </c>
      <c r="L315" s="51" t="s">
        <v>2371</v>
      </c>
      <c r="M315" s="51" t="s">
        <v>67</v>
      </c>
      <c r="N315" s="51" t="s">
        <v>67</v>
      </c>
      <c r="O315" s="51" t="s">
        <v>2647</v>
      </c>
      <c r="P315" s="51" t="s">
        <v>1340</v>
      </c>
      <c r="Q315" s="45">
        <v>46280.888084259263</v>
      </c>
      <c r="R315" s="46">
        <v>46300</v>
      </c>
      <c r="S315" s="46">
        <v>46295</v>
      </c>
      <c r="T315" s="51" t="s">
        <v>6119</v>
      </c>
      <c r="U315" s="15">
        <v>848.05</v>
      </c>
      <c r="V315" s="15">
        <v>3921.84</v>
      </c>
      <c r="W315" s="15">
        <v>36.08</v>
      </c>
      <c r="X315" s="15">
        <v>14.9</v>
      </c>
      <c r="Y315" s="15">
        <v>1.662307</v>
      </c>
      <c r="Z315" s="15">
        <v>6</v>
      </c>
      <c r="AA315" s="46">
        <v>46270</v>
      </c>
      <c r="AB315" s="15"/>
      <c r="AC315" s="15"/>
      <c r="AD315" s="15"/>
      <c r="AE315" s="15"/>
      <c r="AF315" s="15"/>
      <c r="AG315" s="15"/>
      <c r="AH315" s="15"/>
      <c r="AI315" s="46"/>
      <c r="AJ315" s="51" t="s">
        <v>67</v>
      </c>
      <c r="AK315" s="51" t="s">
        <v>6121</v>
      </c>
      <c r="AL315" s="15">
        <v>848.05</v>
      </c>
      <c r="AM315" s="51" t="s">
        <v>6705</v>
      </c>
      <c r="AN315" s="51" t="s">
        <v>6713</v>
      </c>
      <c r="AO315" s="50" t="s">
        <v>9554</v>
      </c>
    </row>
    <row r="316" spans="1:41" hidden="1" x14ac:dyDescent="0.25">
      <c r="A316" s="51" t="s">
        <v>2648</v>
      </c>
      <c r="B316" s="51" t="s">
        <v>2649</v>
      </c>
      <c r="C316" s="54" t="s">
        <v>5596</v>
      </c>
      <c r="D316" s="51" t="s">
        <v>2650</v>
      </c>
      <c r="E316" s="20">
        <v>8761.52</v>
      </c>
      <c r="F316" s="20">
        <v>2137.36</v>
      </c>
      <c r="G316" s="20">
        <v>19286.66</v>
      </c>
      <c r="H316" s="20">
        <v>3870.86</v>
      </c>
      <c r="I316" s="20">
        <v>2137.36</v>
      </c>
      <c r="J316" s="51" t="s">
        <v>6726</v>
      </c>
      <c r="K316" s="15">
        <v>0</v>
      </c>
      <c r="L316" s="51" t="s">
        <v>2371</v>
      </c>
      <c r="M316" s="51" t="s">
        <v>2651</v>
      </c>
      <c r="N316" s="51" t="s">
        <v>1340</v>
      </c>
      <c r="O316" s="51" t="s">
        <v>2652</v>
      </c>
      <c r="P316" s="51" t="s">
        <v>1340</v>
      </c>
      <c r="Q316" s="45">
        <v>46280.888241215274</v>
      </c>
      <c r="R316" s="46">
        <v>46300</v>
      </c>
      <c r="S316" s="46">
        <v>46295</v>
      </c>
      <c r="T316" s="51" t="s">
        <v>6119</v>
      </c>
      <c r="U316" s="15">
        <v>848.05</v>
      </c>
      <c r="V316" s="15">
        <v>3921.84</v>
      </c>
      <c r="W316" s="15">
        <v>36.08</v>
      </c>
      <c r="X316" s="15">
        <v>14.9</v>
      </c>
      <c r="Y316" s="15">
        <v>1.662307</v>
      </c>
      <c r="Z316" s="15">
        <v>6</v>
      </c>
      <c r="AA316" s="46">
        <v>46270</v>
      </c>
      <c r="AB316" s="15"/>
      <c r="AC316" s="15"/>
      <c r="AD316" s="15"/>
      <c r="AE316" s="15"/>
      <c r="AF316" s="15"/>
      <c r="AG316" s="15"/>
      <c r="AH316" s="15"/>
      <c r="AI316" s="46"/>
      <c r="AJ316" s="51" t="s">
        <v>67</v>
      </c>
      <c r="AK316" s="51" t="s">
        <v>6121</v>
      </c>
      <c r="AL316" s="15">
        <v>848.05</v>
      </c>
      <c r="AM316" s="51" t="s">
        <v>67</v>
      </c>
      <c r="AN316" s="51" t="s">
        <v>67</v>
      </c>
      <c r="AO316" s="50" t="s">
        <v>9554</v>
      </c>
    </row>
    <row r="317" spans="1:41" hidden="1" x14ac:dyDescent="0.25">
      <c r="A317" s="51" t="s">
        <v>2655</v>
      </c>
      <c r="B317" s="51" t="s">
        <v>2656</v>
      </c>
      <c r="C317" s="54" t="s">
        <v>5596</v>
      </c>
      <c r="D317" s="51" t="s">
        <v>2657</v>
      </c>
      <c r="E317" s="20">
        <v>15421.47</v>
      </c>
      <c r="F317" s="20">
        <v>844.83</v>
      </c>
      <c r="G317" s="20">
        <v>17801.25</v>
      </c>
      <c r="H317" s="20">
        <v>3870.86</v>
      </c>
      <c r="I317" s="20">
        <v>844.83</v>
      </c>
      <c r="J317" s="51" t="s">
        <v>6724</v>
      </c>
      <c r="K317" s="15">
        <v>0</v>
      </c>
      <c r="L317" s="51" t="s">
        <v>2371</v>
      </c>
      <c r="M317" s="51" t="s">
        <v>67</v>
      </c>
      <c r="N317" s="51" t="s">
        <v>67</v>
      </c>
      <c r="O317" s="51" t="s">
        <v>2658</v>
      </c>
      <c r="P317" s="51" t="s">
        <v>1340</v>
      </c>
      <c r="Q317" s="45">
        <v>46280.903553217591</v>
      </c>
      <c r="R317" s="46">
        <v>46300</v>
      </c>
      <c r="S317" s="46">
        <v>46295</v>
      </c>
      <c r="T317" s="51" t="s">
        <v>6119</v>
      </c>
      <c r="U317" s="15">
        <v>848.05</v>
      </c>
      <c r="V317" s="15">
        <v>3921.84</v>
      </c>
      <c r="W317" s="15">
        <v>36.08</v>
      </c>
      <c r="X317" s="15">
        <v>14.9</v>
      </c>
      <c r="Y317" s="15">
        <v>1.662307</v>
      </c>
      <c r="Z317" s="15">
        <v>6</v>
      </c>
      <c r="AA317" s="46">
        <v>46270</v>
      </c>
      <c r="AB317" s="15"/>
      <c r="AC317" s="15"/>
      <c r="AD317" s="15"/>
      <c r="AE317" s="15"/>
      <c r="AF317" s="15"/>
      <c r="AG317" s="15"/>
      <c r="AH317" s="15"/>
      <c r="AI317" s="46"/>
      <c r="AJ317" s="51" t="s">
        <v>67</v>
      </c>
      <c r="AK317" s="51" t="s">
        <v>6121</v>
      </c>
      <c r="AL317" s="15">
        <v>848.05</v>
      </c>
      <c r="AM317" s="51" t="s">
        <v>67</v>
      </c>
      <c r="AN317" s="51" t="s">
        <v>67</v>
      </c>
      <c r="AO317" s="50" t="s">
        <v>9554</v>
      </c>
    </row>
    <row r="318" spans="1:41" hidden="1" x14ac:dyDescent="0.25">
      <c r="A318" s="51" t="s">
        <v>2659</v>
      </c>
      <c r="B318" s="51" t="s">
        <v>2660</v>
      </c>
      <c r="C318" s="54" t="s">
        <v>605</v>
      </c>
      <c r="D318" s="51" t="s">
        <v>2661</v>
      </c>
      <c r="E318" s="20">
        <v>12979.14</v>
      </c>
      <c r="F318" s="20">
        <v>2684.9</v>
      </c>
      <c r="G318" s="20">
        <v>13281.74</v>
      </c>
      <c r="H318" s="20">
        <v>3870.86</v>
      </c>
      <c r="I318" s="20">
        <v>2684.9</v>
      </c>
      <c r="J318" s="51" t="s">
        <v>6726</v>
      </c>
      <c r="K318" s="15">
        <v>0</v>
      </c>
      <c r="L318" s="51" t="s">
        <v>2371</v>
      </c>
      <c r="M318" s="51" t="s">
        <v>2662</v>
      </c>
      <c r="N318" s="51" t="s">
        <v>1340</v>
      </c>
      <c r="O318" s="51" t="s">
        <v>67</v>
      </c>
      <c r="P318" s="51" t="s">
        <v>67</v>
      </c>
      <c r="Q318" s="45">
        <v>46280.903695810186</v>
      </c>
      <c r="R318" s="46">
        <v>46305</v>
      </c>
      <c r="S318" s="46">
        <v>46300</v>
      </c>
      <c r="T318" s="51" t="s">
        <v>6119</v>
      </c>
      <c r="U318" s="15">
        <v>848.05</v>
      </c>
      <c r="V318" s="15">
        <v>3921.84</v>
      </c>
      <c r="W318" s="15">
        <v>36.08</v>
      </c>
      <c r="X318" s="15">
        <v>14.9</v>
      </c>
      <c r="Y318" s="15">
        <v>1.662307</v>
      </c>
      <c r="Z318" s="15">
        <v>6</v>
      </c>
      <c r="AA318" s="46">
        <v>46275</v>
      </c>
      <c r="AB318" s="15"/>
      <c r="AC318" s="15"/>
      <c r="AD318" s="15"/>
      <c r="AE318" s="15"/>
      <c r="AF318" s="15"/>
      <c r="AG318" s="15"/>
      <c r="AH318" s="15"/>
      <c r="AI318" s="46"/>
      <c r="AJ318" s="51" t="s">
        <v>67</v>
      </c>
      <c r="AK318" s="51" t="s">
        <v>6121</v>
      </c>
      <c r="AL318" s="15">
        <v>848.05</v>
      </c>
      <c r="AM318" s="51" t="s">
        <v>67</v>
      </c>
      <c r="AN318" s="51" t="s">
        <v>67</v>
      </c>
      <c r="AO318" s="50" t="s">
        <v>9554</v>
      </c>
    </row>
    <row r="319" spans="1:41" hidden="1" x14ac:dyDescent="0.25">
      <c r="A319" s="51" t="s">
        <v>2663</v>
      </c>
      <c r="B319" s="51" t="s">
        <v>2664</v>
      </c>
      <c r="C319" s="54" t="s">
        <v>607</v>
      </c>
      <c r="D319" s="51" t="s">
        <v>2665</v>
      </c>
      <c r="E319" s="20">
        <v>9610.76</v>
      </c>
      <c r="F319" s="20">
        <v>4665.33</v>
      </c>
      <c r="G319" s="20">
        <v>3251.58</v>
      </c>
      <c r="H319" s="20">
        <v>3870.86</v>
      </c>
      <c r="I319" s="20">
        <v>4354.5200000000004</v>
      </c>
      <c r="J319" s="51" t="s">
        <v>6727</v>
      </c>
      <c r="K319" s="15">
        <v>11</v>
      </c>
      <c r="L319" s="51" t="s">
        <v>2369</v>
      </c>
      <c r="M319" s="51" t="s">
        <v>2666</v>
      </c>
      <c r="N319" s="51" t="s">
        <v>1340</v>
      </c>
      <c r="O319" s="51" t="s">
        <v>67</v>
      </c>
      <c r="P319" s="51" t="s">
        <v>67</v>
      </c>
      <c r="Q319" s="45">
        <v>46280.90383664352</v>
      </c>
      <c r="R319" s="46">
        <v>46310</v>
      </c>
      <c r="S319" s="46">
        <v>46305</v>
      </c>
      <c r="T319" s="51" t="s">
        <v>6119</v>
      </c>
      <c r="U319" s="15">
        <v>848.05</v>
      </c>
      <c r="V319" s="15">
        <v>3921.84</v>
      </c>
      <c r="W319" s="15">
        <v>36.08</v>
      </c>
      <c r="X319" s="15">
        <v>14.9</v>
      </c>
      <c r="Y319" s="15">
        <v>1.662307</v>
      </c>
      <c r="Z319" s="15">
        <v>6</v>
      </c>
      <c r="AA319" s="46">
        <v>46280</v>
      </c>
      <c r="AB319" s="15"/>
      <c r="AC319" s="15"/>
      <c r="AD319" s="15"/>
      <c r="AE319" s="15"/>
      <c r="AF319" s="15"/>
      <c r="AG319" s="15"/>
      <c r="AH319" s="15"/>
      <c r="AI319" s="46"/>
      <c r="AJ319" s="51" t="s">
        <v>6121</v>
      </c>
      <c r="AK319" s="51" t="s">
        <v>6121</v>
      </c>
      <c r="AL319" s="15">
        <v>848.05</v>
      </c>
      <c r="AM319" s="51" t="s">
        <v>67</v>
      </c>
      <c r="AN319" s="51" t="s">
        <v>67</v>
      </c>
      <c r="AO319" s="50" t="s">
        <v>9554</v>
      </c>
    </row>
    <row r="320" spans="1:41" hidden="1" x14ac:dyDescent="0.25">
      <c r="A320" s="51" t="s">
        <v>2667</v>
      </c>
      <c r="B320" s="51" t="s">
        <v>2668</v>
      </c>
      <c r="C320" s="54" t="s">
        <v>607</v>
      </c>
      <c r="D320" s="51" t="s">
        <v>2669</v>
      </c>
      <c r="E320" s="20">
        <v>8848.3799999999992</v>
      </c>
      <c r="F320" s="20">
        <v>219.21</v>
      </c>
      <c r="G320" s="20">
        <v>11713.94</v>
      </c>
      <c r="H320" s="20">
        <v>0</v>
      </c>
      <c r="I320" s="20">
        <v>986.41</v>
      </c>
      <c r="J320" s="51" t="s">
        <v>2654</v>
      </c>
      <c r="K320" s="15">
        <v>0</v>
      </c>
      <c r="L320" s="51" t="s">
        <v>2371</v>
      </c>
      <c r="M320" s="51" t="s">
        <v>2670</v>
      </c>
      <c r="N320" s="51" t="s">
        <v>1340</v>
      </c>
      <c r="O320" s="51" t="s">
        <v>2671</v>
      </c>
      <c r="P320" s="51" t="s">
        <v>1340</v>
      </c>
      <c r="Q320" s="45">
        <v>46280.903966203703</v>
      </c>
      <c r="R320" s="46">
        <v>46310</v>
      </c>
      <c r="S320" s="46">
        <v>46305</v>
      </c>
      <c r="T320" s="51" t="s">
        <v>6119</v>
      </c>
      <c r="U320" s="15"/>
      <c r="V320" s="15"/>
      <c r="W320" s="15"/>
      <c r="X320" s="15"/>
      <c r="Y320" s="15"/>
      <c r="Z320" s="15"/>
      <c r="AA320" s="46"/>
      <c r="AB320" s="15"/>
      <c r="AC320" s="15"/>
      <c r="AD320" s="15"/>
      <c r="AE320" s="15"/>
      <c r="AF320" s="15"/>
      <c r="AG320" s="15"/>
      <c r="AH320" s="15"/>
      <c r="AI320" s="46"/>
      <c r="AJ320" s="51" t="s">
        <v>67</v>
      </c>
      <c r="AK320" s="51" t="s">
        <v>67</v>
      </c>
      <c r="AL320" s="15"/>
      <c r="AM320" s="51" t="s">
        <v>67</v>
      </c>
      <c r="AN320" s="51" t="s">
        <v>67</v>
      </c>
      <c r="AO320" s="50" t="s">
        <v>9554</v>
      </c>
    </row>
    <row r="321" spans="1:41" hidden="1" x14ac:dyDescent="0.25">
      <c r="A321" s="51" t="s">
        <v>2674</v>
      </c>
      <c r="B321" s="51" t="s">
        <v>2675</v>
      </c>
      <c r="C321" s="54" t="s">
        <v>611</v>
      </c>
      <c r="D321" s="51" t="s">
        <v>2676</v>
      </c>
      <c r="E321" s="20">
        <v>3105.2</v>
      </c>
      <c r="F321" s="20">
        <v>7684.29</v>
      </c>
      <c r="G321" s="20">
        <v>367.36</v>
      </c>
      <c r="H321" s="20">
        <v>7465.17</v>
      </c>
      <c r="I321" s="20">
        <v>7684.29</v>
      </c>
      <c r="J321" s="51" t="s">
        <v>6726</v>
      </c>
      <c r="K321" s="15">
        <v>32</v>
      </c>
      <c r="L321" s="51" t="s">
        <v>2369</v>
      </c>
      <c r="M321" s="51" t="s">
        <v>2677</v>
      </c>
      <c r="N321" s="51" t="s">
        <v>1340</v>
      </c>
      <c r="O321" s="51" t="s">
        <v>2678</v>
      </c>
      <c r="P321" s="51" t="s">
        <v>1340</v>
      </c>
      <c r="Q321" s="45">
        <v>46280.948795891207</v>
      </c>
      <c r="R321" s="46">
        <v>46320</v>
      </c>
      <c r="S321" s="46">
        <v>46315</v>
      </c>
      <c r="T321" s="51" t="s">
        <v>6119</v>
      </c>
      <c r="U321" s="15">
        <v>849.8</v>
      </c>
      <c r="V321" s="15">
        <v>3922.15</v>
      </c>
      <c r="W321" s="15">
        <v>36.39</v>
      </c>
      <c r="X321" s="15">
        <v>14.9</v>
      </c>
      <c r="Y321" s="15">
        <v>1.6620440000000001</v>
      </c>
      <c r="Z321" s="15">
        <v>6</v>
      </c>
      <c r="AA321" s="46">
        <v>46259</v>
      </c>
      <c r="AB321" s="15"/>
      <c r="AC321" s="15"/>
      <c r="AD321" s="15"/>
      <c r="AE321" s="15"/>
      <c r="AF321" s="15"/>
      <c r="AG321" s="15"/>
      <c r="AH321" s="15"/>
      <c r="AI321" s="46"/>
      <c r="AJ321" s="51" t="s">
        <v>6121</v>
      </c>
      <c r="AK321" s="51" t="s">
        <v>6121</v>
      </c>
      <c r="AL321" s="15">
        <v>849.8</v>
      </c>
      <c r="AM321" s="51" t="s">
        <v>6705</v>
      </c>
      <c r="AN321" s="51" t="s">
        <v>6713</v>
      </c>
      <c r="AO321" s="50" t="s">
        <v>9555</v>
      </c>
    </row>
    <row r="322" spans="1:41" hidden="1" x14ac:dyDescent="0.25">
      <c r="A322" s="51" t="s">
        <v>2679</v>
      </c>
      <c r="B322" s="51" t="s">
        <v>2680</v>
      </c>
      <c r="C322" s="54" t="s">
        <v>5596</v>
      </c>
      <c r="D322" s="51" t="s">
        <v>1869</v>
      </c>
      <c r="E322" s="20">
        <v>2825.07</v>
      </c>
      <c r="F322" s="20">
        <v>788.49</v>
      </c>
      <c r="G322" s="20">
        <v>19092.37</v>
      </c>
      <c r="H322" s="20">
        <v>0</v>
      </c>
      <c r="I322" s="20">
        <v>788.49</v>
      </c>
      <c r="J322" s="51" t="s">
        <v>2654</v>
      </c>
      <c r="K322" s="15">
        <v>0</v>
      </c>
      <c r="L322" s="51" t="s">
        <v>2371</v>
      </c>
      <c r="M322" s="51" t="s">
        <v>67</v>
      </c>
      <c r="N322" s="51" t="s">
        <v>67</v>
      </c>
      <c r="O322" s="51" t="s">
        <v>2681</v>
      </c>
      <c r="P322" s="51" t="s">
        <v>1340</v>
      </c>
      <c r="Q322" s="45">
        <v>46280.964921134262</v>
      </c>
      <c r="R322" s="46">
        <v>46300</v>
      </c>
      <c r="S322" s="46">
        <v>46295</v>
      </c>
      <c r="T322" s="51" t="s">
        <v>6119</v>
      </c>
      <c r="U322" s="15"/>
      <c r="V322" s="15"/>
      <c r="W322" s="15"/>
      <c r="X322" s="15"/>
      <c r="Y322" s="15"/>
      <c r="Z322" s="15"/>
      <c r="AA322" s="46"/>
      <c r="AB322" s="15"/>
      <c r="AC322" s="15"/>
      <c r="AD322" s="15"/>
      <c r="AE322" s="15"/>
      <c r="AF322" s="15"/>
      <c r="AG322" s="15"/>
      <c r="AH322" s="15"/>
      <c r="AI322" s="46"/>
      <c r="AJ322" s="51" t="s">
        <v>67</v>
      </c>
      <c r="AK322" s="51" t="s">
        <v>67</v>
      </c>
      <c r="AL322" s="15"/>
      <c r="AM322" s="51" t="s">
        <v>67</v>
      </c>
      <c r="AN322" s="51" t="s">
        <v>67</v>
      </c>
      <c r="AO322" s="50" t="s">
        <v>9554</v>
      </c>
    </row>
    <row r="323" spans="1:41" hidden="1" x14ac:dyDescent="0.25">
      <c r="A323" s="51" t="s">
        <v>2682</v>
      </c>
      <c r="B323" s="51" t="s">
        <v>2683</v>
      </c>
      <c r="C323" s="54" t="s">
        <v>611</v>
      </c>
      <c r="D323" s="51" t="s">
        <v>2684</v>
      </c>
      <c r="E323" s="20">
        <v>4064.08</v>
      </c>
      <c r="F323" s="20">
        <v>5220.49</v>
      </c>
      <c r="G323" s="20">
        <v>8113.56</v>
      </c>
      <c r="H323" s="20">
        <v>4441.51</v>
      </c>
      <c r="I323" s="20">
        <v>5220.49</v>
      </c>
      <c r="J323" s="51" t="s">
        <v>6727</v>
      </c>
      <c r="K323" s="15">
        <v>32</v>
      </c>
      <c r="L323" s="51" t="s">
        <v>2369</v>
      </c>
      <c r="M323" s="51" t="s">
        <v>2685</v>
      </c>
      <c r="N323" s="51" t="s">
        <v>1340</v>
      </c>
      <c r="O323" s="51" t="s">
        <v>67</v>
      </c>
      <c r="P323" s="51" t="s">
        <v>67</v>
      </c>
      <c r="Q323" s="45">
        <v>46280.965042025462</v>
      </c>
      <c r="R323" s="46">
        <v>46320</v>
      </c>
      <c r="S323" s="46">
        <v>46315</v>
      </c>
      <c r="T323" s="51" t="s">
        <v>6119</v>
      </c>
      <c r="U323" s="15">
        <v>849.8</v>
      </c>
      <c r="V323" s="15">
        <v>3922.15</v>
      </c>
      <c r="W323" s="15">
        <v>36.39</v>
      </c>
      <c r="X323" s="15">
        <v>14.9</v>
      </c>
      <c r="Y323" s="15">
        <v>1.6620440000000001</v>
      </c>
      <c r="Z323" s="15">
        <v>6</v>
      </c>
      <c r="AA323" s="46">
        <v>46259</v>
      </c>
      <c r="AB323" s="15"/>
      <c r="AC323" s="15"/>
      <c r="AD323" s="15"/>
      <c r="AE323" s="15"/>
      <c r="AF323" s="15"/>
      <c r="AG323" s="15"/>
      <c r="AH323" s="15"/>
      <c r="AI323" s="46"/>
      <c r="AJ323" s="51" t="s">
        <v>6121</v>
      </c>
      <c r="AK323" s="51" t="s">
        <v>6121</v>
      </c>
      <c r="AL323" s="15">
        <v>849.8</v>
      </c>
      <c r="AM323" s="51" t="s">
        <v>67</v>
      </c>
      <c r="AN323" s="51" t="s">
        <v>67</v>
      </c>
      <c r="AO323" s="50" t="s">
        <v>9554</v>
      </c>
    </row>
    <row r="324" spans="1:41" hidden="1" x14ac:dyDescent="0.25">
      <c r="A324" s="51" t="s">
        <v>2686</v>
      </c>
      <c r="B324" s="51" t="s">
        <v>2687</v>
      </c>
      <c r="C324" s="54" t="s">
        <v>607</v>
      </c>
      <c r="D324" s="51" t="s">
        <v>1681</v>
      </c>
      <c r="E324" s="20">
        <v>13294.4</v>
      </c>
      <c r="F324" s="20">
        <v>4765.26</v>
      </c>
      <c r="G324" s="20">
        <v>7677.41</v>
      </c>
      <c r="H324" s="20">
        <v>3870.86</v>
      </c>
      <c r="I324" s="20">
        <v>4199.09</v>
      </c>
      <c r="J324" s="51" t="s">
        <v>6727</v>
      </c>
      <c r="K324" s="15">
        <v>11</v>
      </c>
      <c r="L324" s="51" t="s">
        <v>2369</v>
      </c>
      <c r="M324" s="51" t="s">
        <v>2688</v>
      </c>
      <c r="N324" s="51" t="s">
        <v>1340</v>
      </c>
      <c r="O324" s="51" t="s">
        <v>67</v>
      </c>
      <c r="P324" s="51" t="s">
        <v>67</v>
      </c>
      <c r="Q324" s="45">
        <v>46280.965122777779</v>
      </c>
      <c r="R324" s="46">
        <v>46310</v>
      </c>
      <c r="S324" s="46">
        <v>46305</v>
      </c>
      <c r="T324" s="51" t="s">
        <v>6119</v>
      </c>
      <c r="U324" s="15">
        <v>848.05</v>
      </c>
      <c r="V324" s="15">
        <v>3921.84</v>
      </c>
      <c r="W324" s="15">
        <v>36.08</v>
      </c>
      <c r="X324" s="15">
        <v>14.9</v>
      </c>
      <c r="Y324" s="15">
        <v>1.662307</v>
      </c>
      <c r="Z324" s="15">
        <v>6</v>
      </c>
      <c r="AA324" s="46">
        <v>46280</v>
      </c>
      <c r="AB324" s="15"/>
      <c r="AC324" s="15"/>
      <c r="AD324" s="15"/>
      <c r="AE324" s="15"/>
      <c r="AF324" s="15"/>
      <c r="AG324" s="15"/>
      <c r="AH324" s="15"/>
      <c r="AI324" s="46"/>
      <c r="AJ324" s="51" t="s">
        <v>6121</v>
      </c>
      <c r="AK324" s="51" t="s">
        <v>6121</v>
      </c>
      <c r="AL324" s="15">
        <v>848.05</v>
      </c>
      <c r="AM324" s="51" t="s">
        <v>67</v>
      </c>
      <c r="AN324" s="51" t="s">
        <v>67</v>
      </c>
      <c r="AO324" s="50" t="s">
        <v>9554</v>
      </c>
    </row>
    <row r="325" spans="1:41" hidden="1" x14ac:dyDescent="0.25">
      <c r="A325" s="51" t="s">
        <v>2695</v>
      </c>
      <c r="B325" s="51" t="s">
        <v>2696</v>
      </c>
      <c r="C325" s="54" t="s">
        <v>5596</v>
      </c>
      <c r="D325" s="51" t="s">
        <v>1879</v>
      </c>
      <c r="E325" s="20">
        <v>3788.95</v>
      </c>
      <c r="F325" s="20">
        <v>819.63</v>
      </c>
      <c r="G325" s="20">
        <v>19100.98</v>
      </c>
      <c r="H325" s="20">
        <v>0</v>
      </c>
      <c r="I325" s="20">
        <v>819.63</v>
      </c>
      <c r="J325" s="51" t="s">
        <v>2654</v>
      </c>
      <c r="K325" s="15">
        <v>0</v>
      </c>
      <c r="L325" s="51" t="s">
        <v>2371</v>
      </c>
      <c r="M325" s="51" t="s">
        <v>67</v>
      </c>
      <c r="N325" s="51" t="s">
        <v>67</v>
      </c>
      <c r="O325" s="51" t="s">
        <v>2697</v>
      </c>
      <c r="P325" s="51" t="s">
        <v>1344</v>
      </c>
      <c r="Q325" s="45">
        <v>46281.00670810185</v>
      </c>
      <c r="R325" s="46">
        <v>46300</v>
      </c>
      <c r="S325" s="46">
        <v>46295</v>
      </c>
      <c r="T325" s="51" t="s">
        <v>6119</v>
      </c>
      <c r="U325" s="15"/>
      <c r="V325" s="15"/>
      <c r="W325" s="15"/>
      <c r="X325" s="15"/>
      <c r="Y325" s="15"/>
      <c r="Z325" s="15"/>
      <c r="AA325" s="46"/>
      <c r="AB325" s="15"/>
      <c r="AC325" s="15"/>
      <c r="AD325" s="15"/>
      <c r="AE325" s="15"/>
      <c r="AF325" s="15"/>
      <c r="AG325" s="15"/>
      <c r="AH325" s="15"/>
      <c r="AI325" s="46"/>
      <c r="AJ325" s="51" t="s">
        <v>67</v>
      </c>
      <c r="AK325" s="51" t="s">
        <v>67</v>
      </c>
      <c r="AL325" s="15"/>
      <c r="AM325" s="51" t="s">
        <v>67</v>
      </c>
      <c r="AN325" s="51" t="s">
        <v>67</v>
      </c>
      <c r="AO325" s="50" t="s">
        <v>9554</v>
      </c>
    </row>
    <row r="326" spans="1:41" hidden="1" x14ac:dyDescent="0.25">
      <c r="A326" s="51" t="s">
        <v>2698</v>
      </c>
      <c r="B326" s="51" t="s">
        <v>2699</v>
      </c>
      <c r="C326" s="54" t="s">
        <v>5596</v>
      </c>
      <c r="D326" s="51" t="s">
        <v>1412</v>
      </c>
      <c r="E326" s="20">
        <v>2966.43</v>
      </c>
      <c r="F326" s="20">
        <v>4969.22</v>
      </c>
      <c r="G326" s="20">
        <v>14930.59</v>
      </c>
      <c r="H326" s="20">
        <v>3870.86</v>
      </c>
      <c r="I326" s="20">
        <v>4969.22</v>
      </c>
      <c r="J326" s="51" t="s">
        <v>6727</v>
      </c>
      <c r="K326" s="15">
        <v>21</v>
      </c>
      <c r="L326" s="51" t="s">
        <v>2369</v>
      </c>
      <c r="M326" s="51" t="s">
        <v>67</v>
      </c>
      <c r="N326" s="51" t="s">
        <v>67</v>
      </c>
      <c r="O326" s="51" t="s">
        <v>2700</v>
      </c>
      <c r="P326" s="51" t="s">
        <v>1340</v>
      </c>
      <c r="Q326" s="45">
        <v>46281.006750208333</v>
      </c>
      <c r="R326" s="46">
        <v>46300</v>
      </c>
      <c r="S326" s="46">
        <v>46295</v>
      </c>
      <c r="T326" s="51" t="s">
        <v>6119</v>
      </c>
      <c r="U326" s="15">
        <v>848.05</v>
      </c>
      <c r="V326" s="15">
        <v>3921.84</v>
      </c>
      <c r="W326" s="15">
        <v>36.08</v>
      </c>
      <c r="X326" s="15">
        <v>14.9</v>
      </c>
      <c r="Y326" s="15">
        <v>1.662307</v>
      </c>
      <c r="Z326" s="15">
        <v>6</v>
      </c>
      <c r="AA326" s="46">
        <v>46270</v>
      </c>
      <c r="AB326" s="15"/>
      <c r="AC326" s="15"/>
      <c r="AD326" s="15"/>
      <c r="AE326" s="15"/>
      <c r="AF326" s="15"/>
      <c r="AG326" s="15"/>
      <c r="AH326" s="15"/>
      <c r="AI326" s="46"/>
      <c r="AJ326" s="51" t="s">
        <v>6121</v>
      </c>
      <c r="AK326" s="51" t="s">
        <v>6121</v>
      </c>
      <c r="AL326" s="15">
        <v>848.05</v>
      </c>
      <c r="AM326" s="51" t="s">
        <v>67</v>
      </c>
      <c r="AN326" s="51" t="s">
        <v>67</v>
      </c>
      <c r="AO326" s="50" t="s">
        <v>9554</v>
      </c>
    </row>
    <row r="327" spans="1:41" hidden="1" x14ac:dyDescent="0.25">
      <c r="A327" s="51" t="s">
        <v>2701</v>
      </c>
      <c r="B327" s="51" t="s">
        <v>2702</v>
      </c>
      <c r="C327" s="54" t="s">
        <v>608</v>
      </c>
      <c r="D327" s="51" t="s">
        <v>1412</v>
      </c>
      <c r="E327" s="20">
        <v>8765.3700000000008</v>
      </c>
      <c r="F327" s="20">
        <v>9291.36</v>
      </c>
      <c r="G327" s="20">
        <v>7978.15</v>
      </c>
      <c r="H327" s="20">
        <v>3870.86</v>
      </c>
      <c r="I327" s="20">
        <v>7570.98</v>
      </c>
      <c r="J327" s="51" t="s">
        <v>6727</v>
      </c>
      <c r="K327" s="15">
        <v>37</v>
      </c>
      <c r="L327" s="51" t="s">
        <v>2369</v>
      </c>
      <c r="M327" s="51" t="s">
        <v>67</v>
      </c>
      <c r="N327" s="51" t="s">
        <v>67</v>
      </c>
      <c r="O327" s="51" t="s">
        <v>2703</v>
      </c>
      <c r="P327" s="51" t="s">
        <v>1340</v>
      </c>
      <c r="Q327" s="45">
        <v>46281.006789236111</v>
      </c>
      <c r="R327" s="46">
        <v>46315</v>
      </c>
      <c r="S327" s="46">
        <v>46310</v>
      </c>
      <c r="T327" s="51" t="s">
        <v>6119</v>
      </c>
      <c r="U327" s="15">
        <v>849.8</v>
      </c>
      <c r="V327" s="15">
        <v>3922.15</v>
      </c>
      <c r="W327" s="15">
        <v>36.39</v>
      </c>
      <c r="X327" s="15">
        <v>14.9</v>
      </c>
      <c r="Y327" s="15">
        <v>1.6620440000000001</v>
      </c>
      <c r="Z327" s="15">
        <v>6</v>
      </c>
      <c r="AA327" s="46">
        <v>46254</v>
      </c>
      <c r="AB327" s="15"/>
      <c r="AC327" s="15"/>
      <c r="AD327" s="15"/>
      <c r="AE327" s="15"/>
      <c r="AF327" s="15"/>
      <c r="AG327" s="15"/>
      <c r="AH327" s="15"/>
      <c r="AI327" s="46"/>
      <c r="AJ327" s="51" t="s">
        <v>6121</v>
      </c>
      <c r="AK327" s="51" t="s">
        <v>6121</v>
      </c>
      <c r="AL327" s="15">
        <v>849.8</v>
      </c>
      <c r="AM327" s="51" t="s">
        <v>67</v>
      </c>
      <c r="AN327" s="51" t="s">
        <v>67</v>
      </c>
      <c r="AO327" s="50" t="s">
        <v>9554</v>
      </c>
    </row>
    <row r="328" spans="1:41" hidden="1" x14ac:dyDescent="0.25">
      <c r="A328" s="51" t="s">
        <v>2704</v>
      </c>
      <c r="B328" s="51" t="s">
        <v>2705</v>
      </c>
      <c r="C328" s="54" t="s">
        <v>605</v>
      </c>
      <c r="D328" s="51" t="s">
        <v>2104</v>
      </c>
      <c r="E328" s="20">
        <v>6922.42</v>
      </c>
      <c r="F328" s="20">
        <v>5047.22</v>
      </c>
      <c r="G328" s="20">
        <v>8929.6200000000008</v>
      </c>
      <c r="H328" s="20">
        <v>3870.86</v>
      </c>
      <c r="I328" s="20">
        <v>5047.22</v>
      </c>
      <c r="J328" s="51" t="s">
        <v>6727</v>
      </c>
      <c r="K328" s="15">
        <v>16</v>
      </c>
      <c r="L328" s="51" t="s">
        <v>2369</v>
      </c>
      <c r="M328" s="51" t="s">
        <v>2706</v>
      </c>
      <c r="N328" s="51" t="s">
        <v>1340</v>
      </c>
      <c r="O328" s="51" t="s">
        <v>2707</v>
      </c>
      <c r="P328" s="51" t="s">
        <v>1340</v>
      </c>
      <c r="Q328" s="45">
        <v>46281.006827303238</v>
      </c>
      <c r="R328" s="46">
        <v>46305</v>
      </c>
      <c r="S328" s="46">
        <v>46300</v>
      </c>
      <c r="T328" s="51" t="s">
        <v>6119</v>
      </c>
      <c r="U328" s="15">
        <v>848.05</v>
      </c>
      <c r="V328" s="15">
        <v>3921.84</v>
      </c>
      <c r="W328" s="15">
        <v>36.08</v>
      </c>
      <c r="X328" s="15">
        <v>14.9</v>
      </c>
      <c r="Y328" s="15">
        <v>1.662307</v>
      </c>
      <c r="Z328" s="15">
        <v>6</v>
      </c>
      <c r="AA328" s="46">
        <v>46275</v>
      </c>
      <c r="AB328" s="15"/>
      <c r="AC328" s="15"/>
      <c r="AD328" s="15"/>
      <c r="AE328" s="15"/>
      <c r="AF328" s="15"/>
      <c r="AG328" s="15"/>
      <c r="AH328" s="15"/>
      <c r="AI328" s="46"/>
      <c r="AJ328" s="51" t="s">
        <v>6121</v>
      </c>
      <c r="AK328" s="51" t="s">
        <v>6121</v>
      </c>
      <c r="AL328" s="15">
        <v>848.05</v>
      </c>
      <c r="AM328" s="51" t="s">
        <v>67</v>
      </c>
      <c r="AN328" s="51" t="s">
        <v>67</v>
      </c>
      <c r="AO328" s="50" t="s">
        <v>9554</v>
      </c>
    </row>
    <row r="329" spans="1:41" hidden="1" x14ac:dyDescent="0.25">
      <c r="A329" s="51" t="s">
        <v>2708</v>
      </c>
      <c r="B329" s="51" t="s">
        <v>2709</v>
      </c>
      <c r="C329" s="54" t="s">
        <v>607</v>
      </c>
      <c r="D329" s="51" t="s">
        <v>1775</v>
      </c>
      <c r="E329" s="20">
        <v>11812.19</v>
      </c>
      <c r="F329" s="20">
        <v>4579.21</v>
      </c>
      <c r="G329" s="20">
        <v>10929.46</v>
      </c>
      <c r="H329" s="20">
        <v>3870.86</v>
      </c>
      <c r="I329" s="20">
        <v>4368.03</v>
      </c>
      <c r="J329" s="51" t="s">
        <v>6727</v>
      </c>
      <c r="K329" s="15">
        <v>11</v>
      </c>
      <c r="L329" s="51" t="s">
        <v>2369</v>
      </c>
      <c r="M329" s="51" t="s">
        <v>2710</v>
      </c>
      <c r="N329" s="51" t="s">
        <v>1340</v>
      </c>
      <c r="O329" s="51" t="s">
        <v>2711</v>
      </c>
      <c r="P329" s="51" t="s">
        <v>1340</v>
      </c>
      <c r="Q329" s="45">
        <v>46281.006931504628</v>
      </c>
      <c r="R329" s="46">
        <v>46310</v>
      </c>
      <c r="S329" s="46">
        <v>46305</v>
      </c>
      <c r="T329" s="51" t="s">
        <v>6119</v>
      </c>
      <c r="U329" s="15">
        <v>848.05</v>
      </c>
      <c r="V329" s="15">
        <v>3921.84</v>
      </c>
      <c r="W329" s="15">
        <v>36.08</v>
      </c>
      <c r="X329" s="15">
        <v>14.9</v>
      </c>
      <c r="Y329" s="15">
        <v>1.662307</v>
      </c>
      <c r="Z329" s="15">
        <v>6</v>
      </c>
      <c r="AA329" s="46">
        <v>46280</v>
      </c>
      <c r="AB329" s="15"/>
      <c r="AC329" s="15"/>
      <c r="AD329" s="15"/>
      <c r="AE329" s="15"/>
      <c r="AF329" s="15"/>
      <c r="AG329" s="15"/>
      <c r="AH329" s="15"/>
      <c r="AI329" s="46"/>
      <c r="AJ329" s="51" t="s">
        <v>6121</v>
      </c>
      <c r="AK329" s="51" t="s">
        <v>6121</v>
      </c>
      <c r="AL329" s="15">
        <v>848.05</v>
      </c>
      <c r="AM329" s="51" t="s">
        <v>67</v>
      </c>
      <c r="AN329" s="51" t="s">
        <v>67</v>
      </c>
      <c r="AO329" s="50" t="s">
        <v>9554</v>
      </c>
    </row>
    <row r="330" spans="1:41" hidden="1" x14ac:dyDescent="0.25">
      <c r="A330" s="51" t="s">
        <v>2712</v>
      </c>
      <c r="B330" s="51" t="s">
        <v>2713</v>
      </c>
      <c r="C330" s="54" t="s">
        <v>608</v>
      </c>
      <c r="D330" s="51" t="s">
        <v>1754</v>
      </c>
      <c r="E330" s="20">
        <v>5021.53</v>
      </c>
      <c r="F330" s="20">
        <v>4652</v>
      </c>
      <c r="G330" s="20">
        <v>-586.21</v>
      </c>
      <c r="H330" s="20">
        <v>3870.86</v>
      </c>
      <c r="I330" s="20">
        <v>2071.4299999999998</v>
      </c>
      <c r="J330" s="51" t="s">
        <v>6724</v>
      </c>
      <c r="K330" s="15">
        <v>0</v>
      </c>
      <c r="L330" s="51" t="s">
        <v>2371</v>
      </c>
      <c r="M330" s="51" t="s">
        <v>67</v>
      </c>
      <c r="N330" s="51" t="s">
        <v>67</v>
      </c>
      <c r="O330" s="51" t="s">
        <v>2714</v>
      </c>
      <c r="P330" s="51" t="s">
        <v>1340</v>
      </c>
      <c r="Q330" s="45">
        <v>46281.006980995371</v>
      </c>
      <c r="R330" s="46">
        <v>46315</v>
      </c>
      <c r="S330" s="46">
        <v>46310</v>
      </c>
      <c r="T330" s="51" t="s">
        <v>6119</v>
      </c>
      <c r="U330" s="15">
        <v>849.8</v>
      </c>
      <c r="V330" s="15">
        <v>3922.15</v>
      </c>
      <c r="W330" s="15">
        <v>36.39</v>
      </c>
      <c r="X330" s="15">
        <v>14.9</v>
      </c>
      <c r="Y330" s="15">
        <v>1.6620440000000001</v>
      </c>
      <c r="Z330" s="15">
        <v>6</v>
      </c>
      <c r="AA330" s="46">
        <v>46254</v>
      </c>
      <c r="AB330" s="15"/>
      <c r="AC330" s="15"/>
      <c r="AD330" s="15"/>
      <c r="AE330" s="15"/>
      <c r="AF330" s="15"/>
      <c r="AG330" s="15"/>
      <c r="AH330" s="15"/>
      <c r="AI330" s="46"/>
      <c r="AJ330" s="51" t="s">
        <v>67</v>
      </c>
      <c r="AK330" s="51" t="s">
        <v>6121</v>
      </c>
      <c r="AL330" s="15">
        <v>849.8</v>
      </c>
      <c r="AM330" s="51" t="s">
        <v>6705</v>
      </c>
      <c r="AN330" s="51" t="s">
        <v>6713</v>
      </c>
      <c r="AO330" s="50" t="s">
        <v>9554</v>
      </c>
    </row>
    <row r="331" spans="1:41" hidden="1" x14ac:dyDescent="0.25">
      <c r="A331" s="51" t="s">
        <v>2715</v>
      </c>
      <c r="B331" s="51" t="s">
        <v>2716</v>
      </c>
      <c r="C331" s="54" t="s">
        <v>608</v>
      </c>
      <c r="D331" s="51" t="s">
        <v>1808</v>
      </c>
      <c r="E331" s="20">
        <v>8783.7800000000007</v>
      </c>
      <c r="F331" s="20">
        <v>7973.5</v>
      </c>
      <c r="G331" s="20">
        <v>106.37</v>
      </c>
      <c r="H331" s="20">
        <v>3870.86</v>
      </c>
      <c r="I331" s="20">
        <v>6253.12</v>
      </c>
      <c r="J331" s="51" t="s">
        <v>6725</v>
      </c>
      <c r="K331" s="15">
        <v>0</v>
      </c>
      <c r="L331" s="51" t="s">
        <v>2371</v>
      </c>
      <c r="M331" s="51" t="s">
        <v>2717</v>
      </c>
      <c r="N331" s="51" t="s">
        <v>1340</v>
      </c>
      <c r="O331" s="51" t="s">
        <v>67</v>
      </c>
      <c r="P331" s="51" t="s">
        <v>67</v>
      </c>
      <c r="Q331" s="45">
        <v>46281.007090844905</v>
      </c>
      <c r="R331" s="46">
        <v>46315</v>
      </c>
      <c r="S331" s="46">
        <v>46310</v>
      </c>
      <c r="T331" s="51" t="s">
        <v>6119</v>
      </c>
      <c r="U331" s="15">
        <v>849.8</v>
      </c>
      <c r="V331" s="15">
        <v>3922.15</v>
      </c>
      <c r="W331" s="15">
        <v>36.39</v>
      </c>
      <c r="X331" s="15">
        <v>14.9</v>
      </c>
      <c r="Y331" s="15">
        <v>1.6620440000000001</v>
      </c>
      <c r="Z331" s="15">
        <v>6</v>
      </c>
      <c r="AA331" s="46">
        <v>46254</v>
      </c>
      <c r="AB331" s="15"/>
      <c r="AC331" s="15"/>
      <c r="AD331" s="15"/>
      <c r="AE331" s="15"/>
      <c r="AF331" s="15"/>
      <c r="AG331" s="15"/>
      <c r="AH331" s="15"/>
      <c r="AI331" s="46"/>
      <c r="AJ331" s="51" t="s">
        <v>67</v>
      </c>
      <c r="AK331" s="51" t="s">
        <v>6121</v>
      </c>
      <c r="AL331" s="15">
        <v>849.8</v>
      </c>
      <c r="AM331" s="51" t="s">
        <v>6705</v>
      </c>
      <c r="AN331" s="51" t="s">
        <v>6713</v>
      </c>
      <c r="AO331" s="50" t="s">
        <v>9554</v>
      </c>
    </row>
    <row r="332" spans="1:41" hidden="1" x14ac:dyDescent="0.25">
      <c r="A332" s="51" t="s">
        <v>2718</v>
      </c>
      <c r="B332" s="51" t="s">
        <v>2719</v>
      </c>
      <c r="C332" s="54" t="s">
        <v>5596</v>
      </c>
      <c r="D332" s="51" t="s">
        <v>1757</v>
      </c>
      <c r="E332" s="20">
        <v>4915.28</v>
      </c>
      <c r="F332" s="20">
        <v>1627.64</v>
      </c>
      <c r="G332" s="20">
        <v>814.25</v>
      </c>
      <c r="H332" s="20">
        <v>3870.86</v>
      </c>
      <c r="I332" s="20">
        <v>1627.64</v>
      </c>
      <c r="J332" s="51" t="s">
        <v>6726</v>
      </c>
      <c r="K332" s="15">
        <v>0</v>
      </c>
      <c r="L332" s="51" t="s">
        <v>2371</v>
      </c>
      <c r="M332" s="51" t="s">
        <v>2720</v>
      </c>
      <c r="N332" s="51" t="s">
        <v>1340</v>
      </c>
      <c r="O332" s="51" t="s">
        <v>67</v>
      </c>
      <c r="P332" s="51" t="s">
        <v>67</v>
      </c>
      <c r="Q332" s="45">
        <v>46281.00716922454</v>
      </c>
      <c r="R332" s="46">
        <v>46300</v>
      </c>
      <c r="S332" s="46">
        <v>46295</v>
      </c>
      <c r="T332" s="51" t="s">
        <v>6119</v>
      </c>
      <c r="U332" s="15">
        <v>848.05</v>
      </c>
      <c r="V332" s="15">
        <v>3921.84</v>
      </c>
      <c r="W332" s="15">
        <v>36.08</v>
      </c>
      <c r="X332" s="15">
        <v>14.9</v>
      </c>
      <c r="Y332" s="15">
        <v>1.662307</v>
      </c>
      <c r="Z332" s="15">
        <v>6</v>
      </c>
      <c r="AA332" s="46">
        <v>46270</v>
      </c>
      <c r="AB332" s="15"/>
      <c r="AC332" s="15"/>
      <c r="AD332" s="15"/>
      <c r="AE332" s="15"/>
      <c r="AF332" s="15"/>
      <c r="AG332" s="15"/>
      <c r="AH332" s="15"/>
      <c r="AI332" s="46"/>
      <c r="AJ332" s="51" t="s">
        <v>67</v>
      </c>
      <c r="AK332" s="51" t="s">
        <v>6121</v>
      </c>
      <c r="AL332" s="15">
        <v>848.05</v>
      </c>
      <c r="AM332" s="51" t="s">
        <v>6705</v>
      </c>
      <c r="AN332" s="51" t="s">
        <v>6713</v>
      </c>
      <c r="AO332" s="50" t="s">
        <v>9554</v>
      </c>
    </row>
    <row r="333" spans="1:41" hidden="1" x14ac:dyDescent="0.25">
      <c r="A333" s="51" t="s">
        <v>2721</v>
      </c>
      <c r="B333" s="51" t="s">
        <v>2722</v>
      </c>
      <c r="C333" s="54" t="s">
        <v>605</v>
      </c>
      <c r="D333" s="51" t="s">
        <v>1644</v>
      </c>
      <c r="E333" s="20">
        <v>8867.5499999999993</v>
      </c>
      <c r="F333" s="20">
        <v>4679.03</v>
      </c>
      <c r="G333" s="20">
        <v>3775.14</v>
      </c>
      <c r="H333" s="20">
        <v>3870.86</v>
      </c>
      <c r="I333" s="20">
        <v>4679.03</v>
      </c>
      <c r="J333" s="51" t="s">
        <v>6727</v>
      </c>
      <c r="K333" s="15">
        <v>16</v>
      </c>
      <c r="L333" s="51" t="s">
        <v>2369</v>
      </c>
      <c r="M333" s="51" t="s">
        <v>2723</v>
      </c>
      <c r="N333" s="51" t="s">
        <v>1344</v>
      </c>
      <c r="O333" s="51" t="s">
        <v>67</v>
      </c>
      <c r="P333" s="51" t="s">
        <v>67</v>
      </c>
      <c r="Q333" s="45">
        <v>46281.007260729166</v>
      </c>
      <c r="R333" s="46">
        <v>46305</v>
      </c>
      <c r="S333" s="46">
        <v>46300</v>
      </c>
      <c r="T333" s="51" t="s">
        <v>6119</v>
      </c>
      <c r="U333" s="15">
        <v>848.05</v>
      </c>
      <c r="V333" s="15">
        <v>3921.84</v>
      </c>
      <c r="W333" s="15">
        <v>36.08</v>
      </c>
      <c r="X333" s="15">
        <v>14.9</v>
      </c>
      <c r="Y333" s="15">
        <v>1.662307</v>
      </c>
      <c r="Z333" s="15">
        <v>6</v>
      </c>
      <c r="AA333" s="46">
        <v>46275</v>
      </c>
      <c r="AB333" s="15"/>
      <c r="AC333" s="15"/>
      <c r="AD333" s="15"/>
      <c r="AE333" s="15"/>
      <c r="AF333" s="15"/>
      <c r="AG333" s="15"/>
      <c r="AH333" s="15"/>
      <c r="AI333" s="46"/>
      <c r="AJ333" s="51" t="s">
        <v>6121</v>
      </c>
      <c r="AK333" s="51" t="s">
        <v>6121</v>
      </c>
      <c r="AL333" s="15">
        <v>848.05</v>
      </c>
      <c r="AM333" s="51" t="s">
        <v>67</v>
      </c>
      <c r="AN333" s="51" t="s">
        <v>67</v>
      </c>
      <c r="AO333" s="50" t="s">
        <v>9554</v>
      </c>
    </row>
    <row r="334" spans="1:41" hidden="1" x14ac:dyDescent="0.25">
      <c r="A334" s="51" t="s">
        <v>2724</v>
      </c>
      <c r="B334" s="51" t="s">
        <v>2725</v>
      </c>
      <c r="C334" s="54" t="s">
        <v>611</v>
      </c>
      <c r="D334" s="51" t="s">
        <v>1879</v>
      </c>
      <c r="E334" s="20">
        <v>3715.39</v>
      </c>
      <c r="F334" s="20">
        <v>92.13</v>
      </c>
      <c r="G334" s="20">
        <v>21583.759999999998</v>
      </c>
      <c r="H334" s="20">
        <v>7454.76</v>
      </c>
      <c r="I334" s="20">
        <v>92.13</v>
      </c>
      <c r="J334" s="51" t="s">
        <v>6724</v>
      </c>
      <c r="K334" s="15">
        <v>0</v>
      </c>
      <c r="L334" s="51" t="s">
        <v>2371</v>
      </c>
      <c r="M334" s="51" t="s">
        <v>2726</v>
      </c>
      <c r="N334" s="51" t="s">
        <v>1340</v>
      </c>
      <c r="O334" s="51" t="s">
        <v>2727</v>
      </c>
      <c r="P334" s="51" t="s">
        <v>1340</v>
      </c>
      <c r="Q334" s="45">
        <v>46281.007414201391</v>
      </c>
      <c r="R334" s="46">
        <v>46320</v>
      </c>
      <c r="S334" s="46">
        <v>46315</v>
      </c>
      <c r="T334" s="51" t="s">
        <v>6119</v>
      </c>
      <c r="U334" s="15">
        <v>849.8</v>
      </c>
      <c r="V334" s="15">
        <v>3922.15</v>
      </c>
      <c r="W334" s="15">
        <v>36.39</v>
      </c>
      <c r="X334" s="15">
        <v>14.9</v>
      </c>
      <c r="Y334" s="15">
        <v>1.6620440000000001</v>
      </c>
      <c r="Z334" s="15">
        <v>6</v>
      </c>
      <c r="AA334" s="46">
        <v>46259</v>
      </c>
      <c r="AB334" s="15"/>
      <c r="AC334" s="15"/>
      <c r="AD334" s="15"/>
      <c r="AE334" s="15"/>
      <c r="AF334" s="15"/>
      <c r="AG334" s="15"/>
      <c r="AH334" s="15"/>
      <c r="AI334" s="46"/>
      <c r="AJ334" s="51" t="s">
        <v>67</v>
      </c>
      <c r="AK334" s="51" t="s">
        <v>6121</v>
      </c>
      <c r="AL334" s="15">
        <v>849.8</v>
      </c>
      <c r="AM334" s="51" t="s">
        <v>67</v>
      </c>
      <c r="AN334" s="51" t="s">
        <v>67</v>
      </c>
      <c r="AO334" s="50" t="s">
        <v>9554</v>
      </c>
    </row>
    <row r="335" spans="1:41" hidden="1" x14ac:dyDescent="0.25">
      <c r="A335" s="51" t="s">
        <v>2728</v>
      </c>
      <c r="B335" s="51" t="s">
        <v>2729</v>
      </c>
      <c r="C335" s="54" t="s">
        <v>611</v>
      </c>
      <c r="D335" s="51" t="s">
        <v>2730</v>
      </c>
      <c r="E335" s="20">
        <v>4425.84</v>
      </c>
      <c r="F335" s="20">
        <v>6985.84</v>
      </c>
      <c r="G335" s="20">
        <v>6083.97</v>
      </c>
      <c r="H335" s="20">
        <v>6206.86</v>
      </c>
      <c r="I335" s="20">
        <v>6985.84</v>
      </c>
      <c r="J335" s="51" t="s">
        <v>6727</v>
      </c>
      <c r="K335" s="15">
        <v>32</v>
      </c>
      <c r="L335" s="51" t="s">
        <v>2369</v>
      </c>
      <c r="M335" s="51" t="s">
        <v>2731</v>
      </c>
      <c r="N335" s="51" t="s">
        <v>1340</v>
      </c>
      <c r="O335" s="51" t="s">
        <v>2732</v>
      </c>
      <c r="P335" s="51" t="s">
        <v>1340</v>
      </c>
      <c r="Q335" s="45">
        <v>46281.010501608798</v>
      </c>
      <c r="R335" s="46">
        <v>46320</v>
      </c>
      <c r="S335" s="46">
        <v>46315</v>
      </c>
      <c r="T335" s="51" t="s">
        <v>6119</v>
      </c>
      <c r="U335" s="15">
        <v>849.8</v>
      </c>
      <c r="V335" s="15">
        <v>3922.15</v>
      </c>
      <c r="W335" s="15">
        <v>36.39</v>
      </c>
      <c r="X335" s="15">
        <v>14.9</v>
      </c>
      <c r="Y335" s="15">
        <v>1.6620440000000001</v>
      </c>
      <c r="Z335" s="15">
        <v>6</v>
      </c>
      <c r="AA335" s="46">
        <v>46259</v>
      </c>
      <c r="AB335" s="15"/>
      <c r="AC335" s="15"/>
      <c r="AD335" s="15"/>
      <c r="AE335" s="15"/>
      <c r="AF335" s="15"/>
      <c r="AG335" s="15"/>
      <c r="AH335" s="15"/>
      <c r="AI335" s="46"/>
      <c r="AJ335" s="51" t="s">
        <v>6121</v>
      </c>
      <c r="AK335" s="51" t="s">
        <v>6121</v>
      </c>
      <c r="AL335" s="15">
        <v>849.8</v>
      </c>
      <c r="AM335" s="51" t="s">
        <v>67</v>
      </c>
      <c r="AN335" s="51" t="s">
        <v>67</v>
      </c>
      <c r="AO335" s="50" t="s">
        <v>9554</v>
      </c>
    </row>
    <row r="336" spans="1:41" hidden="1" x14ac:dyDescent="0.25">
      <c r="A336" s="51" t="s">
        <v>2733</v>
      </c>
      <c r="B336" s="51" t="s">
        <v>2734</v>
      </c>
      <c r="C336" s="54" t="s">
        <v>607</v>
      </c>
      <c r="D336" s="51" t="s">
        <v>2735</v>
      </c>
      <c r="E336" s="20">
        <v>2825.43</v>
      </c>
      <c r="F336" s="20">
        <v>567.53</v>
      </c>
      <c r="G336" s="20">
        <v>15780.12</v>
      </c>
      <c r="H336" s="20">
        <v>0</v>
      </c>
      <c r="I336" s="20">
        <v>567.53</v>
      </c>
      <c r="J336" s="51" t="s">
        <v>2654</v>
      </c>
      <c r="K336" s="15">
        <v>0</v>
      </c>
      <c r="L336" s="51" t="s">
        <v>2371</v>
      </c>
      <c r="M336" s="51" t="s">
        <v>2736</v>
      </c>
      <c r="N336" s="51" t="s">
        <v>1340</v>
      </c>
      <c r="O336" s="51" t="s">
        <v>2737</v>
      </c>
      <c r="P336" s="51" t="s">
        <v>1340</v>
      </c>
      <c r="Q336" s="45">
        <v>46281.010513622685</v>
      </c>
      <c r="R336" s="46">
        <v>46310</v>
      </c>
      <c r="S336" s="46">
        <v>46305</v>
      </c>
      <c r="T336" s="51" t="s">
        <v>6119</v>
      </c>
      <c r="U336" s="15"/>
      <c r="V336" s="15"/>
      <c r="W336" s="15"/>
      <c r="X336" s="15"/>
      <c r="Y336" s="15"/>
      <c r="Z336" s="15"/>
      <c r="AA336" s="46"/>
      <c r="AB336" s="15"/>
      <c r="AC336" s="15"/>
      <c r="AD336" s="15"/>
      <c r="AE336" s="15"/>
      <c r="AF336" s="15"/>
      <c r="AG336" s="15"/>
      <c r="AH336" s="15"/>
      <c r="AI336" s="46"/>
      <c r="AJ336" s="51" t="s">
        <v>67</v>
      </c>
      <c r="AK336" s="51" t="s">
        <v>67</v>
      </c>
      <c r="AL336" s="15"/>
      <c r="AM336" s="51" t="s">
        <v>67</v>
      </c>
      <c r="AN336" s="51" t="s">
        <v>67</v>
      </c>
      <c r="AO336" s="50" t="s">
        <v>9554</v>
      </c>
    </row>
    <row r="337" spans="1:41" hidden="1" x14ac:dyDescent="0.25">
      <c r="A337" s="51" t="s">
        <v>2738</v>
      </c>
      <c r="B337" s="51" t="s">
        <v>2739</v>
      </c>
      <c r="C337" s="54" t="s">
        <v>608</v>
      </c>
      <c r="D337" s="51" t="s">
        <v>2740</v>
      </c>
      <c r="E337" s="20">
        <v>13380.02</v>
      </c>
      <c r="F337" s="20">
        <v>3954.84</v>
      </c>
      <c r="G337" s="20">
        <v>13024.16</v>
      </c>
      <c r="H337" s="20">
        <v>3870.86</v>
      </c>
      <c r="I337" s="20">
        <v>471.06</v>
      </c>
      <c r="J337" s="51" t="s">
        <v>6726</v>
      </c>
      <c r="K337" s="15">
        <v>0</v>
      </c>
      <c r="L337" s="51" t="s">
        <v>2371</v>
      </c>
      <c r="M337" s="51" t="s">
        <v>2741</v>
      </c>
      <c r="N337" s="51" t="s">
        <v>1340</v>
      </c>
      <c r="O337" s="51" t="s">
        <v>2742</v>
      </c>
      <c r="P337" s="51" t="s">
        <v>1340</v>
      </c>
      <c r="Q337" s="45">
        <v>46281.01051847222</v>
      </c>
      <c r="R337" s="46">
        <v>46315</v>
      </c>
      <c r="S337" s="46">
        <v>46310</v>
      </c>
      <c r="T337" s="51" t="s">
        <v>6119</v>
      </c>
      <c r="U337" s="15">
        <v>849.8</v>
      </c>
      <c r="V337" s="15">
        <v>3922.15</v>
      </c>
      <c r="W337" s="15">
        <v>36.39</v>
      </c>
      <c r="X337" s="15">
        <v>14.9</v>
      </c>
      <c r="Y337" s="15">
        <v>1.6620440000000001</v>
      </c>
      <c r="Z337" s="15">
        <v>6</v>
      </c>
      <c r="AA337" s="46">
        <v>46254</v>
      </c>
      <c r="AB337" s="15"/>
      <c r="AC337" s="15"/>
      <c r="AD337" s="15"/>
      <c r="AE337" s="15"/>
      <c r="AF337" s="15"/>
      <c r="AG337" s="15"/>
      <c r="AH337" s="15"/>
      <c r="AI337" s="46"/>
      <c r="AJ337" s="51" t="s">
        <v>67</v>
      </c>
      <c r="AK337" s="51" t="s">
        <v>6121</v>
      </c>
      <c r="AL337" s="15">
        <v>849.8</v>
      </c>
      <c r="AM337" s="51" t="s">
        <v>67</v>
      </c>
      <c r="AN337" s="51" t="s">
        <v>67</v>
      </c>
      <c r="AO337" s="50" t="s">
        <v>9554</v>
      </c>
    </row>
    <row r="338" spans="1:41" hidden="1" x14ac:dyDescent="0.25">
      <c r="A338" s="51" t="s">
        <v>2743</v>
      </c>
      <c r="B338" s="51" t="s">
        <v>2744</v>
      </c>
      <c r="C338" s="54" t="s">
        <v>608</v>
      </c>
      <c r="D338" s="51" t="s">
        <v>2745</v>
      </c>
      <c r="E338" s="20">
        <v>5858.68</v>
      </c>
      <c r="F338" s="20">
        <v>4755.71</v>
      </c>
      <c r="G338" s="20">
        <v>4442.24</v>
      </c>
      <c r="H338" s="20">
        <v>3870.86</v>
      </c>
      <c r="I338" s="20">
        <v>2175.14</v>
      </c>
      <c r="J338" s="51" t="s">
        <v>6724</v>
      </c>
      <c r="K338" s="15">
        <v>0</v>
      </c>
      <c r="L338" s="51" t="s">
        <v>2371</v>
      </c>
      <c r="M338" s="51" t="s">
        <v>67</v>
      </c>
      <c r="N338" s="51" t="s">
        <v>67</v>
      </c>
      <c r="O338" s="51" t="s">
        <v>2746</v>
      </c>
      <c r="P338" s="51" t="s">
        <v>1340</v>
      </c>
      <c r="Q338" s="45">
        <v>46281.010527754632</v>
      </c>
      <c r="R338" s="46">
        <v>46315</v>
      </c>
      <c r="S338" s="46">
        <v>46310</v>
      </c>
      <c r="T338" s="51" t="s">
        <v>6119</v>
      </c>
      <c r="U338" s="15">
        <v>849.8</v>
      </c>
      <c r="V338" s="15">
        <v>3922.15</v>
      </c>
      <c r="W338" s="15">
        <v>36.39</v>
      </c>
      <c r="X338" s="15">
        <v>14.9</v>
      </c>
      <c r="Y338" s="15">
        <v>1.6620440000000001</v>
      </c>
      <c r="Z338" s="15">
        <v>6</v>
      </c>
      <c r="AA338" s="46">
        <v>46254</v>
      </c>
      <c r="AB338" s="15"/>
      <c r="AC338" s="15"/>
      <c r="AD338" s="15"/>
      <c r="AE338" s="15"/>
      <c r="AF338" s="15"/>
      <c r="AG338" s="15"/>
      <c r="AH338" s="15"/>
      <c r="AI338" s="46"/>
      <c r="AJ338" s="51" t="s">
        <v>67</v>
      </c>
      <c r="AK338" s="51" t="s">
        <v>6121</v>
      </c>
      <c r="AL338" s="15">
        <v>849.8</v>
      </c>
      <c r="AM338" s="51" t="s">
        <v>6705</v>
      </c>
      <c r="AN338" s="51" t="s">
        <v>6713</v>
      </c>
      <c r="AO338" s="50" t="s">
        <v>9554</v>
      </c>
    </row>
    <row r="339" spans="1:41" hidden="1" x14ac:dyDescent="0.25">
      <c r="A339" s="51" t="s">
        <v>2747</v>
      </c>
      <c r="B339" s="51" t="s">
        <v>2748</v>
      </c>
      <c r="C339" s="54" t="s">
        <v>608</v>
      </c>
      <c r="D339" s="51" t="s">
        <v>2749</v>
      </c>
      <c r="E339" s="20">
        <v>11076.13</v>
      </c>
      <c r="F339" s="20">
        <v>0</v>
      </c>
      <c r="G339" s="20">
        <v>20252.78</v>
      </c>
      <c r="H339" s="20">
        <v>0</v>
      </c>
      <c r="I339" s="20">
        <v>513.92999999999995</v>
      </c>
      <c r="J339" s="51" t="s">
        <v>2654</v>
      </c>
      <c r="K339" s="15">
        <v>0</v>
      </c>
      <c r="L339" s="51" t="s">
        <v>2371</v>
      </c>
      <c r="M339" s="51" t="s">
        <v>2750</v>
      </c>
      <c r="N339" s="51" t="s">
        <v>1340</v>
      </c>
      <c r="O339" s="51" t="s">
        <v>67</v>
      </c>
      <c r="P339" s="51" t="s">
        <v>67</v>
      </c>
      <c r="Q339" s="45">
        <v>46281.010534976849</v>
      </c>
      <c r="R339" s="46">
        <v>46315</v>
      </c>
      <c r="S339" s="46">
        <v>46310</v>
      </c>
      <c r="T339" s="51" t="s">
        <v>6119</v>
      </c>
      <c r="U339" s="15"/>
      <c r="V339" s="15"/>
      <c r="W339" s="15"/>
      <c r="X339" s="15"/>
      <c r="Y339" s="15"/>
      <c r="Z339" s="15"/>
      <c r="AA339" s="46"/>
      <c r="AB339" s="15"/>
      <c r="AC339" s="15"/>
      <c r="AD339" s="15"/>
      <c r="AE339" s="15"/>
      <c r="AF339" s="15"/>
      <c r="AG339" s="15"/>
      <c r="AH339" s="15"/>
      <c r="AI339" s="46"/>
      <c r="AJ339" s="51" t="s">
        <v>67</v>
      </c>
      <c r="AK339" s="51" t="s">
        <v>67</v>
      </c>
      <c r="AL339" s="15"/>
      <c r="AM339" s="51" t="s">
        <v>67</v>
      </c>
      <c r="AN339" s="51" t="s">
        <v>67</v>
      </c>
      <c r="AO339" s="50" t="s">
        <v>9554</v>
      </c>
    </row>
    <row r="340" spans="1:41" hidden="1" x14ac:dyDescent="0.25">
      <c r="A340" s="51" t="s">
        <v>2751</v>
      </c>
      <c r="B340" s="51" t="s">
        <v>2752</v>
      </c>
      <c r="C340" s="54" t="s">
        <v>5596</v>
      </c>
      <c r="D340" s="51" t="s">
        <v>2753</v>
      </c>
      <c r="E340" s="20">
        <v>3613.91</v>
      </c>
      <c r="F340" s="20">
        <v>582.33000000000004</v>
      </c>
      <c r="G340" s="20">
        <v>9664.65</v>
      </c>
      <c r="H340" s="20">
        <v>0</v>
      </c>
      <c r="I340" s="20">
        <v>582.33000000000004</v>
      </c>
      <c r="J340" s="51" t="s">
        <v>2654</v>
      </c>
      <c r="K340" s="15">
        <v>0</v>
      </c>
      <c r="L340" s="51" t="s">
        <v>2371</v>
      </c>
      <c r="M340" s="51" t="s">
        <v>2754</v>
      </c>
      <c r="N340" s="51" t="s">
        <v>1340</v>
      </c>
      <c r="O340" s="51" t="s">
        <v>2755</v>
      </c>
      <c r="P340" s="51" t="s">
        <v>1340</v>
      </c>
      <c r="Q340" s="45">
        <v>46281.01053900463</v>
      </c>
      <c r="R340" s="46">
        <v>46300</v>
      </c>
      <c r="S340" s="46">
        <v>46295</v>
      </c>
      <c r="T340" s="51" t="s">
        <v>6119</v>
      </c>
      <c r="U340" s="15"/>
      <c r="V340" s="15"/>
      <c r="W340" s="15"/>
      <c r="X340" s="15"/>
      <c r="Y340" s="15"/>
      <c r="Z340" s="15"/>
      <c r="AA340" s="46"/>
      <c r="AB340" s="15"/>
      <c r="AC340" s="15"/>
      <c r="AD340" s="15"/>
      <c r="AE340" s="15"/>
      <c r="AF340" s="15"/>
      <c r="AG340" s="15"/>
      <c r="AH340" s="15"/>
      <c r="AI340" s="46"/>
      <c r="AJ340" s="51" t="s">
        <v>67</v>
      </c>
      <c r="AK340" s="51" t="s">
        <v>67</v>
      </c>
      <c r="AL340" s="15"/>
      <c r="AM340" s="51" t="s">
        <v>67</v>
      </c>
      <c r="AN340" s="51" t="s">
        <v>67</v>
      </c>
      <c r="AO340" s="50" t="s">
        <v>9554</v>
      </c>
    </row>
    <row r="341" spans="1:41" hidden="1" x14ac:dyDescent="0.25">
      <c r="A341" s="51" t="s">
        <v>2756</v>
      </c>
      <c r="B341" s="51" t="s">
        <v>2757</v>
      </c>
      <c r="C341" s="54" t="s">
        <v>608</v>
      </c>
      <c r="D341" s="51" t="s">
        <v>2758</v>
      </c>
      <c r="E341" s="20">
        <v>13807.5</v>
      </c>
      <c r="F341" s="20">
        <v>9348.9500000000007</v>
      </c>
      <c r="G341" s="20">
        <v>719.32</v>
      </c>
      <c r="H341" s="20">
        <v>3870.86</v>
      </c>
      <c r="I341" s="20">
        <v>8058.66</v>
      </c>
      <c r="J341" s="51" t="s">
        <v>6727</v>
      </c>
      <c r="K341" s="15">
        <v>37</v>
      </c>
      <c r="L341" s="51" t="s">
        <v>2369</v>
      </c>
      <c r="M341" s="51" t="s">
        <v>67</v>
      </c>
      <c r="N341" s="51" t="s">
        <v>67</v>
      </c>
      <c r="O341" s="51" t="s">
        <v>2759</v>
      </c>
      <c r="P341" s="51" t="s">
        <v>1344</v>
      </c>
      <c r="Q341" s="45">
        <v>46281.010542905089</v>
      </c>
      <c r="R341" s="46">
        <v>46315</v>
      </c>
      <c r="S341" s="46">
        <v>46310</v>
      </c>
      <c r="T341" s="51" t="s">
        <v>6119</v>
      </c>
      <c r="U341" s="15">
        <v>849.8</v>
      </c>
      <c r="V341" s="15">
        <v>3922.15</v>
      </c>
      <c r="W341" s="15">
        <v>36.39</v>
      </c>
      <c r="X341" s="15">
        <v>14.9</v>
      </c>
      <c r="Y341" s="15">
        <v>1.6620440000000001</v>
      </c>
      <c r="Z341" s="15">
        <v>6</v>
      </c>
      <c r="AA341" s="46">
        <v>46254</v>
      </c>
      <c r="AB341" s="15"/>
      <c r="AC341" s="15"/>
      <c r="AD341" s="15"/>
      <c r="AE341" s="15"/>
      <c r="AF341" s="15"/>
      <c r="AG341" s="15"/>
      <c r="AH341" s="15"/>
      <c r="AI341" s="46"/>
      <c r="AJ341" s="51" t="s">
        <v>6121</v>
      </c>
      <c r="AK341" s="51" t="s">
        <v>6121</v>
      </c>
      <c r="AL341" s="15">
        <v>849.8</v>
      </c>
      <c r="AM341" s="51" t="s">
        <v>67</v>
      </c>
      <c r="AN341" s="51" t="s">
        <v>67</v>
      </c>
      <c r="AO341" s="50" t="s">
        <v>9554</v>
      </c>
    </row>
    <row r="342" spans="1:41" hidden="1" x14ac:dyDescent="0.25">
      <c r="A342" s="51" t="s">
        <v>2760</v>
      </c>
      <c r="B342" s="51" t="s">
        <v>2761</v>
      </c>
      <c r="C342" s="54" t="s">
        <v>607</v>
      </c>
      <c r="D342" s="51" t="s">
        <v>2762</v>
      </c>
      <c r="E342" s="20">
        <v>14891.71</v>
      </c>
      <c r="F342" s="20">
        <v>1907.95</v>
      </c>
      <c r="G342" s="20">
        <v>5625.51</v>
      </c>
      <c r="H342" s="20">
        <v>3870.86</v>
      </c>
      <c r="I342" s="20">
        <v>1760</v>
      </c>
      <c r="J342" s="51" t="s">
        <v>6726</v>
      </c>
      <c r="K342" s="15">
        <v>0</v>
      </c>
      <c r="L342" s="51" t="s">
        <v>2371</v>
      </c>
      <c r="M342" s="51" t="s">
        <v>67</v>
      </c>
      <c r="N342" s="51" t="s">
        <v>67</v>
      </c>
      <c r="O342" s="51" t="s">
        <v>2763</v>
      </c>
      <c r="P342" s="51" t="s">
        <v>1340</v>
      </c>
      <c r="Q342" s="45">
        <v>46281.01054984954</v>
      </c>
      <c r="R342" s="46">
        <v>46310</v>
      </c>
      <c r="S342" s="46">
        <v>46305</v>
      </c>
      <c r="T342" s="51" t="s">
        <v>6119</v>
      </c>
      <c r="U342" s="15">
        <v>848.05</v>
      </c>
      <c r="V342" s="15">
        <v>3921.84</v>
      </c>
      <c r="W342" s="15">
        <v>36.08</v>
      </c>
      <c r="X342" s="15">
        <v>14.9</v>
      </c>
      <c r="Y342" s="15">
        <v>1.662307</v>
      </c>
      <c r="Z342" s="15">
        <v>6</v>
      </c>
      <c r="AA342" s="46">
        <v>46280</v>
      </c>
      <c r="AB342" s="15"/>
      <c r="AC342" s="15"/>
      <c r="AD342" s="15"/>
      <c r="AE342" s="15"/>
      <c r="AF342" s="15"/>
      <c r="AG342" s="15"/>
      <c r="AH342" s="15"/>
      <c r="AI342" s="46"/>
      <c r="AJ342" s="51" t="s">
        <v>67</v>
      </c>
      <c r="AK342" s="51" t="s">
        <v>6121</v>
      </c>
      <c r="AL342" s="15">
        <v>848.05</v>
      </c>
      <c r="AM342" s="51" t="s">
        <v>67</v>
      </c>
      <c r="AN342" s="51" t="s">
        <v>67</v>
      </c>
      <c r="AO342" s="50" t="s">
        <v>9554</v>
      </c>
    </row>
    <row r="343" spans="1:41" hidden="1" x14ac:dyDescent="0.25">
      <c r="A343" s="51" t="s">
        <v>2764</v>
      </c>
      <c r="B343" s="51" t="s">
        <v>2765</v>
      </c>
      <c r="C343" s="54" t="s">
        <v>611</v>
      </c>
      <c r="D343" s="51" t="s">
        <v>2766</v>
      </c>
      <c r="E343" s="20">
        <v>10264.33</v>
      </c>
      <c r="F343" s="20">
        <v>5262.18</v>
      </c>
      <c r="G343" s="20">
        <v>2796.98</v>
      </c>
      <c r="H343" s="20">
        <v>5681.37</v>
      </c>
      <c r="I343" s="20">
        <v>5262.18</v>
      </c>
      <c r="J343" s="51" t="s">
        <v>6726</v>
      </c>
      <c r="K343" s="15">
        <v>0</v>
      </c>
      <c r="L343" s="51" t="s">
        <v>2371</v>
      </c>
      <c r="M343" s="51" t="s">
        <v>67</v>
      </c>
      <c r="N343" s="51" t="s">
        <v>67</v>
      </c>
      <c r="O343" s="51" t="s">
        <v>2767</v>
      </c>
      <c r="P343" s="51" t="s">
        <v>1344</v>
      </c>
      <c r="Q343" s="45">
        <v>46281.010559768518</v>
      </c>
      <c r="R343" s="46">
        <v>46320</v>
      </c>
      <c r="S343" s="46">
        <v>46315</v>
      </c>
      <c r="T343" s="51" t="s">
        <v>6119</v>
      </c>
      <c r="U343" s="15">
        <v>849.8</v>
      </c>
      <c r="V343" s="15">
        <v>3922.15</v>
      </c>
      <c r="W343" s="15">
        <v>36.39</v>
      </c>
      <c r="X343" s="15">
        <v>14.9</v>
      </c>
      <c r="Y343" s="15">
        <v>1.6620440000000001</v>
      </c>
      <c r="Z343" s="15">
        <v>6</v>
      </c>
      <c r="AA343" s="46">
        <v>46259</v>
      </c>
      <c r="AB343" s="15"/>
      <c r="AC343" s="15"/>
      <c r="AD343" s="15"/>
      <c r="AE343" s="15"/>
      <c r="AF343" s="15"/>
      <c r="AG343" s="15"/>
      <c r="AH343" s="15"/>
      <c r="AI343" s="46"/>
      <c r="AJ343" s="51" t="s">
        <v>67</v>
      </c>
      <c r="AK343" s="51" t="s">
        <v>6121</v>
      </c>
      <c r="AL343" s="15">
        <v>849.8</v>
      </c>
      <c r="AM343" s="51" t="s">
        <v>67</v>
      </c>
      <c r="AN343" s="51" t="s">
        <v>67</v>
      </c>
      <c r="AO343" s="50" t="s">
        <v>9554</v>
      </c>
    </row>
    <row r="344" spans="1:41" hidden="1" x14ac:dyDescent="0.25">
      <c r="A344" s="51" t="s">
        <v>2768</v>
      </c>
      <c r="B344" s="51" t="s">
        <v>2769</v>
      </c>
      <c r="C344" s="54" t="s">
        <v>611</v>
      </c>
      <c r="D344" s="51" t="s">
        <v>2770</v>
      </c>
      <c r="E344" s="20">
        <v>1684.22</v>
      </c>
      <c r="F344" s="20">
        <v>618.86</v>
      </c>
      <c r="G344" s="20">
        <v>12337.33</v>
      </c>
      <c r="H344" s="20">
        <v>601.23</v>
      </c>
      <c r="I344" s="20">
        <v>618.86</v>
      </c>
      <c r="J344" s="51" t="s">
        <v>6727</v>
      </c>
      <c r="K344" s="15">
        <v>1</v>
      </c>
      <c r="L344" s="51" t="s">
        <v>2369</v>
      </c>
      <c r="M344" s="51" t="s">
        <v>67</v>
      </c>
      <c r="N344" s="51" t="s">
        <v>67</v>
      </c>
      <c r="O344" s="51" t="s">
        <v>2771</v>
      </c>
      <c r="P344" s="51" t="s">
        <v>1344</v>
      </c>
      <c r="Q344" s="45">
        <v>46281.010564363423</v>
      </c>
      <c r="R344" s="46">
        <v>46320</v>
      </c>
      <c r="S344" s="46">
        <v>46315</v>
      </c>
      <c r="T344" s="51" t="s">
        <v>6119</v>
      </c>
      <c r="U344" s="15"/>
      <c r="V344" s="15"/>
      <c r="W344" s="15"/>
      <c r="X344" s="15"/>
      <c r="Y344" s="15"/>
      <c r="Z344" s="15"/>
      <c r="AA344" s="46"/>
      <c r="AB344" s="15"/>
      <c r="AC344" s="15"/>
      <c r="AD344" s="15"/>
      <c r="AE344" s="15"/>
      <c r="AF344" s="15"/>
      <c r="AG344" s="15"/>
      <c r="AH344" s="15"/>
      <c r="AI344" s="46"/>
      <c r="AJ344" s="51" t="s">
        <v>67</v>
      </c>
      <c r="AK344" s="51" t="s">
        <v>67</v>
      </c>
      <c r="AL344" s="15"/>
      <c r="AM344" s="51" t="s">
        <v>67</v>
      </c>
      <c r="AN344" s="51" t="s">
        <v>67</v>
      </c>
      <c r="AO344" s="50" t="s">
        <v>9554</v>
      </c>
    </row>
    <row r="345" spans="1:41" hidden="1" x14ac:dyDescent="0.25">
      <c r="A345" s="51" t="s">
        <v>2772</v>
      </c>
      <c r="B345" s="51" t="s">
        <v>2773</v>
      </c>
      <c r="C345" s="54" t="s">
        <v>605</v>
      </c>
      <c r="D345" s="51" t="s">
        <v>2774</v>
      </c>
      <c r="E345" s="20">
        <v>10219.98</v>
      </c>
      <c r="F345" s="20">
        <v>659.12</v>
      </c>
      <c r="G345" s="20">
        <v>8668.1200000000008</v>
      </c>
      <c r="H345" s="20">
        <v>0</v>
      </c>
      <c r="I345" s="20">
        <v>659.12</v>
      </c>
      <c r="J345" s="51" t="s">
        <v>2654</v>
      </c>
      <c r="K345" s="15">
        <v>0</v>
      </c>
      <c r="L345" s="51" t="s">
        <v>2371</v>
      </c>
      <c r="M345" s="51" t="s">
        <v>67</v>
      </c>
      <c r="N345" s="51" t="s">
        <v>67</v>
      </c>
      <c r="O345" s="51" t="s">
        <v>2775</v>
      </c>
      <c r="P345" s="51" t="s">
        <v>1344</v>
      </c>
      <c r="Q345" s="45">
        <v>46281.010622083333</v>
      </c>
      <c r="R345" s="46">
        <v>46305</v>
      </c>
      <c r="S345" s="46">
        <v>46300</v>
      </c>
      <c r="T345" s="51" t="s">
        <v>6119</v>
      </c>
      <c r="U345" s="15"/>
      <c r="V345" s="15"/>
      <c r="W345" s="15"/>
      <c r="X345" s="15"/>
      <c r="Y345" s="15"/>
      <c r="Z345" s="15"/>
      <c r="AA345" s="46"/>
      <c r="AB345" s="15"/>
      <c r="AC345" s="15"/>
      <c r="AD345" s="15"/>
      <c r="AE345" s="15"/>
      <c r="AF345" s="15"/>
      <c r="AG345" s="15"/>
      <c r="AH345" s="15"/>
      <c r="AI345" s="46"/>
      <c r="AJ345" s="51" t="s">
        <v>67</v>
      </c>
      <c r="AK345" s="51" t="s">
        <v>67</v>
      </c>
      <c r="AL345" s="15"/>
      <c r="AM345" s="51" t="s">
        <v>67</v>
      </c>
      <c r="AN345" s="51" t="s">
        <v>67</v>
      </c>
      <c r="AO345" s="50" t="s">
        <v>9554</v>
      </c>
    </row>
    <row r="346" spans="1:41" hidden="1" x14ac:dyDescent="0.25">
      <c r="A346" s="51" t="s">
        <v>2776</v>
      </c>
      <c r="B346" s="51" t="s">
        <v>2777</v>
      </c>
      <c r="C346" s="54" t="s">
        <v>605</v>
      </c>
      <c r="D346" s="51" t="s">
        <v>2778</v>
      </c>
      <c r="E346" s="20">
        <v>8958.4</v>
      </c>
      <c r="F346" s="20">
        <v>466.92</v>
      </c>
      <c r="G346" s="20">
        <v>14487.12</v>
      </c>
      <c r="H346" s="20">
        <v>0</v>
      </c>
      <c r="I346" s="20">
        <v>466.92</v>
      </c>
      <c r="J346" s="51" t="s">
        <v>2654</v>
      </c>
      <c r="K346" s="15">
        <v>0</v>
      </c>
      <c r="L346" s="51" t="s">
        <v>2371</v>
      </c>
      <c r="M346" s="51" t="s">
        <v>67</v>
      </c>
      <c r="N346" s="51" t="s">
        <v>67</v>
      </c>
      <c r="O346" s="51" t="s">
        <v>2779</v>
      </c>
      <c r="P346" s="51" t="s">
        <v>1340</v>
      </c>
      <c r="Q346" s="45">
        <v>46281.010625694442</v>
      </c>
      <c r="R346" s="46">
        <v>46305</v>
      </c>
      <c r="S346" s="46">
        <v>46300</v>
      </c>
      <c r="T346" s="51" t="s">
        <v>6119</v>
      </c>
      <c r="U346" s="15"/>
      <c r="V346" s="15"/>
      <c r="W346" s="15"/>
      <c r="X346" s="15"/>
      <c r="Y346" s="15"/>
      <c r="Z346" s="15"/>
      <c r="AA346" s="46"/>
      <c r="AB346" s="15"/>
      <c r="AC346" s="15"/>
      <c r="AD346" s="15"/>
      <c r="AE346" s="15"/>
      <c r="AF346" s="15"/>
      <c r="AG346" s="15"/>
      <c r="AH346" s="15"/>
      <c r="AI346" s="46"/>
      <c r="AJ346" s="51" t="s">
        <v>67</v>
      </c>
      <c r="AK346" s="51" t="s">
        <v>67</v>
      </c>
      <c r="AL346" s="15"/>
      <c r="AM346" s="51" t="s">
        <v>67</v>
      </c>
      <c r="AN346" s="51" t="s">
        <v>67</v>
      </c>
      <c r="AO346" s="50" t="s">
        <v>9554</v>
      </c>
    </row>
    <row r="347" spans="1:41" hidden="1" x14ac:dyDescent="0.25">
      <c r="A347" s="51" t="s">
        <v>2780</v>
      </c>
      <c r="B347" s="51" t="s">
        <v>2781</v>
      </c>
      <c r="C347" s="54" t="s">
        <v>605</v>
      </c>
      <c r="D347" s="51" t="s">
        <v>2782</v>
      </c>
      <c r="E347" s="20">
        <v>5431.57</v>
      </c>
      <c r="F347" s="20">
        <v>657.13</v>
      </c>
      <c r="G347" s="20">
        <v>11428.06</v>
      </c>
      <c r="H347" s="20">
        <v>0</v>
      </c>
      <c r="I347" s="20">
        <v>657.13</v>
      </c>
      <c r="J347" s="51" t="s">
        <v>2654</v>
      </c>
      <c r="K347" s="15">
        <v>0</v>
      </c>
      <c r="L347" s="51" t="s">
        <v>2371</v>
      </c>
      <c r="M347" s="51" t="s">
        <v>2783</v>
      </c>
      <c r="N347" s="51" t="s">
        <v>1340</v>
      </c>
      <c r="O347" s="51" t="s">
        <v>67</v>
      </c>
      <c r="P347" s="51" t="s">
        <v>67</v>
      </c>
      <c r="Q347" s="45">
        <v>46281.010629201388</v>
      </c>
      <c r="R347" s="46">
        <v>46305</v>
      </c>
      <c r="S347" s="46">
        <v>46300</v>
      </c>
      <c r="T347" s="51" t="s">
        <v>6119</v>
      </c>
      <c r="U347" s="15"/>
      <c r="V347" s="15"/>
      <c r="W347" s="15"/>
      <c r="X347" s="15"/>
      <c r="Y347" s="15"/>
      <c r="Z347" s="15"/>
      <c r="AA347" s="46"/>
      <c r="AB347" s="15"/>
      <c r="AC347" s="15"/>
      <c r="AD347" s="15"/>
      <c r="AE347" s="15"/>
      <c r="AF347" s="15"/>
      <c r="AG347" s="15"/>
      <c r="AH347" s="15"/>
      <c r="AI347" s="46"/>
      <c r="AJ347" s="51" t="s">
        <v>67</v>
      </c>
      <c r="AK347" s="51" t="s">
        <v>67</v>
      </c>
      <c r="AL347" s="15"/>
      <c r="AM347" s="51" t="s">
        <v>67</v>
      </c>
      <c r="AN347" s="51" t="s">
        <v>67</v>
      </c>
      <c r="AO347" s="50" t="s">
        <v>9554</v>
      </c>
    </row>
    <row r="348" spans="1:41" hidden="1" x14ac:dyDescent="0.25">
      <c r="A348" s="51" t="s">
        <v>2784</v>
      </c>
      <c r="B348" s="51" t="s">
        <v>2785</v>
      </c>
      <c r="C348" s="54" t="s">
        <v>5596</v>
      </c>
      <c r="D348" s="51" t="s">
        <v>2786</v>
      </c>
      <c r="E348" s="20">
        <v>12157.24</v>
      </c>
      <c r="F348" s="20">
        <v>4833.47</v>
      </c>
      <c r="G348" s="20">
        <v>9572.75</v>
      </c>
      <c r="H348" s="20">
        <v>3870.86</v>
      </c>
      <c r="I348" s="20">
        <v>4833.46</v>
      </c>
      <c r="J348" s="51" t="s">
        <v>6727</v>
      </c>
      <c r="K348" s="15">
        <v>21</v>
      </c>
      <c r="L348" s="51" t="s">
        <v>2369</v>
      </c>
      <c r="M348" s="51" t="s">
        <v>2787</v>
      </c>
      <c r="N348" s="51" t="s">
        <v>1340</v>
      </c>
      <c r="O348" s="51" t="s">
        <v>67</v>
      </c>
      <c r="P348" s="51" t="s">
        <v>67</v>
      </c>
      <c r="Q348" s="45">
        <v>46281.010632534722</v>
      </c>
      <c r="R348" s="46">
        <v>46300</v>
      </c>
      <c r="S348" s="46">
        <v>46295</v>
      </c>
      <c r="T348" s="51" t="s">
        <v>6119</v>
      </c>
      <c r="U348" s="15">
        <v>848.05</v>
      </c>
      <c r="V348" s="15">
        <v>3921.84</v>
      </c>
      <c r="W348" s="15">
        <v>36.08</v>
      </c>
      <c r="X348" s="15">
        <v>14.9</v>
      </c>
      <c r="Y348" s="15">
        <v>1.662307</v>
      </c>
      <c r="Z348" s="15">
        <v>6</v>
      </c>
      <c r="AA348" s="46">
        <v>46270</v>
      </c>
      <c r="AB348" s="15"/>
      <c r="AC348" s="15"/>
      <c r="AD348" s="15"/>
      <c r="AE348" s="15"/>
      <c r="AF348" s="15"/>
      <c r="AG348" s="15"/>
      <c r="AH348" s="15"/>
      <c r="AI348" s="46"/>
      <c r="AJ348" s="51" t="s">
        <v>6121</v>
      </c>
      <c r="AK348" s="51" t="s">
        <v>6121</v>
      </c>
      <c r="AL348" s="15">
        <v>848.05</v>
      </c>
      <c r="AM348" s="51" t="s">
        <v>67</v>
      </c>
      <c r="AN348" s="51" t="s">
        <v>67</v>
      </c>
      <c r="AO348" s="50" t="s">
        <v>9554</v>
      </c>
    </row>
    <row r="349" spans="1:41" hidden="1" x14ac:dyDescent="0.25">
      <c r="A349" s="51" t="s">
        <v>2788</v>
      </c>
      <c r="B349" s="51" t="s">
        <v>2789</v>
      </c>
      <c r="C349" s="54" t="s">
        <v>605</v>
      </c>
      <c r="D349" s="51" t="s">
        <v>2790</v>
      </c>
      <c r="E349" s="20">
        <v>6055.63</v>
      </c>
      <c r="F349" s="20">
        <v>937.46</v>
      </c>
      <c r="G349" s="20">
        <v>12620.23</v>
      </c>
      <c r="H349" s="20">
        <v>0</v>
      </c>
      <c r="I349" s="20">
        <v>937.46</v>
      </c>
      <c r="J349" s="51" t="s">
        <v>2654</v>
      </c>
      <c r="K349" s="15">
        <v>0</v>
      </c>
      <c r="L349" s="51" t="s">
        <v>2371</v>
      </c>
      <c r="M349" s="51" t="s">
        <v>2791</v>
      </c>
      <c r="N349" s="51" t="s">
        <v>1344</v>
      </c>
      <c r="O349" s="51" t="s">
        <v>2792</v>
      </c>
      <c r="P349" s="51" t="s">
        <v>1344</v>
      </c>
      <c r="Q349" s="45">
        <v>46281.010636388892</v>
      </c>
      <c r="R349" s="46">
        <v>46305</v>
      </c>
      <c r="S349" s="46">
        <v>46300</v>
      </c>
      <c r="T349" s="51" t="s">
        <v>6119</v>
      </c>
      <c r="U349" s="15"/>
      <c r="V349" s="15"/>
      <c r="W349" s="15"/>
      <c r="X349" s="15"/>
      <c r="Y349" s="15"/>
      <c r="Z349" s="15"/>
      <c r="AA349" s="46"/>
      <c r="AB349" s="15"/>
      <c r="AC349" s="15"/>
      <c r="AD349" s="15"/>
      <c r="AE349" s="15"/>
      <c r="AF349" s="15"/>
      <c r="AG349" s="15"/>
      <c r="AH349" s="15"/>
      <c r="AI349" s="46"/>
      <c r="AJ349" s="51" t="s">
        <v>67</v>
      </c>
      <c r="AK349" s="51" t="s">
        <v>67</v>
      </c>
      <c r="AL349" s="15"/>
      <c r="AM349" s="51" t="s">
        <v>67</v>
      </c>
      <c r="AN349" s="51" t="s">
        <v>67</v>
      </c>
      <c r="AO349" s="50" t="s">
        <v>9554</v>
      </c>
    </row>
    <row r="350" spans="1:41" hidden="1" x14ac:dyDescent="0.25">
      <c r="A350" s="51" t="s">
        <v>2793</v>
      </c>
      <c r="B350" s="51" t="s">
        <v>2794</v>
      </c>
      <c r="C350" s="54" t="s">
        <v>5596</v>
      </c>
      <c r="D350" s="51" t="s">
        <v>2795</v>
      </c>
      <c r="E350" s="20">
        <v>1970.15</v>
      </c>
      <c r="F350" s="20">
        <v>4813.6099999999997</v>
      </c>
      <c r="G350" s="20">
        <v>3706.08</v>
      </c>
      <c r="H350" s="20">
        <v>3870.86</v>
      </c>
      <c r="I350" s="20">
        <v>4813.6000000000004</v>
      </c>
      <c r="J350" s="51" t="s">
        <v>6727</v>
      </c>
      <c r="K350" s="15">
        <v>21</v>
      </c>
      <c r="L350" s="51" t="s">
        <v>2369</v>
      </c>
      <c r="M350" s="51" t="s">
        <v>2796</v>
      </c>
      <c r="N350" s="51" t="s">
        <v>1340</v>
      </c>
      <c r="O350" s="51" t="s">
        <v>2797</v>
      </c>
      <c r="P350" s="51" t="s">
        <v>1340</v>
      </c>
      <c r="Q350" s="45">
        <v>46281.010639525462</v>
      </c>
      <c r="R350" s="46">
        <v>46300</v>
      </c>
      <c r="S350" s="46">
        <v>46295</v>
      </c>
      <c r="T350" s="51" t="s">
        <v>6119</v>
      </c>
      <c r="U350" s="15">
        <v>848.05</v>
      </c>
      <c r="V350" s="15">
        <v>3921.84</v>
      </c>
      <c r="W350" s="15">
        <v>36.08</v>
      </c>
      <c r="X350" s="15">
        <v>14.9</v>
      </c>
      <c r="Y350" s="15">
        <v>1.662307</v>
      </c>
      <c r="Z350" s="15">
        <v>6</v>
      </c>
      <c r="AA350" s="46">
        <v>46270</v>
      </c>
      <c r="AB350" s="15"/>
      <c r="AC350" s="15"/>
      <c r="AD350" s="15"/>
      <c r="AE350" s="15"/>
      <c r="AF350" s="15"/>
      <c r="AG350" s="15"/>
      <c r="AH350" s="15"/>
      <c r="AI350" s="46"/>
      <c r="AJ350" s="51" t="s">
        <v>6121</v>
      </c>
      <c r="AK350" s="51" t="s">
        <v>6121</v>
      </c>
      <c r="AL350" s="15">
        <v>848.05</v>
      </c>
      <c r="AM350" s="51" t="s">
        <v>67</v>
      </c>
      <c r="AN350" s="51" t="s">
        <v>67</v>
      </c>
      <c r="AO350" s="50" t="s">
        <v>9554</v>
      </c>
    </row>
    <row r="351" spans="1:41" hidden="1" x14ac:dyDescent="0.25">
      <c r="A351" s="51" t="s">
        <v>2798</v>
      </c>
      <c r="B351" s="51" t="s">
        <v>2799</v>
      </c>
      <c r="C351" s="54" t="s">
        <v>607</v>
      </c>
      <c r="D351" s="51" t="s">
        <v>2800</v>
      </c>
      <c r="E351" s="20">
        <v>1050.55</v>
      </c>
      <c r="F351" s="20">
        <v>783.17</v>
      </c>
      <c r="G351" s="20">
        <v>1661</v>
      </c>
      <c r="H351" s="20">
        <v>0</v>
      </c>
      <c r="I351" s="20">
        <v>783.17</v>
      </c>
      <c r="J351" s="51" t="s">
        <v>2654</v>
      </c>
      <c r="K351" s="15">
        <v>0</v>
      </c>
      <c r="L351" s="51" t="s">
        <v>2371</v>
      </c>
      <c r="M351" s="51" t="s">
        <v>67</v>
      </c>
      <c r="N351" s="51" t="s">
        <v>67</v>
      </c>
      <c r="O351" s="51" t="s">
        <v>2801</v>
      </c>
      <c r="P351" s="51" t="s">
        <v>1344</v>
      </c>
      <c r="Q351" s="45">
        <v>46281.010643159723</v>
      </c>
      <c r="R351" s="46">
        <v>46310</v>
      </c>
      <c r="S351" s="46">
        <v>46305</v>
      </c>
      <c r="T351" s="51" t="s">
        <v>6119</v>
      </c>
      <c r="U351" s="15"/>
      <c r="V351" s="15"/>
      <c r="W351" s="15"/>
      <c r="X351" s="15"/>
      <c r="Y351" s="15"/>
      <c r="Z351" s="15"/>
      <c r="AA351" s="46"/>
      <c r="AB351" s="15"/>
      <c r="AC351" s="15"/>
      <c r="AD351" s="15"/>
      <c r="AE351" s="15"/>
      <c r="AF351" s="15"/>
      <c r="AG351" s="15"/>
      <c r="AH351" s="15"/>
      <c r="AI351" s="46"/>
      <c r="AJ351" s="51" t="s">
        <v>67</v>
      </c>
      <c r="AK351" s="51" t="s">
        <v>67</v>
      </c>
      <c r="AL351" s="15"/>
      <c r="AM351" s="51" t="s">
        <v>67</v>
      </c>
      <c r="AN351" s="51" t="s">
        <v>67</v>
      </c>
      <c r="AO351" s="50" t="s">
        <v>9554</v>
      </c>
    </row>
    <row r="352" spans="1:41" hidden="1" x14ac:dyDescent="0.25">
      <c r="A352" s="51" t="s">
        <v>2802</v>
      </c>
      <c r="B352" s="51" t="s">
        <v>2803</v>
      </c>
      <c r="C352" s="54" t="s">
        <v>611</v>
      </c>
      <c r="D352" s="51" t="s">
        <v>2804</v>
      </c>
      <c r="E352" s="20">
        <v>8647.08</v>
      </c>
      <c r="F352" s="20">
        <v>455.29</v>
      </c>
      <c r="G352" s="20">
        <v>13189.72</v>
      </c>
      <c r="H352" s="20">
        <v>442.3</v>
      </c>
      <c r="I352" s="20">
        <v>455.29</v>
      </c>
      <c r="J352" s="51" t="s">
        <v>6727</v>
      </c>
      <c r="K352" s="15">
        <v>1</v>
      </c>
      <c r="L352" s="51" t="s">
        <v>2369</v>
      </c>
      <c r="M352" s="51" t="s">
        <v>2805</v>
      </c>
      <c r="N352" s="51" t="s">
        <v>1344</v>
      </c>
      <c r="O352" s="51" t="s">
        <v>2806</v>
      </c>
      <c r="P352" s="51" t="s">
        <v>1344</v>
      </c>
      <c r="Q352" s="45">
        <v>46281.010645775466</v>
      </c>
      <c r="R352" s="46">
        <v>46320</v>
      </c>
      <c r="S352" s="46">
        <v>46315</v>
      </c>
      <c r="T352" s="51" t="s">
        <v>6119</v>
      </c>
      <c r="U352" s="15"/>
      <c r="V352" s="15"/>
      <c r="W352" s="15"/>
      <c r="X352" s="15"/>
      <c r="Y352" s="15"/>
      <c r="Z352" s="15"/>
      <c r="AA352" s="46"/>
      <c r="AB352" s="15"/>
      <c r="AC352" s="15"/>
      <c r="AD352" s="15"/>
      <c r="AE352" s="15"/>
      <c r="AF352" s="15"/>
      <c r="AG352" s="15"/>
      <c r="AH352" s="15"/>
      <c r="AI352" s="46"/>
      <c r="AJ352" s="51" t="s">
        <v>67</v>
      </c>
      <c r="AK352" s="51" t="s">
        <v>67</v>
      </c>
      <c r="AL352" s="15"/>
      <c r="AM352" s="51" t="s">
        <v>67</v>
      </c>
      <c r="AN352" s="51" t="s">
        <v>67</v>
      </c>
      <c r="AO352" s="50" t="s">
        <v>9554</v>
      </c>
    </row>
    <row r="353" spans="1:41" hidden="1" x14ac:dyDescent="0.25">
      <c r="A353" s="51" t="s">
        <v>2807</v>
      </c>
      <c r="B353" s="51" t="s">
        <v>2808</v>
      </c>
      <c r="C353" s="54" t="s">
        <v>5596</v>
      </c>
      <c r="D353" s="51" t="s">
        <v>2809</v>
      </c>
      <c r="E353" s="20">
        <v>10789.37</v>
      </c>
      <c r="F353" s="20">
        <v>549.71</v>
      </c>
      <c r="G353" s="20">
        <v>6504.73</v>
      </c>
      <c r="H353" s="20">
        <v>0</v>
      </c>
      <c r="I353" s="20">
        <v>549.71</v>
      </c>
      <c r="J353" s="51" t="s">
        <v>2654</v>
      </c>
      <c r="K353" s="15">
        <v>0</v>
      </c>
      <c r="L353" s="51" t="s">
        <v>2371</v>
      </c>
      <c r="M353" s="51" t="s">
        <v>2810</v>
      </c>
      <c r="N353" s="51" t="s">
        <v>1340</v>
      </c>
      <c r="O353" s="51" t="s">
        <v>67</v>
      </c>
      <c r="P353" s="51" t="s">
        <v>67</v>
      </c>
      <c r="Q353" s="45">
        <v>46281.010648842595</v>
      </c>
      <c r="R353" s="46">
        <v>46300</v>
      </c>
      <c r="S353" s="46">
        <v>46295</v>
      </c>
      <c r="T353" s="51" t="s">
        <v>6119</v>
      </c>
      <c r="U353" s="15"/>
      <c r="V353" s="15"/>
      <c r="W353" s="15"/>
      <c r="X353" s="15"/>
      <c r="Y353" s="15"/>
      <c r="Z353" s="15"/>
      <c r="AA353" s="46"/>
      <c r="AB353" s="15"/>
      <c r="AC353" s="15"/>
      <c r="AD353" s="15"/>
      <c r="AE353" s="15"/>
      <c r="AF353" s="15"/>
      <c r="AG353" s="15"/>
      <c r="AH353" s="15"/>
      <c r="AI353" s="46"/>
      <c r="AJ353" s="51" t="s">
        <v>67</v>
      </c>
      <c r="AK353" s="51" t="s">
        <v>67</v>
      </c>
      <c r="AL353" s="15"/>
      <c r="AM353" s="51" t="s">
        <v>67</v>
      </c>
      <c r="AN353" s="51" t="s">
        <v>67</v>
      </c>
      <c r="AO353" s="50" t="s">
        <v>9554</v>
      </c>
    </row>
    <row r="354" spans="1:41" hidden="1" x14ac:dyDescent="0.25">
      <c r="A354" s="51" t="s">
        <v>2811</v>
      </c>
      <c r="B354" s="51" t="s">
        <v>2812</v>
      </c>
      <c r="C354" s="54" t="s">
        <v>611</v>
      </c>
      <c r="D354" s="51" t="s">
        <v>2813</v>
      </c>
      <c r="E354" s="20">
        <v>3376.9</v>
      </c>
      <c r="F354" s="20">
        <v>808.89</v>
      </c>
      <c r="G354" s="20">
        <v>20699.07</v>
      </c>
      <c r="H354" s="20">
        <v>785.83</v>
      </c>
      <c r="I354" s="20">
        <v>808.89</v>
      </c>
      <c r="J354" s="51" t="s">
        <v>6727</v>
      </c>
      <c r="K354" s="15">
        <v>1</v>
      </c>
      <c r="L354" s="51" t="s">
        <v>2369</v>
      </c>
      <c r="M354" s="51" t="s">
        <v>2814</v>
      </c>
      <c r="N354" s="51" t="s">
        <v>1340</v>
      </c>
      <c r="O354" s="51" t="s">
        <v>2815</v>
      </c>
      <c r="P354" s="51" t="s">
        <v>1340</v>
      </c>
      <c r="Q354" s="45">
        <v>46281.010651817131</v>
      </c>
      <c r="R354" s="46">
        <v>46320</v>
      </c>
      <c r="S354" s="46">
        <v>46315</v>
      </c>
      <c r="T354" s="51" t="s">
        <v>6119</v>
      </c>
      <c r="U354" s="15"/>
      <c r="V354" s="15"/>
      <c r="W354" s="15"/>
      <c r="X354" s="15"/>
      <c r="Y354" s="15"/>
      <c r="Z354" s="15"/>
      <c r="AA354" s="46"/>
      <c r="AB354" s="15"/>
      <c r="AC354" s="15"/>
      <c r="AD354" s="15"/>
      <c r="AE354" s="15"/>
      <c r="AF354" s="15"/>
      <c r="AG354" s="15"/>
      <c r="AH354" s="15"/>
      <c r="AI354" s="46"/>
      <c r="AJ354" s="51" t="s">
        <v>67</v>
      </c>
      <c r="AK354" s="51" t="s">
        <v>67</v>
      </c>
      <c r="AL354" s="15"/>
      <c r="AM354" s="51" t="s">
        <v>67</v>
      </c>
      <c r="AN354" s="51" t="s">
        <v>67</v>
      </c>
      <c r="AO354" s="50" t="s">
        <v>9554</v>
      </c>
    </row>
    <row r="355" spans="1:41" hidden="1" x14ac:dyDescent="0.25">
      <c r="A355" s="51" t="s">
        <v>2816</v>
      </c>
      <c r="B355" s="51" t="s">
        <v>2817</v>
      </c>
      <c r="C355" s="54" t="s">
        <v>608</v>
      </c>
      <c r="D355" s="51" t="s">
        <v>2818</v>
      </c>
      <c r="E355" s="20">
        <v>3822.35</v>
      </c>
      <c r="F355" s="20">
        <v>9182.02</v>
      </c>
      <c r="G355" s="20">
        <v>12449.3</v>
      </c>
      <c r="H355" s="20">
        <v>3870.86</v>
      </c>
      <c r="I355" s="20">
        <v>7461.63</v>
      </c>
      <c r="J355" s="51" t="s">
        <v>6727</v>
      </c>
      <c r="K355" s="15">
        <v>37</v>
      </c>
      <c r="L355" s="51" t="s">
        <v>2369</v>
      </c>
      <c r="M355" s="51" t="s">
        <v>2819</v>
      </c>
      <c r="N355" s="51" t="s">
        <v>1340</v>
      </c>
      <c r="O355" s="51" t="s">
        <v>67</v>
      </c>
      <c r="P355" s="51" t="s">
        <v>67</v>
      </c>
      <c r="Q355" s="45">
        <v>46281.463046712961</v>
      </c>
      <c r="R355" s="46">
        <v>46315</v>
      </c>
      <c r="S355" s="46">
        <v>46310</v>
      </c>
      <c r="T355" s="51" t="s">
        <v>6119</v>
      </c>
      <c r="U355" s="15">
        <v>849.8</v>
      </c>
      <c r="V355" s="15">
        <v>3922.15</v>
      </c>
      <c r="W355" s="15">
        <v>36.39</v>
      </c>
      <c r="X355" s="15">
        <v>14.9</v>
      </c>
      <c r="Y355" s="15">
        <v>1.6620440000000001</v>
      </c>
      <c r="Z355" s="15">
        <v>6</v>
      </c>
      <c r="AA355" s="46">
        <v>46254</v>
      </c>
      <c r="AB355" s="15"/>
      <c r="AC355" s="15"/>
      <c r="AD355" s="15"/>
      <c r="AE355" s="15"/>
      <c r="AF355" s="15"/>
      <c r="AG355" s="15"/>
      <c r="AH355" s="15"/>
      <c r="AI355" s="46"/>
      <c r="AJ355" s="51" t="s">
        <v>6121</v>
      </c>
      <c r="AK355" s="51" t="s">
        <v>6121</v>
      </c>
      <c r="AL355" s="15">
        <v>849.8</v>
      </c>
      <c r="AM355" s="51" t="s">
        <v>67</v>
      </c>
      <c r="AN355" s="51" t="s">
        <v>67</v>
      </c>
      <c r="AO355" s="50" t="s">
        <v>9554</v>
      </c>
    </row>
    <row r="356" spans="1:41" hidden="1" x14ac:dyDescent="0.25">
      <c r="A356" s="51" t="s">
        <v>2820</v>
      </c>
      <c r="B356" s="51" t="s">
        <v>2821</v>
      </c>
      <c r="C356" s="54" t="s">
        <v>608</v>
      </c>
      <c r="D356" s="51" t="s">
        <v>2822</v>
      </c>
      <c r="E356" s="20">
        <v>3728.18</v>
      </c>
      <c r="F356" s="20">
        <v>0</v>
      </c>
      <c r="G356" s="20">
        <v>13112.67</v>
      </c>
      <c r="H356" s="20">
        <v>0</v>
      </c>
      <c r="I356" s="20">
        <v>824.88</v>
      </c>
      <c r="J356" s="51" t="s">
        <v>2654</v>
      </c>
      <c r="K356" s="15">
        <v>0</v>
      </c>
      <c r="L356" s="51" t="s">
        <v>2371</v>
      </c>
      <c r="M356" s="51" t="s">
        <v>2823</v>
      </c>
      <c r="N356" s="51" t="s">
        <v>1340</v>
      </c>
      <c r="O356" s="51" t="s">
        <v>2824</v>
      </c>
      <c r="P356" s="51" t="s">
        <v>1340</v>
      </c>
      <c r="Q356" s="45">
        <v>46281.46317949074</v>
      </c>
      <c r="R356" s="46">
        <v>46315</v>
      </c>
      <c r="S356" s="46">
        <v>46310</v>
      </c>
      <c r="T356" s="51" t="s">
        <v>6119</v>
      </c>
      <c r="U356" s="15"/>
      <c r="V356" s="15"/>
      <c r="W356" s="15"/>
      <c r="X356" s="15"/>
      <c r="Y356" s="15"/>
      <c r="Z356" s="15"/>
      <c r="AA356" s="46"/>
      <c r="AB356" s="15"/>
      <c r="AC356" s="15"/>
      <c r="AD356" s="15"/>
      <c r="AE356" s="15"/>
      <c r="AF356" s="15"/>
      <c r="AG356" s="15"/>
      <c r="AH356" s="15"/>
      <c r="AI356" s="46"/>
      <c r="AJ356" s="51" t="s">
        <v>67</v>
      </c>
      <c r="AK356" s="51" t="s">
        <v>67</v>
      </c>
      <c r="AL356" s="15"/>
      <c r="AM356" s="51" t="s">
        <v>67</v>
      </c>
      <c r="AN356" s="51" t="s">
        <v>67</v>
      </c>
      <c r="AO356" s="50" t="s">
        <v>9554</v>
      </c>
    </row>
    <row r="357" spans="1:41" hidden="1" x14ac:dyDescent="0.25">
      <c r="A357" s="51" t="s">
        <v>2825</v>
      </c>
      <c r="B357" s="51" t="s">
        <v>2826</v>
      </c>
      <c r="C357" s="54" t="s">
        <v>611</v>
      </c>
      <c r="D357" s="51" t="s">
        <v>2827</v>
      </c>
      <c r="E357" s="20">
        <v>8020.76</v>
      </c>
      <c r="F357" s="20">
        <v>7561.87</v>
      </c>
      <c r="G357" s="20">
        <v>10884.6</v>
      </c>
      <c r="H357" s="20">
        <v>6782.89</v>
      </c>
      <c r="I357" s="20">
        <v>7561.87</v>
      </c>
      <c r="J357" s="51" t="s">
        <v>6727</v>
      </c>
      <c r="K357" s="15">
        <v>32</v>
      </c>
      <c r="L357" s="51" t="s">
        <v>2369</v>
      </c>
      <c r="M357" s="51" t="s">
        <v>2828</v>
      </c>
      <c r="N357" s="51" t="s">
        <v>1344</v>
      </c>
      <c r="O357" s="51" t="s">
        <v>67</v>
      </c>
      <c r="P357" s="51" t="s">
        <v>67</v>
      </c>
      <c r="Q357" s="45">
        <v>46281.463181817133</v>
      </c>
      <c r="R357" s="46">
        <v>46320</v>
      </c>
      <c r="S357" s="46">
        <v>46315</v>
      </c>
      <c r="T357" s="51" t="s">
        <v>6119</v>
      </c>
      <c r="U357" s="15">
        <v>849.8</v>
      </c>
      <c r="V357" s="15">
        <v>3922.15</v>
      </c>
      <c r="W357" s="15">
        <v>36.39</v>
      </c>
      <c r="X357" s="15">
        <v>14.9</v>
      </c>
      <c r="Y357" s="15">
        <v>1.6620440000000001</v>
      </c>
      <c r="Z357" s="15">
        <v>6</v>
      </c>
      <c r="AA357" s="46">
        <v>46259</v>
      </c>
      <c r="AB357" s="15"/>
      <c r="AC357" s="15"/>
      <c r="AD357" s="15"/>
      <c r="AE357" s="15"/>
      <c r="AF357" s="15"/>
      <c r="AG357" s="15"/>
      <c r="AH357" s="15"/>
      <c r="AI357" s="46"/>
      <c r="AJ357" s="51" t="s">
        <v>6121</v>
      </c>
      <c r="AK357" s="51" t="s">
        <v>6121</v>
      </c>
      <c r="AL357" s="15">
        <v>849.8</v>
      </c>
      <c r="AM357" s="51" t="s">
        <v>67</v>
      </c>
      <c r="AN357" s="51" t="s">
        <v>67</v>
      </c>
      <c r="AO357" s="50" t="s">
        <v>9554</v>
      </c>
    </row>
    <row r="358" spans="1:41" hidden="1" x14ac:dyDescent="0.25">
      <c r="A358" s="51" t="s">
        <v>2829</v>
      </c>
      <c r="B358" s="51" t="s">
        <v>2830</v>
      </c>
      <c r="C358" s="54" t="s">
        <v>607</v>
      </c>
      <c r="D358" s="51" t="s">
        <v>2831</v>
      </c>
      <c r="E358" s="20">
        <v>10538.56</v>
      </c>
      <c r="F358" s="20">
        <v>4705.66</v>
      </c>
      <c r="G358" s="20">
        <v>15466.07</v>
      </c>
      <c r="H358" s="20">
        <v>3870.86</v>
      </c>
      <c r="I358" s="20">
        <v>4199.09</v>
      </c>
      <c r="J358" s="51" t="s">
        <v>6727</v>
      </c>
      <c r="K358" s="15">
        <v>11</v>
      </c>
      <c r="L358" s="51" t="s">
        <v>2369</v>
      </c>
      <c r="M358" s="51" t="s">
        <v>2832</v>
      </c>
      <c r="N358" s="51" t="s">
        <v>1344</v>
      </c>
      <c r="O358" s="51" t="s">
        <v>67</v>
      </c>
      <c r="P358" s="51" t="s">
        <v>67</v>
      </c>
      <c r="Q358" s="45">
        <v>46281.463184039349</v>
      </c>
      <c r="R358" s="46">
        <v>46310</v>
      </c>
      <c r="S358" s="46">
        <v>46305</v>
      </c>
      <c r="T358" s="51" t="s">
        <v>6119</v>
      </c>
      <c r="U358" s="15">
        <v>848.05</v>
      </c>
      <c r="V358" s="15">
        <v>3921.84</v>
      </c>
      <c r="W358" s="15">
        <v>36.08</v>
      </c>
      <c r="X358" s="15">
        <v>14.9</v>
      </c>
      <c r="Y358" s="15">
        <v>1.662307</v>
      </c>
      <c r="Z358" s="15">
        <v>6</v>
      </c>
      <c r="AA358" s="46">
        <v>46280</v>
      </c>
      <c r="AB358" s="15"/>
      <c r="AC358" s="15"/>
      <c r="AD358" s="15"/>
      <c r="AE358" s="15"/>
      <c r="AF358" s="15"/>
      <c r="AG358" s="15"/>
      <c r="AH358" s="15"/>
      <c r="AI358" s="46"/>
      <c r="AJ358" s="51" t="s">
        <v>6121</v>
      </c>
      <c r="AK358" s="51" t="s">
        <v>6121</v>
      </c>
      <c r="AL358" s="15">
        <v>848.05</v>
      </c>
      <c r="AM358" s="51" t="s">
        <v>67</v>
      </c>
      <c r="AN358" s="51" t="s">
        <v>67</v>
      </c>
      <c r="AO358" s="50" t="s">
        <v>9554</v>
      </c>
    </row>
    <row r="359" spans="1:41" hidden="1" x14ac:dyDescent="0.25">
      <c r="A359" s="51" t="s">
        <v>2833</v>
      </c>
      <c r="B359" s="51" t="s">
        <v>2834</v>
      </c>
      <c r="C359" s="54" t="s">
        <v>607</v>
      </c>
      <c r="D359" s="51" t="s">
        <v>2835</v>
      </c>
      <c r="E359" s="20">
        <v>8843.7000000000007</v>
      </c>
      <c r="F359" s="20">
        <v>4857.3599999999997</v>
      </c>
      <c r="G359" s="20">
        <v>12283.67</v>
      </c>
      <c r="H359" s="20">
        <v>3870.86</v>
      </c>
      <c r="I359" s="20">
        <v>4199.09</v>
      </c>
      <c r="J359" s="51" t="s">
        <v>6727</v>
      </c>
      <c r="K359" s="15">
        <v>11</v>
      </c>
      <c r="L359" s="51" t="s">
        <v>2369</v>
      </c>
      <c r="M359" s="51" t="s">
        <v>2836</v>
      </c>
      <c r="N359" s="51" t="s">
        <v>1340</v>
      </c>
      <c r="O359" s="51" t="s">
        <v>2837</v>
      </c>
      <c r="P359" s="51" t="s">
        <v>1340</v>
      </c>
      <c r="Q359" s="45">
        <v>46281.463186284724</v>
      </c>
      <c r="R359" s="46">
        <v>46310</v>
      </c>
      <c r="S359" s="46">
        <v>46305</v>
      </c>
      <c r="T359" s="51" t="s">
        <v>6119</v>
      </c>
      <c r="U359" s="15">
        <v>848.05</v>
      </c>
      <c r="V359" s="15">
        <v>3921.84</v>
      </c>
      <c r="W359" s="15">
        <v>36.08</v>
      </c>
      <c r="X359" s="15">
        <v>14.9</v>
      </c>
      <c r="Y359" s="15">
        <v>1.662307</v>
      </c>
      <c r="Z359" s="15">
        <v>6</v>
      </c>
      <c r="AA359" s="46">
        <v>46280</v>
      </c>
      <c r="AB359" s="15"/>
      <c r="AC359" s="15"/>
      <c r="AD359" s="15"/>
      <c r="AE359" s="15"/>
      <c r="AF359" s="15"/>
      <c r="AG359" s="15"/>
      <c r="AH359" s="15"/>
      <c r="AI359" s="46"/>
      <c r="AJ359" s="51" t="s">
        <v>6121</v>
      </c>
      <c r="AK359" s="51" t="s">
        <v>6121</v>
      </c>
      <c r="AL359" s="15">
        <v>848.05</v>
      </c>
      <c r="AM359" s="51" t="s">
        <v>67</v>
      </c>
      <c r="AN359" s="51" t="s">
        <v>67</v>
      </c>
      <c r="AO359" s="50" t="s">
        <v>9554</v>
      </c>
    </row>
    <row r="360" spans="1:41" hidden="1" x14ac:dyDescent="0.25">
      <c r="A360" s="51" t="s">
        <v>2838</v>
      </c>
      <c r="B360" s="51" t="s">
        <v>2839</v>
      </c>
      <c r="C360" s="54" t="s">
        <v>608</v>
      </c>
      <c r="D360" s="51" t="s">
        <v>2840</v>
      </c>
      <c r="E360" s="20">
        <v>9829.2800000000007</v>
      </c>
      <c r="F360" s="20">
        <v>7932.5</v>
      </c>
      <c r="G360" s="20">
        <v>-2099.5500000000002</v>
      </c>
      <c r="H360" s="20">
        <v>3870.86</v>
      </c>
      <c r="I360" s="20">
        <v>5782.02</v>
      </c>
      <c r="J360" s="51" t="s">
        <v>6725</v>
      </c>
      <c r="K360" s="15">
        <v>0</v>
      </c>
      <c r="L360" s="51" t="s">
        <v>2371</v>
      </c>
      <c r="M360" s="51" t="s">
        <v>2841</v>
      </c>
      <c r="N360" s="51" t="s">
        <v>1340</v>
      </c>
      <c r="O360" s="51" t="s">
        <v>2842</v>
      </c>
      <c r="P360" s="51" t="s">
        <v>1340</v>
      </c>
      <c r="Q360" s="45">
        <v>46281.463189062502</v>
      </c>
      <c r="R360" s="46">
        <v>46315</v>
      </c>
      <c r="S360" s="46">
        <v>46310</v>
      </c>
      <c r="T360" s="51" t="s">
        <v>6119</v>
      </c>
      <c r="U360" s="15">
        <v>849.8</v>
      </c>
      <c r="V360" s="15">
        <v>3922.15</v>
      </c>
      <c r="W360" s="15">
        <v>36.39</v>
      </c>
      <c r="X360" s="15">
        <v>14.9</v>
      </c>
      <c r="Y360" s="15">
        <v>1.6620440000000001</v>
      </c>
      <c r="Z360" s="15">
        <v>6</v>
      </c>
      <c r="AA360" s="46">
        <v>46254</v>
      </c>
      <c r="AB360" s="15"/>
      <c r="AC360" s="15"/>
      <c r="AD360" s="15"/>
      <c r="AE360" s="15"/>
      <c r="AF360" s="15"/>
      <c r="AG360" s="15"/>
      <c r="AH360" s="15"/>
      <c r="AI360" s="46"/>
      <c r="AJ360" s="51" t="s">
        <v>67</v>
      </c>
      <c r="AK360" s="51" t="s">
        <v>6121</v>
      </c>
      <c r="AL360" s="15">
        <v>849.8</v>
      </c>
      <c r="AM360" s="51" t="s">
        <v>6705</v>
      </c>
      <c r="AN360" s="51" t="s">
        <v>6713</v>
      </c>
      <c r="AO360" s="50" t="s">
        <v>9554</v>
      </c>
    </row>
    <row r="361" spans="1:41" hidden="1" x14ac:dyDescent="0.25">
      <c r="A361" s="51" t="s">
        <v>2843</v>
      </c>
      <c r="B361" s="51" t="s">
        <v>2844</v>
      </c>
      <c r="C361" s="54" t="s">
        <v>607</v>
      </c>
      <c r="D361" s="51" t="s">
        <v>2845</v>
      </c>
      <c r="E361" s="20">
        <v>11131.93</v>
      </c>
      <c r="F361" s="20">
        <v>0</v>
      </c>
      <c r="G361" s="20">
        <v>13088.87</v>
      </c>
      <c r="H361" s="20">
        <v>3870.86</v>
      </c>
      <c r="I361" s="20">
        <v>0</v>
      </c>
      <c r="J361" s="51" t="s">
        <v>6726</v>
      </c>
      <c r="K361" s="15">
        <v>0</v>
      </c>
      <c r="L361" s="51" t="s">
        <v>2371</v>
      </c>
      <c r="M361" s="51" t="s">
        <v>2846</v>
      </c>
      <c r="N361" s="51" t="s">
        <v>1340</v>
      </c>
      <c r="O361" s="51" t="s">
        <v>2847</v>
      </c>
      <c r="P361" s="51" t="s">
        <v>1340</v>
      </c>
      <c r="Q361" s="45">
        <v>46281.463191446761</v>
      </c>
      <c r="R361" s="46">
        <v>46310</v>
      </c>
      <c r="S361" s="46">
        <v>46305</v>
      </c>
      <c r="T361" s="51" t="s">
        <v>6119</v>
      </c>
      <c r="U361" s="15">
        <v>848.05</v>
      </c>
      <c r="V361" s="15">
        <v>3921.84</v>
      </c>
      <c r="W361" s="15">
        <v>36.08</v>
      </c>
      <c r="X361" s="15">
        <v>14.9</v>
      </c>
      <c r="Y361" s="15">
        <v>1.662307</v>
      </c>
      <c r="Z361" s="15">
        <v>6</v>
      </c>
      <c r="AA361" s="46">
        <v>46280</v>
      </c>
      <c r="AB361" s="15"/>
      <c r="AC361" s="15"/>
      <c r="AD361" s="15"/>
      <c r="AE361" s="15"/>
      <c r="AF361" s="15"/>
      <c r="AG361" s="15"/>
      <c r="AH361" s="15"/>
      <c r="AI361" s="46"/>
      <c r="AJ361" s="51" t="s">
        <v>67</v>
      </c>
      <c r="AK361" s="51" t="s">
        <v>6121</v>
      </c>
      <c r="AL361" s="15">
        <v>848.05</v>
      </c>
      <c r="AM361" s="51" t="s">
        <v>67</v>
      </c>
      <c r="AN361" s="51" t="s">
        <v>67</v>
      </c>
      <c r="AO361" s="50" t="s">
        <v>9554</v>
      </c>
    </row>
    <row r="362" spans="1:41" hidden="1" x14ac:dyDescent="0.25">
      <c r="A362" s="51" t="s">
        <v>2848</v>
      </c>
      <c r="B362" s="51" t="s">
        <v>2849</v>
      </c>
      <c r="C362" s="54" t="s">
        <v>607</v>
      </c>
      <c r="D362" s="51" t="s">
        <v>2850</v>
      </c>
      <c r="E362" s="20">
        <v>8447.32</v>
      </c>
      <c r="F362" s="20">
        <v>1807.45</v>
      </c>
      <c r="G362" s="20">
        <v>2225.15</v>
      </c>
      <c r="H362" s="20">
        <v>3870.86</v>
      </c>
      <c r="I362" s="20">
        <v>1392.12</v>
      </c>
      <c r="J362" s="51" t="s">
        <v>6726</v>
      </c>
      <c r="K362" s="15">
        <v>0</v>
      </c>
      <c r="L362" s="51" t="s">
        <v>2371</v>
      </c>
      <c r="M362" s="51" t="s">
        <v>2851</v>
      </c>
      <c r="N362" s="51" t="s">
        <v>1340</v>
      </c>
      <c r="O362" s="51" t="s">
        <v>67</v>
      </c>
      <c r="P362" s="51" t="s">
        <v>67</v>
      </c>
      <c r="Q362" s="45">
        <v>46281.463193784723</v>
      </c>
      <c r="R362" s="46">
        <v>46310</v>
      </c>
      <c r="S362" s="46">
        <v>46305</v>
      </c>
      <c r="T362" s="51" t="s">
        <v>6119</v>
      </c>
      <c r="U362" s="15">
        <v>848.05</v>
      </c>
      <c r="V362" s="15">
        <v>3921.84</v>
      </c>
      <c r="W362" s="15">
        <v>36.08</v>
      </c>
      <c r="X362" s="15">
        <v>14.9</v>
      </c>
      <c r="Y362" s="15">
        <v>1.662307</v>
      </c>
      <c r="Z362" s="15">
        <v>6</v>
      </c>
      <c r="AA362" s="46">
        <v>46280</v>
      </c>
      <c r="AB362" s="15"/>
      <c r="AC362" s="15"/>
      <c r="AD362" s="15"/>
      <c r="AE362" s="15"/>
      <c r="AF362" s="15"/>
      <c r="AG362" s="15"/>
      <c r="AH362" s="15"/>
      <c r="AI362" s="46"/>
      <c r="AJ362" s="51" t="s">
        <v>67</v>
      </c>
      <c r="AK362" s="51" t="s">
        <v>6121</v>
      </c>
      <c r="AL362" s="15">
        <v>848.05</v>
      </c>
      <c r="AM362" s="51" t="s">
        <v>6705</v>
      </c>
      <c r="AN362" s="51" t="s">
        <v>6713</v>
      </c>
      <c r="AO362" s="50" t="s">
        <v>9554</v>
      </c>
    </row>
    <row r="363" spans="1:41" hidden="1" x14ac:dyDescent="0.25">
      <c r="A363" s="51" t="s">
        <v>2852</v>
      </c>
      <c r="B363" s="51" t="s">
        <v>2853</v>
      </c>
      <c r="C363" s="54" t="s">
        <v>5596</v>
      </c>
      <c r="D363" s="51" t="s">
        <v>2854</v>
      </c>
      <c r="E363" s="20">
        <v>8939.98</v>
      </c>
      <c r="F363" s="20">
        <v>4872.46</v>
      </c>
      <c r="G363" s="20">
        <v>14292.14</v>
      </c>
      <c r="H363" s="20">
        <v>3870.86</v>
      </c>
      <c r="I363" s="20">
        <v>4872.45</v>
      </c>
      <c r="J363" s="51" t="s">
        <v>6727</v>
      </c>
      <c r="K363" s="15">
        <v>21</v>
      </c>
      <c r="L363" s="51" t="s">
        <v>2369</v>
      </c>
      <c r="M363" s="51" t="s">
        <v>67</v>
      </c>
      <c r="N363" s="51" t="s">
        <v>67</v>
      </c>
      <c r="O363" s="51" t="s">
        <v>2855</v>
      </c>
      <c r="P363" s="51" t="s">
        <v>1340</v>
      </c>
      <c r="Q363" s="45">
        <v>46281.463195902776</v>
      </c>
      <c r="R363" s="46">
        <v>46300</v>
      </c>
      <c r="S363" s="46">
        <v>46295</v>
      </c>
      <c r="T363" s="51" t="s">
        <v>6119</v>
      </c>
      <c r="U363" s="15">
        <v>848.05</v>
      </c>
      <c r="V363" s="15">
        <v>3921.84</v>
      </c>
      <c r="W363" s="15">
        <v>36.08</v>
      </c>
      <c r="X363" s="15">
        <v>14.9</v>
      </c>
      <c r="Y363" s="15">
        <v>1.662307</v>
      </c>
      <c r="Z363" s="15">
        <v>6</v>
      </c>
      <c r="AA363" s="46">
        <v>46270</v>
      </c>
      <c r="AB363" s="15"/>
      <c r="AC363" s="15"/>
      <c r="AD363" s="15"/>
      <c r="AE363" s="15"/>
      <c r="AF363" s="15"/>
      <c r="AG363" s="15"/>
      <c r="AH363" s="15"/>
      <c r="AI363" s="46"/>
      <c r="AJ363" s="51" t="s">
        <v>6121</v>
      </c>
      <c r="AK363" s="51" t="s">
        <v>6121</v>
      </c>
      <c r="AL363" s="15">
        <v>848.05</v>
      </c>
      <c r="AM363" s="51" t="s">
        <v>67</v>
      </c>
      <c r="AN363" s="51" t="s">
        <v>67</v>
      </c>
      <c r="AO363" s="50" t="s">
        <v>9554</v>
      </c>
    </row>
    <row r="364" spans="1:41" hidden="1" x14ac:dyDescent="0.25">
      <c r="A364" s="51" t="s">
        <v>2856</v>
      </c>
      <c r="B364" s="51" t="s">
        <v>2857</v>
      </c>
      <c r="C364" s="54" t="s">
        <v>5596</v>
      </c>
      <c r="D364" s="51" t="s">
        <v>2858</v>
      </c>
      <c r="E364" s="20">
        <v>1168.42</v>
      </c>
      <c r="F364" s="20">
        <v>946.73</v>
      </c>
      <c r="G364" s="20">
        <v>12245.57</v>
      </c>
      <c r="H364" s="20">
        <v>0</v>
      </c>
      <c r="I364" s="20">
        <v>946.73</v>
      </c>
      <c r="J364" s="51" t="s">
        <v>2654</v>
      </c>
      <c r="K364" s="15">
        <v>0</v>
      </c>
      <c r="L364" s="51" t="s">
        <v>2371</v>
      </c>
      <c r="M364" s="51" t="s">
        <v>2859</v>
      </c>
      <c r="N364" s="51" t="s">
        <v>1340</v>
      </c>
      <c r="O364" s="51" t="s">
        <v>2860</v>
      </c>
      <c r="P364" s="51" t="s">
        <v>1340</v>
      </c>
      <c r="Q364" s="45">
        <v>46281.463197974539</v>
      </c>
      <c r="R364" s="46">
        <v>46300</v>
      </c>
      <c r="S364" s="46">
        <v>46295</v>
      </c>
      <c r="T364" s="51" t="s">
        <v>6119</v>
      </c>
      <c r="U364" s="15"/>
      <c r="V364" s="15"/>
      <c r="W364" s="15"/>
      <c r="X364" s="15"/>
      <c r="Y364" s="15"/>
      <c r="Z364" s="15"/>
      <c r="AA364" s="46"/>
      <c r="AB364" s="15"/>
      <c r="AC364" s="15"/>
      <c r="AD364" s="15"/>
      <c r="AE364" s="15"/>
      <c r="AF364" s="15"/>
      <c r="AG364" s="15"/>
      <c r="AH364" s="15"/>
      <c r="AI364" s="46"/>
      <c r="AJ364" s="51" t="s">
        <v>67</v>
      </c>
      <c r="AK364" s="51" t="s">
        <v>67</v>
      </c>
      <c r="AL364" s="15"/>
      <c r="AM364" s="51" t="s">
        <v>67</v>
      </c>
      <c r="AN364" s="51" t="s">
        <v>67</v>
      </c>
      <c r="AO364" s="50" t="s">
        <v>9554</v>
      </c>
    </row>
    <row r="365" spans="1:41" hidden="1" x14ac:dyDescent="0.25">
      <c r="A365" s="51" t="s">
        <v>2861</v>
      </c>
      <c r="B365" s="51" t="s">
        <v>2862</v>
      </c>
      <c r="C365" s="54" t="s">
        <v>611</v>
      </c>
      <c r="D365" s="51" t="s">
        <v>2863</v>
      </c>
      <c r="E365" s="20">
        <v>5568.73</v>
      </c>
      <c r="F365" s="20">
        <v>2797.48</v>
      </c>
      <c r="G365" s="20">
        <v>9728.74</v>
      </c>
      <c r="H365" s="20">
        <v>6011.87</v>
      </c>
      <c r="I365" s="20">
        <v>2797.48</v>
      </c>
      <c r="J365" s="51" t="s">
        <v>6726</v>
      </c>
      <c r="K365" s="15">
        <v>0</v>
      </c>
      <c r="L365" s="51" t="s">
        <v>2371</v>
      </c>
      <c r="M365" s="51" t="s">
        <v>67</v>
      </c>
      <c r="N365" s="51" t="s">
        <v>67</v>
      </c>
      <c r="O365" s="51" t="s">
        <v>2864</v>
      </c>
      <c r="P365" s="51" t="s">
        <v>1340</v>
      </c>
      <c r="Q365" s="45">
        <v>46281.463199664351</v>
      </c>
      <c r="R365" s="46">
        <v>46320</v>
      </c>
      <c r="S365" s="46">
        <v>46315</v>
      </c>
      <c r="T365" s="51" t="s">
        <v>6119</v>
      </c>
      <c r="U365" s="15">
        <v>849.8</v>
      </c>
      <c r="V365" s="15">
        <v>3922.15</v>
      </c>
      <c r="W365" s="15">
        <v>36.39</v>
      </c>
      <c r="X365" s="15">
        <v>14.9</v>
      </c>
      <c r="Y365" s="15">
        <v>1.6620440000000001</v>
      </c>
      <c r="Z365" s="15">
        <v>6</v>
      </c>
      <c r="AA365" s="46">
        <v>46259</v>
      </c>
      <c r="AB365" s="15"/>
      <c r="AC365" s="15"/>
      <c r="AD365" s="15"/>
      <c r="AE365" s="15"/>
      <c r="AF365" s="15"/>
      <c r="AG365" s="15"/>
      <c r="AH365" s="15"/>
      <c r="AI365" s="46"/>
      <c r="AJ365" s="51" t="s">
        <v>67</v>
      </c>
      <c r="AK365" s="51" t="s">
        <v>6121</v>
      </c>
      <c r="AL365" s="15">
        <v>849.8</v>
      </c>
      <c r="AM365" s="51" t="s">
        <v>67</v>
      </c>
      <c r="AN365" s="51" t="s">
        <v>67</v>
      </c>
      <c r="AO365" s="50" t="s">
        <v>9554</v>
      </c>
    </row>
    <row r="366" spans="1:41" hidden="1" x14ac:dyDescent="0.25">
      <c r="A366" s="51" t="s">
        <v>2865</v>
      </c>
      <c r="B366" s="51" t="s">
        <v>2866</v>
      </c>
      <c r="C366" s="54" t="s">
        <v>605</v>
      </c>
      <c r="D366" s="51" t="s">
        <v>2867</v>
      </c>
      <c r="E366" s="20">
        <v>4618.7299999999996</v>
      </c>
      <c r="F366" s="20">
        <v>522.04</v>
      </c>
      <c r="G366" s="20">
        <v>21129.98</v>
      </c>
      <c r="H366" s="20">
        <v>0</v>
      </c>
      <c r="I366" s="20">
        <v>522.04</v>
      </c>
      <c r="J366" s="51" t="s">
        <v>2654</v>
      </c>
      <c r="K366" s="15">
        <v>0</v>
      </c>
      <c r="L366" s="51" t="s">
        <v>2371</v>
      </c>
      <c r="M366" s="51" t="s">
        <v>2868</v>
      </c>
      <c r="N366" s="51" t="s">
        <v>1340</v>
      </c>
      <c r="O366" s="51" t="s">
        <v>2869</v>
      </c>
      <c r="P366" s="51" t="s">
        <v>1340</v>
      </c>
      <c r="Q366" s="45">
        <v>46281.463201597224</v>
      </c>
      <c r="R366" s="46">
        <v>46305</v>
      </c>
      <c r="S366" s="46">
        <v>46300</v>
      </c>
      <c r="T366" s="51" t="s">
        <v>6119</v>
      </c>
      <c r="U366" s="15"/>
      <c r="V366" s="15"/>
      <c r="W366" s="15"/>
      <c r="X366" s="15"/>
      <c r="Y366" s="15"/>
      <c r="Z366" s="15"/>
      <c r="AA366" s="46"/>
      <c r="AB366" s="15"/>
      <c r="AC366" s="15"/>
      <c r="AD366" s="15"/>
      <c r="AE366" s="15"/>
      <c r="AF366" s="15"/>
      <c r="AG366" s="15"/>
      <c r="AH366" s="15"/>
      <c r="AI366" s="46"/>
      <c r="AJ366" s="51" t="s">
        <v>67</v>
      </c>
      <c r="AK366" s="51" t="s">
        <v>67</v>
      </c>
      <c r="AL366" s="15"/>
      <c r="AM366" s="51" t="s">
        <v>67</v>
      </c>
      <c r="AN366" s="51" t="s">
        <v>67</v>
      </c>
      <c r="AO366" s="50" t="s">
        <v>9554</v>
      </c>
    </row>
    <row r="367" spans="1:41" hidden="1" x14ac:dyDescent="0.25">
      <c r="A367" s="51" t="s">
        <v>2870</v>
      </c>
      <c r="B367" s="51" t="s">
        <v>2871</v>
      </c>
      <c r="C367" s="54" t="s">
        <v>605</v>
      </c>
      <c r="D367" s="51" t="s">
        <v>2872</v>
      </c>
      <c r="E367" s="20">
        <v>11420.98</v>
      </c>
      <c r="F367" s="20">
        <v>4762.26</v>
      </c>
      <c r="G367" s="20">
        <v>10450.36</v>
      </c>
      <c r="H367" s="20">
        <v>3870.86</v>
      </c>
      <c r="I367" s="20">
        <v>4762.26</v>
      </c>
      <c r="J367" s="51" t="s">
        <v>6727</v>
      </c>
      <c r="K367" s="15">
        <v>16</v>
      </c>
      <c r="L367" s="51" t="s">
        <v>2369</v>
      </c>
      <c r="M367" s="51" t="s">
        <v>67</v>
      </c>
      <c r="N367" s="51" t="s">
        <v>67</v>
      </c>
      <c r="O367" s="51" t="s">
        <v>2873</v>
      </c>
      <c r="P367" s="51" t="s">
        <v>1340</v>
      </c>
      <c r="Q367" s="45">
        <v>46281.463203206018</v>
      </c>
      <c r="R367" s="46">
        <v>46305</v>
      </c>
      <c r="S367" s="46">
        <v>46300</v>
      </c>
      <c r="T367" s="51" t="s">
        <v>6119</v>
      </c>
      <c r="U367" s="15">
        <v>848.05</v>
      </c>
      <c r="V367" s="15">
        <v>3921.84</v>
      </c>
      <c r="W367" s="15">
        <v>36.08</v>
      </c>
      <c r="X367" s="15">
        <v>14.9</v>
      </c>
      <c r="Y367" s="15">
        <v>1.662307</v>
      </c>
      <c r="Z367" s="15">
        <v>6</v>
      </c>
      <c r="AA367" s="46">
        <v>46275</v>
      </c>
      <c r="AB367" s="15"/>
      <c r="AC367" s="15"/>
      <c r="AD367" s="15"/>
      <c r="AE367" s="15"/>
      <c r="AF367" s="15"/>
      <c r="AG367" s="15"/>
      <c r="AH367" s="15"/>
      <c r="AI367" s="46"/>
      <c r="AJ367" s="51" t="s">
        <v>6121</v>
      </c>
      <c r="AK367" s="51" t="s">
        <v>6121</v>
      </c>
      <c r="AL367" s="15">
        <v>848.05</v>
      </c>
      <c r="AM367" s="51" t="s">
        <v>67</v>
      </c>
      <c r="AN367" s="51" t="s">
        <v>67</v>
      </c>
      <c r="AO367" s="50" t="s">
        <v>9554</v>
      </c>
    </row>
    <row r="368" spans="1:41" hidden="1" x14ac:dyDescent="0.25">
      <c r="A368" s="51" t="s">
        <v>2874</v>
      </c>
      <c r="B368" s="51" t="s">
        <v>2875</v>
      </c>
      <c r="C368" s="54" t="s">
        <v>611</v>
      </c>
      <c r="D368" s="51" t="s">
        <v>2876</v>
      </c>
      <c r="E368" s="20">
        <v>3753.76</v>
      </c>
      <c r="F368" s="20">
        <v>758.8</v>
      </c>
      <c r="G368" s="20">
        <v>20849.89</v>
      </c>
      <c r="H368" s="20">
        <v>737.17</v>
      </c>
      <c r="I368" s="20">
        <v>758.8</v>
      </c>
      <c r="J368" s="51" t="s">
        <v>6727</v>
      </c>
      <c r="K368" s="15">
        <v>1</v>
      </c>
      <c r="L368" s="51" t="s">
        <v>2369</v>
      </c>
      <c r="M368" s="51" t="s">
        <v>67</v>
      </c>
      <c r="N368" s="51" t="s">
        <v>67</v>
      </c>
      <c r="O368" s="51" t="s">
        <v>2877</v>
      </c>
      <c r="P368" s="51" t="s">
        <v>1340</v>
      </c>
      <c r="Q368" s="45">
        <v>46281.463205335647</v>
      </c>
      <c r="R368" s="46">
        <v>46320</v>
      </c>
      <c r="S368" s="46">
        <v>46315</v>
      </c>
      <c r="T368" s="51" t="s">
        <v>6119</v>
      </c>
      <c r="U368" s="15"/>
      <c r="V368" s="15"/>
      <c r="W368" s="15"/>
      <c r="X368" s="15"/>
      <c r="Y368" s="15"/>
      <c r="Z368" s="15"/>
      <c r="AA368" s="46"/>
      <c r="AB368" s="15"/>
      <c r="AC368" s="15"/>
      <c r="AD368" s="15"/>
      <c r="AE368" s="15"/>
      <c r="AF368" s="15"/>
      <c r="AG368" s="15"/>
      <c r="AH368" s="15"/>
      <c r="AI368" s="46"/>
      <c r="AJ368" s="51" t="s">
        <v>67</v>
      </c>
      <c r="AK368" s="51" t="s">
        <v>67</v>
      </c>
      <c r="AL368" s="15"/>
      <c r="AM368" s="51" t="s">
        <v>67</v>
      </c>
      <c r="AN368" s="51" t="s">
        <v>67</v>
      </c>
      <c r="AO368" s="50" t="s">
        <v>9554</v>
      </c>
    </row>
    <row r="369" spans="1:41" hidden="1" x14ac:dyDescent="0.25">
      <c r="A369" s="51" t="s">
        <v>2878</v>
      </c>
      <c r="B369" s="51" t="s">
        <v>2879</v>
      </c>
      <c r="C369" s="54" t="s">
        <v>5596</v>
      </c>
      <c r="D369" s="51" t="s">
        <v>2880</v>
      </c>
      <c r="E369" s="20">
        <v>6792.3</v>
      </c>
      <c r="F369" s="20">
        <v>4824.71</v>
      </c>
      <c r="G369" s="20">
        <v>8881.73</v>
      </c>
      <c r="H369" s="20">
        <v>3870.86</v>
      </c>
      <c r="I369" s="20">
        <v>4824.7</v>
      </c>
      <c r="J369" s="51" t="s">
        <v>6727</v>
      </c>
      <c r="K369" s="15">
        <v>21</v>
      </c>
      <c r="L369" s="51" t="s">
        <v>2369</v>
      </c>
      <c r="M369" s="51" t="s">
        <v>67</v>
      </c>
      <c r="N369" s="51" t="s">
        <v>67</v>
      </c>
      <c r="O369" s="51" t="s">
        <v>2881</v>
      </c>
      <c r="P369" s="51" t="s">
        <v>1340</v>
      </c>
      <c r="Q369" s="45">
        <v>46281.463206932873</v>
      </c>
      <c r="R369" s="46">
        <v>46300</v>
      </c>
      <c r="S369" s="46">
        <v>46295</v>
      </c>
      <c r="T369" s="51" t="s">
        <v>6119</v>
      </c>
      <c r="U369" s="15">
        <v>848.05</v>
      </c>
      <c r="V369" s="15">
        <v>3921.84</v>
      </c>
      <c r="W369" s="15">
        <v>36.08</v>
      </c>
      <c r="X369" s="15">
        <v>14.9</v>
      </c>
      <c r="Y369" s="15">
        <v>1.662307</v>
      </c>
      <c r="Z369" s="15">
        <v>6</v>
      </c>
      <c r="AA369" s="46">
        <v>46270</v>
      </c>
      <c r="AB369" s="15"/>
      <c r="AC369" s="15"/>
      <c r="AD369" s="15"/>
      <c r="AE369" s="15"/>
      <c r="AF369" s="15"/>
      <c r="AG369" s="15"/>
      <c r="AH369" s="15"/>
      <c r="AI369" s="46"/>
      <c r="AJ369" s="51" t="s">
        <v>6121</v>
      </c>
      <c r="AK369" s="51" t="s">
        <v>6121</v>
      </c>
      <c r="AL369" s="15">
        <v>848.05</v>
      </c>
      <c r="AM369" s="51" t="s">
        <v>67</v>
      </c>
      <c r="AN369" s="51" t="s">
        <v>67</v>
      </c>
      <c r="AO369" s="50" t="s">
        <v>9554</v>
      </c>
    </row>
    <row r="370" spans="1:41" hidden="1" x14ac:dyDescent="0.25">
      <c r="A370" s="51" t="s">
        <v>2882</v>
      </c>
      <c r="B370" s="51" t="s">
        <v>2883</v>
      </c>
      <c r="C370" s="54" t="s">
        <v>608</v>
      </c>
      <c r="D370" s="51" t="s">
        <v>2884</v>
      </c>
      <c r="E370" s="20">
        <v>1370.51</v>
      </c>
      <c r="F370" s="20">
        <v>9001.42</v>
      </c>
      <c r="G370" s="20">
        <v>6304.18</v>
      </c>
      <c r="H370" s="20">
        <v>3870.86</v>
      </c>
      <c r="I370" s="20">
        <v>7281.03</v>
      </c>
      <c r="J370" s="51" t="s">
        <v>6727</v>
      </c>
      <c r="K370" s="15">
        <v>37</v>
      </c>
      <c r="L370" s="51" t="s">
        <v>2369</v>
      </c>
      <c r="M370" s="51" t="s">
        <v>67</v>
      </c>
      <c r="N370" s="51" t="s">
        <v>67</v>
      </c>
      <c r="O370" s="51" t="s">
        <v>2885</v>
      </c>
      <c r="P370" s="51" t="s">
        <v>1340</v>
      </c>
      <c r="Q370" s="45">
        <v>46281.463208715279</v>
      </c>
      <c r="R370" s="46">
        <v>46315</v>
      </c>
      <c r="S370" s="46">
        <v>46310</v>
      </c>
      <c r="T370" s="51" t="s">
        <v>6119</v>
      </c>
      <c r="U370" s="15">
        <v>849.8</v>
      </c>
      <c r="V370" s="15">
        <v>3922.15</v>
      </c>
      <c r="W370" s="15">
        <v>36.39</v>
      </c>
      <c r="X370" s="15">
        <v>14.9</v>
      </c>
      <c r="Y370" s="15">
        <v>1.6620440000000001</v>
      </c>
      <c r="Z370" s="15">
        <v>6</v>
      </c>
      <c r="AA370" s="46">
        <v>46254</v>
      </c>
      <c r="AB370" s="15"/>
      <c r="AC370" s="15"/>
      <c r="AD370" s="15"/>
      <c r="AE370" s="15"/>
      <c r="AF370" s="15"/>
      <c r="AG370" s="15"/>
      <c r="AH370" s="15"/>
      <c r="AI370" s="46"/>
      <c r="AJ370" s="51" t="s">
        <v>6121</v>
      </c>
      <c r="AK370" s="51" t="s">
        <v>6121</v>
      </c>
      <c r="AL370" s="15">
        <v>849.8</v>
      </c>
      <c r="AM370" s="51" t="s">
        <v>67</v>
      </c>
      <c r="AN370" s="51" t="s">
        <v>67</v>
      </c>
      <c r="AO370" s="50" t="s">
        <v>9554</v>
      </c>
    </row>
    <row r="371" spans="1:41" hidden="1" x14ac:dyDescent="0.25">
      <c r="A371" s="51" t="s">
        <v>2886</v>
      </c>
      <c r="B371" s="51" t="s">
        <v>2887</v>
      </c>
      <c r="C371" s="54" t="s">
        <v>605</v>
      </c>
      <c r="D371" s="51" t="s">
        <v>2888</v>
      </c>
      <c r="E371" s="20">
        <v>5018.01</v>
      </c>
      <c r="F371" s="20">
        <v>509.01</v>
      </c>
      <c r="G371" s="20">
        <v>4508.26</v>
      </c>
      <c r="H371" s="20">
        <v>0</v>
      </c>
      <c r="I371" s="20">
        <v>509.01</v>
      </c>
      <c r="J371" s="51" t="s">
        <v>2654</v>
      </c>
      <c r="K371" s="15">
        <v>0</v>
      </c>
      <c r="L371" s="51" t="s">
        <v>2371</v>
      </c>
      <c r="M371" s="51" t="s">
        <v>67</v>
      </c>
      <c r="N371" s="51" t="s">
        <v>67</v>
      </c>
      <c r="O371" s="51" t="s">
        <v>2889</v>
      </c>
      <c r="P371" s="51" t="s">
        <v>1340</v>
      </c>
      <c r="Q371" s="45">
        <v>46281.463210636575</v>
      </c>
      <c r="R371" s="46">
        <v>46305</v>
      </c>
      <c r="S371" s="46">
        <v>46300</v>
      </c>
      <c r="T371" s="51" t="s">
        <v>6119</v>
      </c>
      <c r="U371" s="15"/>
      <c r="V371" s="15"/>
      <c r="W371" s="15"/>
      <c r="X371" s="15"/>
      <c r="Y371" s="15"/>
      <c r="Z371" s="15"/>
      <c r="AA371" s="46"/>
      <c r="AB371" s="15"/>
      <c r="AC371" s="15"/>
      <c r="AD371" s="15"/>
      <c r="AE371" s="15"/>
      <c r="AF371" s="15"/>
      <c r="AG371" s="15"/>
      <c r="AH371" s="15"/>
      <c r="AI371" s="46"/>
      <c r="AJ371" s="51" t="s">
        <v>67</v>
      </c>
      <c r="AK371" s="51" t="s">
        <v>67</v>
      </c>
      <c r="AL371" s="15"/>
      <c r="AM371" s="51" t="s">
        <v>67</v>
      </c>
      <c r="AN371" s="51" t="s">
        <v>67</v>
      </c>
      <c r="AO371" s="50" t="s">
        <v>9554</v>
      </c>
    </row>
    <row r="372" spans="1:41" hidden="1" x14ac:dyDescent="0.25">
      <c r="A372" s="51" t="s">
        <v>2890</v>
      </c>
      <c r="B372" s="51" t="s">
        <v>2891</v>
      </c>
      <c r="C372" s="54" t="s">
        <v>611</v>
      </c>
      <c r="D372" s="51" t="s">
        <v>2892</v>
      </c>
      <c r="E372" s="20">
        <v>2149.0300000000002</v>
      </c>
      <c r="F372" s="20">
        <v>625.98</v>
      </c>
      <c r="G372" s="20">
        <v>18521.02</v>
      </c>
      <c r="H372" s="20">
        <v>608.14</v>
      </c>
      <c r="I372" s="20">
        <v>625.98</v>
      </c>
      <c r="J372" s="51" t="s">
        <v>6727</v>
      </c>
      <c r="K372" s="15">
        <v>1</v>
      </c>
      <c r="L372" s="51" t="s">
        <v>2369</v>
      </c>
      <c r="M372" s="51" t="s">
        <v>67</v>
      </c>
      <c r="N372" s="51" t="s">
        <v>67</v>
      </c>
      <c r="O372" s="51" t="s">
        <v>2893</v>
      </c>
      <c r="P372" s="51" t="s">
        <v>1340</v>
      </c>
      <c r="Q372" s="45">
        <v>46281.463212175928</v>
      </c>
      <c r="R372" s="46">
        <v>46320</v>
      </c>
      <c r="S372" s="46">
        <v>46315</v>
      </c>
      <c r="T372" s="51" t="s">
        <v>6119</v>
      </c>
      <c r="U372" s="15"/>
      <c r="V372" s="15"/>
      <c r="W372" s="15"/>
      <c r="X372" s="15"/>
      <c r="Y372" s="15"/>
      <c r="Z372" s="15"/>
      <c r="AA372" s="46"/>
      <c r="AB372" s="15"/>
      <c r="AC372" s="15"/>
      <c r="AD372" s="15"/>
      <c r="AE372" s="15"/>
      <c r="AF372" s="15"/>
      <c r="AG372" s="15"/>
      <c r="AH372" s="15"/>
      <c r="AI372" s="46"/>
      <c r="AJ372" s="51" t="s">
        <v>67</v>
      </c>
      <c r="AK372" s="51" t="s">
        <v>67</v>
      </c>
      <c r="AL372" s="15"/>
      <c r="AM372" s="51" t="s">
        <v>67</v>
      </c>
      <c r="AN372" s="51" t="s">
        <v>67</v>
      </c>
      <c r="AO372" s="50" t="s">
        <v>9554</v>
      </c>
    </row>
    <row r="373" spans="1:41" hidden="1" x14ac:dyDescent="0.25">
      <c r="A373" s="51" t="s">
        <v>2894</v>
      </c>
      <c r="B373" s="51" t="s">
        <v>2895</v>
      </c>
      <c r="C373" s="54" t="s">
        <v>608</v>
      </c>
      <c r="D373" s="51" t="s">
        <v>2896</v>
      </c>
      <c r="E373" s="20">
        <v>2016.65</v>
      </c>
      <c r="F373" s="20">
        <v>6346.39</v>
      </c>
      <c r="G373" s="20">
        <v>-3936.86</v>
      </c>
      <c r="H373" s="20">
        <v>3870.86</v>
      </c>
      <c r="I373" s="20">
        <v>4195.91</v>
      </c>
      <c r="J373" s="51" t="s">
        <v>6726</v>
      </c>
      <c r="K373" s="15">
        <v>0</v>
      </c>
      <c r="L373" s="51" t="s">
        <v>2371</v>
      </c>
      <c r="M373" s="51" t="s">
        <v>67</v>
      </c>
      <c r="N373" s="51" t="s">
        <v>67</v>
      </c>
      <c r="O373" s="51" t="s">
        <v>2897</v>
      </c>
      <c r="P373" s="51" t="s">
        <v>1340</v>
      </c>
      <c r="Q373" s="45">
        <v>46281.463213599534</v>
      </c>
      <c r="R373" s="46">
        <v>46315</v>
      </c>
      <c r="S373" s="46">
        <v>46310</v>
      </c>
      <c r="T373" s="51" t="s">
        <v>6119</v>
      </c>
      <c r="U373" s="15">
        <v>849.8</v>
      </c>
      <c r="V373" s="15">
        <v>3922.15</v>
      </c>
      <c r="W373" s="15">
        <v>36.39</v>
      </c>
      <c r="X373" s="15">
        <v>14.9</v>
      </c>
      <c r="Y373" s="15">
        <v>1.6620440000000001</v>
      </c>
      <c r="Z373" s="15">
        <v>6</v>
      </c>
      <c r="AA373" s="46">
        <v>46254</v>
      </c>
      <c r="AB373" s="15"/>
      <c r="AC373" s="15"/>
      <c r="AD373" s="15"/>
      <c r="AE373" s="15"/>
      <c r="AF373" s="15"/>
      <c r="AG373" s="15"/>
      <c r="AH373" s="15"/>
      <c r="AI373" s="46"/>
      <c r="AJ373" s="51" t="s">
        <v>67</v>
      </c>
      <c r="AK373" s="51" t="s">
        <v>6121</v>
      </c>
      <c r="AL373" s="15">
        <v>849.8</v>
      </c>
      <c r="AM373" s="51" t="s">
        <v>6705</v>
      </c>
      <c r="AN373" s="51" t="s">
        <v>6713</v>
      </c>
      <c r="AO373" s="50" t="s">
        <v>9554</v>
      </c>
    </row>
    <row r="374" spans="1:41" hidden="1" x14ac:dyDescent="0.25">
      <c r="A374" s="51" t="s">
        <v>2898</v>
      </c>
      <c r="B374" s="51" t="s">
        <v>2899</v>
      </c>
      <c r="C374" s="54" t="s">
        <v>605</v>
      </c>
      <c r="D374" s="51" t="s">
        <v>2900</v>
      </c>
      <c r="E374" s="20">
        <v>4430.84</v>
      </c>
      <c r="F374" s="20">
        <v>794.46</v>
      </c>
      <c r="G374" s="20">
        <v>10069.120000000001</v>
      </c>
      <c r="H374" s="20">
        <v>0</v>
      </c>
      <c r="I374" s="20">
        <v>794.46</v>
      </c>
      <c r="J374" s="51" t="s">
        <v>2654</v>
      </c>
      <c r="K374" s="15">
        <v>0</v>
      </c>
      <c r="L374" s="51" t="s">
        <v>2371</v>
      </c>
      <c r="M374" s="51" t="s">
        <v>2901</v>
      </c>
      <c r="N374" s="51" t="s">
        <v>1340</v>
      </c>
      <c r="O374" s="51" t="s">
        <v>67</v>
      </c>
      <c r="P374" s="51" t="s">
        <v>67</v>
      </c>
      <c r="Q374" s="45">
        <v>46281.463215625001</v>
      </c>
      <c r="R374" s="46">
        <v>46305</v>
      </c>
      <c r="S374" s="46">
        <v>46300</v>
      </c>
      <c r="T374" s="51" t="s">
        <v>6119</v>
      </c>
      <c r="U374" s="15"/>
      <c r="V374" s="15"/>
      <c r="W374" s="15"/>
      <c r="X374" s="15"/>
      <c r="Y374" s="15"/>
      <c r="Z374" s="15"/>
      <c r="AA374" s="46"/>
      <c r="AB374" s="15"/>
      <c r="AC374" s="15"/>
      <c r="AD374" s="15"/>
      <c r="AE374" s="15"/>
      <c r="AF374" s="15"/>
      <c r="AG374" s="15"/>
      <c r="AH374" s="15"/>
      <c r="AI374" s="46"/>
      <c r="AJ374" s="51" t="s">
        <v>67</v>
      </c>
      <c r="AK374" s="51" t="s">
        <v>67</v>
      </c>
      <c r="AL374" s="15"/>
      <c r="AM374" s="51" t="s">
        <v>67</v>
      </c>
      <c r="AN374" s="51" t="s">
        <v>67</v>
      </c>
      <c r="AO374" s="50" t="s">
        <v>9554</v>
      </c>
    </row>
    <row r="375" spans="1:41" hidden="1" x14ac:dyDescent="0.25">
      <c r="A375" s="51" t="s">
        <v>2902</v>
      </c>
      <c r="B375" s="51" t="s">
        <v>2903</v>
      </c>
      <c r="C375" s="54" t="s">
        <v>5596</v>
      </c>
      <c r="D375" s="51" t="s">
        <v>2904</v>
      </c>
      <c r="E375" s="20">
        <v>8327.7900000000009</v>
      </c>
      <c r="F375" s="20">
        <v>4863.8100000000004</v>
      </c>
      <c r="G375" s="20">
        <v>13234.03</v>
      </c>
      <c r="H375" s="20">
        <v>3870.86</v>
      </c>
      <c r="I375" s="20">
        <v>4863.8</v>
      </c>
      <c r="J375" s="51" t="s">
        <v>6727</v>
      </c>
      <c r="K375" s="15">
        <v>21</v>
      </c>
      <c r="L375" s="51" t="s">
        <v>2369</v>
      </c>
      <c r="M375" s="51" t="s">
        <v>67</v>
      </c>
      <c r="N375" s="51" t="s">
        <v>67</v>
      </c>
      <c r="O375" s="51" t="s">
        <v>2905</v>
      </c>
      <c r="P375" s="51" t="s">
        <v>1340</v>
      </c>
      <c r="Q375" s="45">
        <v>46281.463217430559</v>
      </c>
      <c r="R375" s="46">
        <v>46300</v>
      </c>
      <c r="S375" s="46">
        <v>46295</v>
      </c>
      <c r="T375" s="51" t="s">
        <v>6119</v>
      </c>
      <c r="U375" s="15">
        <v>848.05</v>
      </c>
      <c r="V375" s="15">
        <v>3921.84</v>
      </c>
      <c r="W375" s="15">
        <v>36.08</v>
      </c>
      <c r="X375" s="15">
        <v>14.9</v>
      </c>
      <c r="Y375" s="15">
        <v>1.662307</v>
      </c>
      <c r="Z375" s="15">
        <v>6</v>
      </c>
      <c r="AA375" s="46">
        <v>46270</v>
      </c>
      <c r="AB375" s="15"/>
      <c r="AC375" s="15"/>
      <c r="AD375" s="15"/>
      <c r="AE375" s="15"/>
      <c r="AF375" s="15"/>
      <c r="AG375" s="15"/>
      <c r="AH375" s="15"/>
      <c r="AI375" s="46"/>
      <c r="AJ375" s="51" t="s">
        <v>6121</v>
      </c>
      <c r="AK375" s="51" t="s">
        <v>6121</v>
      </c>
      <c r="AL375" s="15">
        <v>848.05</v>
      </c>
      <c r="AM375" s="51" t="s">
        <v>67</v>
      </c>
      <c r="AN375" s="51" t="s">
        <v>67</v>
      </c>
      <c r="AO375" s="50" t="s">
        <v>9554</v>
      </c>
    </row>
    <row r="376" spans="1:41" hidden="1" x14ac:dyDescent="0.25">
      <c r="A376" s="51" t="s">
        <v>2906</v>
      </c>
      <c r="B376" s="51" t="s">
        <v>2907</v>
      </c>
      <c r="C376" s="54" t="s">
        <v>608</v>
      </c>
      <c r="D376" s="51" t="s">
        <v>2908</v>
      </c>
      <c r="E376" s="20">
        <v>14989.9</v>
      </c>
      <c r="F376" s="20">
        <v>0</v>
      </c>
      <c r="G376" s="20">
        <v>9018.8700000000008</v>
      </c>
      <c r="H376" s="20">
        <v>0</v>
      </c>
      <c r="I376" s="20">
        <v>497.41</v>
      </c>
      <c r="J376" s="51" t="s">
        <v>2654</v>
      </c>
      <c r="K376" s="15">
        <v>0</v>
      </c>
      <c r="L376" s="51" t="s">
        <v>2371</v>
      </c>
      <c r="M376" s="51" t="s">
        <v>2909</v>
      </c>
      <c r="N376" s="51" t="s">
        <v>1340</v>
      </c>
      <c r="O376" s="51" t="s">
        <v>67</v>
      </c>
      <c r="P376" s="51" t="s">
        <v>67</v>
      </c>
      <c r="Q376" s="45">
        <v>46281.463219282406</v>
      </c>
      <c r="R376" s="46">
        <v>46315</v>
      </c>
      <c r="S376" s="46">
        <v>46310</v>
      </c>
      <c r="T376" s="51" t="s">
        <v>6119</v>
      </c>
      <c r="U376" s="15"/>
      <c r="V376" s="15"/>
      <c r="W376" s="15"/>
      <c r="X376" s="15"/>
      <c r="Y376" s="15"/>
      <c r="Z376" s="15"/>
      <c r="AA376" s="46"/>
      <c r="AB376" s="15"/>
      <c r="AC376" s="15"/>
      <c r="AD376" s="15"/>
      <c r="AE376" s="15"/>
      <c r="AF376" s="15"/>
      <c r="AG376" s="15"/>
      <c r="AH376" s="15"/>
      <c r="AI376" s="46"/>
      <c r="AJ376" s="51" t="s">
        <v>67</v>
      </c>
      <c r="AK376" s="51" t="s">
        <v>67</v>
      </c>
      <c r="AL376" s="15"/>
      <c r="AM376" s="51" t="s">
        <v>67</v>
      </c>
      <c r="AN376" s="51" t="s">
        <v>67</v>
      </c>
      <c r="AO376" s="50" t="s">
        <v>9554</v>
      </c>
    </row>
    <row r="377" spans="1:41" hidden="1" x14ac:dyDescent="0.25">
      <c r="A377" s="51" t="s">
        <v>2910</v>
      </c>
      <c r="B377" s="51" t="s">
        <v>2911</v>
      </c>
      <c r="C377" s="54" t="s">
        <v>605</v>
      </c>
      <c r="D377" s="51" t="s">
        <v>2912</v>
      </c>
      <c r="E377" s="20">
        <v>7321.48</v>
      </c>
      <c r="F377" s="20">
        <v>4723.1099999999997</v>
      </c>
      <c r="G377" s="20">
        <v>5219.18</v>
      </c>
      <c r="H377" s="20">
        <v>3870.86</v>
      </c>
      <c r="I377" s="20">
        <v>4723.1099999999997</v>
      </c>
      <c r="J377" s="51" t="s">
        <v>6727</v>
      </c>
      <c r="K377" s="15">
        <v>16</v>
      </c>
      <c r="L377" s="51" t="s">
        <v>2369</v>
      </c>
      <c r="M377" s="51" t="s">
        <v>2913</v>
      </c>
      <c r="N377" s="51" t="s">
        <v>1344</v>
      </c>
      <c r="O377" s="51" t="s">
        <v>2914</v>
      </c>
      <c r="P377" s="51" t="s">
        <v>1344</v>
      </c>
      <c r="Q377" s="45">
        <v>46281.463220810183</v>
      </c>
      <c r="R377" s="46">
        <v>46305</v>
      </c>
      <c r="S377" s="46">
        <v>46300</v>
      </c>
      <c r="T377" s="51" t="s">
        <v>6119</v>
      </c>
      <c r="U377" s="15">
        <v>848.05</v>
      </c>
      <c r="V377" s="15">
        <v>3921.84</v>
      </c>
      <c r="W377" s="15">
        <v>36.08</v>
      </c>
      <c r="X377" s="15">
        <v>14.9</v>
      </c>
      <c r="Y377" s="15">
        <v>1.662307</v>
      </c>
      <c r="Z377" s="15">
        <v>6</v>
      </c>
      <c r="AA377" s="46">
        <v>46275</v>
      </c>
      <c r="AB377" s="15"/>
      <c r="AC377" s="15"/>
      <c r="AD377" s="15"/>
      <c r="AE377" s="15"/>
      <c r="AF377" s="15"/>
      <c r="AG377" s="15"/>
      <c r="AH377" s="15"/>
      <c r="AI377" s="46"/>
      <c r="AJ377" s="51" t="s">
        <v>6121</v>
      </c>
      <c r="AK377" s="51" t="s">
        <v>6121</v>
      </c>
      <c r="AL377" s="15">
        <v>848.05</v>
      </c>
      <c r="AM377" s="51" t="s">
        <v>67</v>
      </c>
      <c r="AN377" s="51" t="s">
        <v>67</v>
      </c>
      <c r="AO377" s="50" t="s">
        <v>9554</v>
      </c>
    </row>
    <row r="378" spans="1:41" hidden="1" x14ac:dyDescent="0.25">
      <c r="A378" s="51" t="s">
        <v>2915</v>
      </c>
      <c r="B378" s="51" t="s">
        <v>2916</v>
      </c>
      <c r="C378" s="54" t="s">
        <v>608</v>
      </c>
      <c r="D378" s="51" t="s">
        <v>2917</v>
      </c>
      <c r="E378" s="20">
        <v>7662.37</v>
      </c>
      <c r="F378" s="20">
        <v>5239.4799999999996</v>
      </c>
      <c r="G378" s="20">
        <v>3588.21</v>
      </c>
      <c r="H378" s="20">
        <v>3870.86</v>
      </c>
      <c r="I378" s="20">
        <v>1368.62</v>
      </c>
      <c r="J378" s="51" t="s">
        <v>6726</v>
      </c>
      <c r="K378" s="15">
        <v>0</v>
      </c>
      <c r="L378" s="51" t="s">
        <v>2371</v>
      </c>
      <c r="M378" s="51" t="s">
        <v>67</v>
      </c>
      <c r="N378" s="51" t="s">
        <v>67</v>
      </c>
      <c r="O378" s="51" t="s">
        <v>2918</v>
      </c>
      <c r="P378" s="51" t="s">
        <v>1340</v>
      </c>
      <c r="Q378" s="45">
        <v>46281.4632227662</v>
      </c>
      <c r="R378" s="46">
        <v>46315</v>
      </c>
      <c r="S378" s="46">
        <v>46310</v>
      </c>
      <c r="T378" s="51" t="s">
        <v>6119</v>
      </c>
      <c r="U378" s="15">
        <v>849.8</v>
      </c>
      <c r="V378" s="15">
        <v>3922.15</v>
      </c>
      <c r="W378" s="15">
        <v>36.39</v>
      </c>
      <c r="X378" s="15">
        <v>14.9</v>
      </c>
      <c r="Y378" s="15">
        <v>1.6620440000000001</v>
      </c>
      <c r="Z378" s="15">
        <v>6</v>
      </c>
      <c r="AA378" s="46">
        <v>46254</v>
      </c>
      <c r="AB378" s="15"/>
      <c r="AC378" s="15"/>
      <c r="AD378" s="15"/>
      <c r="AE378" s="15"/>
      <c r="AF378" s="15"/>
      <c r="AG378" s="15"/>
      <c r="AH378" s="15"/>
      <c r="AI378" s="46"/>
      <c r="AJ378" s="51" t="s">
        <v>67</v>
      </c>
      <c r="AK378" s="51" t="s">
        <v>6121</v>
      </c>
      <c r="AL378" s="15">
        <v>849.8</v>
      </c>
      <c r="AM378" s="51" t="s">
        <v>67</v>
      </c>
      <c r="AN378" s="51" t="s">
        <v>67</v>
      </c>
      <c r="AO378" s="50" t="s">
        <v>9554</v>
      </c>
    </row>
    <row r="379" spans="1:41" hidden="1" x14ac:dyDescent="0.25">
      <c r="A379" s="51" t="s">
        <v>2919</v>
      </c>
      <c r="B379" s="51" t="s">
        <v>2920</v>
      </c>
      <c r="C379" s="54" t="s">
        <v>605</v>
      </c>
      <c r="D379" s="51" t="s">
        <v>2921</v>
      </c>
      <c r="E379" s="20">
        <v>5817.38</v>
      </c>
      <c r="F379" s="20">
        <v>4796.12</v>
      </c>
      <c r="G379" s="20">
        <v>3470.3</v>
      </c>
      <c r="H379" s="20">
        <v>3870.86</v>
      </c>
      <c r="I379" s="20">
        <v>4796.12</v>
      </c>
      <c r="J379" s="51" t="s">
        <v>6727</v>
      </c>
      <c r="K379" s="15">
        <v>16</v>
      </c>
      <c r="L379" s="51" t="s">
        <v>2369</v>
      </c>
      <c r="M379" s="51" t="s">
        <v>2922</v>
      </c>
      <c r="N379" s="51" t="s">
        <v>1340</v>
      </c>
      <c r="O379" s="51" t="s">
        <v>67</v>
      </c>
      <c r="P379" s="51" t="s">
        <v>67</v>
      </c>
      <c r="Q379" s="45">
        <v>46281.463224525462</v>
      </c>
      <c r="R379" s="46">
        <v>46305</v>
      </c>
      <c r="S379" s="46">
        <v>46300</v>
      </c>
      <c r="T379" s="51" t="s">
        <v>6119</v>
      </c>
      <c r="U379" s="15">
        <v>848.05</v>
      </c>
      <c r="V379" s="15">
        <v>3921.84</v>
      </c>
      <c r="W379" s="15">
        <v>36.08</v>
      </c>
      <c r="X379" s="15">
        <v>14.9</v>
      </c>
      <c r="Y379" s="15">
        <v>1.662307</v>
      </c>
      <c r="Z379" s="15">
        <v>6</v>
      </c>
      <c r="AA379" s="46">
        <v>46275</v>
      </c>
      <c r="AB379" s="15"/>
      <c r="AC379" s="15"/>
      <c r="AD379" s="15"/>
      <c r="AE379" s="15"/>
      <c r="AF379" s="15"/>
      <c r="AG379" s="15"/>
      <c r="AH379" s="15"/>
      <c r="AI379" s="46"/>
      <c r="AJ379" s="51" t="s">
        <v>6121</v>
      </c>
      <c r="AK379" s="51" t="s">
        <v>6121</v>
      </c>
      <c r="AL379" s="15">
        <v>848.05</v>
      </c>
      <c r="AM379" s="51" t="s">
        <v>67</v>
      </c>
      <c r="AN379" s="51" t="s">
        <v>67</v>
      </c>
      <c r="AO379" s="50" t="s">
        <v>9554</v>
      </c>
    </row>
    <row r="380" spans="1:41" hidden="1" x14ac:dyDescent="0.25">
      <c r="A380" s="51" t="s">
        <v>2923</v>
      </c>
      <c r="B380" s="51" t="s">
        <v>2924</v>
      </c>
      <c r="C380" s="54" t="s">
        <v>605</v>
      </c>
      <c r="D380" s="51" t="s">
        <v>2925</v>
      </c>
      <c r="E380" s="20">
        <v>6878.82</v>
      </c>
      <c r="F380" s="20">
        <v>987.34</v>
      </c>
      <c r="G380" s="20">
        <v>13040.52</v>
      </c>
      <c r="H380" s="20">
        <v>0</v>
      </c>
      <c r="I380" s="20">
        <v>987.34</v>
      </c>
      <c r="J380" s="51" t="s">
        <v>2654</v>
      </c>
      <c r="K380" s="15">
        <v>0</v>
      </c>
      <c r="L380" s="51" t="s">
        <v>2371</v>
      </c>
      <c r="M380" s="51" t="s">
        <v>67</v>
      </c>
      <c r="N380" s="51" t="s">
        <v>67</v>
      </c>
      <c r="O380" s="51" t="s">
        <v>2926</v>
      </c>
      <c r="P380" s="51" t="s">
        <v>1340</v>
      </c>
      <c r="Q380" s="45">
        <v>46281.463226342596</v>
      </c>
      <c r="R380" s="46">
        <v>46305</v>
      </c>
      <c r="S380" s="46">
        <v>46300</v>
      </c>
      <c r="T380" s="51" t="s">
        <v>6119</v>
      </c>
      <c r="U380" s="15"/>
      <c r="V380" s="15"/>
      <c r="W380" s="15"/>
      <c r="X380" s="15"/>
      <c r="Y380" s="15"/>
      <c r="Z380" s="15"/>
      <c r="AA380" s="46"/>
      <c r="AB380" s="15"/>
      <c r="AC380" s="15"/>
      <c r="AD380" s="15"/>
      <c r="AE380" s="15"/>
      <c r="AF380" s="15"/>
      <c r="AG380" s="15"/>
      <c r="AH380" s="15"/>
      <c r="AI380" s="46"/>
      <c r="AJ380" s="51" t="s">
        <v>67</v>
      </c>
      <c r="AK380" s="51" t="s">
        <v>67</v>
      </c>
      <c r="AL380" s="15"/>
      <c r="AM380" s="51" t="s">
        <v>67</v>
      </c>
      <c r="AN380" s="51" t="s">
        <v>67</v>
      </c>
      <c r="AO380" s="50" t="s">
        <v>9554</v>
      </c>
    </row>
    <row r="381" spans="1:41" hidden="1" x14ac:dyDescent="0.25">
      <c r="A381" s="51" t="s">
        <v>2927</v>
      </c>
      <c r="B381" s="51" t="s">
        <v>2928</v>
      </c>
      <c r="C381" s="54" t="s">
        <v>605</v>
      </c>
      <c r="D381" s="51" t="s">
        <v>2929</v>
      </c>
      <c r="E381" s="20">
        <v>4878.1899999999996</v>
      </c>
      <c r="F381" s="20">
        <v>4725.5600000000004</v>
      </c>
      <c r="G381" s="20">
        <v>-19.059999999999999</v>
      </c>
      <c r="H381" s="20">
        <v>3870.86</v>
      </c>
      <c r="I381" s="20">
        <v>4725.5600000000004</v>
      </c>
      <c r="J381" s="51" t="s">
        <v>6726</v>
      </c>
      <c r="K381" s="15">
        <v>16</v>
      </c>
      <c r="L381" s="51" t="s">
        <v>2369</v>
      </c>
      <c r="M381" s="51" t="s">
        <v>2930</v>
      </c>
      <c r="N381" s="51" t="s">
        <v>1340</v>
      </c>
      <c r="O381" s="51" t="s">
        <v>67</v>
      </c>
      <c r="P381" s="51" t="s">
        <v>67</v>
      </c>
      <c r="Q381" s="45">
        <v>46281.46322824074</v>
      </c>
      <c r="R381" s="46">
        <v>46305</v>
      </c>
      <c r="S381" s="46">
        <v>46300</v>
      </c>
      <c r="T381" s="51" t="s">
        <v>6119</v>
      </c>
      <c r="U381" s="15">
        <v>848.05</v>
      </c>
      <c r="V381" s="15">
        <v>3921.84</v>
      </c>
      <c r="W381" s="15">
        <v>36.08</v>
      </c>
      <c r="X381" s="15">
        <v>14.9</v>
      </c>
      <c r="Y381" s="15">
        <v>1.662307</v>
      </c>
      <c r="Z381" s="15">
        <v>6</v>
      </c>
      <c r="AA381" s="46">
        <v>46275</v>
      </c>
      <c r="AB381" s="15"/>
      <c r="AC381" s="15"/>
      <c r="AD381" s="15"/>
      <c r="AE381" s="15"/>
      <c r="AF381" s="15"/>
      <c r="AG381" s="15"/>
      <c r="AH381" s="15"/>
      <c r="AI381" s="46"/>
      <c r="AJ381" s="51" t="s">
        <v>6121</v>
      </c>
      <c r="AK381" s="51" t="s">
        <v>6121</v>
      </c>
      <c r="AL381" s="15">
        <v>848.05</v>
      </c>
      <c r="AM381" s="51" t="s">
        <v>6705</v>
      </c>
      <c r="AN381" s="51" t="s">
        <v>6713</v>
      </c>
      <c r="AO381" s="50" t="s">
        <v>9554</v>
      </c>
    </row>
    <row r="382" spans="1:41" hidden="1" x14ac:dyDescent="0.25">
      <c r="A382" s="51" t="s">
        <v>2931</v>
      </c>
      <c r="B382" s="51" t="s">
        <v>2932</v>
      </c>
      <c r="C382" s="54" t="s">
        <v>608</v>
      </c>
      <c r="D382" s="51" t="s">
        <v>2933</v>
      </c>
      <c r="E382" s="20">
        <v>4375.01</v>
      </c>
      <c r="F382" s="20">
        <v>8974.93</v>
      </c>
      <c r="G382" s="20">
        <v>10589.09</v>
      </c>
      <c r="H382" s="20">
        <v>3870.86</v>
      </c>
      <c r="I382" s="20">
        <v>8974.93</v>
      </c>
      <c r="J382" s="51" t="s">
        <v>6727</v>
      </c>
      <c r="K382" s="15">
        <v>37</v>
      </c>
      <c r="L382" s="51" t="s">
        <v>2369</v>
      </c>
      <c r="M382" s="51" t="s">
        <v>2934</v>
      </c>
      <c r="N382" s="51" t="s">
        <v>1340</v>
      </c>
      <c r="O382" s="51" t="s">
        <v>2935</v>
      </c>
      <c r="P382" s="51" t="s">
        <v>1340</v>
      </c>
      <c r="Q382" s="45">
        <v>46281.463230358793</v>
      </c>
      <c r="R382" s="46">
        <v>46315</v>
      </c>
      <c r="S382" s="46">
        <v>46310</v>
      </c>
      <c r="T382" s="51" t="s">
        <v>6119</v>
      </c>
      <c r="U382" s="15">
        <v>849.8</v>
      </c>
      <c r="V382" s="15">
        <v>3922.15</v>
      </c>
      <c r="W382" s="15">
        <v>36.39</v>
      </c>
      <c r="X382" s="15">
        <v>14.9</v>
      </c>
      <c r="Y382" s="15">
        <v>1.6620440000000001</v>
      </c>
      <c r="Z382" s="15">
        <v>6</v>
      </c>
      <c r="AA382" s="46">
        <v>46254</v>
      </c>
      <c r="AB382" s="15"/>
      <c r="AC382" s="15"/>
      <c r="AD382" s="15"/>
      <c r="AE382" s="15"/>
      <c r="AF382" s="15"/>
      <c r="AG382" s="15"/>
      <c r="AH382" s="15"/>
      <c r="AI382" s="46"/>
      <c r="AJ382" s="51" t="s">
        <v>6121</v>
      </c>
      <c r="AK382" s="51" t="s">
        <v>6121</v>
      </c>
      <c r="AL382" s="15">
        <v>849.8</v>
      </c>
      <c r="AM382" s="51" t="s">
        <v>67</v>
      </c>
      <c r="AN382" s="51" t="s">
        <v>67</v>
      </c>
      <c r="AO382" s="50" t="s">
        <v>9554</v>
      </c>
    </row>
    <row r="383" spans="1:41" hidden="1" x14ac:dyDescent="0.25">
      <c r="A383" s="51" t="s">
        <v>2936</v>
      </c>
      <c r="B383" s="51" t="s">
        <v>2937</v>
      </c>
      <c r="C383" s="54" t="s">
        <v>5596</v>
      </c>
      <c r="D383" s="51" t="s">
        <v>2938</v>
      </c>
      <c r="E383" s="20">
        <v>6500.15</v>
      </c>
      <c r="F383" s="20">
        <v>4893.51</v>
      </c>
      <c r="G383" s="20">
        <v>1369.04</v>
      </c>
      <c r="H383" s="20">
        <v>3870.86</v>
      </c>
      <c r="I383" s="20">
        <v>4893.5</v>
      </c>
      <c r="J383" s="51" t="s">
        <v>6727</v>
      </c>
      <c r="K383" s="15">
        <v>21</v>
      </c>
      <c r="L383" s="51" t="s">
        <v>2369</v>
      </c>
      <c r="M383" s="51" t="s">
        <v>67</v>
      </c>
      <c r="N383" s="51" t="s">
        <v>67</v>
      </c>
      <c r="O383" s="51" t="s">
        <v>2939</v>
      </c>
      <c r="P383" s="51" t="s">
        <v>1340</v>
      </c>
      <c r="Q383" s="45">
        <v>46281.463232453701</v>
      </c>
      <c r="R383" s="46">
        <v>46300</v>
      </c>
      <c r="S383" s="46">
        <v>46295</v>
      </c>
      <c r="T383" s="51" t="s">
        <v>6119</v>
      </c>
      <c r="U383" s="15">
        <v>848.05</v>
      </c>
      <c r="V383" s="15">
        <v>3921.84</v>
      </c>
      <c r="W383" s="15">
        <v>36.08</v>
      </c>
      <c r="X383" s="15">
        <v>14.9</v>
      </c>
      <c r="Y383" s="15">
        <v>1.662307</v>
      </c>
      <c r="Z383" s="15">
        <v>6</v>
      </c>
      <c r="AA383" s="46">
        <v>46270</v>
      </c>
      <c r="AB383" s="15"/>
      <c r="AC383" s="15"/>
      <c r="AD383" s="15"/>
      <c r="AE383" s="15"/>
      <c r="AF383" s="15"/>
      <c r="AG383" s="15"/>
      <c r="AH383" s="15"/>
      <c r="AI383" s="46"/>
      <c r="AJ383" s="51" t="s">
        <v>6121</v>
      </c>
      <c r="AK383" s="51" t="s">
        <v>6121</v>
      </c>
      <c r="AL383" s="15">
        <v>848.05</v>
      </c>
      <c r="AM383" s="51" t="s">
        <v>67</v>
      </c>
      <c r="AN383" s="51" t="s">
        <v>67</v>
      </c>
      <c r="AO383" s="50" t="s">
        <v>9554</v>
      </c>
    </row>
    <row r="384" spans="1:41" hidden="1" x14ac:dyDescent="0.25">
      <c r="A384" s="51" t="s">
        <v>2940</v>
      </c>
      <c r="B384" s="51" t="s">
        <v>2941</v>
      </c>
      <c r="C384" s="54" t="s">
        <v>605</v>
      </c>
      <c r="D384" s="51" t="s">
        <v>2942</v>
      </c>
      <c r="E384" s="20">
        <v>919.88</v>
      </c>
      <c r="F384" s="20">
        <v>5018.55</v>
      </c>
      <c r="G384" s="20">
        <v>8601.0300000000007</v>
      </c>
      <c r="H384" s="20">
        <v>3870.86</v>
      </c>
      <c r="I384" s="20">
        <v>5018.55</v>
      </c>
      <c r="J384" s="51" t="s">
        <v>6727</v>
      </c>
      <c r="K384" s="15">
        <v>16</v>
      </c>
      <c r="L384" s="51" t="s">
        <v>2369</v>
      </c>
      <c r="M384" s="51" t="s">
        <v>67</v>
      </c>
      <c r="N384" s="51" t="s">
        <v>67</v>
      </c>
      <c r="O384" s="51" t="s">
        <v>2943</v>
      </c>
      <c r="P384" s="51" t="s">
        <v>1340</v>
      </c>
      <c r="Q384" s="45">
        <v>46281.463234432871</v>
      </c>
      <c r="R384" s="46">
        <v>46305</v>
      </c>
      <c r="S384" s="46">
        <v>46300</v>
      </c>
      <c r="T384" s="51" t="s">
        <v>6119</v>
      </c>
      <c r="U384" s="15">
        <v>848.05</v>
      </c>
      <c r="V384" s="15">
        <v>3921.84</v>
      </c>
      <c r="W384" s="15">
        <v>36.08</v>
      </c>
      <c r="X384" s="15">
        <v>14.9</v>
      </c>
      <c r="Y384" s="15">
        <v>1.662307</v>
      </c>
      <c r="Z384" s="15">
        <v>6</v>
      </c>
      <c r="AA384" s="46">
        <v>46275</v>
      </c>
      <c r="AB384" s="15"/>
      <c r="AC384" s="15"/>
      <c r="AD384" s="15"/>
      <c r="AE384" s="15"/>
      <c r="AF384" s="15"/>
      <c r="AG384" s="15"/>
      <c r="AH384" s="15"/>
      <c r="AI384" s="46"/>
      <c r="AJ384" s="51" t="s">
        <v>6121</v>
      </c>
      <c r="AK384" s="51" t="s">
        <v>6121</v>
      </c>
      <c r="AL384" s="15">
        <v>848.05</v>
      </c>
      <c r="AM384" s="51" t="s">
        <v>67</v>
      </c>
      <c r="AN384" s="51" t="s">
        <v>67</v>
      </c>
      <c r="AO384" s="50" t="s">
        <v>9554</v>
      </c>
    </row>
    <row r="385" spans="1:41" hidden="1" x14ac:dyDescent="0.25">
      <c r="A385" s="51" t="s">
        <v>2944</v>
      </c>
      <c r="B385" s="51" t="s">
        <v>2945</v>
      </c>
      <c r="C385" s="54" t="s">
        <v>611</v>
      </c>
      <c r="D385" s="51" t="s">
        <v>2946</v>
      </c>
      <c r="E385" s="20">
        <v>6772.56</v>
      </c>
      <c r="F385" s="20">
        <v>3167.4</v>
      </c>
      <c r="G385" s="20">
        <v>11564.48</v>
      </c>
      <c r="H385" s="20">
        <v>6192.65</v>
      </c>
      <c r="I385" s="20">
        <v>3167.4</v>
      </c>
      <c r="J385" s="51" t="s">
        <v>6726</v>
      </c>
      <c r="K385" s="15">
        <v>0</v>
      </c>
      <c r="L385" s="51" t="s">
        <v>2371</v>
      </c>
      <c r="M385" s="51" t="s">
        <v>2947</v>
      </c>
      <c r="N385" s="51" t="s">
        <v>1340</v>
      </c>
      <c r="O385" s="51" t="s">
        <v>67</v>
      </c>
      <c r="P385" s="51" t="s">
        <v>67</v>
      </c>
      <c r="Q385" s="45">
        <v>46281.463236307871</v>
      </c>
      <c r="R385" s="46">
        <v>46320</v>
      </c>
      <c r="S385" s="46">
        <v>46315</v>
      </c>
      <c r="T385" s="51" t="s">
        <v>6119</v>
      </c>
      <c r="U385" s="15">
        <v>849.8</v>
      </c>
      <c r="V385" s="15">
        <v>3922.15</v>
      </c>
      <c r="W385" s="15">
        <v>36.39</v>
      </c>
      <c r="X385" s="15">
        <v>14.9</v>
      </c>
      <c r="Y385" s="15">
        <v>1.6620440000000001</v>
      </c>
      <c r="Z385" s="15">
        <v>6</v>
      </c>
      <c r="AA385" s="46">
        <v>46259</v>
      </c>
      <c r="AB385" s="15"/>
      <c r="AC385" s="15"/>
      <c r="AD385" s="15"/>
      <c r="AE385" s="15"/>
      <c r="AF385" s="15"/>
      <c r="AG385" s="15"/>
      <c r="AH385" s="15"/>
      <c r="AI385" s="46"/>
      <c r="AJ385" s="51" t="s">
        <v>67</v>
      </c>
      <c r="AK385" s="51" t="s">
        <v>6121</v>
      </c>
      <c r="AL385" s="15">
        <v>849.8</v>
      </c>
      <c r="AM385" s="51" t="s">
        <v>67</v>
      </c>
      <c r="AN385" s="51" t="s">
        <v>67</v>
      </c>
      <c r="AO385" s="50" t="s">
        <v>9554</v>
      </c>
    </row>
    <row r="386" spans="1:41" hidden="1" x14ac:dyDescent="0.25">
      <c r="A386" s="51" t="s">
        <v>2948</v>
      </c>
      <c r="B386" s="51" t="s">
        <v>2949</v>
      </c>
      <c r="C386" s="54" t="s">
        <v>608</v>
      </c>
      <c r="D386" s="51" t="s">
        <v>2950</v>
      </c>
      <c r="E386" s="20">
        <v>8325.4500000000007</v>
      </c>
      <c r="F386" s="20">
        <v>9129.7999999999993</v>
      </c>
      <c r="G386" s="20">
        <v>6284.3</v>
      </c>
      <c r="H386" s="20">
        <v>3870.86</v>
      </c>
      <c r="I386" s="20">
        <v>8269.6</v>
      </c>
      <c r="J386" s="51" t="s">
        <v>6727</v>
      </c>
      <c r="K386" s="15">
        <v>37</v>
      </c>
      <c r="L386" s="51" t="s">
        <v>2369</v>
      </c>
      <c r="M386" s="51" t="s">
        <v>2951</v>
      </c>
      <c r="N386" s="51" t="s">
        <v>1340</v>
      </c>
      <c r="O386" s="51" t="s">
        <v>67</v>
      </c>
      <c r="P386" s="51" t="s">
        <v>67</v>
      </c>
      <c r="Q386" s="45">
        <v>46281.463238101853</v>
      </c>
      <c r="R386" s="46">
        <v>46315</v>
      </c>
      <c r="S386" s="46">
        <v>46310</v>
      </c>
      <c r="T386" s="51" t="s">
        <v>6119</v>
      </c>
      <c r="U386" s="15">
        <v>849.8</v>
      </c>
      <c r="V386" s="15">
        <v>3922.15</v>
      </c>
      <c r="W386" s="15">
        <v>36.39</v>
      </c>
      <c r="X386" s="15">
        <v>14.9</v>
      </c>
      <c r="Y386" s="15">
        <v>1.6620440000000001</v>
      </c>
      <c r="Z386" s="15">
        <v>6</v>
      </c>
      <c r="AA386" s="46">
        <v>46254</v>
      </c>
      <c r="AB386" s="15"/>
      <c r="AC386" s="15"/>
      <c r="AD386" s="15"/>
      <c r="AE386" s="15"/>
      <c r="AF386" s="15"/>
      <c r="AG386" s="15"/>
      <c r="AH386" s="15"/>
      <c r="AI386" s="46"/>
      <c r="AJ386" s="51" t="s">
        <v>6121</v>
      </c>
      <c r="AK386" s="51" t="s">
        <v>6121</v>
      </c>
      <c r="AL386" s="15">
        <v>849.8</v>
      </c>
      <c r="AM386" s="51" t="s">
        <v>67</v>
      </c>
      <c r="AN386" s="51" t="s">
        <v>67</v>
      </c>
      <c r="AO386" s="50" t="s">
        <v>9554</v>
      </c>
    </row>
    <row r="387" spans="1:41" hidden="1" x14ac:dyDescent="0.25">
      <c r="A387" s="51" t="s">
        <v>2952</v>
      </c>
      <c r="B387" s="51" t="s">
        <v>2953</v>
      </c>
      <c r="C387" s="54" t="s">
        <v>605</v>
      </c>
      <c r="D387" s="51" t="s">
        <v>2954</v>
      </c>
      <c r="E387" s="20">
        <v>11874.35</v>
      </c>
      <c r="F387" s="20">
        <v>809.03</v>
      </c>
      <c r="G387" s="20">
        <v>8531.43</v>
      </c>
      <c r="H387" s="20">
        <v>0</v>
      </c>
      <c r="I387" s="20">
        <v>809.03</v>
      </c>
      <c r="J387" s="51" t="s">
        <v>2654</v>
      </c>
      <c r="K387" s="15">
        <v>0</v>
      </c>
      <c r="L387" s="51" t="s">
        <v>2371</v>
      </c>
      <c r="M387" s="51" t="s">
        <v>2955</v>
      </c>
      <c r="N387" s="51" t="s">
        <v>1340</v>
      </c>
      <c r="O387" s="51" t="s">
        <v>67</v>
      </c>
      <c r="P387" s="51" t="s">
        <v>67</v>
      </c>
      <c r="Q387" s="45">
        <v>46281.463240150464</v>
      </c>
      <c r="R387" s="46">
        <v>46305</v>
      </c>
      <c r="S387" s="46">
        <v>46300</v>
      </c>
      <c r="T387" s="51" t="s">
        <v>6119</v>
      </c>
      <c r="U387" s="15"/>
      <c r="V387" s="15"/>
      <c r="W387" s="15"/>
      <c r="X387" s="15"/>
      <c r="Y387" s="15"/>
      <c r="Z387" s="15"/>
      <c r="AA387" s="46"/>
      <c r="AB387" s="15"/>
      <c r="AC387" s="15"/>
      <c r="AD387" s="15"/>
      <c r="AE387" s="15"/>
      <c r="AF387" s="15"/>
      <c r="AG387" s="15"/>
      <c r="AH387" s="15"/>
      <c r="AI387" s="46"/>
      <c r="AJ387" s="51" t="s">
        <v>67</v>
      </c>
      <c r="AK387" s="51" t="s">
        <v>67</v>
      </c>
      <c r="AL387" s="15"/>
      <c r="AM387" s="51" t="s">
        <v>67</v>
      </c>
      <c r="AN387" s="51" t="s">
        <v>67</v>
      </c>
      <c r="AO387" s="50" t="s">
        <v>9554</v>
      </c>
    </row>
    <row r="388" spans="1:41" hidden="1" x14ac:dyDescent="0.25">
      <c r="A388" s="51" t="s">
        <v>2956</v>
      </c>
      <c r="B388" s="51" t="s">
        <v>2957</v>
      </c>
      <c r="C388" s="54" t="s">
        <v>5596</v>
      </c>
      <c r="D388" s="51" t="s">
        <v>2958</v>
      </c>
      <c r="E388" s="20">
        <v>9953.18</v>
      </c>
      <c r="F388" s="20">
        <v>4583.7</v>
      </c>
      <c r="G388" s="20">
        <v>201.19</v>
      </c>
      <c r="H388" s="20">
        <v>3870.86</v>
      </c>
      <c r="I388" s="20">
        <v>4583.7</v>
      </c>
      <c r="J388" s="51" t="s">
        <v>6726</v>
      </c>
      <c r="K388" s="15">
        <v>21</v>
      </c>
      <c r="L388" s="51" t="s">
        <v>2369</v>
      </c>
      <c r="M388" s="51" t="s">
        <v>2959</v>
      </c>
      <c r="N388" s="51" t="s">
        <v>1340</v>
      </c>
      <c r="O388" s="51" t="s">
        <v>2960</v>
      </c>
      <c r="P388" s="51" t="s">
        <v>1340</v>
      </c>
      <c r="Q388" s="45">
        <v>46281.463241793979</v>
      </c>
      <c r="R388" s="46">
        <v>46300</v>
      </c>
      <c r="S388" s="46">
        <v>46295</v>
      </c>
      <c r="T388" s="51" t="s">
        <v>6119</v>
      </c>
      <c r="U388" s="15">
        <v>848.05</v>
      </c>
      <c r="V388" s="15">
        <v>3921.84</v>
      </c>
      <c r="W388" s="15">
        <v>36.08</v>
      </c>
      <c r="X388" s="15">
        <v>14.9</v>
      </c>
      <c r="Y388" s="15">
        <v>1.662307</v>
      </c>
      <c r="Z388" s="15">
        <v>6</v>
      </c>
      <c r="AA388" s="46">
        <v>46270</v>
      </c>
      <c r="AB388" s="15"/>
      <c r="AC388" s="15"/>
      <c r="AD388" s="15"/>
      <c r="AE388" s="15"/>
      <c r="AF388" s="15"/>
      <c r="AG388" s="15"/>
      <c r="AH388" s="15"/>
      <c r="AI388" s="46"/>
      <c r="AJ388" s="51" t="s">
        <v>6121</v>
      </c>
      <c r="AK388" s="51" t="s">
        <v>6121</v>
      </c>
      <c r="AL388" s="15">
        <v>848.05</v>
      </c>
      <c r="AM388" s="51" t="s">
        <v>67</v>
      </c>
      <c r="AN388" s="51" t="s">
        <v>67</v>
      </c>
      <c r="AO388" s="50" t="s">
        <v>9554</v>
      </c>
    </row>
    <row r="389" spans="1:41" hidden="1" x14ac:dyDescent="0.25">
      <c r="A389" s="51" t="s">
        <v>2961</v>
      </c>
      <c r="B389" s="51" t="s">
        <v>2962</v>
      </c>
      <c r="C389" s="54" t="s">
        <v>5596</v>
      </c>
      <c r="D389" s="51" t="s">
        <v>2963</v>
      </c>
      <c r="E389" s="20">
        <v>3571.91</v>
      </c>
      <c r="F389" s="20">
        <v>4856.09</v>
      </c>
      <c r="G389" s="20">
        <v>5407.42</v>
      </c>
      <c r="H389" s="20">
        <v>3870.86</v>
      </c>
      <c r="I389" s="20">
        <v>4856.08</v>
      </c>
      <c r="J389" s="51" t="s">
        <v>6727</v>
      </c>
      <c r="K389" s="15">
        <v>21</v>
      </c>
      <c r="L389" s="51" t="s">
        <v>2369</v>
      </c>
      <c r="M389" s="51" t="s">
        <v>2964</v>
      </c>
      <c r="N389" s="51" t="s">
        <v>1340</v>
      </c>
      <c r="O389" s="51" t="s">
        <v>67</v>
      </c>
      <c r="P389" s="51" t="s">
        <v>67</v>
      </c>
      <c r="Q389" s="45">
        <v>46281.463243796294</v>
      </c>
      <c r="R389" s="46">
        <v>46300</v>
      </c>
      <c r="S389" s="46">
        <v>46295</v>
      </c>
      <c r="T389" s="51" t="s">
        <v>6119</v>
      </c>
      <c r="U389" s="15">
        <v>848.05</v>
      </c>
      <c r="V389" s="15">
        <v>3921.84</v>
      </c>
      <c r="W389" s="15">
        <v>36.08</v>
      </c>
      <c r="X389" s="15">
        <v>14.9</v>
      </c>
      <c r="Y389" s="15">
        <v>1.662307</v>
      </c>
      <c r="Z389" s="15">
        <v>6</v>
      </c>
      <c r="AA389" s="46">
        <v>46270</v>
      </c>
      <c r="AB389" s="15"/>
      <c r="AC389" s="15"/>
      <c r="AD389" s="15"/>
      <c r="AE389" s="15"/>
      <c r="AF389" s="15"/>
      <c r="AG389" s="15"/>
      <c r="AH389" s="15"/>
      <c r="AI389" s="46"/>
      <c r="AJ389" s="51" t="s">
        <v>6121</v>
      </c>
      <c r="AK389" s="51" t="s">
        <v>6121</v>
      </c>
      <c r="AL389" s="15">
        <v>848.05</v>
      </c>
      <c r="AM389" s="51" t="s">
        <v>67</v>
      </c>
      <c r="AN389" s="51" t="s">
        <v>67</v>
      </c>
      <c r="AO389" s="50" t="s">
        <v>9554</v>
      </c>
    </row>
    <row r="390" spans="1:41" hidden="1" x14ac:dyDescent="0.25">
      <c r="A390" s="51" t="s">
        <v>2965</v>
      </c>
      <c r="B390" s="51" t="s">
        <v>2966</v>
      </c>
      <c r="C390" s="54" t="s">
        <v>607</v>
      </c>
      <c r="D390" s="51" t="s">
        <v>2967</v>
      </c>
      <c r="E390" s="20">
        <v>864.69</v>
      </c>
      <c r="F390" s="20">
        <v>4611.0600000000004</v>
      </c>
      <c r="G390" s="20">
        <v>13339.79</v>
      </c>
      <c r="H390" s="20">
        <v>3870.86</v>
      </c>
      <c r="I390" s="20">
        <v>4336.41</v>
      </c>
      <c r="J390" s="51" t="s">
        <v>6727</v>
      </c>
      <c r="K390" s="15">
        <v>11</v>
      </c>
      <c r="L390" s="51" t="s">
        <v>2369</v>
      </c>
      <c r="M390" s="51" t="s">
        <v>2968</v>
      </c>
      <c r="N390" s="51" t="s">
        <v>1340</v>
      </c>
      <c r="O390" s="51" t="s">
        <v>2969</v>
      </c>
      <c r="P390" s="51" t="s">
        <v>1340</v>
      </c>
      <c r="Q390" s="45">
        <v>46281.46324582176</v>
      </c>
      <c r="R390" s="46">
        <v>46310</v>
      </c>
      <c r="S390" s="46">
        <v>46305</v>
      </c>
      <c r="T390" s="51" t="s">
        <v>6119</v>
      </c>
      <c r="U390" s="15">
        <v>848.05</v>
      </c>
      <c r="V390" s="15">
        <v>3921.84</v>
      </c>
      <c r="W390" s="15">
        <v>36.08</v>
      </c>
      <c r="X390" s="15">
        <v>14.9</v>
      </c>
      <c r="Y390" s="15">
        <v>1.662307</v>
      </c>
      <c r="Z390" s="15">
        <v>6</v>
      </c>
      <c r="AA390" s="46">
        <v>46280</v>
      </c>
      <c r="AB390" s="15"/>
      <c r="AC390" s="15"/>
      <c r="AD390" s="15"/>
      <c r="AE390" s="15"/>
      <c r="AF390" s="15"/>
      <c r="AG390" s="15"/>
      <c r="AH390" s="15"/>
      <c r="AI390" s="46"/>
      <c r="AJ390" s="51" t="s">
        <v>6121</v>
      </c>
      <c r="AK390" s="51" t="s">
        <v>6121</v>
      </c>
      <c r="AL390" s="15">
        <v>848.05</v>
      </c>
      <c r="AM390" s="51" t="s">
        <v>67</v>
      </c>
      <c r="AN390" s="51" t="s">
        <v>67</v>
      </c>
      <c r="AO390" s="50" t="s">
        <v>9554</v>
      </c>
    </row>
    <row r="391" spans="1:41" hidden="1" x14ac:dyDescent="0.25">
      <c r="A391" s="51" t="s">
        <v>2970</v>
      </c>
      <c r="B391" s="51" t="s">
        <v>2971</v>
      </c>
      <c r="C391" s="54" t="s">
        <v>605</v>
      </c>
      <c r="D391" s="51" t="s">
        <v>2972</v>
      </c>
      <c r="E391" s="20">
        <v>9327.66</v>
      </c>
      <c r="F391" s="20">
        <v>2426.34</v>
      </c>
      <c r="G391" s="20">
        <v>586.4</v>
      </c>
      <c r="H391" s="20">
        <v>3870.86</v>
      </c>
      <c r="I391" s="20">
        <v>2426.34</v>
      </c>
      <c r="J391" s="51" t="s">
        <v>6726</v>
      </c>
      <c r="K391" s="15">
        <v>0</v>
      </c>
      <c r="L391" s="51" t="s">
        <v>2371</v>
      </c>
      <c r="M391" s="51" t="s">
        <v>2973</v>
      </c>
      <c r="N391" s="51" t="s">
        <v>1340</v>
      </c>
      <c r="O391" s="51" t="s">
        <v>2974</v>
      </c>
      <c r="P391" s="51" t="s">
        <v>1340</v>
      </c>
      <c r="Q391" s="45">
        <v>46281.463247719905</v>
      </c>
      <c r="R391" s="46">
        <v>46305</v>
      </c>
      <c r="S391" s="46">
        <v>46300</v>
      </c>
      <c r="T391" s="51" t="s">
        <v>6119</v>
      </c>
      <c r="U391" s="15">
        <v>848.05</v>
      </c>
      <c r="V391" s="15">
        <v>3921.84</v>
      </c>
      <c r="W391" s="15">
        <v>36.08</v>
      </c>
      <c r="X391" s="15">
        <v>14.9</v>
      </c>
      <c r="Y391" s="15">
        <v>1.662307</v>
      </c>
      <c r="Z391" s="15">
        <v>6</v>
      </c>
      <c r="AA391" s="46">
        <v>46275</v>
      </c>
      <c r="AB391" s="15"/>
      <c r="AC391" s="15"/>
      <c r="AD391" s="15"/>
      <c r="AE391" s="15"/>
      <c r="AF391" s="15"/>
      <c r="AG391" s="15"/>
      <c r="AH391" s="15"/>
      <c r="AI391" s="46"/>
      <c r="AJ391" s="51" t="s">
        <v>67</v>
      </c>
      <c r="AK391" s="51" t="s">
        <v>6121</v>
      </c>
      <c r="AL391" s="15">
        <v>848.05</v>
      </c>
      <c r="AM391" s="51" t="s">
        <v>6705</v>
      </c>
      <c r="AN391" s="51" t="s">
        <v>6713</v>
      </c>
      <c r="AO391" s="50" t="s">
        <v>9554</v>
      </c>
    </row>
    <row r="392" spans="1:41" hidden="1" x14ac:dyDescent="0.25">
      <c r="A392" s="51" t="s">
        <v>2975</v>
      </c>
      <c r="B392" s="51" t="s">
        <v>2976</v>
      </c>
      <c r="C392" s="54" t="s">
        <v>605</v>
      </c>
      <c r="D392" s="51" t="s">
        <v>2977</v>
      </c>
      <c r="E392" s="20">
        <v>2597.8200000000002</v>
      </c>
      <c r="F392" s="20">
        <v>802.15</v>
      </c>
      <c r="G392" s="20">
        <v>3122.18</v>
      </c>
      <c r="H392" s="20">
        <v>0</v>
      </c>
      <c r="I392" s="20">
        <v>802.15</v>
      </c>
      <c r="J392" s="51" t="s">
        <v>2654</v>
      </c>
      <c r="K392" s="15">
        <v>0</v>
      </c>
      <c r="L392" s="51" t="s">
        <v>2371</v>
      </c>
      <c r="M392" s="51" t="s">
        <v>2978</v>
      </c>
      <c r="N392" s="51" t="s">
        <v>1340</v>
      </c>
      <c r="O392" s="51" t="s">
        <v>67</v>
      </c>
      <c r="P392" s="51" t="s">
        <v>67</v>
      </c>
      <c r="Q392" s="45">
        <v>46281.463249502318</v>
      </c>
      <c r="R392" s="46">
        <v>46305</v>
      </c>
      <c r="S392" s="46">
        <v>46300</v>
      </c>
      <c r="T392" s="51" t="s">
        <v>6119</v>
      </c>
      <c r="U392" s="15"/>
      <c r="V392" s="15"/>
      <c r="W392" s="15"/>
      <c r="X392" s="15"/>
      <c r="Y392" s="15"/>
      <c r="Z392" s="15"/>
      <c r="AA392" s="46"/>
      <c r="AB392" s="15"/>
      <c r="AC392" s="15"/>
      <c r="AD392" s="15"/>
      <c r="AE392" s="15"/>
      <c r="AF392" s="15"/>
      <c r="AG392" s="15"/>
      <c r="AH392" s="15"/>
      <c r="AI392" s="46"/>
      <c r="AJ392" s="51" t="s">
        <v>67</v>
      </c>
      <c r="AK392" s="51" t="s">
        <v>67</v>
      </c>
      <c r="AL392" s="15"/>
      <c r="AM392" s="51" t="s">
        <v>67</v>
      </c>
      <c r="AN392" s="51" t="s">
        <v>67</v>
      </c>
      <c r="AO392" s="50" t="s">
        <v>9554</v>
      </c>
    </row>
    <row r="393" spans="1:41" hidden="1" x14ac:dyDescent="0.25">
      <c r="A393" s="51" t="s">
        <v>2979</v>
      </c>
      <c r="B393" s="51" t="s">
        <v>2980</v>
      </c>
      <c r="C393" s="54" t="s">
        <v>605</v>
      </c>
      <c r="D393" s="51" t="s">
        <v>2981</v>
      </c>
      <c r="E393" s="20">
        <v>6718.73</v>
      </c>
      <c r="F393" s="20">
        <v>828.95</v>
      </c>
      <c r="G393" s="20">
        <v>6025.07</v>
      </c>
      <c r="H393" s="20">
        <v>0</v>
      </c>
      <c r="I393" s="20">
        <v>828.95</v>
      </c>
      <c r="J393" s="51" t="s">
        <v>2654</v>
      </c>
      <c r="K393" s="15">
        <v>0</v>
      </c>
      <c r="L393" s="51" t="s">
        <v>2371</v>
      </c>
      <c r="M393" s="51" t="s">
        <v>2982</v>
      </c>
      <c r="N393" s="51" t="s">
        <v>1340</v>
      </c>
      <c r="O393" s="51" t="s">
        <v>67</v>
      </c>
      <c r="P393" s="51" t="s">
        <v>67</v>
      </c>
      <c r="Q393" s="45">
        <v>46281.463251168978</v>
      </c>
      <c r="R393" s="46">
        <v>46305</v>
      </c>
      <c r="S393" s="46">
        <v>46300</v>
      </c>
      <c r="T393" s="51" t="s">
        <v>6119</v>
      </c>
      <c r="U393" s="15"/>
      <c r="V393" s="15"/>
      <c r="W393" s="15"/>
      <c r="X393" s="15"/>
      <c r="Y393" s="15"/>
      <c r="Z393" s="15"/>
      <c r="AA393" s="46"/>
      <c r="AB393" s="15"/>
      <c r="AC393" s="15"/>
      <c r="AD393" s="15"/>
      <c r="AE393" s="15"/>
      <c r="AF393" s="15"/>
      <c r="AG393" s="15"/>
      <c r="AH393" s="15"/>
      <c r="AI393" s="46"/>
      <c r="AJ393" s="51" t="s">
        <v>67</v>
      </c>
      <c r="AK393" s="51" t="s">
        <v>67</v>
      </c>
      <c r="AL393" s="15"/>
      <c r="AM393" s="51" t="s">
        <v>67</v>
      </c>
      <c r="AN393" s="51" t="s">
        <v>67</v>
      </c>
      <c r="AO393" s="50" t="s">
        <v>9554</v>
      </c>
    </row>
    <row r="394" spans="1:41" hidden="1" x14ac:dyDescent="0.25">
      <c r="A394" s="51" t="s">
        <v>2983</v>
      </c>
      <c r="B394" s="51" t="s">
        <v>2984</v>
      </c>
      <c r="C394" s="54" t="s">
        <v>607</v>
      </c>
      <c r="D394" s="51" t="s">
        <v>2985</v>
      </c>
      <c r="E394" s="20">
        <v>945.16</v>
      </c>
      <c r="F394" s="20">
        <v>4985.41</v>
      </c>
      <c r="G394" s="20">
        <v>468.57</v>
      </c>
      <c r="H394" s="20">
        <v>3870.86</v>
      </c>
      <c r="I394" s="20">
        <v>4199.12</v>
      </c>
      <c r="J394" s="51" t="s">
        <v>6727</v>
      </c>
      <c r="K394" s="15">
        <v>11</v>
      </c>
      <c r="L394" s="51" t="s">
        <v>2369</v>
      </c>
      <c r="M394" s="51" t="s">
        <v>2986</v>
      </c>
      <c r="N394" s="51" t="s">
        <v>1340</v>
      </c>
      <c r="O394" s="51" t="s">
        <v>2987</v>
      </c>
      <c r="P394" s="51" t="s">
        <v>1340</v>
      </c>
      <c r="Q394" s="45">
        <v>46281.46325267361</v>
      </c>
      <c r="R394" s="46">
        <v>46310</v>
      </c>
      <c r="S394" s="46">
        <v>46305</v>
      </c>
      <c r="T394" s="51" t="s">
        <v>6119</v>
      </c>
      <c r="U394" s="15">
        <v>848.05</v>
      </c>
      <c r="V394" s="15">
        <v>3921.84</v>
      </c>
      <c r="W394" s="15">
        <v>36.08</v>
      </c>
      <c r="X394" s="15">
        <v>14.9</v>
      </c>
      <c r="Y394" s="15">
        <v>1.662307</v>
      </c>
      <c r="Z394" s="15">
        <v>6</v>
      </c>
      <c r="AA394" s="46">
        <v>46280</v>
      </c>
      <c r="AB394" s="15"/>
      <c r="AC394" s="15"/>
      <c r="AD394" s="15"/>
      <c r="AE394" s="15"/>
      <c r="AF394" s="15"/>
      <c r="AG394" s="15"/>
      <c r="AH394" s="15"/>
      <c r="AI394" s="46"/>
      <c r="AJ394" s="51" t="s">
        <v>6121</v>
      </c>
      <c r="AK394" s="51" t="s">
        <v>6121</v>
      </c>
      <c r="AL394" s="15">
        <v>848.05</v>
      </c>
      <c r="AM394" s="51" t="s">
        <v>67</v>
      </c>
      <c r="AN394" s="51" t="s">
        <v>67</v>
      </c>
      <c r="AO394" s="50" t="s">
        <v>9554</v>
      </c>
    </row>
    <row r="395" spans="1:41" hidden="1" x14ac:dyDescent="0.25">
      <c r="A395" s="51" t="s">
        <v>2988</v>
      </c>
      <c r="B395" s="51" t="s">
        <v>2989</v>
      </c>
      <c r="C395" s="54" t="s">
        <v>611</v>
      </c>
      <c r="D395" s="51" t="s">
        <v>2990</v>
      </c>
      <c r="E395" s="20">
        <v>3098.96</v>
      </c>
      <c r="F395" s="20">
        <v>6095.61</v>
      </c>
      <c r="G395" s="20">
        <v>9202.42</v>
      </c>
      <c r="H395" s="20">
        <v>5316.63</v>
      </c>
      <c r="I395" s="20">
        <v>6095.61</v>
      </c>
      <c r="J395" s="51" t="s">
        <v>6727</v>
      </c>
      <c r="K395" s="15">
        <v>32</v>
      </c>
      <c r="L395" s="51" t="s">
        <v>2369</v>
      </c>
      <c r="M395" s="51" t="s">
        <v>2991</v>
      </c>
      <c r="N395" s="51" t="s">
        <v>1344</v>
      </c>
      <c r="O395" s="51" t="s">
        <v>2992</v>
      </c>
      <c r="P395" s="51" t="s">
        <v>1344</v>
      </c>
      <c r="Q395" s="45">
        <v>46281.463254675924</v>
      </c>
      <c r="R395" s="46">
        <v>46320</v>
      </c>
      <c r="S395" s="46">
        <v>46315</v>
      </c>
      <c r="T395" s="51" t="s">
        <v>6119</v>
      </c>
      <c r="U395" s="15">
        <v>849.8</v>
      </c>
      <c r="V395" s="15">
        <v>3922.15</v>
      </c>
      <c r="W395" s="15">
        <v>36.39</v>
      </c>
      <c r="X395" s="15">
        <v>14.9</v>
      </c>
      <c r="Y395" s="15">
        <v>1.6620440000000001</v>
      </c>
      <c r="Z395" s="15">
        <v>6</v>
      </c>
      <c r="AA395" s="46">
        <v>46259</v>
      </c>
      <c r="AB395" s="15"/>
      <c r="AC395" s="15"/>
      <c r="AD395" s="15"/>
      <c r="AE395" s="15"/>
      <c r="AF395" s="15"/>
      <c r="AG395" s="15"/>
      <c r="AH395" s="15"/>
      <c r="AI395" s="46"/>
      <c r="AJ395" s="51" t="s">
        <v>6121</v>
      </c>
      <c r="AK395" s="51" t="s">
        <v>6121</v>
      </c>
      <c r="AL395" s="15">
        <v>849.8</v>
      </c>
      <c r="AM395" s="51" t="s">
        <v>67</v>
      </c>
      <c r="AN395" s="51" t="s">
        <v>67</v>
      </c>
      <c r="AO395" s="50" t="s">
        <v>9554</v>
      </c>
    </row>
    <row r="396" spans="1:41" hidden="1" x14ac:dyDescent="0.25">
      <c r="A396" s="51" t="s">
        <v>2993</v>
      </c>
      <c r="B396" s="51" t="s">
        <v>2994</v>
      </c>
      <c r="C396" s="54" t="s">
        <v>608</v>
      </c>
      <c r="D396" s="51" t="s">
        <v>2995</v>
      </c>
      <c r="E396" s="20">
        <v>11571.59</v>
      </c>
      <c r="F396" s="20">
        <v>117.61</v>
      </c>
      <c r="G396" s="20">
        <v>19140.8</v>
      </c>
      <c r="H396" s="20">
        <v>0</v>
      </c>
      <c r="I396" s="20">
        <v>529.21</v>
      </c>
      <c r="J396" s="51" t="s">
        <v>2654</v>
      </c>
      <c r="K396" s="15">
        <v>0</v>
      </c>
      <c r="L396" s="51" t="s">
        <v>2371</v>
      </c>
      <c r="M396" s="51" t="s">
        <v>2996</v>
      </c>
      <c r="N396" s="51" t="s">
        <v>1344</v>
      </c>
      <c r="O396" s="51" t="s">
        <v>67</v>
      </c>
      <c r="P396" s="51" t="s">
        <v>67</v>
      </c>
      <c r="Q396" s="45">
        <v>46281.463256759256</v>
      </c>
      <c r="R396" s="46">
        <v>46315</v>
      </c>
      <c r="S396" s="46">
        <v>46310</v>
      </c>
      <c r="T396" s="51" t="s">
        <v>6119</v>
      </c>
      <c r="U396" s="15"/>
      <c r="V396" s="15"/>
      <c r="W396" s="15"/>
      <c r="X396" s="15"/>
      <c r="Y396" s="15"/>
      <c r="Z396" s="15"/>
      <c r="AA396" s="46"/>
      <c r="AB396" s="15"/>
      <c r="AC396" s="15"/>
      <c r="AD396" s="15"/>
      <c r="AE396" s="15"/>
      <c r="AF396" s="15"/>
      <c r="AG396" s="15"/>
      <c r="AH396" s="15"/>
      <c r="AI396" s="46"/>
      <c r="AJ396" s="51" t="s">
        <v>67</v>
      </c>
      <c r="AK396" s="51" t="s">
        <v>67</v>
      </c>
      <c r="AL396" s="15"/>
      <c r="AM396" s="51" t="s">
        <v>67</v>
      </c>
      <c r="AN396" s="51" t="s">
        <v>67</v>
      </c>
      <c r="AO396" s="50" t="s">
        <v>9554</v>
      </c>
    </row>
    <row r="397" spans="1:41" hidden="1" x14ac:dyDescent="0.25">
      <c r="A397" s="51" t="s">
        <v>2997</v>
      </c>
      <c r="B397" s="51" t="s">
        <v>2998</v>
      </c>
      <c r="C397" s="54" t="s">
        <v>608</v>
      </c>
      <c r="D397" s="51" t="s">
        <v>2999</v>
      </c>
      <c r="E397" s="20">
        <v>9283.83</v>
      </c>
      <c r="F397" s="20">
        <v>6483.37</v>
      </c>
      <c r="G397" s="20">
        <v>-1162.17</v>
      </c>
      <c r="H397" s="20">
        <v>3870.86</v>
      </c>
      <c r="I397" s="20">
        <v>4762.99</v>
      </c>
      <c r="J397" s="51" t="s">
        <v>6726</v>
      </c>
      <c r="K397" s="15">
        <v>0</v>
      </c>
      <c r="L397" s="51" t="s">
        <v>2371</v>
      </c>
      <c r="M397" s="51" t="s">
        <v>3000</v>
      </c>
      <c r="N397" s="51" t="s">
        <v>1344</v>
      </c>
      <c r="O397" s="51" t="s">
        <v>3001</v>
      </c>
      <c r="P397" s="51" t="s">
        <v>1344</v>
      </c>
      <c r="Q397" s="45">
        <v>46281.463258379626</v>
      </c>
      <c r="R397" s="46">
        <v>46315</v>
      </c>
      <c r="S397" s="46">
        <v>46310</v>
      </c>
      <c r="T397" s="51" t="s">
        <v>6119</v>
      </c>
      <c r="U397" s="15">
        <v>849.8</v>
      </c>
      <c r="V397" s="15">
        <v>3922.15</v>
      </c>
      <c r="W397" s="15">
        <v>36.39</v>
      </c>
      <c r="X397" s="15">
        <v>14.9</v>
      </c>
      <c r="Y397" s="15">
        <v>1.6620440000000001</v>
      </c>
      <c r="Z397" s="15">
        <v>6</v>
      </c>
      <c r="AA397" s="46">
        <v>46254</v>
      </c>
      <c r="AB397" s="15"/>
      <c r="AC397" s="15"/>
      <c r="AD397" s="15"/>
      <c r="AE397" s="15"/>
      <c r="AF397" s="15"/>
      <c r="AG397" s="15"/>
      <c r="AH397" s="15"/>
      <c r="AI397" s="46"/>
      <c r="AJ397" s="51" t="s">
        <v>67</v>
      </c>
      <c r="AK397" s="51" t="s">
        <v>6121</v>
      </c>
      <c r="AL397" s="15">
        <v>849.8</v>
      </c>
      <c r="AM397" s="51" t="s">
        <v>6705</v>
      </c>
      <c r="AN397" s="51" t="s">
        <v>6713</v>
      </c>
      <c r="AO397" s="50" t="s">
        <v>9554</v>
      </c>
    </row>
    <row r="398" spans="1:41" hidden="1" x14ac:dyDescent="0.25">
      <c r="A398" s="51" t="s">
        <v>3002</v>
      </c>
      <c r="B398" s="51" t="s">
        <v>3003</v>
      </c>
      <c r="C398" s="54" t="s">
        <v>608</v>
      </c>
      <c r="D398" s="51" t="s">
        <v>3004</v>
      </c>
      <c r="E398" s="20">
        <v>8535</v>
      </c>
      <c r="F398" s="20">
        <v>221.39</v>
      </c>
      <c r="G398" s="20">
        <v>11779.8</v>
      </c>
      <c r="H398" s="20">
        <v>0</v>
      </c>
      <c r="I398" s="20">
        <v>664.16</v>
      </c>
      <c r="J398" s="51" t="s">
        <v>2654</v>
      </c>
      <c r="K398" s="15">
        <v>0</v>
      </c>
      <c r="L398" s="51" t="s">
        <v>2371</v>
      </c>
      <c r="M398" s="51" t="s">
        <v>3005</v>
      </c>
      <c r="N398" s="51" t="s">
        <v>1340</v>
      </c>
      <c r="O398" s="51" t="s">
        <v>67</v>
      </c>
      <c r="P398" s="51" t="s">
        <v>67</v>
      </c>
      <c r="Q398" s="45">
        <v>46281.463260231481</v>
      </c>
      <c r="R398" s="46">
        <v>46315</v>
      </c>
      <c r="S398" s="46">
        <v>46310</v>
      </c>
      <c r="T398" s="51" t="s">
        <v>6119</v>
      </c>
      <c r="U398" s="15"/>
      <c r="V398" s="15"/>
      <c r="W398" s="15"/>
      <c r="X398" s="15"/>
      <c r="Y398" s="15"/>
      <c r="Z398" s="15"/>
      <c r="AA398" s="46"/>
      <c r="AB398" s="15"/>
      <c r="AC398" s="15"/>
      <c r="AD398" s="15"/>
      <c r="AE398" s="15"/>
      <c r="AF398" s="15"/>
      <c r="AG398" s="15"/>
      <c r="AH398" s="15"/>
      <c r="AI398" s="46"/>
      <c r="AJ398" s="51" t="s">
        <v>67</v>
      </c>
      <c r="AK398" s="51" t="s">
        <v>67</v>
      </c>
      <c r="AL398" s="15"/>
      <c r="AM398" s="51" t="s">
        <v>67</v>
      </c>
      <c r="AN398" s="51" t="s">
        <v>67</v>
      </c>
      <c r="AO398" s="50" t="s">
        <v>9554</v>
      </c>
    </row>
    <row r="399" spans="1:41" hidden="1" x14ac:dyDescent="0.25">
      <c r="A399" s="51" t="s">
        <v>3006</v>
      </c>
      <c r="B399" s="51" t="s">
        <v>3007</v>
      </c>
      <c r="C399" s="54" t="s">
        <v>605</v>
      </c>
      <c r="D399" s="51" t="s">
        <v>3008</v>
      </c>
      <c r="E399" s="20">
        <v>11154.44</v>
      </c>
      <c r="F399" s="20">
        <v>1728.06</v>
      </c>
      <c r="G399" s="20">
        <v>2725.67</v>
      </c>
      <c r="H399" s="20">
        <v>3870.86</v>
      </c>
      <c r="I399" s="20">
        <v>1728.06</v>
      </c>
      <c r="J399" s="51" t="s">
        <v>6726</v>
      </c>
      <c r="K399" s="15">
        <v>0</v>
      </c>
      <c r="L399" s="51" t="s">
        <v>2371</v>
      </c>
      <c r="M399" s="51" t="s">
        <v>3009</v>
      </c>
      <c r="N399" s="51" t="s">
        <v>1340</v>
      </c>
      <c r="O399" s="51" t="s">
        <v>3010</v>
      </c>
      <c r="P399" s="51" t="s">
        <v>1340</v>
      </c>
      <c r="Q399" s="45">
        <v>46281.463261759258</v>
      </c>
      <c r="R399" s="46">
        <v>46305</v>
      </c>
      <c r="S399" s="46">
        <v>46300</v>
      </c>
      <c r="T399" s="51" t="s">
        <v>6119</v>
      </c>
      <c r="U399" s="15">
        <v>848.05</v>
      </c>
      <c r="V399" s="15">
        <v>3921.84</v>
      </c>
      <c r="W399" s="15">
        <v>36.08</v>
      </c>
      <c r="X399" s="15">
        <v>14.9</v>
      </c>
      <c r="Y399" s="15">
        <v>1.662307</v>
      </c>
      <c r="Z399" s="15">
        <v>6</v>
      </c>
      <c r="AA399" s="46">
        <v>46275</v>
      </c>
      <c r="AB399" s="15"/>
      <c r="AC399" s="15"/>
      <c r="AD399" s="15"/>
      <c r="AE399" s="15"/>
      <c r="AF399" s="15"/>
      <c r="AG399" s="15"/>
      <c r="AH399" s="15"/>
      <c r="AI399" s="46"/>
      <c r="AJ399" s="51" t="s">
        <v>67</v>
      </c>
      <c r="AK399" s="51" t="s">
        <v>6121</v>
      </c>
      <c r="AL399" s="15">
        <v>848.05</v>
      </c>
      <c r="AM399" s="51" t="s">
        <v>6705</v>
      </c>
      <c r="AN399" s="51" t="s">
        <v>6713</v>
      </c>
      <c r="AO399" s="50" t="s">
        <v>9554</v>
      </c>
    </row>
    <row r="400" spans="1:41" hidden="1" x14ac:dyDescent="0.25">
      <c r="A400" s="51" t="s">
        <v>3011</v>
      </c>
      <c r="B400" s="51" t="s">
        <v>3012</v>
      </c>
      <c r="C400" s="54" t="s">
        <v>608</v>
      </c>
      <c r="D400" s="51" t="s">
        <v>3013</v>
      </c>
      <c r="E400" s="20">
        <v>1558.41</v>
      </c>
      <c r="F400" s="20">
        <v>0</v>
      </c>
      <c r="G400" s="20">
        <v>9232.0499999999993</v>
      </c>
      <c r="H400" s="20">
        <v>0</v>
      </c>
      <c r="I400" s="20">
        <v>782.27</v>
      </c>
      <c r="J400" s="51" t="s">
        <v>2654</v>
      </c>
      <c r="K400" s="15">
        <v>0</v>
      </c>
      <c r="L400" s="51" t="s">
        <v>2371</v>
      </c>
      <c r="M400" s="51" t="s">
        <v>3014</v>
      </c>
      <c r="N400" s="51" t="s">
        <v>1340</v>
      </c>
      <c r="O400" s="51" t="s">
        <v>3015</v>
      </c>
      <c r="P400" s="51" t="s">
        <v>1340</v>
      </c>
      <c r="Q400" s="45">
        <v>46281.463263703707</v>
      </c>
      <c r="R400" s="46">
        <v>46315</v>
      </c>
      <c r="S400" s="46">
        <v>46310</v>
      </c>
      <c r="T400" s="51" t="s">
        <v>6119</v>
      </c>
      <c r="U400" s="15"/>
      <c r="V400" s="15"/>
      <c r="W400" s="15"/>
      <c r="X400" s="15"/>
      <c r="Y400" s="15"/>
      <c r="Z400" s="15"/>
      <c r="AA400" s="46"/>
      <c r="AB400" s="15"/>
      <c r="AC400" s="15"/>
      <c r="AD400" s="15"/>
      <c r="AE400" s="15"/>
      <c r="AF400" s="15"/>
      <c r="AG400" s="15"/>
      <c r="AH400" s="15"/>
      <c r="AI400" s="46"/>
      <c r="AJ400" s="51" t="s">
        <v>67</v>
      </c>
      <c r="AK400" s="51" t="s">
        <v>67</v>
      </c>
      <c r="AL400" s="15"/>
      <c r="AM400" s="51" t="s">
        <v>67</v>
      </c>
      <c r="AN400" s="51" t="s">
        <v>67</v>
      </c>
      <c r="AO400" s="50" t="s">
        <v>9554</v>
      </c>
    </row>
    <row r="401" spans="1:41" hidden="1" x14ac:dyDescent="0.25">
      <c r="A401" s="51" t="s">
        <v>3016</v>
      </c>
      <c r="B401" s="51" t="s">
        <v>3017</v>
      </c>
      <c r="C401" s="54" t="s">
        <v>605</v>
      </c>
      <c r="D401" s="51" t="s">
        <v>3018</v>
      </c>
      <c r="E401" s="20">
        <v>2062.94</v>
      </c>
      <c r="F401" s="20">
        <v>5067.1499999999996</v>
      </c>
      <c r="G401" s="20">
        <v>9564.91</v>
      </c>
      <c r="H401" s="20">
        <v>3870.86</v>
      </c>
      <c r="I401" s="20">
        <v>5067.1499999999996</v>
      </c>
      <c r="J401" s="51" t="s">
        <v>6727</v>
      </c>
      <c r="K401" s="15">
        <v>16</v>
      </c>
      <c r="L401" s="51" t="s">
        <v>2369</v>
      </c>
      <c r="M401" s="51" t="s">
        <v>3019</v>
      </c>
      <c r="N401" s="51" t="s">
        <v>1340</v>
      </c>
      <c r="O401" s="51" t="s">
        <v>67</v>
      </c>
      <c r="P401" s="51" t="s">
        <v>67</v>
      </c>
      <c r="Q401" s="45">
        <v>46281.463265289349</v>
      </c>
      <c r="R401" s="46">
        <v>46305</v>
      </c>
      <c r="S401" s="46">
        <v>46300</v>
      </c>
      <c r="T401" s="51" t="s">
        <v>6119</v>
      </c>
      <c r="U401" s="15">
        <v>848.05</v>
      </c>
      <c r="V401" s="15">
        <v>3921.84</v>
      </c>
      <c r="W401" s="15">
        <v>36.08</v>
      </c>
      <c r="X401" s="15">
        <v>14.9</v>
      </c>
      <c r="Y401" s="15">
        <v>1.662307</v>
      </c>
      <c r="Z401" s="15">
        <v>6</v>
      </c>
      <c r="AA401" s="46">
        <v>46275</v>
      </c>
      <c r="AB401" s="15"/>
      <c r="AC401" s="15"/>
      <c r="AD401" s="15"/>
      <c r="AE401" s="15"/>
      <c r="AF401" s="15"/>
      <c r="AG401" s="15"/>
      <c r="AH401" s="15"/>
      <c r="AI401" s="46"/>
      <c r="AJ401" s="51" t="s">
        <v>6121</v>
      </c>
      <c r="AK401" s="51" t="s">
        <v>6121</v>
      </c>
      <c r="AL401" s="15">
        <v>848.05</v>
      </c>
      <c r="AM401" s="51" t="s">
        <v>67</v>
      </c>
      <c r="AN401" s="51" t="s">
        <v>67</v>
      </c>
      <c r="AO401" s="50" t="s">
        <v>9554</v>
      </c>
    </row>
    <row r="402" spans="1:41" hidden="1" x14ac:dyDescent="0.25">
      <c r="A402" s="51" t="s">
        <v>3020</v>
      </c>
      <c r="B402" s="51" t="s">
        <v>3021</v>
      </c>
      <c r="C402" s="54" t="s">
        <v>608</v>
      </c>
      <c r="D402" s="51" t="s">
        <v>3022</v>
      </c>
      <c r="E402" s="20">
        <v>6199.36</v>
      </c>
      <c r="F402" s="20">
        <v>4349.21</v>
      </c>
      <c r="G402" s="20">
        <v>16902.490000000002</v>
      </c>
      <c r="H402" s="20">
        <v>3870.86</v>
      </c>
      <c r="I402" s="20">
        <v>478.35</v>
      </c>
      <c r="J402" s="51" t="s">
        <v>6724</v>
      </c>
      <c r="K402" s="15">
        <v>0</v>
      </c>
      <c r="L402" s="51" t="s">
        <v>2371</v>
      </c>
      <c r="M402" s="51" t="s">
        <v>3023</v>
      </c>
      <c r="N402" s="51" t="s">
        <v>1340</v>
      </c>
      <c r="O402" s="51" t="s">
        <v>3024</v>
      </c>
      <c r="P402" s="51" t="s">
        <v>1340</v>
      </c>
      <c r="Q402" s="45">
        <v>46281.463267187501</v>
      </c>
      <c r="R402" s="46">
        <v>46315</v>
      </c>
      <c r="S402" s="46">
        <v>46310</v>
      </c>
      <c r="T402" s="51" t="s">
        <v>6119</v>
      </c>
      <c r="U402" s="15">
        <v>849.8</v>
      </c>
      <c r="V402" s="15">
        <v>3922.15</v>
      </c>
      <c r="W402" s="15">
        <v>36.39</v>
      </c>
      <c r="X402" s="15">
        <v>14.9</v>
      </c>
      <c r="Y402" s="15">
        <v>1.6620440000000001</v>
      </c>
      <c r="Z402" s="15">
        <v>6</v>
      </c>
      <c r="AA402" s="46">
        <v>46254</v>
      </c>
      <c r="AB402" s="15"/>
      <c r="AC402" s="15"/>
      <c r="AD402" s="15"/>
      <c r="AE402" s="15"/>
      <c r="AF402" s="15"/>
      <c r="AG402" s="15"/>
      <c r="AH402" s="15"/>
      <c r="AI402" s="46"/>
      <c r="AJ402" s="51" t="s">
        <v>67</v>
      </c>
      <c r="AK402" s="51" t="s">
        <v>6121</v>
      </c>
      <c r="AL402" s="15">
        <v>849.8</v>
      </c>
      <c r="AM402" s="51" t="s">
        <v>6705</v>
      </c>
      <c r="AN402" s="51" t="s">
        <v>6715</v>
      </c>
      <c r="AO402" s="50" t="s">
        <v>9554</v>
      </c>
    </row>
    <row r="403" spans="1:41" hidden="1" x14ac:dyDescent="0.25">
      <c r="A403" s="51" t="s">
        <v>3025</v>
      </c>
      <c r="B403" s="51" t="s">
        <v>3026</v>
      </c>
      <c r="C403" s="54" t="s">
        <v>607</v>
      </c>
      <c r="D403" s="51" t="s">
        <v>3027</v>
      </c>
      <c r="E403" s="20">
        <v>4198.1099999999997</v>
      </c>
      <c r="F403" s="20">
        <v>665.32</v>
      </c>
      <c r="G403" s="20">
        <v>1473.23</v>
      </c>
      <c r="H403" s="20">
        <v>0</v>
      </c>
      <c r="I403" s="20">
        <v>665.32</v>
      </c>
      <c r="J403" s="51" t="s">
        <v>2654</v>
      </c>
      <c r="K403" s="15">
        <v>0</v>
      </c>
      <c r="L403" s="51" t="s">
        <v>2371</v>
      </c>
      <c r="M403" s="51" t="s">
        <v>3028</v>
      </c>
      <c r="N403" s="51" t="s">
        <v>1340</v>
      </c>
      <c r="O403" s="51" t="s">
        <v>3029</v>
      </c>
      <c r="P403" s="51" t="s">
        <v>1340</v>
      </c>
      <c r="Q403" s="45">
        <v>46281.463269479165</v>
      </c>
      <c r="R403" s="46">
        <v>46310</v>
      </c>
      <c r="S403" s="46">
        <v>46305</v>
      </c>
      <c r="T403" s="51" t="s">
        <v>6119</v>
      </c>
      <c r="U403" s="15"/>
      <c r="V403" s="15"/>
      <c r="W403" s="15"/>
      <c r="X403" s="15"/>
      <c r="Y403" s="15"/>
      <c r="Z403" s="15"/>
      <c r="AA403" s="46"/>
      <c r="AB403" s="15"/>
      <c r="AC403" s="15"/>
      <c r="AD403" s="15"/>
      <c r="AE403" s="15"/>
      <c r="AF403" s="15"/>
      <c r="AG403" s="15"/>
      <c r="AH403" s="15"/>
      <c r="AI403" s="46"/>
      <c r="AJ403" s="51" t="s">
        <v>67</v>
      </c>
      <c r="AK403" s="51" t="s">
        <v>67</v>
      </c>
      <c r="AL403" s="15"/>
      <c r="AM403" s="51" t="s">
        <v>67</v>
      </c>
      <c r="AN403" s="51" t="s">
        <v>67</v>
      </c>
      <c r="AO403" s="50" t="s">
        <v>9554</v>
      </c>
    </row>
    <row r="404" spans="1:41" hidden="1" x14ac:dyDescent="0.25">
      <c r="A404" s="51" t="s">
        <v>3030</v>
      </c>
      <c r="B404" s="51" t="s">
        <v>3031</v>
      </c>
      <c r="C404" s="54" t="s">
        <v>5596</v>
      </c>
      <c r="D404" s="51" t="s">
        <v>3032</v>
      </c>
      <c r="E404" s="20">
        <v>7410.75</v>
      </c>
      <c r="F404" s="20">
        <v>4910.01</v>
      </c>
      <c r="G404" s="20">
        <v>6985.47</v>
      </c>
      <c r="H404" s="20">
        <v>3870.86</v>
      </c>
      <c r="I404" s="20">
        <v>4910</v>
      </c>
      <c r="J404" s="51" t="s">
        <v>6727</v>
      </c>
      <c r="K404" s="15">
        <v>21</v>
      </c>
      <c r="L404" s="51" t="s">
        <v>2369</v>
      </c>
      <c r="M404" s="51" t="s">
        <v>3033</v>
      </c>
      <c r="N404" s="51" t="s">
        <v>1344</v>
      </c>
      <c r="O404" s="51" t="s">
        <v>67</v>
      </c>
      <c r="P404" s="51" t="s">
        <v>67</v>
      </c>
      <c r="Q404" s="45">
        <v>46281.463271111112</v>
      </c>
      <c r="R404" s="46">
        <v>46300</v>
      </c>
      <c r="S404" s="46">
        <v>46295</v>
      </c>
      <c r="T404" s="51" t="s">
        <v>6119</v>
      </c>
      <c r="U404" s="15">
        <v>848.05</v>
      </c>
      <c r="V404" s="15">
        <v>3921.84</v>
      </c>
      <c r="W404" s="15">
        <v>36.08</v>
      </c>
      <c r="X404" s="15">
        <v>14.9</v>
      </c>
      <c r="Y404" s="15">
        <v>1.662307</v>
      </c>
      <c r="Z404" s="15">
        <v>6</v>
      </c>
      <c r="AA404" s="46">
        <v>46270</v>
      </c>
      <c r="AB404" s="15"/>
      <c r="AC404" s="15"/>
      <c r="AD404" s="15"/>
      <c r="AE404" s="15"/>
      <c r="AF404" s="15"/>
      <c r="AG404" s="15"/>
      <c r="AH404" s="15"/>
      <c r="AI404" s="46"/>
      <c r="AJ404" s="51" t="s">
        <v>6121</v>
      </c>
      <c r="AK404" s="51" t="s">
        <v>6121</v>
      </c>
      <c r="AL404" s="15">
        <v>848.05</v>
      </c>
      <c r="AM404" s="51" t="s">
        <v>67</v>
      </c>
      <c r="AN404" s="51" t="s">
        <v>67</v>
      </c>
      <c r="AO404" s="50" t="s">
        <v>9554</v>
      </c>
    </row>
    <row r="405" spans="1:41" hidden="1" x14ac:dyDescent="0.25">
      <c r="A405" s="51" t="s">
        <v>3034</v>
      </c>
      <c r="B405" s="51" t="s">
        <v>3035</v>
      </c>
      <c r="C405" s="54" t="s">
        <v>605</v>
      </c>
      <c r="D405" s="51" t="s">
        <v>3036</v>
      </c>
      <c r="E405" s="20">
        <v>3028.07</v>
      </c>
      <c r="F405" s="20">
        <v>840.74</v>
      </c>
      <c r="G405" s="20">
        <v>3749.64</v>
      </c>
      <c r="H405" s="20">
        <v>0</v>
      </c>
      <c r="I405" s="20">
        <v>840.74</v>
      </c>
      <c r="J405" s="51" t="s">
        <v>2654</v>
      </c>
      <c r="K405" s="15">
        <v>0</v>
      </c>
      <c r="L405" s="51" t="s">
        <v>2371</v>
      </c>
      <c r="M405" s="51" t="s">
        <v>3037</v>
      </c>
      <c r="N405" s="51" t="s">
        <v>1340</v>
      </c>
      <c r="O405" s="51" t="s">
        <v>67</v>
      </c>
      <c r="P405" s="51" t="s">
        <v>67</v>
      </c>
      <c r="Q405" s="45">
        <v>46281.463272997687</v>
      </c>
      <c r="R405" s="46">
        <v>46305</v>
      </c>
      <c r="S405" s="46">
        <v>46300</v>
      </c>
      <c r="T405" s="51" t="s">
        <v>6119</v>
      </c>
      <c r="U405" s="15"/>
      <c r="V405" s="15"/>
      <c r="W405" s="15"/>
      <c r="X405" s="15"/>
      <c r="Y405" s="15"/>
      <c r="Z405" s="15"/>
      <c r="AA405" s="46"/>
      <c r="AB405" s="15"/>
      <c r="AC405" s="15"/>
      <c r="AD405" s="15"/>
      <c r="AE405" s="15"/>
      <c r="AF405" s="15"/>
      <c r="AG405" s="15"/>
      <c r="AH405" s="15"/>
      <c r="AI405" s="46"/>
      <c r="AJ405" s="51" t="s">
        <v>67</v>
      </c>
      <c r="AK405" s="51" t="s">
        <v>67</v>
      </c>
      <c r="AL405" s="15"/>
      <c r="AM405" s="51" t="s">
        <v>67</v>
      </c>
      <c r="AN405" s="51" t="s">
        <v>67</v>
      </c>
      <c r="AO405" s="50" t="s">
        <v>9554</v>
      </c>
    </row>
    <row r="406" spans="1:41" hidden="1" x14ac:dyDescent="0.25">
      <c r="A406" s="51" t="s">
        <v>3038</v>
      </c>
      <c r="B406" s="51" t="s">
        <v>3039</v>
      </c>
      <c r="C406" s="54" t="s">
        <v>607</v>
      </c>
      <c r="D406" s="51" t="s">
        <v>3040</v>
      </c>
      <c r="E406" s="20">
        <v>11318.34</v>
      </c>
      <c r="F406" s="20">
        <v>4747.24</v>
      </c>
      <c r="G406" s="20">
        <v>14621.64</v>
      </c>
      <c r="H406" s="20">
        <v>3870.86</v>
      </c>
      <c r="I406" s="20">
        <v>4199.09</v>
      </c>
      <c r="J406" s="51" t="s">
        <v>6727</v>
      </c>
      <c r="K406" s="15">
        <v>11</v>
      </c>
      <c r="L406" s="51" t="s">
        <v>2369</v>
      </c>
      <c r="M406" s="51" t="s">
        <v>3041</v>
      </c>
      <c r="N406" s="51" t="s">
        <v>1340</v>
      </c>
      <c r="O406" s="51" t="s">
        <v>3042</v>
      </c>
      <c r="P406" s="51" t="s">
        <v>1340</v>
      </c>
      <c r="Q406" s="45">
        <v>46281.464882916669</v>
      </c>
      <c r="R406" s="46">
        <v>46310</v>
      </c>
      <c r="S406" s="46">
        <v>46305</v>
      </c>
      <c r="T406" s="51" t="s">
        <v>6119</v>
      </c>
      <c r="U406" s="15">
        <v>848.05</v>
      </c>
      <c r="V406" s="15">
        <v>3921.84</v>
      </c>
      <c r="W406" s="15">
        <v>36.08</v>
      </c>
      <c r="X406" s="15">
        <v>14.9</v>
      </c>
      <c r="Y406" s="15">
        <v>1.662307</v>
      </c>
      <c r="Z406" s="15">
        <v>6</v>
      </c>
      <c r="AA406" s="46">
        <v>46280</v>
      </c>
      <c r="AB406" s="15"/>
      <c r="AC406" s="15"/>
      <c r="AD406" s="15"/>
      <c r="AE406" s="15"/>
      <c r="AF406" s="15"/>
      <c r="AG406" s="15"/>
      <c r="AH406" s="15"/>
      <c r="AI406" s="46"/>
      <c r="AJ406" s="51" t="s">
        <v>6121</v>
      </c>
      <c r="AK406" s="51" t="s">
        <v>6121</v>
      </c>
      <c r="AL406" s="15">
        <v>848.05</v>
      </c>
      <c r="AM406" s="51" t="s">
        <v>67</v>
      </c>
      <c r="AN406" s="51" t="s">
        <v>67</v>
      </c>
      <c r="AO406" s="50" t="s">
        <v>9554</v>
      </c>
    </row>
    <row r="407" spans="1:41" hidden="1" x14ac:dyDescent="0.25">
      <c r="A407" s="51" t="s">
        <v>3043</v>
      </c>
      <c r="B407" s="51" t="s">
        <v>3044</v>
      </c>
      <c r="C407" s="54" t="s">
        <v>5596</v>
      </c>
      <c r="D407" s="51" t="s">
        <v>504</v>
      </c>
      <c r="E407" s="20">
        <v>1280.1600000000001</v>
      </c>
      <c r="F407" s="20">
        <v>5206.6400000000003</v>
      </c>
      <c r="G407" s="20">
        <v>10058.5</v>
      </c>
      <c r="H407" s="20">
        <v>3870.86</v>
      </c>
      <c r="I407" s="20">
        <v>5206.63</v>
      </c>
      <c r="J407" s="51" t="s">
        <v>6727</v>
      </c>
      <c r="K407" s="15">
        <v>21</v>
      </c>
      <c r="L407" s="51" t="s">
        <v>2369</v>
      </c>
      <c r="M407" s="51" t="s">
        <v>3045</v>
      </c>
      <c r="N407" s="51" t="s">
        <v>1340</v>
      </c>
      <c r="O407" s="51" t="s">
        <v>67</v>
      </c>
      <c r="P407" s="51" t="s">
        <v>67</v>
      </c>
      <c r="Q407" s="45">
        <v>46281.464885729169</v>
      </c>
      <c r="R407" s="46">
        <v>46300</v>
      </c>
      <c r="S407" s="46">
        <v>46295</v>
      </c>
      <c r="T407" s="51" t="s">
        <v>6119</v>
      </c>
      <c r="U407" s="15">
        <v>848.05</v>
      </c>
      <c r="V407" s="15">
        <v>3921.84</v>
      </c>
      <c r="W407" s="15">
        <v>36.08</v>
      </c>
      <c r="X407" s="15">
        <v>14.9</v>
      </c>
      <c r="Y407" s="15">
        <v>1.662307</v>
      </c>
      <c r="Z407" s="15">
        <v>6</v>
      </c>
      <c r="AA407" s="46">
        <v>46270</v>
      </c>
      <c r="AB407" s="15"/>
      <c r="AC407" s="15"/>
      <c r="AD407" s="15"/>
      <c r="AE407" s="15"/>
      <c r="AF407" s="15"/>
      <c r="AG407" s="15"/>
      <c r="AH407" s="15"/>
      <c r="AI407" s="46"/>
      <c r="AJ407" s="51" t="s">
        <v>6121</v>
      </c>
      <c r="AK407" s="51" t="s">
        <v>6121</v>
      </c>
      <c r="AL407" s="15">
        <v>848.05</v>
      </c>
      <c r="AM407" s="51" t="s">
        <v>67</v>
      </c>
      <c r="AN407" s="51" t="s">
        <v>67</v>
      </c>
      <c r="AO407" s="50" t="s">
        <v>9554</v>
      </c>
    </row>
    <row r="408" spans="1:41" hidden="1" x14ac:dyDescent="0.25">
      <c r="A408" s="51" t="s">
        <v>3046</v>
      </c>
      <c r="B408" s="51" t="s">
        <v>3047</v>
      </c>
      <c r="C408" s="54" t="s">
        <v>611</v>
      </c>
      <c r="D408" s="51" t="s">
        <v>3048</v>
      </c>
      <c r="E408" s="20">
        <v>4520.1000000000004</v>
      </c>
      <c r="F408" s="20">
        <v>7538.54</v>
      </c>
      <c r="G408" s="20">
        <v>5344.17</v>
      </c>
      <c r="H408" s="20">
        <v>6759.56</v>
      </c>
      <c r="I408" s="20">
        <v>7538.54</v>
      </c>
      <c r="J408" s="51" t="s">
        <v>6727</v>
      </c>
      <c r="K408" s="15">
        <v>32</v>
      </c>
      <c r="L408" s="51" t="s">
        <v>2369</v>
      </c>
      <c r="M408" s="51" t="s">
        <v>3049</v>
      </c>
      <c r="N408" s="51" t="s">
        <v>1340</v>
      </c>
      <c r="O408" s="51" t="s">
        <v>67</v>
      </c>
      <c r="P408" s="51" t="s">
        <v>67</v>
      </c>
      <c r="Q408" s="45">
        <v>46281.464888356481</v>
      </c>
      <c r="R408" s="46">
        <v>46320</v>
      </c>
      <c r="S408" s="46">
        <v>46315</v>
      </c>
      <c r="T408" s="51" t="s">
        <v>6119</v>
      </c>
      <c r="U408" s="15">
        <v>849.8</v>
      </c>
      <c r="V408" s="15">
        <v>3922.15</v>
      </c>
      <c r="W408" s="15">
        <v>36.39</v>
      </c>
      <c r="X408" s="15">
        <v>14.9</v>
      </c>
      <c r="Y408" s="15">
        <v>1.6620440000000001</v>
      </c>
      <c r="Z408" s="15">
        <v>6</v>
      </c>
      <c r="AA408" s="46">
        <v>46259</v>
      </c>
      <c r="AB408" s="15"/>
      <c r="AC408" s="15"/>
      <c r="AD408" s="15"/>
      <c r="AE408" s="15"/>
      <c r="AF408" s="15"/>
      <c r="AG408" s="15"/>
      <c r="AH408" s="15"/>
      <c r="AI408" s="46"/>
      <c r="AJ408" s="51" t="s">
        <v>6121</v>
      </c>
      <c r="AK408" s="51" t="s">
        <v>6121</v>
      </c>
      <c r="AL408" s="15">
        <v>849.8</v>
      </c>
      <c r="AM408" s="51" t="s">
        <v>67</v>
      </c>
      <c r="AN408" s="51" t="s">
        <v>67</v>
      </c>
      <c r="AO408" s="50" t="s">
        <v>9554</v>
      </c>
    </row>
    <row r="409" spans="1:41" hidden="1" x14ac:dyDescent="0.25">
      <c r="A409" s="51" t="s">
        <v>3050</v>
      </c>
      <c r="B409" s="51" t="s">
        <v>3051</v>
      </c>
      <c r="C409" s="54" t="s">
        <v>5596</v>
      </c>
      <c r="D409" s="51" t="s">
        <v>3052</v>
      </c>
      <c r="E409" s="20">
        <v>14796.29</v>
      </c>
      <c r="F409" s="20">
        <v>430.12</v>
      </c>
      <c r="G409" s="20">
        <v>9040.0300000000007</v>
      </c>
      <c r="H409" s="20">
        <v>0</v>
      </c>
      <c r="I409" s="20">
        <v>430.12</v>
      </c>
      <c r="J409" s="51" t="s">
        <v>2654</v>
      </c>
      <c r="K409" s="15">
        <v>0</v>
      </c>
      <c r="L409" s="51" t="s">
        <v>2371</v>
      </c>
      <c r="M409" s="51" t="s">
        <v>3053</v>
      </c>
      <c r="N409" s="51" t="s">
        <v>1340</v>
      </c>
      <c r="O409" s="51" t="s">
        <v>67</v>
      </c>
      <c r="P409" s="51" t="s">
        <v>67</v>
      </c>
      <c r="Q409" s="45">
        <v>46281.464890821757</v>
      </c>
      <c r="R409" s="46">
        <v>46300</v>
      </c>
      <c r="S409" s="46">
        <v>46295</v>
      </c>
      <c r="T409" s="51" t="s">
        <v>6119</v>
      </c>
      <c r="U409" s="15"/>
      <c r="V409" s="15"/>
      <c r="W409" s="15"/>
      <c r="X409" s="15"/>
      <c r="Y409" s="15"/>
      <c r="Z409" s="15"/>
      <c r="AA409" s="46"/>
      <c r="AB409" s="15"/>
      <c r="AC409" s="15"/>
      <c r="AD409" s="15"/>
      <c r="AE409" s="15"/>
      <c r="AF409" s="15"/>
      <c r="AG409" s="15"/>
      <c r="AH409" s="15"/>
      <c r="AI409" s="46"/>
      <c r="AJ409" s="51" t="s">
        <v>67</v>
      </c>
      <c r="AK409" s="51" t="s">
        <v>67</v>
      </c>
      <c r="AL409" s="15"/>
      <c r="AM409" s="51" t="s">
        <v>67</v>
      </c>
      <c r="AN409" s="51" t="s">
        <v>67</v>
      </c>
      <c r="AO409" s="50" t="s">
        <v>9554</v>
      </c>
    </row>
    <row r="410" spans="1:41" hidden="1" x14ac:dyDescent="0.25">
      <c r="A410" s="51" t="s">
        <v>3054</v>
      </c>
      <c r="B410" s="51" t="s">
        <v>3055</v>
      </c>
      <c r="C410" s="54" t="s">
        <v>605</v>
      </c>
      <c r="D410" s="51" t="s">
        <v>3056</v>
      </c>
      <c r="E410" s="20">
        <v>7922.97</v>
      </c>
      <c r="F410" s="20">
        <v>904.8</v>
      </c>
      <c r="G410" s="20">
        <v>9340.32</v>
      </c>
      <c r="H410" s="20">
        <v>0</v>
      </c>
      <c r="I410" s="20">
        <v>904.8</v>
      </c>
      <c r="J410" s="51" t="s">
        <v>2654</v>
      </c>
      <c r="K410" s="15">
        <v>0</v>
      </c>
      <c r="L410" s="51" t="s">
        <v>2371</v>
      </c>
      <c r="M410" s="51" t="s">
        <v>3057</v>
      </c>
      <c r="N410" s="51" t="s">
        <v>1340</v>
      </c>
      <c r="O410" s="51" t="s">
        <v>3058</v>
      </c>
      <c r="P410" s="51" t="s">
        <v>1340</v>
      </c>
      <c r="Q410" s="45">
        <v>46281.46489289352</v>
      </c>
      <c r="R410" s="46">
        <v>46305</v>
      </c>
      <c r="S410" s="46">
        <v>46300</v>
      </c>
      <c r="T410" s="51" t="s">
        <v>6119</v>
      </c>
      <c r="U410" s="15"/>
      <c r="V410" s="15"/>
      <c r="W410" s="15"/>
      <c r="X410" s="15"/>
      <c r="Y410" s="15"/>
      <c r="Z410" s="15"/>
      <c r="AA410" s="46"/>
      <c r="AB410" s="15"/>
      <c r="AC410" s="15"/>
      <c r="AD410" s="15"/>
      <c r="AE410" s="15"/>
      <c r="AF410" s="15"/>
      <c r="AG410" s="15"/>
      <c r="AH410" s="15"/>
      <c r="AI410" s="46"/>
      <c r="AJ410" s="51" t="s">
        <v>67</v>
      </c>
      <c r="AK410" s="51" t="s">
        <v>67</v>
      </c>
      <c r="AL410" s="15"/>
      <c r="AM410" s="51" t="s">
        <v>67</v>
      </c>
      <c r="AN410" s="51" t="s">
        <v>67</v>
      </c>
      <c r="AO410" s="50" t="s">
        <v>9554</v>
      </c>
    </row>
    <row r="411" spans="1:41" hidden="1" x14ac:dyDescent="0.25">
      <c r="A411" s="51" t="s">
        <v>3059</v>
      </c>
      <c r="B411" s="51" t="s">
        <v>3060</v>
      </c>
      <c r="C411" s="54" t="s">
        <v>611</v>
      </c>
      <c r="D411" s="51" t="s">
        <v>3061</v>
      </c>
      <c r="E411" s="20">
        <v>13384.01</v>
      </c>
      <c r="F411" s="20">
        <v>936.68</v>
      </c>
      <c r="G411" s="20">
        <v>16295.32</v>
      </c>
      <c r="H411" s="20">
        <v>909.98</v>
      </c>
      <c r="I411" s="20">
        <v>936.68</v>
      </c>
      <c r="J411" s="51" t="s">
        <v>6727</v>
      </c>
      <c r="K411" s="15">
        <v>1</v>
      </c>
      <c r="L411" s="51" t="s">
        <v>2369</v>
      </c>
      <c r="M411" s="51" t="s">
        <v>3062</v>
      </c>
      <c r="N411" s="51" t="s">
        <v>1340</v>
      </c>
      <c r="O411" s="51" t="s">
        <v>67</v>
      </c>
      <c r="P411" s="51" t="s">
        <v>67</v>
      </c>
      <c r="Q411" s="45">
        <v>46281.464895173609</v>
      </c>
      <c r="R411" s="46">
        <v>46320</v>
      </c>
      <c r="S411" s="46">
        <v>46315</v>
      </c>
      <c r="T411" s="51" t="s">
        <v>6119</v>
      </c>
      <c r="U411" s="15"/>
      <c r="V411" s="15"/>
      <c r="W411" s="15"/>
      <c r="X411" s="15"/>
      <c r="Y411" s="15"/>
      <c r="Z411" s="15"/>
      <c r="AA411" s="46"/>
      <c r="AB411" s="15"/>
      <c r="AC411" s="15"/>
      <c r="AD411" s="15"/>
      <c r="AE411" s="15"/>
      <c r="AF411" s="15"/>
      <c r="AG411" s="15"/>
      <c r="AH411" s="15"/>
      <c r="AI411" s="46"/>
      <c r="AJ411" s="51" t="s">
        <v>67</v>
      </c>
      <c r="AK411" s="51" t="s">
        <v>67</v>
      </c>
      <c r="AL411" s="15"/>
      <c r="AM411" s="51" t="s">
        <v>67</v>
      </c>
      <c r="AN411" s="51" t="s">
        <v>67</v>
      </c>
      <c r="AO411" s="50" t="s">
        <v>9554</v>
      </c>
    </row>
    <row r="412" spans="1:41" hidden="1" x14ac:dyDescent="0.25">
      <c r="A412" s="51" t="s">
        <v>3063</v>
      </c>
      <c r="B412" s="51" t="s">
        <v>3064</v>
      </c>
      <c r="C412" s="54" t="s">
        <v>605</v>
      </c>
      <c r="D412" s="51" t="s">
        <v>3065</v>
      </c>
      <c r="E412" s="20">
        <v>5916.31</v>
      </c>
      <c r="F412" s="20">
        <v>4733.55</v>
      </c>
      <c r="G412" s="20">
        <v>11961.37</v>
      </c>
      <c r="H412" s="20">
        <v>3870.86</v>
      </c>
      <c r="I412" s="20">
        <v>4733.55</v>
      </c>
      <c r="J412" s="51" t="s">
        <v>6727</v>
      </c>
      <c r="K412" s="15">
        <v>16</v>
      </c>
      <c r="L412" s="51" t="s">
        <v>2369</v>
      </c>
      <c r="M412" s="51" t="s">
        <v>3066</v>
      </c>
      <c r="N412" s="51" t="s">
        <v>1340</v>
      </c>
      <c r="O412" s="51" t="s">
        <v>3067</v>
      </c>
      <c r="P412" s="51" t="s">
        <v>1340</v>
      </c>
      <c r="Q412" s="45">
        <v>46281.464897569444</v>
      </c>
      <c r="R412" s="46">
        <v>46305</v>
      </c>
      <c r="S412" s="46">
        <v>46300</v>
      </c>
      <c r="T412" s="51" t="s">
        <v>6119</v>
      </c>
      <c r="U412" s="15">
        <v>848.05</v>
      </c>
      <c r="V412" s="15">
        <v>3921.84</v>
      </c>
      <c r="W412" s="15">
        <v>36.08</v>
      </c>
      <c r="X412" s="15">
        <v>14.9</v>
      </c>
      <c r="Y412" s="15">
        <v>1.662307</v>
      </c>
      <c r="Z412" s="15">
        <v>6</v>
      </c>
      <c r="AA412" s="46">
        <v>46275</v>
      </c>
      <c r="AB412" s="15"/>
      <c r="AC412" s="15"/>
      <c r="AD412" s="15"/>
      <c r="AE412" s="15"/>
      <c r="AF412" s="15"/>
      <c r="AG412" s="15"/>
      <c r="AH412" s="15"/>
      <c r="AI412" s="46"/>
      <c r="AJ412" s="51" t="s">
        <v>6121</v>
      </c>
      <c r="AK412" s="51" t="s">
        <v>6121</v>
      </c>
      <c r="AL412" s="15">
        <v>848.05</v>
      </c>
      <c r="AM412" s="51" t="s">
        <v>67</v>
      </c>
      <c r="AN412" s="51" t="s">
        <v>67</v>
      </c>
      <c r="AO412" s="50" t="s">
        <v>9554</v>
      </c>
    </row>
    <row r="413" spans="1:41" hidden="1" x14ac:dyDescent="0.25">
      <c r="A413" s="51" t="s">
        <v>3068</v>
      </c>
      <c r="B413" s="51" t="s">
        <v>3069</v>
      </c>
      <c r="C413" s="54" t="s">
        <v>608</v>
      </c>
      <c r="D413" s="51" t="s">
        <v>3070</v>
      </c>
      <c r="E413" s="20">
        <v>13834.3</v>
      </c>
      <c r="F413" s="20">
        <v>9040.89</v>
      </c>
      <c r="G413" s="20">
        <v>2780.63</v>
      </c>
      <c r="H413" s="20">
        <v>3870.86</v>
      </c>
      <c r="I413" s="20">
        <v>6030.21</v>
      </c>
      <c r="J413" s="51" t="s">
        <v>6727</v>
      </c>
      <c r="K413" s="15">
        <v>37</v>
      </c>
      <c r="L413" s="51" t="s">
        <v>2369</v>
      </c>
      <c r="M413" s="51" t="s">
        <v>67</v>
      </c>
      <c r="N413" s="51" t="s">
        <v>67</v>
      </c>
      <c r="O413" s="51" t="s">
        <v>3071</v>
      </c>
      <c r="P413" s="51" t="s">
        <v>1340</v>
      </c>
      <c r="Q413" s="45">
        <v>46281.464900694446</v>
      </c>
      <c r="R413" s="46">
        <v>46315</v>
      </c>
      <c r="S413" s="46">
        <v>46310</v>
      </c>
      <c r="T413" s="51" t="s">
        <v>6119</v>
      </c>
      <c r="U413" s="15">
        <v>849.8</v>
      </c>
      <c r="V413" s="15">
        <v>3922.15</v>
      </c>
      <c r="W413" s="15">
        <v>36.39</v>
      </c>
      <c r="X413" s="15">
        <v>14.9</v>
      </c>
      <c r="Y413" s="15">
        <v>1.6620440000000001</v>
      </c>
      <c r="Z413" s="15">
        <v>6</v>
      </c>
      <c r="AA413" s="46">
        <v>46254</v>
      </c>
      <c r="AB413" s="15"/>
      <c r="AC413" s="15"/>
      <c r="AD413" s="15"/>
      <c r="AE413" s="15"/>
      <c r="AF413" s="15"/>
      <c r="AG413" s="15"/>
      <c r="AH413" s="15"/>
      <c r="AI413" s="46"/>
      <c r="AJ413" s="51" t="s">
        <v>6121</v>
      </c>
      <c r="AK413" s="51" t="s">
        <v>6121</v>
      </c>
      <c r="AL413" s="15">
        <v>849.8</v>
      </c>
      <c r="AM413" s="51" t="s">
        <v>67</v>
      </c>
      <c r="AN413" s="51" t="s">
        <v>67</v>
      </c>
      <c r="AO413" s="50" t="s">
        <v>9554</v>
      </c>
    </row>
    <row r="414" spans="1:41" hidden="1" x14ac:dyDescent="0.25">
      <c r="A414" s="51" t="s">
        <v>3072</v>
      </c>
      <c r="B414" s="51" t="s">
        <v>3073</v>
      </c>
      <c r="C414" s="54" t="s">
        <v>605</v>
      </c>
      <c r="D414" s="51" t="s">
        <v>3074</v>
      </c>
      <c r="E414" s="20">
        <v>4715.1000000000004</v>
      </c>
      <c r="F414" s="20">
        <v>461.38</v>
      </c>
      <c r="G414" s="20">
        <v>14351.43</v>
      </c>
      <c r="H414" s="20">
        <v>0</v>
      </c>
      <c r="I414" s="20">
        <v>461.38</v>
      </c>
      <c r="J414" s="51" t="s">
        <v>2654</v>
      </c>
      <c r="K414" s="15">
        <v>0</v>
      </c>
      <c r="L414" s="51" t="s">
        <v>2371</v>
      </c>
      <c r="M414" s="51" t="s">
        <v>67</v>
      </c>
      <c r="N414" s="51" t="s">
        <v>67</v>
      </c>
      <c r="O414" s="51" t="s">
        <v>3075</v>
      </c>
      <c r="P414" s="51" t="s">
        <v>1340</v>
      </c>
      <c r="Q414" s="45">
        <v>46281.464903182874</v>
      </c>
      <c r="R414" s="46">
        <v>46305</v>
      </c>
      <c r="S414" s="46">
        <v>46300</v>
      </c>
      <c r="T414" s="51" t="s">
        <v>6119</v>
      </c>
      <c r="U414" s="15"/>
      <c r="V414" s="15"/>
      <c r="W414" s="15"/>
      <c r="X414" s="15"/>
      <c r="Y414" s="15"/>
      <c r="Z414" s="15"/>
      <c r="AA414" s="46"/>
      <c r="AB414" s="15"/>
      <c r="AC414" s="15"/>
      <c r="AD414" s="15"/>
      <c r="AE414" s="15"/>
      <c r="AF414" s="15"/>
      <c r="AG414" s="15"/>
      <c r="AH414" s="15"/>
      <c r="AI414" s="46"/>
      <c r="AJ414" s="51" t="s">
        <v>67</v>
      </c>
      <c r="AK414" s="51" t="s">
        <v>67</v>
      </c>
      <c r="AL414" s="15"/>
      <c r="AM414" s="51" t="s">
        <v>67</v>
      </c>
      <c r="AN414" s="51" t="s">
        <v>67</v>
      </c>
      <c r="AO414" s="50" t="s">
        <v>9554</v>
      </c>
    </row>
    <row r="415" spans="1:41" hidden="1" x14ac:dyDescent="0.25">
      <c r="A415" s="51" t="s">
        <v>3076</v>
      </c>
      <c r="B415" s="51" t="s">
        <v>3077</v>
      </c>
      <c r="C415" s="54" t="s">
        <v>607</v>
      </c>
      <c r="D415" s="51" t="s">
        <v>3078</v>
      </c>
      <c r="E415" s="20">
        <v>13693.4</v>
      </c>
      <c r="F415" s="20">
        <v>0</v>
      </c>
      <c r="G415" s="20">
        <v>15198.86</v>
      </c>
      <c r="H415" s="20">
        <v>0</v>
      </c>
      <c r="I415" s="20">
        <v>433.45</v>
      </c>
      <c r="J415" s="51" t="s">
        <v>2654</v>
      </c>
      <c r="K415" s="15">
        <v>0</v>
      </c>
      <c r="L415" s="51" t="s">
        <v>2371</v>
      </c>
      <c r="M415" s="51" t="s">
        <v>3079</v>
      </c>
      <c r="N415" s="51" t="s">
        <v>1340</v>
      </c>
      <c r="O415" s="51" t="s">
        <v>3080</v>
      </c>
      <c r="P415" s="51" t="s">
        <v>1340</v>
      </c>
      <c r="Q415" s="45">
        <v>46281.464905358793</v>
      </c>
      <c r="R415" s="46">
        <v>46310</v>
      </c>
      <c r="S415" s="46">
        <v>46305</v>
      </c>
      <c r="T415" s="51" t="s">
        <v>6119</v>
      </c>
      <c r="U415" s="15"/>
      <c r="V415" s="15"/>
      <c r="W415" s="15"/>
      <c r="X415" s="15"/>
      <c r="Y415" s="15"/>
      <c r="Z415" s="15"/>
      <c r="AA415" s="46"/>
      <c r="AB415" s="15"/>
      <c r="AC415" s="15"/>
      <c r="AD415" s="15"/>
      <c r="AE415" s="15"/>
      <c r="AF415" s="15"/>
      <c r="AG415" s="15"/>
      <c r="AH415" s="15"/>
      <c r="AI415" s="46"/>
      <c r="AJ415" s="51" t="s">
        <v>67</v>
      </c>
      <c r="AK415" s="51" t="s">
        <v>67</v>
      </c>
      <c r="AL415" s="15"/>
      <c r="AM415" s="51" t="s">
        <v>67</v>
      </c>
      <c r="AN415" s="51" t="s">
        <v>67</v>
      </c>
      <c r="AO415" s="50" t="s">
        <v>9554</v>
      </c>
    </row>
    <row r="416" spans="1:41" hidden="1" x14ac:dyDescent="0.25">
      <c r="A416" s="51" t="s">
        <v>3081</v>
      </c>
      <c r="B416" s="51" t="s">
        <v>3082</v>
      </c>
      <c r="C416" s="54" t="s">
        <v>605</v>
      </c>
      <c r="D416" s="51" t="s">
        <v>3083</v>
      </c>
      <c r="E416" s="20">
        <v>9595.0300000000007</v>
      </c>
      <c r="F416" s="20">
        <v>5072.26</v>
      </c>
      <c r="G416" s="20">
        <v>6989.68</v>
      </c>
      <c r="H416" s="20">
        <v>3870.86</v>
      </c>
      <c r="I416" s="20">
        <v>5072.26</v>
      </c>
      <c r="J416" s="51" t="s">
        <v>6727</v>
      </c>
      <c r="K416" s="15">
        <v>16</v>
      </c>
      <c r="L416" s="51" t="s">
        <v>2369</v>
      </c>
      <c r="M416" s="51" t="s">
        <v>3084</v>
      </c>
      <c r="N416" s="51" t="s">
        <v>1340</v>
      </c>
      <c r="O416" s="51" t="s">
        <v>3085</v>
      </c>
      <c r="P416" s="51" t="s">
        <v>1340</v>
      </c>
      <c r="Q416" s="45">
        <v>46281.464907372683</v>
      </c>
      <c r="R416" s="46">
        <v>46305</v>
      </c>
      <c r="S416" s="46">
        <v>46300</v>
      </c>
      <c r="T416" s="51" t="s">
        <v>6119</v>
      </c>
      <c r="U416" s="15">
        <v>848.05</v>
      </c>
      <c r="V416" s="15">
        <v>3921.84</v>
      </c>
      <c r="W416" s="15">
        <v>36.08</v>
      </c>
      <c r="X416" s="15">
        <v>14.9</v>
      </c>
      <c r="Y416" s="15">
        <v>1.662307</v>
      </c>
      <c r="Z416" s="15">
        <v>6</v>
      </c>
      <c r="AA416" s="46">
        <v>46275</v>
      </c>
      <c r="AB416" s="15"/>
      <c r="AC416" s="15"/>
      <c r="AD416" s="15"/>
      <c r="AE416" s="15"/>
      <c r="AF416" s="15"/>
      <c r="AG416" s="15"/>
      <c r="AH416" s="15"/>
      <c r="AI416" s="46"/>
      <c r="AJ416" s="51" t="s">
        <v>6121</v>
      </c>
      <c r="AK416" s="51" t="s">
        <v>6121</v>
      </c>
      <c r="AL416" s="15">
        <v>848.05</v>
      </c>
      <c r="AM416" s="51" t="s">
        <v>67</v>
      </c>
      <c r="AN416" s="51" t="s">
        <v>67</v>
      </c>
      <c r="AO416" s="50" t="s">
        <v>9554</v>
      </c>
    </row>
    <row r="417" spans="1:41" hidden="1" x14ac:dyDescent="0.25">
      <c r="A417" s="51" t="s">
        <v>3086</v>
      </c>
      <c r="B417" s="51" t="s">
        <v>3087</v>
      </c>
      <c r="C417" s="54" t="s">
        <v>607</v>
      </c>
      <c r="D417" s="51" t="s">
        <v>3088</v>
      </c>
      <c r="E417" s="20">
        <v>9409.9500000000007</v>
      </c>
      <c r="F417" s="20">
        <v>320.13</v>
      </c>
      <c r="G417" s="20">
        <v>20780.37</v>
      </c>
      <c r="H417" s="20">
        <v>0</v>
      </c>
      <c r="I417" s="20">
        <v>411.59</v>
      </c>
      <c r="J417" s="51" t="s">
        <v>2654</v>
      </c>
      <c r="K417" s="15">
        <v>0</v>
      </c>
      <c r="L417" s="51" t="s">
        <v>2371</v>
      </c>
      <c r="M417" s="51" t="s">
        <v>3089</v>
      </c>
      <c r="N417" s="51" t="s">
        <v>1340</v>
      </c>
      <c r="O417" s="51" t="s">
        <v>67</v>
      </c>
      <c r="P417" s="51" t="s">
        <v>67</v>
      </c>
      <c r="Q417" s="45">
        <v>46281.464909814815</v>
      </c>
      <c r="R417" s="46">
        <v>46310</v>
      </c>
      <c r="S417" s="46">
        <v>46305</v>
      </c>
      <c r="T417" s="51" t="s">
        <v>6119</v>
      </c>
      <c r="U417" s="15"/>
      <c r="V417" s="15"/>
      <c r="W417" s="15"/>
      <c r="X417" s="15"/>
      <c r="Y417" s="15"/>
      <c r="Z417" s="15"/>
      <c r="AA417" s="46"/>
      <c r="AB417" s="15"/>
      <c r="AC417" s="15"/>
      <c r="AD417" s="15"/>
      <c r="AE417" s="15"/>
      <c r="AF417" s="15"/>
      <c r="AG417" s="15"/>
      <c r="AH417" s="15"/>
      <c r="AI417" s="46"/>
      <c r="AJ417" s="51" t="s">
        <v>67</v>
      </c>
      <c r="AK417" s="51" t="s">
        <v>67</v>
      </c>
      <c r="AL417" s="15"/>
      <c r="AM417" s="51" t="s">
        <v>67</v>
      </c>
      <c r="AN417" s="51" t="s">
        <v>67</v>
      </c>
      <c r="AO417" s="50" t="s">
        <v>9554</v>
      </c>
    </row>
    <row r="418" spans="1:41" hidden="1" x14ac:dyDescent="0.25">
      <c r="A418" s="51" t="s">
        <v>3090</v>
      </c>
      <c r="B418" s="51" t="s">
        <v>3091</v>
      </c>
      <c r="C418" s="54" t="s">
        <v>607</v>
      </c>
      <c r="D418" s="51" t="s">
        <v>3092</v>
      </c>
      <c r="E418" s="20">
        <v>6258.92</v>
      </c>
      <c r="F418" s="20">
        <v>4820.6000000000004</v>
      </c>
      <c r="G418" s="20">
        <v>9915.32</v>
      </c>
      <c r="H418" s="20">
        <v>3870.86</v>
      </c>
      <c r="I418" s="20">
        <v>4199.09</v>
      </c>
      <c r="J418" s="51" t="s">
        <v>6727</v>
      </c>
      <c r="K418" s="15">
        <v>11</v>
      </c>
      <c r="L418" s="51" t="s">
        <v>2369</v>
      </c>
      <c r="M418" s="51" t="s">
        <v>67</v>
      </c>
      <c r="N418" s="51" t="s">
        <v>67</v>
      </c>
      <c r="O418" s="51" t="s">
        <v>3093</v>
      </c>
      <c r="P418" s="51" t="s">
        <v>1344</v>
      </c>
      <c r="Q418" s="45">
        <v>46281.464911736111</v>
      </c>
      <c r="R418" s="46">
        <v>46310</v>
      </c>
      <c r="S418" s="46">
        <v>46305</v>
      </c>
      <c r="T418" s="51" t="s">
        <v>6119</v>
      </c>
      <c r="U418" s="15">
        <v>848.05</v>
      </c>
      <c r="V418" s="15">
        <v>3921.84</v>
      </c>
      <c r="W418" s="15">
        <v>36.08</v>
      </c>
      <c r="X418" s="15">
        <v>14.9</v>
      </c>
      <c r="Y418" s="15">
        <v>1.662307</v>
      </c>
      <c r="Z418" s="15">
        <v>6</v>
      </c>
      <c r="AA418" s="46">
        <v>46280</v>
      </c>
      <c r="AB418" s="15"/>
      <c r="AC418" s="15"/>
      <c r="AD418" s="15"/>
      <c r="AE418" s="15"/>
      <c r="AF418" s="15"/>
      <c r="AG418" s="15"/>
      <c r="AH418" s="15"/>
      <c r="AI418" s="46"/>
      <c r="AJ418" s="51" t="s">
        <v>6121</v>
      </c>
      <c r="AK418" s="51" t="s">
        <v>6121</v>
      </c>
      <c r="AL418" s="15">
        <v>848.05</v>
      </c>
      <c r="AM418" s="51" t="s">
        <v>67</v>
      </c>
      <c r="AN418" s="51" t="s">
        <v>67</v>
      </c>
      <c r="AO418" s="50" t="s">
        <v>9554</v>
      </c>
    </row>
    <row r="419" spans="1:41" hidden="1" x14ac:dyDescent="0.25">
      <c r="A419" s="51" t="s">
        <v>3094</v>
      </c>
      <c r="B419" s="51" t="s">
        <v>3095</v>
      </c>
      <c r="C419" s="54" t="s">
        <v>608</v>
      </c>
      <c r="D419" s="51" t="s">
        <v>3096</v>
      </c>
      <c r="E419" s="20">
        <v>7154.59</v>
      </c>
      <c r="F419" s="20">
        <v>0</v>
      </c>
      <c r="G419" s="20">
        <v>11665.99</v>
      </c>
      <c r="H419" s="20">
        <v>0</v>
      </c>
      <c r="I419" s="20">
        <v>884.2</v>
      </c>
      <c r="J419" s="51" t="s">
        <v>2654</v>
      </c>
      <c r="K419" s="15">
        <v>0</v>
      </c>
      <c r="L419" s="51" t="s">
        <v>2371</v>
      </c>
      <c r="M419" s="51" t="s">
        <v>67</v>
      </c>
      <c r="N419" s="51" t="s">
        <v>67</v>
      </c>
      <c r="O419" s="51" t="s">
        <v>3097</v>
      </c>
      <c r="P419" s="51" t="s">
        <v>1340</v>
      </c>
      <c r="Q419" s="45">
        <v>46281.464914039352</v>
      </c>
      <c r="R419" s="46">
        <v>46315</v>
      </c>
      <c r="S419" s="46">
        <v>46310</v>
      </c>
      <c r="T419" s="51" t="s">
        <v>6119</v>
      </c>
      <c r="U419" s="15"/>
      <c r="V419" s="15"/>
      <c r="W419" s="15"/>
      <c r="X419" s="15"/>
      <c r="Y419" s="15"/>
      <c r="Z419" s="15"/>
      <c r="AA419" s="46"/>
      <c r="AB419" s="15"/>
      <c r="AC419" s="15"/>
      <c r="AD419" s="15"/>
      <c r="AE419" s="15"/>
      <c r="AF419" s="15"/>
      <c r="AG419" s="15"/>
      <c r="AH419" s="15"/>
      <c r="AI419" s="46"/>
      <c r="AJ419" s="51" t="s">
        <v>67</v>
      </c>
      <c r="AK419" s="51" t="s">
        <v>67</v>
      </c>
      <c r="AL419" s="15"/>
      <c r="AM419" s="51" t="s">
        <v>67</v>
      </c>
      <c r="AN419" s="51" t="s">
        <v>67</v>
      </c>
      <c r="AO419" s="50" t="s">
        <v>9554</v>
      </c>
    </row>
    <row r="420" spans="1:41" hidden="1" x14ac:dyDescent="0.25">
      <c r="A420" s="51" t="s">
        <v>3098</v>
      </c>
      <c r="B420" s="51" t="s">
        <v>3099</v>
      </c>
      <c r="C420" s="54" t="s">
        <v>607</v>
      </c>
      <c r="D420" s="51" t="s">
        <v>3100</v>
      </c>
      <c r="E420" s="20">
        <v>5474.05</v>
      </c>
      <c r="F420" s="20">
        <v>285.11</v>
      </c>
      <c r="G420" s="20">
        <v>2991.88</v>
      </c>
      <c r="H420" s="20">
        <v>0</v>
      </c>
      <c r="I420" s="20">
        <v>641.5</v>
      </c>
      <c r="J420" s="51" t="s">
        <v>2654</v>
      </c>
      <c r="K420" s="15">
        <v>0</v>
      </c>
      <c r="L420" s="51" t="s">
        <v>2371</v>
      </c>
      <c r="M420" s="51" t="s">
        <v>67</v>
      </c>
      <c r="N420" s="51" t="s">
        <v>67</v>
      </c>
      <c r="O420" s="51" t="s">
        <v>3101</v>
      </c>
      <c r="P420" s="51" t="s">
        <v>1340</v>
      </c>
      <c r="Q420" s="45">
        <v>46281.464915798613</v>
      </c>
      <c r="R420" s="46">
        <v>46310</v>
      </c>
      <c r="S420" s="46">
        <v>46305</v>
      </c>
      <c r="T420" s="51" t="s">
        <v>6119</v>
      </c>
      <c r="U420" s="15"/>
      <c r="V420" s="15"/>
      <c r="W420" s="15"/>
      <c r="X420" s="15"/>
      <c r="Y420" s="15"/>
      <c r="Z420" s="15"/>
      <c r="AA420" s="46"/>
      <c r="AB420" s="15"/>
      <c r="AC420" s="15"/>
      <c r="AD420" s="15"/>
      <c r="AE420" s="15"/>
      <c r="AF420" s="15"/>
      <c r="AG420" s="15"/>
      <c r="AH420" s="15"/>
      <c r="AI420" s="46"/>
      <c r="AJ420" s="51" t="s">
        <v>67</v>
      </c>
      <c r="AK420" s="51" t="s">
        <v>67</v>
      </c>
      <c r="AL420" s="15"/>
      <c r="AM420" s="51" t="s">
        <v>67</v>
      </c>
      <c r="AN420" s="51" t="s">
        <v>67</v>
      </c>
      <c r="AO420" s="50" t="s">
        <v>9554</v>
      </c>
    </row>
    <row r="421" spans="1:41" hidden="1" x14ac:dyDescent="0.25">
      <c r="A421" s="51" t="s">
        <v>3102</v>
      </c>
      <c r="B421" s="51" t="s">
        <v>3103</v>
      </c>
      <c r="C421" s="54" t="s">
        <v>611</v>
      </c>
      <c r="D421" s="51" t="s">
        <v>3104</v>
      </c>
      <c r="E421" s="20">
        <v>629.09</v>
      </c>
      <c r="F421" s="20">
        <v>3717.76</v>
      </c>
      <c r="G421" s="20">
        <v>2099.48</v>
      </c>
      <c r="H421" s="20">
        <v>6530.61</v>
      </c>
      <c r="I421" s="20">
        <v>3717.76</v>
      </c>
      <c r="J421" s="51" t="s">
        <v>6726</v>
      </c>
      <c r="K421" s="15">
        <v>0</v>
      </c>
      <c r="L421" s="51" t="s">
        <v>2371</v>
      </c>
      <c r="M421" s="51" t="s">
        <v>3105</v>
      </c>
      <c r="N421" s="51" t="s">
        <v>1340</v>
      </c>
      <c r="O421" s="51" t="s">
        <v>3106</v>
      </c>
      <c r="P421" s="51" t="s">
        <v>1340</v>
      </c>
      <c r="Q421" s="45">
        <v>46281.464917534722</v>
      </c>
      <c r="R421" s="46">
        <v>46320</v>
      </c>
      <c r="S421" s="46">
        <v>46315</v>
      </c>
      <c r="T421" s="51" t="s">
        <v>6119</v>
      </c>
      <c r="U421" s="15">
        <v>849.8</v>
      </c>
      <c r="V421" s="15">
        <v>3922.15</v>
      </c>
      <c r="W421" s="15">
        <v>36.39</v>
      </c>
      <c r="X421" s="15">
        <v>14.9</v>
      </c>
      <c r="Y421" s="15">
        <v>1.6620440000000001</v>
      </c>
      <c r="Z421" s="15">
        <v>6</v>
      </c>
      <c r="AA421" s="46">
        <v>46259</v>
      </c>
      <c r="AB421" s="15"/>
      <c r="AC421" s="15"/>
      <c r="AD421" s="15"/>
      <c r="AE421" s="15"/>
      <c r="AF421" s="15"/>
      <c r="AG421" s="15"/>
      <c r="AH421" s="15"/>
      <c r="AI421" s="46"/>
      <c r="AJ421" s="51" t="s">
        <v>67</v>
      </c>
      <c r="AK421" s="51" t="s">
        <v>6121</v>
      </c>
      <c r="AL421" s="15">
        <v>849.8</v>
      </c>
      <c r="AM421" s="51" t="s">
        <v>6705</v>
      </c>
      <c r="AN421" s="51" t="s">
        <v>6713</v>
      </c>
      <c r="AO421" s="50" t="s">
        <v>9555</v>
      </c>
    </row>
    <row r="422" spans="1:41" hidden="1" x14ac:dyDescent="0.25">
      <c r="A422" s="51" t="s">
        <v>3107</v>
      </c>
      <c r="B422" s="51" t="s">
        <v>3108</v>
      </c>
      <c r="C422" s="54" t="s">
        <v>607</v>
      </c>
      <c r="D422" s="51" t="s">
        <v>3109</v>
      </c>
      <c r="E422" s="20">
        <v>3893.16</v>
      </c>
      <c r="F422" s="20">
        <v>720.42</v>
      </c>
      <c r="G422" s="20">
        <v>12579.71</v>
      </c>
      <c r="H422" s="20">
        <v>0</v>
      </c>
      <c r="I422" s="20">
        <v>720.42</v>
      </c>
      <c r="J422" s="51" t="s">
        <v>2654</v>
      </c>
      <c r="K422" s="15">
        <v>0</v>
      </c>
      <c r="L422" s="51" t="s">
        <v>2371</v>
      </c>
      <c r="M422" s="51" t="s">
        <v>67</v>
      </c>
      <c r="N422" s="51" t="s">
        <v>67</v>
      </c>
      <c r="O422" s="51" t="s">
        <v>3110</v>
      </c>
      <c r="P422" s="51" t="s">
        <v>1340</v>
      </c>
      <c r="Q422" s="45">
        <v>46281.464919814818</v>
      </c>
      <c r="R422" s="46">
        <v>46310</v>
      </c>
      <c r="S422" s="46">
        <v>46305</v>
      </c>
      <c r="T422" s="51" t="s">
        <v>6119</v>
      </c>
      <c r="U422" s="15"/>
      <c r="V422" s="15"/>
      <c r="W422" s="15"/>
      <c r="X422" s="15"/>
      <c r="Y422" s="15"/>
      <c r="Z422" s="15"/>
      <c r="AA422" s="46"/>
      <c r="AB422" s="15"/>
      <c r="AC422" s="15"/>
      <c r="AD422" s="15"/>
      <c r="AE422" s="15"/>
      <c r="AF422" s="15"/>
      <c r="AG422" s="15"/>
      <c r="AH422" s="15"/>
      <c r="AI422" s="46"/>
      <c r="AJ422" s="51" t="s">
        <v>67</v>
      </c>
      <c r="AK422" s="51" t="s">
        <v>67</v>
      </c>
      <c r="AL422" s="15"/>
      <c r="AM422" s="51" t="s">
        <v>67</v>
      </c>
      <c r="AN422" s="51" t="s">
        <v>67</v>
      </c>
      <c r="AO422" s="50" t="s">
        <v>9554</v>
      </c>
    </row>
    <row r="423" spans="1:41" hidden="1" x14ac:dyDescent="0.25">
      <c r="A423" s="51" t="s">
        <v>3111</v>
      </c>
      <c r="B423" s="51" t="s">
        <v>3112</v>
      </c>
      <c r="C423" s="54" t="s">
        <v>608</v>
      </c>
      <c r="D423" s="51" t="s">
        <v>3113</v>
      </c>
      <c r="E423" s="20">
        <v>10693.9</v>
      </c>
      <c r="F423" s="20">
        <v>0</v>
      </c>
      <c r="G423" s="20">
        <v>10252.81</v>
      </c>
      <c r="H423" s="20">
        <v>0</v>
      </c>
      <c r="I423" s="20">
        <v>841.66</v>
      </c>
      <c r="J423" s="51" t="s">
        <v>2654</v>
      </c>
      <c r="K423" s="15">
        <v>0</v>
      </c>
      <c r="L423" s="51" t="s">
        <v>2371</v>
      </c>
      <c r="M423" s="51" t="s">
        <v>67</v>
      </c>
      <c r="N423" s="51" t="s">
        <v>67</v>
      </c>
      <c r="O423" s="51" t="s">
        <v>3114</v>
      </c>
      <c r="P423" s="51" t="s">
        <v>1340</v>
      </c>
      <c r="Q423" s="45">
        <v>46281.464921574072</v>
      </c>
      <c r="R423" s="46">
        <v>46315</v>
      </c>
      <c r="S423" s="46">
        <v>46310</v>
      </c>
      <c r="T423" s="51" t="s">
        <v>6119</v>
      </c>
      <c r="U423" s="15"/>
      <c r="V423" s="15"/>
      <c r="W423" s="15"/>
      <c r="X423" s="15"/>
      <c r="Y423" s="15"/>
      <c r="Z423" s="15"/>
      <c r="AA423" s="46"/>
      <c r="AB423" s="15"/>
      <c r="AC423" s="15"/>
      <c r="AD423" s="15"/>
      <c r="AE423" s="15"/>
      <c r="AF423" s="15"/>
      <c r="AG423" s="15"/>
      <c r="AH423" s="15"/>
      <c r="AI423" s="46"/>
      <c r="AJ423" s="51" t="s">
        <v>67</v>
      </c>
      <c r="AK423" s="51" t="s">
        <v>67</v>
      </c>
      <c r="AL423" s="15"/>
      <c r="AM423" s="51" t="s">
        <v>67</v>
      </c>
      <c r="AN423" s="51" t="s">
        <v>67</v>
      </c>
      <c r="AO423" s="50" t="s">
        <v>9554</v>
      </c>
    </row>
    <row r="424" spans="1:41" hidden="1" x14ac:dyDescent="0.25">
      <c r="A424" s="51" t="s">
        <v>3115</v>
      </c>
      <c r="B424" s="51" t="s">
        <v>3116</v>
      </c>
      <c r="C424" s="54" t="s">
        <v>605</v>
      </c>
      <c r="D424" s="51" t="s">
        <v>3117</v>
      </c>
      <c r="E424" s="20">
        <v>12064.85</v>
      </c>
      <c r="F424" s="20">
        <v>486.81</v>
      </c>
      <c r="G424" s="20">
        <v>20161.009999999998</v>
      </c>
      <c r="H424" s="20">
        <v>0</v>
      </c>
      <c r="I424" s="20">
        <v>486.81</v>
      </c>
      <c r="J424" s="51" t="s">
        <v>2654</v>
      </c>
      <c r="K424" s="15">
        <v>0</v>
      </c>
      <c r="L424" s="51" t="s">
        <v>2371</v>
      </c>
      <c r="M424" s="51" t="s">
        <v>3118</v>
      </c>
      <c r="N424" s="51" t="s">
        <v>1344</v>
      </c>
      <c r="O424" s="51" t="s">
        <v>3119</v>
      </c>
      <c r="P424" s="51" t="s">
        <v>1344</v>
      </c>
      <c r="Q424" s="45">
        <v>46281.464923981483</v>
      </c>
      <c r="R424" s="46">
        <v>46305</v>
      </c>
      <c r="S424" s="46">
        <v>46300</v>
      </c>
      <c r="T424" s="51" t="s">
        <v>6119</v>
      </c>
      <c r="U424" s="15"/>
      <c r="V424" s="15"/>
      <c r="W424" s="15"/>
      <c r="X424" s="15"/>
      <c r="Y424" s="15"/>
      <c r="Z424" s="15"/>
      <c r="AA424" s="46"/>
      <c r="AB424" s="15"/>
      <c r="AC424" s="15"/>
      <c r="AD424" s="15"/>
      <c r="AE424" s="15"/>
      <c r="AF424" s="15"/>
      <c r="AG424" s="15"/>
      <c r="AH424" s="15"/>
      <c r="AI424" s="46"/>
      <c r="AJ424" s="51" t="s">
        <v>67</v>
      </c>
      <c r="AK424" s="51" t="s">
        <v>67</v>
      </c>
      <c r="AL424" s="15"/>
      <c r="AM424" s="51" t="s">
        <v>67</v>
      </c>
      <c r="AN424" s="51" t="s">
        <v>67</v>
      </c>
      <c r="AO424" s="50" t="s">
        <v>9554</v>
      </c>
    </row>
    <row r="425" spans="1:41" hidden="1" x14ac:dyDescent="0.25">
      <c r="A425" s="51" t="s">
        <v>3120</v>
      </c>
      <c r="B425" s="51" t="s">
        <v>3121</v>
      </c>
      <c r="C425" s="54" t="s">
        <v>611</v>
      </c>
      <c r="D425" s="51" t="s">
        <v>3122</v>
      </c>
      <c r="E425" s="20">
        <v>7707.61</v>
      </c>
      <c r="F425" s="20">
        <v>6452.19</v>
      </c>
      <c r="G425" s="20">
        <v>8621.11</v>
      </c>
      <c r="H425" s="20">
        <v>5673.21</v>
      </c>
      <c r="I425" s="20">
        <v>6452.19</v>
      </c>
      <c r="J425" s="51" t="s">
        <v>6727</v>
      </c>
      <c r="K425" s="15">
        <v>32</v>
      </c>
      <c r="L425" s="51" t="s">
        <v>2369</v>
      </c>
      <c r="M425" s="51" t="s">
        <v>3123</v>
      </c>
      <c r="N425" s="51" t="s">
        <v>1344</v>
      </c>
      <c r="O425" s="51" t="s">
        <v>67</v>
      </c>
      <c r="P425" s="51" t="s">
        <v>67</v>
      </c>
      <c r="Q425" s="45">
        <v>46281.464926203706</v>
      </c>
      <c r="R425" s="46">
        <v>46320</v>
      </c>
      <c r="S425" s="46">
        <v>46315</v>
      </c>
      <c r="T425" s="51" t="s">
        <v>6119</v>
      </c>
      <c r="U425" s="15">
        <v>849.8</v>
      </c>
      <c r="V425" s="15">
        <v>3922.15</v>
      </c>
      <c r="W425" s="15">
        <v>36.39</v>
      </c>
      <c r="X425" s="15">
        <v>14.9</v>
      </c>
      <c r="Y425" s="15">
        <v>1.6620440000000001</v>
      </c>
      <c r="Z425" s="15">
        <v>6</v>
      </c>
      <c r="AA425" s="46">
        <v>46259</v>
      </c>
      <c r="AB425" s="15"/>
      <c r="AC425" s="15"/>
      <c r="AD425" s="15"/>
      <c r="AE425" s="15"/>
      <c r="AF425" s="15"/>
      <c r="AG425" s="15"/>
      <c r="AH425" s="15"/>
      <c r="AI425" s="46"/>
      <c r="AJ425" s="51" t="s">
        <v>6121</v>
      </c>
      <c r="AK425" s="51" t="s">
        <v>6121</v>
      </c>
      <c r="AL425" s="15">
        <v>849.8</v>
      </c>
      <c r="AM425" s="51" t="s">
        <v>67</v>
      </c>
      <c r="AN425" s="51" t="s">
        <v>67</v>
      </c>
      <c r="AO425" s="50" t="s">
        <v>9554</v>
      </c>
    </row>
    <row r="426" spans="1:41" hidden="1" x14ac:dyDescent="0.25">
      <c r="A426" s="51" t="s">
        <v>3124</v>
      </c>
      <c r="B426" s="51" t="s">
        <v>3125</v>
      </c>
      <c r="C426" s="54" t="s">
        <v>5596</v>
      </c>
      <c r="D426" s="51" t="s">
        <v>3126</v>
      </c>
      <c r="E426" s="20">
        <v>9345.4599999999991</v>
      </c>
      <c r="F426" s="20">
        <v>5192.8900000000003</v>
      </c>
      <c r="G426" s="20">
        <v>15108.68</v>
      </c>
      <c r="H426" s="20">
        <v>3870.86</v>
      </c>
      <c r="I426" s="20">
        <v>5192.88</v>
      </c>
      <c r="J426" s="51" t="s">
        <v>6727</v>
      </c>
      <c r="K426" s="15">
        <v>21</v>
      </c>
      <c r="L426" s="51" t="s">
        <v>2369</v>
      </c>
      <c r="M426" s="51" t="s">
        <v>3127</v>
      </c>
      <c r="N426" s="51" t="s">
        <v>1344</v>
      </c>
      <c r="O426" s="51" t="s">
        <v>67</v>
      </c>
      <c r="P426" s="51" t="s">
        <v>67</v>
      </c>
      <c r="Q426" s="45">
        <v>46281.464928333335</v>
      </c>
      <c r="R426" s="46">
        <v>46300</v>
      </c>
      <c r="S426" s="46">
        <v>46295</v>
      </c>
      <c r="T426" s="51" t="s">
        <v>6119</v>
      </c>
      <c r="U426" s="15">
        <v>848.05</v>
      </c>
      <c r="V426" s="15">
        <v>3921.84</v>
      </c>
      <c r="W426" s="15">
        <v>36.08</v>
      </c>
      <c r="X426" s="15">
        <v>14.9</v>
      </c>
      <c r="Y426" s="15">
        <v>1.662307</v>
      </c>
      <c r="Z426" s="15">
        <v>6</v>
      </c>
      <c r="AA426" s="46">
        <v>46270</v>
      </c>
      <c r="AB426" s="15"/>
      <c r="AC426" s="15"/>
      <c r="AD426" s="15"/>
      <c r="AE426" s="15"/>
      <c r="AF426" s="15"/>
      <c r="AG426" s="15"/>
      <c r="AH426" s="15"/>
      <c r="AI426" s="46"/>
      <c r="AJ426" s="51" t="s">
        <v>6121</v>
      </c>
      <c r="AK426" s="51" t="s">
        <v>6121</v>
      </c>
      <c r="AL426" s="15">
        <v>848.05</v>
      </c>
      <c r="AM426" s="51" t="s">
        <v>67</v>
      </c>
      <c r="AN426" s="51" t="s">
        <v>67</v>
      </c>
      <c r="AO426" s="50" t="s">
        <v>9554</v>
      </c>
    </row>
    <row r="427" spans="1:41" hidden="1" x14ac:dyDescent="0.25">
      <c r="A427" s="51" t="s">
        <v>3128</v>
      </c>
      <c r="B427" s="51" t="s">
        <v>3129</v>
      </c>
      <c r="C427" s="54" t="s">
        <v>5596</v>
      </c>
      <c r="D427" s="51" t="s">
        <v>3130</v>
      </c>
      <c r="E427" s="20">
        <v>12410.41</v>
      </c>
      <c r="F427" s="20">
        <v>5015.4399999999996</v>
      </c>
      <c r="G427" s="20">
        <v>4896.53</v>
      </c>
      <c r="H427" s="20">
        <v>3870.86</v>
      </c>
      <c r="I427" s="20">
        <v>5015.43</v>
      </c>
      <c r="J427" s="51" t="s">
        <v>6727</v>
      </c>
      <c r="K427" s="15">
        <v>21</v>
      </c>
      <c r="L427" s="51" t="s">
        <v>2369</v>
      </c>
      <c r="M427" s="51" t="s">
        <v>3131</v>
      </c>
      <c r="N427" s="51" t="s">
        <v>1344</v>
      </c>
      <c r="O427" s="51" t="s">
        <v>67</v>
      </c>
      <c r="P427" s="51" t="s">
        <v>67</v>
      </c>
      <c r="Q427" s="45">
        <v>46281.464931446761</v>
      </c>
      <c r="R427" s="46">
        <v>46300</v>
      </c>
      <c r="S427" s="46">
        <v>46295</v>
      </c>
      <c r="T427" s="51" t="s">
        <v>6119</v>
      </c>
      <c r="U427" s="15">
        <v>848.05</v>
      </c>
      <c r="V427" s="15">
        <v>3921.84</v>
      </c>
      <c r="W427" s="15">
        <v>36.08</v>
      </c>
      <c r="X427" s="15">
        <v>14.9</v>
      </c>
      <c r="Y427" s="15">
        <v>1.662307</v>
      </c>
      <c r="Z427" s="15">
        <v>6</v>
      </c>
      <c r="AA427" s="46">
        <v>46270</v>
      </c>
      <c r="AB427" s="15"/>
      <c r="AC427" s="15"/>
      <c r="AD427" s="15"/>
      <c r="AE427" s="15"/>
      <c r="AF427" s="15"/>
      <c r="AG427" s="15"/>
      <c r="AH427" s="15"/>
      <c r="AI427" s="46"/>
      <c r="AJ427" s="51" t="s">
        <v>6121</v>
      </c>
      <c r="AK427" s="51" t="s">
        <v>6121</v>
      </c>
      <c r="AL427" s="15">
        <v>848.05</v>
      </c>
      <c r="AM427" s="51" t="s">
        <v>67</v>
      </c>
      <c r="AN427" s="51" t="s">
        <v>67</v>
      </c>
      <c r="AO427" s="50" t="s">
        <v>9554</v>
      </c>
    </row>
    <row r="428" spans="1:41" hidden="1" x14ac:dyDescent="0.25">
      <c r="A428" s="51" t="s">
        <v>3132</v>
      </c>
      <c r="B428" s="51" t="s">
        <v>3133</v>
      </c>
      <c r="C428" s="54" t="s">
        <v>607</v>
      </c>
      <c r="D428" s="51" t="s">
        <v>3134</v>
      </c>
      <c r="E428" s="20">
        <v>10254.780000000001</v>
      </c>
      <c r="F428" s="20">
        <v>618.38</v>
      </c>
      <c r="G428" s="20">
        <v>2022.41</v>
      </c>
      <c r="H428" s="20">
        <v>3870.86</v>
      </c>
      <c r="I428" s="20">
        <v>92.13</v>
      </c>
      <c r="J428" s="51" t="s">
        <v>6724</v>
      </c>
      <c r="K428" s="15">
        <v>0</v>
      </c>
      <c r="L428" s="51" t="s">
        <v>2371</v>
      </c>
      <c r="M428" s="51" t="s">
        <v>67</v>
      </c>
      <c r="N428" s="51" t="s">
        <v>67</v>
      </c>
      <c r="O428" s="51" t="s">
        <v>3135</v>
      </c>
      <c r="P428" s="51" t="s">
        <v>1340</v>
      </c>
      <c r="Q428" s="45">
        <v>46281.464933750001</v>
      </c>
      <c r="R428" s="46">
        <v>46310</v>
      </c>
      <c r="S428" s="46">
        <v>46305</v>
      </c>
      <c r="T428" s="51" t="s">
        <v>6119</v>
      </c>
      <c r="U428" s="15">
        <v>848.05</v>
      </c>
      <c r="V428" s="15">
        <v>3921.84</v>
      </c>
      <c r="W428" s="15">
        <v>36.08</v>
      </c>
      <c r="X428" s="15">
        <v>14.9</v>
      </c>
      <c r="Y428" s="15">
        <v>1.662307</v>
      </c>
      <c r="Z428" s="15">
        <v>6</v>
      </c>
      <c r="AA428" s="46">
        <v>46280</v>
      </c>
      <c r="AB428" s="15"/>
      <c r="AC428" s="15"/>
      <c r="AD428" s="15"/>
      <c r="AE428" s="15"/>
      <c r="AF428" s="15"/>
      <c r="AG428" s="15"/>
      <c r="AH428" s="15"/>
      <c r="AI428" s="46"/>
      <c r="AJ428" s="51" t="s">
        <v>67</v>
      </c>
      <c r="AK428" s="51" t="s">
        <v>6121</v>
      </c>
      <c r="AL428" s="15">
        <v>848.05</v>
      </c>
      <c r="AM428" s="51" t="s">
        <v>6705</v>
      </c>
      <c r="AN428" s="51" t="s">
        <v>6713</v>
      </c>
      <c r="AO428" s="50" t="s">
        <v>9554</v>
      </c>
    </row>
    <row r="429" spans="1:41" hidden="1" x14ac:dyDescent="0.25">
      <c r="A429" s="51" t="s">
        <v>3136</v>
      </c>
      <c r="B429" s="51" t="s">
        <v>3137</v>
      </c>
      <c r="C429" s="54" t="s">
        <v>605</v>
      </c>
      <c r="D429" s="51" t="s">
        <v>3138</v>
      </c>
      <c r="E429" s="20">
        <v>6393.77</v>
      </c>
      <c r="F429" s="20">
        <v>5045.09</v>
      </c>
      <c r="G429" s="20">
        <v>2439.54</v>
      </c>
      <c r="H429" s="20">
        <v>3870.86</v>
      </c>
      <c r="I429" s="20">
        <v>5045.09</v>
      </c>
      <c r="J429" s="51" t="s">
        <v>6727</v>
      </c>
      <c r="K429" s="15">
        <v>16</v>
      </c>
      <c r="L429" s="51" t="s">
        <v>2369</v>
      </c>
      <c r="M429" s="51" t="s">
        <v>67</v>
      </c>
      <c r="N429" s="51" t="s">
        <v>67</v>
      </c>
      <c r="O429" s="51" t="s">
        <v>3139</v>
      </c>
      <c r="P429" s="51" t="s">
        <v>1340</v>
      </c>
      <c r="Q429" s="45">
        <v>46281.464936574077</v>
      </c>
      <c r="R429" s="46">
        <v>46305</v>
      </c>
      <c r="S429" s="46">
        <v>46300</v>
      </c>
      <c r="T429" s="51" t="s">
        <v>6119</v>
      </c>
      <c r="U429" s="15">
        <v>848.05</v>
      </c>
      <c r="V429" s="15">
        <v>3921.84</v>
      </c>
      <c r="W429" s="15">
        <v>36.08</v>
      </c>
      <c r="X429" s="15">
        <v>14.9</v>
      </c>
      <c r="Y429" s="15">
        <v>1.662307</v>
      </c>
      <c r="Z429" s="15">
        <v>6</v>
      </c>
      <c r="AA429" s="46">
        <v>46275</v>
      </c>
      <c r="AB429" s="15"/>
      <c r="AC429" s="15"/>
      <c r="AD429" s="15"/>
      <c r="AE429" s="15"/>
      <c r="AF429" s="15"/>
      <c r="AG429" s="15"/>
      <c r="AH429" s="15"/>
      <c r="AI429" s="46"/>
      <c r="AJ429" s="51" t="s">
        <v>6121</v>
      </c>
      <c r="AK429" s="51" t="s">
        <v>6121</v>
      </c>
      <c r="AL429" s="15">
        <v>848.05</v>
      </c>
      <c r="AM429" s="51" t="s">
        <v>67</v>
      </c>
      <c r="AN429" s="51" t="s">
        <v>67</v>
      </c>
      <c r="AO429" s="50" t="s">
        <v>9554</v>
      </c>
    </row>
    <row r="430" spans="1:41" hidden="1" x14ac:dyDescent="0.25">
      <c r="A430" s="51" t="s">
        <v>3140</v>
      </c>
      <c r="B430" s="51" t="s">
        <v>3141</v>
      </c>
      <c r="C430" s="54" t="s">
        <v>605</v>
      </c>
      <c r="D430" s="51" t="s">
        <v>3142</v>
      </c>
      <c r="E430" s="20">
        <v>12497.3</v>
      </c>
      <c r="F430" s="20">
        <v>593.5</v>
      </c>
      <c r="G430" s="20">
        <v>12138.05</v>
      </c>
      <c r="H430" s="20">
        <v>0</v>
      </c>
      <c r="I430" s="20">
        <v>593.5</v>
      </c>
      <c r="J430" s="51" t="s">
        <v>2654</v>
      </c>
      <c r="K430" s="15">
        <v>0</v>
      </c>
      <c r="L430" s="51" t="s">
        <v>2371</v>
      </c>
      <c r="M430" s="51" t="s">
        <v>67</v>
      </c>
      <c r="N430" s="51" t="s">
        <v>67</v>
      </c>
      <c r="O430" s="51" t="s">
        <v>3143</v>
      </c>
      <c r="P430" s="51" t="s">
        <v>1344</v>
      </c>
      <c r="Q430" s="45">
        <v>46281.46493923611</v>
      </c>
      <c r="R430" s="46">
        <v>46305</v>
      </c>
      <c r="S430" s="46">
        <v>46300</v>
      </c>
      <c r="T430" s="51" t="s">
        <v>6119</v>
      </c>
      <c r="U430" s="15"/>
      <c r="V430" s="15"/>
      <c r="W430" s="15"/>
      <c r="X430" s="15"/>
      <c r="Y430" s="15"/>
      <c r="Z430" s="15"/>
      <c r="AA430" s="46"/>
      <c r="AB430" s="15"/>
      <c r="AC430" s="15"/>
      <c r="AD430" s="15"/>
      <c r="AE430" s="15"/>
      <c r="AF430" s="15"/>
      <c r="AG430" s="15"/>
      <c r="AH430" s="15"/>
      <c r="AI430" s="46"/>
      <c r="AJ430" s="51" t="s">
        <v>67</v>
      </c>
      <c r="AK430" s="51" t="s">
        <v>67</v>
      </c>
      <c r="AL430" s="15"/>
      <c r="AM430" s="51" t="s">
        <v>67</v>
      </c>
      <c r="AN430" s="51" t="s">
        <v>67</v>
      </c>
      <c r="AO430" s="50" t="s">
        <v>9554</v>
      </c>
    </row>
    <row r="431" spans="1:41" hidden="1" x14ac:dyDescent="0.25">
      <c r="A431" s="51" t="s">
        <v>3144</v>
      </c>
      <c r="B431" s="51" t="s">
        <v>3145</v>
      </c>
      <c r="C431" s="54" t="s">
        <v>605</v>
      </c>
      <c r="D431" s="51" t="s">
        <v>3146</v>
      </c>
      <c r="E431" s="20">
        <v>3922.35</v>
      </c>
      <c r="F431" s="20">
        <v>872.82</v>
      </c>
      <c r="G431" s="20">
        <v>5540.59</v>
      </c>
      <c r="H431" s="20">
        <v>0</v>
      </c>
      <c r="I431" s="20">
        <v>872.82</v>
      </c>
      <c r="J431" s="51" t="s">
        <v>2654</v>
      </c>
      <c r="K431" s="15">
        <v>0</v>
      </c>
      <c r="L431" s="51" t="s">
        <v>2371</v>
      </c>
      <c r="M431" s="51" t="s">
        <v>3147</v>
      </c>
      <c r="N431" s="51" t="s">
        <v>1340</v>
      </c>
      <c r="O431" s="51" t="s">
        <v>3148</v>
      </c>
      <c r="P431" s="51" t="s">
        <v>1340</v>
      </c>
      <c r="Q431" s="45">
        <v>46281.464941365739</v>
      </c>
      <c r="R431" s="46">
        <v>46305</v>
      </c>
      <c r="S431" s="46">
        <v>46300</v>
      </c>
      <c r="T431" s="51" t="s">
        <v>6119</v>
      </c>
      <c r="U431" s="15"/>
      <c r="V431" s="15"/>
      <c r="W431" s="15"/>
      <c r="X431" s="15"/>
      <c r="Y431" s="15"/>
      <c r="Z431" s="15"/>
      <c r="AA431" s="46"/>
      <c r="AB431" s="15"/>
      <c r="AC431" s="15"/>
      <c r="AD431" s="15"/>
      <c r="AE431" s="15"/>
      <c r="AF431" s="15"/>
      <c r="AG431" s="15"/>
      <c r="AH431" s="15"/>
      <c r="AI431" s="46"/>
      <c r="AJ431" s="51" t="s">
        <v>67</v>
      </c>
      <c r="AK431" s="51" t="s">
        <v>67</v>
      </c>
      <c r="AL431" s="15"/>
      <c r="AM431" s="51" t="s">
        <v>67</v>
      </c>
      <c r="AN431" s="51" t="s">
        <v>67</v>
      </c>
      <c r="AO431" s="50" t="s">
        <v>9554</v>
      </c>
    </row>
    <row r="432" spans="1:41" hidden="1" x14ac:dyDescent="0.25">
      <c r="A432" s="51" t="s">
        <v>3149</v>
      </c>
      <c r="B432" s="51" t="s">
        <v>3150</v>
      </c>
      <c r="C432" s="54" t="s">
        <v>607</v>
      </c>
      <c r="D432" s="51" t="s">
        <v>3151</v>
      </c>
      <c r="E432" s="20">
        <v>11730.02</v>
      </c>
      <c r="F432" s="20">
        <v>4351.25</v>
      </c>
      <c r="G432" s="20">
        <v>719.76</v>
      </c>
      <c r="H432" s="20">
        <v>3870.86</v>
      </c>
      <c r="I432" s="20">
        <v>3575.9</v>
      </c>
      <c r="J432" s="51" t="s">
        <v>6725</v>
      </c>
      <c r="K432" s="15">
        <v>0</v>
      </c>
      <c r="L432" s="51" t="s">
        <v>2371</v>
      </c>
      <c r="M432" s="51" t="s">
        <v>67</v>
      </c>
      <c r="N432" s="51" t="s">
        <v>67</v>
      </c>
      <c r="O432" s="51" t="s">
        <v>3152</v>
      </c>
      <c r="P432" s="51" t="s">
        <v>1340</v>
      </c>
      <c r="Q432" s="45">
        <v>46281.464943680556</v>
      </c>
      <c r="R432" s="46">
        <v>46310</v>
      </c>
      <c r="S432" s="46">
        <v>46305</v>
      </c>
      <c r="T432" s="51" t="s">
        <v>6119</v>
      </c>
      <c r="U432" s="15">
        <v>848.05</v>
      </c>
      <c r="V432" s="15">
        <v>3921.84</v>
      </c>
      <c r="W432" s="15">
        <v>36.08</v>
      </c>
      <c r="X432" s="15">
        <v>14.9</v>
      </c>
      <c r="Y432" s="15">
        <v>1.662307</v>
      </c>
      <c r="Z432" s="15">
        <v>6</v>
      </c>
      <c r="AA432" s="46">
        <v>46280</v>
      </c>
      <c r="AB432" s="15"/>
      <c r="AC432" s="15"/>
      <c r="AD432" s="15"/>
      <c r="AE432" s="15"/>
      <c r="AF432" s="15"/>
      <c r="AG432" s="15"/>
      <c r="AH432" s="15"/>
      <c r="AI432" s="46"/>
      <c r="AJ432" s="51" t="s">
        <v>67</v>
      </c>
      <c r="AK432" s="51" t="s">
        <v>6121</v>
      </c>
      <c r="AL432" s="15">
        <v>848.05</v>
      </c>
      <c r="AM432" s="51" t="s">
        <v>67</v>
      </c>
      <c r="AN432" s="51" t="s">
        <v>67</v>
      </c>
      <c r="AO432" s="50" t="s">
        <v>9554</v>
      </c>
    </row>
    <row r="433" spans="1:41" hidden="1" x14ac:dyDescent="0.25">
      <c r="A433" s="51" t="s">
        <v>3153</v>
      </c>
      <c r="B433" s="51" t="s">
        <v>3154</v>
      </c>
      <c r="C433" s="54" t="s">
        <v>605</v>
      </c>
      <c r="D433" s="51" t="s">
        <v>3155</v>
      </c>
      <c r="E433" s="20">
        <v>13820.98</v>
      </c>
      <c r="F433" s="20">
        <v>769.32</v>
      </c>
      <c r="G433" s="20">
        <v>1455.45</v>
      </c>
      <c r="H433" s="20">
        <v>0</v>
      </c>
      <c r="I433" s="20">
        <v>769.32</v>
      </c>
      <c r="J433" s="51" t="s">
        <v>2654</v>
      </c>
      <c r="K433" s="15">
        <v>0</v>
      </c>
      <c r="L433" s="51" t="s">
        <v>2371</v>
      </c>
      <c r="M433" s="51" t="s">
        <v>67</v>
      </c>
      <c r="N433" s="51" t="s">
        <v>67</v>
      </c>
      <c r="O433" s="51" t="s">
        <v>3156</v>
      </c>
      <c r="P433" s="51" t="s">
        <v>1340</v>
      </c>
      <c r="Q433" s="45">
        <v>46281.464945856482</v>
      </c>
      <c r="R433" s="46">
        <v>46305</v>
      </c>
      <c r="S433" s="46">
        <v>46300</v>
      </c>
      <c r="T433" s="51" t="s">
        <v>6119</v>
      </c>
      <c r="U433" s="15"/>
      <c r="V433" s="15"/>
      <c r="W433" s="15"/>
      <c r="X433" s="15"/>
      <c r="Y433" s="15"/>
      <c r="Z433" s="15"/>
      <c r="AA433" s="46"/>
      <c r="AB433" s="15"/>
      <c r="AC433" s="15"/>
      <c r="AD433" s="15"/>
      <c r="AE433" s="15"/>
      <c r="AF433" s="15"/>
      <c r="AG433" s="15"/>
      <c r="AH433" s="15"/>
      <c r="AI433" s="46"/>
      <c r="AJ433" s="51" t="s">
        <v>67</v>
      </c>
      <c r="AK433" s="51" t="s">
        <v>67</v>
      </c>
      <c r="AL433" s="15"/>
      <c r="AM433" s="51" t="s">
        <v>67</v>
      </c>
      <c r="AN433" s="51" t="s">
        <v>67</v>
      </c>
      <c r="AO433" s="50" t="s">
        <v>9554</v>
      </c>
    </row>
    <row r="434" spans="1:41" hidden="1" x14ac:dyDescent="0.25">
      <c r="A434" s="51" t="s">
        <v>3157</v>
      </c>
      <c r="B434" s="51" t="s">
        <v>3158</v>
      </c>
      <c r="C434" s="54" t="s">
        <v>608</v>
      </c>
      <c r="D434" s="51" t="s">
        <v>3159</v>
      </c>
      <c r="E434" s="20">
        <v>2284.9499999999998</v>
      </c>
      <c r="F434" s="20">
        <v>9150.65</v>
      </c>
      <c r="G434" s="20">
        <v>10463.43</v>
      </c>
      <c r="H434" s="20">
        <v>3870.86</v>
      </c>
      <c r="I434" s="20">
        <v>6570.08</v>
      </c>
      <c r="J434" s="51" t="s">
        <v>6727</v>
      </c>
      <c r="K434" s="15">
        <v>37</v>
      </c>
      <c r="L434" s="51" t="s">
        <v>2369</v>
      </c>
      <c r="M434" s="51" t="s">
        <v>3160</v>
      </c>
      <c r="N434" s="51" t="s">
        <v>1340</v>
      </c>
      <c r="O434" s="51" t="s">
        <v>3161</v>
      </c>
      <c r="P434" s="51" t="s">
        <v>1340</v>
      </c>
      <c r="Q434" s="45">
        <v>46281.464947719905</v>
      </c>
      <c r="R434" s="46">
        <v>46315</v>
      </c>
      <c r="S434" s="46">
        <v>46310</v>
      </c>
      <c r="T434" s="51" t="s">
        <v>6119</v>
      </c>
      <c r="U434" s="15">
        <v>849.8</v>
      </c>
      <c r="V434" s="15">
        <v>3922.15</v>
      </c>
      <c r="W434" s="15">
        <v>36.39</v>
      </c>
      <c r="X434" s="15">
        <v>14.9</v>
      </c>
      <c r="Y434" s="15">
        <v>1.6620440000000001</v>
      </c>
      <c r="Z434" s="15">
        <v>6</v>
      </c>
      <c r="AA434" s="46">
        <v>46254</v>
      </c>
      <c r="AB434" s="15"/>
      <c r="AC434" s="15"/>
      <c r="AD434" s="15"/>
      <c r="AE434" s="15"/>
      <c r="AF434" s="15"/>
      <c r="AG434" s="15"/>
      <c r="AH434" s="15"/>
      <c r="AI434" s="46"/>
      <c r="AJ434" s="51" t="s">
        <v>6121</v>
      </c>
      <c r="AK434" s="51" t="s">
        <v>6121</v>
      </c>
      <c r="AL434" s="15">
        <v>849.8</v>
      </c>
      <c r="AM434" s="51" t="s">
        <v>67</v>
      </c>
      <c r="AN434" s="51" t="s">
        <v>67</v>
      </c>
      <c r="AO434" s="50" t="s">
        <v>9554</v>
      </c>
    </row>
    <row r="435" spans="1:41" hidden="1" x14ac:dyDescent="0.25">
      <c r="A435" s="51" t="s">
        <v>3162</v>
      </c>
      <c r="B435" s="51" t="s">
        <v>3163</v>
      </c>
      <c r="C435" s="54" t="s">
        <v>608</v>
      </c>
      <c r="D435" s="51" t="s">
        <v>3164</v>
      </c>
      <c r="E435" s="20">
        <v>11822.2</v>
      </c>
      <c r="F435" s="20">
        <v>9110.01</v>
      </c>
      <c r="G435" s="20">
        <v>1092.48</v>
      </c>
      <c r="H435" s="20">
        <v>3870.86</v>
      </c>
      <c r="I435" s="20">
        <v>6099.34</v>
      </c>
      <c r="J435" s="51" t="s">
        <v>6727</v>
      </c>
      <c r="K435" s="15">
        <v>37</v>
      </c>
      <c r="L435" s="51" t="s">
        <v>2369</v>
      </c>
      <c r="M435" s="51" t="s">
        <v>67</v>
      </c>
      <c r="N435" s="51" t="s">
        <v>67</v>
      </c>
      <c r="O435" s="51" t="s">
        <v>3165</v>
      </c>
      <c r="P435" s="51" t="s">
        <v>1344</v>
      </c>
      <c r="Q435" s="45">
        <v>46281.464950231479</v>
      </c>
      <c r="R435" s="46">
        <v>46315</v>
      </c>
      <c r="S435" s="46">
        <v>46310</v>
      </c>
      <c r="T435" s="51" t="s">
        <v>6119</v>
      </c>
      <c r="U435" s="15">
        <v>849.8</v>
      </c>
      <c r="V435" s="15">
        <v>3922.15</v>
      </c>
      <c r="W435" s="15">
        <v>36.39</v>
      </c>
      <c r="X435" s="15">
        <v>14.9</v>
      </c>
      <c r="Y435" s="15">
        <v>1.6620440000000001</v>
      </c>
      <c r="Z435" s="15">
        <v>6</v>
      </c>
      <c r="AA435" s="46">
        <v>46254</v>
      </c>
      <c r="AB435" s="15"/>
      <c r="AC435" s="15"/>
      <c r="AD435" s="15"/>
      <c r="AE435" s="15"/>
      <c r="AF435" s="15"/>
      <c r="AG435" s="15"/>
      <c r="AH435" s="15"/>
      <c r="AI435" s="46"/>
      <c r="AJ435" s="51" t="s">
        <v>6121</v>
      </c>
      <c r="AK435" s="51" t="s">
        <v>6121</v>
      </c>
      <c r="AL435" s="15">
        <v>849.8</v>
      </c>
      <c r="AM435" s="51" t="s">
        <v>67</v>
      </c>
      <c r="AN435" s="51" t="s">
        <v>67</v>
      </c>
      <c r="AO435" s="50" t="s">
        <v>9554</v>
      </c>
    </row>
    <row r="436" spans="1:41" hidden="1" x14ac:dyDescent="0.25">
      <c r="A436" s="51" t="s">
        <v>3166</v>
      </c>
      <c r="B436" s="51" t="s">
        <v>3167</v>
      </c>
      <c r="C436" s="54" t="s">
        <v>605</v>
      </c>
      <c r="D436" s="51" t="s">
        <v>3168</v>
      </c>
      <c r="E436" s="20">
        <v>7544.44</v>
      </c>
      <c r="F436" s="20">
        <v>912.66</v>
      </c>
      <c r="G436" s="20">
        <v>1808.93</v>
      </c>
      <c r="H436" s="20">
        <v>0</v>
      </c>
      <c r="I436" s="20">
        <v>912.66</v>
      </c>
      <c r="J436" s="51" t="s">
        <v>2654</v>
      </c>
      <c r="K436" s="15">
        <v>0</v>
      </c>
      <c r="L436" s="51" t="s">
        <v>2371</v>
      </c>
      <c r="M436" s="51" t="s">
        <v>3169</v>
      </c>
      <c r="N436" s="51" t="s">
        <v>1340</v>
      </c>
      <c r="O436" s="51" t="s">
        <v>3170</v>
      </c>
      <c r="P436" s="51" t="s">
        <v>1340</v>
      </c>
      <c r="Q436" s="45">
        <v>46281.464952326387</v>
      </c>
      <c r="R436" s="46">
        <v>46305</v>
      </c>
      <c r="S436" s="46">
        <v>46300</v>
      </c>
      <c r="T436" s="51" t="s">
        <v>6119</v>
      </c>
      <c r="U436" s="15"/>
      <c r="V436" s="15"/>
      <c r="W436" s="15"/>
      <c r="X436" s="15"/>
      <c r="Y436" s="15"/>
      <c r="Z436" s="15"/>
      <c r="AA436" s="46"/>
      <c r="AB436" s="15"/>
      <c r="AC436" s="15"/>
      <c r="AD436" s="15"/>
      <c r="AE436" s="15"/>
      <c r="AF436" s="15"/>
      <c r="AG436" s="15"/>
      <c r="AH436" s="15"/>
      <c r="AI436" s="46"/>
      <c r="AJ436" s="51" t="s">
        <v>67</v>
      </c>
      <c r="AK436" s="51" t="s">
        <v>67</v>
      </c>
      <c r="AL436" s="15"/>
      <c r="AM436" s="51" t="s">
        <v>67</v>
      </c>
      <c r="AN436" s="51" t="s">
        <v>67</v>
      </c>
      <c r="AO436" s="50" t="s">
        <v>9554</v>
      </c>
    </row>
    <row r="437" spans="1:41" hidden="1" x14ac:dyDescent="0.25">
      <c r="A437" s="51" t="s">
        <v>3171</v>
      </c>
      <c r="B437" s="51" t="s">
        <v>3172</v>
      </c>
      <c r="C437" s="54" t="s">
        <v>611</v>
      </c>
      <c r="D437" s="51" t="s">
        <v>3173</v>
      </c>
      <c r="E437" s="20">
        <v>12499.33</v>
      </c>
      <c r="F437" s="20">
        <v>927.04</v>
      </c>
      <c r="G437" s="20">
        <v>3145.91</v>
      </c>
      <c r="H437" s="20">
        <v>900.62</v>
      </c>
      <c r="I437" s="20">
        <v>927.04</v>
      </c>
      <c r="J437" s="51" t="s">
        <v>6727</v>
      </c>
      <c r="K437" s="15">
        <v>1</v>
      </c>
      <c r="L437" s="51" t="s">
        <v>2369</v>
      </c>
      <c r="M437" s="51" t="s">
        <v>3174</v>
      </c>
      <c r="N437" s="51" t="s">
        <v>1344</v>
      </c>
      <c r="O437" s="51" t="s">
        <v>67</v>
      </c>
      <c r="P437" s="51" t="s">
        <v>67</v>
      </c>
      <c r="Q437" s="45">
        <v>46281.464954317133</v>
      </c>
      <c r="R437" s="46">
        <v>46320</v>
      </c>
      <c r="S437" s="46">
        <v>46315</v>
      </c>
      <c r="T437" s="51" t="s">
        <v>6119</v>
      </c>
      <c r="U437" s="15"/>
      <c r="V437" s="15"/>
      <c r="W437" s="15"/>
      <c r="X437" s="15"/>
      <c r="Y437" s="15"/>
      <c r="Z437" s="15"/>
      <c r="AA437" s="46"/>
      <c r="AB437" s="15"/>
      <c r="AC437" s="15"/>
      <c r="AD437" s="15"/>
      <c r="AE437" s="15"/>
      <c r="AF437" s="15"/>
      <c r="AG437" s="15"/>
      <c r="AH437" s="15"/>
      <c r="AI437" s="46"/>
      <c r="AJ437" s="51" t="s">
        <v>67</v>
      </c>
      <c r="AK437" s="51" t="s">
        <v>67</v>
      </c>
      <c r="AL437" s="15"/>
      <c r="AM437" s="51" t="s">
        <v>67</v>
      </c>
      <c r="AN437" s="51" t="s">
        <v>67</v>
      </c>
      <c r="AO437" s="50" t="s">
        <v>9554</v>
      </c>
    </row>
    <row r="438" spans="1:41" hidden="1" x14ac:dyDescent="0.25">
      <c r="A438" s="51" t="s">
        <v>3175</v>
      </c>
      <c r="B438" s="51" t="s">
        <v>3176</v>
      </c>
      <c r="C438" s="54" t="s">
        <v>5596</v>
      </c>
      <c r="D438" s="51" t="s">
        <v>3177</v>
      </c>
      <c r="E438" s="20">
        <v>5432.66</v>
      </c>
      <c r="F438" s="20">
        <v>573.19000000000005</v>
      </c>
      <c r="G438" s="20">
        <v>11510.28</v>
      </c>
      <c r="H438" s="20">
        <v>0</v>
      </c>
      <c r="I438" s="20">
        <v>573.19000000000005</v>
      </c>
      <c r="J438" s="51" t="s">
        <v>2654</v>
      </c>
      <c r="K438" s="15">
        <v>0</v>
      </c>
      <c r="L438" s="51" t="s">
        <v>2371</v>
      </c>
      <c r="M438" s="51" t="s">
        <v>67</v>
      </c>
      <c r="N438" s="51" t="s">
        <v>67</v>
      </c>
      <c r="O438" s="51" t="s">
        <v>3178</v>
      </c>
      <c r="P438" s="51" t="s">
        <v>1340</v>
      </c>
      <c r="Q438" s="45">
        <v>46281.464956064818</v>
      </c>
      <c r="R438" s="46">
        <v>46300</v>
      </c>
      <c r="S438" s="46">
        <v>46295</v>
      </c>
      <c r="T438" s="51" t="s">
        <v>6119</v>
      </c>
      <c r="U438" s="15"/>
      <c r="V438" s="15"/>
      <c r="W438" s="15"/>
      <c r="X438" s="15"/>
      <c r="Y438" s="15"/>
      <c r="Z438" s="15"/>
      <c r="AA438" s="46"/>
      <c r="AB438" s="15"/>
      <c r="AC438" s="15"/>
      <c r="AD438" s="15"/>
      <c r="AE438" s="15"/>
      <c r="AF438" s="15"/>
      <c r="AG438" s="15"/>
      <c r="AH438" s="15"/>
      <c r="AI438" s="46"/>
      <c r="AJ438" s="51" t="s">
        <v>67</v>
      </c>
      <c r="AK438" s="51" t="s">
        <v>67</v>
      </c>
      <c r="AL438" s="15"/>
      <c r="AM438" s="51" t="s">
        <v>67</v>
      </c>
      <c r="AN438" s="51" t="s">
        <v>67</v>
      </c>
      <c r="AO438" s="50" t="s">
        <v>9554</v>
      </c>
    </row>
    <row r="439" spans="1:41" hidden="1" x14ac:dyDescent="0.25">
      <c r="A439" s="51" t="s">
        <v>3179</v>
      </c>
      <c r="B439" s="51" t="s">
        <v>3180</v>
      </c>
      <c r="C439" s="54" t="s">
        <v>608</v>
      </c>
      <c r="D439" s="51" t="s">
        <v>3181</v>
      </c>
      <c r="E439" s="20">
        <v>1132.69</v>
      </c>
      <c r="F439" s="20">
        <v>0</v>
      </c>
      <c r="G439" s="20">
        <v>12976.76</v>
      </c>
      <c r="H439" s="20">
        <v>0</v>
      </c>
      <c r="I439" s="20">
        <v>920.48</v>
      </c>
      <c r="J439" s="51" t="s">
        <v>2654</v>
      </c>
      <c r="K439" s="15">
        <v>0</v>
      </c>
      <c r="L439" s="51" t="s">
        <v>2371</v>
      </c>
      <c r="M439" s="51" t="s">
        <v>67</v>
      </c>
      <c r="N439" s="51" t="s">
        <v>67</v>
      </c>
      <c r="O439" s="51" t="s">
        <v>3182</v>
      </c>
      <c r="P439" s="51" t="s">
        <v>1340</v>
      </c>
      <c r="Q439" s="45">
        <v>46281.464957696757</v>
      </c>
      <c r="R439" s="46">
        <v>46315</v>
      </c>
      <c r="S439" s="46">
        <v>46310</v>
      </c>
      <c r="T439" s="51" t="s">
        <v>6119</v>
      </c>
      <c r="U439" s="15"/>
      <c r="V439" s="15"/>
      <c r="W439" s="15"/>
      <c r="X439" s="15"/>
      <c r="Y439" s="15"/>
      <c r="Z439" s="15"/>
      <c r="AA439" s="46"/>
      <c r="AB439" s="15"/>
      <c r="AC439" s="15"/>
      <c r="AD439" s="15"/>
      <c r="AE439" s="15"/>
      <c r="AF439" s="15"/>
      <c r="AG439" s="15"/>
      <c r="AH439" s="15"/>
      <c r="AI439" s="46"/>
      <c r="AJ439" s="51" t="s">
        <v>67</v>
      </c>
      <c r="AK439" s="51" t="s">
        <v>67</v>
      </c>
      <c r="AL439" s="15"/>
      <c r="AM439" s="51" t="s">
        <v>67</v>
      </c>
      <c r="AN439" s="51" t="s">
        <v>67</v>
      </c>
      <c r="AO439" s="50" t="s">
        <v>9554</v>
      </c>
    </row>
    <row r="440" spans="1:41" hidden="1" x14ac:dyDescent="0.25">
      <c r="A440" s="51" t="s">
        <v>3183</v>
      </c>
      <c r="B440" s="51" t="s">
        <v>3184</v>
      </c>
      <c r="C440" s="54" t="s">
        <v>605</v>
      </c>
      <c r="D440" s="51" t="s">
        <v>3185</v>
      </c>
      <c r="E440" s="20">
        <v>14603.13</v>
      </c>
      <c r="F440" s="20">
        <v>905.14</v>
      </c>
      <c r="G440" s="20">
        <v>15242.07</v>
      </c>
      <c r="H440" s="20">
        <v>0</v>
      </c>
      <c r="I440" s="20">
        <v>905.14</v>
      </c>
      <c r="J440" s="51" t="s">
        <v>2654</v>
      </c>
      <c r="K440" s="15">
        <v>0</v>
      </c>
      <c r="L440" s="51" t="s">
        <v>2371</v>
      </c>
      <c r="M440" s="51" t="s">
        <v>3186</v>
      </c>
      <c r="N440" s="51" t="s">
        <v>1344</v>
      </c>
      <c r="O440" s="51" t="s">
        <v>67</v>
      </c>
      <c r="P440" s="51" t="s">
        <v>67</v>
      </c>
      <c r="Q440" s="45">
        <v>46281.464959571756</v>
      </c>
      <c r="R440" s="46">
        <v>46305</v>
      </c>
      <c r="S440" s="46">
        <v>46300</v>
      </c>
      <c r="T440" s="51" t="s">
        <v>6119</v>
      </c>
      <c r="U440" s="15"/>
      <c r="V440" s="15"/>
      <c r="W440" s="15"/>
      <c r="X440" s="15"/>
      <c r="Y440" s="15"/>
      <c r="Z440" s="15"/>
      <c r="AA440" s="46"/>
      <c r="AB440" s="15"/>
      <c r="AC440" s="15"/>
      <c r="AD440" s="15"/>
      <c r="AE440" s="15"/>
      <c r="AF440" s="15"/>
      <c r="AG440" s="15"/>
      <c r="AH440" s="15"/>
      <c r="AI440" s="46"/>
      <c r="AJ440" s="51" t="s">
        <v>67</v>
      </c>
      <c r="AK440" s="51" t="s">
        <v>67</v>
      </c>
      <c r="AL440" s="15"/>
      <c r="AM440" s="51" t="s">
        <v>67</v>
      </c>
      <c r="AN440" s="51" t="s">
        <v>67</v>
      </c>
      <c r="AO440" s="50" t="s">
        <v>9554</v>
      </c>
    </row>
    <row r="441" spans="1:41" hidden="1" x14ac:dyDescent="0.25">
      <c r="A441" s="51" t="s">
        <v>3187</v>
      </c>
      <c r="B441" s="51" t="s">
        <v>3188</v>
      </c>
      <c r="C441" s="54" t="s">
        <v>607</v>
      </c>
      <c r="D441" s="51" t="s">
        <v>3189</v>
      </c>
      <c r="E441" s="20">
        <v>6341.95</v>
      </c>
      <c r="F441" s="20">
        <v>284.39999999999998</v>
      </c>
      <c r="G441" s="20">
        <v>18155.669999999998</v>
      </c>
      <c r="H441" s="20">
        <v>0</v>
      </c>
      <c r="I441" s="20">
        <v>511.92</v>
      </c>
      <c r="J441" s="51" t="s">
        <v>2654</v>
      </c>
      <c r="K441" s="15">
        <v>0</v>
      </c>
      <c r="L441" s="51" t="s">
        <v>2371</v>
      </c>
      <c r="M441" s="51" t="s">
        <v>67</v>
      </c>
      <c r="N441" s="51" t="s">
        <v>67</v>
      </c>
      <c r="O441" s="51" t="s">
        <v>3190</v>
      </c>
      <c r="P441" s="51" t="s">
        <v>1344</v>
      </c>
      <c r="Q441" s="45">
        <v>46281.464961365738</v>
      </c>
      <c r="R441" s="46">
        <v>46310</v>
      </c>
      <c r="S441" s="46">
        <v>46305</v>
      </c>
      <c r="T441" s="51" t="s">
        <v>6119</v>
      </c>
      <c r="U441" s="15"/>
      <c r="V441" s="15"/>
      <c r="W441" s="15"/>
      <c r="X441" s="15"/>
      <c r="Y441" s="15"/>
      <c r="Z441" s="15"/>
      <c r="AA441" s="46"/>
      <c r="AB441" s="15"/>
      <c r="AC441" s="15"/>
      <c r="AD441" s="15"/>
      <c r="AE441" s="15"/>
      <c r="AF441" s="15"/>
      <c r="AG441" s="15"/>
      <c r="AH441" s="15"/>
      <c r="AI441" s="46"/>
      <c r="AJ441" s="51" t="s">
        <v>67</v>
      </c>
      <c r="AK441" s="51" t="s">
        <v>67</v>
      </c>
      <c r="AL441" s="15"/>
      <c r="AM441" s="51" t="s">
        <v>67</v>
      </c>
      <c r="AN441" s="51" t="s">
        <v>67</v>
      </c>
      <c r="AO441" s="50" t="s">
        <v>9554</v>
      </c>
    </row>
    <row r="442" spans="1:41" hidden="1" x14ac:dyDescent="0.25">
      <c r="A442" s="51" t="s">
        <v>3191</v>
      </c>
      <c r="B442" s="51" t="s">
        <v>3192</v>
      </c>
      <c r="C442" s="54" t="s">
        <v>5596</v>
      </c>
      <c r="D442" s="51" t="s">
        <v>3193</v>
      </c>
      <c r="E442" s="20">
        <v>9067.24</v>
      </c>
      <c r="F442" s="20">
        <v>4971.18</v>
      </c>
      <c r="G442" s="20">
        <v>4573.8500000000004</v>
      </c>
      <c r="H442" s="20">
        <v>3870.86</v>
      </c>
      <c r="I442" s="20">
        <v>4971.17</v>
      </c>
      <c r="J442" s="51" t="s">
        <v>6727</v>
      </c>
      <c r="K442" s="15">
        <v>21</v>
      </c>
      <c r="L442" s="51" t="s">
        <v>2369</v>
      </c>
      <c r="M442" s="51" t="s">
        <v>3194</v>
      </c>
      <c r="N442" s="51" t="s">
        <v>1340</v>
      </c>
      <c r="O442" s="51" t="s">
        <v>67</v>
      </c>
      <c r="P442" s="51" t="s">
        <v>67</v>
      </c>
      <c r="Q442" s="45">
        <v>46281.464963287035</v>
      </c>
      <c r="R442" s="46">
        <v>46300</v>
      </c>
      <c r="S442" s="46">
        <v>46295</v>
      </c>
      <c r="T442" s="51" t="s">
        <v>6119</v>
      </c>
      <c r="U442" s="15">
        <v>848.05</v>
      </c>
      <c r="V442" s="15">
        <v>3921.84</v>
      </c>
      <c r="W442" s="15">
        <v>36.08</v>
      </c>
      <c r="X442" s="15">
        <v>14.9</v>
      </c>
      <c r="Y442" s="15">
        <v>1.662307</v>
      </c>
      <c r="Z442" s="15">
        <v>6</v>
      </c>
      <c r="AA442" s="46">
        <v>46270</v>
      </c>
      <c r="AB442" s="15"/>
      <c r="AC442" s="15"/>
      <c r="AD442" s="15"/>
      <c r="AE442" s="15"/>
      <c r="AF442" s="15"/>
      <c r="AG442" s="15"/>
      <c r="AH442" s="15"/>
      <c r="AI442" s="46"/>
      <c r="AJ442" s="51" t="s">
        <v>6121</v>
      </c>
      <c r="AK442" s="51" t="s">
        <v>6121</v>
      </c>
      <c r="AL442" s="15">
        <v>848.05</v>
      </c>
      <c r="AM442" s="51" t="s">
        <v>67</v>
      </c>
      <c r="AN442" s="51" t="s">
        <v>67</v>
      </c>
      <c r="AO442" s="50" t="s">
        <v>9554</v>
      </c>
    </row>
    <row r="443" spans="1:41" hidden="1" x14ac:dyDescent="0.25">
      <c r="A443" s="51" t="s">
        <v>3195</v>
      </c>
      <c r="B443" s="51" t="s">
        <v>3196</v>
      </c>
      <c r="C443" s="54" t="s">
        <v>608</v>
      </c>
      <c r="D443" s="51" t="s">
        <v>3197</v>
      </c>
      <c r="E443" s="20">
        <v>10367.209999999999</v>
      </c>
      <c r="F443" s="20">
        <v>0</v>
      </c>
      <c r="G443" s="20">
        <v>6055.78</v>
      </c>
      <c r="H443" s="20">
        <v>0</v>
      </c>
      <c r="I443" s="20">
        <v>808.72</v>
      </c>
      <c r="J443" s="51" t="s">
        <v>2654</v>
      </c>
      <c r="K443" s="15">
        <v>0</v>
      </c>
      <c r="L443" s="51" t="s">
        <v>2371</v>
      </c>
      <c r="M443" s="51" t="s">
        <v>67</v>
      </c>
      <c r="N443" s="51" t="s">
        <v>67</v>
      </c>
      <c r="O443" s="51" t="s">
        <v>3198</v>
      </c>
      <c r="P443" s="51" t="s">
        <v>1340</v>
      </c>
      <c r="Q443" s="45">
        <v>46281.464965694446</v>
      </c>
      <c r="R443" s="46">
        <v>46315</v>
      </c>
      <c r="S443" s="46">
        <v>46310</v>
      </c>
      <c r="T443" s="51" t="s">
        <v>6119</v>
      </c>
      <c r="U443" s="15"/>
      <c r="V443" s="15"/>
      <c r="W443" s="15"/>
      <c r="X443" s="15"/>
      <c r="Y443" s="15"/>
      <c r="Z443" s="15"/>
      <c r="AA443" s="46"/>
      <c r="AB443" s="15"/>
      <c r="AC443" s="15"/>
      <c r="AD443" s="15"/>
      <c r="AE443" s="15"/>
      <c r="AF443" s="15"/>
      <c r="AG443" s="15"/>
      <c r="AH443" s="15"/>
      <c r="AI443" s="46"/>
      <c r="AJ443" s="51" t="s">
        <v>67</v>
      </c>
      <c r="AK443" s="51" t="s">
        <v>67</v>
      </c>
      <c r="AL443" s="15"/>
      <c r="AM443" s="51" t="s">
        <v>67</v>
      </c>
      <c r="AN443" s="51" t="s">
        <v>67</v>
      </c>
      <c r="AO443" s="50" t="s">
        <v>9554</v>
      </c>
    </row>
    <row r="444" spans="1:41" hidden="1" x14ac:dyDescent="0.25">
      <c r="A444" s="51" t="s">
        <v>3199</v>
      </c>
      <c r="B444" s="51" t="s">
        <v>3200</v>
      </c>
      <c r="C444" s="54" t="s">
        <v>611</v>
      </c>
      <c r="D444" s="51" t="s">
        <v>3201</v>
      </c>
      <c r="E444" s="20">
        <v>8066.56</v>
      </c>
      <c r="F444" s="20">
        <v>92.13</v>
      </c>
      <c r="G444" s="20">
        <v>21361.86</v>
      </c>
      <c r="H444" s="20">
        <v>6594.45</v>
      </c>
      <c r="I444" s="20">
        <v>92.13</v>
      </c>
      <c r="J444" s="51" t="s">
        <v>6724</v>
      </c>
      <c r="K444" s="15">
        <v>0</v>
      </c>
      <c r="L444" s="51" t="s">
        <v>2371</v>
      </c>
      <c r="M444" s="51" t="s">
        <v>3202</v>
      </c>
      <c r="N444" s="51" t="s">
        <v>1344</v>
      </c>
      <c r="O444" s="51" t="s">
        <v>3203</v>
      </c>
      <c r="P444" s="51" t="s">
        <v>1344</v>
      </c>
      <c r="Q444" s="45">
        <v>46281.464967465276</v>
      </c>
      <c r="R444" s="46">
        <v>46320</v>
      </c>
      <c r="S444" s="46">
        <v>46315</v>
      </c>
      <c r="T444" s="51" t="s">
        <v>6119</v>
      </c>
      <c r="U444" s="15">
        <v>849.8</v>
      </c>
      <c r="V444" s="15">
        <v>3922.15</v>
      </c>
      <c r="W444" s="15">
        <v>36.39</v>
      </c>
      <c r="X444" s="15">
        <v>14.9</v>
      </c>
      <c r="Y444" s="15">
        <v>1.6620440000000001</v>
      </c>
      <c r="Z444" s="15">
        <v>6</v>
      </c>
      <c r="AA444" s="46">
        <v>46259</v>
      </c>
      <c r="AB444" s="15"/>
      <c r="AC444" s="15"/>
      <c r="AD444" s="15"/>
      <c r="AE444" s="15"/>
      <c r="AF444" s="15"/>
      <c r="AG444" s="15"/>
      <c r="AH444" s="15"/>
      <c r="AI444" s="46"/>
      <c r="AJ444" s="51" t="s">
        <v>67</v>
      </c>
      <c r="AK444" s="51" t="s">
        <v>6121</v>
      </c>
      <c r="AL444" s="15">
        <v>849.8</v>
      </c>
      <c r="AM444" s="51" t="s">
        <v>67</v>
      </c>
      <c r="AN444" s="51" t="s">
        <v>67</v>
      </c>
      <c r="AO444" s="50" t="s">
        <v>9554</v>
      </c>
    </row>
    <row r="445" spans="1:41" hidden="1" x14ac:dyDescent="0.25">
      <c r="A445" s="51" t="s">
        <v>3204</v>
      </c>
      <c r="B445" s="51" t="s">
        <v>3205</v>
      </c>
      <c r="C445" s="54" t="s">
        <v>608</v>
      </c>
      <c r="D445" s="51" t="s">
        <v>3206</v>
      </c>
      <c r="E445" s="20">
        <v>7991.93</v>
      </c>
      <c r="F445" s="20">
        <v>9408.33</v>
      </c>
      <c r="G445" s="20">
        <v>3206.72</v>
      </c>
      <c r="H445" s="20">
        <v>3870.86</v>
      </c>
      <c r="I445" s="20">
        <v>8118.04</v>
      </c>
      <c r="J445" s="51" t="s">
        <v>6727</v>
      </c>
      <c r="K445" s="15">
        <v>37</v>
      </c>
      <c r="L445" s="51" t="s">
        <v>2369</v>
      </c>
      <c r="M445" s="51" t="s">
        <v>3207</v>
      </c>
      <c r="N445" s="51" t="s">
        <v>1340</v>
      </c>
      <c r="O445" s="51" t="s">
        <v>3208</v>
      </c>
      <c r="P445" s="51" t="s">
        <v>1340</v>
      </c>
      <c r="Q445" s="45">
        <v>46281.464969618057</v>
      </c>
      <c r="R445" s="46">
        <v>46315</v>
      </c>
      <c r="S445" s="46">
        <v>46310</v>
      </c>
      <c r="T445" s="51" t="s">
        <v>6119</v>
      </c>
      <c r="U445" s="15">
        <v>849.8</v>
      </c>
      <c r="V445" s="15">
        <v>3922.15</v>
      </c>
      <c r="W445" s="15">
        <v>36.39</v>
      </c>
      <c r="X445" s="15">
        <v>14.9</v>
      </c>
      <c r="Y445" s="15">
        <v>1.6620440000000001</v>
      </c>
      <c r="Z445" s="15">
        <v>6</v>
      </c>
      <c r="AA445" s="46">
        <v>46254</v>
      </c>
      <c r="AB445" s="15"/>
      <c r="AC445" s="15"/>
      <c r="AD445" s="15"/>
      <c r="AE445" s="15"/>
      <c r="AF445" s="15"/>
      <c r="AG445" s="15"/>
      <c r="AH445" s="15"/>
      <c r="AI445" s="46"/>
      <c r="AJ445" s="51" t="s">
        <v>6121</v>
      </c>
      <c r="AK445" s="51" t="s">
        <v>6121</v>
      </c>
      <c r="AL445" s="15">
        <v>849.8</v>
      </c>
      <c r="AM445" s="51" t="s">
        <v>67</v>
      </c>
      <c r="AN445" s="51" t="s">
        <v>67</v>
      </c>
      <c r="AO445" s="50" t="s">
        <v>9554</v>
      </c>
    </row>
    <row r="446" spans="1:41" hidden="1" x14ac:dyDescent="0.25">
      <c r="A446" s="51" t="s">
        <v>3209</v>
      </c>
      <c r="B446" s="51" t="s">
        <v>3210</v>
      </c>
      <c r="C446" s="54" t="s">
        <v>5596</v>
      </c>
      <c r="D446" s="51" t="s">
        <v>3211</v>
      </c>
      <c r="E446" s="20">
        <v>12788.31</v>
      </c>
      <c r="F446" s="20">
        <v>549.30999999999995</v>
      </c>
      <c r="G446" s="20">
        <v>14202.81</v>
      </c>
      <c r="H446" s="20">
        <v>0</v>
      </c>
      <c r="I446" s="20">
        <v>549.30999999999995</v>
      </c>
      <c r="J446" s="51" t="s">
        <v>2654</v>
      </c>
      <c r="K446" s="15">
        <v>0</v>
      </c>
      <c r="L446" s="51" t="s">
        <v>2371</v>
      </c>
      <c r="M446" s="51" t="s">
        <v>3212</v>
      </c>
      <c r="N446" s="51" t="s">
        <v>1340</v>
      </c>
      <c r="O446" s="51" t="s">
        <v>3213</v>
      </c>
      <c r="P446" s="51" t="s">
        <v>1340</v>
      </c>
      <c r="Q446" s="45">
        <v>46281.464971944442</v>
      </c>
      <c r="R446" s="46">
        <v>46300</v>
      </c>
      <c r="S446" s="46">
        <v>46295</v>
      </c>
      <c r="T446" s="51" t="s">
        <v>6119</v>
      </c>
      <c r="U446" s="15"/>
      <c r="V446" s="15"/>
      <c r="W446" s="15"/>
      <c r="X446" s="15"/>
      <c r="Y446" s="15"/>
      <c r="Z446" s="15"/>
      <c r="AA446" s="46"/>
      <c r="AB446" s="15"/>
      <c r="AC446" s="15"/>
      <c r="AD446" s="15"/>
      <c r="AE446" s="15"/>
      <c r="AF446" s="15"/>
      <c r="AG446" s="15"/>
      <c r="AH446" s="15"/>
      <c r="AI446" s="46"/>
      <c r="AJ446" s="51" t="s">
        <v>67</v>
      </c>
      <c r="AK446" s="51" t="s">
        <v>67</v>
      </c>
      <c r="AL446" s="15"/>
      <c r="AM446" s="51" t="s">
        <v>67</v>
      </c>
      <c r="AN446" s="51" t="s">
        <v>67</v>
      </c>
      <c r="AO446" s="50" t="s">
        <v>9554</v>
      </c>
    </row>
    <row r="447" spans="1:41" hidden="1" x14ac:dyDescent="0.25">
      <c r="A447" s="51" t="s">
        <v>3214</v>
      </c>
      <c r="B447" s="51" t="s">
        <v>3215</v>
      </c>
      <c r="C447" s="54" t="s">
        <v>605</v>
      </c>
      <c r="D447" s="51" t="s">
        <v>3216</v>
      </c>
      <c r="E447" s="20">
        <v>10735.86</v>
      </c>
      <c r="F447" s="20">
        <v>4902.74</v>
      </c>
      <c r="G447" s="20">
        <v>12692.99</v>
      </c>
      <c r="H447" s="20">
        <v>3870.86</v>
      </c>
      <c r="I447" s="20">
        <v>4902.74</v>
      </c>
      <c r="J447" s="51" t="s">
        <v>6727</v>
      </c>
      <c r="K447" s="15">
        <v>16</v>
      </c>
      <c r="L447" s="51" t="s">
        <v>2369</v>
      </c>
      <c r="M447" s="51" t="s">
        <v>3217</v>
      </c>
      <c r="N447" s="51" t="s">
        <v>1340</v>
      </c>
      <c r="O447" s="51" t="s">
        <v>67</v>
      </c>
      <c r="P447" s="51" t="s">
        <v>67</v>
      </c>
      <c r="Q447" s="45">
        <v>46281.464973634262</v>
      </c>
      <c r="R447" s="46">
        <v>46305</v>
      </c>
      <c r="S447" s="46">
        <v>46300</v>
      </c>
      <c r="T447" s="51" t="s">
        <v>6119</v>
      </c>
      <c r="U447" s="15">
        <v>848.05</v>
      </c>
      <c r="V447" s="15">
        <v>3921.84</v>
      </c>
      <c r="W447" s="15">
        <v>36.08</v>
      </c>
      <c r="X447" s="15">
        <v>14.9</v>
      </c>
      <c r="Y447" s="15">
        <v>1.662307</v>
      </c>
      <c r="Z447" s="15">
        <v>6</v>
      </c>
      <c r="AA447" s="46">
        <v>46275</v>
      </c>
      <c r="AB447" s="15"/>
      <c r="AC447" s="15"/>
      <c r="AD447" s="15"/>
      <c r="AE447" s="15"/>
      <c r="AF447" s="15"/>
      <c r="AG447" s="15"/>
      <c r="AH447" s="15"/>
      <c r="AI447" s="46"/>
      <c r="AJ447" s="51" t="s">
        <v>6121</v>
      </c>
      <c r="AK447" s="51" t="s">
        <v>6121</v>
      </c>
      <c r="AL447" s="15">
        <v>848.05</v>
      </c>
      <c r="AM447" s="51" t="s">
        <v>67</v>
      </c>
      <c r="AN447" s="51" t="s">
        <v>67</v>
      </c>
      <c r="AO447" s="50" t="s">
        <v>9554</v>
      </c>
    </row>
    <row r="448" spans="1:41" hidden="1" x14ac:dyDescent="0.25">
      <c r="A448" s="51" t="s">
        <v>3218</v>
      </c>
      <c r="B448" s="51" t="s">
        <v>3219</v>
      </c>
      <c r="C448" s="54" t="s">
        <v>608</v>
      </c>
      <c r="D448" s="51" t="s">
        <v>3220</v>
      </c>
      <c r="E448" s="20">
        <v>11304.23</v>
      </c>
      <c r="F448" s="20">
        <v>0</v>
      </c>
      <c r="G448" s="20">
        <v>17638.349999999999</v>
      </c>
      <c r="H448" s="20">
        <v>0</v>
      </c>
      <c r="I448" s="20">
        <v>438.18</v>
      </c>
      <c r="J448" s="51" t="s">
        <v>2654</v>
      </c>
      <c r="K448" s="15">
        <v>0</v>
      </c>
      <c r="L448" s="51" t="s">
        <v>2371</v>
      </c>
      <c r="M448" s="51" t="s">
        <v>3221</v>
      </c>
      <c r="N448" s="51" t="s">
        <v>1344</v>
      </c>
      <c r="O448" s="51" t="s">
        <v>3222</v>
      </c>
      <c r="P448" s="51" t="s">
        <v>1344</v>
      </c>
      <c r="Q448" s="45">
        <v>46281.464976076386</v>
      </c>
      <c r="R448" s="46">
        <v>46315</v>
      </c>
      <c r="S448" s="46">
        <v>46310</v>
      </c>
      <c r="T448" s="51" t="s">
        <v>6119</v>
      </c>
      <c r="U448" s="15"/>
      <c r="V448" s="15"/>
      <c r="W448" s="15"/>
      <c r="X448" s="15"/>
      <c r="Y448" s="15"/>
      <c r="Z448" s="15"/>
      <c r="AA448" s="46"/>
      <c r="AB448" s="15"/>
      <c r="AC448" s="15"/>
      <c r="AD448" s="15"/>
      <c r="AE448" s="15"/>
      <c r="AF448" s="15"/>
      <c r="AG448" s="15"/>
      <c r="AH448" s="15"/>
      <c r="AI448" s="46"/>
      <c r="AJ448" s="51" t="s">
        <v>67</v>
      </c>
      <c r="AK448" s="51" t="s">
        <v>67</v>
      </c>
      <c r="AL448" s="15"/>
      <c r="AM448" s="51" t="s">
        <v>67</v>
      </c>
      <c r="AN448" s="51" t="s">
        <v>67</v>
      </c>
      <c r="AO448" s="50" t="s">
        <v>9554</v>
      </c>
    </row>
    <row r="449" spans="1:41" hidden="1" x14ac:dyDescent="0.25">
      <c r="A449" s="51" t="s">
        <v>3223</v>
      </c>
      <c r="B449" s="51" t="s">
        <v>3224</v>
      </c>
      <c r="C449" s="54" t="s">
        <v>607</v>
      </c>
      <c r="D449" s="51" t="s">
        <v>3225</v>
      </c>
      <c r="E449" s="20">
        <v>12637.95</v>
      </c>
      <c r="F449" s="20">
        <v>4751.3900000000003</v>
      </c>
      <c r="G449" s="20">
        <v>11180.03</v>
      </c>
      <c r="H449" s="20">
        <v>3870.86</v>
      </c>
      <c r="I449" s="20">
        <v>4199.09</v>
      </c>
      <c r="J449" s="51" t="s">
        <v>6727</v>
      </c>
      <c r="K449" s="15">
        <v>11</v>
      </c>
      <c r="L449" s="51" t="s">
        <v>2369</v>
      </c>
      <c r="M449" s="51" t="s">
        <v>67</v>
      </c>
      <c r="N449" s="51" t="s">
        <v>67</v>
      </c>
      <c r="O449" s="51" t="s">
        <v>3226</v>
      </c>
      <c r="P449" s="51" t="s">
        <v>1340</v>
      </c>
      <c r="Q449" s="45">
        <v>46281.464978113429</v>
      </c>
      <c r="R449" s="46">
        <v>46310</v>
      </c>
      <c r="S449" s="46">
        <v>46305</v>
      </c>
      <c r="T449" s="51" t="s">
        <v>6119</v>
      </c>
      <c r="U449" s="15">
        <v>848.05</v>
      </c>
      <c r="V449" s="15">
        <v>3921.84</v>
      </c>
      <c r="W449" s="15">
        <v>36.08</v>
      </c>
      <c r="X449" s="15">
        <v>14.9</v>
      </c>
      <c r="Y449" s="15">
        <v>1.662307</v>
      </c>
      <c r="Z449" s="15">
        <v>6</v>
      </c>
      <c r="AA449" s="46">
        <v>46280</v>
      </c>
      <c r="AB449" s="15"/>
      <c r="AC449" s="15"/>
      <c r="AD449" s="15"/>
      <c r="AE449" s="15"/>
      <c r="AF449" s="15"/>
      <c r="AG449" s="15"/>
      <c r="AH449" s="15"/>
      <c r="AI449" s="46"/>
      <c r="AJ449" s="51" t="s">
        <v>6121</v>
      </c>
      <c r="AK449" s="51" t="s">
        <v>6121</v>
      </c>
      <c r="AL449" s="15">
        <v>848.05</v>
      </c>
      <c r="AM449" s="51" t="s">
        <v>67</v>
      </c>
      <c r="AN449" s="51" t="s">
        <v>67</v>
      </c>
      <c r="AO449" s="50" t="s">
        <v>9554</v>
      </c>
    </row>
    <row r="450" spans="1:41" hidden="1" x14ac:dyDescent="0.25">
      <c r="A450" s="51" t="s">
        <v>3227</v>
      </c>
      <c r="B450" s="51" t="s">
        <v>3228</v>
      </c>
      <c r="C450" s="54" t="s">
        <v>608</v>
      </c>
      <c r="D450" s="51" t="s">
        <v>3229</v>
      </c>
      <c r="E450" s="20">
        <v>4409.5</v>
      </c>
      <c r="F450" s="20">
        <v>8970.8700000000008</v>
      </c>
      <c r="G450" s="20">
        <v>11003</v>
      </c>
      <c r="H450" s="20">
        <v>3870.86</v>
      </c>
      <c r="I450" s="20">
        <v>5100.01</v>
      </c>
      <c r="J450" s="51" t="s">
        <v>6727</v>
      </c>
      <c r="K450" s="15">
        <v>37</v>
      </c>
      <c r="L450" s="51" t="s">
        <v>2369</v>
      </c>
      <c r="M450" s="51" t="s">
        <v>3230</v>
      </c>
      <c r="N450" s="51" t="s">
        <v>1340</v>
      </c>
      <c r="O450" s="51" t="s">
        <v>67</v>
      </c>
      <c r="P450" s="51" t="s">
        <v>67</v>
      </c>
      <c r="Q450" s="45">
        <v>46281.464980127312</v>
      </c>
      <c r="R450" s="46">
        <v>46315</v>
      </c>
      <c r="S450" s="46">
        <v>46310</v>
      </c>
      <c r="T450" s="51" t="s">
        <v>6119</v>
      </c>
      <c r="U450" s="15">
        <v>849.8</v>
      </c>
      <c r="V450" s="15">
        <v>3922.15</v>
      </c>
      <c r="W450" s="15">
        <v>36.39</v>
      </c>
      <c r="X450" s="15">
        <v>14.9</v>
      </c>
      <c r="Y450" s="15">
        <v>1.6620440000000001</v>
      </c>
      <c r="Z450" s="15">
        <v>6</v>
      </c>
      <c r="AA450" s="46">
        <v>46254</v>
      </c>
      <c r="AB450" s="15"/>
      <c r="AC450" s="15"/>
      <c r="AD450" s="15"/>
      <c r="AE450" s="15"/>
      <c r="AF450" s="15"/>
      <c r="AG450" s="15"/>
      <c r="AH450" s="15"/>
      <c r="AI450" s="46"/>
      <c r="AJ450" s="51" t="s">
        <v>6121</v>
      </c>
      <c r="AK450" s="51" t="s">
        <v>6121</v>
      </c>
      <c r="AL450" s="15">
        <v>849.8</v>
      </c>
      <c r="AM450" s="51" t="s">
        <v>67</v>
      </c>
      <c r="AN450" s="51" t="s">
        <v>67</v>
      </c>
      <c r="AO450" s="50" t="s">
        <v>9554</v>
      </c>
    </row>
    <row r="451" spans="1:41" hidden="1" x14ac:dyDescent="0.25">
      <c r="A451" s="51" t="s">
        <v>3231</v>
      </c>
      <c r="B451" s="51" t="s">
        <v>3232</v>
      </c>
      <c r="C451" s="54" t="s">
        <v>605</v>
      </c>
      <c r="D451" s="51" t="s">
        <v>3233</v>
      </c>
      <c r="E451" s="20">
        <v>5510.57</v>
      </c>
      <c r="F451" s="20">
        <v>4749.93</v>
      </c>
      <c r="G451" s="20">
        <v>5425.53</v>
      </c>
      <c r="H451" s="20">
        <v>3870.86</v>
      </c>
      <c r="I451" s="20">
        <v>4749.93</v>
      </c>
      <c r="J451" s="51" t="s">
        <v>6727</v>
      </c>
      <c r="K451" s="15">
        <v>16</v>
      </c>
      <c r="L451" s="51" t="s">
        <v>2369</v>
      </c>
      <c r="M451" s="51" t="s">
        <v>3234</v>
      </c>
      <c r="N451" s="51" t="s">
        <v>1340</v>
      </c>
      <c r="O451" s="51" t="s">
        <v>67</v>
      </c>
      <c r="P451" s="51" t="s">
        <v>67</v>
      </c>
      <c r="Q451" s="45">
        <v>46281.464982256941</v>
      </c>
      <c r="R451" s="46">
        <v>46305</v>
      </c>
      <c r="S451" s="46">
        <v>46300</v>
      </c>
      <c r="T451" s="51" t="s">
        <v>6119</v>
      </c>
      <c r="U451" s="15">
        <v>848.05</v>
      </c>
      <c r="V451" s="15">
        <v>3921.84</v>
      </c>
      <c r="W451" s="15">
        <v>36.08</v>
      </c>
      <c r="X451" s="15">
        <v>14.9</v>
      </c>
      <c r="Y451" s="15">
        <v>1.662307</v>
      </c>
      <c r="Z451" s="15">
        <v>6</v>
      </c>
      <c r="AA451" s="46">
        <v>46275</v>
      </c>
      <c r="AB451" s="15"/>
      <c r="AC451" s="15"/>
      <c r="AD451" s="15"/>
      <c r="AE451" s="15"/>
      <c r="AF451" s="15"/>
      <c r="AG451" s="15"/>
      <c r="AH451" s="15"/>
      <c r="AI451" s="46"/>
      <c r="AJ451" s="51" t="s">
        <v>6121</v>
      </c>
      <c r="AK451" s="51" t="s">
        <v>6121</v>
      </c>
      <c r="AL451" s="15">
        <v>848.05</v>
      </c>
      <c r="AM451" s="51" t="s">
        <v>67</v>
      </c>
      <c r="AN451" s="51" t="s">
        <v>67</v>
      </c>
      <c r="AO451" s="50" t="s">
        <v>9554</v>
      </c>
    </row>
    <row r="452" spans="1:41" hidden="1" x14ac:dyDescent="0.25">
      <c r="A452" s="51" t="s">
        <v>3235</v>
      </c>
      <c r="B452" s="51" t="s">
        <v>3236</v>
      </c>
      <c r="C452" s="54" t="s">
        <v>607</v>
      </c>
      <c r="D452" s="51" t="s">
        <v>3237</v>
      </c>
      <c r="E452" s="20">
        <v>7066.49</v>
      </c>
      <c r="F452" s="20">
        <v>4761.96</v>
      </c>
      <c r="G452" s="20">
        <v>7272.21</v>
      </c>
      <c r="H452" s="20">
        <v>3870.86</v>
      </c>
      <c r="I452" s="20">
        <v>4199.1000000000004</v>
      </c>
      <c r="J452" s="51" t="s">
        <v>6727</v>
      </c>
      <c r="K452" s="15">
        <v>11</v>
      </c>
      <c r="L452" s="51" t="s">
        <v>2369</v>
      </c>
      <c r="M452" s="51" t="s">
        <v>3238</v>
      </c>
      <c r="N452" s="51" t="s">
        <v>1340</v>
      </c>
      <c r="O452" s="51" t="s">
        <v>3239</v>
      </c>
      <c r="P452" s="51" t="s">
        <v>1340</v>
      </c>
      <c r="Q452" s="45">
        <v>46281.464984444443</v>
      </c>
      <c r="R452" s="46">
        <v>46310</v>
      </c>
      <c r="S452" s="46">
        <v>46305</v>
      </c>
      <c r="T452" s="51" t="s">
        <v>6119</v>
      </c>
      <c r="U452" s="15">
        <v>848.05</v>
      </c>
      <c r="V452" s="15">
        <v>3921.84</v>
      </c>
      <c r="W452" s="15">
        <v>36.08</v>
      </c>
      <c r="X452" s="15">
        <v>14.9</v>
      </c>
      <c r="Y452" s="15">
        <v>1.662307</v>
      </c>
      <c r="Z452" s="15">
        <v>6</v>
      </c>
      <c r="AA452" s="46">
        <v>46280</v>
      </c>
      <c r="AB452" s="15"/>
      <c r="AC452" s="15"/>
      <c r="AD452" s="15"/>
      <c r="AE452" s="15"/>
      <c r="AF452" s="15"/>
      <c r="AG452" s="15"/>
      <c r="AH452" s="15"/>
      <c r="AI452" s="46"/>
      <c r="AJ452" s="51" t="s">
        <v>6121</v>
      </c>
      <c r="AK452" s="51" t="s">
        <v>6121</v>
      </c>
      <c r="AL452" s="15">
        <v>848.05</v>
      </c>
      <c r="AM452" s="51" t="s">
        <v>67</v>
      </c>
      <c r="AN452" s="51" t="s">
        <v>67</v>
      </c>
      <c r="AO452" s="50" t="s">
        <v>9554</v>
      </c>
    </row>
    <row r="453" spans="1:41" hidden="1" x14ac:dyDescent="0.25">
      <c r="A453" s="51" t="s">
        <v>3240</v>
      </c>
      <c r="B453" s="51" t="s">
        <v>3241</v>
      </c>
      <c r="C453" s="54" t="s">
        <v>608</v>
      </c>
      <c r="D453" s="51" t="s">
        <v>3242</v>
      </c>
      <c r="E453" s="20">
        <v>6369.33</v>
      </c>
      <c r="F453" s="20">
        <v>9398.9</v>
      </c>
      <c r="G453" s="20">
        <v>12563.02</v>
      </c>
      <c r="H453" s="20">
        <v>3870.86</v>
      </c>
      <c r="I453" s="20">
        <v>9398.9</v>
      </c>
      <c r="J453" s="51" t="s">
        <v>6727</v>
      </c>
      <c r="K453" s="15">
        <v>37</v>
      </c>
      <c r="L453" s="51" t="s">
        <v>2369</v>
      </c>
      <c r="M453" s="51" t="s">
        <v>67</v>
      </c>
      <c r="N453" s="51" t="s">
        <v>67</v>
      </c>
      <c r="O453" s="51" t="s">
        <v>3243</v>
      </c>
      <c r="P453" s="51" t="s">
        <v>1344</v>
      </c>
      <c r="Q453" s="45">
        <v>46281.464986481478</v>
      </c>
      <c r="R453" s="46">
        <v>46315</v>
      </c>
      <c r="S453" s="46">
        <v>46310</v>
      </c>
      <c r="T453" s="51" t="s">
        <v>6119</v>
      </c>
      <c r="U453" s="15">
        <v>849.8</v>
      </c>
      <c r="V453" s="15">
        <v>3922.15</v>
      </c>
      <c r="W453" s="15">
        <v>36.39</v>
      </c>
      <c r="X453" s="15">
        <v>14.9</v>
      </c>
      <c r="Y453" s="15">
        <v>1.6620440000000001</v>
      </c>
      <c r="Z453" s="15">
        <v>6</v>
      </c>
      <c r="AA453" s="46">
        <v>46254</v>
      </c>
      <c r="AB453" s="15"/>
      <c r="AC453" s="15"/>
      <c r="AD453" s="15"/>
      <c r="AE453" s="15"/>
      <c r="AF453" s="15"/>
      <c r="AG453" s="15"/>
      <c r="AH453" s="15"/>
      <c r="AI453" s="46"/>
      <c r="AJ453" s="51" t="s">
        <v>6121</v>
      </c>
      <c r="AK453" s="51" t="s">
        <v>6121</v>
      </c>
      <c r="AL453" s="15">
        <v>849.8</v>
      </c>
      <c r="AM453" s="51" t="s">
        <v>67</v>
      </c>
      <c r="AN453" s="51" t="s">
        <v>67</v>
      </c>
      <c r="AO453" s="50" t="s">
        <v>9554</v>
      </c>
    </row>
    <row r="454" spans="1:41" hidden="1" x14ac:dyDescent="0.25">
      <c r="A454" s="51" t="s">
        <v>3244</v>
      </c>
      <c r="B454" s="51" t="s">
        <v>3245</v>
      </c>
      <c r="C454" s="54" t="s">
        <v>605</v>
      </c>
      <c r="D454" s="51" t="s">
        <v>3246</v>
      </c>
      <c r="E454" s="20">
        <v>13477.84</v>
      </c>
      <c r="F454" s="20">
        <v>4791.18</v>
      </c>
      <c r="G454" s="20">
        <v>15176.16</v>
      </c>
      <c r="H454" s="20">
        <v>3870.86</v>
      </c>
      <c r="I454" s="20">
        <v>4791.18</v>
      </c>
      <c r="J454" s="51" t="s">
        <v>6727</v>
      </c>
      <c r="K454" s="15">
        <v>16</v>
      </c>
      <c r="L454" s="51" t="s">
        <v>2369</v>
      </c>
      <c r="M454" s="51" t="s">
        <v>3247</v>
      </c>
      <c r="N454" s="51" t="s">
        <v>1340</v>
      </c>
      <c r="O454" s="51" t="s">
        <v>67</v>
      </c>
      <c r="P454" s="51" t="s">
        <v>67</v>
      </c>
      <c r="Q454" s="45">
        <v>46281.46498877315</v>
      </c>
      <c r="R454" s="46">
        <v>46305</v>
      </c>
      <c r="S454" s="46">
        <v>46300</v>
      </c>
      <c r="T454" s="51" t="s">
        <v>6119</v>
      </c>
      <c r="U454" s="15">
        <v>848.05</v>
      </c>
      <c r="V454" s="15">
        <v>3921.84</v>
      </c>
      <c r="W454" s="15">
        <v>36.08</v>
      </c>
      <c r="X454" s="15">
        <v>14.9</v>
      </c>
      <c r="Y454" s="15">
        <v>1.662307</v>
      </c>
      <c r="Z454" s="15">
        <v>6</v>
      </c>
      <c r="AA454" s="46">
        <v>46275</v>
      </c>
      <c r="AB454" s="15"/>
      <c r="AC454" s="15"/>
      <c r="AD454" s="15"/>
      <c r="AE454" s="15"/>
      <c r="AF454" s="15"/>
      <c r="AG454" s="15"/>
      <c r="AH454" s="15"/>
      <c r="AI454" s="46"/>
      <c r="AJ454" s="51" t="s">
        <v>6121</v>
      </c>
      <c r="AK454" s="51" t="s">
        <v>6121</v>
      </c>
      <c r="AL454" s="15">
        <v>848.05</v>
      </c>
      <c r="AM454" s="51" t="s">
        <v>67</v>
      </c>
      <c r="AN454" s="51" t="s">
        <v>67</v>
      </c>
      <c r="AO454" s="50" t="s">
        <v>9554</v>
      </c>
    </row>
    <row r="455" spans="1:41" hidden="1" x14ac:dyDescent="0.25">
      <c r="A455" s="51" t="s">
        <v>3248</v>
      </c>
      <c r="B455" s="51" t="s">
        <v>3249</v>
      </c>
      <c r="C455" s="54" t="s">
        <v>605</v>
      </c>
      <c r="D455" s="51" t="s">
        <v>3250</v>
      </c>
      <c r="E455" s="20">
        <v>11886.44</v>
      </c>
      <c r="F455" s="20">
        <v>4711.21</v>
      </c>
      <c r="G455" s="20">
        <v>13136.36</v>
      </c>
      <c r="H455" s="20">
        <v>3870.86</v>
      </c>
      <c r="I455" s="20">
        <v>4711.21</v>
      </c>
      <c r="J455" s="51" t="s">
        <v>6727</v>
      </c>
      <c r="K455" s="15">
        <v>16</v>
      </c>
      <c r="L455" s="51" t="s">
        <v>2369</v>
      </c>
      <c r="M455" s="51" t="s">
        <v>3251</v>
      </c>
      <c r="N455" s="51" t="s">
        <v>1340</v>
      </c>
      <c r="O455" s="51" t="s">
        <v>3252</v>
      </c>
      <c r="P455" s="51" t="s">
        <v>1340</v>
      </c>
      <c r="Q455" s="45">
        <v>46281.464990983797</v>
      </c>
      <c r="R455" s="46">
        <v>46305</v>
      </c>
      <c r="S455" s="46">
        <v>46300</v>
      </c>
      <c r="T455" s="51" t="s">
        <v>6119</v>
      </c>
      <c r="U455" s="15">
        <v>848.05</v>
      </c>
      <c r="V455" s="15">
        <v>3921.84</v>
      </c>
      <c r="W455" s="15">
        <v>36.08</v>
      </c>
      <c r="X455" s="15">
        <v>14.9</v>
      </c>
      <c r="Y455" s="15">
        <v>1.662307</v>
      </c>
      <c r="Z455" s="15">
        <v>6</v>
      </c>
      <c r="AA455" s="46">
        <v>46275</v>
      </c>
      <c r="AB455" s="15"/>
      <c r="AC455" s="15"/>
      <c r="AD455" s="15"/>
      <c r="AE455" s="15"/>
      <c r="AF455" s="15"/>
      <c r="AG455" s="15"/>
      <c r="AH455" s="15"/>
      <c r="AI455" s="46"/>
      <c r="AJ455" s="51" t="s">
        <v>6121</v>
      </c>
      <c r="AK455" s="51" t="s">
        <v>6121</v>
      </c>
      <c r="AL455" s="15">
        <v>848.05</v>
      </c>
      <c r="AM455" s="51" t="s">
        <v>67</v>
      </c>
      <c r="AN455" s="51" t="s">
        <v>67</v>
      </c>
      <c r="AO455" s="50" t="s">
        <v>9554</v>
      </c>
    </row>
    <row r="456" spans="1:41" hidden="1" x14ac:dyDescent="0.25">
      <c r="A456" s="51" t="s">
        <v>3253</v>
      </c>
      <c r="B456" s="51" t="s">
        <v>3254</v>
      </c>
      <c r="C456" s="54" t="s">
        <v>611</v>
      </c>
      <c r="D456" s="51" t="s">
        <v>3255</v>
      </c>
      <c r="E456" s="20">
        <v>7285.92</v>
      </c>
      <c r="F456" s="20">
        <v>92.13</v>
      </c>
      <c r="G456" s="20">
        <v>6207.14</v>
      </c>
      <c r="H456" s="20">
        <v>4642.3999999999996</v>
      </c>
      <c r="I456" s="20">
        <v>92.13</v>
      </c>
      <c r="J456" s="51" t="s">
        <v>6724</v>
      </c>
      <c r="K456" s="15">
        <v>0</v>
      </c>
      <c r="L456" s="51" t="s">
        <v>2371</v>
      </c>
      <c r="M456" s="51" t="s">
        <v>3256</v>
      </c>
      <c r="N456" s="51" t="s">
        <v>1340</v>
      </c>
      <c r="O456" s="51" t="s">
        <v>67</v>
      </c>
      <c r="P456" s="51" t="s">
        <v>67</v>
      </c>
      <c r="Q456" s="45">
        <v>46281.465614814813</v>
      </c>
      <c r="R456" s="46">
        <v>46320</v>
      </c>
      <c r="S456" s="46">
        <v>46315</v>
      </c>
      <c r="T456" s="51" t="s">
        <v>6119</v>
      </c>
      <c r="U456" s="15">
        <v>849.8</v>
      </c>
      <c r="V456" s="15">
        <v>3922.15</v>
      </c>
      <c r="W456" s="15">
        <v>36.39</v>
      </c>
      <c r="X456" s="15">
        <v>14.9</v>
      </c>
      <c r="Y456" s="15">
        <v>1.6620440000000001</v>
      </c>
      <c r="Z456" s="15">
        <v>6</v>
      </c>
      <c r="AA456" s="46">
        <v>46259</v>
      </c>
      <c r="AB456" s="15"/>
      <c r="AC456" s="15"/>
      <c r="AD456" s="15"/>
      <c r="AE456" s="15"/>
      <c r="AF456" s="15"/>
      <c r="AG456" s="15"/>
      <c r="AH456" s="15"/>
      <c r="AI456" s="46"/>
      <c r="AJ456" s="51" t="s">
        <v>67</v>
      </c>
      <c r="AK456" s="51" t="s">
        <v>6121</v>
      </c>
      <c r="AL456" s="15">
        <v>849.8</v>
      </c>
      <c r="AM456" s="51" t="s">
        <v>67</v>
      </c>
      <c r="AN456" s="51" t="s">
        <v>67</v>
      </c>
      <c r="AO456" s="50" t="s">
        <v>9554</v>
      </c>
    </row>
    <row r="457" spans="1:41" hidden="1" x14ac:dyDescent="0.25">
      <c r="A457" s="51" t="s">
        <v>3257</v>
      </c>
      <c r="B457" s="51" t="s">
        <v>3258</v>
      </c>
      <c r="C457" s="54" t="s">
        <v>608</v>
      </c>
      <c r="D457" s="51" t="s">
        <v>3259</v>
      </c>
      <c r="E457" s="20">
        <v>3103.29</v>
      </c>
      <c r="F457" s="20">
        <v>0</v>
      </c>
      <c r="G457" s="20">
        <v>2736.37</v>
      </c>
      <c r="H457" s="20">
        <v>0</v>
      </c>
      <c r="I457" s="20">
        <v>675.59</v>
      </c>
      <c r="J457" s="51" t="s">
        <v>2654</v>
      </c>
      <c r="K457" s="15">
        <v>0</v>
      </c>
      <c r="L457" s="51" t="s">
        <v>2371</v>
      </c>
      <c r="M457" s="51" t="s">
        <v>67</v>
      </c>
      <c r="N457" s="51" t="s">
        <v>67</v>
      </c>
      <c r="O457" s="51" t="s">
        <v>3260</v>
      </c>
      <c r="P457" s="51" t="s">
        <v>1340</v>
      </c>
      <c r="Q457" s="45">
        <v>46281.465619016206</v>
      </c>
      <c r="R457" s="46">
        <v>46315</v>
      </c>
      <c r="S457" s="46">
        <v>46310</v>
      </c>
      <c r="T457" s="51" t="s">
        <v>6119</v>
      </c>
      <c r="U457" s="15"/>
      <c r="V457" s="15"/>
      <c r="W457" s="15"/>
      <c r="X457" s="15"/>
      <c r="Y457" s="15"/>
      <c r="Z457" s="15"/>
      <c r="AA457" s="46"/>
      <c r="AB457" s="15"/>
      <c r="AC457" s="15"/>
      <c r="AD457" s="15"/>
      <c r="AE457" s="15"/>
      <c r="AF457" s="15"/>
      <c r="AG457" s="15"/>
      <c r="AH457" s="15"/>
      <c r="AI457" s="46"/>
      <c r="AJ457" s="51" t="s">
        <v>67</v>
      </c>
      <c r="AK457" s="51" t="s">
        <v>67</v>
      </c>
      <c r="AL457" s="15"/>
      <c r="AM457" s="51" t="s">
        <v>67</v>
      </c>
      <c r="AN457" s="51" t="s">
        <v>67</v>
      </c>
      <c r="AO457" s="50" t="s">
        <v>9554</v>
      </c>
    </row>
    <row r="458" spans="1:41" hidden="1" x14ac:dyDescent="0.25">
      <c r="A458" s="51" t="s">
        <v>3261</v>
      </c>
      <c r="B458" s="51" t="s">
        <v>3262</v>
      </c>
      <c r="C458" s="54" t="s">
        <v>605</v>
      </c>
      <c r="D458" s="51" t="s">
        <v>3263</v>
      </c>
      <c r="E458" s="20">
        <v>11021.9</v>
      </c>
      <c r="F458" s="20">
        <v>719.53</v>
      </c>
      <c r="G458" s="20">
        <v>20716.64</v>
      </c>
      <c r="H458" s="20">
        <v>0</v>
      </c>
      <c r="I458" s="20">
        <v>719.53</v>
      </c>
      <c r="J458" s="51" t="s">
        <v>2654</v>
      </c>
      <c r="K458" s="15">
        <v>0</v>
      </c>
      <c r="L458" s="51" t="s">
        <v>2371</v>
      </c>
      <c r="M458" s="51" t="s">
        <v>3264</v>
      </c>
      <c r="N458" s="51" t="s">
        <v>1340</v>
      </c>
      <c r="O458" s="51" t="s">
        <v>67</v>
      </c>
      <c r="P458" s="51" t="s">
        <v>67</v>
      </c>
      <c r="Q458" s="45">
        <v>46281.465622407406</v>
      </c>
      <c r="R458" s="46">
        <v>46305</v>
      </c>
      <c r="S458" s="46">
        <v>46300</v>
      </c>
      <c r="T458" s="51" t="s">
        <v>6119</v>
      </c>
      <c r="U458" s="15"/>
      <c r="V458" s="15"/>
      <c r="W458" s="15"/>
      <c r="X458" s="15"/>
      <c r="Y458" s="15"/>
      <c r="Z458" s="15"/>
      <c r="AA458" s="46"/>
      <c r="AB458" s="15"/>
      <c r="AC458" s="15"/>
      <c r="AD458" s="15"/>
      <c r="AE458" s="15"/>
      <c r="AF458" s="15"/>
      <c r="AG458" s="15"/>
      <c r="AH458" s="15"/>
      <c r="AI458" s="46"/>
      <c r="AJ458" s="51" t="s">
        <v>67</v>
      </c>
      <c r="AK458" s="51" t="s">
        <v>67</v>
      </c>
      <c r="AL458" s="15"/>
      <c r="AM458" s="51" t="s">
        <v>67</v>
      </c>
      <c r="AN458" s="51" t="s">
        <v>67</v>
      </c>
      <c r="AO458" s="50" t="s">
        <v>9554</v>
      </c>
    </row>
    <row r="459" spans="1:41" hidden="1" x14ac:dyDescent="0.25">
      <c r="A459" s="51" t="s">
        <v>3265</v>
      </c>
      <c r="B459" s="51" t="s">
        <v>3266</v>
      </c>
      <c r="C459" s="54" t="s">
        <v>607</v>
      </c>
      <c r="D459" s="51" t="s">
        <v>3267</v>
      </c>
      <c r="E459" s="20">
        <v>14490.29</v>
      </c>
      <c r="F459" s="20">
        <v>4775.18</v>
      </c>
      <c r="G459" s="20">
        <v>5797.17</v>
      </c>
      <c r="H459" s="20">
        <v>3870.86</v>
      </c>
      <c r="I459" s="20">
        <v>4199.09</v>
      </c>
      <c r="J459" s="51" t="s">
        <v>6727</v>
      </c>
      <c r="K459" s="15">
        <v>11</v>
      </c>
      <c r="L459" s="51" t="s">
        <v>2369</v>
      </c>
      <c r="M459" s="51" t="s">
        <v>67</v>
      </c>
      <c r="N459" s="51" t="s">
        <v>67</v>
      </c>
      <c r="O459" s="51" t="s">
        <v>3268</v>
      </c>
      <c r="P459" s="51" t="s">
        <v>1340</v>
      </c>
      <c r="Q459" s="45">
        <v>46281.465625405093</v>
      </c>
      <c r="R459" s="46">
        <v>46310</v>
      </c>
      <c r="S459" s="46">
        <v>46305</v>
      </c>
      <c r="T459" s="51" t="s">
        <v>6119</v>
      </c>
      <c r="U459" s="15">
        <v>848.05</v>
      </c>
      <c r="V459" s="15">
        <v>3921.84</v>
      </c>
      <c r="W459" s="15">
        <v>36.08</v>
      </c>
      <c r="X459" s="15">
        <v>14.9</v>
      </c>
      <c r="Y459" s="15">
        <v>1.662307</v>
      </c>
      <c r="Z459" s="15">
        <v>6</v>
      </c>
      <c r="AA459" s="46">
        <v>46280</v>
      </c>
      <c r="AB459" s="15"/>
      <c r="AC459" s="15"/>
      <c r="AD459" s="15"/>
      <c r="AE459" s="15"/>
      <c r="AF459" s="15"/>
      <c r="AG459" s="15"/>
      <c r="AH459" s="15"/>
      <c r="AI459" s="46"/>
      <c r="AJ459" s="51" t="s">
        <v>6121</v>
      </c>
      <c r="AK459" s="51" t="s">
        <v>6121</v>
      </c>
      <c r="AL459" s="15">
        <v>848.05</v>
      </c>
      <c r="AM459" s="51" t="s">
        <v>67</v>
      </c>
      <c r="AN459" s="51" t="s">
        <v>67</v>
      </c>
      <c r="AO459" s="50" t="s">
        <v>9554</v>
      </c>
    </row>
    <row r="460" spans="1:41" hidden="1" x14ac:dyDescent="0.25">
      <c r="A460" s="51" t="s">
        <v>3269</v>
      </c>
      <c r="B460" s="51" t="s">
        <v>3270</v>
      </c>
      <c r="C460" s="54" t="s">
        <v>605</v>
      </c>
      <c r="D460" s="51" t="s">
        <v>3271</v>
      </c>
      <c r="E460" s="20">
        <v>8249.44</v>
      </c>
      <c r="F460" s="20">
        <v>5053.54</v>
      </c>
      <c r="G460" s="20">
        <v>7317.35</v>
      </c>
      <c r="H460" s="20">
        <v>3870.86</v>
      </c>
      <c r="I460" s="20">
        <v>5053.54</v>
      </c>
      <c r="J460" s="51" t="s">
        <v>6727</v>
      </c>
      <c r="K460" s="15">
        <v>16</v>
      </c>
      <c r="L460" s="51" t="s">
        <v>2369</v>
      </c>
      <c r="M460" s="51" t="s">
        <v>67</v>
      </c>
      <c r="N460" s="51" t="s">
        <v>67</v>
      </c>
      <c r="O460" s="51" t="s">
        <v>3272</v>
      </c>
      <c r="P460" s="51" t="s">
        <v>1340</v>
      </c>
      <c r="Q460" s="45">
        <v>46281.465628622682</v>
      </c>
      <c r="R460" s="46">
        <v>46305</v>
      </c>
      <c r="S460" s="46">
        <v>46300</v>
      </c>
      <c r="T460" s="51" t="s">
        <v>6119</v>
      </c>
      <c r="U460" s="15">
        <v>848.05</v>
      </c>
      <c r="V460" s="15">
        <v>3921.84</v>
      </c>
      <c r="W460" s="15">
        <v>36.08</v>
      </c>
      <c r="X460" s="15">
        <v>14.9</v>
      </c>
      <c r="Y460" s="15">
        <v>1.662307</v>
      </c>
      <c r="Z460" s="15">
        <v>6</v>
      </c>
      <c r="AA460" s="46">
        <v>46275</v>
      </c>
      <c r="AB460" s="15"/>
      <c r="AC460" s="15"/>
      <c r="AD460" s="15"/>
      <c r="AE460" s="15"/>
      <c r="AF460" s="15"/>
      <c r="AG460" s="15"/>
      <c r="AH460" s="15"/>
      <c r="AI460" s="46"/>
      <c r="AJ460" s="51" t="s">
        <v>6121</v>
      </c>
      <c r="AK460" s="51" t="s">
        <v>6121</v>
      </c>
      <c r="AL460" s="15">
        <v>848.05</v>
      </c>
      <c r="AM460" s="51" t="s">
        <v>67</v>
      </c>
      <c r="AN460" s="51" t="s">
        <v>67</v>
      </c>
      <c r="AO460" s="50" t="s">
        <v>9554</v>
      </c>
    </row>
    <row r="461" spans="1:41" hidden="1" x14ac:dyDescent="0.25">
      <c r="A461" s="51" t="s">
        <v>3273</v>
      </c>
      <c r="B461" s="51" t="s">
        <v>3274</v>
      </c>
      <c r="C461" s="54" t="s">
        <v>611</v>
      </c>
      <c r="D461" s="51" t="s">
        <v>3275</v>
      </c>
      <c r="E461" s="20">
        <v>11663.68</v>
      </c>
      <c r="F461" s="20">
        <v>822.83</v>
      </c>
      <c r="G461" s="20">
        <v>16752.53</v>
      </c>
      <c r="H461" s="20">
        <v>799.36</v>
      </c>
      <c r="I461" s="20">
        <v>822.83</v>
      </c>
      <c r="J461" s="51" t="s">
        <v>6727</v>
      </c>
      <c r="K461" s="15">
        <v>1</v>
      </c>
      <c r="L461" s="51" t="s">
        <v>2369</v>
      </c>
      <c r="M461" s="51" t="s">
        <v>3276</v>
      </c>
      <c r="N461" s="51" t="s">
        <v>1344</v>
      </c>
      <c r="O461" s="51" t="s">
        <v>3277</v>
      </c>
      <c r="P461" s="51" t="s">
        <v>1344</v>
      </c>
      <c r="Q461" s="45">
        <v>46281.465631192128</v>
      </c>
      <c r="R461" s="46">
        <v>46320</v>
      </c>
      <c r="S461" s="46">
        <v>46315</v>
      </c>
      <c r="T461" s="51" t="s">
        <v>6119</v>
      </c>
      <c r="U461" s="15"/>
      <c r="V461" s="15"/>
      <c r="W461" s="15"/>
      <c r="X461" s="15"/>
      <c r="Y461" s="15"/>
      <c r="Z461" s="15"/>
      <c r="AA461" s="46"/>
      <c r="AB461" s="15"/>
      <c r="AC461" s="15"/>
      <c r="AD461" s="15"/>
      <c r="AE461" s="15"/>
      <c r="AF461" s="15"/>
      <c r="AG461" s="15"/>
      <c r="AH461" s="15"/>
      <c r="AI461" s="46"/>
      <c r="AJ461" s="51" t="s">
        <v>67</v>
      </c>
      <c r="AK461" s="51" t="s">
        <v>67</v>
      </c>
      <c r="AL461" s="15"/>
      <c r="AM461" s="51" t="s">
        <v>67</v>
      </c>
      <c r="AN461" s="51" t="s">
        <v>67</v>
      </c>
      <c r="AO461" s="50" t="s">
        <v>9554</v>
      </c>
    </row>
    <row r="462" spans="1:41" hidden="1" x14ac:dyDescent="0.25">
      <c r="A462" s="51" t="s">
        <v>3278</v>
      </c>
      <c r="B462" s="51" t="s">
        <v>3279</v>
      </c>
      <c r="C462" s="54" t="s">
        <v>608</v>
      </c>
      <c r="D462" s="51" t="s">
        <v>3280</v>
      </c>
      <c r="E462" s="20">
        <v>13131.08</v>
      </c>
      <c r="F462" s="20">
        <v>0</v>
      </c>
      <c r="G462" s="20">
        <v>11410.92</v>
      </c>
      <c r="H462" s="20">
        <v>0</v>
      </c>
      <c r="I462" s="20">
        <v>745.24</v>
      </c>
      <c r="J462" s="51" t="s">
        <v>2654</v>
      </c>
      <c r="K462" s="15">
        <v>0</v>
      </c>
      <c r="L462" s="51" t="s">
        <v>2371</v>
      </c>
      <c r="M462" s="51" t="s">
        <v>67</v>
      </c>
      <c r="N462" s="51" t="s">
        <v>67</v>
      </c>
      <c r="O462" s="51" t="s">
        <v>3281</v>
      </c>
      <c r="P462" s="51" t="s">
        <v>1340</v>
      </c>
      <c r="Q462" s="45">
        <v>46281.46563402778</v>
      </c>
      <c r="R462" s="46">
        <v>46315</v>
      </c>
      <c r="S462" s="46">
        <v>46310</v>
      </c>
      <c r="T462" s="51" t="s">
        <v>6119</v>
      </c>
      <c r="U462" s="15"/>
      <c r="V462" s="15"/>
      <c r="W462" s="15"/>
      <c r="X462" s="15"/>
      <c r="Y462" s="15"/>
      <c r="Z462" s="15"/>
      <c r="AA462" s="46"/>
      <c r="AB462" s="15"/>
      <c r="AC462" s="15"/>
      <c r="AD462" s="15"/>
      <c r="AE462" s="15"/>
      <c r="AF462" s="15"/>
      <c r="AG462" s="15"/>
      <c r="AH462" s="15"/>
      <c r="AI462" s="46"/>
      <c r="AJ462" s="51" t="s">
        <v>67</v>
      </c>
      <c r="AK462" s="51" t="s">
        <v>67</v>
      </c>
      <c r="AL462" s="15"/>
      <c r="AM462" s="51" t="s">
        <v>67</v>
      </c>
      <c r="AN462" s="51" t="s">
        <v>67</v>
      </c>
      <c r="AO462" s="50" t="s">
        <v>9554</v>
      </c>
    </row>
    <row r="463" spans="1:41" hidden="1" x14ac:dyDescent="0.25">
      <c r="A463" s="51" t="s">
        <v>3282</v>
      </c>
      <c r="B463" s="51" t="s">
        <v>3283</v>
      </c>
      <c r="C463" s="54" t="s">
        <v>608</v>
      </c>
      <c r="D463" s="51" t="s">
        <v>3284</v>
      </c>
      <c r="E463" s="20">
        <v>13139.01</v>
      </c>
      <c r="F463" s="20">
        <v>9011.2999999999993</v>
      </c>
      <c r="G463" s="20">
        <v>5020.99</v>
      </c>
      <c r="H463" s="20">
        <v>3870.86</v>
      </c>
      <c r="I463" s="20">
        <v>9011.2999999999993</v>
      </c>
      <c r="J463" s="51" t="s">
        <v>6727</v>
      </c>
      <c r="K463" s="15">
        <v>37</v>
      </c>
      <c r="L463" s="51" t="s">
        <v>2369</v>
      </c>
      <c r="M463" s="51" t="s">
        <v>3285</v>
      </c>
      <c r="N463" s="51" t="s">
        <v>1340</v>
      </c>
      <c r="O463" s="51" t="s">
        <v>3286</v>
      </c>
      <c r="P463" s="51" t="s">
        <v>1340</v>
      </c>
      <c r="Q463" s="45">
        <v>46281.465636273148</v>
      </c>
      <c r="R463" s="46">
        <v>46315</v>
      </c>
      <c r="S463" s="46">
        <v>46310</v>
      </c>
      <c r="T463" s="51" t="s">
        <v>6119</v>
      </c>
      <c r="U463" s="15">
        <v>849.8</v>
      </c>
      <c r="V463" s="15">
        <v>3922.15</v>
      </c>
      <c r="W463" s="15">
        <v>36.39</v>
      </c>
      <c r="X463" s="15">
        <v>14.9</v>
      </c>
      <c r="Y463" s="15">
        <v>1.6620440000000001</v>
      </c>
      <c r="Z463" s="15">
        <v>6</v>
      </c>
      <c r="AA463" s="46">
        <v>46254</v>
      </c>
      <c r="AB463" s="15"/>
      <c r="AC463" s="15"/>
      <c r="AD463" s="15"/>
      <c r="AE463" s="15"/>
      <c r="AF463" s="15"/>
      <c r="AG463" s="15"/>
      <c r="AH463" s="15"/>
      <c r="AI463" s="46"/>
      <c r="AJ463" s="51" t="s">
        <v>6121</v>
      </c>
      <c r="AK463" s="51" t="s">
        <v>6121</v>
      </c>
      <c r="AL463" s="15">
        <v>849.8</v>
      </c>
      <c r="AM463" s="51" t="s">
        <v>67</v>
      </c>
      <c r="AN463" s="51" t="s">
        <v>67</v>
      </c>
      <c r="AO463" s="50" t="s">
        <v>9554</v>
      </c>
    </row>
    <row r="464" spans="1:41" hidden="1" x14ac:dyDescent="0.25">
      <c r="A464" s="51" t="s">
        <v>3287</v>
      </c>
      <c r="B464" s="51" t="s">
        <v>3288</v>
      </c>
      <c r="C464" s="54" t="s">
        <v>608</v>
      </c>
      <c r="D464" s="51" t="s">
        <v>3289</v>
      </c>
      <c r="E464" s="20">
        <v>3267.47</v>
      </c>
      <c r="F464" s="20">
        <v>442.31</v>
      </c>
      <c r="G464" s="20">
        <v>5487.17</v>
      </c>
      <c r="H464" s="20">
        <v>0</v>
      </c>
      <c r="I464" s="20">
        <v>995.19</v>
      </c>
      <c r="J464" s="51" t="s">
        <v>2654</v>
      </c>
      <c r="K464" s="15">
        <v>0</v>
      </c>
      <c r="L464" s="51" t="s">
        <v>2371</v>
      </c>
      <c r="M464" s="51" t="s">
        <v>3290</v>
      </c>
      <c r="N464" s="51" t="s">
        <v>1340</v>
      </c>
      <c r="O464" s="51" t="s">
        <v>67</v>
      </c>
      <c r="P464" s="51" t="s">
        <v>67</v>
      </c>
      <c r="Q464" s="45">
        <v>46281.465638842594</v>
      </c>
      <c r="R464" s="46">
        <v>46315</v>
      </c>
      <c r="S464" s="46">
        <v>46310</v>
      </c>
      <c r="T464" s="51" t="s">
        <v>6119</v>
      </c>
      <c r="U464" s="15"/>
      <c r="V464" s="15"/>
      <c r="W464" s="15"/>
      <c r="X464" s="15"/>
      <c r="Y464" s="15"/>
      <c r="Z464" s="15"/>
      <c r="AA464" s="46"/>
      <c r="AB464" s="15"/>
      <c r="AC464" s="15"/>
      <c r="AD464" s="15"/>
      <c r="AE464" s="15"/>
      <c r="AF464" s="15"/>
      <c r="AG464" s="15"/>
      <c r="AH464" s="15"/>
      <c r="AI464" s="46"/>
      <c r="AJ464" s="51" t="s">
        <v>67</v>
      </c>
      <c r="AK464" s="51" t="s">
        <v>67</v>
      </c>
      <c r="AL464" s="15"/>
      <c r="AM464" s="51" t="s">
        <v>67</v>
      </c>
      <c r="AN464" s="51" t="s">
        <v>67</v>
      </c>
      <c r="AO464" s="50" t="s">
        <v>9554</v>
      </c>
    </row>
    <row r="465" spans="1:41" hidden="1" x14ac:dyDescent="0.25">
      <c r="A465" s="51" t="s">
        <v>3291</v>
      </c>
      <c r="B465" s="51" t="s">
        <v>3292</v>
      </c>
      <c r="C465" s="54" t="s">
        <v>607</v>
      </c>
      <c r="D465" s="51" t="s">
        <v>3293</v>
      </c>
      <c r="E465" s="20">
        <v>2097.19</v>
      </c>
      <c r="F465" s="20">
        <v>301.27999999999997</v>
      </c>
      <c r="G465" s="20">
        <v>4741.99</v>
      </c>
      <c r="H465" s="20">
        <v>0</v>
      </c>
      <c r="I465" s="20">
        <v>451.92</v>
      </c>
      <c r="J465" s="51" t="s">
        <v>2654</v>
      </c>
      <c r="K465" s="15">
        <v>0</v>
      </c>
      <c r="L465" s="51" t="s">
        <v>2371</v>
      </c>
      <c r="M465" s="51" t="s">
        <v>3294</v>
      </c>
      <c r="N465" s="51" t="s">
        <v>1340</v>
      </c>
      <c r="O465" s="51" t="s">
        <v>3295</v>
      </c>
      <c r="P465" s="51" t="s">
        <v>1340</v>
      </c>
      <c r="Q465" s="45">
        <v>46281.46564101852</v>
      </c>
      <c r="R465" s="46">
        <v>46310</v>
      </c>
      <c r="S465" s="46">
        <v>46305</v>
      </c>
      <c r="T465" s="51" t="s">
        <v>6119</v>
      </c>
      <c r="U465" s="15"/>
      <c r="V465" s="15"/>
      <c r="W465" s="15"/>
      <c r="X465" s="15"/>
      <c r="Y465" s="15"/>
      <c r="Z465" s="15"/>
      <c r="AA465" s="46"/>
      <c r="AB465" s="15"/>
      <c r="AC465" s="15"/>
      <c r="AD465" s="15"/>
      <c r="AE465" s="15"/>
      <c r="AF465" s="15"/>
      <c r="AG465" s="15"/>
      <c r="AH465" s="15"/>
      <c r="AI465" s="46"/>
      <c r="AJ465" s="51" t="s">
        <v>67</v>
      </c>
      <c r="AK465" s="51" t="s">
        <v>67</v>
      </c>
      <c r="AL465" s="15"/>
      <c r="AM465" s="51" t="s">
        <v>67</v>
      </c>
      <c r="AN465" s="51" t="s">
        <v>67</v>
      </c>
      <c r="AO465" s="50" t="s">
        <v>9554</v>
      </c>
    </row>
    <row r="466" spans="1:41" hidden="1" x14ac:dyDescent="0.25">
      <c r="A466" s="51" t="s">
        <v>3296</v>
      </c>
      <c r="B466" s="51" t="s">
        <v>3297</v>
      </c>
      <c r="C466" s="54" t="s">
        <v>5596</v>
      </c>
      <c r="D466" s="51" t="s">
        <v>3298</v>
      </c>
      <c r="E466" s="20">
        <v>4481.22</v>
      </c>
      <c r="F466" s="20">
        <v>4844.54</v>
      </c>
      <c r="G466" s="20">
        <v>15502.28</v>
      </c>
      <c r="H466" s="20">
        <v>3870.86</v>
      </c>
      <c r="I466" s="20">
        <v>4844.54</v>
      </c>
      <c r="J466" s="51" t="s">
        <v>6727</v>
      </c>
      <c r="K466" s="15">
        <v>21</v>
      </c>
      <c r="L466" s="51" t="s">
        <v>2369</v>
      </c>
      <c r="M466" s="51" t="s">
        <v>3299</v>
      </c>
      <c r="N466" s="51" t="s">
        <v>1340</v>
      </c>
      <c r="O466" s="51" t="s">
        <v>67</v>
      </c>
      <c r="P466" s="51" t="s">
        <v>67</v>
      </c>
      <c r="Q466" s="45">
        <v>46281.465642858799</v>
      </c>
      <c r="R466" s="46">
        <v>46300</v>
      </c>
      <c r="S466" s="46">
        <v>46295</v>
      </c>
      <c r="T466" s="51" t="s">
        <v>6119</v>
      </c>
      <c r="U466" s="15">
        <v>848.05</v>
      </c>
      <c r="V466" s="15">
        <v>3921.84</v>
      </c>
      <c r="W466" s="15">
        <v>36.08</v>
      </c>
      <c r="X466" s="15">
        <v>14.9</v>
      </c>
      <c r="Y466" s="15">
        <v>1.662307</v>
      </c>
      <c r="Z466" s="15">
        <v>6</v>
      </c>
      <c r="AA466" s="46">
        <v>46270</v>
      </c>
      <c r="AB466" s="15"/>
      <c r="AC466" s="15"/>
      <c r="AD466" s="15"/>
      <c r="AE466" s="15"/>
      <c r="AF466" s="15"/>
      <c r="AG466" s="15"/>
      <c r="AH466" s="15"/>
      <c r="AI466" s="46"/>
      <c r="AJ466" s="51" t="s">
        <v>6121</v>
      </c>
      <c r="AK466" s="51" t="s">
        <v>6121</v>
      </c>
      <c r="AL466" s="15">
        <v>848.05</v>
      </c>
      <c r="AM466" s="51" t="s">
        <v>67</v>
      </c>
      <c r="AN466" s="51" t="s">
        <v>67</v>
      </c>
      <c r="AO466" s="50" t="s">
        <v>9554</v>
      </c>
    </row>
    <row r="467" spans="1:41" hidden="1" x14ac:dyDescent="0.25">
      <c r="A467" s="51" t="s">
        <v>3300</v>
      </c>
      <c r="B467" s="51" t="s">
        <v>3301</v>
      </c>
      <c r="C467" s="54" t="s">
        <v>608</v>
      </c>
      <c r="D467" s="51" t="s">
        <v>3302</v>
      </c>
      <c r="E467" s="20">
        <v>4696.53</v>
      </c>
      <c r="F467" s="20">
        <v>9404.35</v>
      </c>
      <c r="G467" s="20">
        <v>12492.09</v>
      </c>
      <c r="H467" s="20">
        <v>3870.86</v>
      </c>
      <c r="I467" s="20">
        <v>7253.87</v>
      </c>
      <c r="J467" s="51" t="s">
        <v>6727</v>
      </c>
      <c r="K467" s="15">
        <v>37</v>
      </c>
      <c r="L467" s="51" t="s">
        <v>2369</v>
      </c>
      <c r="M467" s="51" t="s">
        <v>67</v>
      </c>
      <c r="N467" s="51" t="s">
        <v>67</v>
      </c>
      <c r="O467" s="51" t="s">
        <v>3303</v>
      </c>
      <c r="P467" s="51" t="s">
        <v>1340</v>
      </c>
      <c r="Q467" s="45">
        <v>46281.465645046294</v>
      </c>
      <c r="R467" s="46">
        <v>46315</v>
      </c>
      <c r="S467" s="46">
        <v>46310</v>
      </c>
      <c r="T467" s="51" t="s">
        <v>6119</v>
      </c>
      <c r="U467" s="15">
        <v>849.8</v>
      </c>
      <c r="V467" s="15">
        <v>3922.15</v>
      </c>
      <c r="W467" s="15">
        <v>36.39</v>
      </c>
      <c r="X467" s="15">
        <v>14.9</v>
      </c>
      <c r="Y467" s="15">
        <v>1.6620440000000001</v>
      </c>
      <c r="Z467" s="15">
        <v>6</v>
      </c>
      <c r="AA467" s="46">
        <v>46254</v>
      </c>
      <c r="AB467" s="15"/>
      <c r="AC467" s="15"/>
      <c r="AD467" s="15"/>
      <c r="AE467" s="15"/>
      <c r="AF467" s="15"/>
      <c r="AG467" s="15"/>
      <c r="AH467" s="15"/>
      <c r="AI467" s="46"/>
      <c r="AJ467" s="51" t="s">
        <v>6121</v>
      </c>
      <c r="AK467" s="51" t="s">
        <v>6121</v>
      </c>
      <c r="AL467" s="15">
        <v>849.8</v>
      </c>
      <c r="AM467" s="51" t="s">
        <v>67</v>
      </c>
      <c r="AN467" s="51" t="s">
        <v>67</v>
      </c>
      <c r="AO467" s="50" t="s">
        <v>9554</v>
      </c>
    </row>
    <row r="468" spans="1:41" hidden="1" x14ac:dyDescent="0.25">
      <c r="A468" s="51" t="s">
        <v>3304</v>
      </c>
      <c r="B468" s="51" t="s">
        <v>3305</v>
      </c>
      <c r="C468" s="54" t="s">
        <v>607</v>
      </c>
      <c r="D468" s="51" t="s">
        <v>3306</v>
      </c>
      <c r="E468" s="20">
        <v>5034.53</v>
      </c>
      <c r="F468" s="20">
        <v>4723.47</v>
      </c>
      <c r="G468" s="20">
        <v>9225.4699999999993</v>
      </c>
      <c r="H468" s="20">
        <v>3870.86</v>
      </c>
      <c r="I468" s="20">
        <v>4199.1000000000004</v>
      </c>
      <c r="J468" s="51" t="s">
        <v>6727</v>
      </c>
      <c r="K468" s="15">
        <v>11</v>
      </c>
      <c r="L468" s="51" t="s">
        <v>2369</v>
      </c>
      <c r="M468" s="51" t="s">
        <v>3307</v>
      </c>
      <c r="N468" s="51" t="s">
        <v>1344</v>
      </c>
      <c r="O468" s="51" t="s">
        <v>67</v>
      </c>
      <c r="P468" s="51" t="s">
        <v>67</v>
      </c>
      <c r="Q468" s="45">
        <v>46281.465647673613</v>
      </c>
      <c r="R468" s="46">
        <v>46310</v>
      </c>
      <c r="S468" s="46">
        <v>46305</v>
      </c>
      <c r="T468" s="51" t="s">
        <v>6119</v>
      </c>
      <c r="U468" s="15">
        <v>848.05</v>
      </c>
      <c r="V468" s="15">
        <v>3921.84</v>
      </c>
      <c r="W468" s="15">
        <v>36.08</v>
      </c>
      <c r="X468" s="15">
        <v>14.9</v>
      </c>
      <c r="Y468" s="15">
        <v>1.662307</v>
      </c>
      <c r="Z468" s="15">
        <v>6</v>
      </c>
      <c r="AA468" s="46">
        <v>46280</v>
      </c>
      <c r="AB468" s="15"/>
      <c r="AC468" s="15"/>
      <c r="AD468" s="15"/>
      <c r="AE468" s="15"/>
      <c r="AF468" s="15"/>
      <c r="AG468" s="15"/>
      <c r="AH468" s="15"/>
      <c r="AI468" s="46"/>
      <c r="AJ468" s="51" t="s">
        <v>6121</v>
      </c>
      <c r="AK468" s="51" t="s">
        <v>6121</v>
      </c>
      <c r="AL468" s="15">
        <v>848.05</v>
      </c>
      <c r="AM468" s="51" t="s">
        <v>67</v>
      </c>
      <c r="AN468" s="51" t="s">
        <v>67</v>
      </c>
      <c r="AO468" s="50" t="s">
        <v>9554</v>
      </c>
    </row>
    <row r="469" spans="1:41" hidden="1" x14ac:dyDescent="0.25">
      <c r="A469" s="51" t="s">
        <v>3308</v>
      </c>
      <c r="B469" s="51" t="s">
        <v>3309</v>
      </c>
      <c r="C469" s="54" t="s">
        <v>611</v>
      </c>
      <c r="D469" s="51" t="s">
        <v>3310</v>
      </c>
      <c r="E469" s="20">
        <v>7643.68</v>
      </c>
      <c r="F469" s="20">
        <v>795.07</v>
      </c>
      <c r="G469" s="20">
        <v>12703.61</v>
      </c>
      <c r="H469" s="20">
        <v>772.4</v>
      </c>
      <c r="I469" s="20">
        <v>795.07</v>
      </c>
      <c r="J469" s="51" t="s">
        <v>6727</v>
      </c>
      <c r="K469" s="15">
        <v>1</v>
      </c>
      <c r="L469" s="51" t="s">
        <v>2369</v>
      </c>
      <c r="M469" s="51" t="s">
        <v>67</v>
      </c>
      <c r="N469" s="51" t="s">
        <v>67</v>
      </c>
      <c r="O469" s="51" t="s">
        <v>3311</v>
      </c>
      <c r="P469" s="51" t="s">
        <v>1340</v>
      </c>
      <c r="Q469" s="45">
        <v>46281.46564991898</v>
      </c>
      <c r="R469" s="46">
        <v>46320</v>
      </c>
      <c r="S469" s="46">
        <v>46315</v>
      </c>
      <c r="T469" s="51" t="s">
        <v>6119</v>
      </c>
      <c r="U469" s="15"/>
      <c r="V469" s="15"/>
      <c r="W469" s="15"/>
      <c r="X469" s="15"/>
      <c r="Y469" s="15"/>
      <c r="Z469" s="15"/>
      <c r="AA469" s="46"/>
      <c r="AB469" s="15"/>
      <c r="AC469" s="15"/>
      <c r="AD469" s="15"/>
      <c r="AE469" s="15"/>
      <c r="AF469" s="15"/>
      <c r="AG469" s="15"/>
      <c r="AH469" s="15"/>
      <c r="AI469" s="46"/>
      <c r="AJ469" s="51" t="s">
        <v>67</v>
      </c>
      <c r="AK469" s="51" t="s">
        <v>67</v>
      </c>
      <c r="AL469" s="15"/>
      <c r="AM469" s="51" t="s">
        <v>67</v>
      </c>
      <c r="AN469" s="51" t="s">
        <v>67</v>
      </c>
      <c r="AO469" s="50" t="s">
        <v>9554</v>
      </c>
    </row>
    <row r="470" spans="1:41" hidden="1" x14ac:dyDescent="0.25">
      <c r="A470" s="51" t="s">
        <v>3312</v>
      </c>
      <c r="B470" s="51" t="s">
        <v>3313</v>
      </c>
      <c r="C470" s="54" t="s">
        <v>5596</v>
      </c>
      <c r="D470" s="51" t="s">
        <v>3314</v>
      </c>
      <c r="E470" s="20">
        <v>4681.8100000000004</v>
      </c>
      <c r="F470" s="20">
        <v>4825.97</v>
      </c>
      <c r="G470" s="20">
        <v>891.58</v>
      </c>
      <c r="H470" s="20">
        <v>3870.86</v>
      </c>
      <c r="I470" s="20">
        <v>4825.97</v>
      </c>
      <c r="J470" s="51" t="s">
        <v>6727</v>
      </c>
      <c r="K470" s="15">
        <v>21</v>
      </c>
      <c r="L470" s="51" t="s">
        <v>2369</v>
      </c>
      <c r="M470" s="51" t="s">
        <v>3315</v>
      </c>
      <c r="N470" s="51" t="s">
        <v>1340</v>
      </c>
      <c r="O470" s="51" t="s">
        <v>67</v>
      </c>
      <c r="P470" s="51" t="s">
        <v>67</v>
      </c>
      <c r="Q470" s="45">
        <v>46281.465652037034</v>
      </c>
      <c r="R470" s="46">
        <v>46300</v>
      </c>
      <c r="S470" s="46">
        <v>46295</v>
      </c>
      <c r="T470" s="51" t="s">
        <v>6119</v>
      </c>
      <c r="U470" s="15">
        <v>848.05</v>
      </c>
      <c r="V470" s="15">
        <v>3921.84</v>
      </c>
      <c r="W470" s="15">
        <v>36.08</v>
      </c>
      <c r="X470" s="15">
        <v>14.9</v>
      </c>
      <c r="Y470" s="15">
        <v>1.662307</v>
      </c>
      <c r="Z470" s="15">
        <v>6</v>
      </c>
      <c r="AA470" s="46">
        <v>46270</v>
      </c>
      <c r="AB470" s="15"/>
      <c r="AC470" s="15"/>
      <c r="AD470" s="15"/>
      <c r="AE470" s="15"/>
      <c r="AF470" s="15"/>
      <c r="AG470" s="15"/>
      <c r="AH470" s="15"/>
      <c r="AI470" s="46"/>
      <c r="AJ470" s="51" t="s">
        <v>6121</v>
      </c>
      <c r="AK470" s="51" t="s">
        <v>6121</v>
      </c>
      <c r="AL470" s="15">
        <v>848.05</v>
      </c>
      <c r="AM470" s="51" t="s">
        <v>67</v>
      </c>
      <c r="AN470" s="51" t="s">
        <v>67</v>
      </c>
      <c r="AO470" s="50" t="s">
        <v>9554</v>
      </c>
    </row>
    <row r="471" spans="1:41" hidden="1" x14ac:dyDescent="0.25">
      <c r="A471" s="51" t="s">
        <v>3316</v>
      </c>
      <c r="B471" s="51" t="s">
        <v>3317</v>
      </c>
      <c r="C471" s="54" t="s">
        <v>608</v>
      </c>
      <c r="D471" s="51" t="s">
        <v>3318</v>
      </c>
      <c r="E471" s="20">
        <v>8025.81</v>
      </c>
      <c r="F471" s="20">
        <v>0</v>
      </c>
      <c r="G471" s="20">
        <v>9481.32</v>
      </c>
      <c r="H471" s="20">
        <v>0</v>
      </c>
      <c r="I471" s="20">
        <v>970.16</v>
      </c>
      <c r="J471" s="51" t="s">
        <v>2654</v>
      </c>
      <c r="K471" s="15">
        <v>0</v>
      </c>
      <c r="L471" s="51" t="s">
        <v>2371</v>
      </c>
      <c r="M471" s="51" t="s">
        <v>3319</v>
      </c>
      <c r="N471" s="51" t="s">
        <v>1340</v>
      </c>
      <c r="O471" s="51" t="s">
        <v>67</v>
      </c>
      <c r="P471" s="51" t="s">
        <v>67</v>
      </c>
      <c r="Q471" s="45">
        <v>46281.465654571759</v>
      </c>
      <c r="R471" s="46">
        <v>46315</v>
      </c>
      <c r="S471" s="46">
        <v>46310</v>
      </c>
      <c r="T471" s="51" t="s">
        <v>6119</v>
      </c>
      <c r="U471" s="15"/>
      <c r="V471" s="15"/>
      <c r="W471" s="15"/>
      <c r="X471" s="15"/>
      <c r="Y471" s="15"/>
      <c r="Z471" s="15"/>
      <c r="AA471" s="46"/>
      <c r="AB471" s="15"/>
      <c r="AC471" s="15"/>
      <c r="AD471" s="15"/>
      <c r="AE471" s="15"/>
      <c r="AF471" s="15"/>
      <c r="AG471" s="15"/>
      <c r="AH471" s="15"/>
      <c r="AI471" s="46"/>
      <c r="AJ471" s="51" t="s">
        <v>67</v>
      </c>
      <c r="AK471" s="51" t="s">
        <v>67</v>
      </c>
      <c r="AL471" s="15"/>
      <c r="AM471" s="51" t="s">
        <v>67</v>
      </c>
      <c r="AN471" s="51" t="s">
        <v>67</v>
      </c>
      <c r="AO471" s="50" t="s">
        <v>9554</v>
      </c>
    </row>
    <row r="472" spans="1:41" hidden="1" x14ac:dyDescent="0.25">
      <c r="A472" s="51" t="s">
        <v>3320</v>
      </c>
      <c r="B472" s="51" t="s">
        <v>3321</v>
      </c>
      <c r="C472" s="54" t="s">
        <v>607</v>
      </c>
      <c r="D472" s="51" t="s">
        <v>3322</v>
      </c>
      <c r="E472" s="20">
        <v>3646.2</v>
      </c>
      <c r="F472" s="20">
        <v>501.35</v>
      </c>
      <c r="G472" s="20">
        <v>9964.33</v>
      </c>
      <c r="H472" s="20">
        <v>0</v>
      </c>
      <c r="I472" s="20">
        <v>501.35</v>
      </c>
      <c r="J472" s="51" t="s">
        <v>2654</v>
      </c>
      <c r="K472" s="15">
        <v>0</v>
      </c>
      <c r="L472" s="51" t="s">
        <v>2371</v>
      </c>
      <c r="M472" s="51" t="s">
        <v>67</v>
      </c>
      <c r="N472" s="51" t="s">
        <v>67</v>
      </c>
      <c r="O472" s="51" t="s">
        <v>3323</v>
      </c>
      <c r="P472" s="51" t="s">
        <v>1340</v>
      </c>
      <c r="Q472" s="45">
        <v>46281.465656354165</v>
      </c>
      <c r="R472" s="46">
        <v>46310</v>
      </c>
      <c r="S472" s="46">
        <v>46305</v>
      </c>
      <c r="T472" s="51" t="s">
        <v>6119</v>
      </c>
      <c r="U472" s="15"/>
      <c r="V472" s="15"/>
      <c r="W472" s="15"/>
      <c r="X472" s="15"/>
      <c r="Y472" s="15"/>
      <c r="Z472" s="15"/>
      <c r="AA472" s="46"/>
      <c r="AB472" s="15"/>
      <c r="AC472" s="15"/>
      <c r="AD472" s="15"/>
      <c r="AE472" s="15"/>
      <c r="AF472" s="15"/>
      <c r="AG472" s="15"/>
      <c r="AH472" s="15"/>
      <c r="AI472" s="46"/>
      <c r="AJ472" s="51" t="s">
        <v>67</v>
      </c>
      <c r="AK472" s="51" t="s">
        <v>67</v>
      </c>
      <c r="AL472" s="15"/>
      <c r="AM472" s="51" t="s">
        <v>67</v>
      </c>
      <c r="AN472" s="51" t="s">
        <v>67</v>
      </c>
      <c r="AO472" s="50" t="s">
        <v>9554</v>
      </c>
    </row>
    <row r="473" spans="1:41" hidden="1" x14ac:dyDescent="0.25">
      <c r="A473" s="51" t="s">
        <v>3324</v>
      </c>
      <c r="B473" s="51" t="s">
        <v>3325</v>
      </c>
      <c r="C473" s="54" t="s">
        <v>608</v>
      </c>
      <c r="D473" s="51" t="s">
        <v>3326</v>
      </c>
      <c r="E473" s="20">
        <v>12646.4</v>
      </c>
      <c r="F473" s="20">
        <v>234.82</v>
      </c>
      <c r="G473" s="20">
        <v>14780.76</v>
      </c>
      <c r="H473" s="20">
        <v>0</v>
      </c>
      <c r="I473" s="20">
        <v>528.35</v>
      </c>
      <c r="J473" s="51" t="s">
        <v>2654</v>
      </c>
      <c r="K473" s="15">
        <v>0</v>
      </c>
      <c r="L473" s="51" t="s">
        <v>2371</v>
      </c>
      <c r="M473" s="51" t="s">
        <v>3327</v>
      </c>
      <c r="N473" s="51" t="s">
        <v>1340</v>
      </c>
      <c r="O473" s="51" t="s">
        <v>3328</v>
      </c>
      <c r="P473" s="51" t="s">
        <v>1340</v>
      </c>
      <c r="Q473" s="45">
        <v>46281.465658310182</v>
      </c>
      <c r="R473" s="46">
        <v>46315</v>
      </c>
      <c r="S473" s="46">
        <v>46310</v>
      </c>
      <c r="T473" s="51" t="s">
        <v>6119</v>
      </c>
      <c r="U473" s="15"/>
      <c r="V473" s="15"/>
      <c r="W473" s="15"/>
      <c r="X473" s="15"/>
      <c r="Y473" s="15"/>
      <c r="Z473" s="15"/>
      <c r="AA473" s="46"/>
      <c r="AB473" s="15"/>
      <c r="AC473" s="15"/>
      <c r="AD473" s="15"/>
      <c r="AE473" s="15"/>
      <c r="AF473" s="15"/>
      <c r="AG473" s="15"/>
      <c r="AH473" s="15"/>
      <c r="AI473" s="46"/>
      <c r="AJ473" s="51" t="s">
        <v>67</v>
      </c>
      <c r="AK473" s="51" t="s">
        <v>67</v>
      </c>
      <c r="AL473" s="15"/>
      <c r="AM473" s="51" t="s">
        <v>67</v>
      </c>
      <c r="AN473" s="51" t="s">
        <v>67</v>
      </c>
      <c r="AO473" s="50" t="s">
        <v>9554</v>
      </c>
    </row>
    <row r="474" spans="1:41" hidden="1" x14ac:dyDescent="0.25">
      <c r="A474" s="51" t="s">
        <v>3329</v>
      </c>
      <c r="B474" s="51" t="s">
        <v>3330</v>
      </c>
      <c r="C474" s="54" t="s">
        <v>608</v>
      </c>
      <c r="D474" s="51" t="s">
        <v>3331</v>
      </c>
      <c r="E474" s="20">
        <v>13081.6</v>
      </c>
      <c r="F474" s="20">
        <v>8954.6</v>
      </c>
      <c r="G474" s="20">
        <v>8367.91</v>
      </c>
      <c r="H474" s="20">
        <v>3870.86</v>
      </c>
      <c r="I474" s="20">
        <v>5083.74</v>
      </c>
      <c r="J474" s="51" t="s">
        <v>6727</v>
      </c>
      <c r="K474" s="15">
        <v>37</v>
      </c>
      <c r="L474" s="51" t="s">
        <v>2369</v>
      </c>
      <c r="M474" s="51" t="s">
        <v>3332</v>
      </c>
      <c r="N474" s="51" t="s">
        <v>1344</v>
      </c>
      <c r="O474" s="51" t="s">
        <v>67</v>
      </c>
      <c r="P474" s="51" t="s">
        <v>67</v>
      </c>
      <c r="Q474" s="45">
        <v>46281.465660162037</v>
      </c>
      <c r="R474" s="46">
        <v>46315</v>
      </c>
      <c r="S474" s="46">
        <v>46310</v>
      </c>
      <c r="T474" s="51" t="s">
        <v>6119</v>
      </c>
      <c r="U474" s="15">
        <v>849.8</v>
      </c>
      <c r="V474" s="15">
        <v>3922.15</v>
      </c>
      <c r="W474" s="15">
        <v>36.39</v>
      </c>
      <c r="X474" s="15">
        <v>14.9</v>
      </c>
      <c r="Y474" s="15">
        <v>1.6620440000000001</v>
      </c>
      <c r="Z474" s="15">
        <v>6</v>
      </c>
      <c r="AA474" s="46">
        <v>46254</v>
      </c>
      <c r="AB474" s="15"/>
      <c r="AC474" s="15"/>
      <c r="AD474" s="15"/>
      <c r="AE474" s="15"/>
      <c r="AF474" s="15"/>
      <c r="AG474" s="15"/>
      <c r="AH474" s="15"/>
      <c r="AI474" s="46"/>
      <c r="AJ474" s="51" t="s">
        <v>6121</v>
      </c>
      <c r="AK474" s="51" t="s">
        <v>6121</v>
      </c>
      <c r="AL474" s="15">
        <v>849.8</v>
      </c>
      <c r="AM474" s="51" t="s">
        <v>67</v>
      </c>
      <c r="AN474" s="51" t="s">
        <v>67</v>
      </c>
      <c r="AO474" s="50" t="s">
        <v>9554</v>
      </c>
    </row>
    <row r="475" spans="1:41" hidden="1" x14ac:dyDescent="0.25">
      <c r="A475" s="51" t="s">
        <v>3333</v>
      </c>
      <c r="B475" s="51" t="s">
        <v>3334</v>
      </c>
      <c r="C475" s="54" t="s">
        <v>608</v>
      </c>
      <c r="D475" s="51" t="s">
        <v>3335</v>
      </c>
      <c r="E475" s="20">
        <v>2649.31</v>
      </c>
      <c r="F475" s="20">
        <v>8967.4699999999993</v>
      </c>
      <c r="G475" s="20">
        <v>6934.71</v>
      </c>
      <c r="H475" s="20">
        <v>3870.86</v>
      </c>
      <c r="I475" s="20">
        <v>7677.18</v>
      </c>
      <c r="J475" s="51" t="s">
        <v>6727</v>
      </c>
      <c r="K475" s="15">
        <v>37</v>
      </c>
      <c r="L475" s="51" t="s">
        <v>2369</v>
      </c>
      <c r="M475" s="51" t="s">
        <v>3336</v>
      </c>
      <c r="N475" s="51" t="s">
        <v>1340</v>
      </c>
      <c r="O475" s="51" t="s">
        <v>3337</v>
      </c>
      <c r="P475" s="51" t="s">
        <v>1340</v>
      </c>
      <c r="Q475" s="45">
        <v>46281.46566238426</v>
      </c>
      <c r="R475" s="46">
        <v>46315</v>
      </c>
      <c r="S475" s="46">
        <v>46310</v>
      </c>
      <c r="T475" s="51" t="s">
        <v>6119</v>
      </c>
      <c r="U475" s="15">
        <v>849.8</v>
      </c>
      <c r="V475" s="15">
        <v>3922.15</v>
      </c>
      <c r="W475" s="15">
        <v>36.39</v>
      </c>
      <c r="X475" s="15">
        <v>14.9</v>
      </c>
      <c r="Y475" s="15">
        <v>1.6620440000000001</v>
      </c>
      <c r="Z475" s="15">
        <v>6</v>
      </c>
      <c r="AA475" s="46">
        <v>46254</v>
      </c>
      <c r="AB475" s="15"/>
      <c r="AC475" s="15"/>
      <c r="AD475" s="15"/>
      <c r="AE475" s="15"/>
      <c r="AF475" s="15"/>
      <c r="AG475" s="15"/>
      <c r="AH475" s="15"/>
      <c r="AI475" s="46"/>
      <c r="AJ475" s="51" t="s">
        <v>6121</v>
      </c>
      <c r="AK475" s="51" t="s">
        <v>6121</v>
      </c>
      <c r="AL475" s="15">
        <v>849.8</v>
      </c>
      <c r="AM475" s="51" t="s">
        <v>67</v>
      </c>
      <c r="AN475" s="51" t="s">
        <v>67</v>
      </c>
      <c r="AO475" s="50" t="s">
        <v>9554</v>
      </c>
    </row>
    <row r="476" spans="1:41" hidden="1" x14ac:dyDescent="0.25">
      <c r="A476" s="51" t="s">
        <v>3338</v>
      </c>
      <c r="B476" s="51" t="s">
        <v>3339</v>
      </c>
      <c r="C476" s="54" t="s">
        <v>611</v>
      </c>
      <c r="D476" s="51" t="s">
        <v>3340</v>
      </c>
      <c r="E476" s="20">
        <v>14511.45</v>
      </c>
      <c r="F476" s="20">
        <v>815.49</v>
      </c>
      <c r="G476" s="20">
        <v>19575.25</v>
      </c>
      <c r="H476" s="20">
        <v>792.25</v>
      </c>
      <c r="I476" s="20">
        <v>815.49</v>
      </c>
      <c r="J476" s="51" t="s">
        <v>6727</v>
      </c>
      <c r="K476" s="15">
        <v>1</v>
      </c>
      <c r="L476" s="51" t="s">
        <v>2369</v>
      </c>
      <c r="M476" s="51" t="s">
        <v>67</v>
      </c>
      <c r="N476" s="51" t="s">
        <v>67</v>
      </c>
      <c r="O476" s="51" t="s">
        <v>3341</v>
      </c>
      <c r="P476" s="51" t="s">
        <v>1340</v>
      </c>
      <c r="Q476" s="45">
        <v>46281.465665543983</v>
      </c>
      <c r="R476" s="46">
        <v>46320</v>
      </c>
      <c r="S476" s="46">
        <v>46315</v>
      </c>
      <c r="T476" s="51" t="s">
        <v>6119</v>
      </c>
      <c r="U476" s="15"/>
      <c r="V476" s="15"/>
      <c r="W476" s="15"/>
      <c r="X476" s="15"/>
      <c r="Y476" s="15"/>
      <c r="Z476" s="15"/>
      <c r="AA476" s="46"/>
      <c r="AB476" s="15"/>
      <c r="AC476" s="15"/>
      <c r="AD476" s="15"/>
      <c r="AE476" s="15"/>
      <c r="AF476" s="15"/>
      <c r="AG476" s="15"/>
      <c r="AH476" s="15"/>
      <c r="AI476" s="46"/>
      <c r="AJ476" s="51" t="s">
        <v>67</v>
      </c>
      <c r="AK476" s="51" t="s">
        <v>67</v>
      </c>
      <c r="AL476" s="15"/>
      <c r="AM476" s="51" t="s">
        <v>67</v>
      </c>
      <c r="AN476" s="51" t="s">
        <v>67</v>
      </c>
      <c r="AO476" s="50" t="s">
        <v>9554</v>
      </c>
    </row>
    <row r="477" spans="1:41" hidden="1" x14ac:dyDescent="0.25">
      <c r="A477" s="51" t="s">
        <v>3342</v>
      </c>
      <c r="B477" s="51" t="s">
        <v>3343</v>
      </c>
      <c r="C477" s="54" t="s">
        <v>607</v>
      </c>
      <c r="D477" s="51" t="s">
        <v>3344</v>
      </c>
      <c r="E477" s="20">
        <v>9997.3700000000008</v>
      </c>
      <c r="F477" s="20">
        <v>4763.91</v>
      </c>
      <c r="G477" s="20">
        <v>12308.45</v>
      </c>
      <c r="H477" s="20">
        <v>3870.86</v>
      </c>
      <c r="I477" s="20">
        <v>4387.38</v>
      </c>
      <c r="J477" s="51" t="s">
        <v>6727</v>
      </c>
      <c r="K477" s="15">
        <v>11</v>
      </c>
      <c r="L477" s="51" t="s">
        <v>2369</v>
      </c>
      <c r="M477" s="51" t="s">
        <v>67</v>
      </c>
      <c r="N477" s="51" t="s">
        <v>67</v>
      </c>
      <c r="O477" s="51" t="s">
        <v>3345</v>
      </c>
      <c r="P477" s="51" t="s">
        <v>1344</v>
      </c>
      <c r="Q477" s="45">
        <v>46281.465667962962</v>
      </c>
      <c r="R477" s="46">
        <v>46310</v>
      </c>
      <c r="S477" s="46">
        <v>46305</v>
      </c>
      <c r="T477" s="51" t="s">
        <v>6119</v>
      </c>
      <c r="U477" s="15">
        <v>848.05</v>
      </c>
      <c r="V477" s="15">
        <v>3921.84</v>
      </c>
      <c r="W477" s="15">
        <v>36.08</v>
      </c>
      <c r="X477" s="15">
        <v>14.9</v>
      </c>
      <c r="Y477" s="15">
        <v>1.662307</v>
      </c>
      <c r="Z477" s="15">
        <v>6</v>
      </c>
      <c r="AA477" s="46">
        <v>46280</v>
      </c>
      <c r="AB477" s="15"/>
      <c r="AC477" s="15"/>
      <c r="AD477" s="15"/>
      <c r="AE477" s="15"/>
      <c r="AF477" s="15"/>
      <c r="AG477" s="15"/>
      <c r="AH477" s="15"/>
      <c r="AI477" s="46"/>
      <c r="AJ477" s="51" t="s">
        <v>6121</v>
      </c>
      <c r="AK477" s="51" t="s">
        <v>6121</v>
      </c>
      <c r="AL477" s="15">
        <v>848.05</v>
      </c>
      <c r="AM477" s="51" t="s">
        <v>67</v>
      </c>
      <c r="AN477" s="51" t="s">
        <v>67</v>
      </c>
      <c r="AO477" s="50" t="s">
        <v>9554</v>
      </c>
    </row>
    <row r="478" spans="1:41" hidden="1" x14ac:dyDescent="0.25">
      <c r="A478" s="51" t="s">
        <v>3346</v>
      </c>
      <c r="B478" s="51" t="s">
        <v>3347</v>
      </c>
      <c r="C478" s="54" t="s">
        <v>5596</v>
      </c>
      <c r="D478" s="51" t="s">
        <v>3348</v>
      </c>
      <c r="E478" s="20">
        <v>600.05999999999995</v>
      </c>
      <c r="F478" s="20">
        <v>882.45</v>
      </c>
      <c r="G478" s="20">
        <v>19614.52</v>
      </c>
      <c r="H478" s="20">
        <v>0</v>
      </c>
      <c r="I478" s="20">
        <v>882.45</v>
      </c>
      <c r="J478" s="51" t="s">
        <v>2654</v>
      </c>
      <c r="K478" s="15">
        <v>0</v>
      </c>
      <c r="L478" s="51" t="s">
        <v>2371</v>
      </c>
      <c r="M478" s="51" t="s">
        <v>67</v>
      </c>
      <c r="N478" s="51" t="s">
        <v>67</v>
      </c>
      <c r="O478" s="51" t="s">
        <v>3349</v>
      </c>
      <c r="P478" s="51" t="s">
        <v>1340</v>
      </c>
      <c r="Q478" s="45">
        <v>46281.465671342594</v>
      </c>
      <c r="R478" s="46">
        <v>46300</v>
      </c>
      <c r="S478" s="46">
        <v>46295</v>
      </c>
      <c r="T478" s="51" t="s">
        <v>6119</v>
      </c>
      <c r="U478" s="15"/>
      <c r="V478" s="15"/>
      <c r="W478" s="15"/>
      <c r="X478" s="15"/>
      <c r="Y478" s="15"/>
      <c r="Z478" s="15"/>
      <c r="AA478" s="46"/>
      <c r="AB478" s="15"/>
      <c r="AC478" s="15"/>
      <c r="AD478" s="15"/>
      <c r="AE478" s="15"/>
      <c r="AF478" s="15"/>
      <c r="AG478" s="15"/>
      <c r="AH478" s="15"/>
      <c r="AI478" s="46"/>
      <c r="AJ478" s="51" t="s">
        <v>67</v>
      </c>
      <c r="AK478" s="51" t="s">
        <v>67</v>
      </c>
      <c r="AL478" s="15"/>
      <c r="AM478" s="51" t="s">
        <v>67</v>
      </c>
      <c r="AN478" s="51" t="s">
        <v>67</v>
      </c>
      <c r="AO478" s="50" t="s">
        <v>9554</v>
      </c>
    </row>
    <row r="479" spans="1:41" hidden="1" x14ac:dyDescent="0.25">
      <c r="A479" s="51" t="s">
        <v>3350</v>
      </c>
      <c r="B479" s="51" t="s">
        <v>3351</v>
      </c>
      <c r="C479" s="54" t="s">
        <v>605</v>
      </c>
      <c r="D479" s="51" t="s">
        <v>3352</v>
      </c>
      <c r="E479" s="20">
        <v>9900.4</v>
      </c>
      <c r="F479" s="20">
        <v>873.55</v>
      </c>
      <c r="G479" s="20">
        <v>15357.76</v>
      </c>
      <c r="H479" s="20">
        <v>0</v>
      </c>
      <c r="I479" s="20">
        <v>873.55</v>
      </c>
      <c r="J479" s="51" t="s">
        <v>2654</v>
      </c>
      <c r="K479" s="15">
        <v>0</v>
      </c>
      <c r="L479" s="51" t="s">
        <v>2371</v>
      </c>
      <c r="M479" s="51" t="s">
        <v>3353</v>
      </c>
      <c r="N479" s="51" t="s">
        <v>1340</v>
      </c>
      <c r="O479" s="51" t="s">
        <v>67</v>
      </c>
      <c r="P479" s="51" t="s">
        <v>67</v>
      </c>
      <c r="Q479" s="45">
        <v>46281.465674050924</v>
      </c>
      <c r="R479" s="46">
        <v>46305</v>
      </c>
      <c r="S479" s="46">
        <v>46300</v>
      </c>
      <c r="T479" s="51" t="s">
        <v>6119</v>
      </c>
      <c r="U479" s="15"/>
      <c r="V479" s="15"/>
      <c r="W479" s="15"/>
      <c r="X479" s="15"/>
      <c r="Y479" s="15"/>
      <c r="Z479" s="15"/>
      <c r="AA479" s="46"/>
      <c r="AB479" s="15"/>
      <c r="AC479" s="15"/>
      <c r="AD479" s="15"/>
      <c r="AE479" s="15"/>
      <c r="AF479" s="15"/>
      <c r="AG479" s="15"/>
      <c r="AH479" s="15"/>
      <c r="AI479" s="46"/>
      <c r="AJ479" s="51" t="s">
        <v>67</v>
      </c>
      <c r="AK479" s="51" t="s">
        <v>67</v>
      </c>
      <c r="AL479" s="15"/>
      <c r="AM479" s="51" t="s">
        <v>67</v>
      </c>
      <c r="AN479" s="51" t="s">
        <v>67</v>
      </c>
      <c r="AO479" s="50" t="s">
        <v>9554</v>
      </c>
    </row>
    <row r="480" spans="1:41" hidden="1" x14ac:dyDescent="0.25">
      <c r="A480" s="51" t="s">
        <v>3354</v>
      </c>
      <c r="B480" s="51" t="s">
        <v>3355</v>
      </c>
      <c r="C480" s="54" t="s">
        <v>605</v>
      </c>
      <c r="D480" s="51" t="s">
        <v>3356</v>
      </c>
      <c r="E480" s="20">
        <v>5367.81</v>
      </c>
      <c r="F480" s="20">
        <v>5029.71</v>
      </c>
      <c r="G480" s="20">
        <v>6878.97</v>
      </c>
      <c r="H480" s="20">
        <v>3870.86</v>
      </c>
      <c r="I480" s="20">
        <v>5029.71</v>
      </c>
      <c r="J480" s="51" t="s">
        <v>6727</v>
      </c>
      <c r="K480" s="15">
        <v>16</v>
      </c>
      <c r="L480" s="51" t="s">
        <v>2369</v>
      </c>
      <c r="M480" s="51" t="s">
        <v>67</v>
      </c>
      <c r="N480" s="51" t="s">
        <v>67</v>
      </c>
      <c r="O480" s="51" t="s">
        <v>3357</v>
      </c>
      <c r="P480" s="51" t="s">
        <v>1340</v>
      </c>
      <c r="Q480" s="45">
        <v>46281.46567740741</v>
      </c>
      <c r="R480" s="46">
        <v>46305</v>
      </c>
      <c r="S480" s="46">
        <v>46300</v>
      </c>
      <c r="T480" s="51" t="s">
        <v>6119</v>
      </c>
      <c r="U480" s="15">
        <v>848.05</v>
      </c>
      <c r="V480" s="15">
        <v>3921.84</v>
      </c>
      <c r="W480" s="15">
        <v>36.08</v>
      </c>
      <c r="X480" s="15">
        <v>14.9</v>
      </c>
      <c r="Y480" s="15">
        <v>1.662307</v>
      </c>
      <c r="Z480" s="15">
        <v>6</v>
      </c>
      <c r="AA480" s="46">
        <v>46275</v>
      </c>
      <c r="AB480" s="15"/>
      <c r="AC480" s="15"/>
      <c r="AD480" s="15"/>
      <c r="AE480" s="15"/>
      <c r="AF480" s="15"/>
      <c r="AG480" s="15"/>
      <c r="AH480" s="15"/>
      <c r="AI480" s="46"/>
      <c r="AJ480" s="51" t="s">
        <v>6121</v>
      </c>
      <c r="AK480" s="51" t="s">
        <v>6121</v>
      </c>
      <c r="AL480" s="15">
        <v>848.05</v>
      </c>
      <c r="AM480" s="51" t="s">
        <v>67</v>
      </c>
      <c r="AN480" s="51" t="s">
        <v>67</v>
      </c>
      <c r="AO480" s="50" t="s">
        <v>9554</v>
      </c>
    </row>
    <row r="481" spans="1:41" hidden="1" x14ac:dyDescent="0.25">
      <c r="A481" s="51" t="s">
        <v>3358</v>
      </c>
      <c r="B481" s="51" t="s">
        <v>3359</v>
      </c>
      <c r="C481" s="54" t="s">
        <v>607</v>
      </c>
      <c r="D481" s="51" t="s">
        <v>3360</v>
      </c>
      <c r="E481" s="20">
        <v>11899.13</v>
      </c>
      <c r="F481" s="20">
        <v>4961.6400000000003</v>
      </c>
      <c r="G481" s="20">
        <v>2912.45</v>
      </c>
      <c r="H481" s="20">
        <v>3870.86</v>
      </c>
      <c r="I481" s="20">
        <v>4199.09</v>
      </c>
      <c r="J481" s="51" t="s">
        <v>6727</v>
      </c>
      <c r="K481" s="15">
        <v>11</v>
      </c>
      <c r="L481" s="51" t="s">
        <v>2369</v>
      </c>
      <c r="M481" s="51" t="s">
        <v>3361</v>
      </c>
      <c r="N481" s="51" t="s">
        <v>1340</v>
      </c>
      <c r="O481" s="51" t="s">
        <v>3362</v>
      </c>
      <c r="P481" s="51" t="s">
        <v>1340</v>
      </c>
      <c r="Q481" s="45">
        <v>46281.465680057867</v>
      </c>
      <c r="R481" s="46">
        <v>46310</v>
      </c>
      <c r="S481" s="46">
        <v>46305</v>
      </c>
      <c r="T481" s="51" t="s">
        <v>6119</v>
      </c>
      <c r="U481" s="15">
        <v>848.05</v>
      </c>
      <c r="V481" s="15">
        <v>3921.84</v>
      </c>
      <c r="W481" s="15">
        <v>36.08</v>
      </c>
      <c r="X481" s="15">
        <v>14.9</v>
      </c>
      <c r="Y481" s="15">
        <v>1.662307</v>
      </c>
      <c r="Z481" s="15">
        <v>6</v>
      </c>
      <c r="AA481" s="46">
        <v>46280</v>
      </c>
      <c r="AB481" s="15"/>
      <c r="AC481" s="15"/>
      <c r="AD481" s="15"/>
      <c r="AE481" s="15"/>
      <c r="AF481" s="15"/>
      <c r="AG481" s="15"/>
      <c r="AH481" s="15"/>
      <c r="AI481" s="46"/>
      <c r="AJ481" s="51" t="s">
        <v>6121</v>
      </c>
      <c r="AK481" s="51" t="s">
        <v>6121</v>
      </c>
      <c r="AL481" s="15">
        <v>848.05</v>
      </c>
      <c r="AM481" s="51" t="s">
        <v>67</v>
      </c>
      <c r="AN481" s="51" t="s">
        <v>67</v>
      </c>
      <c r="AO481" s="50" t="s">
        <v>9554</v>
      </c>
    </row>
    <row r="482" spans="1:41" hidden="1" x14ac:dyDescent="0.25">
      <c r="A482" s="51" t="s">
        <v>3363</v>
      </c>
      <c r="B482" s="51" t="s">
        <v>3364</v>
      </c>
      <c r="C482" s="54" t="s">
        <v>611</v>
      </c>
      <c r="D482" s="51" t="s">
        <v>3365</v>
      </c>
      <c r="E482" s="20">
        <v>5362.43</v>
      </c>
      <c r="F482" s="20">
        <v>693.39</v>
      </c>
      <c r="G482" s="20">
        <v>7621.4</v>
      </c>
      <c r="H482" s="20">
        <v>673.62</v>
      </c>
      <c r="I482" s="20">
        <v>693.39</v>
      </c>
      <c r="J482" s="51" t="s">
        <v>6727</v>
      </c>
      <c r="K482" s="15">
        <v>1</v>
      </c>
      <c r="L482" s="51" t="s">
        <v>2369</v>
      </c>
      <c r="M482" s="51" t="s">
        <v>3366</v>
      </c>
      <c r="N482" s="51" t="s">
        <v>1340</v>
      </c>
      <c r="O482" s="51" t="s">
        <v>3367</v>
      </c>
      <c r="P482" s="51" t="s">
        <v>1340</v>
      </c>
      <c r="Q482" s="45">
        <v>46281.465682951391</v>
      </c>
      <c r="R482" s="46">
        <v>46320</v>
      </c>
      <c r="S482" s="46">
        <v>46315</v>
      </c>
      <c r="T482" s="51" t="s">
        <v>6119</v>
      </c>
      <c r="U482" s="15"/>
      <c r="V482" s="15"/>
      <c r="W482" s="15"/>
      <c r="X482" s="15"/>
      <c r="Y482" s="15"/>
      <c r="Z482" s="15"/>
      <c r="AA482" s="46"/>
      <c r="AB482" s="15"/>
      <c r="AC482" s="15"/>
      <c r="AD482" s="15"/>
      <c r="AE482" s="15"/>
      <c r="AF482" s="15"/>
      <c r="AG482" s="15"/>
      <c r="AH482" s="15"/>
      <c r="AI482" s="46"/>
      <c r="AJ482" s="51" t="s">
        <v>67</v>
      </c>
      <c r="AK482" s="51" t="s">
        <v>67</v>
      </c>
      <c r="AL482" s="15"/>
      <c r="AM482" s="51" t="s">
        <v>67</v>
      </c>
      <c r="AN482" s="51" t="s">
        <v>67</v>
      </c>
      <c r="AO482" s="50" t="s">
        <v>9554</v>
      </c>
    </row>
    <row r="483" spans="1:41" hidden="1" x14ac:dyDescent="0.25">
      <c r="A483" s="51" t="s">
        <v>3368</v>
      </c>
      <c r="B483" s="51" t="s">
        <v>3369</v>
      </c>
      <c r="C483" s="54" t="s">
        <v>605</v>
      </c>
      <c r="D483" s="51" t="s">
        <v>3370</v>
      </c>
      <c r="E483" s="20">
        <v>3999.26</v>
      </c>
      <c r="F483" s="20">
        <v>635.4</v>
      </c>
      <c r="G483" s="20">
        <v>18787.29</v>
      </c>
      <c r="H483" s="20">
        <v>0</v>
      </c>
      <c r="I483" s="20">
        <v>635.4</v>
      </c>
      <c r="J483" s="51" t="s">
        <v>2654</v>
      </c>
      <c r="K483" s="15">
        <v>0</v>
      </c>
      <c r="L483" s="51" t="s">
        <v>2371</v>
      </c>
      <c r="M483" s="51" t="s">
        <v>3371</v>
      </c>
      <c r="N483" s="51" t="s">
        <v>1340</v>
      </c>
      <c r="O483" s="51" t="s">
        <v>3372</v>
      </c>
      <c r="P483" s="51" t="s">
        <v>1340</v>
      </c>
      <c r="Q483" s="45">
        <v>46281.465685011572</v>
      </c>
      <c r="R483" s="46">
        <v>46305</v>
      </c>
      <c r="S483" s="46">
        <v>46300</v>
      </c>
      <c r="T483" s="51" t="s">
        <v>6119</v>
      </c>
      <c r="U483" s="15"/>
      <c r="V483" s="15"/>
      <c r="W483" s="15"/>
      <c r="X483" s="15"/>
      <c r="Y483" s="15"/>
      <c r="Z483" s="15"/>
      <c r="AA483" s="46"/>
      <c r="AB483" s="15"/>
      <c r="AC483" s="15"/>
      <c r="AD483" s="15"/>
      <c r="AE483" s="15"/>
      <c r="AF483" s="15"/>
      <c r="AG483" s="15"/>
      <c r="AH483" s="15"/>
      <c r="AI483" s="46"/>
      <c r="AJ483" s="51" t="s">
        <v>67</v>
      </c>
      <c r="AK483" s="51" t="s">
        <v>67</v>
      </c>
      <c r="AL483" s="15"/>
      <c r="AM483" s="51" t="s">
        <v>67</v>
      </c>
      <c r="AN483" s="51" t="s">
        <v>67</v>
      </c>
      <c r="AO483" s="50" t="s">
        <v>9554</v>
      </c>
    </row>
    <row r="484" spans="1:41" hidden="1" x14ac:dyDescent="0.25">
      <c r="A484" s="51" t="s">
        <v>3373</v>
      </c>
      <c r="B484" s="51" t="s">
        <v>3374</v>
      </c>
      <c r="C484" s="54" t="s">
        <v>611</v>
      </c>
      <c r="D484" s="51" t="s">
        <v>3375</v>
      </c>
      <c r="E484" s="20">
        <v>4515.0200000000004</v>
      </c>
      <c r="F484" s="20">
        <v>0</v>
      </c>
      <c r="G484" s="20">
        <v>3421.57</v>
      </c>
      <c r="H484" s="20">
        <v>5507.8</v>
      </c>
      <c r="I484" s="20">
        <v>92.13</v>
      </c>
      <c r="J484" s="51" t="s">
        <v>6726</v>
      </c>
      <c r="K484" s="15">
        <v>0</v>
      </c>
      <c r="L484" s="51" t="s">
        <v>2371</v>
      </c>
      <c r="M484" s="51" t="s">
        <v>67</v>
      </c>
      <c r="N484" s="51" t="s">
        <v>67</v>
      </c>
      <c r="O484" s="51" t="s">
        <v>3376</v>
      </c>
      <c r="P484" s="51" t="s">
        <v>1340</v>
      </c>
      <c r="Q484" s="45">
        <v>46281.465687418982</v>
      </c>
      <c r="R484" s="46">
        <v>46320</v>
      </c>
      <c r="S484" s="46">
        <v>46315</v>
      </c>
      <c r="T484" s="51" t="s">
        <v>6119</v>
      </c>
      <c r="U484" s="15">
        <v>849.8</v>
      </c>
      <c r="V484" s="15">
        <v>3922.15</v>
      </c>
      <c r="W484" s="15">
        <v>36.39</v>
      </c>
      <c r="X484" s="15">
        <v>14.9</v>
      </c>
      <c r="Y484" s="15">
        <v>1.6620440000000001</v>
      </c>
      <c r="Z484" s="15">
        <v>6</v>
      </c>
      <c r="AA484" s="46">
        <v>46259</v>
      </c>
      <c r="AB484" s="15"/>
      <c r="AC484" s="15"/>
      <c r="AD484" s="15"/>
      <c r="AE484" s="15"/>
      <c r="AF484" s="15"/>
      <c r="AG484" s="15"/>
      <c r="AH484" s="15"/>
      <c r="AI484" s="46"/>
      <c r="AJ484" s="51" t="s">
        <v>67</v>
      </c>
      <c r="AK484" s="51" t="s">
        <v>6121</v>
      </c>
      <c r="AL484" s="15">
        <v>849.8</v>
      </c>
      <c r="AM484" s="51" t="s">
        <v>6705</v>
      </c>
      <c r="AN484" s="51" t="s">
        <v>6713</v>
      </c>
      <c r="AO484" s="50" t="s">
        <v>9554</v>
      </c>
    </row>
    <row r="485" spans="1:41" hidden="1" x14ac:dyDescent="0.25">
      <c r="A485" s="51" t="s">
        <v>3377</v>
      </c>
      <c r="B485" s="51" t="s">
        <v>3378</v>
      </c>
      <c r="C485" s="54" t="s">
        <v>607</v>
      </c>
      <c r="D485" s="51" t="s">
        <v>3379</v>
      </c>
      <c r="E485" s="20">
        <v>13329.26</v>
      </c>
      <c r="F485" s="20">
        <v>608.92999999999995</v>
      </c>
      <c r="G485" s="20">
        <v>10363.299999999999</v>
      </c>
      <c r="H485" s="20">
        <v>3870.86</v>
      </c>
      <c r="I485" s="20">
        <v>268.77999999999997</v>
      </c>
      <c r="J485" s="51" t="s">
        <v>6726</v>
      </c>
      <c r="K485" s="15">
        <v>0</v>
      </c>
      <c r="L485" s="51" t="s">
        <v>2371</v>
      </c>
      <c r="M485" s="51" t="s">
        <v>67</v>
      </c>
      <c r="N485" s="51" t="s">
        <v>67</v>
      </c>
      <c r="O485" s="51" t="s">
        <v>3380</v>
      </c>
      <c r="P485" s="51" t="s">
        <v>1344</v>
      </c>
      <c r="Q485" s="45">
        <v>46281.465689675926</v>
      </c>
      <c r="R485" s="46">
        <v>46310</v>
      </c>
      <c r="S485" s="46">
        <v>46305</v>
      </c>
      <c r="T485" s="51" t="s">
        <v>6119</v>
      </c>
      <c r="U485" s="15">
        <v>848.05</v>
      </c>
      <c r="V485" s="15">
        <v>3921.84</v>
      </c>
      <c r="W485" s="15">
        <v>36.08</v>
      </c>
      <c r="X485" s="15">
        <v>14.9</v>
      </c>
      <c r="Y485" s="15">
        <v>1.662307</v>
      </c>
      <c r="Z485" s="15">
        <v>6</v>
      </c>
      <c r="AA485" s="46">
        <v>46280</v>
      </c>
      <c r="AB485" s="15"/>
      <c r="AC485" s="15"/>
      <c r="AD485" s="15"/>
      <c r="AE485" s="15"/>
      <c r="AF485" s="15"/>
      <c r="AG485" s="15"/>
      <c r="AH485" s="15"/>
      <c r="AI485" s="46"/>
      <c r="AJ485" s="51" t="s">
        <v>67</v>
      </c>
      <c r="AK485" s="51" t="s">
        <v>6121</v>
      </c>
      <c r="AL485" s="15">
        <v>848.05</v>
      </c>
      <c r="AM485" s="51" t="s">
        <v>67</v>
      </c>
      <c r="AN485" s="51" t="s">
        <v>67</v>
      </c>
      <c r="AO485" s="50" t="s">
        <v>9554</v>
      </c>
    </row>
    <row r="486" spans="1:41" hidden="1" x14ac:dyDescent="0.25">
      <c r="A486" s="51" t="s">
        <v>3381</v>
      </c>
      <c r="B486" s="51" t="s">
        <v>3382</v>
      </c>
      <c r="C486" s="54" t="s">
        <v>608</v>
      </c>
      <c r="D486" s="51" t="s">
        <v>3383</v>
      </c>
      <c r="E486" s="20">
        <v>5781.81</v>
      </c>
      <c r="F486" s="20">
        <v>0</v>
      </c>
      <c r="G486" s="20">
        <v>21847.69</v>
      </c>
      <c r="H486" s="20">
        <v>0</v>
      </c>
      <c r="I486" s="20">
        <v>490.79</v>
      </c>
      <c r="J486" s="51" t="s">
        <v>2654</v>
      </c>
      <c r="K486" s="15">
        <v>0</v>
      </c>
      <c r="L486" s="51" t="s">
        <v>2371</v>
      </c>
      <c r="M486" s="51" t="s">
        <v>3384</v>
      </c>
      <c r="N486" s="51" t="s">
        <v>1340</v>
      </c>
      <c r="O486" s="51" t="s">
        <v>3385</v>
      </c>
      <c r="P486" s="51" t="s">
        <v>1340</v>
      </c>
      <c r="Q486" s="45">
        <v>46281.465692233796</v>
      </c>
      <c r="R486" s="46">
        <v>46315</v>
      </c>
      <c r="S486" s="46">
        <v>46310</v>
      </c>
      <c r="T486" s="51" t="s">
        <v>6119</v>
      </c>
      <c r="U486" s="15"/>
      <c r="V486" s="15"/>
      <c r="W486" s="15"/>
      <c r="X486" s="15"/>
      <c r="Y486" s="15"/>
      <c r="Z486" s="15"/>
      <c r="AA486" s="46"/>
      <c r="AB486" s="15"/>
      <c r="AC486" s="15"/>
      <c r="AD486" s="15"/>
      <c r="AE486" s="15"/>
      <c r="AF486" s="15"/>
      <c r="AG486" s="15"/>
      <c r="AH486" s="15"/>
      <c r="AI486" s="46"/>
      <c r="AJ486" s="51" t="s">
        <v>67</v>
      </c>
      <c r="AK486" s="51" t="s">
        <v>67</v>
      </c>
      <c r="AL486" s="15"/>
      <c r="AM486" s="51" t="s">
        <v>67</v>
      </c>
      <c r="AN486" s="51" t="s">
        <v>67</v>
      </c>
      <c r="AO486" s="50" t="s">
        <v>9554</v>
      </c>
    </row>
    <row r="487" spans="1:41" hidden="1" x14ac:dyDescent="0.25">
      <c r="A487" s="51" t="s">
        <v>3386</v>
      </c>
      <c r="B487" s="51" t="s">
        <v>3387</v>
      </c>
      <c r="C487" s="54" t="s">
        <v>605</v>
      </c>
      <c r="D487" s="51" t="s">
        <v>3388</v>
      </c>
      <c r="E487" s="20">
        <v>6287.47</v>
      </c>
      <c r="F487" s="20">
        <v>1759.66</v>
      </c>
      <c r="G487" s="20">
        <v>2689.26</v>
      </c>
      <c r="H487" s="20">
        <v>3870.86</v>
      </c>
      <c r="I487" s="20">
        <v>1759.66</v>
      </c>
      <c r="J487" s="51" t="s">
        <v>6726</v>
      </c>
      <c r="K487" s="15">
        <v>0</v>
      </c>
      <c r="L487" s="51" t="s">
        <v>2371</v>
      </c>
      <c r="M487" s="51" t="s">
        <v>67</v>
      </c>
      <c r="N487" s="51" t="s">
        <v>67</v>
      </c>
      <c r="O487" s="51" t="s">
        <v>3389</v>
      </c>
      <c r="P487" s="51" t="s">
        <v>1344</v>
      </c>
      <c r="Q487" s="45">
        <v>46281.46569474537</v>
      </c>
      <c r="R487" s="46">
        <v>46305</v>
      </c>
      <c r="S487" s="46">
        <v>46300</v>
      </c>
      <c r="T487" s="51" t="s">
        <v>6119</v>
      </c>
      <c r="U487" s="15">
        <v>848.05</v>
      </c>
      <c r="V487" s="15">
        <v>3921.84</v>
      </c>
      <c r="W487" s="15">
        <v>36.08</v>
      </c>
      <c r="X487" s="15">
        <v>14.9</v>
      </c>
      <c r="Y487" s="15">
        <v>1.662307</v>
      </c>
      <c r="Z487" s="15">
        <v>6</v>
      </c>
      <c r="AA487" s="46">
        <v>46275</v>
      </c>
      <c r="AB487" s="15"/>
      <c r="AC487" s="15"/>
      <c r="AD487" s="15"/>
      <c r="AE487" s="15"/>
      <c r="AF487" s="15"/>
      <c r="AG487" s="15"/>
      <c r="AH487" s="15"/>
      <c r="AI487" s="46"/>
      <c r="AJ487" s="51" t="s">
        <v>67</v>
      </c>
      <c r="AK487" s="51" t="s">
        <v>6121</v>
      </c>
      <c r="AL487" s="15">
        <v>848.05</v>
      </c>
      <c r="AM487" s="51" t="s">
        <v>6705</v>
      </c>
      <c r="AN487" s="51" t="s">
        <v>6713</v>
      </c>
      <c r="AO487" s="50" t="s">
        <v>9554</v>
      </c>
    </row>
    <row r="488" spans="1:41" hidden="1" x14ac:dyDescent="0.25">
      <c r="A488" s="51" t="s">
        <v>3390</v>
      </c>
      <c r="B488" s="51" t="s">
        <v>3391</v>
      </c>
      <c r="C488" s="54" t="s">
        <v>605</v>
      </c>
      <c r="D488" s="51" t="s">
        <v>3392</v>
      </c>
      <c r="E488" s="20">
        <v>2764.18</v>
      </c>
      <c r="F488" s="20">
        <v>4846.42</v>
      </c>
      <c r="G488" s="20">
        <v>12748.3</v>
      </c>
      <c r="H488" s="20">
        <v>3870.86</v>
      </c>
      <c r="I488" s="20">
        <v>4846.42</v>
      </c>
      <c r="J488" s="51" t="s">
        <v>6727</v>
      </c>
      <c r="K488" s="15">
        <v>16</v>
      </c>
      <c r="L488" s="51" t="s">
        <v>2369</v>
      </c>
      <c r="M488" s="51" t="s">
        <v>67</v>
      </c>
      <c r="N488" s="51" t="s">
        <v>67</v>
      </c>
      <c r="O488" s="51" t="s">
        <v>3393</v>
      </c>
      <c r="P488" s="51" t="s">
        <v>1340</v>
      </c>
      <c r="Q488" s="45">
        <v>46281.465697847219</v>
      </c>
      <c r="R488" s="46">
        <v>46305</v>
      </c>
      <c r="S488" s="46">
        <v>46300</v>
      </c>
      <c r="T488" s="51" t="s">
        <v>6119</v>
      </c>
      <c r="U488" s="15">
        <v>848.05</v>
      </c>
      <c r="V488" s="15">
        <v>3921.84</v>
      </c>
      <c r="W488" s="15">
        <v>36.08</v>
      </c>
      <c r="X488" s="15">
        <v>14.9</v>
      </c>
      <c r="Y488" s="15">
        <v>1.662307</v>
      </c>
      <c r="Z488" s="15">
        <v>6</v>
      </c>
      <c r="AA488" s="46">
        <v>46275</v>
      </c>
      <c r="AB488" s="15"/>
      <c r="AC488" s="15"/>
      <c r="AD488" s="15"/>
      <c r="AE488" s="15"/>
      <c r="AF488" s="15"/>
      <c r="AG488" s="15"/>
      <c r="AH488" s="15"/>
      <c r="AI488" s="46"/>
      <c r="AJ488" s="51" t="s">
        <v>6121</v>
      </c>
      <c r="AK488" s="51" t="s">
        <v>6121</v>
      </c>
      <c r="AL488" s="15">
        <v>848.05</v>
      </c>
      <c r="AM488" s="51" t="s">
        <v>67</v>
      </c>
      <c r="AN488" s="51" t="s">
        <v>67</v>
      </c>
      <c r="AO488" s="50" t="s">
        <v>9554</v>
      </c>
    </row>
    <row r="489" spans="1:41" hidden="1" x14ac:dyDescent="0.25">
      <c r="A489" s="51" t="s">
        <v>3394</v>
      </c>
      <c r="B489" s="51" t="s">
        <v>3395</v>
      </c>
      <c r="C489" s="54" t="s">
        <v>607</v>
      </c>
      <c r="D489" s="51" t="s">
        <v>3396</v>
      </c>
      <c r="E489" s="20">
        <v>5265.88</v>
      </c>
      <c r="F489" s="20">
        <v>4568.05</v>
      </c>
      <c r="G489" s="20">
        <v>2573.61</v>
      </c>
      <c r="H489" s="20">
        <v>3870.86</v>
      </c>
      <c r="I489" s="20">
        <v>4199.1099999999997</v>
      </c>
      <c r="J489" s="51" t="s">
        <v>6727</v>
      </c>
      <c r="K489" s="15">
        <v>11</v>
      </c>
      <c r="L489" s="51" t="s">
        <v>2369</v>
      </c>
      <c r="M489" s="51" t="s">
        <v>3397</v>
      </c>
      <c r="N489" s="51" t="s">
        <v>1340</v>
      </c>
      <c r="O489" s="51" t="s">
        <v>3398</v>
      </c>
      <c r="P489" s="51" t="s">
        <v>1340</v>
      </c>
      <c r="Q489" s="45">
        <v>46281.465701064815</v>
      </c>
      <c r="R489" s="46">
        <v>46310</v>
      </c>
      <c r="S489" s="46">
        <v>46305</v>
      </c>
      <c r="T489" s="51" t="s">
        <v>6119</v>
      </c>
      <c r="U489" s="15">
        <v>848.05</v>
      </c>
      <c r="V489" s="15">
        <v>3921.84</v>
      </c>
      <c r="W489" s="15">
        <v>36.08</v>
      </c>
      <c r="X489" s="15">
        <v>14.9</v>
      </c>
      <c r="Y489" s="15">
        <v>1.662307</v>
      </c>
      <c r="Z489" s="15">
        <v>6</v>
      </c>
      <c r="AA489" s="46">
        <v>46280</v>
      </c>
      <c r="AB489" s="15"/>
      <c r="AC489" s="15"/>
      <c r="AD489" s="15"/>
      <c r="AE489" s="15"/>
      <c r="AF489" s="15"/>
      <c r="AG489" s="15"/>
      <c r="AH489" s="15"/>
      <c r="AI489" s="46"/>
      <c r="AJ489" s="51" t="s">
        <v>6121</v>
      </c>
      <c r="AK489" s="51" t="s">
        <v>6121</v>
      </c>
      <c r="AL489" s="15">
        <v>848.05</v>
      </c>
      <c r="AM489" s="51" t="s">
        <v>67</v>
      </c>
      <c r="AN489" s="51" t="s">
        <v>67</v>
      </c>
      <c r="AO489" s="50" t="s">
        <v>9554</v>
      </c>
    </row>
    <row r="490" spans="1:41" hidden="1" x14ac:dyDescent="0.25">
      <c r="A490" s="51" t="s">
        <v>3399</v>
      </c>
      <c r="B490" s="51" t="s">
        <v>3400</v>
      </c>
      <c r="C490" s="54" t="s">
        <v>605</v>
      </c>
      <c r="D490" s="51" t="s">
        <v>3401</v>
      </c>
      <c r="E490" s="20">
        <v>11571.92</v>
      </c>
      <c r="F490" s="20">
        <v>846.05</v>
      </c>
      <c r="G490" s="20">
        <v>2618.42</v>
      </c>
      <c r="H490" s="20">
        <v>0</v>
      </c>
      <c r="I490" s="20">
        <v>846.05</v>
      </c>
      <c r="J490" s="51" t="s">
        <v>2654</v>
      </c>
      <c r="K490" s="15">
        <v>0</v>
      </c>
      <c r="L490" s="51" t="s">
        <v>2371</v>
      </c>
      <c r="M490" s="51" t="s">
        <v>3402</v>
      </c>
      <c r="N490" s="51" t="s">
        <v>1344</v>
      </c>
      <c r="O490" s="51" t="s">
        <v>3403</v>
      </c>
      <c r="P490" s="51" t="s">
        <v>1344</v>
      </c>
      <c r="Q490" s="45">
        <v>46281.465704884256</v>
      </c>
      <c r="R490" s="46">
        <v>46305</v>
      </c>
      <c r="S490" s="46">
        <v>46300</v>
      </c>
      <c r="T490" s="51" t="s">
        <v>6119</v>
      </c>
      <c r="U490" s="15"/>
      <c r="V490" s="15"/>
      <c r="W490" s="15"/>
      <c r="X490" s="15"/>
      <c r="Y490" s="15"/>
      <c r="Z490" s="15"/>
      <c r="AA490" s="46"/>
      <c r="AB490" s="15"/>
      <c r="AC490" s="15"/>
      <c r="AD490" s="15"/>
      <c r="AE490" s="15"/>
      <c r="AF490" s="15"/>
      <c r="AG490" s="15"/>
      <c r="AH490" s="15"/>
      <c r="AI490" s="46"/>
      <c r="AJ490" s="51" t="s">
        <v>67</v>
      </c>
      <c r="AK490" s="51" t="s">
        <v>67</v>
      </c>
      <c r="AL490" s="15"/>
      <c r="AM490" s="51" t="s">
        <v>67</v>
      </c>
      <c r="AN490" s="51" t="s">
        <v>67</v>
      </c>
      <c r="AO490" s="50" t="s">
        <v>9554</v>
      </c>
    </row>
    <row r="491" spans="1:41" hidden="1" x14ac:dyDescent="0.25">
      <c r="A491" s="51" t="s">
        <v>3404</v>
      </c>
      <c r="B491" s="51" t="s">
        <v>3405</v>
      </c>
      <c r="C491" s="54" t="s">
        <v>611</v>
      </c>
      <c r="D491" s="51" t="s">
        <v>3406</v>
      </c>
      <c r="E491" s="20">
        <v>5089.0200000000004</v>
      </c>
      <c r="F491" s="20">
        <v>5354.07</v>
      </c>
      <c r="G491" s="20">
        <v>5097.34</v>
      </c>
      <c r="H491" s="20">
        <v>4575.09</v>
      </c>
      <c r="I491" s="20">
        <v>5354.07</v>
      </c>
      <c r="J491" s="51" t="s">
        <v>6727</v>
      </c>
      <c r="K491" s="15">
        <v>32</v>
      </c>
      <c r="L491" s="51" t="s">
        <v>2369</v>
      </c>
      <c r="M491" s="51" t="s">
        <v>3407</v>
      </c>
      <c r="N491" s="51" t="s">
        <v>1340</v>
      </c>
      <c r="O491" s="51" t="s">
        <v>67</v>
      </c>
      <c r="P491" s="51" t="s">
        <v>67</v>
      </c>
      <c r="Q491" s="45">
        <v>46281.465708148149</v>
      </c>
      <c r="R491" s="46">
        <v>46320</v>
      </c>
      <c r="S491" s="46">
        <v>46315</v>
      </c>
      <c r="T491" s="51" t="s">
        <v>6119</v>
      </c>
      <c r="U491" s="15">
        <v>849.8</v>
      </c>
      <c r="V491" s="15">
        <v>3922.15</v>
      </c>
      <c r="W491" s="15">
        <v>36.39</v>
      </c>
      <c r="X491" s="15">
        <v>14.9</v>
      </c>
      <c r="Y491" s="15">
        <v>1.6620440000000001</v>
      </c>
      <c r="Z491" s="15">
        <v>6</v>
      </c>
      <c r="AA491" s="46">
        <v>46259</v>
      </c>
      <c r="AB491" s="15"/>
      <c r="AC491" s="15"/>
      <c r="AD491" s="15"/>
      <c r="AE491" s="15"/>
      <c r="AF491" s="15"/>
      <c r="AG491" s="15"/>
      <c r="AH491" s="15"/>
      <c r="AI491" s="46"/>
      <c r="AJ491" s="51" t="s">
        <v>6121</v>
      </c>
      <c r="AK491" s="51" t="s">
        <v>6121</v>
      </c>
      <c r="AL491" s="15">
        <v>849.8</v>
      </c>
      <c r="AM491" s="51" t="s">
        <v>67</v>
      </c>
      <c r="AN491" s="51" t="s">
        <v>67</v>
      </c>
      <c r="AO491" s="50" t="s">
        <v>9554</v>
      </c>
    </row>
    <row r="492" spans="1:41" hidden="1" x14ac:dyDescent="0.25">
      <c r="A492" s="51" t="s">
        <v>3408</v>
      </c>
      <c r="B492" s="51" t="s">
        <v>3409</v>
      </c>
      <c r="C492" s="54" t="s">
        <v>5596</v>
      </c>
      <c r="D492" s="51" t="s">
        <v>3410</v>
      </c>
      <c r="E492" s="20">
        <v>12278.91</v>
      </c>
      <c r="F492" s="20">
        <v>982.29</v>
      </c>
      <c r="G492" s="20">
        <v>1404.15</v>
      </c>
      <c r="H492" s="20">
        <v>0</v>
      </c>
      <c r="I492" s="20">
        <v>982.29</v>
      </c>
      <c r="J492" s="51" t="s">
        <v>2654</v>
      </c>
      <c r="K492" s="15">
        <v>0</v>
      </c>
      <c r="L492" s="51" t="s">
        <v>2371</v>
      </c>
      <c r="M492" s="51" t="s">
        <v>67</v>
      </c>
      <c r="N492" s="51" t="s">
        <v>67</v>
      </c>
      <c r="O492" s="51" t="s">
        <v>3411</v>
      </c>
      <c r="P492" s="51" t="s">
        <v>1340</v>
      </c>
      <c r="Q492" s="45">
        <v>46281.465711631943</v>
      </c>
      <c r="R492" s="46">
        <v>46300</v>
      </c>
      <c r="S492" s="46">
        <v>46295</v>
      </c>
      <c r="T492" s="51" t="s">
        <v>6119</v>
      </c>
      <c r="U492" s="15"/>
      <c r="V492" s="15"/>
      <c r="W492" s="15"/>
      <c r="X492" s="15"/>
      <c r="Y492" s="15"/>
      <c r="Z492" s="15"/>
      <c r="AA492" s="46"/>
      <c r="AB492" s="15"/>
      <c r="AC492" s="15"/>
      <c r="AD492" s="15"/>
      <c r="AE492" s="15"/>
      <c r="AF492" s="15"/>
      <c r="AG492" s="15"/>
      <c r="AH492" s="15"/>
      <c r="AI492" s="46"/>
      <c r="AJ492" s="51" t="s">
        <v>67</v>
      </c>
      <c r="AK492" s="51" t="s">
        <v>67</v>
      </c>
      <c r="AL492" s="15"/>
      <c r="AM492" s="51" t="s">
        <v>67</v>
      </c>
      <c r="AN492" s="51" t="s">
        <v>67</v>
      </c>
      <c r="AO492" s="50" t="s">
        <v>9554</v>
      </c>
    </row>
    <row r="493" spans="1:41" hidden="1" x14ac:dyDescent="0.25">
      <c r="A493" s="51" t="s">
        <v>3412</v>
      </c>
      <c r="B493" s="51" t="s">
        <v>3413</v>
      </c>
      <c r="C493" s="54" t="s">
        <v>605</v>
      </c>
      <c r="D493" s="51" t="s">
        <v>3414</v>
      </c>
      <c r="E493" s="20">
        <v>14571.79</v>
      </c>
      <c r="F493" s="20">
        <v>4530.68</v>
      </c>
      <c r="G493" s="20">
        <v>4566.76</v>
      </c>
      <c r="H493" s="20">
        <v>3870.86</v>
      </c>
      <c r="I493" s="20">
        <v>4530.68</v>
      </c>
      <c r="J493" s="51" t="s">
        <v>6726</v>
      </c>
      <c r="K493" s="15">
        <v>16</v>
      </c>
      <c r="L493" s="51" t="s">
        <v>2369</v>
      </c>
      <c r="M493" s="51" t="s">
        <v>3415</v>
      </c>
      <c r="N493" s="51" t="s">
        <v>1340</v>
      </c>
      <c r="O493" s="51" t="s">
        <v>3416</v>
      </c>
      <c r="P493" s="51" t="s">
        <v>1340</v>
      </c>
      <c r="Q493" s="45">
        <v>46281.465714479164</v>
      </c>
      <c r="R493" s="46">
        <v>46305</v>
      </c>
      <c r="S493" s="46">
        <v>46300</v>
      </c>
      <c r="T493" s="51" t="s">
        <v>6119</v>
      </c>
      <c r="U493" s="15">
        <v>848.05</v>
      </c>
      <c r="V493" s="15">
        <v>3921.84</v>
      </c>
      <c r="W493" s="15">
        <v>36.08</v>
      </c>
      <c r="X493" s="15">
        <v>14.9</v>
      </c>
      <c r="Y493" s="15">
        <v>1.662307</v>
      </c>
      <c r="Z493" s="15">
        <v>6</v>
      </c>
      <c r="AA493" s="46">
        <v>46275</v>
      </c>
      <c r="AB493" s="15"/>
      <c r="AC493" s="15"/>
      <c r="AD493" s="15"/>
      <c r="AE493" s="15"/>
      <c r="AF493" s="15"/>
      <c r="AG493" s="15"/>
      <c r="AH493" s="15"/>
      <c r="AI493" s="46"/>
      <c r="AJ493" s="51" t="s">
        <v>6121</v>
      </c>
      <c r="AK493" s="51" t="s">
        <v>6121</v>
      </c>
      <c r="AL493" s="15">
        <v>848.05</v>
      </c>
      <c r="AM493" s="51" t="s">
        <v>67</v>
      </c>
      <c r="AN493" s="51" t="s">
        <v>67</v>
      </c>
      <c r="AO493" s="50" t="s">
        <v>9554</v>
      </c>
    </row>
    <row r="494" spans="1:41" hidden="1" x14ac:dyDescent="0.25">
      <c r="A494" s="51" t="s">
        <v>3417</v>
      </c>
      <c r="B494" s="51" t="s">
        <v>3418</v>
      </c>
      <c r="C494" s="54" t="s">
        <v>5596</v>
      </c>
      <c r="D494" s="51" t="s">
        <v>3419</v>
      </c>
      <c r="E494" s="20">
        <v>1253.3900000000001</v>
      </c>
      <c r="F494" s="20">
        <v>5175.63</v>
      </c>
      <c r="G494" s="20">
        <v>7283.56</v>
      </c>
      <c r="H494" s="20">
        <v>3870.86</v>
      </c>
      <c r="I494" s="20">
        <v>5175.63</v>
      </c>
      <c r="J494" s="51" t="s">
        <v>6727</v>
      </c>
      <c r="K494" s="15">
        <v>21</v>
      </c>
      <c r="L494" s="51" t="s">
        <v>2369</v>
      </c>
      <c r="M494" s="51" t="s">
        <v>3420</v>
      </c>
      <c r="N494" s="51" t="s">
        <v>1340</v>
      </c>
      <c r="O494" s="51" t="s">
        <v>67</v>
      </c>
      <c r="P494" s="51" t="s">
        <v>67</v>
      </c>
      <c r="Q494" s="45">
        <v>46281.465718067127</v>
      </c>
      <c r="R494" s="46">
        <v>46300</v>
      </c>
      <c r="S494" s="46">
        <v>46295</v>
      </c>
      <c r="T494" s="51" t="s">
        <v>6119</v>
      </c>
      <c r="U494" s="15">
        <v>848.05</v>
      </c>
      <c r="V494" s="15">
        <v>3921.84</v>
      </c>
      <c r="W494" s="15">
        <v>36.08</v>
      </c>
      <c r="X494" s="15">
        <v>14.9</v>
      </c>
      <c r="Y494" s="15">
        <v>1.662307</v>
      </c>
      <c r="Z494" s="15">
        <v>6</v>
      </c>
      <c r="AA494" s="46">
        <v>46270</v>
      </c>
      <c r="AB494" s="15"/>
      <c r="AC494" s="15"/>
      <c r="AD494" s="15"/>
      <c r="AE494" s="15"/>
      <c r="AF494" s="15"/>
      <c r="AG494" s="15"/>
      <c r="AH494" s="15"/>
      <c r="AI494" s="46"/>
      <c r="AJ494" s="51" t="s">
        <v>6121</v>
      </c>
      <c r="AK494" s="51" t="s">
        <v>6121</v>
      </c>
      <c r="AL494" s="15">
        <v>848.05</v>
      </c>
      <c r="AM494" s="51" t="s">
        <v>67</v>
      </c>
      <c r="AN494" s="51" t="s">
        <v>67</v>
      </c>
      <c r="AO494" s="50" t="s">
        <v>9554</v>
      </c>
    </row>
    <row r="495" spans="1:41" hidden="1" x14ac:dyDescent="0.25">
      <c r="A495" s="51" t="s">
        <v>3421</v>
      </c>
      <c r="B495" s="51" t="s">
        <v>3422</v>
      </c>
      <c r="C495" s="54" t="s">
        <v>5596</v>
      </c>
      <c r="D495" s="51" t="s">
        <v>3423</v>
      </c>
      <c r="E495" s="20">
        <v>1322.4</v>
      </c>
      <c r="F495" s="20">
        <v>4928.08</v>
      </c>
      <c r="G495" s="20">
        <v>5073.2700000000004</v>
      </c>
      <c r="H495" s="20">
        <v>3870.86</v>
      </c>
      <c r="I495" s="20">
        <v>4928.08</v>
      </c>
      <c r="J495" s="51" t="s">
        <v>6727</v>
      </c>
      <c r="K495" s="15">
        <v>21</v>
      </c>
      <c r="L495" s="51" t="s">
        <v>2369</v>
      </c>
      <c r="M495" s="51" t="s">
        <v>3424</v>
      </c>
      <c r="N495" s="51" t="s">
        <v>1340</v>
      </c>
      <c r="O495" s="51" t="s">
        <v>67</v>
      </c>
      <c r="P495" s="51" t="s">
        <v>67</v>
      </c>
      <c r="Q495" s="45">
        <v>46281.465721377317</v>
      </c>
      <c r="R495" s="46">
        <v>46300</v>
      </c>
      <c r="S495" s="46">
        <v>46295</v>
      </c>
      <c r="T495" s="51" t="s">
        <v>6119</v>
      </c>
      <c r="U495" s="15">
        <v>848.05</v>
      </c>
      <c r="V495" s="15">
        <v>3921.84</v>
      </c>
      <c r="W495" s="15">
        <v>36.08</v>
      </c>
      <c r="X495" s="15">
        <v>14.9</v>
      </c>
      <c r="Y495" s="15">
        <v>1.662307</v>
      </c>
      <c r="Z495" s="15">
        <v>6</v>
      </c>
      <c r="AA495" s="46">
        <v>46270</v>
      </c>
      <c r="AB495" s="15"/>
      <c r="AC495" s="15"/>
      <c r="AD495" s="15"/>
      <c r="AE495" s="15"/>
      <c r="AF495" s="15"/>
      <c r="AG495" s="15"/>
      <c r="AH495" s="15"/>
      <c r="AI495" s="46"/>
      <c r="AJ495" s="51" t="s">
        <v>6121</v>
      </c>
      <c r="AK495" s="51" t="s">
        <v>6121</v>
      </c>
      <c r="AL495" s="15">
        <v>848.05</v>
      </c>
      <c r="AM495" s="51" t="s">
        <v>67</v>
      </c>
      <c r="AN495" s="51" t="s">
        <v>67</v>
      </c>
      <c r="AO495" s="50" t="s">
        <v>9554</v>
      </c>
    </row>
    <row r="496" spans="1:41" hidden="1" x14ac:dyDescent="0.25">
      <c r="A496" s="51" t="s">
        <v>3425</v>
      </c>
      <c r="B496" s="51" t="s">
        <v>3426</v>
      </c>
      <c r="C496" s="54" t="s">
        <v>5596</v>
      </c>
      <c r="D496" s="51" t="s">
        <v>3427</v>
      </c>
      <c r="E496" s="20">
        <v>11308.07</v>
      </c>
      <c r="F496" s="20">
        <v>5151.3</v>
      </c>
      <c r="G496" s="20">
        <v>14359.05</v>
      </c>
      <c r="H496" s="20">
        <v>3870.86</v>
      </c>
      <c r="I496" s="20">
        <v>5151.3</v>
      </c>
      <c r="J496" s="51" t="s">
        <v>6727</v>
      </c>
      <c r="K496" s="15">
        <v>21</v>
      </c>
      <c r="L496" s="51" t="s">
        <v>2369</v>
      </c>
      <c r="M496" s="51" t="s">
        <v>67</v>
      </c>
      <c r="N496" s="51" t="s">
        <v>67</v>
      </c>
      <c r="O496" s="51" t="s">
        <v>3428</v>
      </c>
      <c r="P496" s="51" t="s">
        <v>1340</v>
      </c>
      <c r="Q496" s="45">
        <v>46281.465725891205</v>
      </c>
      <c r="R496" s="46">
        <v>46300</v>
      </c>
      <c r="S496" s="46">
        <v>46295</v>
      </c>
      <c r="T496" s="51" t="s">
        <v>6119</v>
      </c>
      <c r="U496" s="15">
        <v>848.05</v>
      </c>
      <c r="V496" s="15">
        <v>3921.84</v>
      </c>
      <c r="W496" s="15">
        <v>36.08</v>
      </c>
      <c r="X496" s="15">
        <v>14.9</v>
      </c>
      <c r="Y496" s="15">
        <v>1.662307</v>
      </c>
      <c r="Z496" s="15">
        <v>6</v>
      </c>
      <c r="AA496" s="46">
        <v>46270</v>
      </c>
      <c r="AB496" s="15"/>
      <c r="AC496" s="15"/>
      <c r="AD496" s="15"/>
      <c r="AE496" s="15"/>
      <c r="AF496" s="15"/>
      <c r="AG496" s="15"/>
      <c r="AH496" s="15"/>
      <c r="AI496" s="46"/>
      <c r="AJ496" s="51" t="s">
        <v>6121</v>
      </c>
      <c r="AK496" s="51" t="s">
        <v>6121</v>
      </c>
      <c r="AL496" s="15">
        <v>848.05</v>
      </c>
      <c r="AM496" s="51" t="s">
        <v>67</v>
      </c>
      <c r="AN496" s="51" t="s">
        <v>67</v>
      </c>
      <c r="AO496" s="50" t="s">
        <v>9554</v>
      </c>
    </row>
    <row r="497" spans="1:41" hidden="1" x14ac:dyDescent="0.25">
      <c r="A497" s="51" t="s">
        <v>3429</v>
      </c>
      <c r="B497" s="51" t="s">
        <v>3430</v>
      </c>
      <c r="C497" s="54" t="s">
        <v>5596</v>
      </c>
      <c r="D497" s="51" t="s">
        <v>3431</v>
      </c>
      <c r="E497" s="20">
        <v>9794.11</v>
      </c>
      <c r="F497" s="20">
        <v>5161.04</v>
      </c>
      <c r="G497" s="20">
        <v>10348.870000000001</v>
      </c>
      <c r="H497" s="20">
        <v>3870.86</v>
      </c>
      <c r="I497" s="20">
        <v>5161.04</v>
      </c>
      <c r="J497" s="51" t="s">
        <v>6727</v>
      </c>
      <c r="K497" s="15">
        <v>21</v>
      </c>
      <c r="L497" s="51" t="s">
        <v>2369</v>
      </c>
      <c r="M497" s="51" t="s">
        <v>3432</v>
      </c>
      <c r="N497" s="51" t="s">
        <v>1344</v>
      </c>
      <c r="O497" s="51" t="s">
        <v>3433</v>
      </c>
      <c r="P497" s="51" t="s">
        <v>1344</v>
      </c>
      <c r="Q497" s="45">
        <v>46281.465729340278</v>
      </c>
      <c r="R497" s="46">
        <v>46300</v>
      </c>
      <c r="S497" s="46">
        <v>46295</v>
      </c>
      <c r="T497" s="51" t="s">
        <v>6119</v>
      </c>
      <c r="U497" s="15">
        <v>848.05</v>
      </c>
      <c r="V497" s="15">
        <v>3921.84</v>
      </c>
      <c r="W497" s="15">
        <v>36.08</v>
      </c>
      <c r="X497" s="15">
        <v>14.9</v>
      </c>
      <c r="Y497" s="15">
        <v>1.662307</v>
      </c>
      <c r="Z497" s="15">
        <v>6</v>
      </c>
      <c r="AA497" s="46">
        <v>46270</v>
      </c>
      <c r="AB497" s="15"/>
      <c r="AC497" s="15"/>
      <c r="AD497" s="15"/>
      <c r="AE497" s="15"/>
      <c r="AF497" s="15"/>
      <c r="AG497" s="15"/>
      <c r="AH497" s="15"/>
      <c r="AI497" s="46"/>
      <c r="AJ497" s="51" t="s">
        <v>6121</v>
      </c>
      <c r="AK497" s="51" t="s">
        <v>6121</v>
      </c>
      <c r="AL497" s="15">
        <v>848.05</v>
      </c>
      <c r="AM497" s="51" t="s">
        <v>67</v>
      </c>
      <c r="AN497" s="51" t="s">
        <v>67</v>
      </c>
      <c r="AO497" s="50" t="s">
        <v>9554</v>
      </c>
    </row>
    <row r="498" spans="1:41" hidden="1" x14ac:dyDescent="0.25">
      <c r="A498" s="51" t="s">
        <v>3434</v>
      </c>
      <c r="B498" s="51" t="s">
        <v>3435</v>
      </c>
      <c r="C498" s="54" t="s">
        <v>607</v>
      </c>
      <c r="D498" s="51" t="s">
        <v>3436</v>
      </c>
      <c r="E498" s="20">
        <v>5098.34</v>
      </c>
      <c r="F498" s="20">
        <v>880.22</v>
      </c>
      <c r="G498" s="20">
        <v>18780.95</v>
      </c>
      <c r="H498" s="20">
        <v>0</v>
      </c>
      <c r="I498" s="20">
        <v>880.22</v>
      </c>
      <c r="J498" s="51" t="s">
        <v>2654</v>
      </c>
      <c r="K498" s="15">
        <v>0</v>
      </c>
      <c r="L498" s="51" t="s">
        <v>2371</v>
      </c>
      <c r="M498" s="51" t="s">
        <v>3437</v>
      </c>
      <c r="N498" s="51" t="s">
        <v>1340</v>
      </c>
      <c r="O498" s="51" t="s">
        <v>67</v>
      </c>
      <c r="P498" s="51" t="s">
        <v>67</v>
      </c>
      <c r="Q498" s="45">
        <v>46281.465732615739</v>
      </c>
      <c r="R498" s="46">
        <v>46310</v>
      </c>
      <c r="S498" s="46">
        <v>46305</v>
      </c>
      <c r="T498" s="51" t="s">
        <v>6119</v>
      </c>
      <c r="U498" s="15"/>
      <c r="V498" s="15"/>
      <c r="W498" s="15"/>
      <c r="X498" s="15"/>
      <c r="Y498" s="15"/>
      <c r="Z498" s="15"/>
      <c r="AA498" s="46"/>
      <c r="AB498" s="15"/>
      <c r="AC498" s="15"/>
      <c r="AD498" s="15"/>
      <c r="AE498" s="15"/>
      <c r="AF498" s="15"/>
      <c r="AG498" s="15"/>
      <c r="AH498" s="15"/>
      <c r="AI498" s="46"/>
      <c r="AJ498" s="51" t="s">
        <v>67</v>
      </c>
      <c r="AK498" s="51" t="s">
        <v>67</v>
      </c>
      <c r="AL498" s="15"/>
      <c r="AM498" s="51" t="s">
        <v>67</v>
      </c>
      <c r="AN498" s="51" t="s">
        <v>67</v>
      </c>
      <c r="AO498" s="50" t="s">
        <v>9554</v>
      </c>
    </row>
    <row r="499" spans="1:41" hidden="1" x14ac:dyDescent="0.25">
      <c r="A499" s="51" t="s">
        <v>3438</v>
      </c>
      <c r="B499" s="51" t="s">
        <v>3439</v>
      </c>
      <c r="C499" s="54" t="s">
        <v>611</v>
      </c>
      <c r="D499" s="51" t="s">
        <v>3440</v>
      </c>
      <c r="E499" s="20">
        <v>10438.469999999999</v>
      </c>
      <c r="F499" s="20">
        <v>573.38</v>
      </c>
      <c r="G499" s="20">
        <v>14916.95</v>
      </c>
      <c r="H499" s="20">
        <v>557.02</v>
      </c>
      <c r="I499" s="20">
        <v>573.38</v>
      </c>
      <c r="J499" s="51" t="s">
        <v>6727</v>
      </c>
      <c r="K499" s="15">
        <v>1</v>
      </c>
      <c r="L499" s="51" t="s">
        <v>2369</v>
      </c>
      <c r="M499" s="51" t="s">
        <v>3441</v>
      </c>
      <c r="N499" s="51" t="s">
        <v>1344</v>
      </c>
      <c r="O499" s="51" t="s">
        <v>67</v>
      </c>
      <c r="P499" s="51" t="s">
        <v>67</v>
      </c>
      <c r="Q499" s="45">
        <v>46281.465736238424</v>
      </c>
      <c r="R499" s="46">
        <v>46320</v>
      </c>
      <c r="S499" s="46">
        <v>46315</v>
      </c>
      <c r="T499" s="51" t="s">
        <v>6119</v>
      </c>
      <c r="U499" s="15"/>
      <c r="V499" s="15"/>
      <c r="W499" s="15"/>
      <c r="X499" s="15"/>
      <c r="Y499" s="15"/>
      <c r="Z499" s="15"/>
      <c r="AA499" s="46"/>
      <c r="AB499" s="15"/>
      <c r="AC499" s="15"/>
      <c r="AD499" s="15"/>
      <c r="AE499" s="15"/>
      <c r="AF499" s="15"/>
      <c r="AG499" s="15"/>
      <c r="AH499" s="15"/>
      <c r="AI499" s="46"/>
      <c r="AJ499" s="51" t="s">
        <v>67</v>
      </c>
      <c r="AK499" s="51" t="s">
        <v>67</v>
      </c>
      <c r="AL499" s="15"/>
      <c r="AM499" s="51" t="s">
        <v>67</v>
      </c>
      <c r="AN499" s="51" t="s">
        <v>67</v>
      </c>
      <c r="AO499" s="50" t="s">
        <v>9554</v>
      </c>
    </row>
    <row r="500" spans="1:41" hidden="1" x14ac:dyDescent="0.25">
      <c r="A500" s="51" t="s">
        <v>3442</v>
      </c>
      <c r="B500" s="51" t="s">
        <v>3443</v>
      </c>
      <c r="C500" s="54" t="s">
        <v>5596</v>
      </c>
      <c r="D500" s="51" t="s">
        <v>3444</v>
      </c>
      <c r="E500" s="20">
        <v>14539.09</v>
      </c>
      <c r="F500" s="20">
        <v>5118.2700000000004</v>
      </c>
      <c r="G500" s="20">
        <v>10588.65</v>
      </c>
      <c r="H500" s="20">
        <v>3870.86</v>
      </c>
      <c r="I500" s="20">
        <v>5118.2700000000004</v>
      </c>
      <c r="J500" s="51" t="s">
        <v>6727</v>
      </c>
      <c r="K500" s="15">
        <v>21</v>
      </c>
      <c r="L500" s="51" t="s">
        <v>2369</v>
      </c>
      <c r="M500" s="51" t="s">
        <v>67</v>
      </c>
      <c r="N500" s="51" t="s">
        <v>67</v>
      </c>
      <c r="O500" s="51" t="s">
        <v>3445</v>
      </c>
      <c r="P500" s="51" t="s">
        <v>1340</v>
      </c>
      <c r="Q500" s="45">
        <v>46281.465739421299</v>
      </c>
      <c r="R500" s="46">
        <v>46300</v>
      </c>
      <c r="S500" s="46">
        <v>46295</v>
      </c>
      <c r="T500" s="51" t="s">
        <v>6119</v>
      </c>
      <c r="U500" s="15">
        <v>848.05</v>
      </c>
      <c r="V500" s="15">
        <v>3921.84</v>
      </c>
      <c r="W500" s="15">
        <v>36.08</v>
      </c>
      <c r="X500" s="15">
        <v>14.9</v>
      </c>
      <c r="Y500" s="15">
        <v>1.662307</v>
      </c>
      <c r="Z500" s="15">
        <v>6</v>
      </c>
      <c r="AA500" s="46">
        <v>46270</v>
      </c>
      <c r="AB500" s="15"/>
      <c r="AC500" s="15"/>
      <c r="AD500" s="15"/>
      <c r="AE500" s="15"/>
      <c r="AF500" s="15"/>
      <c r="AG500" s="15"/>
      <c r="AH500" s="15"/>
      <c r="AI500" s="46"/>
      <c r="AJ500" s="51" t="s">
        <v>6121</v>
      </c>
      <c r="AK500" s="51" t="s">
        <v>6121</v>
      </c>
      <c r="AL500" s="15">
        <v>848.05</v>
      </c>
      <c r="AM500" s="51" t="s">
        <v>67</v>
      </c>
      <c r="AN500" s="51" t="s">
        <v>67</v>
      </c>
      <c r="AO500" s="50" t="s">
        <v>9554</v>
      </c>
    </row>
    <row r="501" spans="1:41" hidden="1" x14ac:dyDescent="0.25">
      <c r="A501" s="51" t="s">
        <v>3446</v>
      </c>
      <c r="B501" s="51" t="s">
        <v>3447</v>
      </c>
      <c r="C501" s="54" t="s">
        <v>5596</v>
      </c>
      <c r="D501" s="51" t="s">
        <v>3448</v>
      </c>
      <c r="E501" s="20">
        <v>12965.68</v>
      </c>
      <c r="F501" s="20">
        <v>614.19000000000005</v>
      </c>
      <c r="G501" s="20">
        <v>3872.59</v>
      </c>
      <c r="H501" s="20">
        <v>0</v>
      </c>
      <c r="I501" s="20">
        <v>614.19000000000005</v>
      </c>
      <c r="J501" s="51" t="s">
        <v>2654</v>
      </c>
      <c r="K501" s="15">
        <v>0</v>
      </c>
      <c r="L501" s="51" t="s">
        <v>2371</v>
      </c>
      <c r="M501" s="51" t="s">
        <v>3449</v>
      </c>
      <c r="N501" s="51" t="s">
        <v>1340</v>
      </c>
      <c r="O501" s="51" t="s">
        <v>3450</v>
      </c>
      <c r="P501" s="51" t="s">
        <v>1340</v>
      </c>
      <c r="Q501" s="45">
        <v>46281.465743055553</v>
      </c>
      <c r="R501" s="46">
        <v>46300</v>
      </c>
      <c r="S501" s="46">
        <v>46295</v>
      </c>
      <c r="T501" s="51" t="s">
        <v>6119</v>
      </c>
      <c r="U501" s="15"/>
      <c r="V501" s="15"/>
      <c r="W501" s="15"/>
      <c r="X501" s="15"/>
      <c r="Y501" s="15"/>
      <c r="Z501" s="15"/>
      <c r="AA501" s="46"/>
      <c r="AB501" s="15"/>
      <c r="AC501" s="15"/>
      <c r="AD501" s="15"/>
      <c r="AE501" s="15"/>
      <c r="AF501" s="15"/>
      <c r="AG501" s="15"/>
      <c r="AH501" s="15"/>
      <c r="AI501" s="46"/>
      <c r="AJ501" s="51" t="s">
        <v>67</v>
      </c>
      <c r="AK501" s="51" t="s">
        <v>67</v>
      </c>
      <c r="AL501" s="15"/>
      <c r="AM501" s="51" t="s">
        <v>67</v>
      </c>
      <c r="AN501" s="51" t="s">
        <v>67</v>
      </c>
      <c r="AO501" s="50" t="s">
        <v>9554</v>
      </c>
    </row>
    <row r="502" spans="1:41" hidden="1" x14ac:dyDescent="0.25">
      <c r="A502" s="51" t="s">
        <v>3451</v>
      </c>
      <c r="B502" s="51" t="s">
        <v>3452</v>
      </c>
      <c r="C502" s="54" t="s">
        <v>5596</v>
      </c>
      <c r="D502" s="51" t="s">
        <v>3453</v>
      </c>
      <c r="E502" s="20">
        <v>5330.7</v>
      </c>
      <c r="F502" s="20">
        <v>737.88</v>
      </c>
      <c r="G502" s="20">
        <v>7665.17</v>
      </c>
      <c r="H502" s="20">
        <v>0</v>
      </c>
      <c r="I502" s="20">
        <v>737.88</v>
      </c>
      <c r="J502" s="51" t="s">
        <v>2654</v>
      </c>
      <c r="K502" s="15">
        <v>0</v>
      </c>
      <c r="L502" s="51" t="s">
        <v>2371</v>
      </c>
      <c r="M502" s="51" t="s">
        <v>3454</v>
      </c>
      <c r="N502" s="51" t="s">
        <v>1340</v>
      </c>
      <c r="O502" s="51" t="s">
        <v>3455</v>
      </c>
      <c r="P502" s="51" t="s">
        <v>1340</v>
      </c>
      <c r="Q502" s="45">
        <v>46281.465746215275</v>
      </c>
      <c r="R502" s="46">
        <v>46300</v>
      </c>
      <c r="S502" s="46">
        <v>46295</v>
      </c>
      <c r="T502" s="51" t="s">
        <v>6119</v>
      </c>
      <c r="U502" s="15"/>
      <c r="V502" s="15"/>
      <c r="W502" s="15"/>
      <c r="X502" s="15"/>
      <c r="Y502" s="15"/>
      <c r="Z502" s="15"/>
      <c r="AA502" s="46"/>
      <c r="AB502" s="15"/>
      <c r="AC502" s="15"/>
      <c r="AD502" s="15"/>
      <c r="AE502" s="15"/>
      <c r="AF502" s="15"/>
      <c r="AG502" s="15"/>
      <c r="AH502" s="15"/>
      <c r="AI502" s="46"/>
      <c r="AJ502" s="51" t="s">
        <v>67</v>
      </c>
      <c r="AK502" s="51" t="s">
        <v>67</v>
      </c>
      <c r="AL502" s="15"/>
      <c r="AM502" s="51" t="s">
        <v>67</v>
      </c>
      <c r="AN502" s="51" t="s">
        <v>67</v>
      </c>
      <c r="AO502" s="50" t="s">
        <v>9554</v>
      </c>
    </row>
    <row r="503" spans="1:41" hidden="1" x14ac:dyDescent="0.25">
      <c r="A503" s="51" t="s">
        <v>3456</v>
      </c>
      <c r="B503" s="51" t="s">
        <v>3457</v>
      </c>
      <c r="C503" s="54" t="s">
        <v>605</v>
      </c>
      <c r="D503" s="51" t="s">
        <v>3458</v>
      </c>
      <c r="E503" s="20">
        <v>2421.09</v>
      </c>
      <c r="F503" s="20">
        <v>4787.24</v>
      </c>
      <c r="G503" s="20">
        <v>7918.31</v>
      </c>
      <c r="H503" s="20">
        <v>3870.86</v>
      </c>
      <c r="I503" s="20">
        <v>4787.24</v>
      </c>
      <c r="J503" s="51" t="s">
        <v>6727</v>
      </c>
      <c r="K503" s="15">
        <v>16</v>
      </c>
      <c r="L503" s="51" t="s">
        <v>2369</v>
      </c>
      <c r="M503" s="51" t="s">
        <v>3459</v>
      </c>
      <c r="N503" s="51" t="s">
        <v>1340</v>
      </c>
      <c r="O503" s="51" t="s">
        <v>67</v>
      </c>
      <c r="P503" s="51" t="s">
        <v>67</v>
      </c>
      <c r="Q503" s="45">
        <v>46281.465748865739</v>
      </c>
      <c r="R503" s="46">
        <v>46305</v>
      </c>
      <c r="S503" s="46">
        <v>46300</v>
      </c>
      <c r="T503" s="51" t="s">
        <v>6119</v>
      </c>
      <c r="U503" s="15">
        <v>848.05</v>
      </c>
      <c r="V503" s="15">
        <v>3921.84</v>
      </c>
      <c r="W503" s="15">
        <v>36.08</v>
      </c>
      <c r="X503" s="15">
        <v>14.9</v>
      </c>
      <c r="Y503" s="15">
        <v>1.662307</v>
      </c>
      <c r="Z503" s="15">
        <v>6</v>
      </c>
      <c r="AA503" s="46">
        <v>46275</v>
      </c>
      <c r="AB503" s="15"/>
      <c r="AC503" s="15"/>
      <c r="AD503" s="15"/>
      <c r="AE503" s="15"/>
      <c r="AF503" s="15"/>
      <c r="AG503" s="15"/>
      <c r="AH503" s="15"/>
      <c r="AI503" s="46"/>
      <c r="AJ503" s="51" t="s">
        <v>6121</v>
      </c>
      <c r="AK503" s="51" t="s">
        <v>6121</v>
      </c>
      <c r="AL503" s="15">
        <v>848.05</v>
      </c>
      <c r="AM503" s="51" t="s">
        <v>67</v>
      </c>
      <c r="AN503" s="51" t="s">
        <v>67</v>
      </c>
      <c r="AO503" s="50" t="s">
        <v>9554</v>
      </c>
    </row>
    <row r="504" spans="1:41" hidden="1" x14ac:dyDescent="0.25">
      <c r="A504" s="51" t="s">
        <v>3460</v>
      </c>
      <c r="B504" s="51" t="s">
        <v>3461</v>
      </c>
      <c r="C504" s="54" t="s">
        <v>605</v>
      </c>
      <c r="D504" s="51" t="s">
        <v>3462</v>
      </c>
      <c r="E504" s="20">
        <v>12755.32</v>
      </c>
      <c r="F504" s="20">
        <v>4971.38</v>
      </c>
      <c r="G504" s="20">
        <v>11509.67</v>
      </c>
      <c r="H504" s="20">
        <v>3870.86</v>
      </c>
      <c r="I504" s="20">
        <v>4971.38</v>
      </c>
      <c r="J504" s="51" t="s">
        <v>6727</v>
      </c>
      <c r="K504" s="15">
        <v>16</v>
      </c>
      <c r="L504" s="51" t="s">
        <v>2369</v>
      </c>
      <c r="M504" s="51" t="s">
        <v>67</v>
      </c>
      <c r="N504" s="51" t="s">
        <v>67</v>
      </c>
      <c r="O504" s="51" t="s">
        <v>3463</v>
      </c>
      <c r="P504" s="51" t="s">
        <v>1340</v>
      </c>
      <c r="Q504" s="45">
        <v>46281.465752523145</v>
      </c>
      <c r="R504" s="46">
        <v>46305</v>
      </c>
      <c r="S504" s="46">
        <v>46300</v>
      </c>
      <c r="T504" s="51" t="s">
        <v>6119</v>
      </c>
      <c r="U504" s="15">
        <v>848.05</v>
      </c>
      <c r="V504" s="15">
        <v>3921.84</v>
      </c>
      <c r="W504" s="15">
        <v>36.08</v>
      </c>
      <c r="X504" s="15">
        <v>14.9</v>
      </c>
      <c r="Y504" s="15">
        <v>1.662307</v>
      </c>
      <c r="Z504" s="15">
        <v>6</v>
      </c>
      <c r="AA504" s="46">
        <v>46275</v>
      </c>
      <c r="AB504" s="15"/>
      <c r="AC504" s="15"/>
      <c r="AD504" s="15"/>
      <c r="AE504" s="15"/>
      <c r="AF504" s="15"/>
      <c r="AG504" s="15"/>
      <c r="AH504" s="15"/>
      <c r="AI504" s="46"/>
      <c r="AJ504" s="51" t="s">
        <v>6121</v>
      </c>
      <c r="AK504" s="51" t="s">
        <v>6121</v>
      </c>
      <c r="AL504" s="15">
        <v>848.05</v>
      </c>
      <c r="AM504" s="51" t="s">
        <v>67</v>
      </c>
      <c r="AN504" s="51" t="s">
        <v>67</v>
      </c>
      <c r="AO504" s="50" t="s">
        <v>9554</v>
      </c>
    </row>
    <row r="505" spans="1:41" hidden="1" x14ac:dyDescent="0.25">
      <c r="A505" s="51" t="s">
        <v>3464</v>
      </c>
      <c r="B505" s="51" t="s">
        <v>3465</v>
      </c>
      <c r="C505" s="54" t="s">
        <v>5596</v>
      </c>
      <c r="D505" s="51" t="s">
        <v>3466</v>
      </c>
      <c r="E505" s="20">
        <v>13214.1</v>
      </c>
      <c r="F505" s="20">
        <v>4807.84</v>
      </c>
      <c r="G505" s="20">
        <v>4128.01</v>
      </c>
      <c r="H505" s="20">
        <v>3870.86</v>
      </c>
      <c r="I505" s="20">
        <v>4807.84</v>
      </c>
      <c r="J505" s="51" t="s">
        <v>6727</v>
      </c>
      <c r="K505" s="15">
        <v>21</v>
      </c>
      <c r="L505" s="51" t="s">
        <v>2369</v>
      </c>
      <c r="M505" s="51" t="s">
        <v>3467</v>
      </c>
      <c r="N505" s="51" t="s">
        <v>1340</v>
      </c>
      <c r="O505" s="51" t="s">
        <v>3468</v>
      </c>
      <c r="P505" s="51" t="s">
        <v>1340</v>
      </c>
      <c r="Q505" s="45">
        <v>46281.465755520832</v>
      </c>
      <c r="R505" s="46">
        <v>46300</v>
      </c>
      <c r="S505" s="46">
        <v>46295</v>
      </c>
      <c r="T505" s="51" t="s">
        <v>6119</v>
      </c>
      <c r="U505" s="15">
        <v>848.05</v>
      </c>
      <c r="V505" s="15">
        <v>3921.84</v>
      </c>
      <c r="W505" s="15">
        <v>36.08</v>
      </c>
      <c r="X505" s="15">
        <v>14.9</v>
      </c>
      <c r="Y505" s="15">
        <v>1.662307</v>
      </c>
      <c r="Z505" s="15">
        <v>6</v>
      </c>
      <c r="AA505" s="46">
        <v>46270</v>
      </c>
      <c r="AB505" s="15"/>
      <c r="AC505" s="15"/>
      <c r="AD505" s="15"/>
      <c r="AE505" s="15"/>
      <c r="AF505" s="15"/>
      <c r="AG505" s="15"/>
      <c r="AH505" s="15"/>
      <c r="AI505" s="46"/>
      <c r="AJ505" s="51" t="s">
        <v>6121</v>
      </c>
      <c r="AK505" s="51" t="s">
        <v>6121</v>
      </c>
      <c r="AL505" s="15">
        <v>848.05</v>
      </c>
      <c r="AM505" s="51" t="s">
        <v>67</v>
      </c>
      <c r="AN505" s="51" t="s">
        <v>67</v>
      </c>
      <c r="AO505" s="50" t="s">
        <v>9554</v>
      </c>
    </row>
    <row r="506" spans="1:41" hidden="1" x14ac:dyDescent="0.25">
      <c r="A506" s="51" t="s">
        <v>3469</v>
      </c>
      <c r="B506" s="51" t="s">
        <v>3470</v>
      </c>
      <c r="C506" s="54" t="s">
        <v>611</v>
      </c>
      <c r="D506" s="51" t="s">
        <v>3471</v>
      </c>
      <c r="E506" s="20">
        <v>9227.2800000000007</v>
      </c>
      <c r="F506" s="20">
        <v>2927.32</v>
      </c>
      <c r="G506" s="20">
        <v>8508.2000000000007</v>
      </c>
      <c r="H506" s="20">
        <v>5709.2</v>
      </c>
      <c r="I506" s="20">
        <v>2927.32</v>
      </c>
      <c r="J506" s="51" t="s">
        <v>6726</v>
      </c>
      <c r="K506" s="15">
        <v>0</v>
      </c>
      <c r="L506" s="51" t="s">
        <v>2371</v>
      </c>
      <c r="M506" s="51" t="s">
        <v>67</v>
      </c>
      <c r="N506" s="51" t="s">
        <v>67</v>
      </c>
      <c r="O506" s="51" t="s">
        <v>3472</v>
      </c>
      <c r="P506" s="51" t="s">
        <v>1344</v>
      </c>
      <c r="Q506" s="45">
        <v>46281.466032442127</v>
      </c>
      <c r="R506" s="46">
        <v>46320</v>
      </c>
      <c r="S506" s="46">
        <v>46315</v>
      </c>
      <c r="T506" s="51" t="s">
        <v>6119</v>
      </c>
      <c r="U506" s="15">
        <v>849.8</v>
      </c>
      <c r="V506" s="15">
        <v>3922.15</v>
      </c>
      <c r="W506" s="15">
        <v>36.39</v>
      </c>
      <c r="X506" s="15">
        <v>14.9</v>
      </c>
      <c r="Y506" s="15">
        <v>1.6620440000000001</v>
      </c>
      <c r="Z506" s="15">
        <v>6</v>
      </c>
      <c r="AA506" s="46">
        <v>46259</v>
      </c>
      <c r="AB506" s="15"/>
      <c r="AC506" s="15"/>
      <c r="AD506" s="15"/>
      <c r="AE506" s="15"/>
      <c r="AF506" s="15"/>
      <c r="AG506" s="15"/>
      <c r="AH506" s="15"/>
      <c r="AI506" s="46"/>
      <c r="AJ506" s="51" t="s">
        <v>67</v>
      </c>
      <c r="AK506" s="51" t="s">
        <v>6121</v>
      </c>
      <c r="AL506" s="15">
        <v>849.8</v>
      </c>
      <c r="AM506" s="51" t="s">
        <v>67</v>
      </c>
      <c r="AN506" s="51" t="s">
        <v>67</v>
      </c>
      <c r="AO506" s="50" t="s">
        <v>9554</v>
      </c>
    </row>
    <row r="507" spans="1:41" hidden="1" x14ac:dyDescent="0.25">
      <c r="A507" s="51" t="s">
        <v>3473</v>
      </c>
      <c r="B507" s="51" t="s">
        <v>3474</v>
      </c>
      <c r="C507" s="54" t="s">
        <v>607</v>
      </c>
      <c r="D507" s="51" t="s">
        <v>3475</v>
      </c>
      <c r="E507" s="20">
        <v>11536.96</v>
      </c>
      <c r="F507" s="20">
        <v>404.15</v>
      </c>
      <c r="G507" s="20">
        <v>11723.29</v>
      </c>
      <c r="H507" s="20">
        <v>0</v>
      </c>
      <c r="I507" s="20">
        <v>404.15</v>
      </c>
      <c r="J507" s="51" t="s">
        <v>2654</v>
      </c>
      <c r="K507" s="15">
        <v>0</v>
      </c>
      <c r="L507" s="51" t="s">
        <v>2371</v>
      </c>
      <c r="M507" s="51" t="s">
        <v>67</v>
      </c>
      <c r="N507" s="51" t="s">
        <v>67</v>
      </c>
      <c r="O507" s="51" t="s">
        <v>3476</v>
      </c>
      <c r="P507" s="51" t="s">
        <v>1340</v>
      </c>
      <c r="Q507" s="45">
        <v>46281.532550983793</v>
      </c>
      <c r="R507" s="46">
        <v>46310</v>
      </c>
      <c r="S507" s="46">
        <v>46305</v>
      </c>
      <c r="T507" s="51" t="s">
        <v>6119</v>
      </c>
      <c r="U507" s="15"/>
      <c r="V507" s="15"/>
      <c r="W507" s="15"/>
      <c r="X507" s="15"/>
      <c r="Y507" s="15"/>
      <c r="Z507" s="15"/>
      <c r="AA507" s="46"/>
      <c r="AB507" s="15"/>
      <c r="AC507" s="15"/>
      <c r="AD507" s="15"/>
      <c r="AE507" s="15"/>
      <c r="AF507" s="15"/>
      <c r="AG507" s="15"/>
      <c r="AH507" s="15"/>
      <c r="AI507" s="46"/>
      <c r="AJ507" s="51" t="s">
        <v>67</v>
      </c>
      <c r="AK507" s="51" t="s">
        <v>67</v>
      </c>
      <c r="AL507" s="15"/>
      <c r="AM507" s="51" t="s">
        <v>67</v>
      </c>
      <c r="AN507" s="51" t="s">
        <v>67</v>
      </c>
      <c r="AO507" s="50" t="s">
        <v>9554</v>
      </c>
    </row>
    <row r="508" spans="1:41" hidden="1" x14ac:dyDescent="0.25">
      <c r="A508" s="51" t="s">
        <v>3477</v>
      </c>
      <c r="B508" s="51" t="s">
        <v>3478</v>
      </c>
      <c r="C508" s="54" t="s">
        <v>5597</v>
      </c>
      <c r="D508" s="51" t="s">
        <v>3479</v>
      </c>
      <c r="E508" s="20">
        <v>3585.6</v>
      </c>
      <c r="F508" s="20">
        <v>1909.95</v>
      </c>
      <c r="G508" s="20">
        <v>15181.58</v>
      </c>
      <c r="H508" s="20">
        <v>4295.17</v>
      </c>
      <c r="I508" s="20">
        <v>1909.95</v>
      </c>
      <c r="J508" s="51" t="s">
        <v>6726</v>
      </c>
      <c r="K508" s="15">
        <v>0</v>
      </c>
      <c r="L508" s="51" t="s">
        <v>2371</v>
      </c>
      <c r="M508" s="51" t="s">
        <v>3480</v>
      </c>
      <c r="N508" s="51" t="s">
        <v>1340</v>
      </c>
      <c r="O508" s="51" t="s">
        <v>67</v>
      </c>
      <c r="P508" s="51" t="s">
        <v>67</v>
      </c>
      <c r="Q508" s="45">
        <v>46281.545926967592</v>
      </c>
      <c r="R508" s="46">
        <v>46321</v>
      </c>
      <c r="S508" s="46">
        <v>46316</v>
      </c>
      <c r="T508" s="51" t="s">
        <v>6119</v>
      </c>
      <c r="U508" s="15">
        <v>849.8</v>
      </c>
      <c r="V508" s="15">
        <v>3922.15</v>
      </c>
      <c r="W508" s="15">
        <v>36.39</v>
      </c>
      <c r="X508" s="15">
        <v>14.9</v>
      </c>
      <c r="Y508" s="15">
        <v>1.6620440000000001</v>
      </c>
      <c r="Z508" s="15">
        <v>6</v>
      </c>
      <c r="AA508" s="46">
        <v>46260</v>
      </c>
      <c r="AB508" s="15"/>
      <c r="AC508" s="15"/>
      <c r="AD508" s="15"/>
      <c r="AE508" s="15"/>
      <c r="AF508" s="15"/>
      <c r="AG508" s="15"/>
      <c r="AH508" s="15"/>
      <c r="AI508" s="46"/>
      <c r="AJ508" s="51" t="s">
        <v>67</v>
      </c>
      <c r="AK508" s="51" t="s">
        <v>6121</v>
      </c>
      <c r="AL508" s="15">
        <v>849.8</v>
      </c>
      <c r="AM508" s="51" t="s">
        <v>67</v>
      </c>
      <c r="AN508" s="51" t="s">
        <v>67</v>
      </c>
      <c r="AO508" s="50" t="s">
        <v>9554</v>
      </c>
    </row>
    <row r="509" spans="1:41" hidden="1" x14ac:dyDescent="0.25">
      <c r="A509" s="51" t="s">
        <v>3481</v>
      </c>
      <c r="B509" s="51" t="s">
        <v>3482</v>
      </c>
      <c r="C509" s="54" t="s">
        <v>5598</v>
      </c>
      <c r="D509" s="51" t="s">
        <v>3483</v>
      </c>
      <c r="E509" s="20">
        <v>11283.73</v>
      </c>
      <c r="F509" s="20">
        <v>782.26</v>
      </c>
      <c r="G509" s="20">
        <v>16579.47</v>
      </c>
      <c r="H509" s="20">
        <v>751.86</v>
      </c>
      <c r="I509" s="20">
        <v>782.26</v>
      </c>
      <c r="J509" s="51" t="s">
        <v>6727</v>
      </c>
      <c r="K509" s="15">
        <v>3</v>
      </c>
      <c r="L509" s="51" t="s">
        <v>2369</v>
      </c>
      <c r="M509" s="51" t="s">
        <v>3484</v>
      </c>
      <c r="N509" s="51" t="s">
        <v>1340</v>
      </c>
      <c r="O509" s="51" t="s">
        <v>3485</v>
      </c>
      <c r="P509" s="51" t="s">
        <v>1340</v>
      </c>
      <c r="Q509" s="45">
        <v>46281.545930312503</v>
      </c>
      <c r="R509" s="46">
        <v>46318</v>
      </c>
      <c r="S509" s="46">
        <v>46313</v>
      </c>
      <c r="T509" s="51" t="s">
        <v>6119</v>
      </c>
      <c r="U509" s="15"/>
      <c r="V509" s="15"/>
      <c r="W509" s="15"/>
      <c r="X509" s="15"/>
      <c r="Y509" s="15"/>
      <c r="Z509" s="15"/>
      <c r="AA509" s="46"/>
      <c r="AB509" s="15"/>
      <c r="AC509" s="15"/>
      <c r="AD509" s="15"/>
      <c r="AE509" s="15"/>
      <c r="AF509" s="15"/>
      <c r="AG509" s="15"/>
      <c r="AH509" s="15"/>
      <c r="AI509" s="46"/>
      <c r="AJ509" s="51" t="s">
        <v>67</v>
      </c>
      <c r="AK509" s="51" t="s">
        <v>67</v>
      </c>
      <c r="AL509" s="15"/>
      <c r="AM509" s="51" t="s">
        <v>67</v>
      </c>
      <c r="AN509" s="51" t="s">
        <v>67</v>
      </c>
      <c r="AO509" s="50" t="s">
        <v>9554</v>
      </c>
    </row>
    <row r="510" spans="1:41" hidden="1" x14ac:dyDescent="0.25">
      <c r="A510" s="51" t="s">
        <v>3486</v>
      </c>
      <c r="B510" s="51" t="s">
        <v>3487</v>
      </c>
      <c r="C510" s="54" t="s">
        <v>2356</v>
      </c>
      <c r="D510" s="51" t="s">
        <v>3488</v>
      </c>
      <c r="E510" s="20">
        <v>14254.57</v>
      </c>
      <c r="F510" s="20">
        <v>696.15</v>
      </c>
      <c r="G510" s="20">
        <v>9043.19</v>
      </c>
      <c r="H510" s="20">
        <v>0</v>
      </c>
      <c r="I510" s="20">
        <v>696.15</v>
      </c>
      <c r="J510" s="51" t="s">
        <v>2654</v>
      </c>
      <c r="K510" s="15">
        <v>0</v>
      </c>
      <c r="L510" s="51" t="s">
        <v>2371</v>
      </c>
      <c r="M510" s="51" t="s">
        <v>67</v>
      </c>
      <c r="N510" s="51" t="s">
        <v>67</v>
      </c>
      <c r="O510" s="51" t="s">
        <v>3489</v>
      </c>
      <c r="P510" s="51" t="s">
        <v>1340</v>
      </c>
      <c r="Q510" s="45">
        <v>46281.545933819441</v>
      </c>
      <c r="R510" s="46">
        <v>46307</v>
      </c>
      <c r="S510" s="46">
        <v>46302</v>
      </c>
      <c r="T510" s="51" t="s">
        <v>6119</v>
      </c>
      <c r="U510" s="15"/>
      <c r="V510" s="15"/>
      <c r="W510" s="15"/>
      <c r="X510" s="15"/>
      <c r="Y510" s="15"/>
      <c r="Z510" s="15"/>
      <c r="AA510" s="46"/>
      <c r="AB510" s="15"/>
      <c r="AC510" s="15"/>
      <c r="AD510" s="15"/>
      <c r="AE510" s="15"/>
      <c r="AF510" s="15"/>
      <c r="AG510" s="15"/>
      <c r="AH510" s="15"/>
      <c r="AI510" s="46"/>
      <c r="AJ510" s="51" t="s">
        <v>67</v>
      </c>
      <c r="AK510" s="51" t="s">
        <v>67</v>
      </c>
      <c r="AL510" s="15"/>
      <c r="AM510" s="51" t="s">
        <v>67</v>
      </c>
      <c r="AN510" s="51" t="s">
        <v>67</v>
      </c>
      <c r="AO510" s="50" t="s">
        <v>9554</v>
      </c>
    </row>
    <row r="511" spans="1:41" hidden="1" x14ac:dyDescent="0.25">
      <c r="A511" s="51" t="s">
        <v>3490</v>
      </c>
      <c r="B511" s="51" t="s">
        <v>3491</v>
      </c>
      <c r="C511" s="54" t="s">
        <v>605</v>
      </c>
      <c r="D511" s="51" t="s">
        <v>3492</v>
      </c>
      <c r="E511" s="20">
        <v>10819.96</v>
      </c>
      <c r="F511" s="20">
        <v>4963.13</v>
      </c>
      <c r="G511" s="20">
        <v>4176.5600000000004</v>
      </c>
      <c r="H511" s="20">
        <v>3870.86</v>
      </c>
      <c r="I511" s="20">
        <v>4963.13</v>
      </c>
      <c r="J511" s="51" t="s">
        <v>6727</v>
      </c>
      <c r="K511" s="15">
        <v>16</v>
      </c>
      <c r="L511" s="51" t="s">
        <v>2369</v>
      </c>
      <c r="M511" s="51" t="s">
        <v>3493</v>
      </c>
      <c r="N511" s="51" t="s">
        <v>1340</v>
      </c>
      <c r="O511" s="51" t="s">
        <v>3494</v>
      </c>
      <c r="P511" s="51" t="s">
        <v>1340</v>
      </c>
      <c r="Q511" s="45">
        <v>46281.545936168979</v>
      </c>
      <c r="R511" s="46">
        <v>46305</v>
      </c>
      <c r="S511" s="46">
        <v>46300</v>
      </c>
      <c r="T511" s="51" t="s">
        <v>6119</v>
      </c>
      <c r="U511" s="15">
        <v>848.05</v>
      </c>
      <c r="V511" s="15">
        <v>3921.84</v>
      </c>
      <c r="W511" s="15">
        <v>36.08</v>
      </c>
      <c r="X511" s="15">
        <v>14.9</v>
      </c>
      <c r="Y511" s="15">
        <v>1.662307</v>
      </c>
      <c r="Z511" s="15">
        <v>6</v>
      </c>
      <c r="AA511" s="46">
        <v>46275</v>
      </c>
      <c r="AB511" s="15"/>
      <c r="AC511" s="15"/>
      <c r="AD511" s="15"/>
      <c r="AE511" s="15"/>
      <c r="AF511" s="15"/>
      <c r="AG511" s="15"/>
      <c r="AH511" s="15"/>
      <c r="AI511" s="46"/>
      <c r="AJ511" s="51" t="s">
        <v>6121</v>
      </c>
      <c r="AK511" s="51" t="s">
        <v>6121</v>
      </c>
      <c r="AL511" s="15">
        <v>848.05</v>
      </c>
      <c r="AM511" s="51" t="s">
        <v>67</v>
      </c>
      <c r="AN511" s="51" t="s">
        <v>67</v>
      </c>
      <c r="AO511" s="50" t="s">
        <v>9554</v>
      </c>
    </row>
    <row r="512" spans="1:41" hidden="1" x14ac:dyDescent="0.25">
      <c r="A512" s="51" t="s">
        <v>3495</v>
      </c>
      <c r="B512" s="51" t="s">
        <v>3496</v>
      </c>
      <c r="C512" s="54" t="s">
        <v>5599</v>
      </c>
      <c r="D512" s="51" t="s">
        <v>3497</v>
      </c>
      <c r="E512" s="20">
        <v>641.58000000000004</v>
      </c>
      <c r="F512" s="20">
        <v>711.42</v>
      </c>
      <c r="G512" s="20">
        <v>1765.42</v>
      </c>
      <c r="H512" s="20">
        <v>0</v>
      </c>
      <c r="I512" s="20">
        <v>711.42</v>
      </c>
      <c r="J512" s="51" t="s">
        <v>2654</v>
      </c>
      <c r="K512" s="15">
        <v>0</v>
      </c>
      <c r="L512" s="51" t="s">
        <v>2371</v>
      </c>
      <c r="M512" s="51" t="s">
        <v>3498</v>
      </c>
      <c r="N512" s="51" t="s">
        <v>1340</v>
      </c>
      <c r="O512" s="51" t="s">
        <v>3499</v>
      </c>
      <c r="P512" s="51" t="s">
        <v>1340</v>
      </c>
      <c r="Q512" s="45">
        <v>46281.545939606483</v>
      </c>
      <c r="R512" s="46">
        <v>46302</v>
      </c>
      <c r="S512" s="46">
        <v>46297</v>
      </c>
      <c r="T512" s="51" t="s">
        <v>6119</v>
      </c>
      <c r="U512" s="15"/>
      <c r="V512" s="15"/>
      <c r="W512" s="15"/>
      <c r="X512" s="15"/>
      <c r="Y512" s="15"/>
      <c r="Z512" s="15"/>
      <c r="AA512" s="46"/>
      <c r="AB512" s="15"/>
      <c r="AC512" s="15"/>
      <c r="AD512" s="15"/>
      <c r="AE512" s="15"/>
      <c r="AF512" s="15"/>
      <c r="AG512" s="15"/>
      <c r="AH512" s="15"/>
      <c r="AI512" s="46"/>
      <c r="AJ512" s="51" t="s">
        <v>67</v>
      </c>
      <c r="AK512" s="51" t="s">
        <v>67</v>
      </c>
      <c r="AL512" s="15"/>
      <c r="AM512" s="51" t="s">
        <v>67</v>
      </c>
      <c r="AN512" s="51" t="s">
        <v>67</v>
      </c>
      <c r="AO512" s="50" t="s">
        <v>9554</v>
      </c>
    </row>
    <row r="513" spans="1:41" hidden="1" x14ac:dyDescent="0.25">
      <c r="A513" s="51" t="s">
        <v>3500</v>
      </c>
      <c r="B513" s="51" t="s">
        <v>3501</v>
      </c>
      <c r="C513" s="54" t="s">
        <v>5598</v>
      </c>
      <c r="D513" s="51" t="s">
        <v>3502</v>
      </c>
      <c r="E513" s="20">
        <v>2614.85</v>
      </c>
      <c r="F513" s="20">
        <v>0</v>
      </c>
      <c r="G513" s="20">
        <v>11015.37</v>
      </c>
      <c r="H513" s="20">
        <v>467.05</v>
      </c>
      <c r="I513" s="20">
        <v>0</v>
      </c>
      <c r="J513" s="51" t="s">
        <v>6724</v>
      </c>
      <c r="K513" s="15">
        <v>0</v>
      </c>
      <c r="L513" s="51" t="s">
        <v>2371</v>
      </c>
      <c r="M513" s="51" t="s">
        <v>3503</v>
      </c>
      <c r="N513" s="51" t="s">
        <v>1340</v>
      </c>
      <c r="O513" s="51" t="s">
        <v>3504</v>
      </c>
      <c r="P513" s="51" t="s">
        <v>1340</v>
      </c>
      <c r="Q513" s="45">
        <v>46281.545941898148</v>
      </c>
      <c r="R513" s="46">
        <v>46318</v>
      </c>
      <c r="S513" s="46">
        <v>46313</v>
      </c>
      <c r="T513" s="51" t="s">
        <v>6119</v>
      </c>
      <c r="U513" s="15"/>
      <c r="V513" s="15"/>
      <c r="W513" s="15"/>
      <c r="X513" s="15"/>
      <c r="Y513" s="15"/>
      <c r="Z513" s="15"/>
      <c r="AA513" s="46"/>
      <c r="AB513" s="15"/>
      <c r="AC513" s="15"/>
      <c r="AD513" s="15"/>
      <c r="AE513" s="15"/>
      <c r="AF513" s="15"/>
      <c r="AG513" s="15"/>
      <c r="AH513" s="15"/>
      <c r="AI513" s="46"/>
      <c r="AJ513" s="51" t="s">
        <v>67</v>
      </c>
      <c r="AK513" s="51" t="s">
        <v>67</v>
      </c>
      <c r="AL513" s="15"/>
      <c r="AM513" s="51" t="s">
        <v>67</v>
      </c>
      <c r="AN513" s="51" t="s">
        <v>67</v>
      </c>
      <c r="AO513" s="50" t="s">
        <v>9554</v>
      </c>
    </row>
    <row r="514" spans="1:41" hidden="1" x14ac:dyDescent="0.25">
      <c r="A514" s="51" t="s">
        <v>3505</v>
      </c>
      <c r="B514" s="51" t="s">
        <v>3506</v>
      </c>
      <c r="C514" s="54" t="s">
        <v>2690</v>
      </c>
      <c r="D514" s="51" t="s">
        <v>3507</v>
      </c>
      <c r="E514" s="20">
        <v>10768.79</v>
      </c>
      <c r="F514" s="20">
        <v>633.61</v>
      </c>
      <c r="G514" s="20">
        <v>14434.78</v>
      </c>
      <c r="H514" s="20">
        <v>633.61</v>
      </c>
      <c r="I514" s="20">
        <v>633.61</v>
      </c>
      <c r="J514" s="51" t="s">
        <v>6727</v>
      </c>
      <c r="K514" s="15">
        <v>0</v>
      </c>
      <c r="L514" s="51" t="s">
        <v>2371</v>
      </c>
      <c r="M514" s="51" t="s">
        <v>67</v>
      </c>
      <c r="N514" s="51" t="s">
        <v>67</v>
      </c>
      <c r="O514" s="51" t="s">
        <v>3508</v>
      </c>
      <c r="P514" s="51" t="s">
        <v>1340</v>
      </c>
      <c r="Q514" s="45">
        <v>46281.545944270831</v>
      </c>
      <c r="R514" s="46">
        <v>46322</v>
      </c>
      <c r="S514" s="46">
        <v>46317</v>
      </c>
      <c r="T514" s="51" t="s">
        <v>6119</v>
      </c>
      <c r="U514" s="15"/>
      <c r="V514" s="15"/>
      <c r="W514" s="15"/>
      <c r="X514" s="15"/>
      <c r="Y514" s="15"/>
      <c r="Z514" s="15"/>
      <c r="AA514" s="46"/>
      <c r="AB514" s="15"/>
      <c r="AC514" s="15"/>
      <c r="AD514" s="15"/>
      <c r="AE514" s="15"/>
      <c r="AF514" s="15"/>
      <c r="AG514" s="15"/>
      <c r="AH514" s="15"/>
      <c r="AI514" s="46"/>
      <c r="AJ514" s="51" t="s">
        <v>67</v>
      </c>
      <c r="AK514" s="51" t="s">
        <v>67</v>
      </c>
      <c r="AL514" s="15"/>
      <c r="AM514" s="51" t="s">
        <v>67</v>
      </c>
      <c r="AN514" s="51" t="s">
        <v>67</v>
      </c>
      <c r="AO514" s="50" t="s">
        <v>9554</v>
      </c>
    </row>
    <row r="515" spans="1:41" hidden="1" x14ac:dyDescent="0.25">
      <c r="A515" s="51" t="s">
        <v>3509</v>
      </c>
      <c r="B515" s="51" t="s">
        <v>3510</v>
      </c>
      <c r="C515" s="54" t="s">
        <v>5600</v>
      </c>
      <c r="D515" s="51" t="s">
        <v>3511</v>
      </c>
      <c r="E515" s="20">
        <v>1369.86</v>
      </c>
      <c r="F515" s="20">
        <v>4801.1499999999996</v>
      </c>
      <c r="G515" s="20">
        <v>10637.74</v>
      </c>
      <c r="H515" s="20">
        <v>3870.86</v>
      </c>
      <c r="I515" s="20">
        <v>4801.1499999999996</v>
      </c>
      <c r="J515" s="51" t="s">
        <v>6727</v>
      </c>
      <c r="K515" s="15">
        <v>17</v>
      </c>
      <c r="L515" s="51" t="s">
        <v>2369</v>
      </c>
      <c r="M515" s="51" t="s">
        <v>3512</v>
      </c>
      <c r="N515" s="51" t="s">
        <v>1344</v>
      </c>
      <c r="O515" s="51" t="s">
        <v>67</v>
      </c>
      <c r="P515" s="51" t="s">
        <v>67</v>
      </c>
      <c r="Q515" s="45">
        <v>46281.545947060185</v>
      </c>
      <c r="R515" s="46">
        <v>46304</v>
      </c>
      <c r="S515" s="46">
        <v>46299</v>
      </c>
      <c r="T515" s="51" t="s">
        <v>6119</v>
      </c>
      <c r="U515" s="15">
        <v>848.05</v>
      </c>
      <c r="V515" s="15">
        <v>3921.84</v>
      </c>
      <c r="W515" s="15">
        <v>36.08</v>
      </c>
      <c r="X515" s="15">
        <v>14.9</v>
      </c>
      <c r="Y515" s="15">
        <v>1.662307</v>
      </c>
      <c r="Z515" s="15">
        <v>6</v>
      </c>
      <c r="AA515" s="46">
        <v>46274</v>
      </c>
      <c r="AB515" s="15"/>
      <c r="AC515" s="15"/>
      <c r="AD515" s="15"/>
      <c r="AE515" s="15"/>
      <c r="AF515" s="15"/>
      <c r="AG515" s="15"/>
      <c r="AH515" s="15"/>
      <c r="AI515" s="46"/>
      <c r="AJ515" s="51" t="s">
        <v>6121</v>
      </c>
      <c r="AK515" s="51" t="s">
        <v>6121</v>
      </c>
      <c r="AL515" s="15">
        <v>848.05</v>
      </c>
      <c r="AM515" s="51" t="s">
        <v>67</v>
      </c>
      <c r="AN515" s="51" t="s">
        <v>67</v>
      </c>
      <c r="AO515" s="50" t="s">
        <v>9554</v>
      </c>
    </row>
    <row r="516" spans="1:41" hidden="1" x14ac:dyDescent="0.25">
      <c r="A516" s="51" t="s">
        <v>3513</v>
      </c>
      <c r="B516" s="51" t="s">
        <v>3514</v>
      </c>
      <c r="C516" s="54" t="s">
        <v>5600</v>
      </c>
      <c r="D516" s="51" t="s">
        <v>3515</v>
      </c>
      <c r="E516" s="20">
        <v>13045.98</v>
      </c>
      <c r="F516" s="20">
        <v>923.51</v>
      </c>
      <c r="G516" s="20">
        <v>12764.83</v>
      </c>
      <c r="H516" s="20">
        <v>0</v>
      </c>
      <c r="I516" s="20">
        <v>923.51</v>
      </c>
      <c r="J516" s="51" t="s">
        <v>2654</v>
      </c>
      <c r="K516" s="15">
        <v>0</v>
      </c>
      <c r="L516" s="51" t="s">
        <v>2371</v>
      </c>
      <c r="M516" s="51" t="s">
        <v>67</v>
      </c>
      <c r="N516" s="51" t="s">
        <v>67</v>
      </c>
      <c r="O516" s="51" t="s">
        <v>3516</v>
      </c>
      <c r="P516" s="51" t="s">
        <v>1340</v>
      </c>
      <c r="Q516" s="45">
        <v>46281.545949930558</v>
      </c>
      <c r="R516" s="46">
        <v>46304</v>
      </c>
      <c r="S516" s="46">
        <v>46299</v>
      </c>
      <c r="T516" s="51" t="s">
        <v>6119</v>
      </c>
      <c r="U516" s="15"/>
      <c r="V516" s="15"/>
      <c r="W516" s="15"/>
      <c r="X516" s="15"/>
      <c r="Y516" s="15"/>
      <c r="Z516" s="15"/>
      <c r="AA516" s="46"/>
      <c r="AB516" s="15"/>
      <c r="AC516" s="15"/>
      <c r="AD516" s="15"/>
      <c r="AE516" s="15"/>
      <c r="AF516" s="15"/>
      <c r="AG516" s="15"/>
      <c r="AH516" s="15"/>
      <c r="AI516" s="46"/>
      <c r="AJ516" s="51" t="s">
        <v>67</v>
      </c>
      <c r="AK516" s="51" t="s">
        <v>67</v>
      </c>
      <c r="AL516" s="15"/>
      <c r="AM516" s="51" t="s">
        <v>67</v>
      </c>
      <c r="AN516" s="51" t="s">
        <v>67</v>
      </c>
      <c r="AO516" s="50" t="s">
        <v>9554</v>
      </c>
    </row>
    <row r="517" spans="1:41" hidden="1" x14ac:dyDescent="0.25">
      <c r="A517" s="51" t="s">
        <v>3517</v>
      </c>
      <c r="B517" s="51" t="s">
        <v>3518</v>
      </c>
      <c r="C517" s="54" t="s">
        <v>2691</v>
      </c>
      <c r="D517" s="51" t="s">
        <v>3519</v>
      </c>
      <c r="E517" s="20">
        <v>15436.12</v>
      </c>
      <c r="F517" s="20">
        <v>998.44</v>
      </c>
      <c r="G517" s="20">
        <v>16393.919999999998</v>
      </c>
      <c r="H517" s="20">
        <v>0</v>
      </c>
      <c r="I517" s="20">
        <v>998.44</v>
      </c>
      <c r="J517" s="51" t="s">
        <v>2654</v>
      </c>
      <c r="K517" s="15">
        <v>0</v>
      </c>
      <c r="L517" s="51" t="s">
        <v>2371</v>
      </c>
      <c r="M517" s="51" t="s">
        <v>3520</v>
      </c>
      <c r="N517" s="51" t="s">
        <v>1340</v>
      </c>
      <c r="O517" s="51" t="s">
        <v>67</v>
      </c>
      <c r="P517" s="51" t="s">
        <v>67</v>
      </c>
      <c r="Q517" s="45">
        <v>46281.54595240741</v>
      </c>
      <c r="R517" s="46">
        <v>46301</v>
      </c>
      <c r="S517" s="46">
        <v>46296</v>
      </c>
      <c r="T517" s="51" t="s">
        <v>6119</v>
      </c>
      <c r="U517" s="15"/>
      <c r="V517" s="15"/>
      <c r="W517" s="15"/>
      <c r="X517" s="15"/>
      <c r="Y517" s="15"/>
      <c r="Z517" s="15"/>
      <c r="AA517" s="46"/>
      <c r="AB517" s="15"/>
      <c r="AC517" s="15"/>
      <c r="AD517" s="15"/>
      <c r="AE517" s="15"/>
      <c r="AF517" s="15"/>
      <c r="AG517" s="15"/>
      <c r="AH517" s="15"/>
      <c r="AI517" s="46"/>
      <c r="AJ517" s="51" t="s">
        <v>67</v>
      </c>
      <c r="AK517" s="51" t="s">
        <v>67</v>
      </c>
      <c r="AL517" s="15"/>
      <c r="AM517" s="51" t="s">
        <v>67</v>
      </c>
      <c r="AN517" s="51" t="s">
        <v>67</v>
      </c>
      <c r="AO517" s="50" t="s">
        <v>9554</v>
      </c>
    </row>
    <row r="518" spans="1:41" hidden="1" x14ac:dyDescent="0.25">
      <c r="A518" s="51" t="s">
        <v>3521</v>
      </c>
      <c r="B518" s="51" t="s">
        <v>3522</v>
      </c>
      <c r="C518" s="54" t="s">
        <v>2541</v>
      </c>
      <c r="D518" s="51" t="s">
        <v>3523</v>
      </c>
      <c r="E518" s="20">
        <v>12567.83</v>
      </c>
      <c r="F518" s="20">
        <v>882.36</v>
      </c>
      <c r="G518" s="20">
        <v>10860.42</v>
      </c>
      <c r="H518" s="20">
        <v>0</v>
      </c>
      <c r="I518" s="20">
        <v>882.36</v>
      </c>
      <c r="J518" s="51" t="s">
        <v>2654</v>
      </c>
      <c r="K518" s="15">
        <v>0</v>
      </c>
      <c r="L518" s="51" t="s">
        <v>2371</v>
      </c>
      <c r="M518" s="51" t="s">
        <v>3524</v>
      </c>
      <c r="N518" s="51" t="s">
        <v>1340</v>
      </c>
      <c r="O518" s="51" t="s">
        <v>3525</v>
      </c>
      <c r="P518" s="51" t="s">
        <v>1340</v>
      </c>
      <c r="Q518" s="45">
        <v>46281.545954490743</v>
      </c>
      <c r="R518" s="46">
        <v>46311</v>
      </c>
      <c r="S518" s="46">
        <v>46306</v>
      </c>
      <c r="T518" s="51" t="s">
        <v>6119</v>
      </c>
      <c r="U518" s="15"/>
      <c r="V518" s="15"/>
      <c r="W518" s="15"/>
      <c r="X518" s="15"/>
      <c r="Y518" s="15"/>
      <c r="Z518" s="15"/>
      <c r="AA518" s="46"/>
      <c r="AB518" s="15"/>
      <c r="AC518" s="15"/>
      <c r="AD518" s="15"/>
      <c r="AE518" s="15"/>
      <c r="AF518" s="15"/>
      <c r="AG518" s="15"/>
      <c r="AH518" s="15"/>
      <c r="AI518" s="46"/>
      <c r="AJ518" s="51" t="s">
        <v>67</v>
      </c>
      <c r="AK518" s="51" t="s">
        <v>67</v>
      </c>
      <c r="AL518" s="15"/>
      <c r="AM518" s="51" t="s">
        <v>67</v>
      </c>
      <c r="AN518" s="51" t="s">
        <v>67</v>
      </c>
      <c r="AO518" s="50" t="s">
        <v>9554</v>
      </c>
    </row>
    <row r="519" spans="1:41" hidden="1" x14ac:dyDescent="0.25">
      <c r="A519" s="51" t="s">
        <v>3526</v>
      </c>
      <c r="B519" s="51" t="s">
        <v>3527</v>
      </c>
      <c r="C519" s="54" t="s">
        <v>607</v>
      </c>
      <c r="D519" s="51" t="s">
        <v>3528</v>
      </c>
      <c r="E519" s="20">
        <v>8185.33</v>
      </c>
      <c r="F519" s="20">
        <v>387.37</v>
      </c>
      <c r="G519" s="20">
        <v>12855.77</v>
      </c>
      <c r="H519" s="20">
        <v>0</v>
      </c>
      <c r="I519" s="20">
        <v>581.05999999999995</v>
      </c>
      <c r="J519" s="51" t="s">
        <v>2654</v>
      </c>
      <c r="K519" s="15">
        <v>0</v>
      </c>
      <c r="L519" s="51" t="s">
        <v>2371</v>
      </c>
      <c r="M519" s="51" t="s">
        <v>3529</v>
      </c>
      <c r="N519" s="51" t="s">
        <v>1340</v>
      </c>
      <c r="O519" s="51" t="s">
        <v>67</v>
      </c>
      <c r="P519" s="51" t="s">
        <v>67</v>
      </c>
      <c r="Q519" s="45">
        <v>46281.545956793983</v>
      </c>
      <c r="R519" s="46">
        <v>46310</v>
      </c>
      <c r="S519" s="46">
        <v>46305</v>
      </c>
      <c r="T519" s="51" t="s">
        <v>6119</v>
      </c>
      <c r="U519" s="15"/>
      <c r="V519" s="15"/>
      <c r="W519" s="15"/>
      <c r="X519" s="15"/>
      <c r="Y519" s="15"/>
      <c r="Z519" s="15"/>
      <c r="AA519" s="46"/>
      <c r="AB519" s="15"/>
      <c r="AC519" s="15"/>
      <c r="AD519" s="15"/>
      <c r="AE519" s="15"/>
      <c r="AF519" s="15"/>
      <c r="AG519" s="15"/>
      <c r="AH519" s="15"/>
      <c r="AI519" s="46"/>
      <c r="AJ519" s="51" t="s">
        <v>67</v>
      </c>
      <c r="AK519" s="51" t="s">
        <v>67</v>
      </c>
      <c r="AL519" s="15"/>
      <c r="AM519" s="51" t="s">
        <v>67</v>
      </c>
      <c r="AN519" s="51" t="s">
        <v>67</v>
      </c>
      <c r="AO519" s="50" t="s">
        <v>9554</v>
      </c>
    </row>
    <row r="520" spans="1:41" hidden="1" x14ac:dyDescent="0.25">
      <c r="A520" s="51" t="s">
        <v>3530</v>
      </c>
      <c r="B520" s="51" t="s">
        <v>3531</v>
      </c>
      <c r="C520" s="54" t="s">
        <v>2357</v>
      </c>
      <c r="D520" s="51" t="s">
        <v>3532</v>
      </c>
      <c r="E520" s="20">
        <v>11783.26</v>
      </c>
      <c r="F520" s="20">
        <v>4651.57</v>
      </c>
      <c r="G520" s="20">
        <v>11021.53</v>
      </c>
      <c r="H520" s="20">
        <v>3870.86</v>
      </c>
      <c r="I520" s="20">
        <v>4651.57</v>
      </c>
      <c r="J520" s="51" t="s">
        <v>6727</v>
      </c>
      <c r="K520" s="15">
        <v>13</v>
      </c>
      <c r="L520" s="51" t="s">
        <v>2369</v>
      </c>
      <c r="M520" s="51" t="s">
        <v>3533</v>
      </c>
      <c r="N520" s="51" t="s">
        <v>1344</v>
      </c>
      <c r="O520" s="51" t="s">
        <v>3534</v>
      </c>
      <c r="P520" s="51" t="s">
        <v>1344</v>
      </c>
      <c r="Q520" s="45">
        <v>46281.545959120369</v>
      </c>
      <c r="R520" s="46">
        <v>46308</v>
      </c>
      <c r="S520" s="46">
        <v>46303</v>
      </c>
      <c r="T520" s="51" t="s">
        <v>6119</v>
      </c>
      <c r="U520" s="15">
        <v>848.05</v>
      </c>
      <c r="V520" s="15">
        <v>3921.84</v>
      </c>
      <c r="W520" s="15">
        <v>36.08</v>
      </c>
      <c r="X520" s="15">
        <v>14.9</v>
      </c>
      <c r="Y520" s="15">
        <v>1.662307</v>
      </c>
      <c r="Z520" s="15">
        <v>6</v>
      </c>
      <c r="AA520" s="46">
        <v>46278</v>
      </c>
      <c r="AB520" s="15"/>
      <c r="AC520" s="15"/>
      <c r="AD520" s="15"/>
      <c r="AE520" s="15"/>
      <c r="AF520" s="15"/>
      <c r="AG520" s="15"/>
      <c r="AH520" s="15"/>
      <c r="AI520" s="46"/>
      <c r="AJ520" s="51" t="s">
        <v>6121</v>
      </c>
      <c r="AK520" s="51" t="s">
        <v>6121</v>
      </c>
      <c r="AL520" s="15">
        <v>848.05</v>
      </c>
      <c r="AM520" s="51" t="s">
        <v>67</v>
      </c>
      <c r="AN520" s="51" t="s">
        <v>67</v>
      </c>
      <c r="AO520" s="50" t="s">
        <v>9554</v>
      </c>
    </row>
    <row r="521" spans="1:41" hidden="1" x14ac:dyDescent="0.25">
      <c r="A521" s="51" t="s">
        <v>3535</v>
      </c>
      <c r="B521" s="51" t="s">
        <v>3536</v>
      </c>
      <c r="C521" s="54" t="s">
        <v>2694</v>
      </c>
      <c r="D521" s="51" t="s">
        <v>3537</v>
      </c>
      <c r="E521" s="20">
        <v>2791.7</v>
      </c>
      <c r="F521" s="20">
        <v>362.18</v>
      </c>
      <c r="G521" s="20">
        <v>2820.31</v>
      </c>
      <c r="H521" s="20">
        <v>0</v>
      </c>
      <c r="I521" s="20">
        <v>465.66</v>
      </c>
      <c r="J521" s="51" t="s">
        <v>2654</v>
      </c>
      <c r="K521" s="15">
        <v>0</v>
      </c>
      <c r="L521" s="51" t="s">
        <v>2371</v>
      </c>
      <c r="M521" s="51" t="s">
        <v>3538</v>
      </c>
      <c r="N521" s="51" t="s">
        <v>1340</v>
      </c>
      <c r="O521" s="51" t="s">
        <v>3539</v>
      </c>
      <c r="P521" s="51" t="s">
        <v>1340</v>
      </c>
      <c r="Q521" s="45">
        <v>46281.545961689815</v>
      </c>
      <c r="R521" s="46">
        <v>46312</v>
      </c>
      <c r="S521" s="46">
        <v>46307</v>
      </c>
      <c r="T521" s="51" t="s">
        <v>6119</v>
      </c>
      <c r="U521" s="15"/>
      <c r="V521" s="15"/>
      <c r="W521" s="15"/>
      <c r="X521" s="15"/>
      <c r="Y521" s="15"/>
      <c r="Z521" s="15"/>
      <c r="AA521" s="46"/>
      <c r="AB521" s="15"/>
      <c r="AC521" s="15"/>
      <c r="AD521" s="15"/>
      <c r="AE521" s="15"/>
      <c r="AF521" s="15"/>
      <c r="AG521" s="15"/>
      <c r="AH521" s="15"/>
      <c r="AI521" s="46"/>
      <c r="AJ521" s="51" t="s">
        <v>67</v>
      </c>
      <c r="AK521" s="51" t="s">
        <v>67</v>
      </c>
      <c r="AL521" s="15"/>
      <c r="AM521" s="51" t="s">
        <v>67</v>
      </c>
      <c r="AN521" s="51" t="s">
        <v>67</v>
      </c>
      <c r="AO521" s="50" t="s">
        <v>9554</v>
      </c>
    </row>
    <row r="522" spans="1:41" hidden="1" x14ac:dyDescent="0.25">
      <c r="A522" s="51" t="s">
        <v>3540</v>
      </c>
      <c r="B522" s="51" t="s">
        <v>3541</v>
      </c>
      <c r="C522" s="54" t="s">
        <v>2345</v>
      </c>
      <c r="D522" s="51" t="s">
        <v>3542</v>
      </c>
      <c r="E522" s="20">
        <v>6646.94</v>
      </c>
      <c r="F522" s="20">
        <v>4376.7</v>
      </c>
      <c r="G522" s="20">
        <v>-2019.51</v>
      </c>
      <c r="H522" s="20">
        <v>3870.86</v>
      </c>
      <c r="I522" s="20">
        <v>4378.3</v>
      </c>
      <c r="J522" s="51" t="s">
        <v>6726</v>
      </c>
      <c r="K522" s="15">
        <v>15</v>
      </c>
      <c r="L522" s="51" t="s">
        <v>2369</v>
      </c>
      <c r="M522" s="51" t="s">
        <v>3543</v>
      </c>
      <c r="N522" s="51" t="s">
        <v>1340</v>
      </c>
      <c r="O522" s="51" t="s">
        <v>67</v>
      </c>
      <c r="P522" s="51" t="s">
        <v>67</v>
      </c>
      <c r="Q522" s="45">
        <v>46281.545963958335</v>
      </c>
      <c r="R522" s="46">
        <v>46306</v>
      </c>
      <c r="S522" s="46">
        <v>46301</v>
      </c>
      <c r="T522" s="51" t="s">
        <v>6119</v>
      </c>
      <c r="U522" s="15">
        <v>848.05</v>
      </c>
      <c r="V522" s="15">
        <v>3921.84</v>
      </c>
      <c r="W522" s="15">
        <v>36.08</v>
      </c>
      <c r="X522" s="15">
        <v>14.9</v>
      </c>
      <c r="Y522" s="15">
        <v>1.662307</v>
      </c>
      <c r="Z522" s="15">
        <v>6</v>
      </c>
      <c r="AA522" s="46">
        <v>46276</v>
      </c>
      <c r="AB522" s="15"/>
      <c r="AC522" s="15"/>
      <c r="AD522" s="15"/>
      <c r="AE522" s="15"/>
      <c r="AF522" s="15"/>
      <c r="AG522" s="15"/>
      <c r="AH522" s="15"/>
      <c r="AI522" s="46"/>
      <c r="AJ522" s="51" t="s">
        <v>6121</v>
      </c>
      <c r="AK522" s="51" t="s">
        <v>6121</v>
      </c>
      <c r="AL522" s="15">
        <v>848.05</v>
      </c>
      <c r="AM522" s="51" t="s">
        <v>6705</v>
      </c>
      <c r="AN522" s="51" t="s">
        <v>6713</v>
      </c>
      <c r="AO522" s="50" t="s">
        <v>9554</v>
      </c>
    </row>
    <row r="523" spans="1:41" hidden="1" x14ac:dyDescent="0.25">
      <c r="A523" s="51" t="s">
        <v>3544</v>
      </c>
      <c r="B523" s="51" t="s">
        <v>3545</v>
      </c>
      <c r="C523" s="54" t="s">
        <v>2693</v>
      </c>
      <c r="D523" s="51" t="s">
        <v>3546</v>
      </c>
      <c r="E523" s="20">
        <v>658.16</v>
      </c>
      <c r="F523" s="20">
        <v>0</v>
      </c>
      <c r="G523" s="20">
        <v>18792.07</v>
      </c>
      <c r="H523" s="20">
        <v>0</v>
      </c>
      <c r="I523" s="20">
        <v>953.19</v>
      </c>
      <c r="J523" s="51" t="s">
        <v>2654</v>
      </c>
      <c r="K523" s="15">
        <v>0</v>
      </c>
      <c r="L523" s="51" t="s">
        <v>2371</v>
      </c>
      <c r="M523" s="51" t="s">
        <v>3547</v>
      </c>
      <c r="N523" s="51" t="s">
        <v>1340</v>
      </c>
      <c r="O523" s="51" t="s">
        <v>3548</v>
      </c>
      <c r="P523" s="51" t="s">
        <v>1340</v>
      </c>
      <c r="Q523" s="45">
        <v>46281.545966446756</v>
      </c>
      <c r="R523" s="46">
        <v>46314</v>
      </c>
      <c r="S523" s="46">
        <v>46309</v>
      </c>
      <c r="T523" s="51" t="s">
        <v>6119</v>
      </c>
      <c r="U523" s="15"/>
      <c r="V523" s="15"/>
      <c r="W523" s="15"/>
      <c r="X523" s="15"/>
      <c r="Y523" s="15"/>
      <c r="Z523" s="15"/>
      <c r="AA523" s="46"/>
      <c r="AB523" s="15"/>
      <c r="AC523" s="15"/>
      <c r="AD523" s="15"/>
      <c r="AE523" s="15"/>
      <c r="AF523" s="15"/>
      <c r="AG523" s="15"/>
      <c r="AH523" s="15"/>
      <c r="AI523" s="46"/>
      <c r="AJ523" s="51" t="s">
        <v>67</v>
      </c>
      <c r="AK523" s="51" t="s">
        <v>67</v>
      </c>
      <c r="AL523" s="15"/>
      <c r="AM523" s="51" t="s">
        <v>67</v>
      </c>
      <c r="AN523" s="51" t="s">
        <v>67</v>
      </c>
      <c r="AO523" s="50" t="s">
        <v>9554</v>
      </c>
    </row>
    <row r="524" spans="1:41" hidden="1" x14ac:dyDescent="0.25">
      <c r="A524" s="51" t="s">
        <v>3549</v>
      </c>
      <c r="B524" s="51" t="s">
        <v>3550</v>
      </c>
      <c r="C524" s="54" t="s">
        <v>5600</v>
      </c>
      <c r="D524" s="51" t="s">
        <v>3551</v>
      </c>
      <c r="E524" s="20">
        <v>7433.21</v>
      </c>
      <c r="F524" s="20">
        <v>880.67</v>
      </c>
      <c r="G524" s="20">
        <v>19850.330000000002</v>
      </c>
      <c r="H524" s="20">
        <v>0</v>
      </c>
      <c r="I524" s="20">
        <v>880.67</v>
      </c>
      <c r="J524" s="51" t="s">
        <v>2654</v>
      </c>
      <c r="K524" s="15">
        <v>0</v>
      </c>
      <c r="L524" s="51" t="s">
        <v>2371</v>
      </c>
      <c r="M524" s="51" t="s">
        <v>67</v>
      </c>
      <c r="N524" s="51" t="s">
        <v>67</v>
      </c>
      <c r="O524" s="51" t="s">
        <v>3552</v>
      </c>
      <c r="P524" s="51" t="s">
        <v>1340</v>
      </c>
      <c r="Q524" s="45">
        <v>46281.545968668979</v>
      </c>
      <c r="R524" s="46">
        <v>46304</v>
      </c>
      <c r="S524" s="46">
        <v>46299</v>
      </c>
      <c r="T524" s="51" t="s">
        <v>6119</v>
      </c>
      <c r="U524" s="15"/>
      <c r="V524" s="15"/>
      <c r="W524" s="15"/>
      <c r="X524" s="15"/>
      <c r="Y524" s="15"/>
      <c r="Z524" s="15"/>
      <c r="AA524" s="46"/>
      <c r="AB524" s="15"/>
      <c r="AC524" s="15"/>
      <c r="AD524" s="15"/>
      <c r="AE524" s="15"/>
      <c r="AF524" s="15"/>
      <c r="AG524" s="15"/>
      <c r="AH524" s="15"/>
      <c r="AI524" s="46"/>
      <c r="AJ524" s="51" t="s">
        <v>67</v>
      </c>
      <c r="AK524" s="51" t="s">
        <v>67</v>
      </c>
      <c r="AL524" s="15"/>
      <c r="AM524" s="51" t="s">
        <v>67</v>
      </c>
      <c r="AN524" s="51" t="s">
        <v>67</v>
      </c>
      <c r="AO524" s="50" t="s">
        <v>9554</v>
      </c>
    </row>
    <row r="525" spans="1:41" hidden="1" x14ac:dyDescent="0.25">
      <c r="A525" s="51" t="s">
        <v>3553</v>
      </c>
      <c r="B525" s="51" t="s">
        <v>3554</v>
      </c>
      <c r="C525" s="54" t="s">
        <v>5597</v>
      </c>
      <c r="D525" s="51" t="s">
        <v>3555</v>
      </c>
      <c r="E525" s="20">
        <v>4688.37</v>
      </c>
      <c r="F525" s="20">
        <v>550.16999999999996</v>
      </c>
      <c r="G525" s="20">
        <v>3530.38</v>
      </c>
      <c r="H525" s="20">
        <v>550.16999999999996</v>
      </c>
      <c r="I525" s="20">
        <v>550.16999999999996</v>
      </c>
      <c r="J525" s="51" t="s">
        <v>6727</v>
      </c>
      <c r="K525" s="15">
        <v>0</v>
      </c>
      <c r="L525" s="51" t="s">
        <v>2371</v>
      </c>
      <c r="M525" s="51" t="s">
        <v>67</v>
      </c>
      <c r="N525" s="51" t="s">
        <v>67</v>
      </c>
      <c r="O525" s="51" t="s">
        <v>3556</v>
      </c>
      <c r="P525" s="51" t="s">
        <v>1340</v>
      </c>
      <c r="Q525" s="45">
        <v>46281.54597078704</v>
      </c>
      <c r="R525" s="46">
        <v>46321</v>
      </c>
      <c r="S525" s="46">
        <v>46316</v>
      </c>
      <c r="T525" s="51" t="s">
        <v>6119</v>
      </c>
      <c r="U525" s="15"/>
      <c r="V525" s="15"/>
      <c r="W525" s="15"/>
      <c r="X525" s="15"/>
      <c r="Y525" s="15"/>
      <c r="Z525" s="15"/>
      <c r="AA525" s="46"/>
      <c r="AB525" s="15"/>
      <c r="AC525" s="15"/>
      <c r="AD525" s="15"/>
      <c r="AE525" s="15"/>
      <c r="AF525" s="15"/>
      <c r="AG525" s="15"/>
      <c r="AH525" s="15"/>
      <c r="AI525" s="46"/>
      <c r="AJ525" s="51" t="s">
        <v>67</v>
      </c>
      <c r="AK525" s="51" t="s">
        <v>67</v>
      </c>
      <c r="AL525" s="15"/>
      <c r="AM525" s="51" t="s">
        <v>67</v>
      </c>
      <c r="AN525" s="51" t="s">
        <v>67</v>
      </c>
      <c r="AO525" s="50" t="s">
        <v>9554</v>
      </c>
    </row>
    <row r="526" spans="1:41" hidden="1" x14ac:dyDescent="0.25">
      <c r="A526" s="51" t="s">
        <v>3557</v>
      </c>
      <c r="B526" s="51" t="s">
        <v>3558</v>
      </c>
      <c r="C526" s="54" t="s">
        <v>5601</v>
      </c>
      <c r="D526" s="51" t="s">
        <v>3559</v>
      </c>
      <c r="E526" s="20">
        <v>5207.45</v>
      </c>
      <c r="F526" s="20">
        <v>9373.57</v>
      </c>
      <c r="G526" s="20">
        <v>3018.71</v>
      </c>
      <c r="H526" s="20">
        <v>3870.86</v>
      </c>
      <c r="I526" s="20">
        <v>7653.19</v>
      </c>
      <c r="J526" s="51" t="s">
        <v>6727</v>
      </c>
      <c r="K526" s="15">
        <v>36</v>
      </c>
      <c r="L526" s="51" t="s">
        <v>2369</v>
      </c>
      <c r="M526" s="51" t="s">
        <v>3560</v>
      </c>
      <c r="N526" s="51" t="s">
        <v>1344</v>
      </c>
      <c r="O526" s="51" t="s">
        <v>3561</v>
      </c>
      <c r="P526" s="51" t="s">
        <v>1344</v>
      </c>
      <c r="Q526" s="45">
        <v>46281.545973067128</v>
      </c>
      <c r="R526" s="46">
        <v>46316</v>
      </c>
      <c r="S526" s="46">
        <v>46311</v>
      </c>
      <c r="T526" s="51" t="s">
        <v>6119</v>
      </c>
      <c r="U526" s="15">
        <v>849.8</v>
      </c>
      <c r="V526" s="15">
        <v>3922.15</v>
      </c>
      <c r="W526" s="15">
        <v>36.39</v>
      </c>
      <c r="X526" s="15">
        <v>14.9</v>
      </c>
      <c r="Y526" s="15">
        <v>1.6620440000000001</v>
      </c>
      <c r="Z526" s="15">
        <v>6</v>
      </c>
      <c r="AA526" s="46">
        <v>46255</v>
      </c>
      <c r="AB526" s="15"/>
      <c r="AC526" s="15"/>
      <c r="AD526" s="15"/>
      <c r="AE526" s="15"/>
      <c r="AF526" s="15"/>
      <c r="AG526" s="15"/>
      <c r="AH526" s="15"/>
      <c r="AI526" s="46"/>
      <c r="AJ526" s="51" t="s">
        <v>6121</v>
      </c>
      <c r="AK526" s="51" t="s">
        <v>6121</v>
      </c>
      <c r="AL526" s="15">
        <v>849.8</v>
      </c>
      <c r="AM526" s="51" t="s">
        <v>67</v>
      </c>
      <c r="AN526" s="51" t="s">
        <v>67</v>
      </c>
      <c r="AO526" s="50" t="s">
        <v>9554</v>
      </c>
    </row>
    <row r="527" spans="1:41" hidden="1" x14ac:dyDescent="0.25">
      <c r="A527" s="51" t="s">
        <v>3562</v>
      </c>
      <c r="B527" s="51" t="s">
        <v>3563</v>
      </c>
      <c r="C527" s="54" t="s">
        <v>2541</v>
      </c>
      <c r="D527" s="51" t="s">
        <v>3564</v>
      </c>
      <c r="E527" s="20">
        <v>10586.45</v>
      </c>
      <c r="F527" s="20">
        <v>129.85</v>
      </c>
      <c r="G527" s="20">
        <v>15179.89</v>
      </c>
      <c r="H527" s="20">
        <v>3870.86</v>
      </c>
      <c r="I527" s="20">
        <v>0</v>
      </c>
      <c r="J527" s="51" t="s">
        <v>6726</v>
      </c>
      <c r="K527" s="15">
        <v>0</v>
      </c>
      <c r="L527" s="51" t="s">
        <v>2371</v>
      </c>
      <c r="M527" s="51" t="s">
        <v>67</v>
      </c>
      <c r="N527" s="51" t="s">
        <v>67</v>
      </c>
      <c r="O527" s="51" t="s">
        <v>3565</v>
      </c>
      <c r="P527" s="51" t="s">
        <v>1340</v>
      </c>
      <c r="Q527" s="45">
        <v>46281.545975833331</v>
      </c>
      <c r="R527" s="46">
        <v>46311</v>
      </c>
      <c r="S527" s="46">
        <v>46306</v>
      </c>
      <c r="T527" s="51" t="s">
        <v>6119</v>
      </c>
      <c r="U527" s="15">
        <v>848.05</v>
      </c>
      <c r="V527" s="15">
        <v>3921.84</v>
      </c>
      <c r="W527" s="15">
        <v>36.08</v>
      </c>
      <c r="X527" s="15">
        <v>14.9</v>
      </c>
      <c r="Y527" s="15">
        <v>1.662307</v>
      </c>
      <c r="Z527" s="15">
        <v>6</v>
      </c>
      <c r="AA527" s="46">
        <v>46281</v>
      </c>
      <c r="AB527" s="15"/>
      <c r="AC527" s="15"/>
      <c r="AD527" s="15"/>
      <c r="AE527" s="15"/>
      <c r="AF527" s="15"/>
      <c r="AG527" s="15"/>
      <c r="AH527" s="15"/>
      <c r="AI527" s="46"/>
      <c r="AJ527" s="51" t="s">
        <v>67</v>
      </c>
      <c r="AK527" s="51" t="s">
        <v>6121</v>
      </c>
      <c r="AL527" s="15">
        <v>848.05</v>
      </c>
      <c r="AM527" s="51" t="s">
        <v>6705</v>
      </c>
      <c r="AN527" s="51" t="s">
        <v>6706</v>
      </c>
      <c r="AO527" s="50" t="s">
        <v>9554</v>
      </c>
    </row>
    <row r="528" spans="1:41" hidden="1" x14ac:dyDescent="0.25">
      <c r="A528" s="51" t="s">
        <v>3566</v>
      </c>
      <c r="B528" s="51" t="s">
        <v>3567</v>
      </c>
      <c r="C528" s="54" t="s">
        <v>605</v>
      </c>
      <c r="D528" s="51" t="s">
        <v>3568</v>
      </c>
      <c r="E528" s="20">
        <v>10825.32</v>
      </c>
      <c r="F528" s="20">
        <v>998.93</v>
      </c>
      <c r="G528" s="20">
        <v>15386.7</v>
      </c>
      <c r="H528" s="20">
        <v>0</v>
      </c>
      <c r="I528" s="20">
        <v>998.93</v>
      </c>
      <c r="J528" s="51" t="s">
        <v>2654</v>
      </c>
      <c r="K528" s="15">
        <v>0</v>
      </c>
      <c r="L528" s="51" t="s">
        <v>2371</v>
      </c>
      <c r="M528" s="51" t="s">
        <v>67</v>
      </c>
      <c r="N528" s="51" t="s">
        <v>67</v>
      </c>
      <c r="O528" s="51" t="s">
        <v>3569</v>
      </c>
      <c r="P528" s="51" t="s">
        <v>1340</v>
      </c>
      <c r="Q528" s="45">
        <v>46281.545978599534</v>
      </c>
      <c r="R528" s="46">
        <v>46305</v>
      </c>
      <c r="S528" s="46">
        <v>46300</v>
      </c>
      <c r="T528" s="51" t="s">
        <v>6119</v>
      </c>
      <c r="U528" s="15"/>
      <c r="V528" s="15"/>
      <c r="W528" s="15"/>
      <c r="X528" s="15"/>
      <c r="Y528" s="15"/>
      <c r="Z528" s="15"/>
      <c r="AA528" s="46"/>
      <c r="AB528" s="15"/>
      <c r="AC528" s="15"/>
      <c r="AD528" s="15"/>
      <c r="AE528" s="15"/>
      <c r="AF528" s="15"/>
      <c r="AG528" s="15"/>
      <c r="AH528" s="15"/>
      <c r="AI528" s="46"/>
      <c r="AJ528" s="51" t="s">
        <v>67</v>
      </c>
      <c r="AK528" s="51" t="s">
        <v>67</v>
      </c>
      <c r="AL528" s="15"/>
      <c r="AM528" s="51" t="s">
        <v>67</v>
      </c>
      <c r="AN528" s="51" t="s">
        <v>67</v>
      </c>
      <c r="AO528" s="50" t="s">
        <v>9554</v>
      </c>
    </row>
    <row r="529" spans="1:41" hidden="1" x14ac:dyDescent="0.25">
      <c r="A529" s="51" t="s">
        <v>3570</v>
      </c>
      <c r="B529" s="51" t="s">
        <v>3571</v>
      </c>
      <c r="C529" s="54" t="s">
        <v>5602</v>
      </c>
      <c r="D529" s="51" t="s">
        <v>3572</v>
      </c>
      <c r="E529" s="20">
        <v>6400.99</v>
      </c>
      <c r="F529" s="20">
        <v>4748.9799999999996</v>
      </c>
      <c r="G529" s="20">
        <v>14784.84</v>
      </c>
      <c r="H529" s="20">
        <v>3870.86</v>
      </c>
      <c r="I529" s="20">
        <v>4748.97</v>
      </c>
      <c r="J529" s="51" t="s">
        <v>6727</v>
      </c>
      <c r="K529" s="15">
        <v>18</v>
      </c>
      <c r="L529" s="51" t="s">
        <v>2369</v>
      </c>
      <c r="M529" s="51" t="s">
        <v>3573</v>
      </c>
      <c r="N529" s="51" t="s">
        <v>1340</v>
      </c>
      <c r="O529" s="51" t="s">
        <v>67</v>
      </c>
      <c r="P529" s="51" t="s">
        <v>67</v>
      </c>
      <c r="Q529" s="45">
        <v>46281.545981099538</v>
      </c>
      <c r="R529" s="46">
        <v>46303</v>
      </c>
      <c r="S529" s="46">
        <v>46298</v>
      </c>
      <c r="T529" s="51" t="s">
        <v>6119</v>
      </c>
      <c r="U529" s="15">
        <v>848.05</v>
      </c>
      <c r="V529" s="15">
        <v>3921.84</v>
      </c>
      <c r="W529" s="15">
        <v>36.08</v>
      </c>
      <c r="X529" s="15">
        <v>14.9</v>
      </c>
      <c r="Y529" s="15">
        <v>1.662307</v>
      </c>
      <c r="Z529" s="15">
        <v>6</v>
      </c>
      <c r="AA529" s="46">
        <v>46273</v>
      </c>
      <c r="AB529" s="15"/>
      <c r="AC529" s="15"/>
      <c r="AD529" s="15"/>
      <c r="AE529" s="15"/>
      <c r="AF529" s="15"/>
      <c r="AG529" s="15"/>
      <c r="AH529" s="15"/>
      <c r="AI529" s="46"/>
      <c r="AJ529" s="51" t="s">
        <v>6121</v>
      </c>
      <c r="AK529" s="51" t="s">
        <v>6121</v>
      </c>
      <c r="AL529" s="15">
        <v>848.05</v>
      </c>
      <c r="AM529" s="51" t="s">
        <v>67</v>
      </c>
      <c r="AN529" s="51" t="s">
        <v>67</v>
      </c>
      <c r="AO529" s="50" t="s">
        <v>9554</v>
      </c>
    </row>
    <row r="530" spans="1:41" hidden="1" x14ac:dyDescent="0.25">
      <c r="A530" s="51" t="s">
        <v>3574</v>
      </c>
      <c r="B530" s="51" t="s">
        <v>3575</v>
      </c>
      <c r="C530" s="54" t="s">
        <v>5599</v>
      </c>
      <c r="D530" s="51" t="s">
        <v>2900</v>
      </c>
      <c r="E530" s="20">
        <v>5930.35</v>
      </c>
      <c r="F530" s="20">
        <v>5035.13</v>
      </c>
      <c r="G530" s="20">
        <v>14284.66</v>
      </c>
      <c r="H530" s="20">
        <v>3870.86</v>
      </c>
      <c r="I530" s="20">
        <v>5035.13</v>
      </c>
      <c r="J530" s="51" t="s">
        <v>6727</v>
      </c>
      <c r="K530" s="15">
        <v>19</v>
      </c>
      <c r="L530" s="51" t="s">
        <v>2369</v>
      </c>
      <c r="M530" s="51" t="s">
        <v>3576</v>
      </c>
      <c r="N530" s="51" t="s">
        <v>1340</v>
      </c>
      <c r="O530" s="51" t="s">
        <v>67</v>
      </c>
      <c r="P530" s="51" t="s">
        <v>67</v>
      </c>
      <c r="Q530" s="45">
        <v>46281.545983738426</v>
      </c>
      <c r="R530" s="46">
        <v>46302</v>
      </c>
      <c r="S530" s="46">
        <v>46297</v>
      </c>
      <c r="T530" s="51" t="s">
        <v>6119</v>
      </c>
      <c r="U530" s="15">
        <v>848.05</v>
      </c>
      <c r="V530" s="15">
        <v>3921.84</v>
      </c>
      <c r="W530" s="15">
        <v>36.08</v>
      </c>
      <c r="X530" s="15">
        <v>14.9</v>
      </c>
      <c r="Y530" s="15">
        <v>1.662307</v>
      </c>
      <c r="Z530" s="15">
        <v>6</v>
      </c>
      <c r="AA530" s="46">
        <v>46272</v>
      </c>
      <c r="AB530" s="15"/>
      <c r="AC530" s="15"/>
      <c r="AD530" s="15"/>
      <c r="AE530" s="15"/>
      <c r="AF530" s="15"/>
      <c r="AG530" s="15"/>
      <c r="AH530" s="15"/>
      <c r="AI530" s="46"/>
      <c r="AJ530" s="51" t="s">
        <v>6121</v>
      </c>
      <c r="AK530" s="51" t="s">
        <v>6121</v>
      </c>
      <c r="AL530" s="15">
        <v>848.05</v>
      </c>
      <c r="AM530" s="51" t="s">
        <v>67</v>
      </c>
      <c r="AN530" s="51" t="s">
        <v>67</v>
      </c>
      <c r="AO530" s="50" t="s">
        <v>9554</v>
      </c>
    </row>
    <row r="531" spans="1:41" hidden="1" x14ac:dyDescent="0.25">
      <c r="A531" s="51" t="s">
        <v>3577</v>
      </c>
      <c r="B531" s="51" t="s">
        <v>3578</v>
      </c>
      <c r="C531" s="54" t="s">
        <v>2358</v>
      </c>
      <c r="D531" s="51" t="s">
        <v>3579</v>
      </c>
      <c r="E531" s="20">
        <v>14233.42</v>
      </c>
      <c r="F531" s="20">
        <v>296.69</v>
      </c>
      <c r="G531" s="20">
        <v>11631.41</v>
      </c>
      <c r="H531" s="20">
        <v>0</v>
      </c>
      <c r="I531" s="20">
        <v>667.55</v>
      </c>
      <c r="J531" s="51" t="s">
        <v>2654</v>
      </c>
      <c r="K531" s="15">
        <v>0</v>
      </c>
      <c r="L531" s="51" t="s">
        <v>2371</v>
      </c>
      <c r="M531" s="51" t="s">
        <v>67</v>
      </c>
      <c r="N531" s="51" t="s">
        <v>67</v>
      </c>
      <c r="O531" s="51" t="s">
        <v>3580</v>
      </c>
      <c r="P531" s="51" t="s">
        <v>1340</v>
      </c>
      <c r="Q531" s="45">
        <v>46281.545987210651</v>
      </c>
      <c r="R531" s="46">
        <v>46309</v>
      </c>
      <c r="S531" s="46">
        <v>46304</v>
      </c>
      <c r="T531" s="51" t="s">
        <v>6119</v>
      </c>
      <c r="U531" s="15"/>
      <c r="V531" s="15"/>
      <c r="W531" s="15"/>
      <c r="X531" s="15"/>
      <c r="Y531" s="15"/>
      <c r="Z531" s="15"/>
      <c r="AA531" s="46"/>
      <c r="AB531" s="15"/>
      <c r="AC531" s="15"/>
      <c r="AD531" s="15"/>
      <c r="AE531" s="15"/>
      <c r="AF531" s="15"/>
      <c r="AG531" s="15"/>
      <c r="AH531" s="15"/>
      <c r="AI531" s="46"/>
      <c r="AJ531" s="51" t="s">
        <v>67</v>
      </c>
      <c r="AK531" s="51" t="s">
        <v>67</v>
      </c>
      <c r="AL531" s="15"/>
      <c r="AM531" s="51" t="s">
        <v>67</v>
      </c>
      <c r="AN531" s="51" t="s">
        <v>67</v>
      </c>
      <c r="AO531" s="50" t="s">
        <v>9554</v>
      </c>
    </row>
    <row r="532" spans="1:41" hidden="1" x14ac:dyDescent="0.25">
      <c r="A532" s="51" t="s">
        <v>3581</v>
      </c>
      <c r="B532" s="51" t="s">
        <v>3582</v>
      </c>
      <c r="C532" s="54" t="s">
        <v>5601</v>
      </c>
      <c r="D532" s="51" t="s">
        <v>3583</v>
      </c>
      <c r="E532" s="20">
        <v>4779.9399999999996</v>
      </c>
      <c r="F532" s="20">
        <v>9149.23</v>
      </c>
      <c r="G532" s="20">
        <v>4473.83</v>
      </c>
      <c r="H532" s="20">
        <v>3870.86</v>
      </c>
      <c r="I532" s="20">
        <v>6568.66</v>
      </c>
      <c r="J532" s="51" t="s">
        <v>6727</v>
      </c>
      <c r="K532" s="15">
        <v>36</v>
      </c>
      <c r="L532" s="51" t="s">
        <v>2369</v>
      </c>
      <c r="M532" s="51" t="s">
        <v>3584</v>
      </c>
      <c r="N532" s="51" t="s">
        <v>1340</v>
      </c>
      <c r="O532" s="51" t="s">
        <v>3585</v>
      </c>
      <c r="P532" s="51" t="s">
        <v>1340</v>
      </c>
      <c r="Q532" s="45">
        <v>46281.545989363425</v>
      </c>
      <c r="R532" s="46">
        <v>46316</v>
      </c>
      <c r="S532" s="46">
        <v>46311</v>
      </c>
      <c r="T532" s="51" t="s">
        <v>6119</v>
      </c>
      <c r="U532" s="15">
        <v>849.8</v>
      </c>
      <c r="V532" s="15">
        <v>3922.15</v>
      </c>
      <c r="W532" s="15">
        <v>36.39</v>
      </c>
      <c r="X532" s="15">
        <v>14.9</v>
      </c>
      <c r="Y532" s="15">
        <v>1.6620440000000001</v>
      </c>
      <c r="Z532" s="15">
        <v>6</v>
      </c>
      <c r="AA532" s="46">
        <v>46255</v>
      </c>
      <c r="AB532" s="15"/>
      <c r="AC532" s="15"/>
      <c r="AD532" s="15"/>
      <c r="AE532" s="15"/>
      <c r="AF532" s="15"/>
      <c r="AG532" s="15"/>
      <c r="AH532" s="15"/>
      <c r="AI532" s="46"/>
      <c r="AJ532" s="51" t="s">
        <v>6121</v>
      </c>
      <c r="AK532" s="51" t="s">
        <v>6121</v>
      </c>
      <c r="AL532" s="15">
        <v>849.8</v>
      </c>
      <c r="AM532" s="51" t="s">
        <v>67</v>
      </c>
      <c r="AN532" s="51" t="s">
        <v>67</v>
      </c>
      <c r="AO532" s="50" t="s">
        <v>9554</v>
      </c>
    </row>
    <row r="533" spans="1:41" hidden="1" x14ac:dyDescent="0.25">
      <c r="A533" s="51" t="s">
        <v>3586</v>
      </c>
      <c r="B533" s="51" t="s">
        <v>3587</v>
      </c>
      <c r="C533" s="54" t="s">
        <v>2693</v>
      </c>
      <c r="D533" s="51" t="s">
        <v>3588</v>
      </c>
      <c r="E533" s="20">
        <v>6155.01</v>
      </c>
      <c r="F533" s="20">
        <v>323.82</v>
      </c>
      <c r="G533" s="20">
        <v>7086.62</v>
      </c>
      <c r="H533" s="20">
        <v>0</v>
      </c>
      <c r="I533" s="20">
        <v>971.46</v>
      </c>
      <c r="J533" s="51" t="s">
        <v>2654</v>
      </c>
      <c r="K533" s="15">
        <v>0</v>
      </c>
      <c r="L533" s="51" t="s">
        <v>2371</v>
      </c>
      <c r="M533" s="51" t="s">
        <v>3589</v>
      </c>
      <c r="N533" s="51" t="s">
        <v>1340</v>
      </c>
      <c r="O533" s="51" t="s">
        <v>3590</v>
      </c>
      <c r="P533" s="51" t="s">
        <v>1340</v>
      </c>
      <c r="Q533" s="45">
        <v>46281.545992280095</v>
      </c>
      <c r="R533" s="46">
        <v>46314</v>
      </c>
      <c r="S533" s="46">
        <v>46309</v>
      </c>
      <c r="T533" s="51" t="s">
        <v>6119</v>
      </c>
      <c r="U533" s="15"/>
      <c r="V533" s="15"/>
      <c r="W533" s="15"/>
      <c r="X533" s="15"/>
      <c r="Y533" s="15"/>
      <c r="Z533" s="15"/>
      <c r="AA533" s="46"/>
      <c r="AB533" s="15"/>
      <c r="AC533" s="15"/>
      <c r="AD533" s="15"/>
      <c r="AE533" s="15"/>
      <c r="AF533" s="15"/>
      <c r="AG533" s="15"/>
      <c r="AH533" s="15"/>
      <c r="AI533" s="46"/>
      <c r="AJ533" s="51" t="s">
        <v>67</v>
      </c>
      <c r="AK533" s="51" t="s">
        <v>67</v>
      </c>
      <c r="AL533" s="15"/>
      <c r="AM533" s="51" t="s">
        <v>67</v>
      </c>
      <c r="AN533" s="51" t="s">
        <v>67</v>
      </c>
      <c r="AO533" s="50" t="s">
        <v>9554</v>
      </c>
    </row>
    <row r="534" spans="1:41" hidden="1" x14ac:dyDescent="0.25">
      <c r="A534" s="51" t="s">
        <v>3591</v>
      </c>
      <c r="B534" s="51" t="s">
        <v>3592</v>
      </c>
      <c r="C534" s="54" t="s">
        <v>5600</v>
      </c>
      <c r="D534" s="51" t="s">
        <v>3593</v>
      </c>
      <c r="E534" s="20">
        <v>14340.41</v>
      </c>
      <c r="F534" s="20">
        <v>4481.76</v>
      </c>
      <c r="G534" s="20">
        <v>11549.26</v>
      </c>
      <c r="H534" s="20">
        <v>3870.86</v>
      </c>
      <c r="I534" s="20">
        <v>4483.7</v>
      </c>
      <c r="J534" s="51" t="s">
        <v>6726</v>
      </c>
      <c r="K534" s="15">
        <v>17</v>
      </c>
      <c r="L534" s="51" t="s">
        <v>2369</v>
      </c>
      <c r="M534" s="51" t="s">
        <v>3594</v>
      </c>
      <c r="N534" s="51" t="s">
        <v>1340</v>
      </c>
      <c r="O534" s="51" t="s">
        <v>67</v>
      </c>
      <c r="P534" s="51" t="s">
        <v>67</v>
      </c>
      <c r="Q534" s="45">
        <v>46281.545994351851</v>
      </c>
      <c r="R534" s="46">
        <v>46304</v>
      </c>
      <c r="S534" s="46">
        <v>46299</v>
      </c>
      <c r="T534" s="51" t="s">
        <v>6119</v>
      </c>
      <c r="U534" s="15">
        <v>848.05</v>
      </c>
      <c r="V534" s="15">
        <v>3921.84</v>
      </c>
      <c r="W534" s="15">
        <v>36.08</v>
      </c>
      <c r="X534" s="15">
        <v>14.9</v>
      </c>
      <c r="Y534" s="15">
        <v>1.662307</v>
      </c>
      <c r="Z534" s="15">
        <v>6</v>
      </c>
      <c r="AA534" s="46">
        <v>46274</v>
      </c>
      <c r="AB534" s="15"/>
      <c r="AC534" s="15"/>
      <c r="AD534" s="15"/>
      <c r="AE534" s="15"/>
      <c r="AF534" s="15"/>
      <c r="AG534" s="15"/>
      <c r="AH534" s="15"/>
      <c r="AI534" s="46"/>
      <c r="AJ534" s="51" t="s">
        <v>6121</v>
      </c>
      <c r="AK534" s="51" t="s">
        <v>6121</v>
      </c>
      <c r="AL534" s="15">
        <v>848.05</v>
      </c>
      <c r="AM534" s="51" t="s">
        <v>67</v>
      </c>
      <c r="AN534" s="51" t="s">
        <v>67</v>
      </c>
      <c r="AO534" s="50" t="s">
        <v>9554</v>
      </c>
    </row>
    <row r="535" spans="1:41" hidden="1" x14ac:dyDescent="0.25">
      <c r="A535" s="51" t="s">
        <v>3595</v>
      </c>
      <c r="B535" s="51" t="s">
        <v>3596</v>
      </c>
      <c r="C535" s="54" t="s">
        <v>605</v>
      </c>
      <c r="D535" s="51" t="s">
        <v>3597</v>
      </c>
      <c r="E535" s="20">
        <v>13408.86</v>
      </c>
      <c r="F535" s="20">
        <v>4851.3100000000004</v>
      </c>
      <c r="G535" s="20">
        <v>12613.34</v>
      </c>
      <c r="H535" s="20">
        <v>3870.86</v>
      </c>
      <c r="I535" s="20">
        <v>4851.3100000000004</v>
      </c>
      <c r="J535" s="51" t="s">
        <v>6727</v>
      </c>
      <c r="K535" s="15">
        <v>16</v>
      </c>
      <c r="L535" s="51" t="s">
        <v>2369</v>
      </c>
      <c r="M535" s="51" t="s">
        <v>67</v>
      </c>
      <c r="N535" s="51" t="s">
        <v>67</v>
      </c>
      <c r="O535" s="51" t="s">
        <v>3598</v>
      </c>
      <c r="P535" s="51" t="s">
        <v>1340</v>
      </c>
      <c r="Q535" s="45">
        <v>46281.545996863424</v>
      </c>
      <c r="R535" s="46">
        <v>46305</v>
      </c>
      <c r="S535" s="46">
        <v>46300</v>
      </c>
      <c r="T535" s="51" t="s">
        <v>6119</v>
      </c>
      <c r="U535" s="15">
        <v>848.05</v>
      </c>
      <c r="V535" s="15">
        <v>3921.84</v>
      </c>
      <c r="W535" s="15">
        <v>36.08</v>
      </c>
      <c r="X535" s="15">
        <v>14.9</v>
      </c>
      <c r="Y535" s="15">
        <v>1.662307</v>
      </c>
      <c r="Z535" s="15">
        <v>6</v>
      </c>
      <c r="AA535" s="46">
        <v>46275</v>
      </c>
      <c r="AB535" s="15"/>
      <c r="AC535" s="15"/>
      <c r="AD535" s="15"/>
      <c r="AE535" s="15"/>
      <c r="AF535" s="15"/>
      <c r="AG535" s="15"/>
      <c r="AH535" s="15"/>
      <c r="AI535" s="46"/>
      <c r="AJ535" s="51" t="s">
        <v>6121</v>
      </c>
      <c r="AK535" s="51" t="s">
        <v>6121</v>
      </c>
      <c r="AL535" s="15">
        <v>848.05</v>
      </c>
      <c r="AM535" s="51" t="s">
        <v>67</v>
      </c>
      <c r="AN535" s="51" t="s">
        <v>67</v>
      </c>
      <c r="AO535" s="50" t="s">
        <v>9554</v>
      </c>
    </row>
    <row r="536" spans="1:41" hidden="1" x14ac:dyDescent="0.25">
      <c r="A536" s="51" t="s">
        <v>3599</v>
      </c>
      <c r="B536" s="51" t="s">
        <v>3600</v>
      </c>
      <c r="C536" s="54" t="s">
        <v>2356</v>
      </c>
      <c r="D536" s="51" t="s">
        <v>3601</v>
      </c>
      <c r="E536" s="20">
        <v>14414.44</v>
      </c>
      <c r="F536" s="20">
        <v>3913.71</v>
      </c>
      <c r="G536" s="20">
        <v>15611.1</v>
      </c>
      <c r="H536" s="20">
        <v>3870.86</v>
      </c>
      <c r="I536" s="20">
        <v>3913.71</v>
      </c>
      <c r="J536" s="51" t="s">
        <v>6725</v>
      </c>
      <c r="K536" s="15">
        <v>0</v>
      </c>
      <c r="L536" s="51" t="s">
        <v>2371</v>
      </c>
      <c r="M536" s="51" t="s">
        <v>67</v>
      </c>
      <c r="N536" s="51" t="s">
        <v>67</v>
      </c>
      <c r="O536" s="51" t="s">
        <v>3602</v>
      </c>
      <c r="P536" s="51" t="s">
        <v>1340</v>
      </c>
      <c r="Q536" s="45">
        <v>46281.545999305556</v>
      </c>
      <c r="R536" s="46">
        <v>46307</v>
      </c>
      <c r="S536" s="46">
        <v>46302</v>
      </c>
      <c r="T536" s="51" t="s">
        <v>6119</v>
      </c>
      <c r="U536" s="15">
        <v>848.05</v>
      </c>
      <c r="V536" s="15">
        <v>3921.84</v>
      </c>
      <c r="W536" s="15">
        <v>36.08</v>
      </c>
      <c r="X536" s="15">
        <v>14.9</v>
      </c>
      <c r="Y536" s="15">
        <v>1.662307</v>
      </c>
      <c r="Z536" s="15">
        <v>6</v>
      </c>
      <c r="AA536" s="46">
        <v>46277</v>
      </c>
      <c r="AB536" s="15"/>
      <c r="AC536" s="15"/>
      <c r="AD536" s="15"/>
      <c r="AE536" s="15"/>
      <c r="AF536" s="15"/>
      <c r="AG536" s="15"/>
      <c r="AH536" s="15"/>
      <c r="AI536" s="46"/>
      <c r="AJ536" s="51" t="s">
        <v>67</v>
      </c>
      <c r="AK536" s="51" t="s">
        <v>6121</v>
      </c>
      <c r="AL536" s="15">
        <v>848.05</v>
      </c>
      <c r="AM536" s="51" t="s">
        <v>67</v>
      </c>
      <c r="AN536" s="51" t="s">
        <v>67</v>
      </c>
      <c r="AO536" s="50" t="s">
        <v>9554</v>
      </c>
    </row>
    <row r="537" spans="1:41" hidden="1" x14ac:dyDescent="0.25">
      <c r="A537" s="51" t="s">
        <v>3603</v>
      </c>
      <c r="B537" s="51" t="s">
        <v>3604</v>
      </c>
      <c r="C537" s="54" t="s">
        <v>2358</v>
      </c>
      <c r="D537" s="51" t="s">
        <v>3605</v>
      </c>
      <c r="E537" s="20">
        <v>4081.02</v>
      </c>
      <c r="F537" s="20">
        <v>414.37</v>
      </c>
      <c r="G537" s="20">
        <v>2624.01</v>
      </c>
      <c r="H537" s="20">
        <v>0</v>
      </c>
      <c r="I537" s="20">
        <v>414.37</v>
      </c>
      <c r="J537" s="51" t="s">
        <v>2654</v>
      </c>
      <c r="K537" s="15">
        <v>0</v>
      </c>
      <c r="L537" s="51" t="s">
        <v>2371</v>
      </c>
      <c r="M537" s="51" t="s">
        <v>3606</v>
      </c>
      <c r="N537" s="51" t="s">
        <v>1344</v>
      </c>
      <c r="O537" s="51" t="s">
        <v>3607</v>
      </c>
      <c r="P537" s="51" t="s">
        <v>1344</v>
      </c>
      <c r="Q537" s="45">
        <v>46281.546001817129</v>
      </c>
      <c r="R537" s="46">
        <v>46309</v>
      </c>
      <c r="S537" s="46">
        <v>46304</v>
      </c>
      <c r="T537" s="51" t="s">
        <v>6119</v>
      </c>
      <c r="U537" s="15"/>
      <c r="V537" s="15"/>
      <c r="W537" s="15"/>
      <c r="X537" s="15"/>
      <c r="Y537" s="15"/>
      <c r="Z537" s="15"/>
      <c r="AA537" s="46"/>
      <c r="AB537" s="15"/>
      <c r="AC537" s="15"/>
      <c r="AD537" s="15"/>
      <c r="AE537" s="15"/>
      <c r="AF537" s="15"/>
      <c r="AG537" s="15"/>
      <c r="AH537" s="15"/>
      <c r="AI537" s="46"/>
      <c r="AJ537" s="51" t="s">
        <v>67</v>
      </c>
      <c r="AK537" s="51" t="s">
        <v>67</v>
      </c>
      <c r="AL537" s="15"/>
      <c r="AM537" s="51" t="s">
        <v>67</v>
      </c>
      <c r="AN537" s="51" t="s">
        <v>67</v>
      </c>
      <c r="AO537" s="50" t="s">
        <v>9554</v>
      </c>
    </row>
    <row r="538" spans="1:41" hidden="1" x14ac:dyDescent="0.25">
      <c r="A538" s="51" t="s">
        <v>3608</v>
      </c>
      <c r="B538" s="51" t="s">
        <v>3609</v>
      </c>
      <c r="C538" s="54" t="s">
        <v>2357</v>
      </c>
      <c r="D538" s="51" t="s">
        <v>3610</v>
      </c>
      <c r="E538" s="20">
        <v>9689.5400000000009</v>
      </c>
      <c r="F538" s="20">
        <v>4836.05</v>
      </c>
      <c r="G538" s="20">
        <v>7998.6</v>
      </c>
      <c r="H538" s="20">
        <v>3870.86</v>
      </c>
      <c r="I538" s="20">
        <v>4836.05</v>
      </c>
      <c r="J538" s="51" t="s">
        <v>6727</v>
      </c>
      <c r="K538" s="15">
        <v>13</v>
      </c>
      <c r="L538" s="51" t="s">
        <v>2369</v>
      </c>
      <c r="M538" s="51" t="s">
        <v>3611</v>
      </c>
      <c r="N538" s="51" t="s">
        <v>1344</v>
      </c>
      <c r="O538" s="51" t="s">
        <v>3612</v>
      </c>
      <c r="P538" s="51" t="s">
        <v>1344</v>
      </c>
      <c r="Q538" s="45">
        <v>46281.546004062497</v>
      </c>
      <c r="R538" s="46">
        <v>46308</v>
      </c>
      <c r="S538" s="46">
        <v>46303</v>
      </c>
      <c r="T538" s="51" t="s">
        <v>6119</v>
      </c>
      <c r="U538" s="15">
        <v>848.05</v>
      </c>
      <c r="V538" s="15">
        <v>3921.84</v>
      </c>
      <c r="W538" s="15">
        <v>36.08</v>
      </c>
      <c r="X538" s="15">
        <v>14.9</v>
      </c>
      <c r="Y538" s="15">
        <v>1.662307</v>
      </c>
      <c r="Z538" s="15">
        <v>6</v>
      </c>
      <c r="AA538" s="46">
        <v>46278</v>
      </c>
      <c r="AB538" s="15"/>
      <c r="AC538" s="15"/>
      <c r="AD538" s="15"/>
      <c r="AE538" s="15"/>
      <c r="AF538" s="15"/>
      <c r="AG538" s="15"/>
      <c r="AH538" s="15"/>
      <c r="AI538" s="46"/>
      <c r="AJ538" s="51" t="s">
        <v>6121</v>
      </c>
      <c r="AK538" s="51" t="s">
        <v>6121</v>
      </c>
      <c r="AL538" s="15">
        <v>848.05</v>
      </c>
      <c r="AM538" s="51" t="s">
        <v>67</v>
      </c>
      <c r="AN538" s="51" t="s">
        <v>67</v>
      </c>
      <c r="AO538" s="50" t="s">
        <v>9554</v>
      </c>
    </row>
    <row r="539" spans="1:41" hidden="1" x14ac:dyDescent="0.25">
      <c r="A539" s="51" t="s">
        <v>3613</v>
      </c>
      <c r="B539" s="51" t="s">
        <v>3614</v>
      </c>
      <c r="C539" s="54" t="s">
        <v>5603</v>
      </c>
      <c r="D539" s="51" t="s">
        <v>3615</v>
      </c>
      <c r="E539" s="20">
        <v>296.51</v>
      </c>
      <c r="F539" s="20">
        <v>2567.84</v>
      </c>
      <c r="G539" s="20">
        <v>39.01</v>
      </c>
      <c r="H539" s="20">
        <v>3870.86</v>
      </c>
      <c r="I539" s="20">
        <v>2567.84</v>
      </c>
      <c r="J539" s="51" t="s">
        <v>6726</v>
      </c>
      <c r="K539" s="15">
        <v>0</v>
      </c>
      <c r="L539" s="51" t="s">
        <v>2371</v>
      </c>
      <c r="M539" s="51" t="s">
        <v>3616</v>
      </c>
      <c r="N539" s="51" t="s">
        <v>1340</v>
      </c>
      <c r="O539" s="51" t="s">
        <v>67</v>
      </c>
      <c r="P539" s="51" t="s">
        <v>67</v>
      </c>
      <c r="Q539" s="45">
        <v>46281.546006655095</v>
      </c>
      <c r="R539" s="46">
        <v>46298</v>
      </c>
      <c r="S539" s="46">
        <v>46293</v>
      </c>
      <c r="T539" s="51" t="s">
        <v>6119</v>
      </c>
      <c r="U539" s="15">
        <v>848.05</v>
      </c>
      <c r="V539" s="15">
        <v>3921.84</v>
      </c>
      <c r="W539" s="15">
        <v>36.08</v>
      </c>
      <c r="X539" s="15">
        <v>14.9</v>
      </c>
      <c r="Y539" s="15">
        <v>1.662307</v>
      </c>
      <c r="Z539" s="15">
        <v>6</v>
      </c>
      <c r="AA539" s="46">
        <v>46268</v>
      </c>
      <c r="AB539" s="15"/>
      <c r="AC539" s="15"/>
      <c r="AD539" s="15"/>
      <c r="AE539" s="15"/>
      <c r="AF539" s="15"/>
      <c r="AG539" s="15"/>
      <c r="AH539" s="15"/>
      <c r="AI539" s="46"/>
      <c r="AJ539" s="51" t="s">
        <v>67</v>
      </c>
      <c r="AK539" s="51" t="s">
        <v>6121</v>
      </c>
      <c r="AL539" s="15">
        <v>848.05</v>
      </c>
      <c r="AM539" s="51" t="s">
        <v>6705</v>
      </c>
      <c r="AN539" s="51" t="s">
        <v>6713</v>
      </c>
      <c r="AO539" s="50" t="s">
        <v>9554</v>
      </c>
    </row>
    <row r="540" spans="1:41" hidden="1" x14ac:dyDescent="0.25">
      <c r="A540" s="51" t="s">
        <v>3617</v>
      </c>
      <c r="B540" s="51" t="s">
        <v>3618</v>
      </c>
      <c r="C540" s="54" t="s">
        <v>2689</v>
      </c>
      <c r="D540" s="51" t="s">
        <v>3619</v>
      </c>
      <c r="E540" s="20">
        <v>4708.53</v>
      </c>
      <c r="F540" s="20">
        <v>0</v>
      </c>
      <c r="G540" s="20">
        <v>18642.2</v>
      </c>
      <c r="H540" s="20">
        <v>0</v>
      </c>
      <c r="I540" s="20">
        <v>680.6</v>
      </c>
      <c r="J540" s="51" t="s">
        <v>2654</v>
      </c>
      <c r="K540" s="15">
        <v>0</v>
      </c>
      <c r="L540" s="51" t="s">
        <v>2371</v>
      </c>
      <c r="M540" s="51" t="s">
        <v>3620</v>
      </c>
      <c r="N540" s="51" t="s">
        <v>1340</v>
      </c>
      <c r="O540" s="51" t="s">
        <v>3621</v>
      </c>
      <c r="P540" s="51" t="s">
        <v>1340</v>
      </c>
      <c r="Q540" s="45">
        <v>46281.546009097219</v>
      </c>
      <c r="R540" s="46">
        <v>46317</v>
      </c>
      <c r="S540" s="46">
        <v>46312</v>
      </c>
      <c r="T540" s="51" t="s">
        <v>6119</v>
      </c>
      <c r="U540" s="15"/>
      <c r="V540" s="15"/>
      <c r="W540" s="15"/>
      <c r="X540" s="15"/>
      <c r="Y540" s="15"/>
      <c r="Z540" s="15"/>
      <c r="AA540" s="46"/>
      <c r="AB540" s="15"/>
      <c r="AC540" s="15"/>
      <c r="AD540" s="15"/>
      <c r="AE540" s="15"/>
      <c r="AF540" s="15"/>
      <c r="AG540" s="15"/>
      <c r="AH540" s="15"/>
      <c r="AI540" s="46"/>
      <c r="AJ540" s="51" t="s">
        <v>67</v>
      </c>
      <c r="AK540" s="51" t="s">
        <v>67</v>
      </c>
      <c r="AL540" s="15"/>
      <c r="AM540" s="51" t="s">
        <v>67</v>
      </c>
      <c r="AN540" s="51" t="s">
        <v>67</v>
      </c>
      <c r="AO540" s="50" t="s">
        <v>9554</v>
      </c>
    </row>
    <row r="541" spans="1:41" hidden="1" x14ac:dyDescent="0.25">
      <c r="A541" s="51" t="s">
        <v>3622</v>
      </c>
      <c r="B541" s="51" t="s">
        <v>3623</v>
      </c>
      <c r="C541" s="54" t="s">
        <v>5600</v>
      </c>
      <c r="D541" s="51" t="s">
        <v>3624</v>
      </c>
      <c r="E541" s="20">
        <v>4419.58</v>
      </c>
      <c r="F541" s="20">
        <v>4975.6000000000004</v>
      </c>
      <c r="G541" s="20">
        <v>3302.17</v>
      </c>
      <c r="H541" s="20">
        <v>3870.86</v>
      </c>
      <c r="I541" s="20">
        <v>4975.6000000000004</v>
      </c>
      <c r="J541" s="51" t="s">
        <v>6727</v>
      </c>
      <c r="K541" s="15">
        <v>17</v>
      </c>
      <c r="L541" s="51" t="s">
        <v>2369</v>
      </c>
      <c r="M541" s="51" t="s">
        <v>3625</v>
      </c>
      <c r="N541" s="51" t="s">
        <v>1340</v>
      </c>
      <c r="O541" s="51" t="s">
        <v>3626</v>
      </c>
      <c r="P541" s="51" t="s">
        <v>1340</v>
      </c>
      <c r="Q541" s="45">
        <v>46281.546011238424</v>
      </c>
      <c r="R541" s="46">
        <v>46304</v>
      </c>
      <c r="S541" s="46">
        <v>46299</v>
      </c>
      <c r="T541" s="51" t="s">
        <v>6119</v>
      </c>
      <c r="U541" s="15">
        <v>848.05</v>
      </c>
      <c r="V541" s="15">
        <v>3921.84</v>
      </c>
      <c r="W541" s="15">
        <v>36.08</v>
      </c>
      <c r="X541" s="15">
        <v>14.9</v>
      </c>
      <c r="Y541" s="15">
        <v>1.662307</v>
      </c>
      <c r="Z541" s="15">
        <v>6</v>
      </c>
      <c r="AA541" s="46">
        <v>46274</v>
      </c>
      <c r="AB541" s="15"/>
      <c r="AC541" s="15"/>
      <c r="AD541" s="15"/>
      <c r="AE541" s="15"/>
      <c r="AF541" s="15"/>
      <c r="AG541" s="15"/>
      <c r="AH541" s="15"/>
      <c r="AI541" s="46"/>
      <c r="AJ541" s="51" t="s">
        <v>6121</v>
      </c>
      <c r="AK541" s="51" t="s">
        <v>6121</v>
      </c>
      <c r="AL541" s="15">
        <v>848.05</v>
      </c>
      <c r="AM541" s="51" t="s">
        <v>67</v>
      </c>
      <c r="AN541" s="51" t="s">
        <v>67</v>
      </c>
      <c r="AO541" s="50" t="s">
        <v>9554</v>
      </c>
    </row>
    <row r="542" spans="1:41" hidden="1" x14ac:dyDescent="0.25">
      <c r="A542" s="51" t="s">
        <v>3627</v>
      </c>
      <c r="B542" s="51" t="s">
        <v>3628</v>
      </c>
      <c r="C542" s="54" t="s">
        <v>2694</v>
      </c>
      <c r="D542" s="51" t="s">
        <v>3629</v>
      </c>
      <c r="E542" s="20">
        <v>10203.32</v>
      </c>
      <c r="F542" s="20">
        <v>4216.12</v>
      </c>
      <c r="G542" s="20">
        <v>448.76</v>
      </c>
      <c r="H542" s="20">
        <v>3870.86</v>
      </c>
      <c r="I542" s="20">
        <v>3865.86</v>
      </c>
      <c r="J542" s="51" t="s">
        <v>6726</v>
      </c>
      <c r="K542" s="15">
        <v>9</v>
      </c>
      <c r="L542" s="51" t="s">
        <v>2369</v>
      </c>
      <c r="M542" s="51" t="s">
        <v>3630</v>
      </c>
      <c r="N542" s="51" t="s">
        <v>1340</v>
      </c>
      <c r="O542" s="51" t="s">
        <v>3631</v>
      </c>
      <c r="P542" s="51" t="s">
        <v>1340</v>
      </c>
      <c r="Q542" s="45">
        <v>46281.546013761574</v>
      </c>
      <c r="R542" s="46">
        <v>46312</v>
      </c>
      <c r="S542" s="46">
        <v>46307</v>
      </c>
      <c r="T542" s="51" t="s">
        <v>6119</v>
      </c>
      <c r="U542" s="15">
        <v>848.05</v>
      </c>
      <c r="V542" s="15">
        <v>3921.84</v>
      </c>
      <c r="W542" s="15">
        <v>36.08</v>
      </c>
      <c r="X542" s="15">
        <v>14.9</v>
      </c>
      <c r="Y542" s="15">
        <v>1.662307</v>
      </c>
      <c r="Z542" s="15">
        <v>6</v>
      </c>
      <c r="AA542" s="46">
        <v>46282</v>
      </c>
      <c r="AB542" s="15"/>
      <c r="AC542" s="15"/>
      <c r="AD542" s="15"/>
      <c r="AE542" s="15"/>
      <c r="AF542" s="15"/>
      <c r="AG542" s="15"/>
      <c r="AH542" s="15"/>
      <c r="AI542" s="46"/>
      <c r="AJ542" s="51" t="s">
        <v>6121</v>
      </c>
      <c r="AK542" s="51" t="s">
        <v>6121</v>
      </c>
      <c r="AL542" s="15">
        <v>848.05</v>
      </c>
      <c r="AM542" s="51" t="s">
        <v>67</v>
      </c>
      <c r="AN542" s="51" t="s">
        <v>67</v>
      </c>
      <c r="AO542" s="50" t="s">
        <v>9554</v>
      </c>
    </row>
    <row r="543" spans="1:41" hidden="1" x14ac:dyDescent="0.25">
      <c r="A543" s="51" t="s">
        <v>3632</v>
      </c>
      <c r="B543" s="51" t="s">
        <v>3633</v>
      </c>
      <c r="C543" s="54" t="s">
        <v>2690</v>
      </c>
      <c r="D543" s="51" t="s">
        <v>3634</v>
      </c>
      <c r="E543" s="20">
        <v>1496.2</v>
      </c>
      <c r="F543" s="20">
        <v>8400.61</v>
      </c>
      <c r="G543" s="20">
        <v>7426.77</v>
      </c>
      <c r="H543" s="20">
        <v>7664.56</v>
      </c>
      <c r="I543" s="20">
        <v>8400.61</v>
      </c>
      <c r="J543" s="51" t="s">
        <v>6727</v>
      </c>
      <c r="K543" s="15">
        <v>30</v>
      </c>
      <c r="L543" s="51" t="s">
        <v>2369</v>
      </c>
      <c r="M543" s="51" t="s">
        <v>3635</v>
      </c>
      <c r="N543" s="51" t="s">
        <v>1340</v>
      </c>
      <c r="O543" s="51" t="s">
        <v>67</v>
      </c>
      <c r="P543" s="51" t="s">
        <v>67</v>
      </c>
      <c r="Q543" s="45">
        <v>46281.546016643515</v>
      </c>
      <c r="R543" s="46">
        <v>46322</v>
      </c>
      <c r="S543" s="46">
        <v>46317</v>
      </c>
      <c r="T543" s="51" t="s">
        <v>6119</v>
      </c>
      <c r="U543" s="15">
        <v>849.8</v>
      </c>
      <c r="V543" s="15">
        <v>3922.15</v>
      </c>
      <c r="W543" s="15">
        <v>36.39</v>
      </c>
      <c r="X543" s="15">
        <v>14.9</v>
      </c>
      <c r="Y543" s="15">
        <v>1.6620440000000001</v>
      </c>
      <c r="Z543" s="15">
        <v>6</v>
      </c>
      <c r="AA543" s="46">
        <v>46261</v>
      </c>
      <c r="AB543" s="15"/>
      <c r="AC543" s="15"/>
      <c r="AD543" s="15"/>
      <c r="AE543" s="15"/>
      <c r="AF543" s="15"/>
      <c r="AG543" s="15"/>
      <c r="AH543" s="15"/>
      <c r="AI543" s="46"/>
      <c r="AJ543" s="51" t="s">
        <v>6121</v>
      </c>
      <c r="AK543" s="51" t="s">
        <v>6121</v>
      </c>
      <c r="AL543" s="15">
        <v>849.8</v>
      </c>
      <c r="AM543" s="51" t="s">
        <v>67</v>
      </c>
      <c r="AN543" s="51" t="s">
        <v>67</v>
      </c>
      <c r="AO543" s="50" t="s">
        <v>9554</v>
      </c>
    </row>
    <row r="544" spans="1:41" hidden="1" x14ac:dyDescent="0.25">
      <c r="A544" s="51" t="s">
        <v>3636</v>
      </c>
      <c r="B544" s="51" t="s">
        <v>3637</v>
      </c>
      <c r="C544" s="54" t="s">
        <v>2689</v>
      </c>
      <c r="D544" s="51" t="s">
        <v>3638</v>
      </c>
      <c r="E544" s="20">
        <v>2293.02</v>
      </c>
      <c r="F544" s="20">
        <v>0</v>
      </c>
      <c r="G544" s="20">
        <v>18419.77</v>
      </c>
      <c r="H544" s="20">
        <v>0</v>
      </c>
      <c r="I544" s="20">
        <v>406.84</v>
      </c>
      <c r="J544" s="51" t="s">
        <v>2654</v>
      </c>
      <c r="K544" s="15">
        <v>0</v>
      </c>
      <c r="L544" s="51" t="s">
        <v>2371</v>
      </c>
      <c r="M544" s="51" t="s">
        <v>3639</v>
      </c>
      <c r="N544" s="51" t="s">
        <v>1340</v>
      </c>
      <c r="O544" s="51" t="s">
        <v>67</v>
      </c>
      <c r="P544" s="51" t="s">
        <v>67</v>
      </c>
      <c r="Q544" s="45">
        <v>46281.546019259258</v>
      </c>
      <c r="R544" s="46">
        <v>46317</v>
      </c>
      <c r="S544" s="46">
        <v>46312</v>
      </c>
      <c r="T544" s="51" t="s">
        <v>6119</v>
      </c>
      <c r="U544" s="15"/>
      <c r="V544" s="15"/>
      <c r="W544" s="15"/>
      <c r="X544" s="15"/>
      <c r="Y544" s="15"/>
      <c r="Z544" s="15"/>
      <c r="AA544" s="46"/>
      <c r="AB544" s="15"/>
      <c r="AC544" s="15"/>
      <c r="AD544" s="15"/>
      <c r="AE544" s="15"/>
      <c r="AF544" s="15"/>
      <c r="AG544" s="15"/>
      <c r="AH544" s="15"/>
      <c r="AI544" s="46"/>
      <c r="AJ544" s="51" t="s">
        <v>67</v>
      </c>
      <c r="AK544" s="51" t="s">
        <v>67</v>
      </c>
      <c r="AL544" s="15"/>
      <c r="AM544" s="51" t="s">
        <v>67</v>
      </c>
      <c r="AN544" s="51" t="s">
        <v>67</v>
      </c>
      <c r="AO544" s="50" t="s">
        <v>9554</v>
      </c>
    </row>
    <row r="545" spans="1:41" hidden="1" x14ac:dyDescent="0.25">
      <c r="A545" s="51" t="s">
        <v>3640</v>
      </c>
      <c r="B545" s="51" t="s">
        <v>3641</v>
      </c>
      <c r="C545" s="54" t="s">
        <v>5596</v>
      </c>
      <c r="D545" s="51" t="s">
        <v>3642</v>
      </c>
      <c r="E545" s="20">
        <v>9997.48</v>
      </c>
      <c r="F545" s="20">
        <v>5015.5</v>
      </c>
      <c r="G545" s="20">
        <v>5247.32</v>
      </c>
      <c r="H545" s="20">
        <v>3870.86</v>
      </c>
      <c r="I545" s="20">
        <v>5015.5</v>
      </c>
      <c r="J545" s="51" t="s">
        <v>6727</v>
      </c>
      <c r="K545" s="15">
        <v>21</v>
      </c>
      <c r="L545" s="51" t="s">
        <v>2369</v>
      </c>
      <c r="M545" s="51" t="s">
        <v>3643</v>
      </c>
      <c r="N545" s="51" t="s">
        <v>1340</v>
      </c>
      <c r="O545" s="51" t="s">
        <v>3644</v>
      </c>
      <c r="P545" s="51" t="s">
        <v>1340</v>
      </c>
      <c r="Q545" s="45">
        <v>46281.546021412039</v>
      </c>
      <c r="R545" s="46">
        <v>46300</v>
      </c>
      <c r="S545" s="46">
        <v>46295</v>
      </c>
      <c r="T545" s="51" t="s">
        <v>6119</v>
      </c>
      <c r="U545" s="15">
        <v>848.05</v>
      </c>
      <c r="V545" s="15">
        <v>3921.84</v>
      </c>
      <c r="W545" s="15">
        <v>36.08</v>
      </c>
      <c r="X545" s="15">
        <v>14.9</v>
      </c>
      <c r="Y545" s="15">
        <v>1.662307</v>
      </c>
      <c r="Z545" s="15">
        <v>6</v>
      </c>
      <c r="AA545" s="46">
        <v>46270</v>
      </c>
      <c r="AB545" s="15"/>
      <c r="AC545" s="15"/>
      <c r="AD545" s="15"/>
      <c r="AE545" s="15"/>
      <c r="AF545" s="15"/>
      <c r="AG545" s="15"/>
      <c r="AH545" s="15"/>
      <c r="AI545" s="46"/>
      <c r="AJ545" s="51" t="s">
        <v>6121</v>
      </c>
      <c r="AK545" s="51" t="s">
        <v>6121</v>
      </c>
      <c r="AL545" s="15">
        <v>848.05</v>
      </c>
      <c r="AM545" s="51" t="s">
        <v>67</v>
      </c>
      <c r="AN545" s="51" t="s">
        <v>67</v>
      </c>
      <c r="AO545" s="50" t="s">
        <v>9554</v>
      </c>
    </row>
    <row r="546" spans="1:41" hidden="1" x14ac:dyDescent="0.25">
      <c r="A546" s="51" t="s">
        <v>3645</v>
      </c>
      <c r="B546" s="51" t="s">
        <v>3646</v>
      </c>
      <c r="C546" s="54" t="s">
        <v>607</v>
      </c>
      <c r="D546" s="51" t="s">
        <v>3647</v>
      </c>
      <c r="E546" s="20">
        <v>4248.6099999999997</v>
      </c>
      <c r="F546" s="20">
        <v>4886.79</v>
      </c>
      <c r="G546" s="20">
        <v>7460.18</v>
      </c>
      <c r="H546" s="20">
        <v>3870.86</v>
      </c>
      <c r="I546" s="20">
        <v>4733.97</v>
      </c>
      <c r="J546" s="51" t="s">
        <v>6727</v>
      </c>
      <c r="K546" s="15">
        <v>11</v>
      </c>
      <c r="L546" s="51" t="s">
        <v>2369</v>
      </c>
      <c r="M546" s="51" t="s">
        <v>3648</v>
      </c>
      <c r="N546" s="51" t="s">
        <v>1344</v>
      </c>
      <c r="O546" s="51" t="s">
        <v>67</v>
      </c>
      <c r="P546" s="51" t="s">
        <v>67</v>
      </c>
      <c r="Q546" s="45">
        <v>46281.54602386574</v>
      </c>
      <c r="R546" s="46">
        <v>46310</v>
      </c>
      <c r="S546" s="46">
        <v>46305</v>
      </c>
      <c r="T546" s="51" t="s">
        <v>6119</v>
      </c>
      <c r="U546" s="15">
        <v>848.05</v>
      </c>
      <c r="V546" s="15">
        <v>3921.84</v>
      </c>
      <c r="W546" s="15">
        <v>36.08</v>
      </c>
      <c r="X546" s="15">
        <v>14.9</v>
      </c>
      <c r="Y546" s="15">
        <v>1.662307</v>
      </c>
      <c r="Z546" s="15">
        <v>6</v>
      </c>
      <c r="AA546" s="46">
        <v>46280</v>
      </c>
      <c r="AB546" s="15"/>
      <c r="AC546" s="15"/>
      <c r="AD546" s="15"/>
      <c r="AE546" s="15"/>
      <c r="AF546" s="15"/>
      <c r="AG546" s="15"/>
      <c r="AH546" s="15"/>
      <c r="AI546" s="46"/>
      <c r="AJ546" s="51" t="s">
        <v>6121</v>
      </c>
      <c r="AK546" s="51" t="s">
        <v>6121</v>
      </c>
      <c r="AL546" s="15">
        <v>848.05</v>
      </c>
      <c r="AM546" s="51" t="s">
        <v>67</v>
      </c>
      <c r="AN546" s="51" t="s">
        <v>67</v>
      </c>
      <c r="AO546" s="50" t="s">
        <v>9554</v>
      </c>
    </row>
    <row r="547" spans="1:41" hidden="1" x14ac:dyDescent="0.25">
      <c r="A547" s="51" t="s">
        <v>3649</v>
      </c>
      <c r="B547" s="51" t="s">
        <v>3650</v>
      </c>
      <c r="C547" s="54" t="s">
        <v>5604</v>
      </c>
      <c r="D547" s="51" t="s">
        <v>3651</v>
      </c>
      <c r="E547" s="20">
        <v>13768.08</v>
      </c>
      <c r="F547" s="20">
        <v>9230.33</v>
      </c>
      <c r="G547" s="20">
        <v>4396.1099999999997</v>
      </c>
      <c r="H547" s="20">
        <v>3870.86</v>
      </c>
      <c r="I547" s="20">
        <v>7079.85</v>
      </c>
      <c r="J547" s="51" t="s">
        <v>6727</v>
      </c>
      <c r="K547" s="15">
        <v>39</v>
      </c>
      <c r="L547" s="51" t="s">
        <v>2369</v>
      </c>
      <c r="M547" s="51" t="s">
        <v>3652</v>
      </c>
      <c r="N547" s="51" t="s">
        <v>1344</v>
      </c>
      <c r="O547" s="51" t="s">
        <v>3653</v>
      </c>
      <c r="P547" s="51" t="s">
        <v>1344</v>
      </c>
      <c r="Q547" s="45">
        <v>46281.546026412034</v>
      </c>
      <c r="R547" s="46">
        <v>46313</v>
      </c>
      <c r="S547" s="46">
        <v>46308</v>
      </c>
      <c r="T547" s="51" t="s">
        <v>6119</v>
      </c>
      <c r="U547" s="15">
        <v>849.8</v>
      </c>
      <c r="V547" s="15">
        <v>3922.15</v>
      </c>
      <c r="W547" s="15">
        <v>36.39</v>
      </c>
      <c r="X547" s="15">
        <v>14.9</v>
      </c>
      <c r="Y547" s="15">
        <v>1.6620440000000001</v>
      </c>
      <c r="Z547" s="15">
        <v>6</v>
      </c>
      <c r="AA547" s="46">
        <v>46252</v>
      </c>
      <c r="AB547" s="15">
        <v>212.9</v>
      </c>
      <c r="AC547" s="15">
        <v>387.09</v>
      </c>
      <c r="AD547" s="15">
        <v>38.71</v>
      </c>
      <c r="AE547" s="15">
        <v>582.26</v>
      </c>
      <c r="AF547" s="15">
        <v>3729.62</v>
      </c>
      <c r="AG547" s="15">
        <v>57.49</v>
      </c>
      <c r="AH547" s="15">
        <v>1.5861069999999999</v>
      </c>
      <c r="AI547" s="46">
        <v>46283</v>
      </c>
      <c r="AJ547" s="51" t="s">
        <v>6121</v>
      </c>
      <c r="AK547" s="51" t="s">
        <v>6121</v>
      </c>
      <c r="AL547" s="15">
        <v>849.8</v>
      </c>
      <c r="AM547" s="51" t="s">
        <v>67</v>
      </c>
      <c r="AN547" s="51" t="s">
        <v>67</v>
      </c>
      <c r="AO547" s="50" t="s">
        <v>9554</v>
      </c>
    </row>
    <row r="548" spans="1:41" hidden="1" x14ac:dyDescent="0.25">
      <c r="A548" s="51" t="s">
        <v>3654</v>
      </c>
      <c r="B548" s="51" t="s">
        <v>3655</v>
      </c>
      <c r="C548" s="54" t="s">
        <v>5596</v>
      </c>
      <c r="D548" s="51" t="s">
        <v>3656</v>
      </c>
      <c r="E548" s="20">
        <v>1879.52</v>
      </c>
      <c r="F548" s="20">
        <v>5040.8100000000004</v>
      </c>
      <c r="G548" s="20">
        <v>12339.49</v>
      </c>
      <c r="H548" s="20">
        <v>3870.86</v>
      </c>
      <c r="I548" s="20">
        <v>5040.8100000000004</v>
      </c>
      <c r="J548" s="51" t="s">
        <v>6727</v>
      </c>
      <c r="K548" s="15">
        <v>21</v>
      </c>
      <c r="L548" s="51" t="s">
        <v>2369</v>
      </c>
      <c r="M548" s="51" t="s">
        <v>3657</v>
      </c>
      <c r="N548" s="51" t="s">
        <v>1340</v>
      </c>
      <c r="O548" s="51" t="s">
        <v>67</v>
      </c>
      <c r="P548" s="51" t="s">
        <v>67</v>
      </c>
      <c r="Q548" s="45">
        <v>46281.546029849538</v>
      </c>
      <c r="R548" s="46">
        <v>46300</v>
      </c>
      <c r="S548" s="46">
        <v>46295</v>
      </c>
      <c r="T548" s="51" t="s">
        <v>6119</v>
      </c>
      <c r="U548" s="15">
        <v>848.05</v>
      </c>
      <c r="V548" s="15">
        <v>3921.84</v>
      </c>
      <c r="W548" s="15">
        <v>36.08</v>
      </c>
      <c r="X548" s="15">
        <v>14.9</v>
      </c>
      <c r="Y548" s="15">
        <v>1.662307</v>
      </c>
      <c r="Z548" s="15">
        <v>6</v>
      </c>
      <c r="AA548" s="46">
        <v>46270</v>
      </c>
      <c r="AB548" s="15"/>
      <c r="AC548" s="15"/>
      <c r="AD548" s="15"/>
      <c r="AE548" s="15"/>
      <c r="AF548" s="15"/>
      <c r="AG548" s="15"/>
      <c r="AH548" s="15"/>
      <c r="AI548" s="46"/>
      <c r="AJ548" s="51" t="s">
        <v>6121</v>
      </c>
      <c r="AK548" s="51" t="s">
        <v>6121</v>
      </c>
      <c r="AL548" s="15">
        <v>848.05</v>
      </c>
      <c r="AM548" s="51" t="s">
        <v>67</v>
      </c>
      <c r="AN548" s="51" t="s">
        <v>67</v>
      </c>
      <c r="AO548" s="50" t="s">
        <v>9554</v>
      </c>
    </row>
    <row r="549" spans="1:41" hidden="1" x14ac:dyDescent="0.25">
      <c r="A549" s="51" t="s">
        <v>3658</v>
      </c>
      <c r="B549" s="51" t="s">
        <v>3659</v>
      </c>
      <c r="C549" s="54" t="s">
        <v>2692</v>
      </c>
      <c r="D549" s="51" t="s">
        <v>3660</v>
      </c>
      <c r="E549" s="20">
        <v>9022.32</v>
      </c>
      <c r="F549" s="20">
        <v>847.91</v>
      </c>
      <c r="G549" s="20">
        <v>5776.77</v>
      </c>
      <c r="H549" s="20">
        <v>0</v>
      </c>
      <c r="I549" s="20">
        <v>847.91</v>
      </c>
      <c r="J549" s="51" t="s">
        <v>2654</v>
      </c>
      <c r="K549" s="15">
        <v>0</v>
      </c>
      <c r="L549" s="51" t="s">
        <v>2371</v>
      </c>
      <c r="M549" s="51" t="s">
        <v>3661</v>
      </c>
      <c r="N549" s="51" t="s">
        <v>1340</v>
      </c>
      <c r="O549" s="51" t="s">
        <v>67</v>
      </c>
      <c r="P549" s="51" t="s">
        <v>67</v>
      </c>
      <c r="Q549" s="45">
        <v>46281.546032546299</v>
      </c>
      <c r="R549" s="46">
        <v>46296</v>
      </c>
      <c r="S549" s="46">
        <v>46291</v>
      </c>
      <c r="T549" s="51" t="s">
        <v>6119</v>
      </c>
      <c r="U549" s="15"/>
      <c r="V549" s="15"/>
      <c r="W549" s="15"/>
      <c r="X549" s="15"/>
      <c r="Y549" s="15"/>
      <c r="Z549" s="15"/>
      <c r="AA549" s="46"/>
      <c r="AB549" s="15"/>
      <c r="AC549" s="15"/>
      <c r="AD549" s="15"/>
      <c r="AE549" s="15"/>
      <c r="AF549" s="15"/>
      <c r="AG549" s="15"/>
      <c r="AH549" s="15"/>
      <c r="AI549" s="46"/>
      <c r="AJ549" s="51" t="s">
        <v>67</v>
      </c>
      <c r="AK549" s="51" t="s">
        <v>67</v>
      </c>
      <c r="AL549" s="15"/>
      <c r="AM549" s="51" t="s">
        <v>67</v>
      </c>
      <c r="AN549" s="51" t="s">
        <v>67</v>
      </c>
      <c r="AO549" s="50" t="s">
        <v>9554</v>
      </c>
    </row>
    <row r="550" spans="1:41" hidden="1" x14ac:dyDescent="0.25">
      <c r="A550" s="51" t="s">
        <v>3662</v>
      </c>
      <c r="B550" s="51" t="s">
        <v>3663</v>
      </c>
      <c r="C550" s="54" t="s">
        <v>5605</v>
      </c>
      <c r="D550" s="51" t="s">
        <v>3664</v>
      </c>
      <c r="E550" s="20">
        <v>1995.94</v>
      </c>
      <c r="F550" s="20">
        <v>933.2</v>
      </c>
      <c r="G550" s="20">
        <v>20998.81</v>
      </c>
      <c r="H550" s="20">
        <v>933.2</v>
      </c>
      <c r="I550" s="20">
        <v>933.2</v>
      </c>
      <c r="J550" s="51" t="s">
        <v>6727</v>
      </c>
      <c r="K550" s="15">
        <v>0</v>
      </c>
      <c r="L550" s="51" t="s">
        <v>2371</v>
      </c>
      <c r="M550" s="51" t="s">
        <v>3665</v>
      </c>
      <c r="N550" s="51" t="s">
        <v>1340</v>
      </c>
      <c r="O550" s="51" t="s">
        <v>67</v>
      </c>
      <c r="P550" s="51" t="s">
        <v>67</v>
      </c>
      <c r="Q550" s="45">
        <v>46281.546034965279</v>
      </c>
      <c r="R550" s="46">
        <v>46323</v>
      </c>
      <c r="S550" s="46">
        <v>46318</v>
      </c>
      <c r="T550" s="51" t="s">
        <v>6119</v>
      </c>
      <c r="U550" s="15"/>
      <c r="V550" s="15"/>
      <c r="W550" s="15"/>
      <c r="X550" s="15"/>
      <c r="Y550" s="15"/>
      <c r="Z550" s="15"/>
      <c r="AA550" s="46"/>
      <c r="AB550" s="15"/>
      <c r="AC550" s="15"/>
      <c r="AD550" s="15"/>
      <c r="AE550" s="15"/>
      <c r="AF550" s="15"/>
      <c r="AG550" s="15"/>
      <c r="AH550" s="15"/>
      <c r="AI550" s="46"/>
      <c r="AJ550" s="51" t="s">
        <v>67</v>
      </c>
      <c r="AK550" s="51" t="s">
        <v>67</v>
      </c>
      <c r="AL550" s="15"/>
      <c r="AM550" s="51" t="s">
        <v>67</v>
      </c>
      <c r="AN550" s="51" t="s">
        <v>67</v>
      </c>
      <c r="AO550" s="50" t="s">
        <v>9554</v>
      </c>
    </row>
    <row r="551" spans="1:41" hidden="1" x14ac:dyDescent="0.25">
      <c r="A551" s="51" t="s">
        <v>3666</v>
      </c>
      <c r="B551" s="51" t="s">
        <v>3667</v>
      </c>
      <c r="C551" s="54" t="s">
        <v>5604</v>
      </c>
      <c r="D551" s="51" t="s">
        <v>3668</v>
      </c>
      <c r="E551" s="20">
        <v>5051.0200000000004</v>
      </c>
      <c r="F551" s="20">
        <v>4555.67</v>
      </c>
      <c r="G551" s="20">
        <v>-683.68</v>
      </c>
      <c r="H551" s="20">
        <v>3870.86</v>
      </c>
      <c r="I551" s="20">
        <v>3695.48</v>
      </c>
      <c r="J551" s="51" t="s">
        <v>6724</v>
      </c>
      <c r="K551" s="15">
        <v>0</v>
      </c>
      <c r="L551" s="51" t="s">
        <v>2371</v>
      </c>
      <c r="M551" s="51" t="s">
        <v>67</v>
      </c>
      <c r="N551" s="51" t="s">
        <v>67</v>
      </c>
      <c r="O551" s="51" t="s">
        <v>3669</v>
      </c>
      <c r="P551" s="51" t="s">
        <v>1344</v>
      </c>
      <c r="Q551" s="45">
        <v>46281.546036967593</v>
      </c>
      <c r="R551" s="46">
        <v>46313</v>
      </c>
      <c r="S551" s="46">
        <v>46308</v>
      </c>
      <c r="T551" s="51" t="s">
        <v>6119</v>
      </c>
      <c r="U551" s="15">
        <v>849.8</v>
      </c>
      <c r="V551" s="15">
        <v>3922.15</v>
      </c>
      <c r="W551" s="15">
        <v>36.39</v>
      </c>
      <c r="X551" s="15">
        <v>14.9</v>
      </c>
      <c r="Y551" s="15">
        <v>1.6620440000000001</v>
      </c>
      <c r="Z551" s="15">
        <v>6</v>
      </c>
      <c r="AA551" s="46">
        <v>46252</v>
      </c>
      <c r="AB551" s="15">
        <v>212.9</v>
      </c>
      <c r="AC551" s="15">
        <v>387.09</v>
      </c>
      <c r="AD551" s="15">
        <v>38.71</v>
      </c>
      <c r="AE551" s="15">
        <v>582.26</v>
      </c>
      <c r="AF551" s="15">
        <v>3729.62</v>
      </c>
      <c r="AG551" s="15">
        <v>57.49</v>
      </c>
      <c r="AH551" s="15">
        <v>1.5861069999999999</v>
      </c>
      <c r="AI551" s="46">
        <v>46283</v>
      </c>
      <c r="AJ551" s="51" t="s">
        <v>67</v>
      </c>
      <c r="AK551" s="51" t="s">
        <v>6121</v>
      </c>
      <c r="AL551" s="15">
        <v>849.8</v>
      </c>
      <c r="AM551" s="51" t="s">
        <v>6705</v>
      </c>
      <c r="AN551" s="51" t="s">
        <v>6713</v>
      </c>
      <c r="AO551" s="50" t="s">
        <v>9554</v>
      </c>
    </row>
    <row r="552" spans="1:41" hidden="1" x14ac:dyDescent="0.25">
      <c r="A552" s="51" t="s">
        <v>3670</v>
      </c>
      <c r="B552" s="51" t="s">
        <v>3671</v>
      </c>
      <c r="C552" s="54" t="s">
        <v>2694</v>
      </c>
      <c r="D552" s="51" t="s">
        <v>3672</v>
      </c>
      <c r="E552" s="20">
        <v>1698.79</v>
      </c>
      <c r="F552" s="20">
        <v>203.94</v>
      </c>
      <c r="G552" s="20">
        <v>6070.29</v>
      </c>
      <c r="H552" s="20">
        <v>0</v>
      </c>
      <c r="I552" s="20">
        <v>917.71</v>
      </c>
      <c r="J552" s="51" t="s">
        <v>2654</v>
      </c>
      <c r="K552" s="15">
        <v>0</v>
      </c>
      <c r="L552" s="51" t="s">
        <v>2371</v>
      </c>
      <c r="M552" s="51" t="s">
        <v>67</v>
      </c>
      <c r="N552" s="51" t="s">
        <v>67</v>
      </c>
      <c r="O552" s="51" t="s">
        <v>3673</v>
      </c>
      <c r="P552" s="51" t="s">
        <v>1340</v>
      </c>
      <c r="Q552" s="45">
        <v>46281.546039479166</v>
      </c>
      <c r="R552" s="46">
        <v>46312</v>
      </c>
      <c r="S552" s="46">
        <v>46307</v>
      </c>
      <c r="T552" s="51" t="s">
        <v>6119</v>
      </c>
      <c r="U552" s="15"/>
      <c r="V552" s="15"/>
      <c r="W552" s="15"/>
      <c r="X552" s="15"/>
      <c r="Y552" s="15"/>
      <c r="Z552" s="15"/>
      <c r="AA552" s="46"/>
      <c r="AB552" s="15"/>
      <c r="AC552" s="15"/>
      <c r="AD552" s="15"/>
      <c r="AE552" s="15"/>
      <c r="AF552" s="15"/>
      <c r="AG552" s="15"/>
      <c r="AH552" s="15"/>
      <c r="AI552" s="46"/>
      <c r="AJ552" s="51" t="s">
        <v>67</v>
      </c>
      <c r="AK552" s="51" t="s">
        <v>67</v>
      </c>
      <c r="AL552" s="15"/>
      <c r="AM552" s="51" t="s">
        <v>67</v>
      </c>
      <c r="AN552" s="51" t="s">
        <v>67</v>
      </c>
      <c r="AO552" s="50" t="s">
        <v>9554</v>
      </c>
    </row>
    <row r="553" spans="1:41" hidden="1" x14ac:dyDescent="0.25">
      <c r="A553" s="51" t="s">
        <v>3674</v>
      </c>
      <c r="B553" s="51" t="s">
        <v>3675</v>
      </c>
      <c r="C553" s="54" t="s">
        <v>2356</v>
      </c>
      <c r="D553" s="51" t="s">
        <v>3676</v>
      </c>
      <c r="E553" s="20">
        <v>10618.8</v>
      </c>
      <c r="F553" s="20">
        <v>815.09</v>
      </c>
      <c r="G553" s="20">
        <v>10060.700000000001</v>
      </c>
      <c r="H553" s="20">
        <v>0</v>
      </c>
      <c r="I553" s="20">
        <v>815.09</v>
      </c>
      <c r="J553" s="51" t="s">
        <v>2654</v>
      </c>
      <c r="K553" s="15">
        <v>0</v>
      </c>
      <c r="L553" s="51" t="s">
        <v>2371</v>
      </c>
      <c r="M553" s="51" t="s">
        <v>3677</v>
      </c>
      <c r="N553" s="51" t="s">
        <v>1340</v>
      </c>
      <c r="O553" s="51" t="s">
        <v>67</v>
      </c>
      <c r="P553" s="51" t="s">
        <v>67</v>
      </c>
      <c r="Q553" s="45">
        <v>46281.546041516202</v>
      </c>
      <c r="R553" s="46">
        <v>46307</v>
      </c>
      <c r="S553" s="46">
        <v>46302</v>
      </c>
      <c r="T553" s="51" t="s">
        <v>6119</v>
      </c>
      <c r="U553" s="15"/>
      <c r="V553" s="15"/>
      <c r="W553" s="15"/>
      <c r="X553" s="15"/>
      <c r="Y553" s="15"/>
      <c r="Z553" s="15"/>
      <c r="AA553" s="46"/>
      <c r="AB553" s="15"/>
      <c r="AC553" s="15"/>
      <c r="AD553" s="15"/>
      <c r="AE553" s="15"/>
      <c r="AF553" s="15"/>
      <c r="AG553" s="15"/>
      <c r="AH553" s="15"/>
      <c r="AI553" s="46"/>
      <c r="AJ553" s="51" t="s">
        <v>67</v>
      </c>
      <c r="AK553" s="51" t="s">
        <v>67</v>
      </c>
      <c r="AL553" s="15"/>
      <c r="AM553" s="51" t="s">
        <v>67</v>
      </c>
      <c r="AN553" s="51" t="s">
        <v>67</v>
      </c>
      <c r="AO553" s="50" t="s">
        <v>9554</v>
      </c>
    </row>
    <row r="554" spans="1:41" hidden="1" x14ac:dyDescent="0.25">
      <c r="A554" s="51" t="s">
        <v>3678</v>
      </c>
      <c r="B554" s="51" t="s">
        <v>3679</v>
      </c>
      <c r="C554" s="54" t="s">
        <v>5596</v>
      </c>
      <c r="D554" s="51" t="s">
        <v>3680</v>
      </c>
      <c r="E554" s="20">
        <v>5831.79</v>
      </c>
      <c r="F554" s="20">
        <v>5121.01</v>
      </c>
      <c r="G554" s="20">
        <v>2345.98</v>
      </c>
      <c r="H554" s="20">
        <v>3870.86</v>
      </c>
      <c r="I554" s="20">
        <v>5121.01</v>
      </c>
      <c r="J554" s="51" t="s">
        <v>6727</v>
      </c>
      <c r="K554" s="15">
        <v>21</v>
      </c>
      <c r="L554" s="51" t="s">
        <v>2369</v>
      </c>
      <c r="M554" s="51" t="s">
        <v>3681</v>
      </c>
      <c r="N554" s="51" t="s">
        <v>1340</v>
      </c>
      <c r="O554" s="51" t="s">
        <v>67</v>
      </c>
      <c r="P554" s="51" t="s">
        <v>67</v>
      </c>
      <c r="Q554" s="45">
        <v>46281.546043599534</v>
      </c>
      <c r="R554" s="46">
        <v>46300</v>
      </c>
      <c r="S554" s="46">
        <v>46295</v>
      </c>
      <c r="T554" s="51" t="s">
        <v>6119</v>
      </c>
      <c r="U554" s="15">
        <v>848.05</v>
      </c>
      <c r="V554" s="15">
        <v>3921.84</v>
      </c>
      <c r="W554" s="15">
        <v>36.08</v>
      </c>
      <c r="X554" s="15">
        <v>14.9</v>
      </c>
      <c r="Y554" s="15">
        <v>1.662307</v>
      </c>
      <c r="Z554" s="15">
        <v>6</v>
      </c>
      <c r="AA554" s="46">
        <v>46270</v>
      </c>
      <c r="AB554" s="15"/>
      <c r="AC554" s="15"/>
      <c r="AD554" s="15"/>
      <c r="AE554" s="15"/>
      <c r="AF554" s="15"/>
      <c r="AG554" s="15"/>
      <c r="AH554" s="15"/>
      <c r="AI554" s="46"/>
      <c r="AJ554" s="51" t="s">
        <v>6121</v>
      </c>
      <c r="AK554" s="51" t="s">
        <v>6121</v>
      </c>
      <c r="AL554" s="15">
        <v>848.05</v>
      </c>
      <c r="AM554" s="51" t="s">
        <v>67</v>
      </c>
      <c r="AN554" s="51" t="s">
        <v>67</v>
      </c>
      <c r="AO554" s="50" t="s">
        <v>9554</v>
      </c>
    </row>
    <row r="555" spans="1:41" hidden="1" x14ac:dyDescent="0.25">
      <c r="A555" s="51" t="s">
        <v>3682</v>
      </c>
      <c r="B555" s="51" t="s">
        <v>3683</v>
      </c>
      <c r="C555" s="54" t="s">
        <v>5601</v>
      </c>
      <c r="D555" s="51" t="s">
        <v>3684</v>
      </c>
      <c r="E555" s="20">
        <v>15483.83</v>
      </c>
      <c r="F555" s="20">
        <v>200</v>
      </c>
      <c r="G555" s="20">
        <v>12069.36</v>
      </c>
      <c r="H555" s="20">
        <v>0</v>
      </c>
      <c r="I555" s="20">
        <v>1831.22</v>
      </c>
      <c r="J555" s="51" t="s">
        <v>2654</v>
      </c>
      <c r="K555" s="15">
        <v>0</v>
      </c>
      <c r="L555" s="51" t="s">
        <v>2371</v>
      </c>
      <c r="M555" s="51" t="s">
        <v>67</v>
      </c>
      <c r="N555" s="51" t="s">
        <v>67</v>
      </c>
      <c r="O555" s="51" t="s">
        <v>3685</v>
      </c>
      <c r="P555" s="51" t="s">
        <v>1340</v>
      </c>
      <c r="Q555" s="45">
        <v>46281.546046770833</v>
      </c>
      <c r="R555" s="46">
        <v>46316</v>
      </c>
      <c r="S555" s="46">
        <v>46311</v>
      </c>
      <c r="T555" s="51" t="s">
        <v>6119</v>
      </c>
      <c r="U555" s="15"/>
      <c r="V555" s="15"/>
      <c r="W555" s="15"/>
      <c r="X555" s="15"/>
      <c r="Y555" s="15"/>
      <c r="Z555" s="15"/>
      <c r="AA555" s="46"/>
      <c r="AB555" s="15"/>
      <c r="AC555" s="15"/>
      <c r="AD555" s="15"/>
      <c r="AE555" s="15"/>
      <c r="AF555" s="15"/>
      <c r="AG555" s="15"/>
      <c r="AH555" s="15"/>
      <c r="AI555" s="46"/>
      <c r="AJ555" s="51" t="s">
        <v>67</v>
      </c>
      <c r="AK555" s="51" t="s">
        <v>67</v>
      </c>
      <c r="AL555" s="15"/>
      <c r="AM555" s="51" t="s">
        <v>67</v>
      </c>
      <c r="AN555" s="51" t="s">
        <v>67</v>
      </c>
      <c r="AO555" s="50" t="s">
        <v>9554</v>
      </c>
    </row>
    <row r="556" spans="1:41" hidden="1" x14ac:dyDescent="0.25">
      <c r="A556" s="51" t="s">
        <v>3686</v>
      </c>
      <c r="B556" s="51" t="s">
        <v>3687</v>
      </c>
      <c r="C556" s="54" t="s">
        <v>5597</v>
      </c>
      <c r="D556" s="51" t="s">
        <v>3688</v>
      </c>
      <c r="E556" s="20">
        <v>3571.83</v>
      </c>
      <c r="F556" s="20">
        <v>811.23</v>
      </c>
      <c r="G556" s="20">
        <v>18470.43</v>
      </c>
      <c r="H556" s="20">
        <v>811.23</v>
      </c>
      <c r="I556" s="20">
        <v>811.23</v>
      </c>
      <c r="J556" s="51" t="s">
        <v>6727</v>
      </c>
      <c r="K556" s="15">
        <v>0</v>
      </c>
      <c r="L556" s="51" t="s">
        <v>2371</v>
      </c>
      <c r="M556" s="51" t="s">
        <v>3689</v>
      </c>
      <c r="N556" s="51" t="s">
        <v>1340</v>
      </c>
      <c r="O556" s="51" t="s">
        <v>3690</v>
      </c>
      <c r="P556" s="51" t="s">
        <v>1340</v>
      </c>
      <c r="Q556" s="45">
        <v>46281.546049108794</v>
      </c>
      <c r="R556" s="46">
        <v>46321</v>
      </c>
      <c r="S556" s="46">
        <v>46316</v>
      </c>
      <c r="T556" s="51" t="s">
        <v>6119</v>
      </c>
      <c r="U556" s="15"/>
      <c r="V556" s="15"/>
      <c r="W556" s="15"/>
      <c r="X556" s="15"/>
      <c r="Y556" s="15"/>
      <c r="Z556" s="15"/>
      <c r="AA556" s="46"/>
      <c r="AB556" s="15"/>
      <c r="AC556" s="15"/>
      <c r="AD556" s="15"/>
      <c r="AE556" s="15"/>
      <c r="AF556" s="15"/>
      <c r="AG556" s="15"/>
      <c r="AH556" s="15"/>
      <c r="AI556" s="46"/>
      <c r="AJ556" s="51" t="s">
        <v>67</v>
      </c>
      <c r="AK556" s="51" t="s">
        <v>67</v>
      </c>
      <c r="AL556" s="15"/>
      <c r="AM556" s="51" t="s">
        <v>67</v>
      </c>
      <c r="AN556" s="51" t="s">
        <v>67</v>
      </c>
      <c r="AO556" s="50" t="s">
        <v>9554</v>
      </c>
    </row>
    <row r="557" spans="1:41" hidden="1" x14ac:dyDescent="0.25">
      <c r="A557" s="51" t="s">
        <v>3691</v>
      </c>
      <c r="B557" s="51" t="s">
        <v>3692</v>
      </c>
      <c r="C557" s="54" t="s">
        <v>5602</v>
      </c>
      <c r="D557" s="51" t="s">
        <v>3693</v>
      </c>
      <c r="E557" s="20">
        <v>1802.14</v>
      </c>
      <c r="F557" s="20">
        <v>545.88</v>
      </c>
      <c r="G557" s="20">
        <v>5276.18</v>
      </c>
      <c r="H557" s="20">
        <v>0</v>
      </c>
      <c r="I557" s="20">
        <v>545.88</v>
      </c>
      <c r="J557" s="51" t="s">
        <v>2654</v>
      </c>
      <c r="K557" s="15">
        <v>0</v>
      </c>
      <c r="L557" s="51" t="s">
        <v>2371</v>
      </c>
      <c r="M557" s="51" t="s">
        <v>3694</v>
      </c>
      <c r="N557" s="51" t="s">
        <v>1340</v>
      </c>
      <c r="O557" s="51" t="s">
        <v>67</v>
      </c>
      <c r="P557" s="51" t="s">
        <v>67</v>
      </c>
      <c r="Q557" s="45">
        <v>46281.546052129626</v>
      </c>
      <c r="R557" s="46">
        <v>46303</v>
      </c>
      <c r="S557" s="46">
        <v>46298</v>
      </c>
      <c r="T557" s="51" t="s">
        <v>6119</v>
      </c>
      <c r="U557" s="15"/>
      <c r="V557" s="15"/>
      <c r="W557" s="15"/>
      <c r="X557" s="15"/>
      <c r="Y557" s="15"/>
      <c r="Z557" s="15"/>
      <c r="AA557" s="46"/>
      <c r="AB557" s="15"/>
      <c r="AC557" s="15"/>
      <c r="AD557" s="15"/>
      <c r="AE557" s="15"/>
      <c r="AF557" s="15"/>
      <c r="AG557" s="15"/>
      <c r="AH557" s="15"/>
      <c r="AI557" s="46"/>
      <c r="AJ557" s="51" t="s">
        <v>67</v>
      </c>
      <c r="AK557" s="51" t="s">
        <v>67</v>
      </c>
      <c r="AL557" s="15"/>
      <c r="AM557" s="51" t="s">
        <v>67</v>
      </c>
      <c r="AN557" s="51" t="s">
        <v>67</v>
      </c>
      <c r="AO557" s="50" t="s">
        <v>9554</v>
      </c>
    </row>
    <row r="558" spans="1:41" hidden="1" x14ac:dyDescent="0.25">
      <c r="A558" s="51" t="s">
        <v>3695</v>
      </c>
      <c r="B558" s="51" t="s">
        <v>3696</v>
      </c>
      <c r="C558" s="54" t="s">
        <v>2357</v>
      </c>
      <c r="D558" s="51" t="s">
        <v>3697</v>
      </c>
      <c r="E558" s="20">
        <v>1786.58</v>
      </c>
      <c r="F558" s="20">
        <v>601.55999999999995</v>
      </c>
      <c r="G558" s="20">
        <v>19397.77</v>
      </c>
      <c r="H558" s="20">
        <v>0</v>
      </c>
      <c r="I558" s="20">
        <v>601.55999999999995</v>
      </c>
      <c r="J558" s="51" t="s">
        <v>2654</v>
      </c>
      <c r="K558" s="15">
        <v>0</v>
      </c>
      <c r="L558" s="51" t="s">
        <v>2371</v>
      </c>
      <c r="M558" s="51" t="s">
        <v>3698</v>
      </c>
      <c r="N558" s="51" t="s">
        <v>1344</v>
      </c>
      <c r="O558" s="51" t="s">
        <v>3699</v>
      </c>
      <c r="P558" s="51" t="s">
        <v>1344</v>
      </c>
      <c r="Q558" s="45">
        <v>46281.549239988424</v>
      </c>
      <c r="R558" s="46">
        <v>46308</v>
      </c>
      <c r="S558" s="46">
        <v>46303</v>
      </c>
      <c r="T558" s="51" t="s">
        <v>6119</v>
      </c>
      <c r="U558" s="15"/>
      <c r="V558" s="15"/>
      <c r="W558" s="15"/>
      <c r="X558" s="15"/>
      <c r="Y558" s="15"/>
      <c r="Z558" s="15"/>
      <c r="AA558" s="46"/>
      <c r="AB558" s="15"/>
      <c r="AC558" s="15"/>
      <c r="AD558" s="15"/>
      <c r="AE558" s="15"/>
      <c r="AF558" s="15"/>
      <c r="AG558" s="15"/>
      <c r="AH558" s="15"/>
      <c r="AI558" s="46"/>
      <c r="AJ558" s="51" t="s">
        <v>67</v>
      </c>
      <c r="AK558" s="51" t="s">
        <v>67</v>
      </c>
      <c r="AL558" s="15"/>
      <c r="AM558" s="51" t="s">
        <v>67</v>
      </c>
      <c r="AN558" s="51" t="s">
        <v>67</v>
      </c>
      <c r="AO558" s="50" t="s">
        <v>9554</v>
      </c>
    </row>
    <row r="559" spans="1:41" hidden="1" x14ac:dyDescent="0.25">
      <c r="A559" s="51" t="s">
        <v>3700</v>
      </c>
      <c r="B559" s="51" t="s">
        <v>3701</v>
      </c>
      <c r="C559" s="54" t="s">
        <v>608</v>
      </c>
      <c r="D559" s="51" t="s">
        <v>3702</v>
      </c>
      <c r="E559" s="20">
        <v>15215.99</v>
      </c>
      <c r="F559" s="20">
        <v>0</v>
      </c>
      <c r="G559" s="20">
        <v>10531.74</v>
      </c>
      <c r="H559" s="20">
        <v>0</v>
      </c>
      <c r="I559" s="20">
        <v>802.08</v>
      </c>
      <c r="J559" s="51" t="s">
        <v>2654</v>
      </c>
      <c r="K559" s="15">
        <v>0</v>
      </c>
      <c r="L559" s="51" t="s">
        <v>2371</v>
      </c>
      <c r="M559" s="51" t="s">
        <v>67</v>
      </c>
      <c r="N559" s="51" t="s">
        <v>67</v>
      </c>
      <c r="O559" s="51" t="s">
        <v>3703</v>
      </c>
      <c r="P559" s="51" t="s">
        <v>1340</v>
      </c>
      <c r="Q559" s="45">
        <v>46281.549243657406</v>
      </c>
      <c r="R559" s="46">
        <v>46315</v>
      </c>
      <c r="S559" s="46">
        <v>46310</v>
      </c>
      <c r="T559" s="51" t="s">
        <v>6119</v>
      </c>
      <c r="U559" s="15"/>
      <c r="V559" s="15"/>
      <c r="W559" s="15"/>
      <c r="X559" s="15"/>
      <c r="Y559" s="15"/>
      <c r="Z559" s="15"/>
      <c r="AA559" s="46"/>
      <c r="AB559" s="15"/>
      <c r="AC559" s="15"/>
      <c r="AD559" s="15"/>
      <c r="AE559" s="15"/>
      <c r="AF559" s="15"/>
      <c r="AG559" s="15"/>
      <c r="AH559" s="15"/>
      <c r="AI559" s="46"/>
      <c r="AJ559" s="51" t="s">
        <v>67</v>
      </c>
      <c r="AK559" s="51" t="s">
        <v>67</v>
      </c>
      <c r="AL559" s="15"/>
      <c r="AM559" s="51" t="s">
        <v>67</v>
      </c>
      <c r="AN559" s="51" t="s">
        <v>67</v>
      </c>
      <c r="AO559" s="50" t="s">
        <v>9554</v>
      </c>
    </row>
    <row r="560" spans="1:41" hidden="1" x14ac:dyDescent="0.25">
      <c r="A560" s="51" t="s">
        <v>3704</v>
      </c>
      <c r="B560" s="51" t="s">
        <v>3705</v>
      </c>
      <c r="C560" s="54" t="s">
        <v>2693</v>
      </c>
      <c r="D560" s="51" t="s">
        <v>3706</v>
      </c>
      <c r="E560" s="20">
        <v>9125.4500000000007</v>
      </c>
      <c r="F560" s="20">
        <v>4339.9399999999996</v>
      </c>
      <c r="G560" s="20">
        <v>-2092.3000000000002</v>
      </c>
      <c r="H560" s="20">
        <v>3870.86</v>
      </c>
      <c r="I560" s="20">
        <v>3479.75</v>
      </c>
      <c r="J560" s="51" t="s">
        <v>6724</v>
      </c>
      <c r="K560" s="15">
        <v>0</v>
      </c>
      <c r="L560" s="51" t="s">
        <v>2371</v>
      </c>
      <c r="M560" s="51" t="s">
        <v>67</v>
      </c>
      <c r="N560" s="51" t="s">
        <v>67</v>
      </c>
      <c r="O560" s="51" t="s">
        <v>3707</v>
      </c>
      <c r="P560" s="51" t="s">
        <v>1340</v>
      </c>
      <c r="Q560" s="45">
        <v>46281.549254409721</v>
      </c>
      <c r="R560" s="46">
        <v>46314</v>
      </c>
      <c r="S560" s="46">
        <v>46309</v>
      </c>
      <c r="T560" s="51" t="s">
        <v>6119</v>
      </c>
      <c r="U560" s="15">
        <v>849.8</v>
      </c>
      <c r="V560" s="15">
        <v>3922.15</v>
      </c>
      <c r="W560" s="15">
        <v>36.39</v>
      </c>
      <c r="X560" s="15">
        <v>14.9</v>
      </c>
      <c r="Y560" s="15">
        <v>1.6620440000000001</v>
      </c>
      <c r="Z560" s="15">
        <v>6</v>
      </c>
      <c r="AA560" s="46">
        <v>46253</v>
      </c>
      <c r="AB560" s="15">
        <v>212.9</v>
      </c>
      <c r="AC560" s="15">
        <v>387.09</v>
      </c>
      <c r="AD560" s="15">
        <v>38.71</v>
      </c>
      <c r="AE560" s="15">
        <v>582.26</v>
      </c>
      <c r="AF560" s="15">
        <v>3729.62</v>
      </c>
      <c r="AG560" s="15">
        <v>57.49</v>
      </c>
      <c r="AH560" s="15">
        <v>1.5861069999999999</v>
      </c>
      <c r="AI560" s="46">
        <v>46283</v>
      </c>
      <c r="AJ560" s="51" t="s">
        <v>67</v>
      </c>
      <c r="AK560" s="51" t="s">
        <v>6121</v>
      </c>
      <c r="AL560" s="15">
        <v>849.8</v>
      </c>
      <c r="AM560" s="51" t="s">
        <v>6705</v>
      </c>
      <c r="AN560" s="51" t="s">
        <v>6713</v>
      </c>
      <c r="AO560" s="50" t="s">
        <v>9554</v>
      </c>
    </row>
    <row r="561" spans="1:41" hidden="1" x14ac:dyDescent="0.25">
      <c r="A561" s="51" t="s">
        <v>3708</v>
      </c>
      <c r="B561" s="51" t="s">
        <v>3709</v>
      </c>
      <c r="C561" s="54" t="s">
        <v>5596</v>
      </c>
      <c r="D561" s="51" t="s">
        <v>3710</v>
      </c>
      <c r="E561" s="20">
        <v>6040.84</v>
      </c>
      <c r="F561" s="20">
        <v>903.1</v>
      </c>
      <c r="G561" s="20">
        <v>15171.22</v>
      </c>
      <c r="H561" s="20">
        <v>0</v>
      </c>
      <c r="I561" s="20">
        <v>903.1</v>
      </c>
      <c r="J561" s="51" t="s">
        <v>2654</v>
      </c>
      <c r="K561" s="15">
        <v>0</v>
      </c>
      <c r="L561" s="51" t="s">
        <v>2371</v>
      </c>
      <c r="M561" s="51" t="s">
        <v>3711</v>
      </c>
      <c r="N561" s="51" t="s">
        <v>1340</v>
      </c>
      <c r="O561" s="51" t="s">
        <v>3712</v>
      </c>
      <c r="P561" s="51" t="s">
        <v>1340</v>
      </c>
      <c r="Q561" s="45">
        <v>46281.549263425928</v>
      </c>
      <c r="R561" s="46">
        <v>46300</v>
      </c>
      <c r="S561" s="46">
        <v>46295</v>
      </c>
      <c r="T561" s="51" t="s">
        <v>6119</v>
      </c>
      <c r="U561" s="15"/>
      <c r="V561" s="15"/>
      <c r="W561" s="15"/>
      <c r="X561" s="15"/>
      <c r="Y561" s="15"/>
      <c r="Z561" s="15"/>
      <c r="AA561" s="46"/>
      <c r="AB561" s="15"/>
      <c r="AC561" s="15"/>
      <c r="AD561" s="15"/>
      <c r="AE561" s="15"/>
      <c r="AF561" s="15"/>
      <c r="AG561" s="15"/>
      <c r="AH561" s="15"/>
      <c r="AI561" s="46"/>
      <c r="AJ561" s="51" t="s">
        <v>67</v>
      </c>
      <c r="AK561" s="51" t="s">
        <v>67</v>
      </c>
      <c r="AL561" s="15"/>
      <c r="AM561" s="51" t="s">
        <v>67</v>
      </c>
      <c r="AN561" s="51" t="s">
        <v>67</v>
      </c>
      <c r="AO561" s="50" t="s">
        <v>9554</v>
      </c>
    </row>
    <row r="562" spans="1:41" hidden="1" x14ac:dyDescent="0.25">
      <c r="A562" s="51" t="s">
        <v>3713</v>
      </c>
      <c r="B562" s="51" t="s">
        <v>3714</v>
      </c>
      <c r="C562" s="54" t="s">
        <v>5606</v>
      </c>
      <c r="D562" s="51" t="s">
        <v>3715</v>
      </c>
      <c r="E562" s="20">
        <v>950.76</v>
      </c>
      <c r="F562" s="20">
        <v>869.31</v>
      </c>
      <c r="G562" s="20">
        <v>13853.55</v>
      </c>
      <c r="H562" s="20">
        <v>0</v>
      </c>
      <c r="I562" s="20">
        <v>869.31</v>
      </c>
      <c r="J562" s="51" t="s">
        <v>2654</v>
      </c>
      <c r="K562" s="15">
        <v>0</v>
      </c>
      <c r="L562" s="51" t="s">
        <v>2371</v>
      </c>
      <c r="M562" s="51" t="s">
        <v>3716</v>
      </c>
      <c r="N562" s="51" t="s">
        <v>1340</v>
      </c>
      <c r="O562" s="51" t="s">
        <v>67</v>
      </c>
      <c r="P562" s="51" t="s">
        <v>67</v>
      </c>
      <c r="Q562" s="45">
        <v>46281.549267939816</v>
      </c>
      <c r="R562" s="46">
        <v>46297</v>
      </c>
      <c r="S562" s="46">
        <v>46292</v>
      </c>
      <c r="T562" s="51" t="s">
        <v>6119</v>
      </c>
      <c r="U562" s="15"/>
      <c r="V562" s="15"/>
      <c r="W562" s="15"/>
      <c r="X562" s="15"/>
      <c r="Y562" s="15"/>
      <c r="Z562" s="15"/>
      <c r="AA562" s="46"/>
      <c r="AB562" s="15"/>
      <c r="AC562" s="15"/>
      <c r="AD562" s="15"/>
      <c r="AE562" s="15"/>
      <c r="AF562" s="15"/>
      <c r="AG562" s="15"/>
      <c r="AH562" s="15"/>
      <c r="AI562" s="46"/>
      <c r="AJ562" s="51" t="s">
        <v>67</v>
      </c>
      <c r="AK562" s="51" t="s">
        <v>67</v>
      </c>
      <c r="AL562" s="15"/>
      <c r="AM562" s="51" t="s">
        <v>67</v>
      </c>
      <c r="AN562" s="51" t="s">
        <v>67</v>
      </c>
      <c r="AO562" s="50" t="s">
        <v>9554</v>
      </c>
    </row>
    <row r="563" spans="1:41" hidden="1" x14ac:dyDescent="0.25">
      <c r="A563" s="51" t="s">
        <v>3717</v>
      </c>
      <c r="B563" s="51" t="s">
        <v>3718</v>
      </c>
      <c r="C563" s="54" t="s">
        <v>2541</v>
      </c>
      <c r="D563" s="51" t="s">
        <v>3719</v>
      </c>
      <c r="E563" s="20">
        <v>3684.28</v>
      </c>
      <c r="F563" s="20">
        <v>4669.3900000000003</v>
      </c>
      <c r="G563" s="20">
        <v>10642.95</v>
      </c>
      <c r="H563" s="20">
        <v>3870.86</v>
      </c>
      <c r="I563" s="20">
        <v>4177.6400000000003</v>
      </c>
      <c r="J563" s="51" t="s">
        <v>6727</v>
      </c>
      <c r="K563" s="15">
        <v>10</v>
      </c>
      <c r="L563" s="51" t="s">
        <v>2369</v>
      </c>
      <c r="M563" s="51" t="s">
        <v>3720</v>
      </c>
      <c r="N563" s="51" t="s">
        <v>1340</v>
      </c>
      <c r="O563" s="51" t="s">
        <v>3721</v>
      </c>
      <c r="P563" s="51" t="s">
        <v>1340</v>
      </c>
      <c r="Q563" s="45">
        <v>46281.549271400465</v>
      </c>
      <c r="R563" s="46">
        <v>46311</v>
      </c>
      <c r="S563" s="46">
        <v>46306</v>
      </c>
      <c r="T563" s="51" t="s">
        <v>6119</v>
      </c>
      <c r="U563" s="15">
        <v>848.05</v>
      </c>
      <c r="V563" s="15">
        <v>3921.84</v>
      </c>
      <c r="W563" s="15">
        <v>36.08</v>
      </c>
      <c r="X563" s="15">
        <v>14.9</v>
      </c>
      <c r="Y563" s="15">
        <v>1.662307</v>
      </c>
      <c r="Z563" s="15">
        <v>6</v>
      </c>
      <c r="AA563" s="46">
        <v>46281</v>
      </c>
      <c r="AB563" s="15"/>
      <c r="AC563" s="15"/>
      <c r="AD563" s="15"/>
      <c r="AE563" s="15"/>
      <c r="AF563" s="15"/>
      <c r="AG563" s="15"/>
      <c r="AH563" s="15"/>
      <c r="AI563" s="46"/>
      <c r="AJ563" s="51" t="s">
        <v>6121</v>
      </c>
      <c r="AK563" s="51" t="s">
        <v>6121</v>
      </c>
      <c r="AL563" s="15">
        <v>848.05</v>
      </c>
      <c r="AM563" s="51" t="s">
        <v>67</v>
      </c>
      <c r="AN563" s="51" t="s">
        <v>67</v>
      </c>
      <c r="AO563" s="50" t="s">
        <v>9554</v>
      </c>
    </row>
    <row r="564" spans="1:41" hidden="1" x14ac:dyDescent="0.25">
      <c r="A564" s="51" t="s">
        <v>3722</v>
      </c>
      <c r="B564" s="51" t="s">
        <v>3723</v>
      </c>
      <c r="C564" s="54" t="s">
        <v>5597</v>
      </c>
      <c r="D564" s="51" t="s">
        <v>3724</v>
      </c>
      <c r="E564" s="20">
        <v>4606.13</v>
      </c>
      <c r="F564" s="20">
        <v>3649.58</v>
      </c>
      <c r="G564" s="20">
        <v>10186.84</v>
      </c>
      <c r="H564" s="20">
        <v>5495.38</v>
      </c>
      <c r="I564" s="20">
        <v>3649.58</v>
      </c>
      <c r="J564" s="51" t="s">
        <v>6726</v>
      </c>
      <c r="K564" s="15">
        <v>0</v>
      </c>
      <c r="L564" s="51" t="s">
        <v>2371</v>
      </c>
      <c r="M564" s="51" t="s">
        <v>3725</v>
      </c>
      <c r="N564" s="51" t="s">
        <v>1340</v>
      </c>
      <c r="O564" s="51" t="s">
        <v>3726</v>
      </c>
      <c r="P564" s="51" t="s">
        <v>1340</v>
      </c>
      <c r="Q564" s="45">
        <v>46281.549274733799</v>
      </c>
      <c r="R564" s="46">
        <v>46321</v>
      </c>
      <c r="S564" s="46">
        <v>46316</v>
      </c>
      <c r="T564" s="51" t="s">
        <v>6119</v>
      </c>
      <c r="U564" s="15">
        <v>849.8</v>
      </c>
      <c r="V564" s="15">
        <v>3922.15</v>
      </c>
      <c r="W564" s="15">
        <v>36.39</v>
      </c>
      <c r="X564" s="15">
        <v>14.9</v>
      </c>
      <c r="Y564" s="15">
        <v>1.6620440000000001</v>
      </c>
      <c r="Z564" s="15">
        <v>6</v>
      </c>
      <c r="AA564" s="46">
        <v>46260</v>
      </c>
      <c r="AB564" s="15"/>
      <c r="AC564" s="15"/>
      <c r="AD564" s="15"/>
      <c r="AE564" s="15"/>
      <c r="AF564" s="15"/>
      <c r="AG564" s="15"/>
      <c r="AH564" s="15"/>
      <c r="AI564" s="46"/>
      <c r="AJ564" s="51" t="s">
        <v>67</v>
      </c>
      <c r="AK564" s="51" t="s">
        <v>6121</v>
      </c>
      <c r="AL564" s="15">
        <v>849.8</v>
      </c>
      <c r="AM564" s="51" t="s">
        <v>67</v>
      </c>
      <c r="AN564" s="51" t="s">
        <v>67</v>
      </c>
      <c r="AO564" s="50" t="s">
        <v>9554</v>
      </c>
    </row>
    <row r="565" spans="1:41" hidden="1" x14ac:dyDescent="0.25">
      <c r="A565" s="51" t="s">
        <v>3727</v>
      </c>
      <c r="B565" s="51" t="s">
        <v>3728</v>
      </c>
      <c r="C565" s="54" t="s">
        <v>5601</v>
      </c>
      <c r="D565" s="51" t="s">
        <v>3729</v>
      </c>
      <c r="E565" s="20">
        <v>4774.95</v>
      </c>
      <c r="F565" s="20">
        <v>0</v>
      </c>
      <c r="G565" s="20">
        <v>7580.8</v>
      </c>
      <c r="H565" s="20">
        <v>0</v>
      </c>
      <c r="I565" s="20">
        <v>968.38</v>
      </c>
      <c r="J565" s="51" t="s">
        <v>2654</v>
      </c>
      <c r="K565" s="15">
        <v>0</v>
      </c>
      <c r="L565" s="51" t="s">
        <v>2371</v>
      </c>
      <c r="M565" s="51" t="s">
        <v>3730</v>
      </c>
      <c r="N565" s="51" t="s">
        <v>1340</v>
      </c>
      <c r="O565" s="51" t="s">
        <v>67</v>
      </c>
      <c r="P565" s="51" t="s">
        <v>67</v>
      </c>
      <c r="Q565" s="45">
        <v>46281.549277719911</v>
      </c>
      <c r="R565" s="46">
        <v>46316</v>
      </c>
      <c r="S565" s="46">
        <v>46311</v>
      </c>
      <c r="T565" s="51" t="s">
        <v>6119</v>
      </c>
      <c r="U565" s="15"/>
      <c r="V565" s="15"/>
      <c r="W565" s="15"/>
      <c r="X565" s="15"/>
      <c r="Y565" s="15"/>
      <c r="Z565" s="15"/>
      <c r="AA565" s="46"/>
      <c r="AB565" s="15"/>
      <c r="AC565" s="15"/>
      <c r="AD565" s="15"/>
      <c r="AE565" s="15"/>
      <c r="AF565" s="15"/>
      <c r="AG565" s="15"/>
      <c r="AH565" s="15"/>
      <c r="AI565" s="46"/>
      <c r="AJ565" s="51" t="s">
        <v>67</v>
      </c>
      <c r="AK565" s="51" t="s">
        <v>67</v>
      </c>
      <c r="AL565" s="15"/>
      <c r="AM565" s="51" t="s">
        <v>67</v>
      </c>
      <c r="AN565" s="51" t="s">
        <v>67</v>
      </c>
      <c r="AO565" s="50" t="s">
        <v>9554</v>
      </c>
    </row>
    <row r="566" spans="1:41" hidden="1" x14ac:dyDescent="0.25">
      <c r="A566" s="51" t="s">
        <v>3731</v>
      </c>
      <c r="B566" s="51" t="s">
        <v>3732</v>
      </c>
      <c r="C566" s="54" t="s">
        <v>2691</v>
      </c>
      <c r="D566" s="51" t="s">
        <v>3733</v>
      </c>
      <c r="E566" s="20">
        <v>5118.99</v>
      </c>
      <c r="F566" s="20">
        <v>939.52</v>
      </c>
      <c r="G566" s="20">
        <v>3474.3</v>
      </c>
      <c r="H566" s="20">
        <v>0</v>
      </c>
      <c r="I566" s="20">
        <v>939.52</v>
      </c>
      <c r="J566" s="51" t="s">
        <v>2654</v>
      </c>
      <c r="K566" s="15">
        <v>0</v>
      </c>
      <c r="L566" s="51" t="s">
        <v>2371</v>
      </c>
      <c r="M566" s="51" t="s">
        <v>3734</v>
      </c>
      <c r="N566" s="51" t="s">
        <v>1344</v>
      </c>
      <c r="O566" s="51" t="s">
        <v>3735</v>
      </c>
      <c r="P566" s="51" t="s">
        <v>1344</v>
      </c>
      <c r="Q566" s="45">
        <v>46281.549279791667</v>
      </c>
      <c r="R566" s="46">
        <v>46301</v>
      </c>
      <c r="S566" s="46">
        <v>46296</v>
      </c>
      <c r="T566" s="51" t="s">
        <v>6119</v>
      </c>
      <c r="U566" s="15"/>
      <c r="V566" s="15"/>
      <c r="W566" s="15"/>
      <c r="X566" s="15"/>
      <c r="Y566" s="15"/>
      <c r="Z566" s="15"/>
      <c r="AA566" s="46"/>
      <c r="AB566" s="15"/>
      <c r="AC566" s="15"/>
      <c r="AD566" s="15"/>
      <c r="AE566" s="15"/>
      <c r="AF566" s="15"/>
      <c r="AG566" s="15"/>
      <c r="AH566" s="15"/>
      <c r="AI566" s="46"/>
      <c r="AJ566" s="51" t="s">
        <v>67</v>
      </c>
      <c r="AK566" s="51" t="s">
        <v>67</v>
      </c>
      <c r="AL566" s="15"/>
      <c r="AM566" s="51" t="s">
        <v>67</v>
      </c>
      <c r="AN566" s="51" t="s">
        <v>67</v>
      </c>
      <c r="AO566" s="50" t="s">
        <v>9554</v>
      </c>
    </row>
    <row r="567" spans="1:41" hidden="1" x14ac:dyDescent="0.25">
      <c r="A567" s="51" t="s">
        <v>3736</v>
      </c>
      <c r="B567" s="51" t="s">
        <v>3737</v>
      </c>
      <c r="C567" s="54" t="s">
        <v>5598</v>
      </c>
      <c r="D567" s="51" t="s">
        <v>3738</v>
      </c>
      <c r="E567" s="20">
        <v>6735.11</v>
      </c>
      <c r="F567" s="20">
        <v>7653.14</v>
      </c>
      <c r="G567" s="20">
        <v>-4950.5</v>
      </c>
      <c r="H567" s="20">
        <v>6831.21</v>
      </c>
      <c r="I567" s="20">
        <v>7653.14</v>
      </c>
      <c r="J567" s="51" t="s">
        <v>6727</v>
      </c>
      <c r="K567" s="15">
        <v>34</v>
      </c>
      <c r="L567" s="51" t="s">
        <v>2369</v>
      </c>
      <c r="M567" s="51" t="s">
        <v>67</v>
      </c>
      <c r="N567" s="51" t="s">
        <v>67</v>
      </c>
      <c r="O567" s="51" t="s">
        <v>3739</v>
      </c>
      <c r="P567" s="51" t="s">
        <v>1340</v>
      </c>
      <c r="Q567" s="45">
        <v>46281.54928240741</v>
      </c>
      <c r="R567" s="46">
        <v>46318</v>
      </c>
      <c r="S567" s="46">
        <v>46313</v>
      </c>
      <c r="T567" s="51" t="s">
        <v>6119</v>
      </c>
      <c r="U567" s="15">
        <v>849.8</v>
      </c>
      <c r="V567" s="15">
        <v>3922.15</v>
      </c>
      <c r="W567" s="15">
        <v>36.39</v>
      </c>
      <c r="X567" s="15">
        <v>14.9</v>
      </c>
      <c r="Y567" s="15">
        <v>1.6620440000000001</v>
      </c>
      <c r="Z567" s="15">
        <v>6</v>
      </c>
      <c r="AA567" s="46">
        <v>46257</v>
      </c>
      <c r="AB567" s="15"/>
      <c r="AC567" s="15"/>
      <c r="AD567" s="15"/>
      <c r="AE567" s="15"/>
      <c r="AF567" s="15"/>
      <c r="AG567" s="15"/>
      <c r="AH567" s="15"/>
      <c r="AI567" s="46"/>
      <c r="AJ567" s="51" t="s">
        <v>6121</v>
      </c>
      <c r="AK567" s="51" t="s">
        <v>6121</v>
      </c>
      <c r="AL567" s="15">
        <v>849.8</v>
      </c>
      <c r="AM567" s="51" t="s">
        <v>6705</v>
      </c>
      <c r="AN567" s="51" t="s">
        <v>6713</v>
      </c>
      <c r="AO567" s="50" t="s">
        <v>9554</v>
      </c>
    </row>
    <row r="568" spans="1:41" hidden="1" x14ac:dyDescent="0.25">
      <c r="A568" s="51" t="s">
        <v>3740</v>
      </c>
      <c r="B568" s="51" t="s">
        <v>3741</v>
      </c>
      <c r="C568" s="54" t="s">
        <v>5601</v>
      </c>
      <c r="D568" s="51" t="s">
        <v>3742</v>
      </c>
      <c r="E568" s="20">
        <v>5651.92</v>
      </c>
      <c r="F568" s="20">
        <v>7278.59</v>
      </c>
      <c r="G568" s="20">
        <v>4688.21</v>
      </c>
      <c r="H568" s="20">
        <v>3870.86</v>
      </c>
      <c r="I568" s="20">
        <v>7278.59</v>
      </c>
      <c r="J568" s="51" t="s">
        <v>6727</v>
      </c>
      <c r="K568" s="15">
        <v>36</v>
      </c>
      <c r="L568" s="51" t="s">
        <v>2369</v>
      </c>
      <c r="M568" s="51" t="s">
        <v>67</v>
      </c>
      <c r="N568" s="51" t="s">
        <v>67</v>
      </c>
      <c r="O568" s="51" t="s">
        <v>3743</v>
      </c>
      <c r="P568" s="51" t="s">
        <v>1340</v>
      </c>
      <c r="Q568" s="45">
        <v>46281.549285127316</v>
      </c>
      <c r="R568" s="46">
        <v>46316</v>
      </c>
      <c r="S568" s="46">
        <v>46311</v>
      </c>
      <c r="T568" s="51" t="s">
        <v>6119</v>
      </c>
      <c r="U568" s="15">
        <v>849.8</v>
      </c>
      <c r="V568" s="15">
        <v>3922.15</v>
      </c>
      <c r="W568" s="15">
        <v>36.39</v>
      </c>
      <c r="X568" s="15">
        <v>14.9</v>
      </c>
      <c r="Y568" s="15">
        <v>1.6620440000000001</v>
      </c>
      <c r="Z568" s="15">
        <v>6</v>
      </c>
      <c r="AA568" s="46">
        <v>46255</v>
      </c>
      <c r="AB568" s="15"/>
      <c r="AC568" s="15"/>
      <c r="AD568" s="15"/>
      <c r="AE568" s="15"/>
      <c r="AF568" s="15"/>
      <c r="AG568" s="15"/>
      <c r="AH568" s="15"/>
      <c r="AI568" s="46"/>
      <c r="AJ568" s="51" t="s">
        <v>6121</v>
      </c>
      <c r="AK568" s="51" t="s">
        <v>6121</v>
      </c>
      <c r="AL568" s="15">
        <v>849.8</v>
      </c>
      <c r="AM568" s="51" t="s">
        <v>67</v>
      </c>
      <c r="AN568" s="51" t="s">
        <v>67</v>
      </c>
      <c r="AO568" s="50" t="s">
        <v>9554</v>
      </c>
    </row>
    <row r="569" spans="1:41" hidden="1" x14ac:dyDescent="0.25">
      <c r="A569" s="51" t="s">
        <v>3744</v>
      </c>
      <c r="B569" s="51" t="s">
        <v>3745</v>
      </c>
      <c r="C569" s="54" t="s">
        <v>5604</v>
      </c>
      <c r="D569" s="51" t="s">
        <v>3746</v>
      </c>
      <c r="E569" s="20">
        <v>9776.0499999999993</v>
      </c>
      <c r="F569" s="20">
        <v>0</v>
      </c>
      <c r="G569" s="20">
        <v>10219.39</v>
      </c>
      <c r="H569" s="20">
        <v>0</v>
      </c>
      <c r="I569" s="20">
        <v>484.02</v>
      </c>
      <c r="J569" s="51" t="s">
        <v>2654</v>
      </c>
      <c r="K569" s="15">
        <v>0</v>
      </c>
      <c r="L569" s="51" t="s">
        <v>2371</v>
      </c>
      <c r="M569" s="51" t="s">
        <v>3747</v>
      </c>
      <c r="N569" s="51" t="s">
        <v>1340</v>
      </c>
      <c r="O569" s="51" t="s">
        <v>3748</v>
      </c>
      <c r="P569" s="51" t="s">
        <v>1340</v>
      </c>
      <c r="Q569" s="45">
        <v>46281.549287847221</v>
      </c>
      <c r="R569" s="46">
        <v>46313</v>
      </c>
      <c r="S569" s="46">
        <v>46308</v>
      </c>
      <c r="T569" s="51" t="s">
        <v>6119</v>
      </c>
      <c r="U569" s="15"/>
      <c r="V569" s="15"/>
      <c r="W569" s="15"/>
      <c r="X569" s="15"/>
      <c r="Y569" s="15"/>
      <c r="Z569" s="15"/>
      <c r="AA569" s="46"/>
      <c r="AB569" s="15"/>
      <c r="AC569" s="15"/>
      <c r="AD569" s="15"/>
      <c r="AE569" s="15"/>
      <c r="AF569" s="15"/>
      <c r="AG569" s="15"/>
      <c r="AH569" s="15"/>
      <c r="AI569" s="46"/>
      <c r="AJ569" s="51" t="s">
        <v>67</v>
      </c>
      <c r="AK569" s="51" t="s">
        <v>67</v>
      </c>
      <c r="AL569" s="15"/>
      <c r="AM569" s="51" t="s">
        <v>67</v>
      </c>
      <c r="AN569" s="51" t="s">
        <v>67</v>
      </c>
      <c r="AO569" s="50" t="s">
        <v>9554</v>
      </c>
    </row>
    <row r="570" spans="1:41" hidden="1" x14ac:dyDescent="0.25">
      <c r="A570" s="51" t="s">
        <v>3749</v>
      </c>
      <c r="B570" s="51" t="s">
        <v>3750</v>
      </c>
      <c r="C570" s="54" t="s">
        <v>5599</v>
      </c>
      <c r="D570" s="51" t="s">
        <v>3751</v>
      </c>
      <c r="E570" s="20">
        <v>7265.52</v>
      </c>
      <c r="F570" s="20">
        <v>4757.68</v>
      </c>
      <c r="G570" s="20">
        <v>570.42999999999995</v>
      </c>
      <c r="H570" s="20">
        <v>3870.86</v>
      </c>
      <c r="I570" s="20">
        <v>4757.68</v>
      </c>
      <c r="J570" s="51" t="s">
        <v>6727</v>
      </c>
      <c r="K570" s="15">
        <v>19</v>
      </c>
      <c r="L570" s="51" t="s">
        <v>2369</v>
      </c>
      <c r="M570" s="51" t="s">
        <v>3752</v>
      </c>
      <c r="N570" s="51" t="s">
        <v>1340</v>
      </c>
      <c r="O570" s="51" t="s">
        <v>67</v>
      </c>
      <c r="P570" s="51" t="s">
        <v>67</v>
      </c>
      <c r="Q570" s="45">
        <v>46281.549290381947</v>
      </c>
      <c r="R570" s="46">
        <v>46302</v>
      </c>
      <c r="S570" s="46">
        <v>46297</v>
      </c>
      <c r="T570" s="51" t="s">
        <v>6119</v>
      </c>
      <c r="U570" s="15">
        <v>848.05</v>
      </c>
      <c r="V570" s="15">
        <v>3921.84</v>
      </c>
      <c r="W570" s="15">
        <v>36.08</v>
      </c>
      <c r="X570" s="15">
        <v>14.9</v>
      </c>
      <c r="Y570" s="15">
        <v>1.662307</v>
      </c>
      <c r="Z570" s="15">
        <v>6</v>
      </c>
      <c r="AA570" s="46">
        <v>46272</v>
      </c>
      <c r="AB570" s="15"/>
      <c r="AC570" s="15"/>
      <c r="AD570" s="15"/>
      <c r="AE570" s="15"/>
      <c r="AF570" s="15"/>
      <c r="AG570" s="15"/>
      <c r="AH570" s="15"/>
      <c r="AI570" s="46"/>
      <c r="AJ570" s="51" t="s">
        <v>6121</v>
      </c>
      <c r="AK570" s="51" t="s">
        <v>6121</v>
      </c>
      <c r="AL570" s="15">
        <v>848.05</v>
      </c>
      <c r="AM570" s="51" t="s">
        <v>67</v>
      </c>
      <c r="AN570" s="51" t="s">
        <v>67</v>
      </c>
      <c r="AO570" s="50" t="s">
        <v>9554</v>
      </c>
    </row>
    <row r="571" spans="1:41" hidden="1" x14ac:dyDescent="0.25">
      <c r="A571" s="51" t="s">
        <v>3753</v>
      </c>
      <c r="B571" s="51" t="s">
        <v>3754</v>
      </c>
      <c r="C571" s="54" t="s">
        <v>607</v>
      </c>
      <c r="D571" s="51" t="s">
        <v>3755</v>
      </c>
      <c r="E571" s="20">
        <v>13095.73</v>
      </c>
      <c r="F571" s="20">
        <v>4906.1400000000003</v>
      </c>
      <c r="G571" s="20">
        <v>9528.82</v>
      </c>
      <c r="H571" s="20">
        <v>3870.86</v>
      </c>
      <c r="I571" s="20">
        <v>4356.22</v>
      </c>
      <c r="J571" s="51" t="s">
        <v>6727</v>
      </c>
      <c r="K571" s="15">
        <v>11</v>
      </c>
      <c r="L571" s="51" t="s">
        <v>2369</v>
      </c>
      <c r="M571" s="51" t="s">
        <v>67</v>
      </c>
      <c r="N571" s="51" t="s">
        <v>67</v>
      </c>
      <c r="O571" s="51" t="s">
        <v>3756</v>
      </c>
      <c r="P571" s="51" t="s">
        <v>1340</v>
      </c>
      <c r="Q571" s="45">
        <v>46281.549293217591</v>
      </c>
      <c r="R571" s="46">
        <v>46310</v>
      </c>
      <c r="S571" s="46">
        <v>46305</v>
      </c>
      <c r="T571" s="51" t="s">
        <v>6119</v>
      </c>
      <c r="U571" s="15">
        <v>848.05</v>
      </c>
      <c r="V571" s="15">
        <v>3921.84</v>
      </c>
      <c r="W571" s="15">
        <v>36.08</v>
      </c>
      <c r="X571" s="15">
        <v>14.9</v>
      </c>
      <c r="Y571" s="15">
        <v>1.662307</v>
      </c>
      <c r="Z571" s="15">
        <v>6</v>
      </c>
      <c r="AA571" s="46">
        <v>46280</v>
      </c>
      <c r="AB571" s="15"/>
      <c r="AC571" s="15"/>
      <c r="AD571" s="15"/>
      <c r="AE571" s="15"/>
      <c r="AF571" s="15"/>
      <c r="AG571" s="15"/>
      <c r="AH571" s="15"/>
      <c r="AI571" s="46"/>
      <c r="AJ571" s="51" t="s">
        <v>6121</v>
      </c>
      <c r="AK571" s="51" t="s">
        <v>6121</v>
      </c>
      <c r="AL571" s="15">
        <v>848.05</v>
      </c>
      <c r="AM571" s="51" t="s">
        <v>67</v>
      </c>
      <c r="AN571" s="51" t="s">
        <v>67</v>
      </c>
      <c r="AO571" s="50" t="s">
        <v>9554</v>
      </c>
    </row>
    <row r="572" spans="1:41" hidden="1" x14ac:dyDescent="0.25">
      <c r="A572" s="51" t="s">
        <v>3757</v>
      </c>
      <c r="B572" s="51" t="s">
        <v>3758</v>
      </c>
      <c r="C572" s="54" t="s">
        <v>5600</v>
      </c>
      <c r="D572" s="51" t="s">
        <v>3759</v>
      </c>
      <c r="E572" s="20">
        <v>9605.73</v>
      </c>
      <c r="F572" s="20">
        <v>431.42</v>
      </c>
      <c r="G572" s="20">
        <v>15008.44</v>
      </c>
      <c r="H572" s="20">
        <v>0</v>
      </c>
      <c r="I572" s="20">
        <v>431.42</v>
      </c>
      <c r="J572" s="51" t="s">
        <v>2654</v>
      </c>
      <c r="K572" s="15">
        <v>0</v>
      </c>
      <c r="L572" s="51" t="s">
        <v>2371</v>
      </c>
      <c r="M572" s="51" t="s">
        <v>3760</v>
      </c>
      <c r="N572" s="51" t="s">
        <v>1340</v>
      </c>
      <c r="O572" s="51" t="s">
        <v>3761</v>
      </c>
      <c r="P572" s="51" t="s">
        <v>1340</v>
      </c>
      <c r="Q572" s="45">
        <v>46281.549296145837</v>
      </c>
      <c r="R572" s="46">
        <v>46304</v>
      </c>
      <c r="S572" s="46">
        <v>46299</v>
      </c>
      <c r="T572" s="51" t="s">
        <v>6119</v>
      </c>
      <c r="U572" s="15"/>
      <c r="V572" s="15"/>
      <c r="W572" s="15"/>
      <c r="X572" s="15"/>
      <c r="Y572" s="15"/>
      <c r="Z572" s="15"/>
      <c r="AA572" s="46"/>
      <c r="AB572" s="15"/>
      <c r="AC572" s="15"/>
      <c r="AD572" s="15"/>
      <c r="AE572" s="15"/>
      <c r="AF572" s="15"/>
      <c r="AG572" s="15"/>
      <c r="AH572" s="15"/>
      <c r="AI572" s="46"/>
      <c r="AJ572" s="51" t="s">
        <v>67</v>
      </c>
      <c r="AK572" s="51" t="s">
        <v>67</v>
      </c>
      <c r="AL572" s="15"/>
      <c r="AM572" s="51" t="s">
        <v>67</v>
      </c>
      <c r="AN572" s="51" t="s">
        <v>67</v>
      </c>
      <c r="AO572" s="50" t="s">
        <v>9554</v>
      </c>
    </row>
    <row r="573" spans="1:41" hidden="1" x14ac:dyDescent="0.25">
      <c r="A573" s="51" t="s">
        <v>3762</v>
      </c>
      <c r="B573" s="51" t="s">
        <v>3763</v>
      </c>
      <c r="C573" s="54" t="s">
        <v>5597</v>
      </c>
      <c r="D573" s="51" t="s">
        <v>3764</v>
      </c>
      <c r="E573" s="20">
        <v>4832.47</v>
      </c>
      <c r="F573" s="20">
        <v>807.09</v>
      </c>
      <c r="G573" s="20">
        <v>14036.25</v>
      </c>
      <c r="H573" s="20">
        <v>807.09</v>
      </c>
      <c r="I573" s="20">
        <v>807.09</v>
      </c>
      <c r="J573" s="51" t="s">
        <v>6727</v>
      </c>
      <c r="K573" s="15">
        <v>0</v>
      </c>
      <c r="L573" s="51" t="s">
        <v>2371</v>
      </c>
      <c r="M573" s="51" t="s">
        <v>3765</v>
      </c>
      <c r="N573" s="51" t="s">
        <v>1340</v>
      </c>
      <c r="O573" s="51" t="s">
        <v>3766</v>
      </c>
      <c r="P573" s="51" t="s">
        <v>1340</v>
      </c>
      <c r="Q573" s="45">
        <v>46281.549298414349</v>
      </c>
      <c r="R573" s="46">
        <v>46321</v>
      </c>
      <c r="S573" s="46">
        <v>46316</v>
      </c>
      <c r="T573" s="51" t="s">
        <v>6119</v>
      </c>
      <c r="U573" s="15"/>
      <c r="V573" s="15"/>
      <c r="W573" s="15"/>
      <c r="X573" s="15"/>
      <c r="Y573" s="15"/>
      <c r="Z573" s="15"/>
      <c r="AA573" s="46"/>
      <c r="AB573" s="15"/>
      <c r="AC573" s="15"/>
      <c r="AD573" s="15"/>
      <c r="AE573" s="15"/>
      <c r="AF573" s="15"/>
      <c r="AG573" s="15"/>
      <c r="AH573" s="15"/>
      <c r="AI573" s="46"/>
      <c r="AJ573" s="51" t="s">
        <v>67</v>
      </c>
      <c r="AK573" s="51" t="s">
        <v>67</v>
      </c>
      <c r="AL573" s="15"/>
      <c r="AM573" s="51" t="s">
        <v>67</v>
      </c>
      <c r="AN573" s="51" t="s">
        <v>67</v>
      </c>
      <c r="AO573" s="50" t="s">
        <v>9554</v>
      </c>
    </row>
    <row r="574" spans="1:41" hidden="1" x14ac:dyDescent="0.25">
      <c r="A574" s="51" t="s">
        <v>3767</v>
      </c>
      <c r="B574" s="51" t="s">
        <v>3768</v>
      </c>
      <c r="C574" s="54" t="s">
        <v>5603</v>
      </c>
      <c r="D574" s="51" t="s">
        <v>3769</v>
      </c>
      <c r="E574" s="20">
        <v>2217.42</v>
      </c>
      <c r="F574" s="20">
        <v>4936.8</v>
      </c>
      <c r="G574" s="20">
        <v>13664.85</v>
      </c>
      <c r="H574" s="20">
        <v>3870.86</v>
      </c>
      <c r="I574" s="20">
        <v>4936.79</v>
      </c>
      <c r="J574" s="51" t="s">
        <v>6727</v>
      </c>
      <c r="K574" s="15">
        <v>23</v>
      </c>
      <c r="L574" s="51" t="s">
        <v>2369</v>
      </c>
      <c r="M574" s="51" t="s">
        <v>67</v>
      </c>
      <c r="N574" s="51" t="s">
        <v>67</v>
      </c>
      <c r="O574" s="51" t="s">
        <v>3770</v>
      </c>
      <c r="P574" s="51" t="s">
        <v>1340</v>
      </c>
      <c r="Q574" s="45">
        <v>46281.549301064813</v>
      </c>
      <c r="R574" s="46">
        <v>46298</v>
      </c>
      <c r="S574" s="46">
        <v>46293</v>
      </c>
      <c r="T574" s="51" t="s">
        <v>6119</v>
      </c>
      <c r="U574" s="15">
        <v>848.05</v>
      </c>
      <c r="V574" s="15">
        <v>3921.84</v>
      </c>
      <c r="W574" s="15">
        <v>36.08</v>
      </c>
      <c r="X574" s="15">
        <v>14.9</v>
      </c>
      <c r="Y574" s="15">
        <v>1.662307</v>
      </c>
      <c r="Z574" s="15">
        <v>6</v>
      </c>
      <c r="AA574" s="46">
        <v>46268</v>
      </c>
      <c r="AB574" s="15"/>
      <c r="AC574" s="15"/>
      <c r="AD574" s="15"/>
      <c r="AE574" s="15"/>
      <c r="AF574" s="15"/>
      <c r="AG574" s="15"/>
      <c r="AH574" s="15"/>
      <c r="AI574" s="46"/>
      <c r="AJ574" s="51" t="s">
        <v>6121</v>
      </c>
      <c r="AK574" s="51" t="s">
        <v>6121</v>
      </c>
      <c r="AL574" s="15">
        <v>848.05</v>
      </c>
      <c r="AM574" s="51" t="s">
        <v>67</v>
      </c>
      <c r="AN574" s="51" t="s">
        <v>67</v>
      </c>
      <c r="AO574" s="50" t="s">
        <v>9554</v>
      </c>
    </row>
    <row r="575" spans="1:41" hidden="1" x14ac:dyDescent="0.25">
      <c r="A575" s="51" t="s">
        <v>3771</v>
      </c>
      <c r="B575" s="51" t="s">
        <v>3772</v>
      </c>
      <c r="C575" s="54" t="s">
        <v>2693</v>
      </c>
      <c r="D575" s="51" t="s">
        <v>3773</v>
      </c>
      <c r="E575" s="20">
        <v>1963.15</v>
      </c>
      <c r="F575" s="20">
        <v>0</v>
      </c>
      <c r="G575" s="20">
        <v>16841.77</v>
      </c>
      <c r="H575" s="20">
        <v>0</v>
      </c>
      <c r="I575" s="20">
        <v>799.09</v>
      </c>
      <c r="J575" s="51" t="s">
        <v>2654</v>
      </c>
      <c r="K575" s="15">
        <v>0</v>
      </c>
      <c r="L575" s="51" t="s">
        <v>2371</v>
      </c>
      <c r="M575" s="51" t="s">
        <v>3774</v>
      </c>
      <c r="N575" s="51" t="s">
        <v>1340</v>
      </c>
      <c r="O575" s="51" t="s">
        <v>3775</v>
      </c>
      <c r="P575" s="51" t="s">
        <v>1340</v>
      </c>
      <c r="Q575" s="45">
        <v>46281.549303564818</v>
      </c>
      <c r="R575" s="46">
        <v>46314</v>
      </c>
      <c r="S575" s="46">
        <v>46309</v>
      </c>
      <c r="T575" s="51" t="s">
        <v>6119</v>
      </c>
      <c r="U575" s="15"/>
      <c r="V575" s="15"/>
      <c r="W575" s="15"/>
      <c r="X575" s="15"/>
      <c r="Y575" s="15"/>
      <c r="Z575" s="15"/>
      <c r="AA575" s="46"/>
      <c r="AB575" s="15"/>
      <c r="AC575" s="15"/>
      <c r="AD575" s="15"/>
      <c r="AE575" s="15"/>
      <c r="AF575" s="15"/>
      <c r="AG575" s="15"/>
      <c r="AH575" s="15"/>
      <c r="AI575" s="46"/>
      <c r="AJ575" s="51" t="s">
        <v>67</v>
      </c>
      <c r="AK575" s="51" t="s">
        <v>67</v>
      </c>
      <c r="AL575" s="15"/>
      <c r="AM575" s="51" t="s">
        <v>67</v>
      </c>
      <c r="AN575" s="51" t="s">
        <v>67</v>
      </c>
      <c r="AO575" s="50" t="s">
        <v>9554</v>
      </c>
    </row>
    <row r="576" spans="1:41" hidden="1" x14ac:dyDescent="0.25">
      <c r="A576" s="51" t="s">
        <v>3776</v>
      </c>
      <c r="B576" s="51" t="s">
        <v>3777</v>
      </c>
      <c r="C576" s="54" t="s">
        <v>608</v>
      </c>
      <c r="D576" s="51" t="s">
        <v>3778</v>
      </c>
      <c r="E576" s="20">
        <v>14134.47</v>
      </c>
      <c r="F576" s="20">
        <v>7691.34</v>
      </c>
      <c r="G576" s="20">
        <v>11298.41</v>
      </c>
      <c r="H576" s="20">
        <v>3870.86</v>
      </c>
      <c r="I576" s="20">
        <v>3820.48</v>
      </c>
      <c r="J576" s="51" t="s">
        <v>6726</v>
      </c>
      <c r="K576" s="15">
        <v>0</v>
      </c>
      <c r="L576" s="51" t="s">
        <v>2371</v>
      </c>
      <c r="M576" s="51" t="s">
        <v>3779</v>
      </c>
      <c r="N576" s="51" t="s">
        <v>1344</v>
      </c>
      <c r="O576" s="51" t="s">
        <v>3780</v>
      </c>
      <c r="P576" s="51" t="s">
        <v>1344</v>
      </c>
      <c r="Q576" s="45">
        <v>46281.549305995373</v>
      </c>
      <c r="R576" s="46">
        <v>46315</v>
      </c>
      <c r="S576" s="46">
        <v>46310</v>
      </c>
      <c r="T576" s="51" t="s">
        <v>6119</v>
      </c>
      <c r="U576" s="15">
        <v>849.8</v>
      </c>
      <c r="V576" s="15">
        <v>3922.15</v>
      </c>
      <c r="W576" s="15">
        <v>36.39</v>
      </c>
      <c r="X576" s="15">
        <v>14.9</v>
      </c>
      <c r="Y576" s="15">
        <v>1.6620440000000001</v>
      </c>
      <c r="Z576" s="15">
        <v>6</v>
      </c>
      <c r="AA576" s="46">
        <v>46254</v>
      </c>
      <c r="AB576" s="15"/>
      <c r="AC576" s="15"/>
      <c r="AD576" s="15"/>
      <c r="AE576" s="15"/>
      <c r="AF576" s="15"/>
      <c r="AG576" s="15"/>
      <c r="AH576" s="15"/>
      <c r="AI576" s="46"/>
      <c r="AJ576" s="51" t="s">
        <v>67</v>
      </c>
      <c r="AK576" s="51" t="s">
        <v>6121</v>
      </c>
      <c r="AL576" s="15">
        <v>849.8</v>
      </c>
      <c r="AM576" s="51" t="s">
        <v>67</v>
      </c>
      <c r="AN576" s="51" t="s">
        <v>67</v>
      </c>
      <c r="AO576" s="50" t="s">
        <v>9554</v>
      </c>
    </row>
    <row r="577" spans="1:41" hidden="1" x14ac:dyDescent="0.25">
      <c r="A577" s="51" t="s">
        <v>3781</v>
      </c>
      <c r="B577" s="51" t="s">
        <v>3782</v>
      </c>
      <c r="C577" s="54" t="s">
        <v>5596</v>
      </c>
      <c r="D577" s="51" t="s">
        <v>3783</v>
      </c>
      <c r="E577" s="20">
        <v>6887.15</v>
      </c>
      <c r="F577" s="20">
        <v>5011.1899999999996</v>
      </c>
      <c r="G577" s="20">
        <v>-1645.42</v>
      </c>
      <c r="H577" s="20">
        <v>3870.86</v>
      </c>
      <c r="I577" s="20">
        <v>5011.18</v>
      </c>
      <c r="J577" s="51" t="s">
        <v>6727</v>
      </c>
      <c r="K577" s="15">
        <v>21</v>
      </c>
      <c r="L577" s="51" t="s">
        <v>2369</v>
      </c>
      <c r="M577" s="51" t="s">
        <v>67</v>
      </c>
      <c r="N577" s="51" t="s">
        <v>67</v>
      </c>
      <c r="O577" s="51" t="s">
        <v>3784</v>
      </c>
      <c r="P577" s="51" t="s">
        <v>1340</v>
      </c>
      <c r="Q577" s="45">
        <v>46281.549308831018</v>
      </c>
      <c r="R577" s="46">
        <v>46300</v>
      </c>
      <c r="S577" s="46">
        <v>46295</v>
      </c>
      <c r="T577" s="51" t="s">
        <v>6119</v>
      </c>
      <c r="U577" s="15">
        <v>848.05</v>
      </c>
      <c r="V577" s="15">
        <v>3921.84</v>
      </c>
      <c r="W577" s="15">
        <v>36.08</v>
      </c>
      <c r="X577" s="15">
        <v>14.9</v>
      </c>
      <c r="Y577" s="15">
        <v>1.662307</v>
      </c>
      <c r="Z577" s="15">
        <v>6</v>
      </c>
      <c r="AA577" s="46">
        <v>46270</v>
      </c>
      <c r="AB577" s="15"/>
      <c r="AC577" s="15"/>
      <c r="AD577" s="15"/>
      <c r="AE577" s="15"/>
      <c r="AF577" s="15"/>
      <c r="AG577" s="15"/>
      <c r="AH577" s="15"/>
      <c r="AI577" s="46"/>
      <c r="AJ577" s="51" t="s">
        <v>6121</v>
      </c>
      <c r="AK577" s="51" t="s">
        <v>6121</v>
      </c>
      <c r="AL577" s="15">
        <v>848.05</v>
      </c>
      <c r="AM577" s="51" t="s">
        <v>6705</v>
      </c>
      <c r="AN577" s="51" t="s">
        <v>6713</v>
      </c>
      <c r="AO577" s="50" t="s">
        <v>9554</v>
      </c>
    </row>
    <row r="578" spans="1:41" hidden="1" x14ac:dyDescent="0.25">
      <c r="A578" s="51" t="s">
        <v>3785</v>
      </c>
      <c r="B578" s="51" t="s">
        <v>3786</v>
      </c>
      <c r="C578" s="54" t="s">
        <v>2357</v>
      </c>
      <c r="D578" s="51" t="s">
        <v>3787</v>
      </c>
      <c r="E578" s="20">
        <v>12090.58</v>
      </c>
      <c r="F578" s="20">
        <v>920.27</v>
      </c>
      <c r="G578" s="20">
        <v>18854.23</v>
      </c>
      <c r="H578" s="20">
        <v>0</v>
      </c>
      <c r="I578" s="20">
        <v>920.27</v>
      </c>
      <c r="J578" s="51" t="s">
        <v>2654</v>
      </c>
      <c r="K578" s="15">
        <v>0</v>
      </c>
      <c r="L578" s="51" t="s">
        <v>2371</v>
      </c>
      <c r="M578" s="51" t="s">
        <v>3788</v>
      </c>
      <c r="N578" s="51" t="s">
        <v>1340</v>
      </c>
      <c r="O578" s="51" t="s">
        <v>67</v>
      </c>
      <c r="P578" s="51" t="s">
        <v>67</v>
      </c>
      <c r="Q578" s="45">
        <v>46281.549311504627</v>
      </c>
      <c r="R578" s="46">
        <v>46308</v>
      </c>
      <c r="S578" s="46">
        <v>46303</v>
      </c>
      <c r="T578" s="51" t="s">
        <v>6119</v>
      </c>
      <c r="U578" s="15"/>
      <c r="V578" s="15"/>
      <c r="W578" s="15"/>
      <c r="X578" s="15"/>
      <c r="Y578" s="15"/>
      <c r="Z578" s="15"/>
      <c r="AA578" s="46"/>
      <c r="AB578" s="15"/>
      <c r="AC578" s="15"/>
      <c r="AD578" s="15"/>
      <c r="AE578" s="15"/>
      <c r="AF578" s="15"/>
      <c r="AG578" s="15"/>
      <c r="AH578" s="15"/>
      <c r="AI578" s="46"/>
      <c r="AJ578" s="51" t="s">
        <v>67</v>
      </c>
      <c r="AK578" s="51" t="s">
        <v>67</v>
      </c>
      <c r="AL578" s="15"/>
      <c r="AM578" s="51" t="s">
        <v>67</v>
      </c>
      <c r="AN578" s="51" t="s">
        <v>67</v>
      </c>
      <c r="AO578" s="50" t="s">
        <v>9554</v>
      </c>
    </row>
    <row r="579" spans="1:41" hidden="1" x14ac:dyDescent="0.25">
      <c r="A579" s="51" t="s">
        <v>3789</v>
      </c>
      <c r="B579" s="51" t="s">
        <v>3790</v>
      </c>
      <c r="C579" s="54" t="s">
        <v>608</v>
      </c>
      <c r="D579" s="51" t="s">
        <v>3791</v>
      </c>
      <c r="E579" s="20">
        <v>7069.19</v>
      </c>
      <c r="F579" s="20">
        <v>0</v>
      </c>
      <c r="G579" s="20">
        <v>9250.75</v>
      </c>
      <c r="H579" s="20">
        <v>0</v>
      </c>
      <c r="I579" s="20">
        <v>811.5</v>
      </c>
      <c r="J579" s="51" t="s">
        <v>2654</v>
      </c>
      <c r="K579" s="15">
        <v>0</v>
      </c>
      <c r="L579" s="51" t="s">
        <v>2371</v>
      </c>
      <c r="M579" s="51" t="s">
        <v>3792</v>
      </c>
      <c r="N579" s="51" t="s">
        <v>1340</v>
      </c>
      <c r="O579" s="51" t="s">
        <v>67</v>
      </c>
      <c r="P579" s="51" t="s">
        <v>67</v>
      </c>
      <c r="Q579" s="45">
        <v>46281.549313993055</v>
      </c>
      <c r="R579" s="46">
        <v>46315</v>
      </c>
      <c r="S579" s="46">
        <v>46310</v>
      </c>
      <c r="T579" s="51" t="s">
        <v>6119</v>
      </c>
      <c r="U579" s="15"/>
      <c r="V579" s="15"/>
      <c r="W579" s="15"/>
      <c r="X579" s="15"/>
      <c r="Y579" s="15"/>
      <c r="Z579" s="15"/>
      <c r="AA579" s="46"/>
      <c r="AB579" s="15"/>
      <c r="AC579" s="15"/>
      <c r="AD579" s="15"/>
      <c r="AE579" s="15"/>
      <c r="AF579" s="15"/>
      <c r="AG579" s="15"/>
      <c r="AH579" s="15"/>
      <c r="AI579" s="46"/>
      <c r="AJ579" s="51" t="s">
        <v>67</v>
      </c>
      <c r="AK579" s="51" t="s">
        <v>67</v>
      </c>
      <c r="AL579" s="15"/>
      <c r="AM579" s="51" t="s">
        <v>67</v>
      </c>
      <c r="AN579" s="51" t="s">
        <v>67</v>
      </c>
      <c r="AO579" s="50" t="s">
        <v>9554</v>
      </c>
    </row>
    <row r="580" spans="1:41" hidden="1" x14ac:dyDescent="0.25">
      <c r="A580" s="51" t="s">
        <v>3793</v>
      </c>
      <c r="B580" s="51" t="s">
        <v>3794</v>
      </c>
      <c r="C580" s="54" t="s">
        <v>5606</v>
      </c>
      <c r="D580" s="51" t="s">
        <v>3795</v>
      </c>
      <c r="E580" s="20">
        <v>10955.95</v>
      </c>
      <c r="F580" s="20">
        <v>765.63</v>
      </c>
      <c r="G580" s="20">
        <v>20275.91</v>
      </c>
      <c r="H580" s="20">
        <v>3870.86</v>
      </c>
      <c r="I580" s="20">
        <v>765.63</v>
      </c>
      <c r="J580" s="51" t="s">
        <v>6724</v>
      </c>
      <c r="K580" s="15">
        <v>0</v>
      </c>
      <c r="L580" s="51" t="s">
        <v>2371</v>
      </c>
      <c r="M580" s="51" t="s">
        <v>67</v>
      </c>
      <c r="N580" s="51" t="s">
        <v>67</v>
      </c>
      <c r="O580" s="51" t="s">
        <v>3796</v>
      </c>
      <c r="P580" s="51" t="s">
        <v>1340</v>
      </c>
      <c r="Q580" s="45">
        <v>46281.549316377314</v>
      </c>
      <c r="R580" s="46">
        <v>46297</v>
      </c>
      <c r="S580" s="46">
        <v>46292</v>
      </c>
      <c r="T580" s="51" t="s">
        <v>6119</v>
      </c>
      <c r="U580" s="15">
        <v>848.05</v>
      </c>
      <c r="V580" s="15">
        <v>3921.84</v>
      </c>
      <c r="W580" s="15">
        <v>36.08</v>
      </c>
      <c r="X580" s="15">
        <v>14.9</v>
      </c>
      <c r="Y580" s="15">
        <v>1.662307</v>
      </c>
      <c r="Z580" s="15">
        <v>6</v>
      </c>
      <c r="AA580" s="46">
        <v>46267</v>
      </c>
      <c r="AB580" s="15"/>
      <c r="AC580" s="15"/>
      <c r="AD580" s="15"/>
      <c r="AE580" s="15"/>
      <c r="AF580" s="15"/>
      <c r="AG580" s="15"/>
      <c r="AH580" s="15"/>
      <c r="AI580" s="46"/>
      <c r="AJ580" s="51" t="s">
        <v>67</v>
      </c>
      <c r="AK580" s="51" t="s">
        <v>6121</v>
      </c>
      <c r="AL580" s="15">
        <v>848.05</v>
      </c>
      <c r="AM580" s="51" t="s">
        <v>67</v>
      </c>
      <c r="AN580" s="51" t="s">
        <v>67</v>
      </c>
      <c r="AO580" s="50" t="s">
        <v>9554</v>
      </c>
    </row>
    <row r="581" spans="1:41" hidden="1" x14ac:dyDescent="0.25">
      <c r="A581" s="51" t="s">
        <v>3797</v>
      </c>
      <c r="B581" s="51" t="s">
        <v>3798</v>
      </c>
      <c r="C581" s="54" t="s">
        <v>5602</v>
      </c>
      <c r="D581" s="51" t="s">
        <v>3799</v>
      </c>
      <c r="E581" s="20">
        <v>1154.99</v>
      </c>
      <c r="F581" s="20">
        <v>4771.71</v>
      </c>
      <c r="G581" s="20">
        <v>16068.46</v>
      </c>
      <c r="H581" s="20">
        <v>3870.86</v>
      </c>
      <c r="I581" s="20">
        <v>4771.71</v>
      </c>
      <c r="J581" s="51" t="s">
        <v>6727</v>
      </c>
      <c r="K581" s="15">
        <v>18</v>
      </c>
      <c r="L581" s="51" t="s">
        <v>2369</v>
      </c>
      <c r="M581" s="51" t="s">
        <v>3800</v>
      </c>
      <c r="N581" s="51" t="s">
        <v>1340</v>
      </c>
      <c r="O581" s="51" t="s">
        <v>3801</v>
      </c>
      <c r="P581" s="51" t="s">
        <v>1340</v>
      </c>
      <c r="Q581" s="45">
        <v>46281.549319444443</v>
      </c>
      <c r="R581" s="46">
        <v>46303</v>
      </c>
      <c r="S581" s="46">
        <v>46298</v>
      </c>
      <c r="T581" s="51" t="s">
        <v>6119</v>
      </c>
      <c r="U581" s="15">
        <v>848.05</v>
      </c>
      <c r="V581" s="15">
        <v>3921.84</v>
      </c>
      <c r="W581" s="15">
        <v>36.08</v>
      </c>
      <c r="X581" s="15">
        <v>14.9</v>
      </c>
      <c r="Y581" s="15">
        <v>1.662307</v>
      </c>
      <c r="Z581" s="15">
        <v>6</v>
      </c>
      <c r="AA581" s="46">
        <v>46273</v>
      </c>
      <c r="AB581" s="15"/>
      <c r="AC581" s="15"/>
      <c r="AD581" s="15"/>
      <c r="AE581" s="15"/>
      <c r="AF581" s="15"/>
      <c r="AG581" s="15"/>
      <c r="AH581" s="15"/>
      <c r="AI581" s="46"/>
      <c r="AJ581" s="51" t="s">
        <v>6121</v>
      </c>
      <c r="AK581" s="51" t="s">
        <v>6121</v>
      </c>
      <c r="AL581" s="15">
        <v>848.05</v>
      </c>
      <c r="AM581" s="51" t="s">
        <v>67</v>
      </c>
      <c r="AN581" s="51" t="s">
        <v>67</v>
      </c>
      <c r="AO581" s="50" t="s">
        <v>9554</v>
      </c>
    </row>
    <row r="582" spans="1:41" hidden="1" x14ac:dyDescent="0.25">
      <c r="A582" s="51" t="s">
        <v>3802</v>
      </c>
      <c r="B582" s="51" t="s">
        <v>3803</v>
      </c>
      <c r="C582" s="54" t="s">
        <v>2694</v>
      </c>
      <c r="D582" s="51" t="s">
        <v>3804</v>
      </c>
      <c r="E582" s="20">
        <v>10960.16</v>
      </c>
      <c r="F582" s="20">
        <v>4808.8100000000004</v>
      </c>
      <c r="G582" s="20">
        <v>7563.65</v>
      </c>
      <c r="H582" s="20">
        <v>3870.86</v>
      </c>
      <c r="I582" s="20">
        <v>4156.1899999999996</v>
      </c>
      <c r="J582" s="51" t="s">
        <v>6727</v>
      </c>
      <c r="K582" s="15">
        <v>9</v>
      </c>
      <c r="L582" s="51" t="s">
        <v>2369</v>
      </c>
      <c r="M582" s="51" t="s">
        <v>3805</v>
      </c>
      <c r="N582" s="51" t="s">
        <v>1340</v>
      </c>
      <c r="O582" s="51" t="s">
        <v>67</v>
      </c>
      <c r="P582" s="51" t="s">
        <v>67</v>
      </c>
      <c r="Q582" s="45">
        <v>46281.54932208333</v>
      </c>
      <c r="R582" s="46">
        <v>46312</v>
      </c>
      <c r="S582" s="46">
        <v>46307</v>
      </c>
      <c r="T582" s="51" t="s">
        <v>6119</v>
      </c>
      <c r="U582" s="15">
        <v>848.05</v>
      </c>
      <c r="V582" s="15">
        <v>3921.84</v>
      </c>
      <c r="W582" s="15">
        <v>36.08</v>
      </c>
      <c r="X582" s="15">
        <v>14.9</v>
      </c>
      <c r="Y582" s="15">
        <v>1.662307</v>
      </c>
      <c r="Z582" s="15">
        <v>6</v>
      </c>
      <c r="AA582" s="46">
        <v>46282</v>
      </c>
      <c r="AB582" s="15"/>
      <c r="AC582" s="15"/>
      <c r="AD582" s="15"/>
      <c r="AE582" s="15"/>
      <c r="AF582" s="15"/>
      <c r="AG582" s="15"/>
      <c r="AH582" s="15"/>
      <c r="AI582" s="46"/>
      <c r="AJ582" s="51" t="s">
        <v>6121</v>
      </c>
      <c r="AK582" s="51" t="s">
        <v>6121</v>
      </c>
      <c r="AL582" s="15">
        <v>848.05</v>
      </c>
      <c r="AM582" s="51" t="s">
        <v>67</v>
      </c>
      <c r="AN582" s="51" t="s">
        <v>67</v>
      </c>
      <c r="AO582" s="50" t="s">
        <v>9554</v>
      </c>
    </row>
    <row r="583" spans="1:41" hidden="1" x14ac:dyDescent="0.25">
      <c r="A583" s="51" t="s">
        <v>3806</v>
      </c>
      <c r="B583" s="51" t="s">
        <v>3807</v>
      </c>
      <c r="C583" s="54" t="s">
        <v>2689</v>
      </c>
      <c r="D583" s="51" t="s">
        <v>3808</v>
      </c>
      <c r="E583" s="20">
        <v>10193.879999999999</v>
      </c>
      <c r="F583" s="20">
        <v>7947.11</v>
      </c>
      <c r="G583" s="20">
        <v>31.11</v>
      </c>
      <c r="H583" s="20">
        <v>3870.86</v>
      </c>
      <c r="I583" s="20">
        <v>5796.63</v>
      </c>
      <c r="J583" s="51" t="s">
        <v>6725</v>
      </c>
      <c r="K583" s="15">
        <v>0</v>
      </c>
      <c r="L583" s="51" t="s">
        <v>2371</v>
      </c>
      <c r="M583" s="51" t="s">
        <v>3809</v>
      </c>
      <c r="N583" s="51" t="s">
        <v>1340</v>
      </c>
      <c r="O583" s="51" t="s">
        <v>67</v>
      </c>
      <c r="P583" s="51" t="s">
        <v>67</v>
      </c>
      <c r="Q583" s="45">
        <v>46281.549324884261</v>
      </c>
      <c r="R583" s="46">
        <v>46317</v>
      </c>
      <c r="S583" s="46">
        <v>46312</v>
      </c>
      <c r="T583" s="51" t="s">
        <v>6119</v>
      </c>
      <c r="U583" s="15">
        <v>849.8</v>
      </c>
      <c r="V583" s="15">
        <v>3922.15</v>
      </c>
      <c r="W583" s="15">
        <v>36.39</v>
      </c>
      <c r="X583" s="15">
        <v>14.9</v>
      </c>
      <c r="Y583" s="15">
        <v>1.6620440000000001</v>
      </c>
      <c r="Z583" s="15">
        <v>6</v>
      </c>
      <c r="AA583" s="46">
        <v>46256</v>
      </c>
      <c r="AB583" s="15"/>
      <c r="AC583" s="15"/>
      <c r="AD583" s="15"/>
      <c r="AE583" s="15"/>
      <c r="AF583" s="15"/>
      <c r="AG583" s="15"/>
      <c r="AH583" s="15"/>
      <c r="AI583" s="46"/>
      <c r="AJ583" s="51" t="s">
        <v>67</v>
      </c>
      <c r="AK583" s="51" t="s">
        <v>6121</v>
      </c>
      <c r="AL583" s="15">
        <v>849.8</v>
      </c>
      <c r="AM583" s="51" t="s">
        <v>6705</v>
      </c>
      <c r="AN583" s="51" t="s">
        <v>6713</v>
      </c>
      <c r="AO583" s="50" t="s">
        <v>9554</v>
      </c>
    </row>
    <row r="584" spans="1:41" hidden="1" x14ac:dyDescent="0.25">
      <c r="A584" s="51" t="s">
        <v>3810</v>
      </c>
      <c r="B584" s="51" t="s">
        <v>3811</v>
      </c>
      <c r="C584" s="54" t="s">
        <v>5596</v>
      </c>
      <c r="D584" s="51" t="s">
        <v>3812</v>
      </c>
      <c r="E584" s="20">
        <v>7583.41</v>
      </c>
      <c r="F584" s="20">
        <v>4904.5200000000004</v>
      </c>
      <c r="G584" s="20">
        <v>1091.48</v>
      </c>
      <c r="H584" s="20">
        <v>3870.86</v>
      </c>
      <c r="I584" s="20">
        <v>4904.5200000000004</v>
      </c>
      <c r="J584" s="51" t="s">
        <v>6727</v>
      </c>
      <c r="K584" s="15">
        <v>21</v>
      </c>
      <c r="L584" s="51" t="s">
        <v>2369</v>
      </c>
      <c r="M584" s="51" t="s">
        <v>3813</v>
      </c>
      <c r="N584" s="51" t="s">
        <v>1340</v>
      </c>
      <c r="O584" s="51" t="s">
        <v>3814</v>
      </c>
      <c r="P584" s="51" t="s">
        <v>1340</v>
      </c>
      <c r="Q584" s="45">
        <v>46281.549327569446</v>
      </c>
      <c r="R584" s="46">
        <v>46300</v>
      </c>
      <c r="S584" s="46">
        <v>46295</v>
      </c>
      <c r="T584" s="51" t="s">
        <v>6119</v>
      </c>
      <c r="U584" s="15">
        <v>848.05</v>
      </c>
      <c r="V584" s="15">
        <v>3921.84</v>
      </c>
      <c r="W584" s="15">
        <v>36.08</v>
      </c>
      <c r="X584" s="15">
        <v>14.9</v>
      </c>
      <c r="Y584" s="15">
        <v>1.662307</v>
      </c>
      <c r="Z584" s="15">
        <v>6</v>
      </c>
      <c r="AA584" s="46">
        <v>46270</v>
      </c>
      <c r="AB584" s="15"/>
      <c r="AC584" s="15"/>
      <c r="AD584" s="15"/>
      <c r="AE584" s="15"/>
      <c r="AF584" s="15"/>
      <c r="AG584" s="15"/>
      <c r="AH584" s="15"/>
      <c r="AI584" s="46"/>
      <c r="AJ584" s="51" t="s">
        <v>6121</v>
      </c>
      <c r="AK584" s="51" t="s">
        <v>6121</v>
      </c>
      <c r="AL584" s="15">
        <v>848.05</v>
      </c>
      <c r="AM584" s="51" t="s">
        <v>67</v>
      </c>
      <c r="AN584" s="51" t="s">
        <v>67</v>
      </c>
      <c r="AO584" s="50" t="s">
        <v>9554</v>
      </c>
    </row>
    <row r="585" spans="1:41" hidden="1" x14ac:dyDescent="0.25">
      <c r="A585" s="51" t="s">
        <v>3815</v>
      </c>
      <c r="B585" s="51" t="s">
        <v>3816</v>
      </c>
      <c r="C585" s="54" t="s">
        <v>2693</v>
      </c>
      <c r="D585" s="51" t="s">
        <v>3817</v>
      </c>
      <c r="E585" s="20">
        <v>655.28</v>
      </c>
      <c r="F585" s="20">
        <v>9418.23</v>
      </c>
      <c r="G585" s="20">
        <v>4931.49</v>
      </c>
      <c r="H585" s="20">
        <v>3870.86</v>
      </c>
      <c r="I585" s="20">
        <v>5547.37</v>
      </c>
      <c r="J585" s="51" t="s">
        <v>6727</v>
      </c>
      <c r="K585" s="15">
        <v>38</v>
      </c>
      <c r="L585" s="51" t="s">
        <v>2369</v>
      </c>
      <c r="M585" s="51" t="s">
        <v>3818</v>
      </c>
      <c r="N585" s="51" t="s">
        <v>1340</v>
      </c>
      <c r="O585" s="51" t="s">
        <v>67</v>
      </c>
      <c r="P585" s="51" t="s">
        <v>67</v>
      </c>
      <c r="Q585" s="45">
        <v>46281.549330462964</v>
      </c>
      <c r="R585" s="46">
        <v>46314</v>
      </c>
      <c r="S585" s="46">
        <v>46309</v>
      </c>
      <c r="T585" s="51" t="s">
        <v>6119</v>
      </c>
      <c r="U585" s="15">
        <v>849.8</v>
      </c>
      <c r="V585" s="15">
        <v>3922.15</v>
      </c>
      <c r="W585" s="15">
        <v>36.39</v>
      </c>
      <c r="X585" s="15">
        <v>14.9</v>
      </c>
      <c r="Y585" s="15">
        <v>1.6620440000000001</v>
      </c>
      <c r="Z585" s="15">
        <v>6</v>
      </c>
      <c r="AA585" s="46">
        <v>46253</v>
      </c>
      <c r="AB585" s="15">
        <v>212.9</v>
      </c>
      <c r="AC585" s="15">
        <v>387.09</v>
      </c>
      <c r="AD585" s="15">
        <v>38.71</v>
      </c>
      <c r="AE585" s="15">
        <v>582.26</v>
      </c>
      <c r="AF585" s="15">
        <v>3729.62</v>
      </c>
      <c r="AG585" s="15">
        <v>57.49</v>
      </c>
      <c r="AH585" s="15">
        <v>1.5861069999999999</v>
      </c>
      <c r="AI585" s="46">
        <v>46283</v>
      </c>
      <c r="AJ585" s="51" t="s">
        <v>6121</v>
      </c>
      <c r="AK585" s="51" t="s">
        <v>6121</v>
      </c>
      <c r="AL585" s="15">
        <v>849.8</v>
      </c>
      <c r="AM585" s="51" t="s">
        <v>67</v>
      </c>
      <c r="AN585" s="51" t="s">
        <v>67</v>
      </c>
      <c r="AO585" s="50" t="s">
        <v>9554</v>
      </c>
    </row>
    <row r="586" spans="1:41" hidden="1" x14ac:dyDescent="0.25">
      <c r="A586" s="51" t="s">
        <v>3819</v>
      </c>
      <c r="B586" s="51" t="s">
        <v>3820</v>
      </c>
      <c r="C586" s="54" t="s">
        <v>2691</v>
      </c>
      <c r="D586" s="51" t="s">
        <v>3821</v>
      </c>
      <c r="E586" s="20">
        <v>11615.76</v>
      </c>
      <c r="F586" s="20">
        <v>2229.04</v>
      </c>
      <c r="G586" s="20">
        <v>1161.81</v>
      </c>
      <c r="H586" s="20">
        <v>3870.86</v>
      </c>
      <c r="I586" s="20">
        <v>2229.04</v>
      </c>
      <c r="J586" s="51" t="s">
        <v>6726</v>
      </c>
      <c r="K586" s="15">
        <v>0</v>
      </c>
      <c r="L586" s="51" t="s">
        <v>2371</v>
      </c>
      <c r="M586" s="51" t="s">
        <v>3822</v>
      </c>
      <c r="N586" s="51" t="s">
        <v>1340</v>
      </c>
      <c r="O586" s="51" t="s">
        <v>3823</v>
      </c>
      <c r="P586" s="51" t="s">
        <v>1340</v>
      </c>
      <c r="Q586" s="45">
        <v>46281.54933292824</v>
      </c>
      <c r="R586" s="46">
        <v>46301</v>
      </c>
      <c r="S586" s="46">
        <v>46296</v>
      </c>
      <c r="T586" s="51" t="s">
        <v>6119</v>
      </c>
      <c r="U586" s="15">
        <v>848.05</v>
      </c>
      <c r="V586" s="15">
        <v>3921.84</v>
      </c>
      <c r="W586" s="15">
        <v>36.08</v>
      </c>
      <c r="X586" s="15">
        <v>14.9</v>
      </c>
      <c r="Y586" s="15">
        <v>1.662307</v>
      </c>
      <c r="Z586" s="15">
        <v>6</v>
      </c>
      <c r="AA586" s="46">
        <v>46271</v>
      </c>
      <c r="AB586" s="15"/>
      <c r="AC586" s="15"/>
      <c r="AD586" s="15"/>
      <c r="AE586" s="15"/>
      <c r="AF586" s="15"/>
      <c r="AG586" s="15"/>
      <c r="AH586" s="15"/>
      <c r="AI586" s="46"/>
      <c r="AJ586" s="51" t="s">
        <v>67</v>
      </c>
      <c r="AK586" s="51" t="s">
        <v>6121</v>
      </c>
      <c r="AL586" s="15">
        <v>848.05</v>
      </c>
      <c r="AM586" s="51" t="s">
        <v>6705</v>
      </c>
      <c r="AN586" s="51" t="s">
        <v>6713</v>
      </c>
      <c r="AO586" s="50" t="s">
        <v>9554</v>
      </c>
    </row>
    <row r="587" spans="1:41" hidden="1" x14ac:dyDescent="0.25">
      <c r="A587" s="51" t="s">
        <v>3824</v>
      </c>
      <c r="B587" s="51" t="s">
        <v>3825</v>
      </c>
      <c r="C587" s="54" t="s">
        <v>5607</v>
      </c>
      <c r="D587" s="51" t="s">
        <v>3826</v>
      </c>
      <c r="E587" s="20">
        <v>12339.89</v>
      </c>
      <c r="F587" s="20">
        <v>906.26</v>
      </c>
      <c r="G587" s="20">
        <v>11242.97</v>
      </c>
      <c r="H587" s="20">
        <v>0</v>
      </c>
      <c r="I587" s="20">
        <v>906.26</v>
      </c>
      <c r="J587" s="51" t="s">
        <v>2654</v>
      </c>
      <c r="K587" s="15">
        <v>0</v>
      </c>
      <c r="L587" s="51" t="s">
        <v>2371</v>
      </c>
      <c r="M587" s="51" t="s">
        <v>3827</v>
      </c>
      <c r="N587" s="51" t="s">
        <v>1340</v>
      </c>
      <c r="O587" s="51" t="s">
        <v>3828</v>
      </c>
      <c r="P587" s="51" t="s">
        <v>1340</v>
      </c>
      <c r="Q587" s="45">
        <v>46281.549335960648</v>
      </c>
      <c r="R587" s="46">
        <v>46299</v>
      </c>
      <c r="S587" s="46">
        <v>46294</v>
      </c>
      <c r="T587" s="51" t="s">
        <v>6119</v>
      </c>
      <c r="U587" s="15"/>
      <c r="V587" s="15"/>
      <c r="W587" s="15"/>
      <c r="X587" s="15"/>
      <c r="Y587" s="15"/>
      <c r="Z587" s="15"/>
      <c r="AA587" s="46"/>
      <c r="AB587" s="15"/>
      <c r="AC587" s="15"/>
      <c r="AD587" s="15"/>
      <c r="AE587" s="15"/>
      <c r="AF587" s="15"/>
      <c r="AG587" s="15"/>
      <c r="AH587" s="15"/>
      <c r="AI587" s="46"/>
      <c r="AJ587" s="51" t="s">
        <v>67</v>
      </c>
      <c r="AK587" s="51" t="s">
        <v>67</v>
      </c>
      <c r="AL587" s="15"/>
      <c r="AM587" s="51" t="s">
        <v>67</v>
      </c>
      <c r="AN587" s="51" t="s">
        <v>67</v>
      </c>
      <c r="AO587" s="50" t="s">
        <v>9554</v>
      </c>
    </row>
    <row r="588" spans="1:41" hidden="1" x14ac:dyDescent="0.25">
      <c r="A588" s="51" t="s">
        <v>3829</v>
      </c>
      <c r="B588" s="51" t="s">
        <v>3830</v>
      </c>
      <c r="C588" s="54" t="s">
        <v>2691</v>
      </c>
      <c r="D588" s="51" t="s">
        <v>3831</v>
      </c>
      <c r="E588" s="20">
        <v>9326.69</v>
      </c>
      <c r="F588" s="20">
        <v>804.16</v>
      </c>
      <c r="G588" s="20">
        <v>13957.75</v>
      </c>
      <c r="H588" s="20">
        <v>0</v>
      </c>
      <c r="I588" s="20">
        <v>804.16</v>
      </c>
      <c r="J588" s="51" t="s">
        <v>2654</v>
      </c>
      <c r="K588" s="15">
        <v>0</v>
      </c>
      <c r="L588" s="51" t="s">
        <v>2371</v>
      </c>
      <c r="M588" s="51" t="s">
        <v>3832</v>
      </c>
      <c r="N588" s="51" t="s">
        <v>1340</v>
      </c>
      <c r="O588" s="51" t="s">
        <v>3833</v>
      </c>
      <c r="P588" s="51" t="s">
        <v>1340</v>
      </c>
      <c r="Q588" s="45">
        <v>46281.5493384375</v>
      </c>
      <c r="R588" s="46">
        <v>46301</v>
      </c>
      <c r="S588" s="46">
        <v>46296</v>
      </c>
      <c r="T588" s="51" t="s">
        <v>6119</v>
      </c>
      <c r="U588" s="15"/>
      <c r="V588" s="15"/>
      <c r="W588" s="15"/>
      <c r="X588" s="15"/>
      <c r="Y588" s="15"/>
      <c r="Z588" s="15"/>
      <c r="AA588" s="46"/>
      <c r="AB588" s="15"/>
      <c r="AC588" s="15"/>
      <c r="AD588" s="15"/>
      <c r="AE588" s="15"/>
      <c r="AF588" s="15"/>
      <c r="AG588" s="15"/>
      <c r="AH588" s="15"/>
      <c r="AI588" s="46"/>
      <c r="AJ588" s="51" t="s">
        <v>67</v>
      </c>
      <c r="AK588" s="51" t="s">
        <v>67</v>
      </c>
      <c r="AL588" s="15"/>
      <c r="AM588" s="51" t="s">
        <v>67</v>
      </c>
      <c r="AN588" s="51" t="s">
        <v>67</v>
      </c>
      <c r="AO588" s="50" t="s">
        <v>9554</v>
      </c>
    </row>
    <row r="589" spans="1:41" hidden="1" x14ac:dyDescent="0.25">
      <c r="A589" s="51" t="s">
        <v>3834</v>
      </c>
      <c r="B589" s="51" t="s">
        <v>3835</v>
      </c>
      <c r="C589" s="54" t="s">
        <v>608</v>
      </c>
      <c r="D589" s="51" t="s">
        <v>3836</v>
      </c>
      <c r="E589" s="20">
        <v>10510.13</v>
      </c>
      <c r="F589" s="20">
        <v>6131.22</v>
      </c>
      <c r="G589" s="20">
        <v>3095.52</v>
      </c>
      <c r="H589" s="20">
        <v>3870.86</v>
      </c>
      <c r="I589" s="20">
        <v>3120.55</v>
      </c>
      <c r="J589" s="51" t="s">
        <v>6726</v>
      </c>
      <c r="K589" s="15">
        <v>0</v>
      </c>
      <c r="L589" s="51" t="s">
        <v>2371</v>
      </c>
      <c r="M589" s="51" t="s">
        <v>3837</v>
      </c>
      <c r="N589" s="51" t="s">
        <v>1340</v>
      </c>
      <c r="O589" s="51" t="s">
        <v>3838</v>
      </c>
      <c r="P589" s="51" t="s">
        <v>1340</v>
      </c>
      <c r="Q589" s="45">
        <v>46281.549340833335</v>
      </c>
      <c r="R589" s="46">
        <v>46315</v>
      </c>
      <c r="S589" s="46">
        <v>46310</v>
      </c>
      <c r="T589" s="51" t="s">
        <v>6119</v>
      </c>
      <c r="U589" s="15">
        <v>849.8</v>
      </c>
      <c r="V589" s="15">
        <v>3922.15</v>
      </c>
      <c r="W589" s="15">
        <v>36.39</v>
      </c>
      <c r="X589" s="15">
        <v>14.9</v>
      </c>
      <c r="Y589" s="15">
        <v>1.6620440000000001</v>
      </c>
      <c r="Z589" s="15">
        <v>6</v>
      </c>
      <c r="AA589" s="46">
        <v>46254</v>
      </c>
      <c r="AB589" s="15"/>
      <c r="AC589" s="15"/>
      <c r="AD589" s="15"/>
      <c r="AE589" s="15"/>
      <c r="AF589" s="15"/>
      <c r="AG589" s="15"/>
      <c r="AH589" s="15"/>
      <c r="AI589" s="46"/>
      <c r="AJ589" s="51" t="s">
        <v>67</v>
      </c>
      <c r="AK589" s="51" t="s">
        <v>6121</v>
      </c>
      <c r="AL589" s="15">
        <v>849.8</v>
      </c>
      <c r="AM589" s="51" t="s">
        <v>67</v>
      </c>
      <c r="AN589" s="51" t="s">
        <v>67</v>
      </c>
      <c r="AO589" s="50" t="s">
        <v>9554</v>
      </c>
    </row>
    <row r="590" spans="1:41" hidden="1" x14ac:dyDescent="0.25">
      <c r="A590" s="51" t="s">
        <v>3839</v>
      </c>
      <c r="B590" s="51" t="s">
        <v>3840</v>
      </c>
      <c r="C590" s="54" t="s">
        <v>2693</v>
      </c>
      <c r="D590" s="51" t="s">
        <v>3841</v>
      </c>
      <c r="E590" s="20">
        <v>7308.53</v>
      </c>
      <c r="F590" s="20">
        <v>5682.43</v>
      </c>
      <c r="G590" s="20">
        <v>1793.41</v>
      </c>
      <c r="H590" s="20">
        <v>3870.86</v>
      </c>
      <c r="I590" s="20">
        <v>4392.1400000000003</v>
      </c>
      <c r="J590" s="51" t="s">
        <v>6726</v>
      </c>
      <c r="K590" s="15">
        <v>0</v>
      </c>
      <c r="L590" s="51" t="s">
        <v>2371</v>
      </c>
      <c r="M590" s="51" t="s">
        <v>3842</v>
      </c>
      <c r="N590" s="51" t="s">
        <v>1340</v>
      </c>
      <c r="O590" s="51" t="s">
        <v>3843</v>
      </c>
      <c r="P590" s="51" t="s">
        <v>1340</v>
      </c>
      <c r="Q590" s="45">
        <v>46281.549343576386</v>
      </c>
      <c r="R590" s="46">
        <v>46314</v>
      </c>
      <c r="S590" s="46">
        <v>46309</v>
      </c>
      <c r="T590" s="51" t="s">
        <v>6119</v>
      </c>
      <c r="U590" s="15">
        <v>849.8</v>
      </c>
      <c r="V590" s="15">
        <v>3922.15</v>
      </c>
      <c r="W590" s="15">
        <v>36.39</v>
      </c>
      <c r="X590" s="15">
        <v>14.9</v>
      </c>
      <c r="Y590" s="15">
        <v>1.6620440000000001</v>
      </c>
      <c r="Z590" s="15">
        <v>6</v>
      </c>
      <c r="AA590" s="46">
        <v>46253</v>
      </c>
      <c r="AB590" s="15">
        <v>212.9</v>
      </c>
      <c r="AC590" s="15">
        <v>387.09</v>
      </c>
      <c r="AD590" s="15">
        <v>38.71</v>
      </c>
      <c r="AE590" s="15">
        <v>582.26</v>
      </c>
      <c r="AF590" s="15">
        <v>3729.62</v>
      </c>
      <c r="AG590" s="15">
        <v>57.49</v>
      </c>
      <c r="AH590" s="15">
        <v>1.5861069999999999</v>
      </c>
      <c r="AI590" s="46">
        <v>46283</v>
      </c>
      <c r="AJ590" s="51" t="s">
        <v>67</v>
      </c>
      <c r="AK590" s="51" t="s">
        <v>6121</v>
      </c>
      <c r="AL590" s="15">
        <v>849.8</v>
      </c>
      <c r="AM590" s="51" t="s">
        <v>6705</v>
      </c>
      <c r="AN590" s="51" t="s">
        <v>6713</v>
      </c>
      <c r="AO590" s="50" t="s">
        <v>9554</v>
      </c>
    </row>
    <row r="591" spans="1:41" hidden="1" x14ac:dyDescent="0.25">
      <c r="A591" s="51" t="s">
        <v>3844</v>
      </c>
      <c r="B591" s="51" t="s">
        <v>3845</v>
      </c>
      <c r="C591" s="54" t="s">
        <v>605</v>
      </c>
      <c r="D591" s="51" t="s">
        <v>3846</v>
      </c>
      <c r="E591" s="20">
        <v>7582.9</v>
      </c>
      <c r="F591" s="20">
        <v>626.08000000000004</v>
      </c>
      <c r="G591" s="20">
        <v>3003.15</v>
      </c>
      <c r="H591" s="20">
        <v>0</v>
      </c>
      <c r="I591" s="20">
        <v>626.08000000000004</v>
      </c>
      <c r="J591" s="51" t="s">
        <v>2654</v>
      </c>
      <c r="K591" s="15">
        <v>0</v>
      </c>
      <c r="L591" s="51" t="s">
        <v>2371</v>
      </c>
      <c r="M591" s="51" t="s">
        <v>67</v>
      </c>
      <c r="N591" s="51" t="s">
        <v>67</v>
      </c>
      <c r="O591" s="51" t="s">
        <v>3847</v>
      </c>
      <c r="P591" s="51" t="s">
        <v>1344</v>
      </c>
      <c r="Q591" s="45">
        <v>46281.549346481479</v>
      </c>
      <c r="R591" s="46">
        <v>46305</v>
      </c>
      <c r="S591" s="46">
        <v>46300</v>
      </c>
      <c r="T591" s="51" t="s">
        <v>6119</v>
      </c>
      <c r="U591" s="15"/>
      <c r="V591" s="15"/>
      <c r="W591" s="15"/>
      <c r="X591" s="15"/>
      <c r="Y591" s="15"/>
      <c r="Z591" s="15"/>
      <c r="AA591" s="46"/>
      <c r="AB591" s="15"/>
      <c r="AC591" s="15"/>
      <c r="AD591" s="15"/>
      <c r="AE591" s="15"/>
      <c r="AF591" s="15"/>
      <c r="AG591" s="15"/>
      <c r="AH591" s="15"/>
      <c r="AI591" s="46"/>
      <c r="AJ591" s="51" t="s">
        <v>67</v>
      </c>
      <c r="AK591" s="51" t="s">
        <v>67</v>
      </c>
      <c r="AL591" s="15"/>
      <c r="AM591" s="51" t="s">
        <v>67</v>
      </c>
      <c r="AN591" s="51" t="s">
        <v>67</v>
      </c>
      <c r="AO591" s="50" t="s">
        <v>9554</v>
      </c>
    </row>
    <row r="592" spans="1:41" hidden="1" x14ac:dyDescent="0.25">
      <c r="A592" s="51" t="s">
        <v>3848</v>
      </c>
      <c r="B592" s="51" t="s">
        <v>3849</v>
      </c>
      <c r="C592" s="54" t="s">
        <v>611</v>
      </c>
      <c r="D592" s="51" t="s">
        <v>3850</v>
      </c>
      <c r="E592" s="20">
        <v>4004.31</v>
      </c>
      <c r="F592" s="20">
        <v>967.63</v>
      </c>
      <c r="G592" s="20">
        <v>18078.89</v>
      </c>
      <c r="H592" s="20">
        <v>940.05</v>
      </c>
      <c r="I592" s="20">
        <v>967.63</v>
      </c>
      <c r="J592" s="51" t="s">
        <v>6727</v>
      </c>
      <c r="K592" s="15">
        <v>1</v>
      </c>
      <c r="L592" s="51" t="s">
        <v>2369</v>
      </c>
      <c r="M592" s="51" t="s">
        <v>67</v>
      </c>
      <c r="N592" s="51" t="s">
        <v>67</v>
      </c>
      <c r="O592" s="51" t="s">
        <v>3851</v>
      </c>
      <c r="P592" s="51" t="s">
        <v>1340</v>
      </c>
      <c r="Q592" s="45">
        <v>46281.549349212961</v>
      </c>
      <c r="R592" s="46">
        <v>46320</v>
      </c>
      <c r="S592" s="46">
        <v>46315</v>
      </c>
      <c r="T592" s="51" t="s">
        <v>6119</v>
      </c>
      <c r="U592" s="15"/>
      <c r="V592" s="15"/>
      <c r="W592" s="15"/>
      <c r="X592" s="15"/>
      <c r="Y592" s="15"/>
      <c r="Z592" s="15"/>
      <c r="AA592" s="46"/>
      <c r="AB592" s="15"/>
      <c r="AC592" s="15"/>
      <c r="AD592" s="15"/>
      <c r="AE592" s="15"/>
      <c r="AF592" s="15"/>
      <c r="AG592" s="15"/>
      <c r="AH592" s="15"/>
      <c r="AI592" s="46"/>
      <c r="AJ592" s="51" t="s">
        <v>67</v>
      </c>
      <c r="AK592" s="51" t="s">
        <v>67</v>
      </c>
      <c r="AL592" s="15"/>
      <c r="AM592" s="51" t="s">
        <v>67</v>
      </c>
      <c r="AN592" s="51" t="s">
        <v>67</v>
      </c>
      <c r="AO592" s="50" t="s">
        <v>9554</v>
      </c>
    </row>
    <row r="593" spans="1:41" hidden="1" x14ac:dyDescent="0.25">
      <c r="A593" s="51" t="s">
        <v>3852</v>
      </c>
      <c r="B593" s="51" t="s">
        <v>3853</v>
      </c>
      <c r="C593" s="54" t="s">
        <v>2345</v>
      </c>
      <c r="D593" s="51" t="s">
        <v>3854</v>
      </c>
      <c r="E593" s="20">
        <v>13273.77</v>
      </c>
      <c r="F593" s="20">
        <v>4877.5</v>
      </c>
      <c r="G593" s="20">
        <v>7837.33</v>
      </c>
      <c r="H593" s="20">
        <v>3870.86</v>
      </c>
      <c r="I593" s="20">
        <v>4877.5</v>
      </c>
      <c r="J593" s="51" t="s">
        <v>6727</v>
      </c>
      <c r="K593" s="15">
        <v>15</v>
      </c>
      <c r="L593" s="51" t="s">
        <v>2369</v>
      </c>
      <c r="M593" s="51" t="s">
        <v>3855</v>
      </c>
      <c r="N593" s="51" t="s">
        <v>1344</v>
      </c>
      <c r="O593" s="51" t="s">
        <v>3856</v>
      </c>
      <c r="P593" s="51" t="s">
        <v>1344</v>
      </c>
      <c r="Q593" s="45">
        <v>46281.549351643516</v>
      </c>
      <c r="R593" s="46">
        <v>46306</v>
      </c>
      <c r="S593" s="46">
        <v>46301</v>
      </c>
      <c r="T593" s="51" t="s">
        <v>6119</v>
      </c>
      <c r="U593" s="15">
        <v>848.05</v>
      </c>
      <c r="V593" s="15">
        <v>3921.84</v>
      </c>
      <c r="W593" s="15">
        <v>36.08</v>
      </c>
      <c r="X593" s="15">
        <v>14.9</v>
      </c>
      <c r="Y593" s="15">
        <v>1.662307</v>
      </c>
      <c r="Z593" s="15">
        <v>6</v>
      </c>
      <c r="AA593" s="46">
        <v>46276</v>
      </c>
      <c r="AB593" s="15"/>
      <c r="AC593" s="15"/>
      <c r="AD593" s="15"/>
      <c r="AE593" s="15"/>
      <c r="AF593" s="15"/>
      <c r="AG593" s="15"/>
      <c r="AH593" s="15"/>
      <c r="AI593" s="46"/>
      <c r="AJ593" s="51" t="s">
        <v>6121</v>
      </c>
      <c r="AK593" s="51" t="s">
        <v>6121</v>
      </c>
      <c r="AL593" s="15">
        <v>848.05</v>
      </c>
      <c r="AM593" s="51" t="s">
        <v>67</v>
      </c>
      <c r="AN593" s="51" t="s">
        <v>67</v>
      </c>
      <c r="AO593" s="50" t="s">
        <v>9554</v>
      </c>
    </row>
    <row r="594" spans="1:41" hidden="1" x14ac:dyDescent="0.25">
      <c r="A594" s="51" t="s">
        <v>3857</v>
      </c>
      <c r="B594" s="51" t="s">
        <v>3858</v>
      </c>
      <c r="C594" s="54" t="s">
        <v>2690</v>
      </c>
      <c r="D594" s="51" t="s">
        <v>3859</v>
      </c>
      <c r="E594" s="20">
        <v>8042.97</v>
      </c>
      <c r="F594" s="20">
        <v>690.91</v>
      </c>
      <c r="G594" s="20">
        <v>17968.84</v>
      </c>
      <c r="H594" s="20">
        <v>690.91</v>
      </c>
      <c r="I594" s="20">
        <v>690.91</v>
      </c>
      <c r="J594" s="51" t="s">
        <v>6727</v>
      </c>
      <c r="K594" s="15">
        <v>0</v>
      </c>
      <c r="L594" s="51" t="s">
        <v>2371</v>
      </c>
      <c r="M594" s="51" t="s">
        <v>3860</v>
      </c>
      <c r="N594" s="51" t="s">
        <v>1340</v>
      </c>
      <c r="O594" s="51" t="s">
        <v>3861</v>
      </c>
      <c r="P594" s="51" t="s">
        <v>1340</v>
      </c>
      <c r="Q594" s="45">
        <v>46281.549354849536</v>
      </c>
      <c r="R594" s="46">
        <v>46322</v>
      </c>
      <c r="S594" s="46">
        <v>46317</v>
      </c>
      <c r="T594" s="51" t="s">
        <v>6119</v>
      </c>
      <c r="U594" s="15"/>
      <c r="V594" s="15"/>
      <c r="W594" s="15"/>
      <c r="X594" s="15"/>
      <c r="Y594" s="15"/>
      <c r="Z594" s="15"/>
      <c r="AA594" s="46"/>
      <c r="AB594" s="15"/>
      <c r="AC594" s="15"/>
      <c r="AD594" s="15"/>
      <c r="AE594" s="15"/>
      <c r="AF594" s="15"/>
      <c r="AG594" s="15"/>
      <c r="AH594" s="15"/>
      <c r="AI594" s="46"/>
      <c r="AJ594" s="51" t="s">
        <v>67</v>
      </c>
      <c r="AK594" s="51" t="s">
        <v>67</v>
      </c>
      <c r="AL594" s="15"/>
      <c r="AM594" s="51" t="s">
        <v>67</v>
      </c>
      <c r="AN594" s="51" t="s">
        <v>67</v>
      </c>
      <c r="AO594" s="50" t="s">
        <v>9554</v>
      </c>
    </row>
    <row r="595" spans="1:41" hidden="1" x14ac:dyDescent="0.25">
      <c r="A595" s="51" t="s">
        <v>3862</v>
      </c>
      <c r="B595" s="51" t="s">
        <v>3863</v>
      </c>
      <c r="C595" s="54" t="s">
        <v>611</v>
      </c>
      <c r="D595" s="51" t="s">
        <v>3864</v>
      </c>
      <c r="E595" s="20">
        <v>7051.49</v>
      </c>
      <c r="F595" s="20">
        <v>763.49</v>
      </c>
      <c r="G595" s="20">
        <v>20887.75</v>
      </c>
      <c r="H595" s="20">
        <v>741.72</v>
      </c>
      <c r="I595" s="20">
        <v>763.49</v>
      </c>
      <c r="J595" s="51" t="s">
        <v>6727</v>
      </c>
      <c r="K595" s="15">
        <v>1</v>
      </c>
      <c r="L595" s="51" t="s">
        <v>2369</v>
      </c>
      <c r="M595" s="51" t="s">
        <v>3865</v>
      </c>
      <c r="N595" s="51" t="s">
        <v>1340</v>
      </c>
      <c r="O595" s="51" t="s">
        <v>3866</v>
      </c>
      <c r="P595" s="51" t="s">
        <v>1340</v>
      </c>
      <c r="Q595" s="45">
        <v>46281.549357141201</v>
      </c>
      <c r="R595" s="46">
        <v>46320</v>
      </c>
      <c r="S595" s="46">
        <v>46315</v>
      </c>
      <c r="T595" s="51" t="s">
        <v>6119</v>
      </c>
      <c r="U595" s="15"/>
      <c r="V595" s="15"/>
      <c r="W595" s="15"/>
      <c r="X595" s="15"/>
      <c r="Y595" s="15"/>
      <c r="Z595" s="15"/>
      <c r="AA595" s="46"/>
      <c r="AB595" s="15"/>
      <c r="AC595" s="15"/>
      <c r="AD595" s="15"/>
      <c r="AE595" s="15"/>
      <c r="AF595" s="15"/>
      <c r="AG595" s="15"/>
      <c r="AH595" s="15"/>
      <c r="AI595" s="46"/>
      <c r="AJ595" s="51" t="s">
        <v>67</v>
      </c>
      <c r="AK595" s="51" t="s">
        <v>67</v>
      </c>
      <c r="AL595" s="15"/>
      <c r="AM595" s="51" t="s">
        <v>67</v>
      </c>
      <c r="AN595" s="51" t="s">
        <v>67</v>
      </c>
      <c r="AO595" s="50" t="s">
        <v>9554</v>
      </c>
    </row>
    <row r="596" spans="1:41" hidden="1" x14ac:dyDescent="0.25">
      <c r="A596" s="51" t="s">
        <v>3867</v>
      </c>
      <c r="B596" s="51" t="s">
        <v>3868</v>
      </c>
      <c r="C596" s="54" t="s">
        <v>5599</v>
      </c>
      <c r="D596" s="51" t="s">
        <v>3869</v>
      </c>
      <c r="E596" s="20">
        <v>9101.66</v>
      </c>
      <c r="F596" s="20">
        <v>660.91</v>
      </c>
      <c r="G596" s="20">
        <v>17737.63</v>
      </c>
      <c r="H596" s="20">
        <v>0</v>
      </c>
      <c r="I596" s="20">
        <v>660.91</v>
      </c>
      <c r="J596" s="51" t="s">
        <v>2654</v>
      </c>
      <c r="K596" s="15">
        <v>0</v>
      </c>
      <c r="L596" s="51" t="s">
        <v>2371</v>
      </c>
      <c r="M596" s="51" t="s">
        <v>3870</v>
      </c>
      <c r="N596" s="51" t="s">
        <v>1340</v>
      </c>
      <c r="O596" s="51" t="s">
        <v>3871</v>
      </c>
      <c r="P596" s="51" t="s">
        <v>1340</v>
      </c>
      <c r="Q596" s="45">
        <v>46281.549359942132</v>
      </c>
      <c r="R596" s="46">
        <v>46302</v>
      </c>
      <c r="S596" s="46">
        <v>46297</v>
      </c>
      <c r="T596" s="51" t="s">
        <v>6119</v>
      </c>
      <c r="U596" s="15"/>
      <c r="V596" s="15"/>
      <c r="W596" s="15"/>
      <c r="X596" s="15"/>
      <c r="Y596" s="15"/>
      <c r="Z596" s="15"/>
      <c r="AA596" s="46"/>
      <c r="AB596" s="15"/>
      <c r="AC596" s="15"/>
      <c r="AD596" s="15"/>
      <c r="AE596" s="15"/>
      <c r="AF596" s="15"/>
      <c r="AG596" s="15"/>
      <c r="AH596" s="15"/>
      <c r="AI596" s="46"/>
      <c r="AJ596" s="51" t="s">
        <v>67</v>
      </c>
      <c r="AK596" s="51" t="s">
        <v>67</v>
      </c>
      <c r="AL596" s="15"/>
      <c r="AM596" s="51" t="s">
        <v>67</v>
      </c>
      <c r="AN596" s="51" t="s">
        <v>67</v>
      </c>
      <c r="AO596" s="50" t="s">
        <v>9554</v>
      </c>
    </row>
    <row r="597" spans="1:41" hidden="1" x14ac:dyDescent="0.25">
      <c r="A597" s="51" t="s">
        <v>3872</v>
      </c>
      <c r="B597" s="51" t="s">
        <v>3873</v>
      </c>
      <c r="C597" s="54" t="s">
        <v>2691</v>
      </c>
      <c r="D597" s="51" t="s">
        <v>3874</v>
      </c>
      <c r="E597" s="20">
        <v>7962.56</v>
      </c>
      <c r="F597" s="20">
        <v>4776.1400000000003</v>
      </c>
      <c r="G597" s="20">
        <v>12494.76</v>
      </c>
      <c r="H597" s="20">
        <v>3870.86</v>
      </c>
      <c r="I597" s="20">
        <v>4776.1400000000003</v>
      </c>
      <c r="J597" s="51" t="s">
        <v>6727</v>
      </c>
      <c r="K597" s="15">
        <v>20</v>
      </c>
      <c r="L597" s="51" t="s">
        <v>2369</v>
      </c>
      <c r="M597" s="51" t="s">
        <v>67</v>
      </c>
      <c r="N597" s="51" t="s">
        <v>67</v>
      </c>
      <c r="O597" s="51" t="s">
        <v>3875</v>
      </c>
      <c r="P597" s="51" t="s">
        <v>1340</v>
      </c>
      <c r="Q597" s="45">
        <v>46281.549362430553</v>
      </c>
      <c r="R597" s="46">
        <v>46301</v>
      </c>
      <c r="S597" s="46">
        <v>46296</v>
      </c>
      <c r="T597" s="51" t="s">
        <v>6119</v>
      </c>
      <c r="U597" s="15">
        <v>848.05</v>
      </c>
      <c r="V597" s="15">
        <v>3921.84</v>
      </c>
      <c r="W597" s="15">
        <v>36.08</v>
      </c>
      <c r="X597" s="15">
        <v>14.9</v>
      </c>
      <c r="Y597" s="15">
        <v>1.662307</v>
      </c>
      <c r="Z597" s="15">
        <v>6</v>
      </c>
      <c r="AA597" s="46">
        <v>46271</v>
      </c>
      <c r="AB597" s="15"/>
      <c r="AC597" s="15"/>
      <c r="AD597" s="15"/>
      <c r="AE597" s="15"/>
      <c r="AF597" s="15"/>
      <c r="AG597" s="15"/>
      <c r="AH597" s="15"/>
      <c r="AI597" s="46"/>
      <c r="AJ597" s="51" t="s">
        <v>6121</v>
      </c>
      <c r="AK597" s="51" t="s">
        <v>6121</v>
      </c>
      <c r="AL597" s="15">
        <v>848.05</v>
      </c>
      <c r="AM597" s="51" t="s">
        <v>67</v>
      </c>
      <c r="AN597" s="51" t="s">
        <v>67</v>
      </c>
      <c r="AO597" s="50" t="s">
        <v>9554</v>
      </c>
    </row>
    <row r="598" spans="1:41" hidden="1" x14ac:dyDescent="0.25">
      <c r="A598" s="51" t="s">
        <v>3876</v>
      </c>
      <c r="B598" s="51" t="s">
        <v>3877</v>
      </c>
      <c r="C598" s="54" t="s">
        <v>607</v>
      </c>
      <c r="D598" s="51" t="s">
        <v>3878</v>
      </c>
      <c r="E598" s="20">
        <v>5374.55</v>
      </c>
      <c r="F598" s="20">
        <v>635.72</v>
      </c>
      <c r="G598" s="20">
        <v>13620.23</v>
      </c>
      <c r="H598" s="20">
        <v>0</v>
      </c>
      <c r="I598" s="20">
        <v>635.72</v>
      </c>
      <c r="J598" s="51" t="s">
        <v>2654</v>
      </c>
      <c r="K598" s="15">
        <v>0</v>
      </c>
      <c r="L598" s="51" t="s">
        <v>2371</v>
      </c>
      <c r="M598" s="51" t="s">
        <v>3879</v>
      </c>
      <c r="N598" s="51" t="s">
        <v>1340</v>
      </c>
      <c r="O598" s="51" t="s">
        <v>67</v>
      </c>
      <c r="P598" s="51" t="s">
        <v>67</v>
      </c>
      <c r="Q598" s="45">
        <v>46281.549365370367</v>
      </c>
      <c r="R598" s="46">
        <v>46310</v>
      </c>
      <c r="S598" s="46">
        <v>46305</v>
      </c>
      <c r="T598" s="51" t="s">
        <v>6119</v>
      </c>
      <c r="U598" s="15"/>
      <c r="V598" s="15"/>
      <c r="W598" s="15"/>
      <c r="X598" s="15"/>
      <c r="Y598" s="15"/>
      <c r="Z598" s="15"/>
      <c r="AA598" s="46"/>
      <c r="AB598" s="15"/>
      <c r="AC598" s="15"/>
      <c r="AD598" s="15"/>
      <c r="AE598" s="15"/>
      <c r="AF598" s="15"/>
      <c r="AG598" s="15"/>
      <c r="AH598" s="15"/>
      <c r="AI598" s="46"/>
      <c r="AJ598" s="51" t="s">
        <v>67</v>
      </c>
      <c r="AK598" s="51" t="s">
        <v>67</v>
      </c>
      <c r="AL598" s="15"/>
      <c r="AM598" s="51" t="s">
        <v>67</v>
      </c>
      <c r="AN598" s="51" t="s">
        <v>67</v>
      </c>
      <c r="AO598" s="50" t="s">
        <v>9554</v>
      </c>
    </row>
    <row r="599" spans="1:41" hidden="1" x14ac:dyDescent="0.25">
      <c r="A599" s="51" t="s">
        <v>3880</v>
      </c>
      <c r="B599" s="51" t="s">
        <v>3881</v>
      </c>
      <c r="C599" s="54" t="s">
        <v>5597</v>
      </c>
      <c r="D599" s="51" t="s">
        <v>3882</v>
      </c>
      <c r="E599" s="20">
        <v>3851.27</v>
      </c>
      <c r="F599" s="20">
        <v>5097.6499999999996</v>
      </c>
      <c r="G599" s="20">
        <v>12562.6</v>
      </c>
      <c r="H599" s="20">
        <v>7134.49</v>
      </c>
      <c r="I599" s="20">
        <v>5097.6499999999996</v>
      </c>
      <c r="J599" s="51" t="s">
        <v>6726</v>
      </c>
      <c r="K599" s="15">
        <v>0</v>
      </c>
      <c r="L599" s="51" t="s">
        <v>2371</v>
      </c>
      <c r="M599" s="51" t="s">
        <v>3883</v>
      </c>
      <c r="N599" s="51" t="s">
        <v>1340</v>
      </c>
      <c r="O599" s="51" t="s">
        <v>67</v>
      </c>
      <c r="P599" s="51" t="s">
        <v>67</v>
      </c>
      <c r="Q599" s="45">
        <v>46281.549367685184</v>
      </c>
      <c r="R599" s="46">
        <v>46321</v>
      </c>
      <c r="S599" s="46">
        <v>46316</v>
      </c>
      <c r="T599" s="51" t="s">
        <v>6119</v>
      </c>
      <c r="U599" s="15">
        <v>849.8</v>
      </c>
      <c r="V599" s="15">
        <v>3922.15</v>
      </c>
      <c r="W599" s="15">
        <v>36.39</v>
      </c>
      <c r="X599" s="15">
        <v>14.9</v>
      </c>
      <c r="Y599" s="15">
        <v>1.6620440000000001</v>
      </c>
      <c r="Z599" s="15">
        <v>6</v>
      </c>
      <c r="AA599" s="46">
        <v>46260</v>
      </c>
      <c r="AB599" s="15"/>
      <c r="AC599" s="15"/>
      <c r="AD599" s="15"/>
      <c r="AE599" s="15"/>
      <c r="AF599" s="15"/>
      <c r="AG599" s="15"/>
      <c r="AH599" s="15"/>
      <c r="AI599" s="46"/>
      <c r="AJ599" s="51" t="s">
        <v>67</v>
      </c>
      <c r="AK599" s="51" t="s">
        <v>6121</v>
      </c>
      <c r="AL599" s="15">
        <v>849.8</v>
      </c>
      <c r="AM599" s="51" t="s">
        <v>67</v>
      </c>
      <c r="AN599" s="51" t="s">
        <v>67</v>
      </c>
      <c r="AO599" s="50" t="s">
        <v>9554</v>
      </c>
    </row>
    <row r="600" spans="1:41" hidden="1" x14ac:dyDescent="0.25">
      <c r="A600" s="51" t="s">
        <v>3884</v>
      </c>
      <c r="B600" s="51" t="s">
        <v>3885</v>
      </c>
      <c r="C600" s="54" t="s">
        <v>5606</v>
      </c>
      <c r="D600" s="51" t="s">
        <v>3886</v>
      </c>
      <c r="E600" s="20">
        <v>1184.98</v>
      </c>
      <c r="F600" s="20">
        <v>878.3</v>
      </c>
      <c r="G600" s="20">
        <v>2101.65</v>
      </c>
      <c r="H600" s="20">
        <v>0</v>
      </c>
      <c r="I600" s="20">
        <v>878.3</v>
      </c>
      <c r="J600" s="51" t="s">
        <v>2654</v>
      </c>
      <c r="K600" s="15">
        <v>0</v>
      </c>
      <c r="L600" s="51" t="s">
        <v>2371</v>
      </c>
      <c r="M600" s="51" t="s">
        <v>3887</v>
      </c>
      <c r="N600" s="51" t="s">
        <v>1344</v>
      </c>
      <c r="O600" s="51" t="s">
        <v>67</v>
      </c>
      <c r="P600" s="51" t="s">
        <v>67</v>
      </c>
      <c r="Q600" s="45">
        <v>46281.549370289351</v>
      </c>
      <c r="R600" s="46">
        <v>46297</v>
      </c>
      <c r="S600" s="46">
        <v>46292</v>
      </c>
      <c r="T600" s="51" t="s">
        <v>6119</v>
      </c>
      <c r="U600" s="15"/>
      <c r="V600" s="15"/>
      <c r="W600" s="15"/>
      <c r="X600" s="15"/>
      <c r="Y600" s="15"/>
      <c r="Z600" s="15"/>
      <c r="AA600" s="46"/>
      <c r="AB600" s="15"/>
      <c r="AC600" s="15"/>
      <c r="AD600" s="15"/>
      <c r="AE600" s="15"/>
      <c r="AF600" s="15"/>
      <c r="AG600" s="15"/>
      <c r="AH600" s="15"/>
      <c r="AI600" s="46"/>
      <c r="AJ600" s="51" t="s">
        <v>67</v>
      </c>
      <c r="AK600" s="51" t="s">
        <v>67</v>
      </c>
      <c r="AL600" s="15"/>
      <c r="AM600" s="51" t="s">
        <v>67</v>
      </c>
      <c r="AN600" s="51" t="s">
        <v>67</v>
      </c>
      <c r="AO600" s="50" t="s">
        <v>9554</v>
      </c>
    </row>
    <row r="601" spans="1:41" hidden="1" x14ac:dyDescent="0.25">
      <c r="A601" s="51" t="s">
        <v>3888</v>
      </c>
      <c r="B601" s="51" t="s">
        <v>3889</v>
      </c>
      <c r="C601" s="54" t="s">
        <v>2345</v>
      </c>
      <c r="D601" s="51" t="s">
        <v>3890</v>
      </c>
      <c r="E601" s="20">
        <v>1013.5</v>
      </c>
      <c r="F601" s="20">
        <v>4667.0600000000004</v>
      </c>
      <c r="G601" s="20">
        <v>3524.31</v>
      </c>
      <c r="H601" s="20">
        <v>3870.86</v>
      </c>
      <c r="I601" s="20">
        <v>4667.0600000000004</v>
      </c>
      <c r="J601" s="51" t="s">
        <v>6727</v>
      </c>
      <c r="K601" s="15">
        <v>15</v>
      </c>
      <c r="L601" s="51" t="s">
        <v>2369</v>
      </c>
      <c r="M601" s="51" t="s">
        <v>3891</v>
      </c>
      <c r="N601" s="51" t="s">
        <v>1344</v>
      </c>
      <c r="O601" s="51" t="s">
        <v>3892</v>
      </c>
      <c r="P601" s="51" t="s">
        <v>1344</v>
      </c>
      <c r="Q601" s="45">
        <v>46281.549372581016</v>
      </c>
      <c r="R601" s="46">
        <v>46306</v>
      </c>
      <c r="S601" s="46">
        <v>46301</v>
      </c>
      <c r="T601" s="51" t="s">
        <v>6119</v>
      </c>
      <c r="U601" s="15">
        <v>848.05</v>
      </c>
      <c r="V601" s="15">
        <v>3921.84</v>
      </c>
      <c r="W601" s="15">
        <v>36.08</v>
      </c>
      <c r="X601" s="15">
        <v>14.9</v>
      </c>
      <c r="Y601" s="15">
        <v>1.662307</v>
      </c>
      <c r="Z601" s="15">
        <v>6</v>
      </c>
      <c r="AA601" s="46">
        <v>46276</v>
      </c>
      <c r="AB601" s="15"/>
      <c r="AC601" s="15"/>
      <c r="AD601" s="15"/>
      <c r="AE601" s="15"/>
      <c r="AF601" s="15"/>
      <c r="AG601" s="15"/>
      <c r="AH601" s="15"/>
      <c r="AI601" s="46"/>
      <c r="AJ601" s="51" t="s">
        <v>6121</v>
      </c>
      <c r="AK601" s="51" t="s">
        <v>6121</v>
      </c>
      <c r="AL601" s="15">
        <v>848.05</v>
      </c>
      <c r="AM601" s="51" t="s">
        <v>67</v>
      </c>
      <c r="AN601" s="51" t="s">
        <v>67</v>
      </c>
      <c r="AO601" s="50" t="s">
        <v>9554</v>
      </c>
    </row>
    <row r="602" spans="1:41" hidden="1" x14ac:dyDescent="0.25">
      <c r="A602" s="51" t="s">
        <v>3893</v>
      </c>
      <c r="B602" s="51" t="s">
        <v>3894</v>
      </c>
      <c r="C602" s="54" t="s">
        <v>2690</v>
      </c>
      <c r="D602" s="51" t="s">
        <v>3895</v>
      </c>
      <c r="E602" s="20">
        <v>4307.09</v>
      </c>
      <c r="F602" s="20">
        <v>7716.68</v>
      </c>
      <c r="G602" s="20">
        <v>12985.98</v>
      </c>
      <c r="H602" s="20">
        <v>7330.95</v>
      </c>
      <c r="I602" s="20">
        <v>7718.62</v>
      </c>
      <c r="J602" s="51" t="s">
        <v>6726</v>
      </c>
      <c r="K602" s="15">
        <v>30</v>
      </c>
      <c r="L602" s="51" t="s">
        <v>2369</v>
      </c>
      <c r="M602" s="51" t="s">
        <v>3896</v>
      </c>
      <c r="N602" s="51" t="s">
        <v>1340</v>
      </c>
      <c r="O602" s="51" t="s">
        <v>3897</v>
      </c>
      <c r="P602" s="51" t="s">
        <v>1340</v>
      </c>
      <c r="Q602" s="45">
        <v>46281.549795150466</v>
      </c>
      <c r="R602" s="46">
        <v>46322</v>
      </c>
      <c r="S602" s="46">
        <v>46317</v>
      </c>
      <c r="T602" s="51" t="s">
        <v>6119</v>
      </c>
      <c r="U602" s="15">
        <v>849.8</v>
      </c>
      <c r="V602" s="15">
        <v>3922.15</v>
      </c>
      <c r="W602" s="15">
        <v>36.39</v>
      </c>
      <c r="X602" s="15">
        <v>14.9</v>
      </c>
      <c r="Y602" s="15">
        <v>1.6620440000000001</v>
      </c>
      <c r="Z602" s="15">
        <v>6</v>
      </c>
      <c r="AA602" s="46">
        <v>46261</v>
      </c>
      <c r="AB602" s="15"/>
      <c r="AC602" s="15"/>
      <c r="AD602" s="15"/>
      <c r="AE602" s="15"/>
      <c r="AF602" s="15"/>
      <c r="AG602" s="15"/>
      <c r="AH602" s="15"/>
      <c r="AI602" s="46"/>
      <c r="AJ602" s="51" t="s">
        <v>6121</v>
      </c>
      <c r="AK602" s="51" t="s">
        <v>6121</v>
      </c>
      <c r="AL602" s="15">
        <v>849.8</v>
      </c>
      <c r="AM602" s="51" t="s">
        <v>67</v>
      </c>
      <c r="AN602" s="51" t="s">
        <v>67</v>
      </c>
      <c r="AO602" s="50" t="s">
        <v>9554</v>
      </c>
    </row>
    <row r="603" spans="1:41" hidden="1" x14ac:dyDescent="0.25">
      <c r="A603" s="51" t="s">
        <v>3898</v>
      </c>
      <c r="B603" s="51" t="s">
        <v>3899</v>
      </c>
      <c r="C603" s="54" t="s">
        <v>611</v>
      </c>
      <c r="D603" s="51" t="s">
        <v>3900</v>
      </c>
      <c r="E603" s="20">
        <v>10690.66</v>
      </c>
      <c r="F603" s="20">
        <v>686.13</v>
      </c>
      <c r="G603" s="20">
        <v>11033.09</v>
      </c>
      <c r="H603" s="20">
        <v>666.58</v>
      </c>
      <c r="I603" s="20">
        <v>686.13</v>
      </c>
      <c r="J603" s="51" t="s">
        <v>6727</v>
      </c>
      <c r="K603" s="15">
        <v>1</v>
      </c>
      <c r="L603" s="51" t="s">
        <v>2369</v>
      </c>
      <c r="M603" s="51" t="s">
        <v>67</v>
      </c>
      <c r="N603" s="51" t="s">
        <v>67</v>
      </c>
      <c r="O603" s="51" t="s">
        <v>3901</v>
      </c>
      <c r="P603" s="51" t="s">
        <v>1340</v>
      </c>
      <c r="Q603" s="45">
        <v>46281.549797754633</v>
      </c>
      <c r="R603" s="46">
        <v>46320</v>
      </c>
      <c r="S603" s="46">
        <v>46315</v>
      </c>
      <c r="T603" s="51" t="s">
        <v>6119</v>
      </c>
      <c r="U603" s="15"/>
      <c r="V603" s="15"/>
      <c r="W603" s="15"/>
      <c r="X603" s="15"/>
      <c r="Y603" s="15"/>
      <c r="Z603" s="15"/>
      <c r="AA603" s="46"/>
      <c r="AB603" s="15"/>
      <c r="AC603" s="15"/>
      <c r="AD603" s="15"/>
      <c r="AE603" s="15"/>
      <c r="AF603" s="15"/>
      <c r="AG603" s="15"/>
      <c r="AH603" s="15"/>
      <c r="AI603" s="46"/>
      <c r="AJ603" s="51" t="s">
        <v>67</v>
      </c>
      <c r="AK603" s="51" t="s">
        <v>67</v>
      </c>
      <c r="AL603" s="15"/>
      <c r="AM603" s="51" t="s">
        <v>67</v>
      </c>
      <c r="AN603" s="51" t="s">
        <v>67</v>
      </c>
      <c r="AO603" s="50" t="s">
        <v>9554</v>
      </c>
    </row>
    <row r="604" spans="1:41" hidden="1" x14ac:dyDescent="0.25">
      <c r="A604" s="51" t="s">
        <v>3902</v>
      </c>
      <c r="B604" s="51" t="s">
        <v>3903</v>
      </c>
      <c r="C604" s="54" t="s">
        <v>2356</v>
      </c>
      <c r="D604" s="51" t="s">
        <v>3904</v>
      </c>
      <c r="E604" s="20">
        <v>1036.69</v>
      </c>
      <c r="F604" s="20">
        <v>464.68</v>
      </c>
      <c r="G604" s="20">
        <v>14511.94</v>
      </c>
      <c r="H604" s="20">
        <v>0</v>
      </c>
      <c r="I604" s="20">
        <v>464.68</v>
      </c>
      <c r="J604" s="51" t="s">
        <v>2654</v>
      </c>
      <c r="K604" s="15">
        <v>0</v>
      </c>
      <c r="L604" s="51" t="s">
        <v>2371</v>
      </c>
      <c r="M604" s="51" t="s">
        <v>67</v>
      </c>
      <c r="N604" s="51" t="s">
        <v>67</v>
      </c>
      <c r="O604" s="51" t="s">
        <v>3905</v>
      </c>
      <c r="P604" s="51" t="s">
        <v>1344</v>
      </c>
      <c r="Q604" s="45">
        <v>46281.549799918983</v>
      </c>
      <c r="R604" s="46">
        <v>46307</v>
      </c>
      <c r="S604" s="46">
        <v>46302</v>
      </c>
      <c r="T604" s="51" t="s">
        <v>6119</v>
      </c>
      <c r="U604" s="15"/>
      <c r="V604" s="15"/>
      <c r="W604" s="15"/>
      <c r="X604" s="15"/>
      <c r="Y604" s="15"/>
      <c r="Z604" s="15"/>
      <c r="AA604" s="46"/>
      <c r="AB604" s="15"/>
      <c r="AC604" s="15"/>
      <c r="AD604" s="15"/>
      <c r="AE604" s="15"/>
      <c r="AF604" s="15"/>
      <c r="AG604" s="15"/>
      <c r="AH604" s="15"/>
      <c r="AI604" s="46"/>
      <c r="AJ604" s="51" t="s">
        <v>67</v>
      </c>
      <c r="AK604" s="51" t="s">
        <v>67</v>
      </c>
      <c r="AL604" s="15"/>
      <c r="AM604" s="51" t="s">
        <v>67</v>
      </c>
      <c r="AN604" s="51" t="s">
        <v>67</v>
      </c>
      <c r="AO604" s="50" t="s">
        <v>9554</v>
      </c>
    </row>
    <row r="605" spans="1:41" hidden="1" x14ac:dyDescent="0.25">
      <c r="A605" s="51" t="s">
        <v>3906</v>
      </c>
      <c r="B605" s="51" t="s">
        <v>3907</v>
      </c>
      <c r="C605" s="54" t="s">
        <v>5598</v>
      </c>
      <c r="D605" s="51" t="s">
        <v>3908</v>
      </c>
      <c r="E605" s="20">
        <v>1637.09</v>
      </c>
      <c r="F605" s="20">
        <v>92.13</v>
      </c>
      <c r="G605" s="20">
        <v>4838.07</v>
      </c>
      <c r="H605" s="20">
        <v>8290.9500000000007</v>
      </c>
      <c r="I605" s="20">
        <v>92.13</v>
      </c>
      <c r="J605" s="51" t="s">
        <v>6724</v>
      </c>
      <c r="K605" s="15">
        <v>0</v>
      </c>
      <c r="L605" s="51" t="s">
        <v>2371</v>
      </c>
      <c r="M605" s="51" t="s">
        <v>3909</v>
      </c>
      <c r="N605" s="51" t="s">
        <v>1340</v>
      </c>
      <c r="O605" s="51" t="s">
        <v>67</v>
      </c>
      <c r="P605" s="51" t="s">
        <v>67</v>
      </c>
      <c r="Q605" s="45">
        <v>46281.549801921297</v>
      </c>
      <c r="R605" s="46">
        <v>46318</v>
      </c>
      <c r="S605" s="46">
        <v>46313</v>
      </c>
      <c r="T605" s="51" t="s">
        <v>6119</v>
      </c>
      <c r="U605" s="15">
        <v>849.8</v>
      </c>
      <c r="V605" s="15">
        <v>3922.15</v>
      </c>
      <c r="W605" s="15">
        <v>36.39</v>
      </c>
      <c r="X605" s="15">
        <v>14.9</v>
      </c>
      <c r="Y605" s="15">
        <v>1.6620440000000001</v>
      </c>
      <c r="Z605" s="15">
        <v>6</v>
      </c>
      <c r="AA605" s="46">
        <v>46257</v>
      </c>
      <c r="AB605" s="15"/>
      <c r="AC605" s="15"/>
      <c r="AD605" s="15"/>
      <c r="AE605" s="15"/>
      <c r="AF605" s="15"/>
      <c r="AG605" s="15"/>
      <c r="AH605" s="15"/>
      <c r="AI605" s="46"/>
      <c r="AJ605" s="51" t="s">
        <v>67</v>
      </c>
      <c r="AK605" s="51" t="s">
        <v>6121</v>
      </c>
      <c r="AL605" s="15">
        <v>849.8</v>
      </c>
      <c r="AM605" s="51" t="s">
        <v>6705</v>
      </c>
      <c r="AN605" s="51" t="s">
        <v>6713</v>
      </c>
      <c r="AO605" s="50" t="s">
        <v>9554</v>
      </c>
    </row>
    <row r="606" spans="1:41" hidden="1" x14ac:dyDescent="0.25">
      <c r="A606" s="51" t="s">
        <v>3910</v>
      </c>
      <c r="B606" s="51" t="s">
        <v>3911</v>
      </c>
      <c r="C606" s="54" t="s">
        <v>607</v>
      </c>
      <c r="D606" s="51" t="s">
        <v>3912</v>
      </c>
      <c r="E606" s="20">
        <v>9534.7999999999993</v>
      </c>
      <c r="F606" s="20">
        <v>2538.8200000000002</v>
      </c>
      <c r="G606" s="20">
        <v>19091.14</v>
      </c>
      <c r="H606" s="20">
        <v>3870.86</v>
      </c>
      <c r="I606" s="20">
        <v>2364.0100000000002</v>
      </c>
      <c r="J606" s="51" t="s">
        <v>6726</v>
      </c>
      <c r="K606" s="15">
        <v>0</v>
      </c>
      <c r="L606" s="51" t="s">
        <v>2371</v>
      </c>
      <c r="M606" s="51" t="s">
        <v>3913</v>
      </c>
      <c r="N606" s="51" t="s">
        <v>1340</v>
      </c>
      <c r="O606" s="51" t="s">
        <v>3914</v>
      </c>
      <c r="P606" s="51" t="s">
        <v>1340</v>
      </c>
      <c r="Q606" s="45">
        <v>46281.549804548609</v>
      </c>
      <c r="R606" s="46">
        <v>46310</v>
      </c>
      <c r="S606" s="46">
        <v>46305</v>
      </c>
      <c r="T606" s="51" t="s">
        <v>6119</v>
      </c>
      <c r="U606" s="15">
        <v>848.05</v>
      </c>
      <c r="V606" s="15">
        <v>3921.84</v>
      </c>
      <c r="W606" s="15">
        <v>36.08</v>
      </c>
      <c r="X606" s="15">
        <v>14.9</v>
      </c>
      <c r="Y606" s="15">
        <v>1.662307</v>
      </c>
      <c r="Z606" s="15">
        <v>6</v>
      </c>
      <c r="AA606" s="46">
        <v>46280</v>
      </c>
      <c r="AB606" s="15"/>
      <c r="AC606" s="15"/>
      <c r="AD606" s="15"/>
      <c r="AE606" s="15"/>
      <c r="AF606" s="15"/>
      <c r="AG606" s="15"/>
      <c r="AH606" s="15"/>
      <c r="AI606" s="46"/>
      <c r="AJ606" s="51" t="s">
        <v>67</v>
      </c>
      <c r="AK606" s="51" t="s">
        <v>6121</v>
      </c>
      <c r="AL606" s="15">
        <v>848.05</v>
      </c>
      <c r="AM606" s="51" t="s">
        <v>67</v>
      </c>
      <c r="AN606" s="51" t="s">
        <v>67</v>
      </c>
      <c r="AO606" s="50" t="s">
        <v>9554</v>
      </c>
    </row>
    <row r="607" spans="1:41" hidden="1" x14ac:dyDescent="0.25">
      <c r="A607" s="51" t="s">
        <v>3915</v>
      </c>
      <c r="B607" s="51" t="s">
        <v>3916</v>
      </c>
      <c r="C607" s="54" t="s">
        <v>5606</v>
      </c>
      <c r="D607" s="51" t="s">
        <v>3917</v>
      </c>
      <c r="E607" s="20">
        <v>14135.44</v>
      </c>
      <c r="F607" s="20">
        <v>5027.1099999999997</v>
      </c>
      <c r="G607" s="20">
        <v>3093.53</v>
      </c>
      <c r="H607" s="20">
        <v>3870.86</v>
      </c>
      <c r="I607" s="20">
        <v>5027.1099999999997</v>
      </c>
      <c r="J607" s="51" t="s">
        <v>6727</v>
      </c>
      <c r="K607" s="15">
        <v>24</v>
      </c>
      <c r="L607" s="51" t="s">
        <v>2369</v>
      </c>
      <c r="M607" s="51" t="s">
        <v>3918</v>
      </c>
      <c r="N607" s="51" t="s">
        <v>1340</v>
      </c>
      <c r="O607" s="51" t="s">
        <v>3919</v>
      </c>
      <c r="P607" s="51" t="s">
        <v>1340</v>
      </c>
      <c r="Q607" s="45">
        <v>46281.549806840281</v>
      </c>
      <c r="R607" s="46">
        <v>46297</v>
      </c>
      <c r="S607" s="46">
        <v>46292</v>
      </c>
      <c r="T607" s="51" t="s">
        <v>6119</v>
      </c>
      <c r="U607" s="15">
        <v>848.05</v>
      </c>
      <c r="V607" s="15">
        <v>3921.84</v>
      </c>
      <c r="W607" s="15">
        <v>36.08</v>
      </c>
      <c r="X607" s="15">
        <v>14.9</v>
      </c>
      <c r="Y607" s="15">
        <v>1.662307</v>
      </c>
      <c r="Z607" s="15">
        <v>6</v>
      </c>
      <c r="AA607" s="46">
        <v>46267</v>
      </c>
      <c r="AB607" s="15"/>
      <c r="AC607" s="15"/>
      <c r="AD607" s="15"/>
      <c r="AE607" s="15"/>
      <c r="AF607" s="15"/>
      <c r="AG607" s="15"/>
      <c r="AH607" s="15"/>
      <c r="AI607" s="46"/>
      <c r="AJ607" s="51" t="s">
        <v>6121</v>
      </c>
      <c r="AK607" s="51" t="s">
        <v>6121</v>
      </c>
      <c r="AL607" s="15">
        <v>848.05</v>
      </c>
      <c r="AM607" s="51" t="s">
        <v>67</v>
      </c>
      <c r="AN607" s="51" t="s">
        <v>67</v>
      </c>
      <c r="AO607" s="50" t="s">
        <v>9554</v>
      </c>
    </row>
    <row r="608" spans="1:41" hidden="1" x14ac:dyDescent="0.25">
      <c r="A608" s="51" t="s">
        <v>3920</v>
      </c>
      <c r="B608" s="51" t="s">
        <v>3921</v>
      </c>
      <c r="C608" s="54" t="s">
        <v>611</v>
      </c>
      <c r="D608" s="51" t="s">
        <v>3922</v>
      </c>
      <c r="E608" s="20">
        <v>11312.31</v>
      </c>
      <c r="F608" s="20">
        <v>591.03</v>
      </c>
      <c r="G608" s="20">
        <v>7370.14</v>
      </c>
      <c r="H608" s="20">
        <v>574.17999999999995</v>
      </c>
      <c r="I608" s="20">
        <v>591.03</v>
      </c>
      <c r="J608" s="51" t="s">
        <v>6727</v>
      </c>
      <c r="K608" s="15">
        <v>1</v>
      </c>
      <c r="L608" s="51" t="s">
        <v>2369</v>
      </c>
      <c r="M608" s="51" t="s">
        <v>67</v>
      </c>
      <c r="N608" s="51" t="s">
        <v>67</v>
      </c>
      <c r="O608" s="51" t="s">
        <v>3923</v>
      </c>
      <c r="P608" s="51" t="s">
        <v>1340</v>
      </c>
      <c r="Q608" s="45">
        <v>46281.54980940972</v>
      </c>
      <c r="R608" s="46">
        <v>46320</v>
      </c>
      <c r="S608" s="46">
        <v>46315</v>
      </c>
      <c r="T608" s="51" t="s">
        <v>6119</v>
      </c>
      <c r="U608" s="15"/>
      <c r="V608" s="15"/>
      <c r="W608" s="15"/>
      <c r="X608" s="15"/>
      <c r="Y608" s="15"/>
      <c r="Z608" s="15"/>
      <c r="AA608" s="46"/>
      <c r="AB608" s="15"/>
      <c r="AC608" s="15"/>
      <c r="AD608" s="15"/>
      <c r="AE608" s="15"/>
      <c r="AF608" s="15"/>
      <c r="AG608" s="15"/>
      <c r="AH608" s="15"/>
      <c r="AI608" s="46"/>
      <c r="AJ608" s="51" t="s">
        <v>67</v>
      </c>
      <c r="AK608" s="51" t="s">
        <v>67</v>
      </c>
      <c r="AL608" s="15"/>
      <c r="AM608" s="51" t="s">
        <v>67</v>
      </c>
      <c r="AN608" s="51" t="s">
        <v>67</v>
      </c>
      <c r="AO608" s="50" t="s">
        <v>9554</v>
      </c>
    </row>
    <row r="609" spans="1:41" hidden="1" x14ac:dyDescent="0.25">
      <c r="A609" s="51" t="s">
        <v>3924</v>
      </c>
      <c r="B609" s="51" t="s">
        <v>3925</v>
      </c>
      <c r="C609" s="54" t="s">
        <v>2689</v>
      </c>
      <c r="D609" s="51" t="s">
        <v>3926</v>
      </c>
      <c r="E609" s="20">
        <v>10337.030000000001</v>
      </c>
      <c r="F609" s="20">
        <v>0</v>
      </c>
      <c r="G609" s="20">
        <v>15415.56</v>
      </c>
      <c r="H609" s="20">
        <v>0</v>
      </c>
      <c r="I609" s="20">
        <v>609.37</v>
      </c>
      <c r="J609" s="51" t="s">
        <v>2654</v>
      </c>
      <c r="K609" s="15">
        <v>0</v>
      </c>
      <c r="L609" s="51" t="s">
        <v>2371</v>
      </c>
      <c r="M609" s="51" t="s">
        <v>67</v>
      </c>
      <c r="N609" s="51" t="s">
        <v>67</v>
      </c>
      <c r="O609" s="51" t="s">
        <v>3927</v>
      </c>
      <c r="P609" s="51" t="s">
        <v>1340</v>
      </c>
      <c r="Q609" s="45">
        <v>46281.54981222222</v>
      </c>
      <c r="R609" s="46">
        <v>46317</v>
      </c>
      <c r="S609" s="46">
        <v>46312</v>
      </c>
      <c r="T609" s="51" t="s">
        <v>6119</v>
      </c>
      <c r="U609" s="15"/>
      <c r="V609" s="15"/>
      <c r="W609" s="15"/>
      <c r="X609" s="15"/>
      <c r="Y609" s="15"/>
      <c r="Z609" s="15"/>
      <c r="AA609" s="46"/>
      <c r="AB609" s="15"/>
      <c r="AC609" s="15"/>
      <c r="AD609" s="15"/>
      <c r="AE609" s="15"/>
      <c r="AF609" s="15"/>
      <c r="AG609" s="15"/>
      <c r="AH609" s="15"/>
      <c r="AI609" s="46"/>
      <c r="AJ609" s="51" t="s">
        <v>67</v>
      </c>
      <c r="AK609" s="51" t="s">
        <v>67</v>
      </c>
      <c r="AL609" s="15"/>
      <c r="AM609" s="51" t="s">
        <v>67</v>
      </c>
      <c r="AN609" s="51" t="s">
        <v>67</v>
      </c>
      <c r="AO609" s="50" t="s">
        <v>9554</v>
      </c>
    </row>
    <row r="610" spans="1:41" hidden="1" x14ac:dyDescent="0.25">
      <c r="A610" s="51" t="s">
        <v>3928</v>
      </c>
      <c r="B610" s="51" t="s">
        <v>3929</v>
      </c>
      <c r="C610" s="54" t="s">
        <v>605</v>
      </c>
      <c r="D610" s="51" t="s">
        <v>3930</v>
      </c>
      <c r="E610" s="20">
        <v>13400.37</v>
      </c>
      <c r="F610" s="20">
        <v>4631.33</v>
      </c>
      <c r="G610" s="20">
        <v>9261.69</v>
      </c>
      <c r="H610" s="20">
        <v>3870.86</v>
      </c>
      <c r="I610" s="20">
        <v>4631.33</v>
      </c>
      <c r="J610" s="51" t="s">
        <v>6727</v>
      </c>
      <c r="K610" s="15">
        <v>16</v>
      </c>
      <c r="L610" s="51" t="s">
        <v>2369</v>
      </c>
      <c r="M610" s="51" t="s">
        <v>3931</v>
      </c>
      <c r="N610" s="51" t="s">
        <v>1340</v>
      </c>
      <c r="O610" s="51" t="s">
        <v>3932</v>
      </c>
      <c r="P610" s="51" t="s">
        <v>1340</v>
      </c>
      <c r="Q610" s="45">
        <v>46281.549814988422</v>
      </c>
      <c r="R610" s="46">
        <v>46305</v>
      </c>
      <c r="S610" s="46">
        <v>46300</v>
      </c>
      <c r="T610" s="51" t="s">
        <v>6119</v>
      </c>
      <c r="U610" s="15">
        <v>848.05</v>
      </c>
      <c r="V610" s="15">
        <v>3921.84</v>
      </c>
      <c r="W610" s="15">
        <v>36.08</v>
      </c>
      <c r="X610" s="15">
        <v>14.9</v>
      </c>
      <c r="Y610" s="15">
        <v>1.662307</v>
      </c>
      <c r="Z610" s="15">
        <v>6</v>
      </c>
      <c r="AA610" s="46">
        <v>46275</v>
      </c>
      <c r="AB610" s="15"/>
      <c r="AC610" s="15"/>
      <c r="AD610" s="15"/>
      <c r="AE610" s="15"/>
      <c r="AF610" s="15"/>
      <c r="AG610" s="15"/>
      <c r="AH610" s="15"/>
      <c r="AI610" s="46"/>
      <c r="AJ610" s="51" t="s">
        <v>6121</v>
      </c>
      <c r="AK610" s="51" t="s">
        <v>6121</v>
      </c>
      <c r="AL610" s="15">
        <v>848.05</v>
      </c>
      <c r="AM610" s="51" t="s">
        <v>67</v>
      </c>
      <c r="AN610" s="51" t="s">
        <v>67</v>
      </c>
      <c r="AO610" s="50" t="s">
        <v>9554</v>
      </c>
    </row>
    <row r="611" spans="1:41" hidden="1" x14ac:dyDescent="0.25">
      <c r="A611" s="51" t="s">
        <v>3933</v>
      </c>
      <c r="B611" s="51" t="s">
        <v>3934</v>
      </c>
      <c r="C611" s="54" t="s">
        <v>2356</v>
      </c>
      <c r="D611" s="51" t="s">
        <v>479</v>
      </c>
      <c r="E611" s="20">
        <v>10842.18</v>
      </c>
      <c r="F611" s="20">
        <v>411.72</v>
      </c>
      <c r="G611" s="20">
        <v>3204.26</v>
      </c>
      <c r="H611" s="20">
        <v>0</v>
      </c>
      <c r="I611" s="20">
        <v>411.72</v>
      </c>
      <c r="J611" s="51" t="s">
        <v>2654</v>
      </c>
      <c r="K611" s="15">
        <v>0</v>
      </c>
      <c r="L611" s="51" t="s">
        <v>2371</v>
      </c>
      <c r="M611" s="51" t="s">
        <v>67</v>
      </c>
      <c r="N611" s="51" t="s">
        <v>67</v>
      </c>
      <c r="O611" s="51" t="s">
        <v>3935</v>
      </c>
      <c r="P611" s="51" t="s">
        <v>1340</v>
      </c>
      <c r="Q611" s="45">
        <v>46281.549818611114</v>
      </c>
      <c r="R611" s="46">
        <v>46307</v>
      </c>
      <c r="S611" s="46">
        <v>46302</v>
      </c>
      <c r="T611" s="51" t="s">
        <v>6119</v>
      </c>
      <c r="U611" s="15"/>
      <c r="V611" s="15"/>
      <c r="W611" s="15"/>
      <c r="X611" s="15"/>
      <c r="Y611" s="15"/>
      <c r="Z611" s="15"/>
      <c r="AA611" s="46"/>
      <c r="AB611" s="15"/>
      <c r="AC611" s="15"/>
      <c r="AD611" s="15"/>
      <c r="AE611" s="15"/>
      <c r="AF611" s="15"/>
      <c r="AG611" s="15"/>
      <c r="AH611" s="15"/>
      <c r="AI611" s="46"/>
      <c r="AJ611" s="51" t="s">
        <v>67</v>
      </c>
      <c r="AK611" s="51" t="s">
        <v>67</v>
      </c>
      <c r="AL611" s="15"/>
      <c r="AM611" s="51" t="s">
        <v>67</v>
      </c>
      <c r="AN611" s="51" t="s">
        <v>67</v>
      </c>
      <c r="AO611" s="50" t="s">
        <v>9554</v>
      </c>
    </row>
    <row r="612" spans="1:41" hidden="1" x14ac:dyDescent="0.25">
      <c r="A612" s="51" t="s">
        <v>3936</v>
      </c>
      <c r="B612" s="51" t="s">
        <v>3937</v>
      </c>
      <c r="C612" s="54" t="s">
        <v>5605</v>
      </c>
      <c r="D612" s="51" t="s">
        <v>3938</v>
      </c>
      <c r="E612" s="20">
        <v>10042.64</v>
      </c>
      <c r="F612" s="20">
        <v>6068.87</v>
      </c>
      <c r="G612" s="20">
        <v>10875.35</v>
      </c>
      <c r="H612" s="20">
        <v>5354.29</v>
      </c>
      <c r="I612" s="20">
        <v>6068.87</v>
      </c>
      <c r="J612" s="51" t="s">
        <v>6727</v>
      </c>
      <c r="K612" s="15">
        <v>29</v>
      </c>
      <c r="L612" s="51" t="s">
        <v>2369</v>
      </c>
      <c r="M612" s="51" t="s">
        <v>67</v>
      </c>
      <c r="N612" s="51" t="s">
        <v>67</v>
      </c>
      <c r="O612" s="51" t="s">
        <v>3939</v>
      </c>
      <c r="P612" s="51" t="s">
        <v>1340</v>
      </c>
      <c r="Q612" s="45">
        <v>46281.549821273147</v>
      </c>
      <c r="R612" s="46">
        <v>46323</v>
      </c>
      <c r="S612" s="46">
        <v>46318</v>
      </c>
      <c r="T612" s="51" t="s">
        <v>6119</v>
      </c>
      <c r="U612" s="15">
        <v>849.8</v>
      </c>
      <c r="V612" s="15">
        <v>3922.15</v>
      </c>
      <c r="W612" s="15">
        <v>36.39</v>
      </c>
      <c r="X612" s="15">
        <v>14.9</v>
      </c>
      <c r="Y612" s="15">
        <v>1.6620440000000001</v>
      </c>
      <c r="Z612" s="15">
        <v>6</v>
      </c>
      <c r="AA612" s="46">
        <v>46262</v>
      </c>
      <c r="AB612" s="15"/>
      <c r="AC612" s="15"/>
      <c r="AD612" s="15"/>
      <c r="AE612" s="15"/>
      <c r="AF612" s="15"/>
      <c r="AG612" s="15"/>
      <c r="AH612" s="15"/>
      <c r="AI612" s="46"/>
      <c r="AJ612" s="51" t="s">
        <v>6121</v>
      </c>
      <c r="AK612" s="51" t="s">
        <v>6121</v>
      </c>
      <c r="AL612" s="15">
        <v>849.8</v>
      </c>
      <c r="AM612" s="51" t="s">
        <v>67</v>
      </c>
      <c r="AN612" s="51" t="s">
        <v>67</v>
      </c>
      <c r="AO612" s="50" t="s">
        <v>9554</v>
      </c>
    </row>
    <row r="613" spans="1:41" hidden="1" x14ac:dyDescent="0.25">
      <c r="A613" s="51" t="s">
        <v>3940</v>
      </c>
      <c r="B613" s="51" t="s">
        <v>3941</v>
      </c>
      <c r="C613" s="54" t="s">
        <v>2541</v>
      </c>
      <c r="D613" s="51" t="s">
        <v>3942</v>
      </c>
      <c r="E613" s="20">
        <v>12873.47</v>
      </c>
      <c r="F613" s="20">
        <v>4922.46</v>
      </c>
      <c r="G613" s="20">
        <v>3894.57</v>
      </c>
      <c r="H613" s="20">
        <v>3870.86</v>
      </c>
      <c r="I613" s="20">
        <v>4177.63</v>
      </c>
      <c r="J613" s="51" t="s">
        <v>6727</v>
      </c>
      <c r="K613" s="15">
        <v>10</v>
      </c>
      <c r="L613" s="51" t="s">
        <v>2369</v>
      </c>
      <c r="M613" s="51" t="s">
        <v>3943</v>
      </c>
      <c r="N613" s="51" t="s">
        <v>1340</v>
      </c>
      <c r="O613" s="51" t="s">
        <v>3944</v>
      </c>
      <c r="P613" s="51" t="s">
        <v>1340</v>
      </c>
      <c r="Q613" s="45">
        <v>46281.549824641203</v>
      </c>
      <c r="R613" s="46">
        <v>46311</v>
      </c>
      <c r="S613" s="46">
        <v>46306</v>
      </c>
      <c r="T613" s="51" t="s">
        <v>6119</v>
      </c>
      <c r="U613" s="15">
        <v>848.05</v>
      </c>
      <c r="V613" s="15">
        <v>3921.84</v>
      </c>
      <c r="W613" s="15">
        <v>36.08</v>
      </c>
      <c r="X613" s="15">
        <v>14.9</v>
      </c>
      <c r="Y613" s="15">
        <v>1.662307</v>
      </c>
      <c r="Z613" s="15">
        <v>6</v>
      </c>
      <c r="AA613" s="46">
        <v>46281</v>
      </c>
      <c r="AB613" s="15"/>
      <c r="AC613" s="15"/>
      <c r="AD613" s="15"/>
      <c r="AE613" s="15"/>
      <c r="AF613" s="15"/>
      <c r="AG613" s="15"/>
      <c r="AH613" s="15"/>
      <c r="AI613" s="46"/>
      <c r="AJ613" s="51" t="s">
        <v>6121</v>
      </c>
      <c r="AK613" s="51" t="s">
        <v>6121</v>
      </c>
      <c r="AL613" s="15">
        <v>848.05</v>
      </c>
      <c r="AM613" s="51" t="s">
        <v>67</v>
      </c>
      <c r="AN613" s="51" t="s">
        <v>67</v>
      </c>
      <c r="AO613" s="50" t="s">
        <v>9554</v>
      </c>
    </row>
    <row r="614" spans="1:41" hidden="1" x14ac:dyDescent="0.25">
      <c r="A614" s="51" t="s">
        <v>3945</v>
      </c>
      <c r="B614" s="51" t="s">
        <v>3946</v>
      </c>
      <c r="C614" s="54" t="s">
        <v>5598</v>
      </c>
      <c r="D614" s="51" t="s">
        <v>3947</v>
      </c>
      <c r="E614" s="20">
        <v>9359.9699999999993</v>
      </c>
      <c r="F614" s="20">
        <v>5782.79</v>
      </c>
      <c r="G614" s="20">
        <v>1358.4</v>
      </c>
      <c r="H614" s="20">
        <v>6322.96</v>
      </c>
      <c r="I614" s="20">
        <v>5782.79</v>
      </c>
      <c r="J614" s="51" t="s">
        <v>6725</v>
      </c>
      <c r="K614" s="15">
        <v>0</v>
      </c>
      <c r="L614" s="51" t="s">
        <v>2371</v>
      </c>
      <c r="M614" s="51" t="s">
        <v>67</v>
      </c>
      <c r="N614" s="51" t="s">
        <v>67</v>
      </c>
      <c r="O614" s="51" t="s">
        <v>3948</v>
      </c>
      <c r="P614" s="51" t="s">
        <v>1340</v>
      </c>
      <c r="Q614" s="45">
        <v>46281.549828009258</v>
      </c>
      <c r="R614" s="46">
        <v>46318</v>
      </c>
      <c r="S614" s="46">
        <v>46313</v>
      </c>
      <c r="T614" s="51" t="s">
        <v>6119</v>
      </c>
      <c r="U614" s="15">
        <v>849.8</v>
      </c>
      <c r="V614" s="15">
        <v>3922.15</v>
      </c>
      <c r="W614" s="15">
        <v>36.39</v>
      </c>
      <c r="X614" s="15">
        <v>14.9</v>
      </c>
      <c r="Y614" s="15">
        <v>1.6620440000000001</v>
      </c>
      <c r="Z614" s="15">
        <v>6</v>
      </c>
      <c r="AA614" s="46">
        <v>46257</v>
      </c>
      <c r="AB614" s="15"/>
      <c r="AC614" s="15"/>
      <c r="AD614" s="15"/>
      <c r="AE614" s="15"/>
      <c r="AF614" s="15"/>
      <c r="AG614" s="15"/>
      <c r="AH614" s="15"/>
      <c r="AI614" s="46"/>
      <c r="AJ614" s="51" t="s">
        <v>67</v>
      </c>
      <c r="AK614" s="51" t="s">
        <v>6121</v>
      </c>
      <c r="AL614" s="15">
        <v>849.8</v>
      </c>
      <c r="AM614" s="51" t="s">
        <v>67</v>
      </c>
      <c r="AN614" s="51" t="s">
        <v>67</v>
      </c>
      <c r="AO614" s="50" t="s">
        <v>9554</v>
      </c>
    </row>
    <row r="615" spans="1:41" hidden="1" x14ac:dyDescent="0.25">
      <c r="A615" s="51" t="s">
        <v>3949</v>
      </c>
      <c r="B615" s="51" t="s">
        <v>3950</v>
      </c>
      <c r="C615" s="54" t="s">
        <v>5607</v>
      </c>
      <c r="D615" s="51" t="s">
        <v>3951</v>
      </c>
      <c r="E615" s="20">
        <v>4992.45</v>
      </c>
      <c r="F615" s="20">
        <v>548.57000000000005</v>
      </c>
      <c r="G615" s="20">
        <v>14267.43</v>
      </c>
      <c r="H615" s="20">
        <v>0</v>
      </c>
      <c r="I615" s="20">
        <v>548.57000000000005</v>
      </c>
      <c r="J615" s="51" t="s">
        <v>2654</v>
      </c>
      <c r="K615" s="15">
        <v>0</v>
      </c>
      <c r="L615" s="51" t="s">
        <v>2371</v>
      </c>
      <c r="M615" s="51" t="s">
        <v>67</v>
      </c>
      <c r="N615" s="51" t="s">
        <v>67</v>
      </c>
      <c r="O615" s="51" t="s">
        <v>3952</v>
      </c>
      <c r="P615" s="51" t="s">
        <v>1340</v>
      </c>
      <c r="Q615" s="45">
        <v>46281.549830231481</v>
      </c>
      <c r="R615" s="46">
        <v>46299</v>
      </c>
      <c r="S615" s="46">
        <v>46294</v>
      </c>
      <c r="T615" s="51" t="s">
        <v>6119</v>
      </c>
      <c r="U615" s="15"/>
      <c r="V615" s="15"/>
      <c r="W615" s="15"/>
      <c r="X615" s="15"/>
      <c r="Y615" s="15"/>
      <c r="Z615" s="15"/>
      <c r="AA615" s="46"/>
      <c r="AB615" s="15"/>
      <c r="AC615" s="15"/>
      <c r="AD615" s="15"/>
      <c r="AE615" s="15"/>
      <c r="AF615" s="15"/>
      <c r="AG615" s="15"/>
      <c r="AH615" s="15"/>
      <c r="AI615" s="46"/>
      <c r="AJ615" s="51" t="s">
        <v>67</v>
      </c>
      <c r="AK615" s="51" t="s">
        <v>67</v>
      </c>
      <c r="AL615" s="15"/>
      <c r="AM615" s="51" t="s">
        <v>67</v>
      </c>
      <c r="AN615" s="51" t="s">
        <v>67</v>
      </c>
      <c r="AO615" s="50" t="s">
        <v>9554</v>
      </c>
    </row>
    <row r="616" spans="1:41" hidden="1" x14ac:dyDescent="0.25">
      <c r="A616" s="51" t="s">
        <v>3953</v>
      </c>
      <c r="B616" s="51" t="s">
        <v>3954</v>
      </c>
      <c r="C616" s="54" t="s">
        <v>2541</v>
      </c>
      <c r="D616" s="51" t="s">
        <v>3955</v>
      </c>
      <c r="E616" s="20">
        <v>2695.4</v>
      </c>
      <c r="F616" s="20">
        <v>4385.5</v>
      </c>
      <c r="G616" s="20">
        <v>3496.41</v>
      </c>
      <c r="H616" s="20">
        <v>3870.86</v>
      </c>
      <c r="I616" s="20">
        <v>4260.79</v>
      </c>
      <c r="J616" s="51" t="s">
        <v>6727</v>
      </c>
      <c r="K616" s="15">
        <v>10</v>
      </c>
      <c r="L616" s="51" t="s">
        <v>2369</v>
      </c>
      <c r="M616" s="51" t="s">
        <v>3956</v>
      </c>
      <c r="N616" s="51" t="s">
        <v>1340</v>
      </c>
      <c r="O616" s="51" t="s">
        <v>67</v>
      </c>
      <c r="P616" s="51" t="s">
        <v>67</v>
      </c>
      <c r="Q616" s="45">
        <v>46281.549832337965</v>
      </c>
      <c r="R616" s="46">
        <v>46311</v>
      </c>
      <c r="S616" s="46">
        <v>46306</v>
      </c>
      <c r="T616" s="51" t="s">
        <v>6119</v>
      </c>
      <c r="U616" s="15">
        <v>848.05</v>
      </c>
      <c r="V616" s="15">
        <v>3921.84</v>
      </c>
      <c r="W616" s="15">
        <v>36.08</v>
      </c>
      <c r="X616" s="15">
        <v>14.9</v>
      </c>
      <c r="Y616" s="15">
        <v>1.662307</v>
      </c>
      <c r="Z616" s="15">
        <v>6</v>
      </c>
      <c r="AA616" s="46">
        <v>46281</v>
      </c>
      <c r="AB616" s="15"/>
      <c r="AC616" s="15"/>
      <c r="AD616" s="15"/>
      <c r="AE616" s="15"/>
      <c r="AF616" s="15"/>
      <c r="AG616" s="15"/>
      <c r="AH616" s="15"/>
      <c r="AI616" s="46"/>
      <c r="AJ616" s="51" t="s">
        <v>6121</v>
      </c>
      <c r="AK616" s="51" t="s">
        <v>6121</v>
      </c>
      <c r="AL616" s="15">
        <v>848.05</v>
      </c>
      <c r="AM616" s="51" t="s">
        <v>67</v>
      </c>
      <c r="AN616" s="51" t="s">
        <v>67</v>
      </c>
      <c r="AO616" s="50" t="s">
        <v>9554</v>
      </c>
    </row>
    <row r="617" spans="1:41" hidden="1" x14ac:dyDescent="0.25">
      <c r="A617" s="51" t="s">
        <v>3957</v>
      </c>
      <c r="B617" s="51" t="s">
        <v>3958</v>
      </c>
      <c r="C617" s="54" t="s">
        <v>5600</v>
      </c>
      <c r="D617" s="51" t="s">
        <v>3959</v>
      </c>
      <c r="E617" s="20">
        <v>8888.08</v>
      </c>
      <c r="F617" s="20">
        <v>4991.33</v>
      </c>
      <c r="G617" s="20">
        <v>3316.47</v>
      </c>
      <c r="H617" s="20">
        <v>3870.86</v>
      </c>
      <c r="I617" s="20">
        <v>4991.33</v>
      </c>
      <c r="J617" s="51" t="s">
        <v>6727</v>
      </c>
      <c r="K617" s="15">
        <v>17</v>
      </c>
      <c r="L617" s="51" t="s">
        <v>2369</v>
      </c>
      <c r="M617" s="51" t="s">
        <v>3960</v>
      </c>
      <c r="N617" s="51" t="s">
        <v>1340</v>
      </c>
      <c r="O617" s="51" t="s">
        <v>3961</v>
      </c>
      <c r="P617" s="51" t="s">
        <v>1340</v>
      </c>
      <c r="Q617" s="45">
        <v>46281.549834479163</v>
      </c>
      <c r="R617" s="46">
        <v>46304</v>
      </c>
      <c r="S617" s="46">
        <v>46299</v>
      </c>
      <c r="T617" s="51" t="s">
        <v>6119</v>
      </c>
      <c r="U617" s="15">
        <v>848.05</v>
      </c>
      <c r="V617" s="15">
        <v>3921.84</v>
      </c>
      <c r="W617" s="15">
        <v>36.08</v>
      </c>
      <c r="X617" s="15">
        <v>14.9</v>
      </c>
      <c r="Y617" s="15">
        <v>1.662307</v>
      </c>
      <c r="Z617" s="15">
        <v>6</v>
      </c>
      <c r="AA617" s="46">
        <v>46274</v>
      </c>
      <c r="AB617" s="15"/>
      <c r="AC617" s="15"/>
      <c r="AD617" s="15"/>
      <c r="AE617" s="15"/>
      <c r="AF617" s="15"/>
      <c r="AG617" s="15"/>
      <c r="AH617" s="15"/>
      <c r="AI617" s="46"/>
      <c r="AJ617" s="51" t="s">
        <v>6121</v>
      </c>
      <c r="AK617" s="51" t="s">
        <v>6121</v>
      </c>
      <c r="AL617" s="15">
        <v>848.05</v>
      </c>
      <c r="AM617" s="51" t="s">
        <v>67</v>
      </c>
      <c r="AN617" s="51" t="s">
        <v>67</v>
      </c>
      <c r="AO617" s="50" t="s">
        <v>9554</v>
      </c>
    </row>
    <row r="618" spans="1:41" hidden="1" x14ac:dyDescent="0.25">
      <c r="A618" s="51" t="s">
        <v>3962</v>
      </c>
      <c r="B618" s="51" t="s">
        <v>3963</v>
      </c>
      <c r="C618" s="54" t="s">
        <v>5596</v>
      </c>
      <c r="D618" s="51" t="s">
        <v>3964</v>
      </c>
      <c r="E618" s="20">
        <v>12300.54</v>
      </c>
      <c r="F618" s="20">
        <v>4806.0200000000004</v>
      </c>
      <c r="G618" s="20">
        <v>13514.9</v>
      </c>
      <c r="H618" s="20">
        <v>3870.86</v>
      </c>
      <c r="I618" s="20">
        <v>4806.0200000000004</v>
      </c>
      <c r="J618" s="51" t="s">
        <v>6727</v>
      </c>
      <c r="K618" s="15">
        <v>21</v>
      </c>
      <c r="L618" s="51" t="s">
        <v>2369</v>
      </c>
      <c r="M618" s="51" t="s">
        <v>67</v>
      </c>
      <c r="N618" s="51" t="s">
        <v>67</v>
      </c>
      <c r="O618" s="51" t="s">
        <v>3965</v>
      </c>
      <c r="P618" s="51" t="s">
        <v>1340</v>
      </c>
      <c r="Q618" s="45">
        <v>46281.549836539351</v>
      </c>
      <c r="R618" s="46">
        <v>46300</v>
      </c>
      <c r="S618" s="46">
        <v>46295</v>
      </c>
      <c r="T618" s="51" t="s">
        <v>6119</v>
      </c>
      <c r="U618" s="15">
        <v>848.05</v>
      </c>
      <c r="V618" s="15">
        <v>3921.84</v>
      </c>
      <c r="W618" s="15">
        <v>36.08</v>
      </c>
      <c r="X618" s="15">
        <v>14.9</v>
      </c>
      <c r="Y618" s="15">
        <v>1.662307</v>
      </c>
      <c r="Z618" s="15">
        <v>6</v>
      </c>
      <c r="AA618" s="46">
        <v>46270</v>
      </c>
      <c r="AB618" s="15"/>
      <c r="AC618" s="15"/>
      <c r="AD618" s="15"/>
      <c r="AE618" s="15"/>
      <c r="AF618" s="15"/>
      <c r="AG618" s="15"/>
      <c r="AH618" s="15"/>
      <c r="AI618" s="46"/>
      <c r="AJ618" s="51" t="s">
        <v>6121</v>
      </c>
      <c r="AK618" s="51" t="s">
        <v>6121</v>
      </c>
      <c r="AL618" s="15">
        <v>848.05</v>
      </c>
      <c r="AM618" s="51" t="s">
        <v>67</v>
      </c>
      <c r="AN618" s="51" t="s">
        <v>67</v>
      </c>
      <c r="AO618" s="50" t="s">
        <v>9554</v>
      </c>
    </row>
    <row r="619" spans="1:41" hidden="1" x14ac:dyDescent="0.25">
      <c r="A619" s="51" t="s">
        <v>3966</v>
      </c>
      <c r="B619" s="51" t="s">
        <v>3967</v>
      </c>
      <c r="C619" s="54" t="s">
        <v>5602</v>
      </c>
      <c r="D619" s="51" t="s">
        <v>3968</v>
      </c>
      <c r="E619" s="20">
        <v>6762.71</v>
      </c>
      <c r="F619" s="20">
        <v>968.37</v>
      </c>
      <c r="G619" s="20">
        <v>20479.2</v>
      </c>
      <c r="H619" s="20">
        <v>0</v>
      </c>
      <c r="I619" s="20">
        <v>968.37</v>
      </c>
      <c r="J619" s="51" t="s">
        <v>2654</v>
      </c>
      <c r="K619" s="15">
        <v>0</v>
      </c>
      <c r="L619" s="51" t="s">
        <v>2371</v>
      </c>
      <c r="M619" s="51" t="s">
        <v>3969</v>
      </c>
      <c r="N619" s="51" t="s">
        <v>1340</v>
      </c>
      <c r="O619" s="51" t="s">
        <v>3970</v>
      </c>
      <c r="P619" s="51" t="s">
        <v>1340</v>
      </c>
      <c r="Q619" s="45">
        <v>46281.549839120373</v>
      </c>
      <c r="R619" s="46">
        <v>46303</v>
      </c>
      <c r="S619" s="46">
        <v>46298</v>
      </c>
      <c r="T619" s="51" t="s">
        <v>6119</v>
      </c>
      <c r="U619" s="15"/>
      <c r="V619" s="15"/>
      <c r="W619" s="15"/>
      <c r="X619" s="15"/>
      <c r="Y619" s="15"/>
      <c r="Z619" s="15"/>
      <c r="AA619" s="46"/>
      <c r="AB619" s="15"/>
      <c r="AC619" s="15"/>
      <c r="AD619" s="15"/>
      <c r="AE619" s="15"/>
      <c r="AF619" s="15"/>
      <c r="AG619" s="15"/>
      <c r="AH619" s="15"/>
      <c r="AI619" s="46"/>
      <c r="AJ619" s="51" t="s">
        <v>67</v>
      </c>
      <c r="AK619" s="51" t="s">
        <v>67</v>
      </c>
      <c r="AL619" s="15"/>
      <c r="AM619" s="51" t="s">
        <v>67</v>
      </c>
      <c r="AN619" s="51" t="s">
        <v>67</v>
      </c>
      <c r="AO619" s="50" t="s">
        <v>9554</v>
      </c>
    </row>
    <row r="620" spans="1:41" hidden="1" x14ac:dyDescent="0.25">
      <c r="A620" s="51" t="s">
        <v>3971</v>
      </c>
      <c r="B620" s="51" t="s">
        <v>3972</v>
      </c>
      <c r="C620" s="54" t="s">
        <v>2358</v>
      </c>
      <c r="D620" s="51" t="s">
        <v>3973</v>
      </c>
      <c r="E620" s="20">
        <v>6340.74</v>
      </c>
      <c r="F620" s="20">
        <v>803.57</v>
      </c>
      <c r="G620" s="20">
        <v>8757.9500000000007</v>
      </c>
      <c r="H620" s="20">
        <v>0</v>
      </c>
      <c r="I620" s="20">
        <v>803.57</v>
      </c>
      <c r="J620" s="51" t="s">
        <v>2654</v>
      </c>
      <c r="K620" s="15">
        <v>0</v>
      </c>
      <c r="L620" s="51" t="s">
        <v>2371</v>
      </c>
      <c r="M620" s="51" t="s">
        <v>67</v>
      </c>
      <c r="N620" s="51" t="s">
        <v>67</v>
      </c>
      <c r="O620" s="51" t="s">
        <v>3974</v>
      </c>
      <c r="P620" s="51" t="s">
        <v>1340</v>
      </c>
      <c r="Q620" s="45">
        <v>46281.549842025466</v>
      </c>
      <c r="R620" s="46">
        <v>46309</v>
      </c>
      <c r="S620" s="46">
        <v>46304</v>
      </c>
      <c r="T620" s="51" t="s">
        <v>6119</v>
      </c>
      <c r="U620" s="15"/>
      <c r="V620" s="15"/>
      <c r="W620" s="15"/>
      <c r="X620" s="15"/>
      <c r="Y620" s="15"/>
      <c r="Z620" s="15"/>
      <c r="AA620" s="46"/>
      <c r="AB620" s="15"/>
      <c r="AC620" s="15"/>
      <c r="AD620" s="15"/>
      <c r="AE620" s="15"/>
      <c r="AF620" s="15"/>
      <c r="AG620" s="15"/>
      <c r="AH620" s="15"/>
      <c r="AI620" s="46"/>
      <c r="AJ620" s="51" t="s">
        <v>67</v>
      </c>
      <c r="AK620" s="51" t="s">
        <v>67</v>
      </c>
      <c r="AL620" s="15"/>
      <c r="AM620" s="51" t="s">
        <v>67</v>
      </c>
      <c r="AN620" s="51" t="s">
        <v>67</v>
      </c>
      <c r="AO620" s="50" t="s">
        <v>9554</v>
      </c>
    </row>
    <row r="621" spans="1:41" hidden="1" x14ac:dyDescent="0.25">
      <c r="A621" s="51" t="s">
        <v>3975</v>
      </c>
      <c r="B621" s="51" t="s">
        <v>3976</v>
      </c>
      <c r="C621" s="54" t="s">
        <v>5608</v>
      </c>
      <c r="D621" s="51" t="s">
        <v>3977</v>
      </c>
      <c r="E621" s="20">
        <v>15020.93</v>
      </c>
      <c r="F621" s="20">
        <v>779.27</v>
      </c>
      <c r="G621" s="20">
        <v>1689.08</v>
      </c>
      <c r="H621" s="20">
        <v>753</v>
      </c>
      <c r="I621" s="20">
        <v>779.27</v>
      </c>
      <c r="J621" s="51" t="s">
        <v>6727</v>
      </c>
      <c r="K621" s="15">
        <v>2</v>
      </c>
      <c r="L621" s="51" t="s">
        <v>2369</v>
      </c>
      <c r="M621" s="51" t="s">
        <v>67</v>
      </c>
      <c r="N621" s="51" t="s">
        <v>67</v>
      </c>
      <c r="O621" s="51" t="s">
        <v>3978</v>
      </c>
      <c r="P621" s="51" t="s">
        <v>1340</v>
      </c>
      <c r="Q621" s="45">
        <v>46281.54984472222</v>
      </c>
      <c r="R621" s="46">
        <v>46319</v>
      </c>
      <c r="S621" s="46">
        <v>46314</v>
      </c>
      <c r="T621" s="51" t="s">
        <v>6119</v>
      </c>
      <c r="U621" s="15"/>
      <c r="V621" s="15"/>
      <c r="W621" s="15"/>
      <c r="X621" s="15"/>
      <c r="Y621" s="15"/>
      <c r="Z621" s="15"/>
      <c r="AA621" s="46"/>
      <c r="AB621" s="15"/>
      <c r="AC621" s="15"/>
      <c r="AD621" s="15"/>
      <c r="AE621" s="15"/>
      <c r="AF621" s="15"/>
      <c r="AG621" s="15"/>
      <c r="AH621" s="15"/>
      <c r="AI621" s="46"/>
      <c r="AJ621" s="51" t="s">
        <v>67</v>
      </c>
      <c r="AK621" s="51" t="s">
        <v>67</v>
      </c>
      <c r="AL621" s="15"/>
      <c r="AM621" s="51" t="s">
        <v>6705</v>
      </c>
      <c r="AN621" s="51" t="s">
        <v>6716</v>
      </c>
      <c r="AO621" s="50" t="s">
        <v>9554</v>
      </c>
    </row>
    <row r="622" spans="1:41" hidden="1" x14ac:dyDescent="0.25">
      <c r="A622" s="51" t="s">
        <v>3979</v>
      </c>
      <c r="B622" s="51" t="s">
        <v>3980</v>
      </c>
      <c r="C622" s="54" t="s">
        <v>2356</v>
      </c>
      <c r="D622" s="51" t="s">
        <v>3981</v>
      </c>
      <c r="E622" s="20">
        <v>5631.54</v>
      </c>
      <c r="F622" s="20">
        <v>4701.68</v>
      </c>
      <c r="G622" s="20">
        <v>3711.16</v>
      </c>
      <c r="H622" s="20">
        <v>3870.86</v>
      </c>
      <c r="I622" s="20">
        <v>4701.68</v>
      </c>
      <c r="J622" s="51" t="s">
        <v>6727</v>
      </c>
      <c r="K622" s="15">
        <v>14</v>
      </c>
      <c r="L622" s="51" t="s">
        <v>2369</v>
      </c>
      <c r="M622" s="51" t="s">
        <v>3982</v>
      </c>
      <c r="N622" s="51" t="s">
        <v>1340</v>
      </c>
      <c r="O622" s="51" t="s">
        <v>3983</v>
      </c>
      <c r="P622" s="51" t="s">
        <v>1340</v>
      </c>
      <c r="Q622" s="45">
        <v>46281.549847071758</v>
      </c>
      <c r="R622" s="46">
        <v>46307</v>
      </c>
      <c r="S622" s="46">
        <v>46302</v>
      </c>
      <c r="T622" s="51" t="s">
        <v>6119</v>
      </c>
      <c r="U622" s="15">
        <v>848.05</v>
      </c>
      <c r="V622" s="15">
        <v>3921.84</v>
      </c>
      <c r="W622" s="15">
        <v>36.08</v>
      </c>
      <c r="X622" s="15">
        <v>14.9</v>
      </c>
      <c r="Y622" s="15">
        <v>1.662307</v>
      </c>
      <c r="Z622" s="15">
        <v>6</v>
      </c>
      <c r="AA622" s="46">
        <v>46277</v>
      </c>
      <c r="AB622" s="15"/>
      <c r="AC622" s="15"/>
      <c r="AD622" s="15"/>
      <c r="AE622" s="15"/>
      <c r="AF622" s="15"/>
      <c r="AG622" s="15"/>
      <c r="AH622" s="15"/>
      <c r="AI622" s="46"/>
      <c r="AJ622" s="51" t="s">
        <v>6121</v>
      </c>
      <c r="AK622" s="51" t="s">
        <v>6121</v>
      </c>
      <c r="AL622" s="15">
        <v>848.05</v>
      </c>
      <c r="AM622" s="51" t="s">
        <v>67</v>
      </c>
      <c r="AN622" s="51" t="s">
        <v>67</v>
      </c>
      <c r="AO622" s="50" t="s">
        <v>9554</v>
      </c>
    </row>
    <row r="623" spans="1:41" hidden="1" x14ac:dyDescent="0.25">
      <c r="A623" s="51" t="s">
        <v>3984</v>
      </c>
      <c r="B623" s="51" t="s">
        <v>3985</v>
      </c>
      <c r="C623" s="54" t="s">
        <v>2694</v>
      </c>
      <c r="D623" s="51" t="s">
        <v>3986</v>
      </c>
      <c r="E623" s="20">
        <v>774.54</v>
      </c>
      <c r="F623" s="20">
        <v>199.7</v>
      </c>
      <c r="G623" s="20">
        <v>3303.84</v>
      </c>
      <c r="H623" s="20">
        <v>0</v>
      </c>
      <c r="I623" s="20">
        <v>599.09</v>
      </c>
      <c r="J623" s="51" t="s">
        <v>2654</v>
      </c>
      <c r="K623" s="15">
        <v>0</v>
      </c>
      <c r="L623" s="51" t="s">
        <v>2371</v>
      </c>
      <c r="M623" s="51" t="s">
        <v>3987</v>
      </c>
      <c r="N623" s="51" t="s">
        <v>1340</v>
      </c>
      <c r="O623" s="51" t="s">
        <v>3988</v>
      </c>
      <c r="P623" s="51" t="s">
        <v>1340</v>
      </c>
      <c r="Q623" s="45">
        <v>46281.549849525465</v>
      </c>
      <c r="R623" s="46">
        <v>46312</v>
      </c>
      <c r="S623" s="46">
        <v>46307</v>
      </c>
      <c r="T623" s="51" t="s">
        <v>6119</v>
      </c>
      <c r="U623" s="15"/>
      <c r="V623" s="15"/>
      <c r="W623" s="15"/>
      <c r="X623" s="15"/>
      <c r="Y623" s="15"/>
      <c r="Z623" s="15"/>
      <c r="AA623" s="46"/>
      <c r="AB623" s="15"/>
      <c r="AC623" s="15"/>
      <c r="AD623" s="15"/>
      <c r="AE623" s="15"/>
      <c r="AF623" s="15"/>
      <c r="AG623" s="15"/>
      <c r="AH623" s="15"/>
      <c r="AI623" s="46"/>
      <c r="AJ623" s="51" t="s">
        <v>67</v>
      </c>
      <c r="AK623" s="51" t="s">
        <v>67</v>
      </c>
      <c r="AL623" s="15"/>
      <c r="AM623" s="51" t="s">
        <v>67</v>
      </c>
      <c r="AN623" s="51" t="s">
        <v>67</v>
      </c>
      <c r="AO623" s="50" t="s">
        <v>9554</v>
      </c>
    </row>
    <row r="624" spans="1:41" hidden="1" x14ac:dyDescent="0.25">
      <c r="A624" s="51" t="s">
        <v>3989</v>
      </c>
      <c r="B624" s="51" t="s">
        <v>3990</v>
      </c>
      <c r="C624" s="54" t="s">
        <v>5605</v>
      </c>
      <c r="D624" s="51" t="s">
        <v>3991</v>
      </c>
      <c r="E624" s="20">
        <v>3215.68</v>
      </c>
      <c r="F624" s="20">
        <v>6636.59</v>
      </c>
      <c r="G624" s="20">
        <v>11147.4</v>
      </c>
      <c r="H624" s="20">
        <v>5922</v>
      </c>
      <c r="I624" s="20">
        <v>6636.58</v>
      </c>
      <c r="J624" s="51" t="s">
        <v>6727</v>
      </c>
      <c r="K624" s="15">
        <v>29</v>
      </c>
      <c r="L624" s="51" t="s">
        <v>2369</v>
      </c>
      <c r="M624" s="51" t="s">
        <v>3992</v>
      </c>
      <c r="N624" s="51" t="s">
        <v>1340</v>
      </c>
      <c r="O624" s="51" t="s">
        <v>67</v>
      </c>
      <c r="P624" s="51" t="s">
        <v>67</v>
      </c>
      <c r="Q624" s="45">
        <v>46281.549851435186</v>
      </c>
      <c r="R624" s="46">
        <v>46323</v>
      </c>
      <c r="S624" s="46">
        <v>46318</v>
      </c>
      <c r="T624" s="51" t="s">
        <v>6119</v>
      </c>
      <c r="U624" s="15">
        <v>849.8</v>
      </c>
      <c r="V624" s="15">
        <v>3922.15</v>
      </c>
      <c r="W624" s="15">
        <v>36.39</v>
      </c>
      <c r="X624" s="15">
        <v>14.9</v>
      </c>
      <c r="Y624" s="15">
        <v>1.6620440000000001</v>
      </c>
      <c r="Z624" s="15">
        <v>6</v>
      </c>
      <c r="AA624" s="46">
        <v>46262</v>
      </c>
      <c r="AB624" s="15"/>
      <c r="AC624" s="15"/>
      <c r="AD624" s="15"/>
      <c r="AE624" s="15"/>
      <c r="AF624" s="15"/>
      <c r="AG624" s="15"/>
      <c r="AH624" s="15"/>
      <c r="AI624" s="46"/>
      <c r="AJ624" s="51" t="s">
        <v>6121</v>
      </c>
      <c r="AK624" s="51" t="s">
        <v>6121</v>
      </c>
      <c r="AL624" s="15">
        <v>849.8</v>
      </c>
      <c r="AM624" s="51" t="s">
        <v>67</v>
      </c>
      <c r="AN624" s="51" t="s">
        <v>67</v>
      </c>
      <c r="AO624" s="50" t="s">
        <v>9554</v>
      </c>
    </row>
    <row r="625" spans="1:41" hidden="1" x14ac:dyDescent="0.25">
      <c r="A625" s="51" t="s">
        <v>3993</v>
      </c>
      <c r="B625" s="51" t="s">
        <v>3994</v>
      </c>
      <c r="C625" s="54" t="s">
        <v>5596</v>
      </c>
      <c r="D625" s="51" t="s">
        <v>3995</v>
      </c>
      <c r="E625" s="20">
        <v>3961.58</v>
      </c>
      <c r="F625" s="20">
        <v>837.63</v>
      </c>
      <c r="G625" s="20">
        <v>14477.06</v>
      </c>
      <c r="H625" s="20">
        <v>0</v>
      </c>
      <c r="I625" s="20">
        <v>837.63</v>
      </c>
      <c r="J625" s="51" t="s">
        <v>2654</v>
      </c>
      <c r="K625" s="15">
        <v>0</v>
      </c>
      <c r="L625" s="51" t="s">
        <v>2371</v>
      </c>
      <c r="M625" s="51" t="s">
        <v>3996</v>
      </c>
      <c r="N625" s="51" t="s">
        <v>1340</v>
      </c>
      <c r="O625" s="51" t="s">
        <v>67</v>
      </c>
      <c r="P625" s="51" t="s">
        <v>67</v>
      </c>
      <c r="Q625" s="45">
        <v>46281.549853576391</v>
      </c>
      <c r="R625" s="46">
        <v>46300</v>
      </c>
      <c r="S625" s="46">
        <v>46295</v>
      </c>
      <c r="T625" s="51" t="s">
        <v>6119</v>
      </c>
      <c r="U625" s="15"/>
      <c r="V625" s="15"/>
      <c r="W625" s="15"/>
      <c r="X625" s="15"/>
      <c r="Y625" s="15"/>
      <c r="Z625" s="15"/>
      <c r="AA625" s="46"/>
      <c r="AB625" s="15"/>
      <c r="AC625" s="15"/>
      <c r="AD625" s="15"/>
      <c r="AE625" s="15"/>
      <c r="AF625" s="15"/>
      <c r="AG625" s="15"/>
      <c r="AH625" s="15"/>
      <c r="AI625" s="46"/>
      <c r="AJ625" s="51" t="s">
        <v>67</v>
      </c>
      <c r="AK625" s="51" t="s">
        <v>67</v>
      </c>
      <c r="AL625" s="15"/>
      <c r="AM625" s="51" t="s">
        <v>67</v>
      </c>
      <c r="AN625" s="51" t="s">
        <v>67</v>
      </c>
      <c r="AO625" s="50" t="s">
        <v>9554</v>
      </c>
    </row>
    <row r="626" spans="1:41" hidden="1" x14ac:dyDescent="0.25">
      <c r="A626" s="51" t="s">
        <v>3997</v>
      </c>
      <c r="B626" s="51" t="s">
        <v>3998</v>
      </c>
      <c r="C626" s="54" t="s">
        <v>5599</v>
      </c>
      <c r="D626" s="51" t="s">
        <v>3999</v>
      </c>
      <c r="E626" s="20">
        <v>976.23</v>
      </c>
      <c r="F626" s="20">
        <v>4841.25</v>
      </c>
      <c r="G626" s="20">
        <v>14098.53</v>
      </c>
      <c r="H626" s="20">
        <v>3870.86</v>
      </c>
      <c r="I626" s="20">
        <v>4841.25</v>
      </c>
      <c r="J626" s="51" t="s">
        <v>6727</v>
      </c>
      <c r="K626" s="15">
        <v>19</v>
      </c>
      <c r="L626" s="51" t="s">
        <v>2369</v>
      </c>
      <c r="M626" s="51" t="s">
        <v>67</v>
      </c>
      <c r="N626" s="51" t="s">
        <v>67</v>
      </c>
      <c r="O626" s="51" t="s">
        <v>4000</v>
      </c>
      <c r="P626" s="51" t="s">
        <v>1340</v>
      </c>
      <c r="Q626" s="45">
        <v>46281.549855543984</v>
      </c>
      <c r="R626" s="46">
        <v>46302</v>
      </c>
      <c r="S626" s="46">
        <v>46297</v>
      </c>
      <c r="T626" s="51" t="s">
        <v>6119</v>
      </c>
      <c r="U626" s="15">
        <v>848.05</v>
      </c>
      <c r="V626" s="15">
        <v>3921.84</v>
      </c>
      <c r="W626" s="15">
        <v>36.08</v>
      </c>
      <c r="X626" s="15">
        <v>14.9</v>
      </c>
      <c r="Y626" s="15">
        <v>1.662307</v>
      </c>
      <c r="Z626" s="15">
        <v>6</v>
      </c>
      <c r="AA626" s="46">
        <v>46272</v>
      </c>
      <c r="AB626" s="15"/>
      <c r="AC626" s="15"/>
      <c r="AD626" s="15"/>
      <c r="AE626" s="15"/>
      <c r="AF626" s="15"/>
      <c r="AG626" s="15"/>
      <c r="AH626" s="15"/>
      <c r="AI626" s="46"/>
      <c r="AJ626" s="51" t="s">
        <v>6121</v>
      </c>
      <c r="AK626" s="51" t="s">
        <v>6121</v>
      </c>
      <c r="AL626" s="15">
        <v>848.05</v>
      </c>
      <c r="AM626" s="51" t="s">
        <v>67</v>
      </c>
      <c r="AN626" s="51" t="s">
        <v>67</v>
      </c>
      <c r="AO626" s="50" t="s">
        <v>9554</v>
      </c>
    </row>
    <row r="627" spans="1:41" hidden="1" x14ac:dyDescent="0.25">
      <c r="A627" s="51" t="s">
        <v>4001</v>
      </c>
      <c r="B627" s="51" t="s">
        <v>4002</v>
      </c>
      <c r="C627" s="54" t="s">
        <v>5606</v>
      </c>
      <c r="D627" s="51" t="s">
        <v>4003</v>
      </c>
      <c r="E627" s="20">
        <v>6732.13</v>
      </c>
      <c r="F627" s="20">
        <v>5122.4799999999996</v>
      </c>
      <c r="G627" s="20">
        <v>3972.27</v>
      </c>
      <c r="H627" s="20">
        <v>3870.86</v>
      </c>
      <c r="I627" s="20">
        <v>5122.4799999999996</v>
      </c>
      <c r="J627" s="51" t="s">
        <v>6727</v>
      </c>
      <c r="K627" s="15">
        <v>24</v>
      </c>
      <c r="L627" s="51" t="s">
        <v>2369</v>
      </c>
      <c r="M627" s="51" t="s">
        <v>67</v>
      </c>
      <c r="N627" s="51" t="s">
        <v>67</v>
      </c>
      <c r="O627" s="51" t="s">
        <v>4004</v>
      </c>
      <c r="P627" s="51" t="s">
        <v>1340</v>
      </c>
      <c r="Q627" s="45">
        <v>46281.549857592596</v>
      </c>
      <c r="R627" s="46">
        <v>46297</v>
      </c>
      <c r="S627" s="46">
        <v>46292</v>
      </c>
      <c r="T627" s="51" t="s">
        <v>6119</v>
      </c>
      <c r="U627" s="15">
        <v>848.05</v>
      </c>
      <c r="V627" s="15">
        <v>3921.84</v>
      </c>
      <c r="W627" s="15">
        <v>36.08</v>
      </c>
      <c r="X627" s="15">
        <v>14.9</v>
      </c>
      <c r="Y627" s="15">
        <v>1.662307</v>
      </c>
      <c r="Z627" s="15">
        <v>6</v>
      </c>
      <c r="AA627" s="46">
        <v>46267</v>
      </c>
      <c r="AB627" s="15"/>
      <c r="AC627" s="15"/>
      <c r="AD627" s="15"/>
      <c r="AE627" s="15"/>
      <c r="AF627" s="15"/>
      <c r="AG627" s="15"/>
      <c r="AH627" s="15"/>
      <c r="AI627" s="46"/>
      <c r="AJ627" s="51" t="s">
        <v>6121</v>
      </c>
      <c r="AK627" s="51" t="s">
        <v>6121</v>
      </c>
      <c r="AL627" s="15">
        <v>848.05</v>
      </c>
      <c r="AM627" s="51" t="s">
        <v>67</v>
      </c>
      <c r="AN627" s="51" t="s">
        <v>67</v>
      </c>
      <c r="AO627" s="50" t="s">
        <v>9554</v>
      </c>
    </row>
    <row r="628" spans="1:41" hidden="1" x14ac:dyDescent="0.25">
      <c r="A628" s="51" t="s">
        <v>4005</v>
      </c>
      <c r="B628" s="51" t="s">
        <v>4006</v>
      </c>
      <c r="C628" s="54" t="s">
        <v>5601</v>
      </c>
      <c r="D628" s="51" t="s">
        <v>4007</v>
      </c>
      <c r="E628" s="20">
        <v>2965.91</v>
      </c>
      <c r="F628" s="20">
        <v>0</v>
      </c>
      <c r="G628" s="20">
        <v>20452.830000000002</v>
      </c>
      <c r="H628" s="20">
        <v>0</v>
      </c>
      <c r="I628" s="20">
        <v>846.73</v>
      </c>
      <c r="J628" s="51" t="s">
        <v>2654</v>
      </c>
      <c r="K628" s="15">
        <v>0</v>
      </c>
      <c r="L628" s="51" t="s">
        <v>2371</v>
      </c>
      <c r="M628" s="51" t="s">
        <v>4008</v>
      </c>
      <c r="N628" s="51" t="s">
        <v>1340</v>
      </c>
      <c r="O628" s="51" t="s">
        <v>4009</v>
      </c>
      <c r="P628" s="51" t="s">
        <v>1340</v>
      </c>
      <c r="Q628" s="45">
        <v>46281.549859687497</v>
      </c>
      <c r="R628" s="46">
        <v>46316</v>
      </c>
      <c r="S628" s="46">
        <v>46311</v>
      </c>
      <c r="T628" s="51" t="s">
        <v>6119</v>
      </c>
      <c r="U628" s="15"/>
      <c r="V628" s="15"/>
      <c r="W628" s="15"/>
      <c r="X628" s="15"/>
      <c r="Y628" s="15"/>
      <c r="Z628" s="15"/>
      <c r="AA628" s="46"/>
      <c r="AB628" s="15"/>
      <c r="AC628" s="15"/>
      <c r="AD628" s="15"/>
      <c r="AE628" s="15"/>
      <c r="AF628" s="15"/>
      <c r="AG628" s="15"/>
      <c r="AH628" s="15"/>
      <c r="AI628" s="46"/>
      <c r="AJ628" s="51" t="s">
        <v>67</v>
      </c>
      <c r="AK628" s="51" t="s">
        <v>67</v>
      </c>
      <c r="AL628" s="15"/>
      <c r="AM628" s="51" t="s">
        <v>67</v>
      </c>
      <c r="AN628" s="51" t="s">
        <v>67</v>
      </c>
      <c r="AO628" s="50" t="s">
        <v>9554</v>
      </c>
    </row>
    <row r="629" spans="1:41" hidden="1" x14ac:dyDescent="0.25">
      <c r="A629" s="51" t="s">
        <v>4010</v>
      </c>
      <c r="B629" s="51" t="s">
        <v>4011</v>
      </c>
      <c r="C629" s="54" t="s">
        <v>5607</v>
      </c>
      <c r="D629" s="51" t="s">
        <v>4012</v>
      </c>
      <c r="E629" s="20">
        <v>14241.77</v>
      </c>
      <c r="F629" s="20">
        <v>4031.84</v>
      </c>
      <c r="G629" s="20">
        <v>13697.32</v>
      </c>
      <c r="H629" s="20">
        <v>3870.86</v>
      </c>
      <c r="I629" s="20">
        <v>4031.84</v>
      </c>
      <c r="J629" s="51" t="s">
        <v>6725</v>
      </c>
      <c r="K629" s="15">
        <v>0</v>
      </c>
      <c r="L629" s="51" t="s">
        <v>2371</v>
      </c>
      <c r="M629" s="51" t="s">
        <v>4013</v>
      </c>
      <c r="N629" s="51" t="s">
        <v>1340</v>
      </c>
      <c r="O629" s="51" t="s">
        <v>67</v>
      </c>
      <c r="P629" s="51" t="s">
        <v>67</v>
      </c>
      <c r="Q629" s="45">
        <v>46281.549861527776</v>
      </c>
      <c r="R629" s="46">
        <v>46299</v>
      </c>
      <c r="S629" s="46">
        <v>46294</v>
      </c>
      <c r="T629" s="51" t="s">
        <v>6119</v>
      </c>
      <c r="U629" s="15">
        <v>848.05</v>
      </c>
      <c r="V629" s="15">
        <v>3921.84</v>
      </c>
      <c r="W629" s="15">
        <v>36.08</v>
      </c>
      <c r="X629" s="15">
        <v>14.9</v>
      </c>
      <c r="Y629" s="15">
        <v>1.662307</v>
      </c>
      <c r="Z629" s="15">
        <v>6</v>
      </c>
      <c r="AA629" s="46">
        <v>46269</v>
      </c>
      <c r="AB629" s="15"/>
      <c r="AC629" s="15"/>
      <c r="AD629" s="15"/>
      <c r="AE629" s="15"/>
      <c r="AF629" s="15"/>
      <c r="AG629" s="15"/>
      <c r="AH629" s="15"/>
      <c r="AI629" s="46"/>
      <c r="AJ629" s="51" t="s">
        <v>67</v>
      </c>
      <c r="AK629" s="51" t="s">
        <v>6121</v>
      </c>
      <c r="AL629" s="15">
        <v>848.05</v>
      </c>
      <c r="AM629" s="51" t="s">
        <v>67</v>
      </c>
      <c r="AN629" s="51" t="s">
        <v>67</v>
      </c>
      <c r="AO629" s="50" t="s">
        <v>9554</v>
      </c>
    </row>
    <row r="630" spans="1:41" hidden="1" x14ac:dyDescent="0.25">
      <c r="A630" s="51" t="s">
        <v>4014</v>
      </c>
      <c r="B630" s="51" t="s">
        <v>4015</v>
      </c>
      <c r="C630" s="54" t="s">
        <v>2345</v>
      </c>
      <c r="D630" s="51" t="s">
        <v>4016</v>
      </c>
      <c r="E630" s="20">
        <v>14159.19</v>
      </c>
      <c r="F630" s="20">
        <v>4743.9799999999996</v>
      </c>
      <c r="G630" s="20">
        <v>15847.6</v>
      </c>
      <c r="H630" s="20">
        <v>3870.86</v>
      </c>
      <c r="I630" s="20">
        <v>4743.96</v>
      </c>
      <c r="J630" s="51" t="s">
        <v>6727</v>
      </c>
      <c r="K630" s="15">
        <v>15</v>
      </c>
      <c r="L630" s="51" t="s">
        <v>2369</v>
      </c>
      <c r="M630" s="51" t="s">
        <v>4017</v>
      </c>
      <c r="N630" s="51" t="s">
        <v>1344</v>
      </c>
      <c r="O630" s="51" t="s">
        <v>4018</v>
      </c>
      <c r="P630" s="51" t="s">
        <v>1344</v>
      </c>
      <c r="Q630" s="45">
        <v>46281.549863611108</v>
      </c>
      <c r="R630" s="46">
        <v>46306</v>
      </c>
      <c r="S630" s="46">
        <v>46301</v>
      </c>
      <c r="T630" s="51" t="s">
        <v>6119</v>
      </c>
      <c r="U630" s="15">
        <v>848.05</v>
      </c>
      <c r="V630" s="15">
        <v>3921.84</v>
      </c>
      <c r="W630" s="15">
        <v>36.08</v>
      </c>
      <c r="X630" s="15">
        <v>14.9</v>
      </c>
      <c r="Y630" s="15">
        <v>1.662307</v>
      </c>
      <c r="Z630" s="15">
        <v>6</v>
      </c>
      <c r="AA630" s="46">
        <v>46276</v>
      </c>
      <c r="AB630" s="15"/>
      <c r="AC630" s="15"/>
      <c r="AD630" s="15"/>
      <c r="AE630" s="15"/>
      <c r="AF630" s="15"/>
      <c r="AG630" s="15"/>
      <c r="AH630" s="15"/>
      <c r="AI630" s="46"/>
      <c r="AJ630" s="51" t="s">
        <v>6121</v>
      </c>
      <c r="AK630" s="51" t="s">
        <v>6121</v>
      </c>
      <c r="AL630" s="15">
        <v>848.05</v>
      </c>
      <c r="AM630" s="51" t="s">
        <v>67</v>
      </c>
      <c r="AN630" s="51" t="s">
        <v>67</v>
      </c>
      <c r="AO630" s="50" t="s">
        <v>9554</v>
      </c>
    </row>
    <row r="631" spans="1:41" hidden="1" x14ac:dyDescent="0.25">
      <c r="A631" s="51" t="s">
        <v>4019</v>
      </c>
      <c r="B631" s="51" t="s">
        <v>4020</v>
      </c>
      <c r="C631" s="54" t="s">
        <v>2357</v>
      </c>
      <c r="D631" s="51" t="s">
        <v>4021</v>
      </c>
      <c r="E631" s="20">
        <v>1477.12</v>
      </c>
      <c r="F631" s="20">
        <v>954.95</v>
      </c>
      <c r="G631" s="20">
        <v>17324.66</v>
      </c>
      <c r="H631" s="20">
        <v>0</v>
      </c>
      <c r="I631" s="20">
        <v>954.95</v>
      </c>
      <c r="J631" s="51" t="s">
        <v>2654</v>
      </c>
      <c r="K631" s="15">
        <v>0</v>
      </c>
      <c r="L631" s="51" t="s">
        <v>2371</v>
      </c>
      <c r="M631" s="51" t="s">
        <v>4022</v>
      </c>
      <c r="N631" s="51" t="s">
        <v>1344</v>
      </c>
      <c r="O631" s="51" t="s">
        <v>4023</v>
      </c>
      <c r="P631" s="51" t="s">
        <v>1344</v>
      </c>
      <c r="Q631" s="45">
        <v>46281.549865752313</v>
      </c>
      <c r="R631" s="46">
        <v>46308</v>
      </c>
      <c r="S631" s="46">
        <v>46303</v>
      </c>
      <c r="T631" s="51" t="s">
        <v>6119</v>
      </c>
      <c r="U631" s="15"/>
      <c r="V631" s="15"/>
      <c r="W631" s="15"/>
      <c r="X631" s="15"/>
      <c r="Y631" s="15"/>
      <c r="Z631" s="15"/>
      <c r="AA631" s="46"/>
      <c r="AB631" s="15"/>
      <c r="AC631" s="15"/>
      <c r="AD631" s="15"/>
      <c r="AE631" s="15"/>
      <c r="AF631" s="15"/>
      <c r="AG631" s="15"/>
      <c r="AH631" s="15"/>
      <c r="AI631" s="46"/>
      <c r="AJ631" s="51" t="s">
        <v>67</v>
      </c>
      <c r="AK631" s="51" t="s">
        <v>67</v>
      </c>
      <c r="AL631" s="15"/>
      <c r="AM631" s="51" t="s">
        <v>67</v>
      </c>
      <c r="AN631" s="51" t="s">
        <v>67</v>
      </c>
      <c r="AO631" s="50" t="s">
        <v>9554</v>
      </c>
    </row>
    <row r="632" spans="1:41" hidden="1" x14ac:dyDescent="0.25">
      <c r="A632" s="51" t="s">
        <v>4024</v>
      </c>
      <c r="B632" s="51" t="s">
        <v>4025</v>
      </c>
      <c r="C632" s="54" t="s">
        <v>5601</v>
      </c>
      <c r="D632" s="51" t="s">
        <v>4026</v>
      </c>
      <c r="E632" s="20">
        <v>8170.39</v>
      </c>
      <c r="F632" s="20">
        <v>0</v>
      </c>
      <c r="G632" s="20">
        <v>11759.33</v>
      </c>
      <c r="H632" s="20">
        <v>0</v>
      </c>
      <c r="I632" s="20">
        <v>843.67</v>
      </c>
      <c r="J632" s="51" t="s">
        <v>2654</v>
      </c>
      <c r="K632" s="15">
        <v>0</v>
      </c>
      <c r="L632" s="51" t="s">
        <v>2371</v>
      </c>
      <c r="M632" s="51" t="s">
        <v>67</v>
      </c>
      <c r="N632" s="51" t="s">
        <v>67</v>
      </c>
      <c r="O632" s="51" t="s">
        <v>4027</v>
      </c>
      <c r="P632" s="51" t="s">
        <v>1340</v>
      </c>
      <c r="Q632" s="45">
        <v>46281.549867766204</v>
      </c>
      <c r="R632" s="46">
        <v>46316</v>
      </c>
      <c r="S632" s="46">
        <v>46311</v>
      </c>
      <c r="T632" s="51" t="s">
        <v>6119</v>
      </c>
      <c r="U632" s="15"/>
      <c r="V632" s="15"/>
      <c r="W632" s="15"/>
      <c r="X632" s="15"/>
      <c r="Y632" s="15"/>
      <c r="Z632" s="15"/>
      <c r="AA632" s="46"/>
      <c r="AB632" s="15"/>
      <c r="AC632" s="15"/>
      <c r="AD632" s="15"/>
      <c r="AE632" s="15"/>
      <c r="AF632" s="15"/>
      <c r="AG632" s="15"/>
      <c r="AH632" s="15"/>
      <c r="AI632" s="46"/>
      <c r="AJ632" s="51" t="s">
        <v>67</v>
      </c>
      <c r="AK632" s="51" t="s">
        <v>67</v>
      </c>
      <c r="AL632" s="15"/>
      <c r="AM632" s="51" t="s">
        <v>67</v>
      </c>
      <c r="AN632" s="51" t="s">
        <v>67</v>
      </c>
      <c r="AO632" s="50" t="s">
        <v>9554</v>
      </c>
    </row>
    <row r="633" spans="1:41" hidden="1" x14ac:dyDescent="0.25">
      <c r="A633" s="51" t="s">
        <v>4028</v>
      </c>
      <c r="B633" s="51" t="s">
        <v>4029</v>
      </c>
      <c r="C633" s="54" t="s">
        <v>5596</v>
      </c>
      <c r="D633" s="51" t="s">
        <v>4030</v>
      </c>
      <c r="E633" s="20">
        <v>571.80999999999995</v>
      </c>
      <c r="F633" s="20">
        <v>4936.58</v>
      </c>
      <c r="G633" s="20">
        <v>11786.06</v>
      </c>
      <c r="H633" s="20">
        <v>3870.86</v>
      </c>
      <c r="I633" s="20">
        <v>4936.57</v>
      </c>
      <c r="J633" s="51" t="s">
        <v>6727</v>
      </c>
      <c r="K633" s="15">
        <v>21</v>
      </c>
      <c r="L633" s="51" t="s">
        <v>2369</v>
      </c>
      <c r="M633" s="51" t="s">
        <v>4031</v>
      </c>
      <c r="N633" s="51" t="s">
        <v>1344</v>
      </c>
      <c r="O633" s="51" t="s">
        <v>4032</v>
      </c>
      <c r="P633" s="51" t="s">
        <v>1344</v>
      </c>
      <c r="Q633" s="45">
        <v>46281.549869675924</v>
      </c>
      <c r="R633" s="46">
        <v>46300</v>
      </c>
      <c r="S633" s="46">
        <v>46295</v>
      </c>
      <c r="T633" s="51" t="s">
        <v>6119</v>
      </c>
      <c r="U633" s="15">
        <v>848.05</v>
      </c>
      <c r="V633" s="15">
        <v>3921.84</v>
      </c>
      <c r="W633" s="15">
        <v>36.08</v>
      </c>
      <c r="X633" s="15">
        <v>14.9</v>
      </c>
      <c r="Y633" s="15">
        <v>1.662307</v>
      </c>
      <c r="Z633" s="15">
        <v>6</v>
      </c>
      <c r="AA633" s="46">
        <v>46270</v>
      </c>
      <c r="AB633" s="15"/>
      <c r="AC633" s="15"/>
      <c r="AD633" s="15"/>
      <c r="AE633" s="15"/>
      <c r="AF633" s="15"/>
      <c r="AG633" s="15"/>
      <c r="AH633" s="15"/>
      <c r="AI633" s="46"/>
      <c r="AJ633" s="51" t="s">
        <v>6121</v>
      </c>
      <c r="AK633" s="51" t="s">
        <v>6121</v>
      </c>
      <c r="AL633" s="15">
        <v>848.05</v>
      </c>
      <c r="AM633" s="51" t="s">
        <v>67</v>
      </c>
      <c r="AN633" s="51" t="s">
        <v>67</v>
      </c>
      <c r="AO633" s="50" t="s">
        <v>9554</v>
      </c>
    </row>
    <row r="634" spans="1:41" hidden="1" x14ac:dyDescent="0.25">
      <c r="A634" s="51" t="s">
        <v>4033</v>
      </c>
      <c r="B634" s="51" t="s">
        <v>4034</v>
      </c>
      <c r="C634" s="54" t="s">
        <v>2694</v>
      </c>
      <c r="D634" s="51" t="s">
        <v>4035</v>
      </c>
      <c r="E634" s="20">
        <v>15050</v>
      </c>
      <c r="F634" s="20">
        <v>310.31</v>
      </c>
      <c r="G634" s="20">
        <v>18414.7</v>
      </c>
      <c r="H634" s="20">
        <v>0</v>
      </c>
      <c r="I634" s="20">
        <v>558.55999999999995</v>
      </c>
      <c r="J634" s="51" t="s">
        <v>2654</v>
      </c>
      <c r="K634" s="15">
        <v>0</v>
      </c>
      <c r="L634" s="51" t="s">
        <v>2371</v>
      </c>
      <c r="M634" s="51" t="s">
        <v>67</v>
      </c>
      <c r="N634" s="51" t="s">
        <v>67</v>
      </c>
      <c r="O634" s="51" t="s">
        <v>4036</v>
      </c>
      <c r="P634" s="51" t="s">
        <v>1340</v>
      </c>
      <c r="Q634" s="45">
        <v>46281.549871990741</v>
      </c>
      <c r="R634" s="46">
        <v>46312</v>
      </c>
      <c r="S634" s="46">
        <v>46307</v>
      </c>
      <c r="T634" s="51" t="s">
        <v>6119</v>
      </c>
      <c r="U634" s="15"/>
      <c r="V634" s="15"/>
      <c r="W634" s="15"/>
      <c r="X634" s="15"/>
      <c r="Y634" s="15"/>
      <c r="Z634" s="15"/>
      <c r="AA634" s="46"/>
      <c r="AB634" s="15"/>
      <c r="AC634" s="15"/>
      <c r="AD634" s="15"/>
      <c r="AE634" s="15"/>
      <c r="AF634" s="15"/>
      <c r="AG634" s="15"/>
      <c r="AH634" s="15"/>
      <c r="AI634" s="46"/>
      <c r="AJ634" s="51" t="s">
        <v>67</v>
      </c>
      <c r="AK634" s="51" t="s">
        <v>67</v>
      </c>
      <c r="AL634" s="15"/>
      <c r="AM634" s="51" t="s">
        <v>67</v>
      </c>
      <c r="AN634" s="51" t="s">
        <v>67</v>
      </c>
      <c r="AO634" s="50" t="s">
        <v>9554</v>
      </c>
    </row>
    <row r="635" spans="1:41" hidden="1" x14ac:dyDescent="0.25">
      <c r="A635" s="51" t="s">
        <v>4037</v>
      </c>
      <c r="B635" s="51" t="s">
        <v>4038</v>
      </c>
      <c r="C635" s="54" t="s">
        <v>2689</v>
      </c>
      <c r="D635" s="51" t="s">
        <v>4039</v>
      </c>
      <c r="E635" s="20">
        <v>11230.11</v>
      </c>
      <c r="F635" s="20">
        <v>0</v>
      </c>
      <c r="G635" s="20">
        <v>19280.900000000001</v>
      </c>
      <c r="H635" s="20">
        <v>0</v>
      </c>
      <c r="I635" s="20">
        <v>921.57</v>
      </c>
      <c r="J635" s="51" t="s">
        <v>2654</v>
      </c>
      <c r="K635" s="15">
        <v>0</v>
      </c>
      <c r="L635" s="51" t="s">
        <v>2371</v>
      </c>
      <c r="M635" s="51" t="s">
        <v>67</v>
      </c>
      <c r="N635" s="51" t="s">
        <v>67</v>
      </c>
      <c r="O635" s="51" t="s">
        <v>4040</v>
      </c>
      <c r="P635" s="51" t="s">
        <v>1340</v>
      </c>
      <c r="Q635" s="45">
        <v>46281.5498740162</v>
      </c>
      <c r="R635" s="46">
        <v>46317</v>
      </c>
      <c r="S635" s="46">
        <v>46312</v>
      </c>
      <c r="T635" s="51" t="s">
        <v>6119</v>
      </c>
      <c r="U635" s="15"/>
      <c r="V635" s="15"/>
      <c r="W635" s="15"/>
      <c r="X635" s="15"/>
      <c r="Y635" s="15"/>
      <c r="Z635" s="15"/>
      <c r="AA635" s="46"/>
      <c r="AB635" s="15"/>
      <c r="AC635" s="15"/>
      <c r="AD635" s="15"/>
      <c r="AE635" s="15"/>
      <c r="AF635" s="15"/>
      <c r="AG635" s="15"/>
      <c r="AH635" s="15"/>
      <c r="AI635" s="46"/>
      <c r="AJ635" s="51" t="s">
        <v>67</v>
      </c>
      <c r="AK635" s="51" t="s">
        <v>67</v>
      </c>
      <c r="AL635" s="15"/>
      <c r="AM635" s="51" t="s">
        <v>67</v>
      </c>
      <c r="AN635" s="51" t="s">
        <v>67</v>
      </c>
      <c r="AO635" s="50" t="s">
        <v>9554</v>
      </c>
    </row>
    <row r="636" spans="1:41" hidden="1" x14ac:dyDescent="0.25">
      <c r="A636" s="51" t="s">
        <v>4041</v>
      </c>
      <c r="B636" s="51" t="s">
        <v>4042</v>
      </c>
      <c r="C636" s="54" t="s">
        <v>5600</v>
      </c>
      <c r="D636" s="51" t="s">
        <v>4043</v>
      </c>
      <c r="E636" s="20">
        <v>15214.62</v>
      </c>
      <c r="F636" s="20">
        <v>818.91</v>
      </c>
      <c r="G636" s="20">
        <v>19740.439999999999</v>
      </c>
      <c r="H636" s="20">
        <v>0</v>
      </c>
      <c r="I636" s="20">
        <v>818.91</v>
      </c>
      <c r="J636" s="51" t="s">
        <v>2654</v>
      </c>
      <c r="K636" s="15">
        <v>0</v>
      </c>
      <c r="L636" s="51" t="s">
        <v>2371</v>
      </c>
      <c r="M636" s="51" t="s">
        <v>4044</v>
      </c>
      <c r="N636" s="51" t="s">
        <v>1344</v>
      </c>
      <c r="O636" s="51" t="s">
        <v>4045</v>
      </c>
      <c r="P636" s="51" t="s">
        <v>1344</v>
      </c>
      <c r="Q636" s="45">
        <v>46281.54987584491</v>
      </c>
      <c r="R636" s="46">
        <v>46304</v>
      </c>
      <c r="S636" s="46">
        <v>46299</v>
      </c>
      <c r="T636" s="51" t="s">
        <v>6119</v>
      </c>
      <c r="U636" s="15"/>
      <c r="V636" s="15"/>
      <c r="W636" s="15"/>
      <c r="X636" s="15"/>
      <c r="Y636" s="15"/>
      <c r="Z636" s="15"/>
      <c r="AA636" s="46"/>
      <c r="AB636" s="15"/>
      <c r="AC636" s="15"/>
      <c r="AD636" s="15"/>
      <c r="AE636" s="15"/>
      <c r="AF636" s="15"/>
      <c r="AG636" s="15"/>
      <c r="AH636" s="15"/>
      <c r="AI636" s="46"/>
      <c r="AJ636" s="51" t="s">
        <v>67</v>
      </c>
      <c r="AK636" s="51" t="s">
        <v>67</v>
      </c>
      <c r="AL636" s="15"/>
      <c r="AM636" s="51" t="s">
        <v>67</v>
      </c>
      <c r="AN636" s="51" t="s">
        <v>67</v>
      </c>
      <c r="AO636" s="50" t="s">
        <v>9554</v>
      </c>
    </row>
    <row r="637" spans="1:41" hidden="1" x14ac:dyDescent="0.25">
      <c r="A637" s="51" t="s">
        <v>4046</v>
      </c>
      <c r="B637" s="51" t="s">
        <v>4047</v>
      </c>
      <c r="C637" s="54" t="s">
        <v>5607</v>
      </c>
      <c r="D637" s="51" t="s">
        <v>4048</v>
      </c>
      <c r="E637" s="20">
        <v>7450.6</v>
      </c>
      <c r="F637" s="20">
        <v>5168.3999999999996</v>
      </c>
      <c r="G637" s="20">
        <v>14819.13</v>
      </c>
      <c r="H637" s="20">
        <v>3870.86</v>
      </c>
      <c r="I637" s="20">
        <v>5168.3999999999996</v>
      </c>
      <c r="J637" s="51" t="s">
        <v>6727</v>
      </c>
      <c r="K637" s="15">
        <v>22</v>
      </c>
      <c r="L637" s="51" t="s">
        <v>2369</v>
      </c>
      <c r="M637" s="51" t="s">
        <v>4049</v>
      </c>
      <c r="N637" s="51" t="s">
        <v>1340</v>
      </c>
      <c r="O637" s="51" t="s">
        <v>4050</v>
      </c>
      <c r="P637" s="51" t="s">
        <v>1340</v>
      </c>
      <c r="Q637" s="45">
        <v>46281.549877534722</v>
      </c>
      <c r="R637" s="46">
        <v>46299</v>
      </c>
      <c r="S637" s="46">
        <v>46294</v>
      </c>
      <c r="T637" s="51" t="s">
        <v>6119</v>
      </c>
      <c r="U637" s="15">
        <v>848.05</v>
      </c>
      <c r="V637" s="15">
        <v>3921.84</v>
      </c>
      <c r="W637" s="15">
        <v>36.08</v>
      </c>
      <c r="X637" s="15">
        <v>14.9</v>
      </c>
      <c r="Y637" s="15">
        <v>1.662307</v>
      </c>
      <c r="Z637" s="15">
        <v>6</v>
      </c>
      <c r="AA637" s="46">
        <v>46269</v>
      </c>
      <c r="AB637" s="15"/>
      <c r="AC637" s="15"/>
      <c r="AD637" s="15"/>
      <c r="AE637" s="15"/>
      <c r="AF637" s="15"/>
      <c r="AG637" s="15"/>
      <c r="AH637" s="15"/>
      <c r="AI637" s="46"/>
      <c r="AJ637" s="51" t="s">
        <v>6121</v>
      </c>
      <c r="AK637" s="51" t="s">
        <v>6121</v>
      </c>
      <c r="AL637" s="15">
        <v>848.05</v>
      </c>
      <c r="AM637" s="51" t="s">
        <v>67</v>
      </c>
      <c r="AN637" s="51" t="s">
        <v>67</v>
      </c>
      <c r="AO637" s="50" t="s">
        <v>9554</v>
      </c>
    </row>
    <row r="638" spans="1:41" hidden="1" x14ac:dyDescent="0.25">
      <c r="A638" s="51" t="s">
        <v>4051</v>
      </c>
      <c r="B638" s="51" t="s">
        <v>4052</v>
      </c>
      <c r="C638" s="54" t="s">
        <v>5605</v>
      </c>
      <c r="D638" s="51" t="s">
        <v>4053</v>
      </c>
      <c r="E638" s="20">
        <v>7756</v>
      </c>
      <c r="F638" s="20">
        <v>5288.3</v>
      </c>
      <c r="G638" s="20">
        <v>12092.96</v>
      </c>
      <c r="H638" s="20">
        <v>4573.7</v>
      </c>
      <c r="I638" s="20">
        <v>5288.3</v>
      </c>
      <c r="J638" s="51" t="s">
        <v>6727</v>
      </c>
      <c r="K638" s="15">
        <v>29</v>
      </c>
      <c r="L638" s="51" t="s">
        <v>2369</v>
      </c>
      <c r="M638" s="51" t="s">
        <v>4054</v>
      </c>
      <c r="N638" s="51" t="s">
        <v>1340</v>
      </c>
      <c r="O638" s="51" t="s">
        <v>4055</v>
      </c>
      <c r="P638" s="51" t="s">
        <v>1340</v>
      </c>
      <c r="Q638" s="45">
        <v>46281.549879756945</v>
      </c>
      <c r="R638" s="46">
        <v>46323</v>
      </c>
      <c r="S638" s="46">
        <v>46318</v>
      </c>
      <c r="T638" s="51" t="s">
        <v>6119</v>
      </c>
      <c r="U638" s="15">
        <v>849.8</v>
      </c>
      <c r="V638" s="15">
        <v>3922.15</v>
      </c>
      <c r="W638" s="15">
        <v>36.39</v>
      </c>
      <c r="X638" s="15">
        <v>14.9</v>
      </c>
      <c r="Y638" s="15">
        <v>1.6620440000000001</v>
      </c>
      <c r="Z638" s="15">
        <v>6</v>
      </c>
      <c r="AA638" s="46">
        <v>46262</v>
      </c>
      <c r="AB638" s="15"/>
      <c r="AC638" s="15"/>
      <c r="AD638" s="15"/>
      <c r="AE638" s="15"/>
      <c r="AF638" s="15"/>
      <c r="AG638" s="15"/>
      <c r="AH638" s="15"/>
      <c r="AI638" s="46"/>
      <c r="AJ638" s="51" t="s">
        <v>6121</v>
      </c>
      <c r="AK638" s="51" t="s">
        <v>6121</v>
      </c>
      <c r="AL638" s="15">
        <v>849.8</v>
      </c>
      <c r="AM638" s="51" t="s">
        <v>67</v>
      </c>
      <c r="AN638" s="51" t="s">
        <v>67</v>
      </c>
      <c r="AO638" s="50" t="s">
        <v>9554</v>
      </c>
    </row>
    <row r="639" spans="1:41" hidden="1" x14ac:dyDescent="0.25">
      <c r="A639" s="51" t="s">
        <v>4056</v>
      </c>
      <c r="B639" s="51" t="s">
        <v>4057</v>
      </c>
      <c r="C639" s="54" t="s">
        <v>2358</v>
      </c>
      <c r="D639" s="51" t="s">
        <v>4058</v>
      </c>
      <c r="E639" s="20">
        <v>7107.2</v>
      </c>
      <c r="F639" s="20">
        <v>478.53</v>
      </c>
      <c r="G639" s="20">
        <v>14397.58</v>
      </c>
      <c r="H639" s="20">
        <v>0</v>
      </c>
      <c r="I639" s="20">
        <v>861.35</v>
      </c>
      <c r="J639" s="51" t="s">
        <v>2654</v>
      </c>
      <c r="K639" s="15">
        <v>0</v>
      </c>
      <c r="L639" s="51" t="s">
        <v>2371</v>
      </c>
      <c r="M639" s="51" t="s">
        <v>4059</v>
      </c>
      <c r="N639" s="51" t="s">
        <v>1340</v>
      </c>
      <c r="O639" s="51" t="s">
        <v>4060</v>
      </c>
      <c r="P639" s="51" t="s">
        <v>1340</v>
      </c>
      <c r="Q639" s="45">
        <v>46281.549882002313</v>
      </c>
      <c r="R639" s="46">
        <v>46309</v>
      </c>
      <c r="S639" s="46">
        <v>46304</v>
      </c>
      <c r="T639" s="51" t="s">
        <v>6119</v>
      </c>
      <c r="U639" s="15"/>
      <c r="V639" s="15"/>
      <c r="W639" s="15"/>
      <c r="X639" s="15"/>
      <c r="Y639" s="15"/>
      <c r="Z639" s="15"/>
      <c r="AA639" s="46"/>
      <c r="AB639" s="15"/>
      <c r="AC639" s="15"/>
      <c r="AD639" s="15"/>
      <c r="AE639" s="15"/>
      <c r="AF639" s="15"/>
      <c r="AG639" s="15"/>
      <c r="AH639" s="15"/>
      <c r="AI639" s="46"/>
      <c r="AJ639" s="51" t="s">
        <v>67</v>
      </c>
      <c r="AK639" s="51" t="s">
        <v>67</v>
      </c>
      <c r="AL639" s="15"/>
      <c r="AM639" s="51" t="s">
        <v>67</v>
      </c>
      <c r="AN639" s="51" t="s">
        <v>67</v>
      </c>
      <c r="AO639" s="50" t="s">
        <v>9554</v>
      </c>
    </row>
    <row r="640" spans="1:41" hidden="1" x14ac:dyDescent="0.25">
      <c r="A640" s="51" t="s">
        <v>4061</v>
      </c>
      <c r="B640" s="51" t="s">
        <v>4062</v>
      </c>
      <c r="C640" s="54" t="s">
        <v>5600</v>
      </c>
      <c r="D640" s="51" t="s">
        <v>4063</v>
      </c>
      <c r="E640" s="20">
        <v>3136.07</v>
      </c>
      <c r="F640" s="20">
        <v>4961.5</v>
      </c>
      <c r="G640" s="20">
        <v>86.37</v>
      </c>
      <c r="H640" s="20">
        <v>3870.86</v>
      </c>
      <c r="I640" s="20">
        <v>4961.5</v>
      </c>
      <c r="J640" s="51" t="s">
        <v>6727</v>
      </c>
      <c r="K640" s="15">
        <v>17</v>
      </c>
      <c r="L640" s="51" t="s">
        <v>2369</v>
      </c>
      <c r="M640" s="51" t="s">
        <v>4064</v>
      </c>
      <c r="N640" s="51" t="s">
        <v>1340</v>
      </c>
      <c r="O640" s="51" t="s">
        <v>4065</v>
      </c>
      <c r="P640" s="51" t="s">
        <v>1340</v>
      </c>
      <c r="Q640" s="45">
        <v>46281.549883715277</v>
      </c>
      <c r="R640" s="46">
        <v>46304</v>
      </c>
      <c r="S640" s="46">
        <v>46299</v>
      </c>
      <c r="T640" s="51" t="s">
        <v>6119</v>
      </c>
      <c r="U640" s="15">
        <v>848.05</v>
      </c>
      <c r="V640" s="15">
        <v>3921.84</v>
      </c>
      <c r="W640" s="15">
        <v>36.08</v>
      </c>
      <c r="X640" s="15">
        <v>14.9</v>
      </c>
      <c r="Y640" s="15">
        <v>1.662307</v>
      </c>
      <c r="Z640" s="15">
        <v>6</v>
      </c>
      <c r="AA640" s="46">
        <v>46274</v>
      </c>
      <c r="AB640" s="15"/>
      <c r="AC640" s="15"/>
      <c r="AD640" s="15"/>
      <c r="AE640" s="15"/>
      <c r="AF640" s="15"/>
      <c r="AG640" s="15"/>
      <c r="AH640" s="15"/>
      <c r="AI640" s="46"/>
      <c r="AJ640" s="51" t="s">
        <v>6121</v>
      </c>
      <c r="AK640" s="51" t="s">
        <v>6121</v>
      </c>
      <c r="AL640" s="15">
        <v>848.05</v>
      </c>
      <c r="AM640" s="51" t="s">
        <v>67</v>
      </c>
      <c r="AN640" s="51" t="s">
        <v>67</v>
      </c>
      <c r="AO640" s="50" t="s">
        <v>9554</v>
      </c>
    </row>
    <row r="641" spans="1:41" hidden="1" x14ac:dyDescent="0.25">
      <c r="A641" s="51" t="s">
        <v>4066</v>
      </c>
      <c r="B641" s="51" t="s">
        <v>4067</v>
      </c>
      <c r="C641" s="54" t="s">
        <v>5602</v>
      </c>
      <c r="D641" s="51" t="s">
        <v>4068</v>
      </c>
      <c r="E641" s="20">
        <v>8089.06</v>
      </c>
      <c r="F641" s="20">
        <v>4725.25</v>
      </c>
      <c r="G641" s="20">
        <v>1348.09</v>
      </c>
      <c r="H641" s="20">
        <v>3870.86</v>
      </c>
      <c r="I641" s="20">
        <v>4725.25</v>
      </c>
      <c r="J641" s="51" t="s">
        <v>6727</v>
      </c>
      <c r="K641" s="15">
        <v>18</v>
      </c>
      <c r="L641" s="51" t="s">
        <v>2369</v>
      </c>
      <c r="M641" s="51" t="s">
        <v>4069</v>
      </c>
      <c r="N641" s="51" t="s">
        <v>1340</v>
      </c>
      <c r="O641" s="51" t="s">
        <v>67</v>
      </c>
      <c r="P641" s="51" t="s">
        <v>67</v>
      </c>
      <c r="Q641" s="45">
        <v>46281.549886180554</v>
      </c>
      <c r="R641" s="46">
        <v>46303</v>
      </c>
      <c r="S641" s="46">
        <v>46298</v>
      </c>
      <c r="T641" s="51" t="s">
        <v>6119</v>
      </c>
      <c r="U641" s="15">
        <v>848.05</v>
      </c>
      <c r="V641" s="15">
        <v>3921.84</v>
      </c>
      <c r="W641" s="15">
        <v>36.08</v>
      </c>
      <c r="X641" s="15">
        <v>14.9</v>
      </c>
      <c r="Y641" s="15">
        <v>1.662307</v>
      </c>
      <c r="Z641" s="15">
        <v>6</v>
      </c>
      <c r="AA641" s="46">
        <v>46273</v>
      </c>
      <c r="AB641" s="15"/>
      <c r="AC641" s="15"/>
      <c r="AD641" s="15"/>
      <c r="AE641" s="15"/>
      <c r="AF641" s="15"/>
      <c r="AG641" s="15"/>
      <c r="AH641" s="15"/>
      <c r="AI641" s="46"/>
      <c r="AJ641" s="51" t="s">
        <v>6121</v>
      </c>
      <c r="AK641" s="51" t="s">
        <v>6121</v>
      </c>
      <c r="AL641" s="15">
        <v>848.05</v>
      </c>
      <c r="AM641" s="51" t="s">
        <v>67</v>
      </c>
      <c r="AN641" s="51" t="s">
        <v>67</v>
      </c>
      <c r="AO641" s="50" t="s">
        <v>9554</v>
      </c>
    </row>
    <row r="642" spans="1:41" hidden="1" x14ac:dyDescent="0.25">
      <c r="A642" s="51" t="s">
        <v>4070</v>
      </c>
      <c r="B642" s="51" t="s">
        <v>4071</v>
      </c>
      <c r="C642" s="54" t="s">
        <v>5603</v>
      </c>
      <c r="D642" s="51" t="s">
        <v>4072</v>
      </c>
      <c r="E642" s="20">
        <v>11143.42</v>
      </c>
      <c r="F642" s="20">
        <v>527.12</v>
      </c>
      <c r="G642" s="20">
        <v>13907.2</v>
      </c>
      <c r="H642" s="20">
        <v>3870.86</v>
      </c>
      <c r="I642" s="20">
        <v>527.12</v>
      </c>
      <c r="J642" s="51" t="s">
        <v>6724</v>
      </c>
      <c r="K642" s="15">
        <v>0</v>
      </c>
      <c r="L642" s="51" t="s">
        <v>2371</v>
      </c>
      <c r="M642" s="51" t="s">
        <v>67</v>
      </c>
      <c r="N642" s="51" t="s">
        <v>67</v>
      </c>
      <c r="O642" s="51" t="s">
        <v>4073</v>
      </c>
      <c r="P642" s="51" t="s">
        <v>1344</v>
      </c>
      <c r="Q642" s="45">
        <v>46281.549888414353</v>
      </c>
      <c r="R642" s="46">
        <v>46298</v>
      </c>
      <c r="S642" s="46">
        <v>46293</v>
      </c>
      <c r="T642" s="51" t="s">
        <v>6119</v>
      </c>
      <c r="U642" s="15">
        <v>848.05</v>
      </c>
      <c r="V642" s="15">
        <v>3921.84</v>
      </c>
      <c r="W642" s="15">
        <v>36.08</v>
      </c>
      <c r="X642" s="15">
        <v>14.9</v>
      </c>
      <c r="Y642" s="15">
        <v>1.662307</v>
      </c>
      <c r="Z642" s="15">
        <v>6</v>
      </c>
      <c r="AA642" s="46">
        <v>46268</v>
      </c>
      <c r="AB642" s="15"/>
      <c r="AC642" s="15"/>
      <c r="AD642" s="15"/>
      <c r="AE642" s="15"/>
      <c r="AF642" s="15"/>
      <c r="AG642" s="15"/>
      <c r="AH642" s="15"/>
      <c r="AI642" s="46"/>
      <c r="AJ642" s="51" t="s">
        <v>67</v>
      </c>
      <c r="AK642" s="51" t="s">
        <v>6121</v>
      </c>
      <c r="AL642" s="15">
        <v>848.05</v>
      </c>
      <c r="AM642" s="51" t="s">
        <v>67</v>
      </c>
      <c r="AN642" s="51" t="s">
        <v>67</v>
      </c>
      <c r="AO642" s="50" t="s">
        <v>9554</v>
      </c>
    </row>
    <row r="643" spans="1:41" hidden="1" x14ac:dyDescent="0.25">
      <c r="A643" s="51" t="s">
        <v>4074</v>
      </c>
      <c r="B643" s="51" t="s">
        <v>4075</v>
      </c>
      <c r="C643" s="54" t="s">
        <v>2690</v>
      </c>
      <c r="D643" s="51" t="s">
        <v>4076</v>
      </c>
      <c r="E643" s="20">
        <v>4166.66</v>
      </c>
      <c r="F643" s="20">
        <v>2125.16</v>
      </c>
      <c r="G643" s="20">
        <v>6117.39</v>
      </c>
      <c r="H643" s="20">
        <v>5903.89</v>
      </c>
      <c r="I643" s="20">
        <v>2125.16</v>
      </c>
      <c r="J643" s="51" t="s">
        <v>6726</v>
      </c>
      <c r="K643" s="15">
        <v>0</v>
      </c>
      <c r="L643" s="51" t="s">
        <v>2371</v>
      </c>
      <c r="M643" s="51" t="s">
        <v>4077</v>
      </c>
      <c r="N643" s="51" t="s">
        <v>1340</v>
      </c>
      <c r="O643" s="51" t="s">
        <v>67</v>
      </c>
      <c r="P643" s="51" t="s">
        <v>67</v>
      </c>
      <c r="Q643" s="45">
        <v>46281.549890497685</v>
      </c>
      <c r="R643" s="46">
        <v>46322</v>
      </c>
      <c r="S643" s="46">
        <v>46317</v>
      </c>
      <c r="T643" s="51" t="s">
        <v>6119</v>
      </c>
      <c r="U643" s="15">
        <v>849.8</v>
      </c>
      <c r="V643" s="15">
        <v>3922.15</v>
      </c>
      <c r="W643" s="15">
        <v>36.39</v>
      </c>
      <c r="X643" s="15">
        <v>14.9</v>
      </c>
      <c r="Y643" s="15">
        <v>1.6620440000000001</v>
      </c>
      <c r="Z643" s="15">
        <v>6</v>
      </c>
      <c r="AA643" s="46">
        <v>46261</v>
      </c>
      <c r="AB643" s="15"/>
      <c r="AC643" s="15"/>
      <c r="AD643" s="15"/>
      <c r="AE643" s="15"/>
      <c r="AF643" s="15"/>
      <c r="AG643" s="15"/>
      <c r="AH643" s="15"/>
      <c r="AI643" s="46"/>
      <c r="AJ643" s="51" t="s">
        <v>67</v>
      </c>
      <c r="AK643" s="51" t="s">
        <v>6121</v>
      </c>
      <c r="AL643" s="15">
        <v>849.8</v>
      </c>
      <c r="AM643" s="51" t="s">
        <v>67</v>
      </c>
      <c r="AN643" s="51" t="s">
        <v>67</v>
      </c>
      <c r="AO643" s="50" t="s">
        <v>9554</v>
      </c>
    </row>
    <row r="644" spans="1:41" hidden="1" x14ac:dyDescent="0.25">
      <c r="A644" s="51" t="s">
        <v>4078</v>
      </c>
      <c r="B644" s="51" t="s">
        <v>4079</v>
      </c>
      <c r="C644" s="54" t="s">
        <v>5603</v>
      </c>
      <c r="D644" s="51" t="s">
        <v>4080</v>
      </c>
      <c r="E644" s="20">
        <v>3034.84</v>
      </c>
      <c r="F644" s="20">
        <v>5114.3100000000004</v>
      </c>
      <c r="G644" s="20">
        <v>15030.98</v>
      </c>
      <c r="H644" s="20">
        <v>3870.86</v>
      </c>
      <c r="I644" s="20">
        <v>5114.3100000000004</v>
      </c>
      <c r="J644" s="51" t="s">
        <v>6727</v>
      </c>
      <c r="K644" s="15">
        <v>23</v>
      </c>
      <c r="L644" s="51" t="s">
        <v>2369</v>
      </c>
      <c r="M644" s="51" t="s">
        <v>67</v>
      </c>
      <c r="N644" s="51" t="s">
        <v>67</v>
      </c>
      <c r="O644" s="51" t="s">
        <v>4081</v>
      </c>
      <c r="P644" s="51" t="s">
        <v>1344</v>
      </c>
      <c r="Q644" s="45">
        <v>46281.549892627314</v>
      </c>
      <c r="R644" s="46">
        <v>46298</v>
      </c>
      <c r="S644" s="46">
        <v>46293</v>
      </c>
      <c r="T644" s="51" t="s">
        <v>6119</v>
      </c>
      <c r="U644" s="15">
        <v>848.05</v>
      </c>
      <c r="V644" s="15">
        <v>3921.84</v>
      </c>
      <c r="W644" s="15">
        <v>36.08</v>
      </c>
      <c r="X644" s="15">
        <v>14.9</v>
      </c>
      <c r="Y644" s="15">
        <v>1.662307</v>
      </c>
      <c r="Z644" s="15">
        <v>6</v>
      </c>
      <c r="AA644" s="46">
        <v>46268</v>
      </c>
      <c r="AB644" s="15"/>
      <c r="AC644" s="15"/>
      <c r="AD644" s="15"/>
      <c r="AE644" s="15"/>
      <c r="AF644" s="15"/>
      <c r="AG644" s="15"/>
      <c r="AH644" s="15"/>
      <c r="AI644" s="46"/>
      <c r="AJ644" s="51" t="s">
        <v>6121</v>
      </c>
      <c r="AK644" s="51" t="s">
        <v>6121</v>
      </c>
      <c r="AL644" s="15">
        <v>848.05</v>
      </c>
      <c r="AM644" s="51" t="s">
        <v>67</v>
      </c>
      <c r="AN644" s="51" t="s">
        <v>67</v>
      </c>
      <c r="AO644" s="50" t="s">
        <v>9554</v>
      </c>
    </row>
    <row r="645" spans="1:41" hidden="1" x14ac:dyDescent="0.25">
      <c r="A645" s="51" t="s">
        <v>4082</v>
      </c>
      <c r="B645" s="51" t="s">
        <v>4083</v>
      </c>
      <c r="C645" s="54" t="s">
        <v>5605</v>
      </c>
      <c r="D645" s="51" t="s">
        <v>4084</v>
      </c>
      <c r="E645" s="20">
        <v>9825.2800000000007</v>
      </c>
      <c r="F645" s="20">
        <v>4949.5600000000004</v>
      </c>
      <c r="G645" s="20">
        <v>14236.03</v>
      </c>
      <c r="H645" s="20">
        <v>4234.97</v>
      </c>
      <c r="I645" s="20">
        <v>4949.55</v>
      </c>
      <c r="J645" s="51" t="s">
        <v>6727</v>
      </c>
      <c r="K645" s="15">
        <v>29</v>
      </c>
      <c r="L645" s="51" t="s">
        <v>2369</v>
      </c>
      <c r="M645" s="51" t="s">
        <v>4085</v>
      </c>
      <c r="N645" s="51" t="s">
        <v>1340</v>
      </c>
      <c r="O645" s="51" t="s">
        <v>4086</v>
      </c>
      <c r="P645" s="51" t="s">
        <v>1340</v>
      </c>
      <c r="Q645" s="45">
        <v>46281.549894733798</v>
      </c>
      <c r="R645" s="46">
        <v>46323</v>
      </c>
      <c r="S645" s="46">
        <v>46318</v>
      </c>
      <c r="T645" s="51" t="s">
        <v>6119</v>
      </c>
      <c r="U645" s="15">
        <v>849.8</v>
      </c>
      <c r="V645" s="15">
        <v>3922.15</v>
      </c>
      <c r="W645" s="15">
        <v>36.39</v>
      </c>
      <c r="X645" s="15">
        <v>14.9</v>
      </c>
      <c r="Y645" s="15">
        <v>1.6620440000000001</v>
      </c>
      <c r="Z645" s="15">
        <v>6</v>
      </c>
      <c r="AA645" s="46">
        <v>46262</v>
      </c>
      <c r="AB645" s="15"/>
      <c r="AC645" s="15"/>
      <c r="AD645" s="15"/>
      <c r="AE645" s="15"/>
      <c r="AF645" s="15"/>
      <c r="AG645" s="15"/>
      <c r="AH645" s="15"/>
      <c r="AI645" s="46"/>
      <c r="AJ645" s="51" t="s">
        <v>6121</v>
      </c>
      <c r="AK645" s="51" t="s">
        <v>6121</v>
      </c>
      <c r="AL645" s="15">
        <v>849.8</v>
      </c>
      <c r="AM645" s="51" t="s">
        <v>67</v>
      </c>
      <c r="AN645" s="51" t="s">
        <v>67</v>
      </c>
      <c r="AO645" s="50" t="s">
        <v>9554</v>
      </c>
    </row>
    <row r="646" spans="1:41" hidden="1" x14ac:dyDescent="0.25">
      <c r="A646" s="51" t="s">
        <v>4087</v>
      </c>
      <c r="B646" s="51" t="s">
        <v>4088</v>
      </c>
      <c r="C646" s="54" t="s">
        <v>5598</v>
      </c>
      <c r="D646" s="51" t="s">
        <v>4089</v>
      </c>
      <c r="E646" s="20">
        <v>9645.0300000000007</v>
      </c>
      <c r="F646" s="20">
        <v>867.05</v>
      </c>
      <c r="G646" s="20">
        <v>3581.66</v>
      </c>
      <c r="H646" s="20">
        <v>833.35</v>
      </c>
      <c r="I646" s="20">
        <v>867.05</v>
      </c>
      <c r="J646" s="51" t="s">
        <v>6727</v>
      </c>
      <c r="K646" s="15">
        <v>3</v>
      </c>
      <c r="L646" s="51" t="s">
        <v>2369</v>
      </c>
      <c r="M646" s="51" t="s">
        <v>67</v>
      </c>
      <c r="N646" s="51" t="s">
        <v>67</v>
      </c>
      <c r="O646" s="51" t="s">
        <v>4090</v>
      </c>
      <c r="P646" s="51" t="s">
        <v>1344</v>
      </c>
      <c r="Q646" s="45">
        <v>46281.554562361111</v>
      </c>
      <c r="R646" s="46">
        <v>46318</v>
      </c>
      <c r="S646" s="46">
        <v>46313</v>
      </c>
      <c r="T646" s="51" t="s">
        <v>6119</v>
      </c>
      <c r="U646" s="15"/>
      <c r="V646" s="15"/>
      <c r="W646" s="15"/>
      <c r="X646" s="15"/>
      <c r="Y646" s="15"/>
      <c r="Z646" s="15"/>
      <c r="AA646" s="46"/>
      <c r="AB646" s="15"/>
      <c r="AC646" s="15"/>
      <c r="AD646" s="15"/>
      <c r="AE646" s="15"/>
      <c r="AF646" s="15"/>
      <c r="AG646" s="15"/>
      <c r="AH646" s="15"/>
      <c r="AI646" s="46"/>
      <c r="AJ646" s="51" t="s">
        <v>67</v>
      </c>
      <c r="AK646" s="51" t="s">
        <v>67</v>
      </c>
      <c r="AL646" s="15"/>
      <c r="AM646" s="51" t="s">
        <v>67</v>
      </c>
      <c r="AN646" s="51" t="s">
        <v>67</v>
      </c>
      <c r="AO646" s="50" t="s">
        <v>9554</v>
      </c>
    </row>
    <row r="647" spans="1:41" hidden="1" x14ac:dyDescent="0.25">
      <c r="A647" s="51" t="s">
        <v>4091</v>
      </c>
      <c r="B647" s="51" t="s">
        <v>4092</v>
      </c>
      <c r="C647" s="54" t="s">
        <v>5600</v>
      </c>
      <c r="D647" s="51" t="s">
        <v>4093</v>
      </c>
      <c r="E647" s="20">
        <v>1072.78</v>
      </c>
      <c r="F647" s="20">
        <v>4960.01</v>
      </c>
      <c r="G647" s="20">
        <v>14575.59</v>
      </c>
      <c r="H647" s="20">
        <v>3870.86</v>
      </c>
      <c r="I647" s="20">
        <v>4960.01</v>
      </c>
      <c r="J647" s="51" t="s">
        <v>6727</v>
      </c>
      <c r="K647" s="15">
        <v>17</v>
      </c>
      <c r="L647" s="51" t="s">
        <v>2369</v>
      </c>
      <c r="M647" s="51" t="s">
        <v>67</v>
      </c>
      <c r="N647" s="51" t="s">
        <v>67</v>
      </c>
      <c r="O647" s="51" t="s">
        <v>4094</v>
      </c>
      <c r="P647" s="51" t="s">
        <v>1344</v>
      </c>
      <c r="Q647" s="45">
        <v>46281.554564502316</v>
      </c>
      <c r="R647" s="46">
        <v>46304</v>
      </c>
      <c r="S647" s="46">
        <v>46299</v>
      </c>
      <c r="T647" s="51" t="s">
        <v>6119</v>
      </c>
      <c r="U647" s="15">
        <v>848.05</v>
      </c>
      <c r="V647" s="15">
        <v>3921.84</v>
      </c>
      <c r="W647" s="15">
        <v>36.08</v>
      </c>
      <c r="X647" s="15">
        <v>14.9</v>
      </c>
      <c r="Y647" s="15">
        <v>1.662307</v>
      </c>
      <c r="Z647" s="15">
        <v>6</v>
      </c>
      <c r="AA647" s="46">
        <v>46274</v>
      </c>
      <c r="AB647" s="15"/>
      <c r="AC647" s="15"/>
      <c r="AD647" s="15"/>
      <c r="AE647" s="15"/>
      <c r="AF647" s="15"/>
      <c r="AG647" s="15"/>
      <c r="AH647" s="15"/>
      <c r="AI647" s="46"/>
      <c r="AJ647" s="51" t="s">
        <v>6121</v>
      </c>
      <c r="AK647" s="51" t="s">
        <v>6121</v>
      </c>
      <c r="AL647" s="15">
        <v>848.05</v>
      </c>
      <c r="AM647" s="51" t="s">
        <v>67</v>
      </c>
      <c r="AN647" s="51" t="s">
        <v>67</v>
      </c>
      <c r="AO647" s="50" t="s">
        <v>9554</v>
      </c>
    </row>
    <row r="648" spans="1:41" hidden="1" x14ac:dyDescent="0.25">
      <c r="A648" s="51" t="s">
        <v>4095</v>
      </c>
      <c r="B648" s="51" t="s">
        <v>4096</v>
      </c>
      <c r="C648" s="54" t="s">
        <v>2690</v>
      </c>
      <c r="D648" s="51" t="s">
        <v>4097</v>
      </c>
      <c r="E648" s="20">
        <v>8584.9699999999993</v>
      </c>
      <c r="F648" s="20">
        <v>7208.23</v>
      </c>
      <c r="G648" s="20">
        <v>-2259.44</v>
      </c>
      <c r="H648" s="20">
        <v>7503.19</v>
      </c>
      <c r="I648" s="20">
        <v>7208.23</v>
      </c>
      <c r="J648" s="51" t="s">
        <v>6726</v>
      </c>
      <c r="K648" s="15">
        <v>0</v>
      </c>
      <c r="L648" s="51" t="s">
        <v>2371</v>
      </c>
      <c r="M648" s="51" t="s">
        <v>4098</v>
      </c>
      <c r="N648" s="51" t="s">
        <v>1340</v>
      </c>
      <c r="O648" s="51" t="s">
        <v>67</v>
      </c>
      <c r="P648" s="51" t="s">
        <v>67</v>
      </c>
      <c r="Q648" s="45">
        <v>46281.554566863429</v>
      </c>
      <c r="R648" s="46">
        <v>46322</v>
      </c>
      <c r="S648" s="46">
        <v>46317</v>
      </c>
      <c r="T648" s="51" t="s">
        <v>6119</v>
      </c>
      <c r="U648" s="15">
        <v>849.8</v>
      </c>
      <c r="V648" s="15">
        <v>3922.15</v>
      </c>
      <c r="W648" s="15">
        <v>36.39</v>
      </c>
      <c r="X648" s="15">
        <v>14.9</v>
      </c>
      <c r="Y648" s="15">
        <v>1.6620440000000001</v>
      </c>
      <c r="Z648" s="15">
        <v>6</v>
      </c>
      <c r="AA648" s="46">
        <v>46261</v>
      </c>
      <c r="AB648" s="15"/>
      <c r="AC648" s="15"/>
      <c r="AD648" s="15"/>
      <c r="AE648" s="15"/>
      <c r="AF648" s="15"/>
      <c r="AG648" s="15"/>
      <c r="AH648" s="15"/>
      <c r="AI648" s="46"/>
      <c r="AJ648" s="51" t="s">
        <v>67</v>
      </c>
      <c r="AK648" s="51" t="s">
        <v>6121</v>
      </c>
      <c r="AL648" s="15">
        <v>849.8</v>
      </c>
      <c r="AM648" s="51" t="s">
        <v>6705</v>
      </c>
      <c r="AN648" s="51" t="s">
        <v>6713</v>
      </c>
      <c r="AO648" s="50" t="s">
        <v>9554</v>
      </c>
    </row>
    <row r="649" spans="1:41" hidden="1" x14ac:dyDescent="0.25">
      <c r="A649" s="51" t="s">
        <v>4099</v>
      </c>
      <c r="B649" s="51" t="s">
        <v>4100</v>
      </c>
      <c r="C649" s="54" t="s">
        <v>2691</v>
      </c>
      <c r="D649" s="51" t="s">
        <v>4101</v>
      </c>
      <c r="E649" s="20">
        <v>2512.58</v>
      </c>
      <c r="F649" s="20">
        <v>660.23</v>
      </c>
      <c r="G649" s="20">
        <v>2155.84</v>
      </c>
      <c r="H649" s="20">
        <v>0</v>
      </c>
      <c r="I649" s="20">
        <v>660.23</v>
      </c>
      <c r="J649" s="51" t="s">
        <v>2654</v>
      </c>
      <c r="K649" s="15">
        <v>0</v>
      </c>
      <c r="L649" s="51" t="s">
        <v>2371</v>
      </c>
      <c r="M649" s="51" t="s">
        <v>67</v>
      </c>
      <c r="N649" s="51" t="s">
        <v>67</v>
      </c>
      <c r="O649" s="51" t="s">
        <v>4102</v>
      </c>
      <c r="P649" s="51" t="s">
        <v>1340</v>
      </c>
      <c r="Q649" s="45">
        <v>46281.554569178239</v>
      </c>
      <c r="R649" s="46">
        <v>46301</v>
      </c>
      <c r="S649" s="46">
        <v>46296</v>
      </c>
      <c r="T649" s="51" t="s">
        <v>6119</v>
      </c>
      <c r="U649" s="15"/>
      <c r="V649" s="15"/>
      <c r="W649" s="15"/>
      <c r="X649" s="15"/>
      <c r="Y649" s="15"/>
      <c r="Z649" s="15"/>
      <c r="AA649" s="46"/>
      <c r="AB649" s="15"/>
      <c r="AC649" s="15"/>
      <c r="AD649" s="15"/>
      <c r="AE649" s="15"/>
      <c r="AF649" s="15"/>
      <c r="AG649" s="15"/>
      <c r="AH649" s="15"/>
      <c r="AI649" s="46"/>
      <c r="AJ649" s="51" t="s">
        <v>67</v>
      </c>
      <c r="AK649" s="51" t="s">
        <v>67</v>
      </c>
      <c r="AL649" s="15"/>
      <c r="AM649" s="51" t="s">
        <v>67</v>
      </c>
      <c r="AN649" s="51" t="s">
        <v>67</v>
      </c>
      <c r="AO649" s="50" t="s">
        <v>9554</v>
      </c>
    </row>
    <row r="650" spans="1:41" hidden="1" x14ac:dyDescent="0.25">
      <c r="A650" s="51" t="s">
        <v>4103</v>
      </c>
      <c r="B650" s="51" t="s">
        <v>4104</v>
      </c>
      <c r="C650" s="54" t="s">
        <v>605</v>
      </c>
      <c r="D650" s="51" t="s">
        <v>4105</v>
      </c>
      <c r="E650" s="20">
        <v>14269.24</v>
      </c>
      <c r="F650" s="20">
        <v>724.36</v>
      </c>
      <c r="G650" s="20">
        <v>18518.060000000001</v>
      </c>
      <c r="H650" s="20">
        <v>0</v>
      </c>
      <c r="I650" s="20">
        <v>724.36</v>
      </c>
      <c r="J650" s="51" t="s">
        <v>2654</v>
      </c>
      <c r="K650" s="15">
        <v>0</v>
      </c>
      <c r="L650" s="51" t="s">
        <v>2371</v>
      </c>
      <c r="M650" s="51" t="s">
        <v>4106</v>
      </c>
      <c r="N650" s="51" t="s">
        <v>1344</v>
      </c>
      <c r="O650" s="51" t="s">
        <v>67</v>
      </c>
      <c r="P650" s="51" t="s">
        <v>67</v>
      </c>
      <c r="Q650" s="45">
        <v>46281.554571377317</v>
      </c>
      <c r="R650" s="46">
        <v>46305</v>
      </c>
      <c r="S650" s="46">
        <v>46300</v>
      </c>
      <c r="T650" s="51" t="s">
        <v>6119</v>
      </c>
      <c r="U650" s="15"/>
      <c r="V650" s="15"/>
      <c r="W650" s="15"/>
      <c r="X650" s="15"/>
      <c r="Y650" s="15"/>
      <c r="Z650" s="15"/>
      <c r="AA650" s="46"/>
      <c r="AB650" s="15"/>
      <c r="AC650" s="15"/>
      <c r="AD650" s="15"/>
      <c r="AE650" s="15"/>
      <c r="AF650" s="15"/>
      <c r="AG650" s="15"/>
      <c r="AH650" s="15"/>
      <c r="AI650" s="46"/>
      <c r="AJ650" s="51" t="s">
        <v>67</v>
      </c>
      <c r="AK650" s="51" t="s">
        <v>67</v>
      </c>
      <c r="AL650" s="15"/>
      <c r="AM650" s="51" t="s">
        <v>67</v>
      </c>
      <c r="AN650" s="51" t="s">
        <v>67</v>
      </c>
      <c r="AO650" s="50" t="s">
        <v>9554</v>
      </c>
    </row>
    <row r="651" spans="1:41" hidden="1" x14ac:dyDescent="0.25">
      <c r="A651" s="51" t="s">
        <v>4107</v>
      </c>
      <c r="B651" s="51" t="s">
        <v>4108</v>
      </c>
      <c r="C651" s="54" t="s">
        <v>2357</v>
      </c>
      <c r="D651" s="51" t="s">
        <v>4109</v>
      </c>
      <c r="E651" s="20">
        <v>3414.44</v>
      </c>
      <c r="F651" s="20">
        <v>4664.3900000000003</v>
      </c>
      <c r="G651" s="20">
        <v>6771.49</v>
      </c>
      <c r="H651" s="20">
        <v>3870.86</v>
      </c>
      <c r="I651" s="20">
        <v>4570.54</v>
      </c>
      <c r="J651" s="51" t="s">
        <v>6727</v>
      </c>
      <c r="K651" s="15">
        <v>13</v>
      </c>
      <c r="L651" s="51" t="s">
        <v>2369</v>
      </c>
      <c r="M651" s="51" t="s">
        <v>4110</v>
      </c>
      <c r="N651" s="51" t="s">
        <v>1340</v>
      </c>
      <c r="O651" s="51" t="s">
        <v>4111</v>
      </c>
      <c r="P651" s="51" t="s">
        <v>1340</v>
      </c>
      <c r="Q651" s="45">
        <v>46281.554573368056</v>
      </c>
      <c r="R651" s="46">
        <v>46308</v>
      </c>
      <c r="S651" s="46">
        <v>46303</v>
      </c>
      <c r="T651" s="51" t="s">
        <v>6119</v>
      </c>
      <c r="U651" s="15">
        <v>848.05</v>
      </c>
      <c r="V651" s="15">
        <v>3921.84</v>
      </c>
      <c r="W651" s="15">
        <v>36.08</v>
      </c>
      <c r="X651" s="15">
        <v>14.9</v>
      </c>
      <c r="Y651" s="15">
        <v>1.662307</v>
      </c>
      <c r="Z651" s="15">
        <v>6</v>
      </c>
      <c r="AA651" s="46">
        <v>46278</v>
      </c>
      <c r="AB651" s="15"/>
      <c r="AC651" s="15"/>
      <c r="AD651" s="15"/>
      <c r="AE651" s="15"/>
      <c r="AF651" s="15"/>
      <c r="AG651" s="15"/>
      <c r="AH651" s="15"/>
      <c r="AI651" s="46"/>
      <c r="AJ651" s="51" t="s">
        <v>6121</v>
      </c>
      <c r="AK651" s="51" t="s">
        <v>6121</v>
      </c>
      <c r="AL651" s="15">
        <v>848.05</v>
      </c>
      <c r="AM651" s="51" t="s">
        <v>67</v>
      </c>
      <c r="AN651" s="51" t="s">
        <v>67</v>
      </c>
      <c r="AO651" s="50" t="s">
        <v>9554</v>
      </c>
    </row>
    <row r="652" spans="1:41" hidden="1" x14ac:dyDescent="0.25">
      <c r="A652" s="51" t="s">
        <v>4112</v>
      </c>
      <c r="B652" s="51" t="s">
        <v>4113</v>
      </c>
      <c r="C652" s="54" t="s">
        <v>2692</v>
      </c>
      <c r="D652" s="51" t="s">
        <v>4114</v>
      </c>
      <c r="E652" s="20">
        <v>10642.43</v>
      </c>
      <c r="F652" s="20">
        <v>5041.6499999999996</v>
      </c>
      <c r="G652" s="20">
        <v>13288.11</v>
      </c>
      <c r="H652" s="20">
        <v>3870.86</v>
      </c>
      <c r="I652" s="20">
        <v>5041.6499999999996</v>
      </c>
      <c r="J652" s="51" t="s">
        <v>6727</v>
      </c>
      <c r="K652" s="15">
        <v>25</v>
      </c>
      <c r="L652" s="51" t="s">
        <v>2369</v>
      </c>
      <c r="M652" s="51" t="s">
        <v>4115</v>
      </c>
      <c r="N652" s="51" t="s">
        <v>1340</v>
      </c>
      <c r="O652" s="51" t="s">
        <v>67</v>
      </c>
      <c r="P652" s="51" t="s">
        <v>67</v>
      </c>
      <c r="Q652" s="45">
        <v>46281.554575613423</v>
      </c>
      <c r="R652" s="46">
        <v>46296</v>
      </c>
      <c r="S652" s="46">
        <v>46291</v>
      </c>
      <c r="T652" s="51" t="s">
        <v>6119</v>
      </c>
      <c r="U652" s="15">
        <v>848.05</v>
      </c>
      <c r="V652" s="15">
        <v>3921.84</v>
      </c>
      <c r="W652" s="15">
        <v>36.08</v>
      </c>
      <c r="X652" s="15">
        <v>14.9</v>
      </c>
      <c r="Y652" s="15">
        <v>1.662307</v>
      </c>
      <c r="Z652" s="15">
        <v>6</v>
      </c>
      <c r="AA652" s="46">
        <v>46266</v>
      </c>
      <c r="AB652" s="15"/>
      <c r="AC652" s="15"/>
      <c r="AD652" s="15"/>
      <c r="AE652" s="15"/>
      <c r="AF652" s="15"/>
      <c r="AG652" s="15"/>
      <c r="AH652" s="15"/>
      <c r="AI652" s="46"/>
      <c r="AJ652" s="51" t="s">
        <v>6121</v>
      </c>
      <c r="AK652" s="51" t="s">
        <v>6121</v>
      </c>
      <c r="AL652" s="15">
        <v>848.05</v>
      </c>
      <c r="AM652" s="51" t="s">
        <v>67</v>
      </c>
      <c r="AN652" s="51" t="s">
        <v>67</v>
      </c>
      <c r="AO652" s="50" t="s">
        <v>9554</v>
      </c>
    </row>
    <row r="653" spans="1:41" hidden="1" x14ac:dyDescent="0.25">
      <c r="A653" s="51" t="s">
        <v>4116</v>
      </c>
      <c r="B653" s="51" t="s">
        <v>4117</v>
      </c>
      <c r="C653" s="54" t="s">
        <v>2345</v>
      </c>
      <c r="D653" s="51" t="s">
        <v>4118</v>
      </c>
      <c r="E653" s="20">
        <v>11597.5</v>
      </c>
      <c r="F653" s="20">
        <v>546.48</v>
      </c>
      <c r="G653" s="20">
        <v>6588.71</v>
      </c>
      <c r="H653" s="20">
        <v>0</v>
      </c>
      <c r="I653" s="20">
        <v>546.48</v>
      </c>
      <c r="J653" s="51" t="s">
        <v>2654</v>
      </c>
      <c r="K653" s="15">
        <v>0</v>
      </c>
      <c r="L653" s="51" t="s">
        <v>2371</v>
      </c>
      <c r="M653" s="51" t="s">
        <v>4119</v>
      </c>
      <c r="N653" s="51" t="s">
        <v>1340</v>
      </c>
      <c r="O653" s="51" t="s">
        <v>67</v>
      </c>
      <c r="P653" s="51" t="s">
        <v>67</v>
      </c>
      <c r="Q653" s="45">
        <v>46281.554578009258</v>
      </c>
      <c r="R653" s="46">
        <v>46306</v>
      </c>
      <c r="S653" s="46">
        <v>46301</v>
      </c>
      <c r="T653" s="51" t="s">
        <v>6119</v>
      </c>
      <c r="U653" s="15"/>
      <c r="V653" s="15"/>
      <c r="W653" s="15"/>
      <c r="X653" s="15"/>
      <c r="Y653" s="15"/>
      <c r="Z653" s="15"/>
      <c r="AA653" s="46"/>
      <c r="AB653" s="15"/>
      <c r="AC653" s="15"/>
      <c r="AD653" s="15"/>
      <c r="AE653" s="15"/>
      <c r="AF653" s="15"/>
      <c r="AG653" s="15"/>
      <c r="AH653" s="15"/>
      <c r="AI653" s="46"/>
      <c r="AJ653" s="51" t="s">
        <v>67</v>
      </c>
      <c r="AK653" s="51" t="s">
        <v>67</v>
      </c>
      <c r="AL653" s="15"/>
      <c r="AM653" s="51" t="s">
        <v>67</v>
      </c>
      <c r="AN653" s="51" t="s">
        <v>67</v>
      </c>
      <c r="AO653" s="50" t="s">
        <v>9554</v>
      </c>
    </row>
    <row r="654" spans="1:41" hidden="1" x14ac:dyDescent="0.25">
      <c r="A654" s="51" t="s">
        <v>4120</v>
      </c>
      <c r="B654" s="51" t="s">
        <v>4121</v>
      </c>
      <c r="C654" s="54" t="s">
        <v>5608</v>
      </c>
      <c r="D654" s="51" t="s">
        <v>4122</v>
      </c>
      <c r="E654" s="20">
        <v>12471.6</v>
      </c>
      <c r="F654" s="20">
        <v>7411.16</v>
      </c>
      <c r="G654" s="20">
        <v>-3006.98</v>
      </c>
      <c r="H654" s="20">
        <v>8132.26</v>
      </c>
      <c r="I654" s="20">
        <v>7411.16</v>
      </c>
      <c r="J654" s="51" t="s">
        <v>6725</v>
      </c>
      <c r="K654" s="15">
        <v>0</v>
      </c>
      <c r="L654" s="51" t="s">
        <v>2371</v>
      </c>
      <c r="M654" s="51" t="s">
        <v>67</v>
      </c>
      <c r="N654" s="51" t="s">
        <v>67</v>
      </c>
      <c r="O654" s="51" t="s">
        <v>4123</v>
      </c>
      <c r="P654" s="51" t="s">
        <v>1340</v>
      </c>
      <c r="Q654" s="45">
        <v>46281.554579953707</v>
      </c>
      <c r="R654" s="46">
        <v>46319</v>
      </c>
      <c r="S654" s="46">
        <v>46314</v>
      </c>
      <c r="T654" s="51" t="s">
        <v>6119</v>
      </c>
      <c r="U654" s="15">
        <v>849.8</v>
      </c>
      <c r="V654" s="15">
        <v>3922.15</v>
      </c>
      <c r="W654" s="15">
        <v>36.39</v>
      </c>
      <c r="X654" s="15">
        <v>14.9</v>
      </c>
      <c r="Y654" s="15">
        <v>1.6620440000000001</v>
      </c>
      <c r="Z654" s="15">
        <v>6</v>
      </c>
      <c r="AA654" s="46">
        <v>46258</v>
      </c>
      <c r="AB654" s="15"/>
      <c r="AC654" s="15"/>
      <c r="AD654" s="15"/>
      <c r="AE654" s="15"/>
      <c r="AF654" s="15"/>
      <c r="AG654" s="15"/>
      <c r="AH654" s="15"/>
      <c r="AI654" s="46"/>
      <c r="AJ654" s="51" t="s">
        <v>67</v>
      </c>
      <c r="AK654" s="51" t="s">
        <v>6121</v>
      </c>
      <c r="AL654" s="15">
        <v>849.8</v>
      </c>
      <c r="AM654" s="51" t="s">
        <v>6705</v>
      </c>
      <c r="AN654" s="51" t="s">
        <v>6717</v>
      </c>
      <c r="AO654" s="50" t="s">
        <v>9554</v>
      </c>
    </row>
    <row r="655" spans="1:41" hidden="1" x14ac:dyDescent="0.25">
      <c r="A655" s="51" t="s">
        <v>4124</v>
      </c>
      <c r="B655" s="51" t="s">
        <v>4125</v>
      </c>
      <c r="C655" s="54" t="s">
        <v>2356</v>
      </c>
      <c r="D655" s="51" t="s">
        <v>4126</v>
      </c>
      <c r="E655" s="20">
        <v>14042.62</v>
      </c>
      <c r="F655" s="20">
        <v>4679.57</v>
      </c>
      <c r="G655" s="20">
        <v>6701.46</v>
      </c>
      <c r="H655" s="20">
        <v>3870.86</v>
      </c>
      <c r="I655" s="20">
        <v>4679.57</v>
      </c>
      <c r="J655" s="51" t="s">
        <v>6727</v>
      </c>
      <c r="K655" s="15">
        <v>14</v>
      </c>
      <c r="L655" s="51" t="s">
        <v>2369</v>
      </c>
      <c r="M655" s="51" t="s">
        <v>4127</v>
      </c>
      <c r="N655" s="51" t="s">
        <v>1340</v>
      </c>
      <c r="O655" s="51" t="s">
        <v>67</v>
      </c>
      <c r="P655" s="51" t="s">
        <v>67</v>
      </c>
      <c r="Q655" s="45">
        <v>46281.554582164354</v>
      </c>
      <c r="R655" s="46">
        <v>46307</v>
      </c>
      <c r="S655" s="46">
        <v>46302</v>
      </c>
      <c r="T655" s="51" t="s">
        <v>6119</v>
      </c>
      <c r="U655" s="15">
        <v>848.05</v>
      </c>
      <c r="V655" s="15">
        <v>3921.84</v>
      </c>
      <c r="W655" s="15">
        <v>36.08</v>
      </c>
      <c r="X655" s="15">
        <v>14.9</v>
      </c>
      <c r="Y655" s="15">
        <v>1.662307</v>
      </c>
      <c r="Z655" s="15">
        <v>6</v>
      </c>
      <c r="AA655" s="46">
        <v>46277</v>
      </c>
      <c r="AB655" s="15"/>
      <c r="AC655" s="15"/>
      <c r="AD655" s="15"/>
      <c r="AE655" s="15"/>
      <c r="AF655" s="15"/>
      <c r="AG655" s="15"/>
      <c r="AH655" s="15"/>
      <c r="AI655" s="46"/>
      <c r="AJ655" s="51" t="s">
        <v>6121</v>
      </c>
      <c r="AK655" s="51" t="s">
        <v>6121</v>
      </c>
      <c r="AL655" s="15">
        <v>848.05</v>
      </c>
      <c r="AM655" s="51" t="s">
        <v>67</v>
      </c>
      <c r="AN655" s="51" t="s">
        <v>67</v>
      </c>
      <c r="AO655" s="50" t="s">
        <v>9554</v>
      </c>
    </row>
    <row r="656" spans="1:41" hidden="1" x14ac:dyDescent="0.25">
      <c r="A656" s="51" t="s">
        <v>4128</v>
      </c>
      <c r="B656" s="51" t="s">
        <v>4129</v>
      </c>
      <c r="C656" s="54" t="s">
        <v>5601</v>
      </c>
      <c r="D656" s="51" t="s">
        <v>4130</v>
      </c>
      <c r="E656" s="20">
        <v>1912.51</v>
      </c>
      <c r="F656" s="20">
        <v>9024.15</v>
      </c>
      <c r="G656" s="20">
        <v>-5741.01</v>
      </c>
      <c r="H656" s="20">
        <v>3870.86</v>
      </c>
      <c r="I656" s="20">
        <v>9024.15</v>
      </c>
      <c r="J656" s="51" t="s">
        <v>6727</v>
      </c>
      <c r="K656" s="15">
        <v>36</v>
      </c>
      <c r="L656" s="51" t="s">
        <v>2369</v>
      </c>
      <c r="M656" s="51" t="s">
        <v>67</v>
      </c>
      <c r="N656" s="51" t="s">
        <v>67</v>
      </c>
      <c r="O656" s="51" t="s">
        <v>4131</v>
      </c>
      <c r="P656" s="51" t="s">
        <v>1340</v>
      </c>
      <c r="Q656" s="45">
        <v>46281.554584560188</v>
      </c>
      <c r="R656" s="46">
        <v>46316</v>
      </c>
      <c r="S656" s="46">
        <v>46311</v>
      </c>
      <c r="T656" s="51" t="s">
        <v>6119</v>
      </c>
      <c r="U656" s="15">
        <v>849.8</v>
      </c>
      <c r="V656" s="15">
        <v>3922.15</v>
      </c>
      <c r="W656" s="15">
        <v>36.39</v>
      </c>
      <c r="X656" s="15">
        <v>14.9</v>
      </c>
      <c r="Y656" s="15">
        <v>1.6620440000000001</v>
      </c>
      <c r="Z656" s="15">
        <v>6</v>
      </c>
      <c r="AA656" s="46">
        <v>46255</v>
      </c>
      <c r="AB656" s="15"/>
      <c r="AC656" s="15"/>
      <c r="AD656" s="15"/>
      <c r="AE656" s="15"/>
      <c r="AF656" s="15"/>
      <c r="AG656" s="15"/>
      <c r="AH656" s="15"/>
      <c r="AI656" s="46"/>
      <c r="AJ656" s="51" t="s">
        <v>6121</v>
      </c>
      <c r="AK656" s="51" t="s">
        <v>6121</v>
      </c>
      <c r="AL656" s="15">
        <v>849.8</v>
      </c>
      <c r="AM656" s="51" t="s">
        <v>6705</v>
      </c>
      <c r="AN656" s="51" t="s">
        <v>6713</v>
      </c>
      <c r="AO656" s="50" t="s">
        <v>9554</v>
      </c>
    </row>
    <row r="657" spans="1:41" hidden="1" x14ac:dyDescent="0.25">
      <c r="A657" s="51" t="s">
        <v>4132</v>
      </c>
      <c r="B657" s="51" t="s">
        <v>4133</v>
      </c>
      <c r="C657" s="54" t="s">
        <v>2345</v>
      </c>
      <c r="D657" s="51" t="s">
        <v>4134</v>
      </c>
      <c r="E657" s="20">
        <v>10060.56</v>
      </c>
      <c r="F657" s="20">
        <v>4874.3</v>
      </c>
      <c r="G657" s="20">
        <v>585.29</v>
      </c>
      <c r="H657" s="20">
        <v>3870.86</v>
      </c>
      <c r="I657" s="20">
        <v>4874.3</v>
      </c>
      <c r="J657" s="51" t="s">
        <v>6727</v>
      </c>
      <c r="K657" s="15">
        <v>15</v>
      </c>
      <c r="L657" s="51" t="s">
        <v>2369</v>
      </c>
      <c r="M657" s="51" t="s">
        <v>4135</v>
      </c>
      <c r="N657" s="51" t="s">
        <v>1344</v>
      </c>
      <c r="O657" s="51" t="s">
        <v>67</v>
      </c>
      <c r="P657" s="51" t="s">
        <v>67</v>
      </c>
      <c r="Q657" s="45">
        <v>46281.554586493054</v>
      </c>
      <c r="R657" s="46">
        <v>46306</v>
      </c>
      <c r="S657" s="46">
        <v>46301</v>
      </c>
      <c r="T657" s="51" t="s">
        <v>6119</v>
      </c>
      <c r="U657" s="15">
        <v>848.05</v>
      </c>
      <c r="V657" s="15">
        <v>3921.84</v>
      </c>
      <c r="W657" s="15">
        <v>36.08</v>
      </c>
      <c r="X657" s="15">
        <v>14.9</v>
      </c>
      <c r="Y657" s="15">
        <v>1.662307</v>
      </c>
      <c r="Z657" s="15">
        <v>6</v>
      </c>
      <c r="AA657" s="46">
        <v>46276</v>
      </c>
      <c r="AB657" s="15"/>
      <c r="AC657" s="15"/>
      <c r="AD657" s="15"/>
      <c r="AE657" s="15"/>
      <c r="AF657" s="15"/>
      <c r="AG657" s="15"/>
      <c r="AH657" s="15"/>
      <c r="AI657" s="46"/>
      <c r="AJ657" s="51" t="s">
        <v>6121</v>
      </c>
      <c r="AK657" s="51" t="s">
        <v>6121</v>
      </c>
      <c r="AL657" s="15">
        <v>848.05</v>
      </c>
      <c r="AM657" s="51" t="s">
        <v>67</v>
      </c>
      <c r="AN657" s="51" t="s">
        <v>67</v>
      </c>
      <c r="AO657" s="50" t="s">
        <v>9554</v>
      </c>
    </row>
    <row r="658" spans="1:41" hidden="1" x14ac:dyDescent="0.25">
      <c r="A658" s="51" t="s">
        <v>4136</v>
      </c>
      <c r="B658" s="51" t="s">
        <v>4137</v>
      </c>
      <c r="C658" s="54" t="s">
        <v>5596</v>
      </c>
      <c r="D658" s="51" t="s">
        <v>4138</v>
      </c>
      <c r="E658" s="20">
        <v>1001.85</v>
      </c>
      <c r="F658" s="20">
        <v>638.70000000000005</v>
      </c>
      <c r="G658" s="20">
        <v>9861.36</v>
      </c>
      <c r="H658" s="20">
        <v>0</v>
      </c>
      <c r="I658" s="20">
        <v>638.70000000000005</v>
      </c>
      <c r="J658" s="51" t="s">
        <v>2654</v>
      </c>
      <c r="K658" s="15">
        <v>0</v>
      </c>
      <c r="L658" s="51" t="s">
        <v>2371</v>
      </c>
      <c r="M658" s="51" t="s">
        <v>67</v>
      </c>
      <c r="N658" s="51" t="s">
        <v>67</v>
      </c>
      <c r="O658" s="51" t="s">
        <v>4139</v>
      </c>
      <c r="P658" s="51" t="s">
        <v>1344</v>
      </c>
      <c r="Q658" s="45">
        <v>46281.554588738429</v>
      </c>
      <c r="R658" s="46">
        <v>46300</v>
      </c>
      <c r="S658" s="46">
        <v>46295</v>
      </c>
      <c r="T658" s="51" t="s">
        <v>6119</v>
      </c>
      <c r="U658" s="15"/>
      <c r="V658" s="15"/>
      <c r="W658" s="15"/>
      <c r="X658" s="15"/>
      <c r="Y658" s="15"/>
      <c r="Z658" s="15"/>
      <c r="AA658" s="46"/>
      <c r="AB658" s="15"/>
      <c r="AC658" s="15"/>
      <c r="AD658" s="15"/>
      <c r="AE658" s="15"/>
      <c r="AF658" s="15"/>
      <c r="AG658" s="15"/>
      <c r="AH658" s="15"/>
      <c r="AI658" s="46"/>
      <c r="AJ658" s="51" t="s">
        <v>67</v>
      </c>
      <c r="AK658" s="51" t="s">
        <v>67</v>
      </c>
      <c r="AL658" s="15"/>
      <c r="AM658" s="51" t="s">
        <v>67</v>
      </c>
      <c r="AN658" s="51" t="s">
        <v>67</v>
      </c>
      <c r="AO658" s="50" t="s">
        <v>9554</v>
      </c>
    </row>
    <row r="659" spans="1:41" hidden="1" x14ac:dyDescent="0.25">
      <c r="A659" s="51" t="s">
        <v>4140</v>
      </c>
      <c r="B659" s="51" t="s">
        <v>4141</v>
      </c>
      <c r="C659" s="54" t="s">
        <v>5606</v>
      </c>
      <c r="D659" s="51" t="s">
        <v>4142</v>
      </c>
      <c r="E659" s="20">
        <v>7690.45</v>
      </c>
      <c r="F659" s="20">
        <v>957.9</v>
      </c>
      <c r="G659" s="20">
        <v>7257.29</v>
      </c>
      <c r="H659" s="20">
        <v>0</v>
      </c>
      <c r="I659" s="20">
        <v>957.9</v>
      </c>
      <c r="J659" s="51" t="s">
        <v>2654</v>
      </c>
      <c r="K659" s="15">
        <v>0</v>
      </c>
      <c r="L659" s="51" t="s">
        <v>2371</v>
      </c>
      <c r="M659" s="51" t="s">
        <v>4143</v>
      </c>
      <c r="N659" s="51" t="s">
        <v>1340</v>
      </c>
      <c r="O659" s="51" t="s">
        <v>67</v>
      </c>
      <c r="P659" s="51" t="s">
        <v>67</v>
      </c>
      <c r="Q659" s="45">
        <v>46281.554590428241</v>
      </c>
      <c r="R659" s="46">
        <v>46297</v>
      </c>
      <c r="S659" s="46">
        <v>46292</v>
      </c>
      <c r="T659" s="51" t="s">
        <v>6119</v>
      </c>
      <c r="U659" s="15"/>
      <c r="V659" s="15"/>
      <c r="W659" s="15"/>
      <c r="X659" s="15"/>
      <c r="Y659" s="15"/>
      <c r="Z659" s="15"/>
      <c r="AA659" s="46"/>
      <c r="AB659" s="15"/>
      <c r="AC659" s="15"/>
      <c r="AD659" s="15"/>
      <c r="AE659" s="15"/>
      <c r="AF659" s="15"/>
      <c r="AG659" s="15"/>
      <c r="AH659" s="15"/>
      <c r="AI659" s="46"/>
      <c r="AJ659" s="51" t="s">
        <v>67</v>
      </c>
      <c r="AK659" s="51" t="s">
        <v>67</v>
      </c>
      <c r="AL659" s="15"/>
      <c r="AM659" s="51" t="s">
        <v>67</v>
      </c>
      <c r="AN659" s="51" t="s">
        <v>67</v>
      </c>
      <c r="AO659" s="50" t="s">
        <v>9554</v>
      </c>
    </row>
    <row r="660" spans="1:41" hidden="1" x14ac:dyDescent="0.25">
      <c r="A660" s="51" t="s">
        <v>4144</v>
      </c>
      <c r="B660" s="51" t="s">
        <v>4145</v>
      </c>
      <c r="C660" s="54" t="s">
        <v>5605</v>
      </c>
      <c r="D660" s="51" t="s">
        <v>4146</v>
      </c>
      <c r="E660" s="20">
        <v>6472.46</v>
      </c>
      <c r="F660" s="20">
        <v>1645.02</v>
      </c>
      <c r="G660" s="20">
        <v>5230.55</v>
      </c>
      <c r="H660" s="20">
        <v>5423.75</v>
      </c>
      <c r="I660" s="20">
        <v>1645.02</v>
      </c>
      <c r="J660" s="51" t="s">
        <v>6726</v>
      </c>
      <c r="K660" s="15">
        <v>0</v>
      </c>
      <c r="L660" s="51" t="s">
        <v>2371</v>
      </c>
      <c r="M660" s="51" t="s">
        <v>4147</v>
      </c>
      <c r="N660" s="51" t="s">
        <v>1340</v>
      </c>
      <c r="O660" s="51" t="s">
        <v>4148</v>
      </c>
      <c r="P660" s="51" t="s">
        <v>1340</v>
      </c>
      <c r="Q660" s="45">
        <v>46281.554592037035</v>
      </c>
      <c r="R660" s="46">
        <v>46323</v>
      </c>
      <c r="S660" s="46">
        <v>46318</v>
      </c>
      <c r="T660" s="51" t="s">
        <v>6119</v>
      </c>
      <c r="U660" s="15">
        <v>849.8</v>
      </c>
      <c r="V660" s="15">
        <v>3922.15</v>
      </c>
      <c r="W660" s="15">
        <v>36.39</v>
      </c>
      <c r="X660" s="15">
        <v>14.9</v>
      </c>
      <c r="Y660" s="15">
        <v>1.6620440000000001</v>
      </c>
      <c r="Z660" s="15">
        <v>6</v>
      </c>
      <c r="AA660" s="46">
        <v>46262</v>
      </c>
      <c r="AB660" s="15"/>
      <c r="AC660" s="15"/>
      <c r="AD660" s="15"/>
      <c r="AE660" s="15"/>
      <c r="AF660" s="15"/>
      <c r="AG660" s="15"/>
      <c r="AH660" s="15"/>
      <c r="AI660" s="46"/>
      <c r="AJ660" s="51" t="s">
        <v>67</v>
      </c>
      <c r="AK660" s="51" t="s">
        <v>6121</v>
      </c>
      <c r="AL660" s="15">
        <v>849.8</v>
      </c>
      <c r="AM660" s="51" t="s">
        <v>67</v>
      </c>
      <c r="AN660" s="51" t="s">
        <v>67</v>
      </c>
      <c r="AO660" s="50" t="s">
        <v>9554</v>
      </c>
    </row>
    <row r="661" spans="1:41" hidden="1" x14ac:dyDescent="0.25">
      <c r="A661" s="51" t="s">
        <v>4149</v>
      </c>
      <c r="B661" s="51" t="s">
        <v>4150</v>
      </c>
      <c r="C661" s="54" t="s">
        <v>5597</v>
      </c>
      <c r="D661" s="51" t="s">
        <v>4151</v>
      </c>
      <c r="E661" s="20">
        <v>14650.42</v>
      </c>
      <c r="F661" s="20">
        <v>658.05</v>
      </c>
      <c r="G661" s="20">
        <v>10051.709999999999</v>
      </c>
      <c r="H661" s="20">
        <v>658.05</v>
      </c>
      <c r="I661" s="20">
        <v>658.05</v>
      </c>
      <c r="J661" s="51" t="s">
        <v>6727</v>
      </c>
      <c r="K661" s="15">
        <v>0</v>
      </c>
      <c r="L661" s="51" t="s">
        <v>2371</v>
      </c>
      <c r="M661" s="51" t="s">
        <v>4152</v>
      </c>
      <c r="N661" s="51" t="s">
        <v>1340</v>
      </c>
      <c r="O661" s="51" t="s">
        <v>67</v>
      </c>
      <c r="P661" s="51" t="s">
        <v>67</v>
      </c>
      <c r="Q661" s="45">
        <v>46281.554594062502</v>
      </c>
      <c r="R661" s="46">
        <v>46321</v>
      </c>
      <c r="S661" s="46">
        <v>46316</v>
      </c>
      <c r="T661" s="51" t="s">
        <v>6119</v>
      </c>
      <c r="U661" s="15"/>
      <c r="V661" s="15"/>
      <c r="W661" s="15"/>
      <c r="X661" s="15"/>
      <c r="Y661" s="15"/>
      <c r="Z661" s="15"/>
      <c r="AA661" s="46"/>
      <c r="AB661" s="15"/>
      <c r="AC661" s="15"/>
      <c r="AD661" s="15"/>
      <c r="AE661" s="15"/>
      <c r="AF661" s="15"/>
      <c r="AG661" s="15"/>
      <c r="AH661" s="15"/>
      <c r="AI661" s="46"/>
      <c r="AJ661" s="51" t="s">
        <v>67</v>
      </c>
      <c r="AK661" s="51" t="s">
        <v>67</v>
      </c>
      <c r="AL661" s="15"/>
      <c r="AM661" s="51" t="s">
        <v>67</v>
      </c>
      <c r="AN661" s="51" t="s">
        <v>67</v>
      </c>
      <c r="AO661" s="50" t="s">
        <v>9554</v>
      </c>
    </row>
    <row r="662" spans="1:41" hidden="1" x14ac:dyDescent="0.25">
      <c r="A662" s="51" t="s">
        <v>4153</v>
      </c>
      <c r="B662" s="51" t="s">
        <v>4154</v>
      </c>
      <c r="C662" s="54" t="s">
        <v>5608</v>
      </c>
      <c r="D662" s="51" t="s">
        <v>4155</v>
      </c>
      <c r="E662" s="20">
        <v>11235.11</v>
      </c>
      <c r="F662" s="20">
        <v>553.20000000000005</v>
      </c>
      <c r="G662" s="20">
        <v>2155.37</v>
      </c>
      <c r="H662" s="20">
        <v>534.54999999999995</v>
      </c>
      <c r="I662" s="20">
        <v>553.20000000000005</v>
      </c>
      <c r="J662" s="51" t="s">
        <v>6727</v>
      </c>
      <c r="K662" s="15">
        <v>2</v>
      </c>
      <c r="L662" s="51" t="s">
        <v>2369</v>
      </c>
      <c r="M662" s="51" t="s">
        <v>4156</v>
      </c>
      <c r="N662" s="51" t="s">
        <v>1340</v>
      </c>
      <c r="O662" s="51" t="s">
        <v>67</v>
      </c>
      <c r="P662" s="51" t="s">
        <v>67</v>
      </c>
      <c r="Q662" s="45">
        <v>46281.554595995367</v>
      </c>
      <c r="R662" s="46">
        <v>46319</v>
      </c>
      <c r="S662" s="46">
        <v>46314</v>
      </c>
      <c r="T662" s="51" t="s">
        <v>6119</v>
      </c>
      <c r="U662" s="15"/>
      <c r="V662" s="15"/>
      <c r="W662" s="15"/>
      <c r="X662" s="15"/>
      <c r="Y662" s="15"/>
      <c r="Z662" s="15"/>
      <c r="AA662" s="46"/>
      <c r="AB662" s="15"/>
      <c r="AC662" s="15"/>
      <c r="AD662" s="15"/>
      <c r="AE662" s="15"/>
      <c r="AF662" s="15"/>
      <c r="AG662" s="15"/>
      <c r="AH662" s="15"/>
      <c r="AI662" s="46"/>
      <c r="AJ662" s="51" t="s">
        <v>67</v>
      </c>
      <c r="AK662" s="51" t="s">
        <v>67</v>
      </c>
      <c r="AL662" s="15"/>
      <c r="AM662" s="51" t="s">
        <v>6705</v>
      </c>
      <c r="AN662" s="51" t="s">
        <v>6716</v>
      </c>
      <c r="AO662" s="50" t="s">
        <v>9554</v>
      </c>
    </row>
    <row r="663" spans="1:41" hidden="1" x14ac:dyDescent="0.25">
      <c r="A663" s="51" t="s">
        <v>4157</v>
      </c>
      <c r="B663" s="51" t="s">
        <v>4158</v>
      </c>
      <c r="C663" s="54" t="s">
        <v>2689</v>
      </c>
      <c r="D663" s="51" t="s">
        <v>4159</v>
      </c>
      <c r="E663" s="20">
        <v>7794.95</v>
      </c>
      <c r="F663" s="20">
        <v>5537</v>
      </c>
      <c r="G663" s="20">
        <v>-2746.97</v>
      </c>
      <c r="H663" s="20">
        <v>3870.86</v>
      </c>
      <c r="I663" s="20">
        <v>4246.71</v>
      </c>
      <c r="J663" s="51" t="s">
        <v>6726</v>
      </c>
      <c r="K663" s="15">
        <v>0</v>
      </c>
      <c r="L663" s="51" t="s">
        <v>2371</v>
      </c>
      <c r="M663" s="51" t="s">
        <v>4160</v>
      </c>
      <c r="N663" s="51" t="s">
        <v>1340</v>
      </c>
      <c r="O663" s="51" t="s">
        <v>67</v>
      </c>
      <c r="P663" s="51" t="s">
        <v>67</v>
      </c>
      <c r="Q663" s="45">
        <v>46281.554597800925</v>
      </c>
      <c r="R663" s="46">
        <v>46317</v>
      </c>
      <c r="S663" s="46">
        <v>46312</v>
      </c>
      <c r="T663" s="51" t="s">
        <v>6119</v>
      </c>
      <c r="U663" s="15">
        <v>849.8</v>
      </c>
      <c r="V663" s="15">
        <v>3922.15</v>
      </c>
      <c r="W663" s="15">
        <v>36.39</v>
      </c>
      <c r="X663" s="15">
        <v>14.9</v>
      </c>
      <c r="Y663" s="15">
        <v>1.6620440000000001</v>
      </c>
      <c r="Z663" s="15">
        <v>6</v>
      </c>
      <c r="AA663" s="46">
        <v>46256</v>
      </c>
      <c r="AB663" s="15"/>
      <c r="AC663" s="15"/>
      <c r="AD663" s="15"/>
      <c r="AE663" s="15"/>
      <c r="AF663" s="15"/>
      <c r="AG663" s="15"/>
      <c r="AH663" s="15"/>
      <c r="AI663" s="46"/>
      <c r="AJ663" s="51" t="s">
        <v>67</v>
      </c>
      <c r="AK663" s="51" t="s">
        <v>6121</v>
      </c>
      <c r="AL663" s="15">
        <v>849.8</v>
      </c>
      <c r="AM663" s="51" t="s">
        <v>6705</v>
      </c>
      <c r="AN663" s="51" t="s">
        <v>6713</v>
      </c>
      <c r="AO663" s="50" t="s">
        <v>9554</v>
      </c>
    </row>
    <row r="664" spans="1:41" hidden="1" x14ac:dyDescent="0.25">
      <c r="A664" s="51" t="s">
        <v>4161</v>
      </c>
      <c r="B664" s="51" t="s">
        <v>4162</v>
      </c>
      <c r="C664" s="54" t="s">
        <v>605</v>
      </c>
      <c r="D664" s="51" t="s">
        <v>4163</v>
      </c>
      <c r="E664" s="20">
        <v>10446.58</v>
      </c>
      <c r="F664" s="20">
        <v>4783.59</v>
      </c>
      <c r="G664" s="20">
        <v>4101.6000000000004</v>
      </c>
      <c r="H664" s="20">
        <v>3870.86</v>
      </c>
      <c r="I664" s="20">
        <v>4783.59</v>
      </c>
      <c r="J664" s="51" t="s">
        <v>6727</v>
      </c>
      <c r="K664" s="15">
        <v>16</v>
      </c>
      <c r="L664" s="51" t="s">
        <v>2369</v>
      </c>
      <c r="M664" s="51" t="s">
        <v>4164</v>
      </c>
      <c r="N664" s="51" t="s">
        <v>1344</v>
      </c>
      <c r="O664" s="51" t="s">
        <v>67</v>
      </c>
      <c r="P664" s="51" t="s">
        <v>67</v>
      </c>
      <c r="Q664" s="45">
        <v>46281.554599814815</v>
      </c>
      <c r="R664" s="46">
        <v>46305</v>
      </c>
      <c r="S664" s="46">
        <v>46300</v>
      </c>
      <c r="T664" s="51" t="s">
        <v>6119</v>
      </c>
      <c r="U664" s="15">
        <v>848.05</v>
      </c>
      <c r="V664" s="15">
        <v>3921.84</v>
      </c>
      <c r="W664" s="15">
        <v>36.08</v>
      </c>
      <c r="X664" s="15">
        <v>14.9</v>
      </c>
      <c r="Y664" s="15">
        <v>1.662307</v>
      </c>
      <c r="Z664" s="15">
        <v>6</v>
      </c>
      <c r="AA664" s="46">
        <v>46275</v>
      </c>
      <c r="AB664" s="15"/>
      <c r="AC664" s="15"/>
      <c r="AD664" s="15"/>
      <c r="AE664" s="15"/>
      <c r="AF664" s="15"/>
      <c r="AG664" s="15"/>
      <c r="AH664" s="15"/>
      <c r="AI664" s="46"/>
      <c r="AJ664" s="51" t="s">
        <v>6121</v>
      </c>
      <c r="AK664" s="51" t="s">
        <v>6121</v>
      </c>
      <c r="AL664" s="15">
        <v>848.05</v>
      </c>
      <c r="AM664" s="51" t="s">
        <v>67</v>
      </c>
      <c r="AN664" s="51" t="s">
        <v>67</v>
      </c>
      <c r="AO664" s="50" t="s">
        <v>9554</v>
      </c>
    </row>
    <row r="665" spans="1:41" hidden="1" x14ac:dyDescent="0.25">
      <c r="A665" s="51" t="s">
        <v>4165</v>
      </c>
      <c r="B665" s="51" t="s">
        <v>4166</v>
      </c>
      <c r="C665" s="54" t="s">
        <v>2690</v>
      </c>
      <c r="D665" s="51" t="s">
        <v>4167</v>
      </c>
      <c r="E665" s="20">
        <v>4162.6099999999997</v>
      </c>
      <c r="F665" s="20">
        <v>3261.77</v>
      </c>
      <c r="G665" s="20">
        <v>12483.33</v>
      </c>
      <c r="H665" s="20">
        <v>5118.2299999999996</v>
      </c>
      <c r="I665" s="20">
        <v>3261.77</v>
      </c>
      <c r="J665" s="51" t="s">
        <v>6726</v>
      </c>
      <c r="K665" s="15">
        <v>0</v>
      </c>
      <c r="L665" s="51" t="s">
        <v>2371</v>
      </c>
      <c r="M665" s="51" t="s">
        <v>4168</v>
      </c>
      <c r="N665" s="51" t="s">
        <v>1340</v>
      </c>
      <c r="O665" s="51" t="s">
        <v>4169</v>
      </c>
      <c r="P665" s="51" t="s">
        <v>1340</v>
      </c>
      <c r="Q665" s="45">
        <v>46281.5546019213</v>
      </c>
      <c r="R665" s="46">
        <v>46322</v>
      </c>
      <c r="S665" s="46">
        <v>46317</v>
      </c>
      <c r="T665" s="51" t="s">
        <v>6119</v>
      </c>
      <c r="U665" s="15">
        <v>849.8</v>
      </c>
      <c r="V665" s="15">
        <v>3922.15</v>
      </c>
      <c r="W665" s="15">
        <v>36.39</v>
      </c>
      <c r="X665" s="15">
        <v>14.9</v>
      </c>
      <c r="Y665" s="15">
        <v>1.6620440000000001</v>
      </c>
      <c r="Z665" s="15">
        <v>6</v>
      </c>
      <c r="AA665" s="46">
        <v>46261</v>
      </c>
      <c r="AB665" s="15"/>
      <c r="AC665" s="15"/>
      <c r="AD665" s="15"/>
      <c r="AE665" s="15"/>
      <c r="AF665" s="15"/>
      <c r="AG665" s="15"/>
      <c r="AH665" s="15"/>
      <c r="AI665" s="46"/>
      <c r="AJ665" s="51" t="s">
        <v>67</v>
      </c>
      <c r="AK665" s="51" t="s">
        <v>6121</v>
      </c>
      <c r="AL665" s="15">
        <v>849.8</v>
      </c>
      <c r="AM665" s="51" t="s">
        <v>67</v>
      </c>
      <c r="AN665" s="51" t="s">
        <v>67</v>
      </c>
      <c r="AO665" s="50" t="s">
        <v>9554</v>
      </c>
    </row>
    <row r="666" spans="1:41" hidden="1" x14ac:dyDescent="0.25">
      <c r="A666" s="51" t="s">
        <v>4170</v>
      </c>
      <c r="B666" s="51" t="s">
        <v>4171</v>
      </c>
      <c r="C666" s="54" t="s">
        <v>608</v>
      </c>
      <c r="D666" s="51" t="s">
        <v>4172</v>
      </c>
      <c r="E666" s="20">
        <v>10759.46</v>
      </c>
      <c r="F666" s="20">
        <v>9375.2900000000009</v>
      </c>
      <c r="G666" s="20">
        <v>5330.94</v>
      </c>
      <c r="H666" s="20">
        <v>3870.86</v>
      </c>
      <c r="I666" s="20">
        <v>7224.8</v>
      </c>
      <c r="J666" s="51" t="s">
        <v>6727</v>
      </c>
      <c r="K666" s="15">
        <v>37</v>
      </c>
      <c r="L666" s="51" t="s">
        <v>2369</v>
      </c>
      <c r="M666" s="51" t="s">
        <v>67</v>
      </c>
      <c r="N666" s="51" t="s">
        <v>67</v>
      </c>
      <c r="O666" s="51" t="s">
        <v>4173</v>
      </c>
      <c r="P666" s="51" t="s">
        <v>1344</v>
      </c>
      <c r="Q666" s="45">
        <v>46281.554603935183</v>
      </c>
      <c r="R666" s="46">
        <v>46315</v>
      </c>
      <c r="S666" s="46">
        <v>46310</v>
      </c>
      <c r="T666" s="51" t="s">
        <v>6119</v>
      </c>
      <c r="U666" s="15">
        <v>849.8</v>
      </c>
      <c r="V666" s="15">
        <v>3922.15</v>
      </c>
      <c r="W666" s="15">
        <v>36.39</v>
      </c>
      <c r="X666" s="15">
        <v>14.9</v>
      </c>
      <c r="Y666" s="15">
        <v>1.6620440000000001</v>
      </c>
      <c r="Z666" s="15">
        <v>6</v>
      </c>
      <c r="AA666" s="46">
        <v>46254</v>
      </c>
      <c r="AB666" s="15"/>
      <c r="AC666" s="15"/>
      <c r="AD666" s="15"/>
      <c r="AE666" s="15"/>
      <c r="AF666" s="15"/>
      <c r="AG666" s="15"/>
      <c r="AH666" s="15"/>
      <c r="AI666" s="46"/>
      <c r="AJ666" s="51" t="s">
        <v>6121</v>
      </c>
      <c r="AK666" s="51" t="s">
        <v>6121</v>
      </c>
      <c r="AL666" s="15">
        <v>849.8</v>
      </c>
      <c r="AM666" s="51" t="s">
        <v>67</v>
      </c>
      <c r="AN666" s="51" t="s">
        <v>67</v>
      </c>
      <c r="AO666" s="50" t="s">
        <v>9554</v>
      </c>
    </row>
    <row r="667" spans="1:41" hidden="1" x14ac:dyDescent="0.25">
      <c r="A667" s="51" t="s">
        <v>4174</v>
      </c>
      <c r="B667" s="51" t="s">
        <v>4175</v>
      </c>
      <c r="C667" s="54" t="s">
        <v>2356</v>
      </c>
      <c r="D667" s="51" t="s">
        <v>4176</v>
      </c>
      <c r="E667" s="20">
        <v>12348.98</v>
      </c>
      <c r="F667" s="20">
        <v>638.04999999999995</v>
      </c>
      <c r="G667" s="20">
        <v>3904.98</v>
      </c>
      <c r="H667" s="20">
        <v>0</v>
      </c>
      <c r="I667" s="20">
        <v>638.04999999999995</v>
      </c>
      <c r="J667" s="51" t="s">
        <v>2654</v>
      </c>
      <c r="K667" s="15">
        <v>0</v>
      </c>
      <c r="L667" s="51" t="s">
        <v>2371</v>
      </c>
      <c r="M667" s="51" t="s">
        <v>67</v>
      </c>
      <c r="N667" s="51" t="s">
        <v>67</v>
      </c>
      <c r="O667" s="51" t="s">
        <v>4177</v>
      </c>
      <c r="P667" s="51" t="s">
        <v>1340</v>
      </c>
      <c r="Q667" s="45">
        <v>46281.554605960649</v>
      </c>
      <c r="R667" s="46">
        <v>46307</v>
      </c>
      <c r="S667" s="46">
        <v>46302</v>
      </c>
      <c r="T667" s="51" t="s">
        <v>6119</v>
      </c>
      <c r="U667" s="15"/>
      <c r="V667" s="15"/>
      <c r="W667" s="15"/>
      <c r="X667" s="15"/>
      <c r="Y667" s="15"/>
      <c r="Z667" s="15"/>
      <c r="AA667" s="46"/>
      <c r="AB667" s="15"/>
      <c r="AC667" s="15"/>
      <c r="AD667" s="15"/>
      <c r="AE667" s="15"/>
      <c r="AF667" s="15"/>
      <c r="AG667" s="15"/>
      <c r="AH667" s="15"/>
      <c r="AI667" s="46"/>
      <c r="AJ667" s="51" t="s">
        <v>67</v>
      </c>
      <c r="AK667" s="51" t="s">
        <v>67</v>
      </c>
      <c r="AL667" s="15"/>
      <c r="AM667" s="51" t="s">
        <v>67</v>
      </c>
      <c r="AN667" s="51" t="s">
        <v>67</v>
      </c>
      <c r="AO667" s="50" t="s">
        <v>9554</v>
      </c>
    </row>
    <row r="668" spans="1:41" hidden="1" x14ac:dyDescent="0.25">
      <c r="A668" s="51" t="s">
        <v>4178</v>
      </c>
      <c r="B668" s="51" t="s">
        <v>4179</v>
      </c>
      <c r="C668" s="54" t="s">
        <v>5600</v>
      </c>
      <c r="D668" s="51" t="s">
        <v>4180</v>
      </c>
      <c r="E668" s="20">
        <v>4279.6000000000004</v>
      </c>
      <c r="F668" s="20">
        <v>4954.38</v>
      </c>
      <c r="G668" s="20">
        <v>12456.39</v>
      </c>
      <c r="H668" s="20">
        <v>3870.86</v>
      </c>
      <c r="I668" s="20">
        <v>4954.38</v>
      </c>
      <c r="J668" s="51" t="s">
        <v>6727</v>
      </c>
      <c r="K668" s="15">
        <v>17</v>
      </c>
      <c r="L668" s="51" t="s">
        <v>2369</v>
      </c>
      <c r="M668" s="51" t="s">
        <v>4181</v>
      </c>
      <c r="N668" s="51" t="s">
        <v>1340</v>
      </c>
      <c r="O668" s="51" t="s">
        <v>4182</v>
      </c>
      <c r="P668" s="51" t="s">
        <v>1340</v>
      </c>
      <c r="Q668" s="45">
        <v>46281.554607719911</v>
      </c>
      <c r="R668" s="46">
        <v>46304</v>
      </c>
      <c r="S668" s="46">
        <v>46299</v>
      </c>
      <c r="T668" s="51" t="s">
        <v>6119</v>
      </c>
      <c r="U668" s="15">
        <v>848.05</v>
      </c>
      <c r="V668" s="15">
        <v>3921.84</v>
      </c>
      <c r="W668" s="15">
        <v>36.08</v>
      </c>
      <c r="X668" s="15">
        <v>14.9</v>
      </c>
      <c r="Y668" s="15">
        <v>1.662307</v>
      </c>
      <c r="Z668" s="15">
        <v>6</v>
      </c>
      <c r="AA668" s="46">
        <v>46274</v>
      </c>
      <c r="AB668" s="15"/>
      <c r="AC668" s="15"/>
      <c r="AD668" s="15"/>
      <c r="AE668" s="15"/>
      <c r="AF668" s="15"/>
      <c r="AG668" s="15"/>
      <c r="AH668" s="15"/>
      <c r="AI668" s="46"/>
      <c r="AJ668" s="51" t="s">
        <v>6121</v>
      </c>
      <c r="AK668" s="51" t="s">
        <v>6121</v>
      </c>
      <c r="AL668" s="15">
        <v>848.05</v>
      </c>
      <c r="AM668" s="51" t="s">
        <v>67</v>
      </c>
      <c r="AN668" s="51" t="s">
        <v>67</v>
      </c>
      <c r="AO668" s="50" t="s">
        <v>9554</v>
      </c>
    </row>
    <row r="669" spans="1:41" hidden="1" x14ac:dyDescent="0.25">
      <c r="A669" s="51" t="s">
        <v>4183</v>
      </c>
      <c r="B669" s="51" t="s">
        <v>4184</v>
      </c>
      <c r="C669" s="54" t="s">
        <v>605</v>
      </c>
      <c r="D669" s="51" t="s">
        <v>3388</v>
      </c>
      <c r="E669" s="20">
        <v>8096.67</v>
      </c>
      <c r="F669" s="20">
        <v>4660.45</v>
      </c>
      <c r="G669" s="20">
        <v>4066.56</v>
      </c>
      <c r="H669" s="20">
        <v>3870.86</v>
      </c>
      <c r="I669" s="20">
        <v>4660.45</v>
      </c>
      <c r="J669" s="51" t="s">
        <v>6727</v>
      </c>
      <c r="K669" s="15">
        <v>16</v>
      </c>
      <c r="L669" s="51" t="s">
        <v>2369</v>
      </c>
      <c r="M669" s="51" t="s">
        <v>67</v>
      </c>
      <c r="N669" s="51" t="s">
        <v>67</v>
      </c>
      <c r="O669" s="51" t="s">
        <v>4185</v>
      </c>
      <c r="P669" s="51" t="s">
        <v>1340</v>
      </c>
      <c r="Q669" s="45">
        <v>46281.554609999999</v>
      </c>
      <c r="R669" s="46">
        <v>46305</v>
      </c>
      <c r="S669" s="46">
        <v>46300</v>
      </c>
      <c r="T669" s="51" t="s">
        <v>6119</v>
      </c>
      <c r="U669" s="15">
        <v>848.05</v>
      </c>
      <c r="V669" s="15">
        <v>3921.84</v>
      </c>
      <c r="W669" s="15">
        <v>36.08</v>
      </c>
      <c r="X669" s="15">
        <v>14.9</v>
      </c>
      <c r="Y669" s="15">
        <v>1.662307</v>
      </c>
      <c r="Z669" s="15">
        <v>6</v>
      </c>
      <c r="AA669" s="46">
        <v>46275</v>
      </c>
      <c r="AB669" s="15"/>
      <c r="AC669" s="15"/>
      <c r="AD669" s="15"/>
      <c r="AE669" s="15"/>
      <c r="AF669" s="15"/>
      <c r="AG669" s="15"/>
      <c r="AH669" s="15"/>
      <c r="AI669" s="46"/>
      <c r="AJ669" s="51" t="s">
        <v>6121</v>
      </c>
      <c r="AK669" s="51" t="s">
        <v>6121</v>
      </c>
      <c r="AL669" s="15">
        <v>848.05</v>
      </c>
      <c r="AM669" s="51" t="s">
        <v>67</v>
      </c>
      <c r="AN669" s="51" t="s">
        <v>67</v>
      </c>
      <c r="AO669" s="50" t="s">
        <v>9554</v>
      </c>
    </row>
    <row r="670" spans="1:41" hidden="1" x14ac:dyDescent="0.25">
      <c r="A670" s="51" t="s">
        <v>4186</v>
      </c>
      <c r="B670" s="51" t="s">
        <v>4187</v>
      </c>
      <c r="C670" s="54" t="s">
        <v>5603</v>
      </c>
      <c r="D670" s="51" t="s">
        <v>4188</v>
      </c>
      <c r="E670" s="20">
        <v>6554.35</v>
      </c>
      <c r="F670" s="20">
        <v>5058.3500000000004</v>
      </c>
      <c r="G670" s="20">
        <v>9006.81</v>
      </c>
      <c r="H670" s="20">
        <v>3870.86</v>
      </c>
      <c r="I670" s="20">
        <v>5058.34</v>
      </c>
      <c r="J670" s="51" t="s">
        <v>6727</v>
      </c>
      <c r="K670" s="15">
        <v>23</v>
      </c>
      <c r="L670" s="51" t="s">
        <v>2369</v>
      </c>
      <c r="M670" s="51" t="s">
        <v>67</v>
      </c>
      <c r="N670" s="51" t="s">
        <v>67</v>
      </c>
      <c r="O670" s="51" t="s">
        <v>4189</v>
      </c>
      <c r="P670" s="51" t="s">
        <v>1344</v>
      </c>
      <c r="Q670" s="45">
        <v>46281.554612662039</v>
      </c>
      <c r="R670" s="46">
        <v>46298</v>
      </c>
      <c r="S670" s="46">
        <v>46293</v>
      </c>
      <c r="T670" s="51" t="s">
        <v>6119</v>
      </c>
      <c r="U670" s="15">
        <v>848.05</v>
      </c>
      <c r="V670" s="15">
        <v>3921.84</v>
      </c>
      <c r="W670" s="15">
        <v>36.08</v>
      </c>
      <c r="X670" s="15">
        <v>14.9</v>
      </c>
      <c r="Y670" s="15">
        <v>1.662307</v>
      </c>
      <c r="Z670" s="15">
        <v>6</v>
      </c>
      <c r="AA670" s="46">
        <v>46268</v>
      </c>
      <c r="AB670" s="15"/>
      <c r="AC670" s="15"/>
      <c r="AD670" s="15"/>
      <c r="AE670" s="15"/>
      <c r="AF670" s="15"/>
      <c r="AG670" s="15"/>
      <c r="AH670" s="15"/>
      <c r="AI670" s="46"/>
      <c r="AJ670" s="51" t="s">
        <v>6121</v>
      </c>
      <c r="AK670" s="51" t="s">
        <v>6121</v>
      </c>
      <c r="AL670" s="15">
        <v>848.05</v>
      </c>
      <c r="AM670" s="51" t="s">
        <v>67</v>
      </c>
      <c r="AN670" s="51" t="s">
        <v>67</v>
      </c>
      <c r="AO670" s="50" t="s">
        <v>9554</v>
      </c>
    </row>
    <row r="671" spans="1:41" hidden="1" x14ac:dyDescent="0.25">
      <c r="A671" s="51" t="s">
        <v>4190</v>
      </c>
      <c r="B671" s="51" t="s">
        <v>4191</v>
      </c>
      <c r="C671" s="54" t="s">
        <v>5606</v>
      </c>
      <c r="D671" s="51" t="s">
        <v>4192</v>
      </c>
      <c r="E671" s="20">
        <v>12132.57</v>
      </c>
      <c r="F671" s="20">
        <v>878.11</v>
      </c>
      <c r="G671" s="20">
        <v>3695.41</v>
      </c>
      <c r="H671" s="20">
        <v>0</v>
      </c>
      <c r="I671" s="20">
        <v>878.11</v>
      </c>
      <c r="J671" s="51" t="s">
        <v>2654</v>
      </c>
      <c r="K671" s="15">
        <v>0</v>
      </c>
      <c r="L671" s="51" t="s">
        <v>2371</v>
      </c>
      <c r="M671" s="51" t="s">
        <v>4193</v>
      </c>
      <c r="N671" s="51" t="s">
        <v>1340</v>
      </c>
      <c r="O671" s="51" t="s">
        <v>67</v>
      </c>
      <c r="P671" s="51" t="s">
        <v>67</v>
      </c>
      <c r="Q671" s="45">
        <v>46281.554614791668</v>
      </c>
      <c r="R671" s="46">
        <v>46297</v>
      </c>
      <c r="S671" s="46">
        <v>46292</v>
      </c>
      <c r="T671" s="51" t="s">
        <v>6119</v>
      </c>
      <c r="U671" s="15"/>
      <c r="V671" s="15"/>
      <c r="W671" s="15"/>
      <c r="X671" s="15"/>
      <c r="Y671" s="15"/>
      <c r="Z671" s="15"/>
      <c r="AA671" s="46"/>
      <c r="AB671" s="15"/>
      <c r="AC671" s="15"/>
      <c r="AD671" s="15"/>
      <c r="AE671" s="15"/>
      <c r="AF671" s="15"/>
      <c r="AG671" s="15"/>
      <c r="AH671" s="15"/>
      <c r="AI671" s="46"/>
      <c r="AJ671" s="51" t="s">
        <v>67</v>
      </c>
      <c r="AK671" s="51" t="s">
        <v>67</v>
      </c>
      <c r="AL671" s="15"/>
      <c r="AM671" s="51" t="s">
        <v>67</v>
      </c>
      <c r="AN671" s="51" t="s">
        <v>67</v>
      </c>
      <c r="AO671" s="50" t="s">
        <v>9554</v>
      </c>
    </row>
    <row r="672" spans="1:41" hidden="1" x14ac:dyDescent="0.25">
      <c r="A672" s="51" t="s">
        <v>4194</v>
      </c>
      <c r="B672" s="51" t="s">
        <v>4195</v>
      </c>
      <c r="C672" s="54" t="s">
        <v>2691</v>
      </c>
      <c r="D672" s="51" t="s">
        <v>4196</v>
      </c>
      <c r="E672" s="20">
        <v>6551.56</v>
      </c>
      <c r="F672" s="20">
        <v>505.1</v>
      </c>
      <c r="G672" s="20">
        <v>16933.96</v>
      </c>
      <c r="H672" s="20">
        <v>0</v>
      </c>
      <c r="I672" s="20">
        <v>505.1</v>
      </c>
      <c r="J672" s="51" t="s">
        <v>2654</v>
      </c>
      <c r="K672" s="15">
        <v>0</v>
      </c>
      <c r="L672" s="51" t="s">
        <v>2371</v>
      </c>
      <c r="M672" s="51" t="s">
        <v>4197</v>
      </c>
      <c r="N672" s="51" t="s">
        <v>1340</v>
      </c>
      <c r="O672" s="51" t="s">
        <v>4198</v>
      </c>
      <c r="P672" s="51" t="s">
        <v>1340</v>
      </c>
      <c r="Q672" s="45">
        <v>46281.554616689813</v>
      </c>
      <c r="R672" s="46">
        <v>46301</v>
      </c>
      <c r="S672" s="46">
        <v>46296</v>
      </c>
      <c r="T672" s="51" t="s">
        <v>6119</v>
      </c>
      <c r="U672" s="15"/>
      <c r="V672" s="15"/>
      <c r="W672" s="15"/>
      <c r="X672" s="15"/>
      <c r="Y672" s="15"/>
      <c r="Z672" s="15"/>
      <c r="AA672" s="46"/>
      <c r="AB672" s="15"/>
      <c r="AC672" s="15"/>
      <c r="AD672" s="15"/>
      <c r="AE672" s="15"/>
      <c r="AF672" s="15"/>
      <c r="AG672" s="15"/>
      <c r="AH672" s="15"/>
      <c r="AI672" s="46"/>
      <c r="AJ672" s="51" t="s">
        <v>67</v>
      </c>
      <c r="AK672" s="51" t="s">
        <v>67</v>
      </c>
      <c r="AL672" s="15"/>
      <c r="AM672" s="51" t="s">
        <v>67</v>
      </c>
      <c r="AN672" s="51" t="s">
        <v>67</v>
      </c>
      <c r="AO672" s="50" t="s">
        <v>9554</v>
      </c>
    </row>
    <row r="673" spans="1:41" hidden="1" x14ac:dyDescent="0.25">
      <c r="A673" s="51" t="s">
        <v>4199</v>
      </c>
      <c r="B673" s="51" t="s">
        <v>4200</v>
      </c>
      <c r="C673" s="54" t="s">
        <v>5607</v>
      </c>
      <c r="D673" s="51" t="s">
        <v>4201</v>
      </c>
      <c r="E673" s="20">
        <v>2978.23</v>
      </c>
      <c r="F673" s="20">
        <v>799.17</v>
      </c>
      <c r="G673" s="20">
        <v>3113.33</v>
      </c>
      <c r="H673" s="20">
        <v>0</v>
      </c>
      <c r="I673" s="20">
        <v>799.17</v>
      </c>
      <c r="J673" s="51" t="s">
        <v>2654</v>
      </c>
      <c r="K673" s="15">
        <v>0</v>
      </c>
      <c r="L673" s="51" t="s">
        <v>2371</v>
      </c>
      <c r="M673" s="51" t="s">
        <v>67</v>
      </c>
      <c r="N673" s="51" t="s">
        <v>67</v>
      </c>
      <c r="O673" s="51" t="s">
        <v>4202</v>
      </c>
      <c r="P673" s="51" t="s">
        <v>1340</v>
      </c>
      <c r="Q673" s="45">
        <v>46281.554618796297</v>
      </c>
      <c r="R673" s="46">
        <v>46299</v>
      </c>
      <c r="S673" s="46">
        <v>46294</v>
      </c>
      <c r="T673" s="51" t="s">
        <v>6119</v>
      </c>
      <c r="U673" s="15"/>
      <c r="V673" s="15"/>
      <c r="W673" s="15"/>
      <c r="X673" s="15"/>
      <c r="Y673" s="15"/>
      <c r="Z673" s="15"/>
      <c r="AA673" s="46"/>
      <c r="AB673" s="15"/>
      <c r="AC673" s="15"/>
      <c r="AD673" s="15"/>
      <c r="AE673" s="15"/>
      <c r="AF673" s="15"/>
      <c r="AG673" s="15"/>
      <c r="AH673" s="15"/>
      <c r="AI673" s="46"/>
      <c r="AJ673" s="51" t="s">
        <v>67</v>
      </c>
      <c r="AK673" s="51" t="s">
        <v>67</v>
      </c>
      <c r="AL673" s="15"/>
      <c r="AM673" s="51" t="s">
        <v>67</v>
      </c>
      <c r="AN673" s="51" t="s">
        <v>67</v>
      </c>
      <c r="AO673" s="50" t="s">
        <v>9554</v>
      </c>
    </row>
    <row r="674" spans="1:41" hidden="1" x14ac:dyDescent="0.25">
      <c r="A674" s="51" t="s">
        <v>4203</v>
      </c>
      <c r="B674" s="51" t="s">
        <v>4204</v>
      </c>
      <c r="C674" s="54" t="s">
        <v>2692</v>
      </c>
      <c r="D674" s="51" t="s">
        <v>4205</v>
      </c>
      <c r="E674" s="20">
        <v>4229.78</v>
      </c>
      <c r="F674" s="20">
        <v>5082.29</v>
      </c>
      <c r="G674" s="20">
        <v>6404.86</v>
      </c>
      <c r="H674" s="20">
        <v>3870.86</v>
      </c>
      <c r="I674" s="20">
        <v>5082.2700000000004</v>
      </c>
      <c r="J674" s="51" t="s">
        <v>6727</v>
      </c>
      <c r="K674" s="15">
        <v>25</v>
      </c>
      <c r="L674" s="51" t="s">
        <v>2369</v>
      </c>
      <c r="M674" s="51" t="s">
        <v>4206</v>
      </c>
      <c r="N674" s="51" t="s">
        <v>1344</v>
      </c>
      <c r="O674" s="51" t="s">
        <v>67</v>
      </c>
      <c r="P674" s="51" t="s">
        <v>67</v>
      </c>
      <c r="Q674" s="45">
        <v>46281.554620682873</v>
      </c>
      <c r="R674" s="46">
        <v>46296</v>
      </c>
      <c r="S674" s="46">
        <v>46291</v>
      </c>
      <c r="T674" s="51" t="s">
        <v>6119</v>
      </c>
      <c r="U674" s="15">
        <v>848.05</v>
      </c>
      <c r="V674" s="15">
        <v>3921.84</v>
      </c>
      <c r="W674" s="15">
        <v>36.08</v>
      </c>
      <c r="X674" s="15">
        <v>14.9</v>
      </c>
      <c r="Y674" s="15">
        <v>1.662307</v>
      </c>
      <c r="Z674" s="15">
        <v>6</v>
      </c>
      <c r="AA674" s="46">
        <v>46266</v>
      </c>
      <c r="AB674" s="15"/>
      <c r="AC674" s="15"/>
      <c r="AD674" s="15"/>
      <c r="AE674" s="15"/>
      <c r="AF674" s="15"/>
      <c r="AG674" s="15"/>
      <c r="AH674" s="15"/>
      <c r="AI674" s="46"/>
      <c r="AJ674" s="51" t="s">
        <v>6121</v>
      </c>
      <c r="AK674" s="51" t="s">
        <v>6121</v>
      </c>
      <c r="AL674" s="15">
        <v>848.05</v>
      </c>
      <c r="AM674" s="51" t="s">
        <v>67</v>
      </c>
      <c r="AN674" s="51" t="s">
        <v>67</v>
      </c>
      <c r="AO674" s="50" t="s">
        <v>9554</v>
      </c>
    </row>
    <row r="675" spans="1:41" hidden="1" x14ac:dyDescent="0.25">
      <c r="A675" s="51" t="s">
        <v>4207</v>
      </c>
      <c r="B675" s="51" t="s">
        <v>4208</v>
      </c>
      <c r="C675" s="54" t="s">
        <v>2693</v>
      </c>
      <c r="D675" s="51" t="s">
        <v>4209</v>
      </c>
      <c r="E675" s="20">
        <v>1436.12</v>
      </c>
      <c r="F675" s="20">
        <v>0</v>
      </c>
      <c r="G675" s="20">
        <v>18802.89</v>
      </c>
      <c r="H675" s="20">
        <v>0</v>
      </c>
      <c r="I675" s="20">
        <v>680.49</v>
      </c>
      <c r="J675" s="51" t="s">
        <v>2654</v>
      </c>
      <c r="K675" s="15">
        <v>0</v>
      </c>
      <c r="L675" s="51" t="s">
        <v>2371</v>
      </c>
      <c r="M675" s="51" t="s">
        <v>4210</v>
      </c>
      <c r="N675" s="51" t="s">
        <v>1344</v>
      </c>
      <c r="O675" s="51" t="s">
        <v>67</v>
      </c>
      <c r="P675" s="51" t="s">
        <v>67</v>
      </c>
      <c r="Q675" s="45">
        <v>46281.554623194446</v>
      </c>
      <c r="R675" s="46">
        <v>46314</v>
      </c>
      <c r="S675" s="46">
        <v>46309</v>
      </c>
      <c r="T675" s="51" t="s">
        <v>6119</v>
      </c>
      <c r="U675" s="15"/>
      <c r="V675" s="15"/>
      <c r="W675" s="15"/>
      <c r="X675" s="15"/>
      <c r="Y675" s="15"/>
      <c r="Z675" s="15"/>
      <c r="AA675" s="46"/>
      <c r="AB675" s="15"/>
      <c r="AC675" s="15"/>
      <c r="AD675" s="15"/>
      <c r="AE675" s="15"/>
      <c r="AF675" s="15"/>
      <c r="AG675" s="15"/>
      <c r="AH675" s="15"/>
      <c r="AI675" s="46"/>
      <c r="AJ675" s="51" t="s">
        <v>67</v>
      </c>
      <c r="AK675" s="51" t="s">
        <v>67</v>
      </c>
      <c r="AL675" s="15"/>
      <c r="AM675" s="51" t="s">
        <v>67</v>
      </c>
      <c r="AN675" s="51" t="s">
        <v>67</v>
      </c>
      <c r="AO675" s="50" t="s">
        <v>9554</v>
      </c>
    </row>
    <row r="676" spans="1:41" hidden="1" x14ac:dyDescent="0.25">
      <c r="A676" s="51" t="s">
        <v>4211</v>
      </c>
      <c r="B676" s="51" t="s">
        <v>4212</v>
      </c>
      <c r="C676" s="54" t="s">
        <v>611</v>
      </c>
      <c r="D676" s="51" t="s">
        <v>4213</v>
      </c>
      <c r="E676" s="20">
        <v>12973.93</v>
      </c>
      <c r="F676" s="20">
        <v>712.07</v>
      </c>
      <c r="G676" s="20">
        <v>5767.54</v>
      </c>
      <c r="H676" s="20">
        <v>691.76</v>
      </c>
      <c r="I676" s="20">
        <v>712.07</v>
      </c>
      <c r="J676" s="51" t="s">
        <v>6727</v>
      </c>
      <c r="K676" s="15">
        <v>1</v>
      </c>
      <c r="L676" s="51" t="s">
        <v>2369</v>
      </c>
      <c r="M676" s="51" t="s">
        <v>4214</v>
      </c>
      <c r="N676" s="51" t="s">
        <v>1340</v>
      </c>
      <c r="O676" s="51" t="s">
        <v>67</v>
      </c>
      <c r="P676" s="51" t="s">
        <v>67</v>
      </c>
      <c r="Q676" s="45">
        <v>46281.554625509256</v>
      </c>
      <c r="R676" s="46">
        <v>46320</v>
      </c>
      <c r="S676" s="46">
        <v>46315</v>
      </c>
      <c r="T676" s="51" t="s">
        <v>6119</v>
      </c>
      <c r="U676" s="15"/>
      <c r="V676" s="15"/>
      <c r="W676" s="15"/>
      <c r="X676" s="15"/>
      <c r="Y676" s="15"/>
      <c r="Z676" s="15"/>
      <c r="AA676" s="46"/>
      <c r="AB676" s="15"/>
      <c r="AC676" s="15"/>
      <c r="AD676" s="15"/>
      <c r="AE676" s="15"/>
      <c r="AF676" s="15"/>
      <c r="AG676" s="15"/>
      <c r="AH676" s="15"/>
      <c r="AI676" s="46"/>
      <c r="AJ676" s="51" t="s">
        <v>67</v>
      </c>
      <c r="AK676" s="51" t="s">
        <v>67</v>
      </c>
      <c r="AL676" s="15"/>
      <c r="AM676" s="51" t="s">
        <v>67</v>
      </c>
      <c r="AN676" s="51" t="s">
        <v>67</v>
      </c>
      <c r="AO676" s="50" t="s">
        <v>9554</v>
      </c>
    </row>
    <row r="677" spans="1:41" hidden="1" x14ac:dyDescent="0.25">
      <c r="A677" s="51" t="s">
        <v>4215</v>
      </c>
      <c r="B677" s="51" t="s">
        <v>4216</v>
      </c>
      <c r="C677" s="54" t="s">
        <v>5604</v>
      </c>
      <c r="D677" s="51" t="s">
        <v>4217</v>
      </c>
      <c r="E677" s="20">
        <v>6362.69</v>
      </c>
      <c r="F677" s="20">
        <v>345.02</v>
      </c>
      <c r="G677" s="20">
        <v>13625.25</v>
      </c>
      <c r="H677" s="20">
        <v>0</v>
      </c>
      <c r="I677" s="20">
        <v>776.29</v>
      </c>
      <c r="J677" s="51" t="s">
        <v>2654</v>
      </c>
      <c r="K677" s="15">
        <v>0</v>
      </c>
      <c r="L677" s="51" t="s">
        <v>2371</v>
      </c>
      <c r="M677" s="51" t="s">
        <v>4218</v>
      </c>
      <c r="N677" s="51" t="s">
        <v>1340</v>
      </c>
      <c r="O677" s="51" t="s">
        <v>4219</v>
      </c>
      <c r="P677" s="51" t="s">
        <v>1340</v>
      </c>
      <c r="Q677" s="45">
        <v>46281.554627395832</v>
      </c>
      <c r="R677" s="46">
        <v>46313</v>
      </c>
      <c r="S677" s="46">
        <v>46308</v>
      </c>
      <c r="T677" s="51" t="s">
        <v>6119</v>
      </c>
      <c r="U677" s="15"/>
      <c r="V677" s="15"/>
      <c r="W677" s="15"/>
      <c r="X677" s="15"/>
      <c r="Y677" s="15"/>
      <c r="Z677" s="15"/>
      <c r="AA677" s="46"/>
      <c r="AB677" s="15"/>
      <c r="AC677" s="15"/>
      <c r="AD677" s="15"/>
      <c r="AE677" s="15"/>
      <c r="AF677" s="15"/>
      <c r="AG677" s="15"/>
      <c r="AH677" s="15"/>
      <c r="AI677" s="46"/>
      <c r="AJ677" s="51" t="s">
        <v>67</v>
      </c>
      <c r="AK677" s="51" t="s">
        <v>67</v>
      </c>
      <c r="AL677" s="15"/>
      <c r="AM677" s="51" t="s">
        <v>67</v>
      </c>
      <c r="AN677" s="51" t="s">
        <v>67</v>
      </c>
      <c r="AO677" s="50" t="s">
        <v>9554</v>
      </c>
    </row>
    <row r="678" spans="1:41" hidden="1" x14ac:dyDescent="0.25">
      <c r="A678" s="51" t="s">
        <v>4220</v>
      </c>
      <c r="B678" s="51" t="s">
        <v>4221</v>
      </c>
      <c r="C678" s="54" t="s">
        <v>2694</v>
      </c>
      <c r="D678" s="51" t="s">
        <v>4222</v>
      </c>
      <c r="E678" s="20">
        <v>7634.31</v>
      </c>
      <c r="F678" s="20">
        <v>4533.3599999999997</v>
      </c>
      <c r="G678" s="20">
        <v>15826.84</v>
      </c>
      <c r="H678" s="20">
        <v>3870.86</v>
      </c>
      <c r="I678" s="20">
        <v>4156.17</v>
      </c>
      <c r="J678" s="51" t="s">
        <v>6727</v>
      </c>
      <c r="K678" s="15">
        <v>9</v>
      </c>
      <c r="L678" s="51" t="s">
        <v>2369</v>
      </c>
      <c r="M678" s="51" t="s">
        <v>4223</v>
      </c>
      <c r="N678" s="51" t="s">
        <v>1340</v>
      </c>
      <c r="O678" s="51" t="s">
        <v>4224</v>
      </c>
      <c r="P678" s="51" t="s">
        <v>1340</v>
      </c>
      <c r="Q678" s="45">
        <v>46281.554629537037</v>
      </c>
      <c r="R678" s="46">
        <v>46312</v>
      </c>
      <c r="S678" s="46">
        <v>46307</v>
      </c>
      <c r="T678" s="51" t="s">
        <v>6119</v>
      </c>
      <c r="U678" s="15">
        <v>848.05</v>
      </c>
      <c r="V678" s="15">
        <v>3921.84</v>
      </c>
      <c r="W678" s="15">
        <v>36.08</v>
      </c>
      <c r="X678" s="15">
        <v>14.9</v>
      </c>
      <c r="Y678" s="15">
        <v>1.662307</v>
      </c>
      <c r="Z678" s="15">
        <v>6</v>
      </c>
      <c r="AA678" s="46">
        <v>46282</v>
      </c>
      <c r="AB678" s="15"/>
      <c r="AC678" s="15"/>
      <c r="AD678" s="15"/>
      <c r="AE678" s="15"/>
      <c r="AF678" s="15"/>
      <c r="AG678" s="15"/>
      <c r="AH678" s="15"/>
      <c r="AI678" s="46"/>
      <c r="AJ678" s="51" t="s">
        <v>6121</v>
      </c>
      <c r="AK678" s="51" t="s">
        <v>6121</v>
      </c>
      <c r="AL678" s="15">
        <v>848.05</v>
      </c>
      <c r="AM678" s="51" t="s">
        <v>67</v>
      </c>
      <c r="AN678" s="51" t="s">
        <v>67</v>
      </c>
      <c r="AO678" s="50" t="s">
        <v>9554</v>
      </c>
    </row>
    <row r="679" spans="1:41" hidden="1" x14ac:dyDescent="0.25">
      <c r="A679" s="51" t="s">
        <v>4225</v>
      </c>
      <c r="B679" s="51" t="s">
        <v>4226</v>
      </c>
      <c r="C679" s="54" t="s">
        <v>5600</v>
      </c>
      <c r="D679" s="51" t="s">
        <v>4227</v>
      </c>
      <c r="E679" s="20">
        <v>1379.19</v>
      </c>
      <c r="F679" s="20">
        <v>4719.1899999999996</v>
      </c>
      <c r="G679" s="20">
        <v>7380.93</v>
      </c>
      <c r="H679" s="20">
        <v>3870.86</v>
      </c>
      <c r="I679" s="20">
        <v>4719.1899999999996</v>
      </c>
      <c r="J679" s="51" t="s">
        <v>6727</v>
      </c>
      <c r="K679" s="15">
        <v>17</v>
      </c>
      <c r="L679" s="51" t="s">
        <v>2369</v>
      </c>
      <c r="M679" s="51" t="s">
        <v>67</v>
      </c>
      <c r="N679" s="51" t="s">
        <v>67</v>
      </c>
      <c r="O679" s="51" t="s">
        <v>4228</v>
      </c>
      <c r="P679" s="51" t="s">
        <v>1340</v>
      </c>
      <c r="Q679" s="45">
        <v>46281.554631747684</v>
      </c>
      <c r="R679" s="46">
        <v>46304</v>
      </c>
      <c r="S679" s="46">
        <v>46299</v>
      </c>
      <c r="T679" s="51" t="s">
        <v>6119</v>
      </c>
      <c r="U679" s="15">
        <v>848.05</v>
      </c>
      <c r="V679" s="15">
        <v>3921.84</v>
      </c>
      <c r="W679" s="15">
        <v>36.08</v>
      </c>
      <c r="X679" s="15">
        <v>14.9</v>
      </c>
      <c r="Y679" s="15">
        <v>1.662307</v>
      </c>
      <c r="Z679" s="15">
        <v>6</v>
      </c>
      <c r="AA679" s="46">
        <v>46274</v>
      </c>
      <c r="AB679" s="15"/>
      <c r="AC679" s="15"/>
      <c r="AD679" s="15"/>
      <c r="AE679" s="15"/>
      <c r="AF679" s="15"/>
      <c r="AG679" s="15"/>
      <c r="AH679" s="15"/>
      <c r="AI679" s="46"/>
      <c r="AJ679" s="51" t="s">
        <v>6121</v>
      </c>
      <c r="AK679" s="51" t="s">
        <v>6121</v>
      </c>
      <c r="AL679" s="15">
        <v>848.05</v>
      </c>
      <c r="AM679" s="51" t="s">
        <v>67</v>
      </c>
      <c r="AN679" s="51" t="s">
        <v>67</v>
      </c>
      <c r="AO679" s="50" t="s">
        <v>9554</v>
      </c>
    </row>
    <row r="680" spans="1:41" hidden="1" x14ac:dyDescent="0.25">
      <c r="A680" s="51" t="s">
        <v>4229</v>
      </c>
      <c r="B680" s="51" t="s">
        <v>4230</v>
      </c>
      <c r="C680" s="54" t="s">
        <v>5600</v>
      </c>
      <c r="D680" s="51" t="s">
        <v>4231</v>
      </c>
      <c r="E680" s="20">
        <v>6491.52</v>
      </c>
      <c r="F680" s="20">
        <v>5031.3599999999997</v>
      </c>
      <c r="G680" s="20">
        <v>5737.66</v>
      </c>
      <c r="H680" s="20">
        <v>3870.86</v>
      </c>
      <c r="I680" s="20">
        <v>5031.3599999999997</v>
      </c>
      <c r="J680" s="51" t="s">
        <v>6727</v>
      </c>
      <c r="K680" s="15">
        <v>17</v>
      </c>
      <c r="L680" s="51" t="s">
        <v>2369</v>
      </c>
      <c r="M680" s="51" t="s">
        <v>4232</v>
      </c>
      <c r="N680" s="51" t="s">
        <v>1344</v>
      </c>
      <c r="O680" s="51" t="s">
        <v>67</v>
      </c>
      <c r="P680" s="51" t="s">
        <v>67</v>
      </c>
      <c r="Q680" s="45">
        <v>46281.554633715277</v>
      </c>
      <c r="R680" s="46">
        <v>46304</v>
      </c>
      <c r="S680" s="46">
        <v>46299</v>
      </c>
      <c r="T680" s="51" t="s">
        <v>6119</v>
      </c>
      <c r="U680" s="15">
        <v>848.05</v>
      </c>
      <c r="V680" s="15">
        <v>3921.84</v>
      </c>
      <c r="W680" s="15">
        <v>36.08</v>
      </c>
      <c r="X680" s="15">
        <v>14.9</v>
      </c>
      <c r="Y680" s="15">
        <v>1.662307</v>
      </c>
      <c r="Z680" s="15">
        <v>6</v>
      </c>
      <c r="AA680" s="46">
        <v>46274</v>
      </c>
      <c r="AB680" s="15"/>
      <c r="AC680" s="15"/>
      <c r="AD680" s="15"/>
      <c r="AE680" s="15"/>
      <c r="AF680" s="15"/>
      <c r="AG680" s="15"/>
      <c r="AH680" s="15"/>
      <c r="AI680" s="46"/>
      <c r="AJ680" s="51" t="s">
        <v>6121</v>
      </c>
      <c r="AK680" s="51" t="s">
        <v>6121</v>
      </c>
      <c r="AL680" s="15">
        <v>848.05</v>
      </c>
      <c r="AM680" s="51" t="s">
        <v>67</v>
      </c>
      <c r="AN680" s="51" t="s">
        <v>67</v>
      </c>
      <c r="AO680" s="50" t="s">
        <v>9554</v>
      </c>
    </row>
    <row r="681" spans="1:41" hidden="1" x14ac:dyDescent="0.25">
      <c r="A681" s="51" t="s">
        <v>4233</v>
      </c>
      <c r="B681" s="51" t="s">
        <v>4234</v>
      </c>
      <c r="C681" s="54" t="s">
        <v>2541</v>
      </c>
      <c r="D681" s="51" t="s">
        <v>4235</v>
      </c>
      <c r="E681" s="20">
        <v>3865.06</v>
      </c>
      <c r="F681" s="20">
        <v>4683.7299999999996</v>
      </c>
      <c r="G681" s="20">
        <v>10543.3</v>
      </c>
      <c r="H681" s="20">
        <v>3870.86</v>
      </c>
      <c r="I681" s="20">
        <v>4290.09</v>
      </c>
      <c r="J681" s="51" t="s">
        <v>6727</v>
      </c>
      <c r="K681" s="15">
        <v>10</v>
      </c>
      <c r="L681" s="51" t="s">
        <v>2369</v>
      </c>
      <c r="M681" s="51" t="s">
        <v>4236</v>
      </c>
      <c r="N681" s="51" t="s">
        <v>1340</v>
      </c>
      <c r="O681" s="51" t="s">
        <v>67</v>
      </c>
      <c r="P681" s="51" t="s">
        <v>67</v>
      </c>
      <c r="Q681" s="45">
        <v>46281.554635983797</v>
      </c>
      <c r="R681" s="46">
        <v>46311</v>
      </c>
      <c r="S681" s="46">
        <v>46306</v>
      </c>
      <c r="T681" s="51" t="s">
        <v>6119</v>
      </c>
      <c r="U681" s="15">
        <v>848.05</v>
      </c>
      <c r="V681" s="15">
        <v>3921.84</v>
      </c>
      <c r="W681" s="15">
        <v>36.08</v>
      </c>
      <c r="X681" s="15">
        <v>14.9</v>
      </c>
      <c r="Y681" s="15">
        <v>1.662307</v>
      </c>
      <c r="Z681" s="15">
        <v>6</v>
      </c>
      <c r="AA681" s="46">
        <v>46281</v>
      </c>
      <c r="AB681" s="15"/>
      <c r="AC681" s="15"/>
      <c r="AD681" s="15"/>
      <c r="AE681" s="15"/>
      <c r="AF681" s="15"/>
      <c r="AG681" s="15"/>
      <c r="AH681" s="15"/>
      <c r="AI681" s="46"/>
      <c r="AJ681" s="51" t="s">
        <v>6121</v>
      </c>
      <c r="AK681" s="51" t="s">
        <v>6121</v>
      </c>
      <c r="AL681" s="15">
        <v>848.05</v>
      </c>
      <c r="AM681" s="51" t="s">
        <v>67</v>
      </c>
      <c r="AN681" s="51" t="s">
        <v>67</v>
      </c>
      <c r="AO681" s="50" t="s">
        <v>9554</v>
      </c>
    </row>
    <row r="682" spans="1:41" hidden="1" x14ac:dyDescent="0.25">
      <c r="A682" s="51" t="s">
        <v>4237</v>
      </c>
      <c r="B682" s="51" t="s">
        <v>4238</v>
      </c>
      <c r="C682" s="54" t="s">
        <v>2691</v>
      </c>
      <c r="D682" s="51" t="s">
        <v>4239</v>
      </c>
      <c r="E682" s="20">
        <v>3620.57</v>
      </c>
      <c r="F682" s="20">
        <v>4824.95</v>
      </c>
      <c r="G682" s="20">
        <v>13363.43</v>
      </c>
      <c r="H682" s="20">
        <v>3870.86</v>
      </c>
      <c r="I682" s="20">
        <v>4824.95</v>
      </c>
      <c r="J682" s="51" t="s">
        <v>6727</v>
      </c>
      <c r="K682" s="15">
        <v>20</v>
      </c>
      <c r="L682" s="51" t="s">
        <v>2369</v>
      </c>
      <c r="M682" s="51" t="s">
        <v>67</v>
      </c>
      <c r="N682" s="51" t="s">
        <v>67</v>
      </c>
      <c r="O682" s="51" t="s">
        <v>4240</v>
      </c>
      <c r="P682" s="51" t="s">
        <v>1344</v>
      </c>
      <c r="Q682" s="45">
        <v>46281.554638125002</v>
      </c>
      <c r="R682" s="46">
        <v>46301</v>
      </c>
      <c r="S682" s="46">
        <v>46296</v>
      </c>
      <c r="T682" s="51" t="s">
        <v>6119</v>
      </c>
      <c r="U682" s="15">
        <v>848.05</v>
      </c>
      <c r="V682" s="15">
        <v>3921.84</v>
      </c>
      <c r="W682" s="15">
        <v>36.08</v>
      </c>
      <c r="X682" s="15">
        <v>14.9</v>
      </c>
      <c r="Y682" s="15">
        <v>1.662307</v>
      </c>
      <c r="Z682" s="15">
        <v>6</v>
      </c>
      <c r="AA682" s="46">
        <v>46271</v>
      </c>
      <c r="AB682" s="15"/>
      <c r="AC682" s="15"/>
      <c r="AD682" s="15"/>
      <c r="AE682" s="15"/>
      <c r="AF682" s="15"/>
      <c r="AG682" s="15"/>
      <c r="AH682" s="15"/>
      <c r="AI682" s="46"/>
      <c r="AJ682" s="51" t="s">
        <v>6121</v>
      </c>
      <c r="AK682" s="51" t="s">
        <v>6121</v>
      </c>
      <c r="AL682" s="15">
        <v>848.05</v>
      </c>
      <c r="AM682" s="51" t="s">
        <v>67</v>
      </c>
      <c r="AN682" s="51" t="s">
        <v>67</v>
      </c>
      <c r="AO682" s="50" t="s">
        <v>9554</v>
      </c>
    </row>
    <row r="683" spans="1:41" hidden="1" x14ac:dyDescent="0.25">
      <c r="A683" s="51" t="s">
        <v>4241</v>
      </c>
      <c r="B683" s="51" t="s">
        <v>4242</v>
      </c>
      <c r="C683" s="54" t="s">
        <v>5601</v>
      </c>
      <c r="D683" s="51" t="s">
        <v>4243</v>
      </c>
      <c r="E683" s="20">
        <v>688.59</v>
      </c>
      <c r="F683" s="20">
        <v>0</v>
      </c>
      <c r="G683" s="20">
        <v>12599.86</v>
      </c>
      <c r="H683" s="20">
        <v>0</v>
      </c>
      <c r="I683" s="20">
        <v>738.08</v>
      </c>
      <c r="J683" s="51" t="s">
        <v>2654</v>
      </c>
      <c r="K683" s="15">
        <v>0</v>
      </c>
      <c r="L683" s="51" t="s">
        <v>2371</v>
      </c>
      <c r="M683" s="51" t="s">
        <v>67</v>
      </c>
      <c r="N683" s="51" t="s">
        <v>67</v>
      </c>
      <c r="O683" s="51" t="s">
        <v>4244</v>
      </c>
      <c r="P683" s="51" t="s">
        <v>1340</v>
      </c>
      <c r="Q683" s="45">
        <v>46281.554640092596</v>
      </c>
      <c r="R683" s="46">
        <v>46316</v>
      </c>
      <c r="S683" s="46">
        <v>46311</v>
      </c>
      <c r="T683" s="51" t="s">
        <v>6119</v>
      </c>
      <c r="U683" s="15"/>
      <c r="V683" s="15"/>
      <c r="W683" s="15"/>
      <c r="X683" s="15"/>
      <c r="Y683" s="15"/>
      <c r="Z683" s="15"/>
      <c r="AA683" s="46"/>
      <c r="AB683" s="15"/>
      <c r="AC683" s="15"/>
      <c r="AD683" s="15"/>
      <c r="AE683" s="15"/>
      <c r="AF683" s="15"/>
      <c r="AG683" s="15"/>
      <c r="AH683" s="15"/>
      <c r="AI683" s="46"/>
      <c r="AJ683" s="51" t="s">
        <v>67</v>
      </c>
      <c r="AK683" s="51" t="s">
        <v>67</v>
      </c>
      <c r="AL683" s="15"/>
      <c r="AM683" s="51" t="s">
        <v>67</v>
      </c>
      <c r="AN683" s="51" t="s">
        <v>67</v>
      </c>
      <c r="AO683" s="50" t="s">
        <v>9554</v>
      </c>
    </row>
    <row r="684" spans="1:41" hidden="1" x14ac:dyDescent="0.25">
      <c r="A684" s="51" t="s">
        <v>4245</v>
      </c>
      <c r="B684" s="51" t="s">
        <v>4246</v>
      </c>
      <c r="C684" s="54" t="s">
        <v>2357</v>
      </c>
      <c r="D684" s="51" t="s">
        <v>4247</v>
      </c>
      <c r="E684" s="20">
        <v>7953.29</v>
      </c>
      <c r="F684" s="20">
        <v>988.73</v>
      </c>
      <c r="G684" s="20">
        <v>18719.55</v>
      </c>
      <c r="H684" s="20">
        <v>0</v>
      </c>
      <c r="I684" s="20">
        <v>988.73</v>
      </c>
      <c r="J684" s="51" t="s">
        <v>2654</v>
      </c>
      <c r="K684" s="15">
        <v>0</v>
      </c>
      <c r="L684" s="51" t="s">
        <v>2371</v>
      </c>
      <c r="M684" s="51" t="s">
        <v>67</v>
      </c>
      <c r="N684" s="51" t="s">
        <v>67</v>
      </c>
      <c r="O684" s="51" t="s">
        <v>4248</v>
      </c>
      <c r="P684" s="51" t="s">
        <v>1340</v>
      </c>
      <c r="Q684" s="45">
        <v>46281.554641898147</v>
      </c>
      <c r="R684" s="46">
        <v>46308</v>
      </c>
      <c r="S684" s="46">
        <v>46303</v>
      </c>
      <c r="T684" s="51" t="s">
        <v>6119</v>
      </c>
      <c r="U684" s="15"/>
      <c r="V684" s="15"/>
      <c r="W684" s="15"/>
      <c r="X684" s="15"/>
      <c r="Y684" s="15"/>
      <c r="Z684" s="15"/>
      <c r="AA684" s="46"/>
      <c r="AB684" s="15"/>
      <c r="AC684" s="15"/>
      <c r="AD684" s="15"/>
      <c r="AE684" s="15"/>
      <c r="AF684" s="15"/>
      <c r="AG684" s="15"/>
      <c r="AH684" s="15"/>
      <c r="AI684" s="46"/>
      <c r="AJ684" s="51" t="s">
        <v>67</v>
      </c>
      <c r="AK684" s="51" t="s">
        <v>67</v>
      </c>
      <c r="AL684" s="15"/>
      <c r="AM684" s="51" t="s">
        <v>67</v>
      </c>
      <c r="AN684" s="51" t="s">
        <v>67</v>
      </c>
      <c r="AO684" s="50" t="s">
        <v>9554</v>
      </c>
    </row>
    <row r="685" spans="1:41" hidden="1" x14ac:dyDescent="0.25">
      <c r="A685" s="51" t="s">
        <v>4249</v>
      </c>
      <c r="B685" s="51" t="s">
        <v>4250</v>
      </c>
      <c r="C685" s="54" t="s">
        <v>2693</v>
      </c>
      <c r="D685" s="51" t="s">
        <v>4251</v>
      </c>
      <c r="E685" s="20">
        <v>9329.69</v>
      </c>
      <c r="F685" s="20">
        <v>8964.01</v>
      </c>
      <c r="G685" s="20">
        <v>7592.87</v>
      </c>
      <c r="H685" s="20">
        <v>3870.86</v>
      </c>
      <c r="I685" s="20">
        <v>8103.82</v>
      </c>
      <c r="J685" s="51" t="s">
        <v>6727</v>
      </c>
      <c r="K685" s="15">
        <v>38</v>
      </c>
      <c r="L685" s="51" t="s">
        <v>2369</v>
      </c>
      <c r="M685" s="51" t="s">
        <v>67</v>
      </c>
      <c r="N685" s="51" t="s">
        <v>67</v>
      </c>
      <c r="O685" s="51" t="s">
        <v>4252</v>
      </c>
      <c r="P685" s="51" t="s">
        <v>1340</v>
      </c>
      <c r="Q685" s="45">
        <v>46281.554643564814</v>
      </c>
      <c r="R685" s="46">
        <v>46314</v>
      </c>
      <c r="S685" s="46">
        <v>46309</v>
      </c>
      <c r="T685" s="51" t="s">
        <v>6119</v>
      </c>
      <c r="U685" s="15">
        <v>849.8</v>
      </c>
      <c r="V685" s="15">
        <v>3922.15</v>
      </c>
      <c r="W685" s="15">
        <v>36.39</v>
      </c>
      <c r="X685" s="15">
        <v>14.9</v>
      </c>
      <c r="Y685" s="15">
        <v>1.6620440000000001</v>
      </c>
      <c r="Z685" s="15">
        <v>6</v>
      </c>
      <c r="AA685" s="46">
        <v>46253</v>
      </c>
      <c r="AB685" s="15">
        <v>212.9</v>
      </c>
      <c r="AC685" s="15">
        <v>387.09</v>
      </c>
      <c r="AD685" s="15">
        <v>38.71</v>
      </c>
      <c r="AE685" s="15">
        <v>582.26</v>
      </c>
      <c r="AF685" s="15">
        <v>3729.62</v>
      </c>
      <c r="AG685" s="15">
        <v>57.49</v>
      </c>
      <c r="AH685" s="15">
        <v>1.5861069999999999</v>
      </c>
      <c r="AI685" s="46">
        <v>46283</v>
      </c>
      <c r="AJ685" s="51" t="s">
        <v>6121</v>
      </c>
      <c r="AK685" s="51" t="s">
        <v>6121</v>
      </c>
      <c r="AL685" s="15">
        <v>849.8</v>
      </c>
      <c r="AM685" s="51" t="s">
        <v>67</v>
      </c>
      <c r="AN685" s="51" t="s">
        <v>67</v>
      </c>
      <c r="AO685" s="50" t="s">
        <v>9554</v>
      </c>
    </row>
    <row r="686" spans="1:41" hidden="1" x14ac:dyDescent="0.25">
      <c r="A686" s="51" t="s">
        <v>4253</v>
      </c>
      <c r="B686" s="51" t="s">
        <v>4254</v>
      </c>
      <c r="C686" s="54" t="s">
        <v>2357</v>
      </c>
      <c r="D686" s="51" t="s">
        <v>4255</v>
      </c>
      <c r="E686" s="20">
        <v>14197.09</v>
      </c>
      <c r="F686" s="20">
        <v>3567.92</v>
      </c>
      <c r="G686" s="20">
        <v>13673.39</v>
      </c>
      <c r="H686" s="20">
        <v>3870.86</v>
      </c>
      <c r="I686" s="20">
        <v>3266.25</v>
      </c>
      <c r="J686" s="51" t="s">
        <v>6726</v>
      </c>
      <c r="K686" s="15">
        <v>0</v>
      </c>
      <c r="L686" s="51" t="s">
        <v>2371</v>
      </c>
      <c r="M686" s="51" t="s">
        <v>67</v>
      </c>
      <c r="N686" s="51" t="s">
        <v>67</v>
      </c>
      <c r="O686" s="51" t="s">
        <v>4256</v>
      </c>
      <c r="P686" s="51" t="s">
        <v>1340</v>
      </c>
      <c r="Q686" s="45">
        <v>46281.554645486111</v>
      </c>
      <c r="R686" s="46">
        <v>46308</v>
      </c>
      <c r="S686" s="46">
        <v>46303</v>
      </c>
      <c r="T686" s="51" t="s">
        <v>6119</v>
      </c>
      <c r="U686" s="15">
        <v>848.05</v>
      </c>
      <c r="V686" s="15">
        <v>3921.84</v>
      </c>
      <c r="W686" s="15">
        <v>36.08</v>
      </c>
      <c r="X686" s="15">
        <v>14.9</v>
      </c>
      <c r="Y686" s="15">
        <v>1.662307</v>
      </c>
      <c r="Z686" s="15">
        <v>6</v>
      </c>
      <c r="AA686" s="46">
        <v>46278</v>
      </c>
      <c r="AB686" s="15"/>
      <c r="AC686" s="15"/>
      <c r="AD686" s="15"/>
      <c r="AE686" s="15"/>
      <c r="AF686" s="15"/>
      <c r="AG686" s="15"/>
      <c r="AH686" s="15"/>
      <c r="AI686" s="46"/>
      <c r="AJ686" s="51" t="s">
        <v>67</v>
      </c>
      <c r="AK686" s="51" t="s">
        <v>6121</v>
      </c>
      <c r="AL686" s="15">
        <v>848.05</v>
      </c>
      <c r="AM686" s="51" t="s">
        <v>67</v>
      </c>
      <c r="AN686" s="51" t="s">
        <v>67</v>
      </c>
      <c r="AO686" s="50" t="s">
        <v>9554</v>
      </c>
    </row>
    <row r="687" spans="1:41" hidden="1" x14ac:dyDescent="0.25">
      <c r="A687" s="51" t="s">
        <v>4257</v>
      </c>
      <c r="B687" s="51" t="s">
        <v>4258</v>
      </c>
      <c r="C687" s="54" t="s">
        <v>2356</v>
      </c>
      <c r="D687" s="51" t="s">
        <v>4259</v>
      </c>
      <c r="E687" s="20">
        <v>7411.84</v>
      </c>
      <c r="F687" s="20">
        <v>908.75</v>
      </c>
      <c r="G687" s="20">
        <v>4734.6099999999997</v>
      </c>
      <c r="H687" s="20">
        <v>0</v>
      </c>
      <c r="I687" s="20">
        <v>908.75</v>
      </c>
      <c r="J687" s="51" t="s">
        <v>2654</v>
      </c>
      <c r="K687" s="15">
        <v>0</v>
      </c>
      <c r="L687" s="51" t="s">
        <v>2371</v>
      </c>
      <c r="M687" s="51" t="s">
        <v>67</v>
      </c>
      <c r="N687" s="51" t="s">
        <v>67</v>
      </c>
      <c r="O687" s="51" t="s">
        <v>4260</v>
      </c>
      <c r="P687" s="51" t="s">
        <v>1340</v>
      </c>
      <c r="Q687" s="45">
        <v>46281.554647592595</v>
      </c>
      <c r="R687" s="46">
        <v>46307</v>
      </c>
      <c r="S687" s="46">
        <v>46302</v>
      </c>
      <c r="T687" s="51" t="s">
        <v>6119</v>
      </c>
      <c r="U687" s="15"/>
      <c r="V687" s="15"/>
      <c r="W687" s="15"/>
      <c r="X687" s="15"/>
      <c r="Y687" s="15"/>
      <c r="Z687" s="15"/>
      <c r="AA687" s="46"/>
      <c r="AB687" s="15"/>
      <c r="AC687" s="15"/>
      <c r="AD687" s="15"/>
      <c r="AE687" s="15"/>
      <c r="AF687" s="15"/>
      <c r="AG687" s="15"/>
      <c r="AH687" s="15"/>
      <c r="AI687" s="46"/>
      <c r="AJ687" s="51" t="s">
        <v>67</v>
      </c>
      <c r="AK687" s="51" t="s">
        <v>67</v>
      </c>
      <c r="AL687" s="15"/>
      <c r="AM687" s="51" t="s">
        <v>67</v>
      </c>
      <c r="AN687" s="51" t="s">
        <v>67</v>
      </c>
      <c r="AO687" s="50" t="s">
        <v>9554</v>
      </c>
    </row>
    <row r="688" spans="1:41" hidden="1" x14ac:dyDescent="0.25">
      <c r="A688" s="51" t="s">
        <v>4261</v>
      </c>
      <c r="B688" s="51" t="s">
        <v>4262</v>
      </c>
      <c r="C688" s="54" t="s">
        <v>2690</v>
      </c>
      <c r="D688" s="51" t="s">
        <v>4048</v>
      </c>
      <c r="E688" s="20">
        <v>3411.35</v>
      </c>
      <c r="F688" s="20">
        <v>6525.07</v>
      </c>
      <c r="G688" s="20">
        <v>10514.01</v>
      </c>
      <c r="H688" s="20">
        <v>6139.34</v>
      </c>
      <c r="I688" s="20">
        <v>6525.07</v>
      </c>
      <c r="J688" s="51" t="s">
        <v>6726</v>
      </c>
      <c r="K688" s="15">
        <v>30</v>
      </c>
      <c r="L688" s="51" t="s">
        <v>2369</v>
      </c>
      <c r="M688" s="51" t="s">
        <v>67</v>
      </c>
      <c r="N688" s="51" t="s">
        <v>67</v>
      </c>
      <c r="O688" s="51" t="s">
        <v>4263</v>
      </c>
      <c r="P688" s="51" t="s">
        <v>1340</v>
      </c>
      <c r="Q688" s="45">
        <v>46281.554649328704</v>
      </c>
      <c r="R688" s="46">
        <v>46322</v>
      </c>
      <c r="S688" s="46">
        <v>46317</v>
      </c>
      <c r="T688" s="51" t="s">
        <v>6119</v>
      </c>
      <c r="U688" s="15">
        <v>849.8</v>
      </c>
      <c r="V688" s="15">
        <v>3922.15</v>
      </c>
      <c r="W688" s="15">
        <v>36.39</v>
      </c>
      <c r="X688" s="15">
        <v>14.9</v>
      </c>
      <c r="Y688" s="15">
        <v>1.6620440000000001</v>
      </c>
      <c r="Z688" s="15">
        <v>6</v>
      </c>
      <c r="AA688" s="46">
        <v>46261</v>
      </c>
      <c r="AB688" s="15"/>
      <c r="AC688" s="15"/>
      <c r="AD688" s="15"/>
      <c r="AE688" s="15"/>
      <c r="AF688" s="15"/>
      <c r="AG688" s="15"/>
      <c r="AH688" s="15"/>
      <c r="AI688" s="46"/>
      <c r="AJ688" s="51" t="s">
        <v>6121</v>
      </c>
      <c r="AK688" s="51" t="s">
        <v>6121</v>
      </c>
      <c r="AL688" s="15">
        <v>849.8</v>
      </c>
      <c r="AM688" s="51" t="s">
        <v>67</v>
      </c>
      <c r="AN688" s="51" t="s">
        <v>67</v>
      </c>
      <c r="AO688" s="50" t="s">
        <v>9554</v>
      </c>
    </row>
    <row r="689" spans="1:41" hidden="1" x14ac:dyDescent="0.25">
      <c r="A689" s="51" t="s">
        <v>4264</v>
      </c>
      <c r="B689" s="51" t="s">
        <v>4265</v>
      </c>
      <c r="C689" s="54" t="s">
        <v>608</v>
      </c>
      <c r="D689" s="51" t="s">
        <v>4266</v>
      </c>
      <c r="E689" s="20">
        <v>6482.85</v>
      </c>
      <c r="F689" s="20">
        <v>9225.94</v>
      </c>
      <c r="G689" s="20">
        <v>3802.38</v>
      </c>
      <c r="H689" s="20">
        <v>3870.86</v>
      </c>
      <c r="I689" s="20">
        <v>5355.05</v>
      </c>
      <c r="J689" s="51" t="s">
        <v>6727</v>
      </c>
      <c r="K689" s="15">
        <v>37</v>
      </c>
      <c r="L689" s="51" t="s">
        <v>2369</v>
      </c>
      <c r="M689" s="51" t="s">
        <v>67</v>
      </c>
      <c r="N689" s="51" t="s">
        <v>67</v>
      </c>
      <c r="O689" s="51" t="s">
        <v>4267</v>
      </c>
      <c r="P689" s="51" t="s">
        <v>1344</v>
      </c>
      <c r="Q689" s="45">
        <v>46281.55465150463</v>
      </c>
      <c r="R689" s="46">
        <v>46315</v>
      </c>
      <c r="S689" s="46">
        <v>46310</v>
      </c>
      <c r="T689" s="51" t="s">
        <v>6119</v>
      </c>
      <c r="U689" s="15">
        <v>849.8</v>
      </c>
      <c r="V689" s="15">
        <v>3922.15</v>
      </c>
      <c r="W689" s="15">
        <v>36.39</v>
      </c>
      <c r="X689" s="15">
        <v>14.9</v>
      </c>
      <c r="Y689" s="15">
        <v>1.6620440000000001</v>
      </c>
      <c r="Z689" s="15">
        <v>6</v>
      </c>
      <c r="AA689" s="46">
        <v>46254</v>
      </c>
      <c r="AB689" s="15"/>
      <c r="AC689" s="15"/>
      <c r="AD689" s="15"/>
      <c r="AE689" s="15"/>
      <c r="AF689" s="15"/>
      <c r="AG689" s="15"/>
      <c r="AH689" s="15"/>
      <c r="AI689" s="46"/>
      <c r="AJ689" s="51" t="s">
        <v>6121</v>
      </c>
      <c r="AK689" s="51" t="s">
        <v>6121</v>
      </c>
      <c r="AL689" s="15">
        <v>849.8</v>
      </c>
      <c r="AM689" s="51" t="s">
        <v>67</v>
      </c>
      <c r="AN689" s="51" t="s">
        <v>67</v>
      </c>
      <c r="AO689" s="50" t="s">
        <v>9554</v>
      </c>
    </row>
    <row r="690" spans="1:41" hidden="1" x14ac:dyDescent="0.25">
      <c r="A690" s="51" t="s">
        <v>4268</v>
      </c>
      <c r="B690" s="51" t="s">
        <v>4269</v>
      </c>
      <c r="C690" s="54" t="s">
        <v>2356</v>
      </c>
      <c r="D690" s="51" t="s">
        <v>4270</v>
      </c>
      <c r="E690" s="20">
        <v>8293.52</v>
      </c>
      <c r="F690" s="20">
        <v>4683.6400000000003</v>
      </c>
      <c r="G690" s="20">
        <v>6809.21</v>
      </c>
      <c r="H690" s="20">
        <v>3870.86</v>
      </c>
      <c r="I690" s="20">
        <v>4543.58</v>
      </c>
      <c r="J690" s="51" t="s">
        <v>6727</v>
      </c>
      <c r="K690" s="15">
        <v>14</v>
      </c>
      <c r="L690" s="51" t="s">
        <v>2369</v>
      </c>
      <c r="M690" s="51" t="s">
        <v>4271</v>
      </c>
      <c r="N690" s="51" t="s">
        <v>1340</v>
      </c>
      <c r="O690" s="51" t="s">
        <v>67</v>
      </c>
      <c r="P690" s="51" t="s">
        <v>67</v>
      </c>
      <c r="Q690" s="45">
        <v>46281.55465366898</v>
      </c>
      <c r="R690" s="46">
        <v>46307</v>
      </c>
      <c r="S690" s="46">
        <v>46302</v>
      </c>
      <c r="T690" s="51" t="s">
        <v>6119</v>
      </c>
      <c r="U690" s="15">
        <v>848.05</v>
      </c>
      <c r="V690" s="15">
        <v>3921.84</v>
      </c>
      <c r="W690" s="15">
        <v>36.08</v>
      </c>
      <c r="X690" s="15">
        <v>14.9</v>
      </c>
      <c r="Y690" s="15">
        <v>1.662307</v>
      </c>
      <c r="Z690" s="15">
        <v>6</v>
      </c>
      <c r="AA690" s="46">
        <v>46277</v>
      </c>
      <c r="AB690" s="15"/>
      <c r="AC690" s="15"/>
      <c r="AD690" s="15"/>
      <c r="AE690" s="15"/>
      <c r="AF690" s="15"/>
      <c r="AG690" s="15"/>
      <c r="AH690" s="15"/>
      <c r="AI690" s="46"/>
      <c r="AJ690" s="51" t="s">
        <v>6121</v>
      </c>
      <c r="AK690" s="51" t="s">
        <v>6121</v>
      </c>
      <c r="AL690" s="15">
        <v>848.05</v>
      </c>
      <c r="AM690" s="51" t="s">
        <v>67</v>
      </c>
      <c r="AN690" s="51" t="s">
        <v>67</v>
      </c>
      <c r="AO690" s="50" t="s">
        <v>9554</v>
      </c>
    </row>
    <row r="691" spans="1:41" hidden="1" x14ac:dyDescent="0.25">
      <c r="A691" s="51" t="s">
        <v>4272</v>
      </c>
      <c r="B691" s="51" t="s">
        <v>4273</v>
      </c>
      <c r="C691" s="54" t="s">
        <v>2345</v>
      </c>
      <c r="D691" s="51" t="s">
        <v>4274</v>
      </c>
      <c r="E691" s="20">
        <v>10611.97</v>
      </c>
      <c r="F691" s="20">
        <v>567.77</v>
      </c>
      <c r="G691" s="20">
        <v>6483.65</v>
      </c>
      <c r="H691" s="20">
        <v>0</v>
      </c>
      <c r="I691" s="20">
        <v>567.77</v>
      </c>
      <c r="J691" s="51" t="s">
        <v>2654</v>
      </c>
      <c r="K691" s="15">
        <v>0</v>
      </c>
      <c r="L691" s="51" t="s">
        <v>2371</v>
      </c>
      <c r="M691" s="51" t="s">
        <v>4275</v>
      </c>
      <c r="N691" s="51" t="s">
        <v>1340</v>
      </c>
      <c r="O691" s="51" t="s">
        <v>67</v>
      </c>
      <c r="P691" s="51" t="s">
        <v>67</v>
      </c>
      <c r="Q691" s="45">
        <v>46281.554655624997</v>
      </c>
      <c r="R691" s="46">
        <v>46306</v>
      </c>
      <c r="S691" s="46">
        <v>46301</v>
      </c>
      <c r="T691" s="51" t="s">
        <v>6119</v>
      </c>
      <c r="U691" s="15"/>
      <c r="V691" s="15"/>
      <c r="W691" s="15"/>
      <c r="X691" s="15"/>
      <c r="Y691" s="15"/>
      <c r="Z691" s="15"/>
      <c r="AA691" s="46"/>
      <c r="AB691" s="15"/>
      <c r="AC691" s="15"/>
      <c r="AD691" s="15"/>
      <c r="AE691" s="15"/>
      <c r="AF691" s="15"/>
      <c r="AG691" s="15"/>
      <c r="AH691" s="15"/>
      <c r="AI691" s="46"/>
      <c r="AJ691" s="51" t="s">
        <v>67</v>
      </c>
      <c r="AK691" s="51" t="s">
        <v>67</v>
      </c>
      <c r="AL691" s="15"/>
      <c r="AM691" s="51" t="s">
        <v>67</v>
      </c>
      <c r="AN691" s="51" t="s">
        <v>67</v>
      </c>
      <c r="AO691" s="50" t="s">
        <v>9554</v>
      </c>
    </row>
    <row r="692" spans="1:41" hidden="1" x14ac:dyDescent="0.25">
      <c r="A692" s="51" t="s">
        <v>4276</v>
      </c>
      <c r="B692" s="51" t="s">
        <v>4277</v>
      </c>
      <c r="C692" s="54" t="s">
        <v>5599</v>
      </c>
      <c r="D692" s="51" t="s">
        <v>4278</v>
      </c>
      <c r="E692" s="20">
        <v>5632.39</v>
      </c>
      <c r="F692" s="20">
        <v>4908.84</v>
      </c>
      <c r="G692" s="20">
        <v>-1215.27</v>
      </c>
      <c r="H692" s="20">
        <v>3870.86</v>
      </c>
      <c r="I692" s="20">
        <v>4908.84</v>
      </c>
      <c r="J692" s="51" t="s">
        <v>6727</v>
      </c>
      <c r="K692" s="15">
        <v>19</v>
      </c>
      <c r="L692" s="51" t="s">
        <v>2369</v>
      </c>
      <c r="M692" s="51" t="s">
        <v>67</v>
      </c>
      <c r="N692" s="51" t="s">
        <v>67</v>
      </c>
      <c r="O692" s="51" t="s">
        <v>4279</v>
      </c>
      <c r="P692" s="51" t="s">
        <v>1340</v>
      </c>
      <c r="Q692" s="45">
        <v>46281.555351469906</v>
      </c>
      <c r="R692" s="46">
        <v>46302</v>
      </c>
      <c r="S692" s="46">
        <v>46297</v>
      </c>
      <c r="T692" s="51" t="s">
        <v>6119</v>
      </c>
      <c r="U692" s="15">
        <v>848.05</v>
      </c>
      <c r="V692" s="15">
        <v>3921.84</v>
      </c>
      <c r="W692" s="15">
        <v>36.08</v>
      </c>
      <c r="X692" s="15">
        <v>14.9</v>
      </c>
      <c r="Y692" s="15">
        <v>1.662307</v>
      </c>
      <c r="Z692" s="15">
        <v>6</v>
      </c>
      <c r="AA692" s="46">
        <v>46272</v>
      </c>
      <c r="AB692" s="15"/>
      <c r="AC692" s="15"/>
      <c r="AD692" s="15"/>
      <c r="AE692" s="15"/>
      <c r="AF692" s="15"/>
      <c r="AG692" s="15"/>
      <c r="AH692" s="15"/>
      <c r="AI692" s="46"/>
      <c r="AJ692" s="51" t="s">
        <v>6121</v>
      </c>
      <c r="AK692" s="51" t="s">
        <v>6121</v>
      </c>
      <c r="AL692" s="15">
        <v>848.05</v>
      </c>
      <c r="AM692" s="51" t="s">
        <v>6705</v>
      </c>
      <c r="AN692" s="51" t="s">
        <v>6713</v>
      </c>
      <c r="AO692" s="50" t="s">
        <v>9554</v>
      </c>
    </row>
    <row r="693" spans="1:41" hidden="1" x14ac:dyDescent="0.25">
      <c r="A693" s="51" t="s">
        <v>4280</v>
      </c>
      <c r="B693" s="51" t="s">
        <v>4281</v>
      </c>
      <c r="C693" s="54" t="s">
        <v>5599</v>
      </c>
      <c r="D693" s="51" t="s">
        <v>4282</v>
      </c>
      <c r="E693" s="20">
        <v>4868.1499999999996</v>
      </c>
      <c r="F693" s="20">
        <v>4905.63</v>
      </c>
      <c r="G693" s="20">
        <v>11922.95</v>
      </c>
      <c r="H693" s="20">
        <v>3870.86</v>
      </c>
      <c r="I693" s="20">
        <v>4905.63</v>
      </c>
      <c r="J693" s="51" t="s">
        <v>6727</v>
      </c>
      <c r="K693" s="15">
        <v>19</v>
      </c>
      <c r="L693" s="51" t="s">
        <v>2369</v>
      </c>
      <c r="M693" s="51" t="s">
        <v>4283</v>
      </c>
      <c r="N693" s="51" t="s">
        <v>1344</v>
      </c>
      <c r="O693" s="51" t="s">
        <v>4284</v>
      </c>
      <c r="P693" s="51" t="s">
        <v>1344</v>
      </c>
      <c r="Q693" s="45">
        <v>46281.555353946758</v>
      </c>
      <c r="R693" s="46">
        <v>46302</v>
      </c>
      <c r="S693" s="46">
        <v>46297</v>
      </c>
      <c r="T693" s="51" t="s">
        <v>6119</v>
      </c>
      <c r="U693" s="15">
        <v>848.05</v>
      </c>
      <c r="V693" s="15">
        <v>3921.84</v>
      </c>
      <c r="W693" s="15">
        <v>36.08</v>
      </c>
      <c r="X693" s="15">
        <v>14.9</v>
      </c>
      <c r="Y693" s="15">
        <v>1.662307</v>
      </c>
      <c r="Z693" s="15">
        <v>6</v>
      </c>
      <c r="AA693" s="46">
        <v>46272</v>
      </c>
      <c r="AB693" s="15"/>
      <c r="AC693" s="15"/>
      <c r="AD693" s="15"/>
      <c r="AE693" s="15"/>
      <c r="AF693" s="15"/>
      <c r="AG693" s="15"/>
      <c r="AH693" s="15"/>
      <c r="AI693" s="46"/>
      <c r="AJ693" s="51" t="s">
        <v>6121</v>
      </c>
      <c r="AK693" s="51" t="s">
        <v>6121</v>
      </c>
      <c r="AL693" s="15">
        <v>848.05</v>
      </c>
      <c r="AM693" s="51" t="s">
        <v>67</v>
      </c>
      <c r="AN693" s="51" t="s">
        <v>67</v>
      </c>
      <c r="AO693" s="50" t="s">
        <v>9554</v>
      </c>
    </row>
    <row r="694" spans="1:41" hidden="1" x14ac:dyDescent="0.25">
      <c r="A694" s="51" t="s">
        <v>4285</v>
      </c>
      <c r="B694" s="51" t="s">
        <v>4286</v>
      </c>
      <c r="C694" s="54" t="s">
        <v>608</v>
      </c>
      <c r="D694" s="51" t="s">
        <v>4287</v>
      </c>
      <c r="E694" s="20">
        <v>8065.64</v>
      </c>
      <c r="F694" s="20">
        <v>9065.2900000000009</v>
      </c>
      <c r="G694" s="20">
        <v>5954.19</v>
      </c>
      <c r="H694" s="20">
        <v>3870.86</v>
      </c>
      <c r="I694" s="20">
        <v>7344.91</v>
      </c>
      <c r="J694" s="51" t="s">
        <v>6727</v>
      </c>
      <c r="K694" s="15">
        <v>37</v>
      </c>
      <c r="L694" s="51" t="s">
        <v>2369</v>
      </c>
      <c r="M694" s="51" t="s">
        <v>4288</v>
      </c>
      <c r="N694" s="51" t="s">
        <v>1340</v>
      </c>
      <c r="O694" s="51" t="s">
        <v>4289</v>
      </c>
      <c r="P694" s="51" t="s">
        <v>1340</v>
      </c>
      <c r="Q694" s="45">
        <v>46281.555356458332</v>
      </c>
      <c r="R694" s="46">
        <v>46315</v>
      </c>
      <c r="S694" s="46">
        <v>46310</v>
      </c>
      <c r="T694" s="51" t="s">
        <v>6119</v>
      </c>
      <c r="U694" s="15">
        <v>849.8</v>
      </c>
      <c r="V694" s="15">
        <v>3922.15</v>
      </c>
      <c r="W694" s="15">
        <v>36.39</v>
      </c>
      <c r="X694" s="15">
        <v>14.9</v>
      </c>
      <c r="Y694" s="15">
        <v>1.6620440000000001</v>
      </c>
      <c r="Z694" s="15">
        <v>6</v>
      </c>
      <c r="AA694" s="46">
        <v>46254</v>
      </c>
      <c r="AB694" s="15"/>
      <c r="AC694" s="15"/>
      <c r="AD694" s="15"/>
      <c r="AE694" s="15"/>
      <c r="AF694" s="15"/>
      <c r="AG694" s="15"/>
      <c r="AH694" s="15"/>
      <c r="AI694" s="46"/>
      <c r="AJ694" s="51" t="s">
        <v>6121</v>
      </c>
      <c r="AK694" s="51" t="s">
        <v>6121</v>
      </c>
      <c r="AL694" s="15">
        <v>849.8</v>
      </c>
      <c r="AM694" s="51" t="s">
        <v>67</v>
      </c>
      <c r="AN694" s="51" t="s">
        <v>67</v>
      </c>
      <c r="AO694" s="50" t="s">
        <v>9554</v>
      </c>
    </row>
    <row r="695" spans="1:41" hidden="1" x14ac:dyDescent="0.25">
      <c r="A695" s="51" t="s">
        <v>4290</v>
      </c>
      <c r="B695" s="51" t="s">
        <v>4291</v>
      </c>
      <c r="C695" s="54" t="s">
        <v>5606</v>
      </c>
      <c r="D695" s="51" t="s">
        <v>4292</v>
      </c>
      <c r="E695" s="20">
        <v>13992.36</v>
      </c>
      <c r="F695" s="20">
        <v>5046.71</v>
      </c>
      <c r="G695" s="20">
        <v>12289.33</v>
      </c>
      <c r="H695" s="20">
        <v>3870.86</v>
      </c>
      <c r="I695" s="20">
        <v>5046.71</v>
      </c>
      <c r="J695" s="51" t="s">
        <v>6727</v>
      </c>
      <c r="K695" s="15">
        <v>24</v>
      </c>
      <c r="L695" s="51" t="s">
        <v>2369</v>
      </c>
      <c r="M695" s="51" t="s">
        <v>4293</v>
      </c>
      <c r="N695" s="51" t="s">
        <v>1340</v>
      </c>
      <c r="O695" s="51" t="s">
        <v>4294</v>
      </c>
      <c r="P695" s="51" t="s">
        <v>1340</v>
      </c>
      <c r="Q695" s="45">
        <v>46281.555359166668</v>
      </c>
      <c r="R695" s="46">
        <v>46297</v>
      </c>
      <c r="S695" s="46">
        <v>46292</v>
      </c>
      <c r="T695" s="51" t="s">
        <v>6119</v>
      </c>
      <c r="U695" s="15">
        <v>848.05</v>
      </c>
      <c r="V695" s="15">
        <v>3921.84</v>
      </c>
      <c r="W695" s="15">
        <v>36.08</v>
      </c>
      <c r="X695" s="15">
        <v>14.9</v>
      </c>
      <c r="Y695" s="15">
        <v>1.662307</v>
      </c>
      <c r="Z695" s="15">
        <v>6</v>
      </c>
      <c r="AA695" s="46">
        <v>46267</v>
      </c>
      <c r="AB695" s="15"/>
      <c r="AC695" s="15"/>
      <c r="AD695" s="15"/>
      <c r="AE695" s="15"/>
      <c r="AF695" s="15"/>
      <c r="AG695" s="15"/>
      <c r="AH695" s="15"/>
      <c r="AI695" s="46"/>
      <c r="AJ695" s="51" t="s">
        <v>6121</v>
      </c>
      <c r="AK695" s="51" t="s">
        <v>6121</v>
      </c>
      <c r="AL695" s="15">
        <v>848.05</v>
      </c>
      <c r="AM695" s="51" t="s">
        <v>67</v>
      </c>
      <c r="AN695" s="51" t="s">
        <v>67</v>
      </c>
      <c r="AO695" s="50" t="s">
        <v>9554</v>
      </c>
    </row>
    <row r="696" spans="1:41" hidden="1" x14ac:dyDescent="0.25">
      <c r="A696" s="51" t="s">
        <v>4295</v>
      </c>
      <c r="B696" s="51" t="s">
        <v>4296</v>
      </c>
      <c r="C696" s="54" t="s">
        <v>5601</v>
      </c>
      <c r="D696" s="51" t="s">
        <v>4297</v>
      </c>
      <c r="E696" s="20">
        <v>13303.7</v>
      </c>
      <c r="F696" s="20">
        <v>0</v>
      </c>
      <c r="G696" s="20">
        <v>8589.89</v>
      </c>
      <c r="H696" s="20">
        <v>0</v>
      </c>
      <c r="I696" s="20">
        <v>411.81</v>
      </c>
      <c r="J696" s="51" t="s">
        <v>2654</v>
      </c>
      <c r="K696" s="15">
        <v>0</v>
      </c>
      <c r="L696" s="51" t="s">
        <v>2371</v>
      </c>
      <c r="M696" s="51" t="s">
        <v>67</v>
      </c>
      <c r="N696" s="51" t="s">
        <v>67</v>
      </c>
      <c r="O696" s="51" t="s">
        <v>4298</v>
      </c>
      <c r="P696" s="51" t="s">
        <v>1340</v>
      </c>
      <c r="Q696" s="45">
        <v>46281.555361342595</v>
      </c>
      <c r="R696" s="46">
        <v>46316</v>
      </c>
      <c r="S696" s="46">
        <v>46311</v>
      </c>
      <c r="T696" s="51" t="s">
        <v>6119</v>
      </c>
      <c r="U696" s="15"/>
      <c r="V696" s="15"/>
      <c r="W696" s="15"/>
      <c r="X696" s="15"/>
      <c r="Y696" s="15"/>
      <c r="Z696" s="15"/>
      <c r="AA696" s="46"/>
      <c r="AB696" s="15"/>
      <c r="AC696" s="15"/>
      <c r="AD696" s="15"/>
      <c r="AE696" s="15"/>
      <c r="AF696" s="15"/>
      <c r="AG696" s="15"/>
      <c r="AH696" s="15"/>
      <c r="AI696" s="46"/>
      <c r="AJ696" s="51" t="s">
        <v>67</v>
      </c>
      <c r="AK696" s="51" t="s">
        <v>67</v>
      </c>
      <c r="AL696" s="15"/>
      <c r="AM696" s="51" t="s">
        <v>67</v>
      </c>
      <c r="AN696" s="51" t="s">
        <v>67</v>
      </c>
      <c r="AO696" s="50" t="s">
        <v>9554</v>
      </c>
    </row>
    <row r="697" spans="1:41" hidden="1" x14ac:dyDescent="0.25">
      <c r="A697" s="51" t="s">
        <v>4299</v>
      </c>
      <c r="B697" s="51" t="s">
        <v>4300</v>
      </c>
      <c r="C697" s="54" t="s">
        <v>5606</v>
      </c>
      <c r="D697" s="51" t="s">
        <v>4301</v>
      </c>
      <c r="E697" s="20">
        <v>10442.76</v>
      </c>
      <c r="F697" s="20">
        <v>5088.1499999999996</v>
      </c>
      <c r="G697" s="20">
        <v>14082.62</v>
      </c>
      <c r="H697" s="20">
        <v>3870.86</v>
      </c>
      <c r="I697" s="20">
        <v>5088.1499999999996</v>
      </c>
      <c r="J697" s="51" t="s">
        <v>6727</v>
      </c>
      <c r="K697" s="15">
        <v>24</v>
      </c>
      <c r="L697" s="51" t="s">
        <v>2369</v>
      </c>
      <c r="M697" s="51" t="s">
        <v>4302</v>
      </c>
      <c r="N697" s="51" t="s">
        <v>1340</v>
      </c>
      <c r="O697" s="51" t="s">
        <v>4303</v>
      </c>
      <c r="P697" s="51" t="s">
        <v>1340</v>
      </c>
      <c r="Q697" s="45">
        <v>46281.555363391206</v>
      </c>
      <c r="R697" s="46">
        <v>46297</v>
      </c>
      <c r="S697" s="46">
        <v>46292</v>
      </c>
      <c r="T697" s="51" t="s">
        <v>6119</v>
      </c>
      <c r="U697" s="15">
        <v>848.05</v>
      </c>
      <c r="V697" s="15">
        <v>3921.84</v>
      </c>
      <c r="W697" s="15">
        <v>36.08</v>
      </c>
      <c r="X697" s="15">
        <v>14.9</v>
      </c>
      <c r="Y697" s="15">
        <v>1.662307</v>
      </c>
      <c r="Z697" s="15">
        <v>6</v>
      </c>
      <c r="AA697" s="46">
        <v>46267</v>
      </c>
      <c r="AB697" s="15"/>
      <c r="AC697" s="15"/>
      <c r="AD697" s="15"/>
      <c r="AE697" s="15"/>
      <c r="AF697" s="15"/>
      <c r="AG697" s="15"/>
      <c r="AH697" s="15"/>
      <c r="AI697" s="46"/>
      <c r="AJ697" s="51" t="s">
        <v>6121</v>
      </c>
      <c r="AK697" s="51" t="s">
        <v>6121</v>
      </c>
      <c r="AL697" s="15">
        <v>848.05</v>
      </c>
      <c r="AM697" s="51" t="s">
        <v>67</v>
      </c>
      <c r="AN697" s="51" t="s">
        <v>67</v>
      </c>
      <c r="AO697" s="50" t="s">
        <v>9554</v>
      </c>
    </row>
    <row r="698" spans="1:41" hidden="1" x14ac:dyDescent="0.25">
      <c r="A698" s="51" t="s">
        <v>4304</v>
      </c>
      <c r="B698" s="51" t="s">
        <v>4305</v>
      </c>
      <c r="C698" s="54" t="s">
        <v>5597</v>
      </c>
      <c r="D698" s="51" t="s">
        <v>4306</v>
      </c>
      <c r="E698" s="20">
        <v>9923.98</v>
      </c>
      <c r="F698" s="20">
        <v>2319.84</v>
      </c>
      <c r="G698" s="20">
        <v>2475.6799999999998</v>
      </c>
      <c r="H698" s="20">
        <v>6098.57</v>
      </c>
      <c r="I698" s="20">
        <v>2319.84</v>
      </c>
      <c r="J698" s="51" t="s">
        <v>6726</v>
      </c>
      <c r="K698" s="15">
        <v>0</v>
      </c>
      <c r="L698" s="51" t="s">
        <v>2371</v>
      </c>
      <c r="M698" s="51" t="s">
        <v>4307</v>
      </c>
      <c r="N698" s="51" t="s">
        <v>1340</v>
      </c>
      <c r="O698" s="51" t="s">
        <v>67</v>
      </c>
      <c r="P698" s="51" t="s">
        <v>67</v>
      </c>
      <c r="Q698" s="45">
        <v>46281.555365787041</v>
      </c>
      <c r="R698" s="46">
        <v>46321</v>
      </c>
      <c r="S698" s="46">
        <v>46316</v>
      </c>
      <c r="T698" s="51" t="s">
        <v>6119</v>
      </c>
      <c r="U698" s="15">
        <v>849.8</v>
      </c>
      <c r="V698" s="15">
        <v>3922.15</v>
      </c>
      <c r="W698" s="15">
        <v>36.39</v>
      </c>
      <c r="X698" s="15">
        <v>14.9</v>
      </c>
      <c r="Y698" s="15">
        <v>1.6620440000000001</v>
      </c>
      <c r="Z698" s="15">
        <v>6</v>
      </c>
      <c r="AA698" s="46">
        <v>46260</v>
      </c>
      <c r="AB698" s="15"/>
      <c r="AC698" s="15"/>
      <c r="AD698" s="15"/>
      <c r="AE698" s="15"/>
      <c r="AF698" s="15"/>
      <c r="AG698" s="15"/>
      <c r="AH698" s="15"/>
      <c r="AI698" s="46"/>
      <c r="AJ698" s="51" t="s">
        <v>67</v>
      </c>
      <c r="AK698" s="51" t="s">
        <v>6121</v>
      </c>
      <c r="AL698" s="15">
        <v>849.8</v>
      </c>
      <c r="AM698" s="51" t="s">
        <v>6705</v>
      </c>
      <c r="AN698" s="51" t="s">
        <v>6713</v>
      </c>
      <c r="AO698" s="50" t="s">
        <v>9554</v>
      </c>
    </row>
    <row r="699" spans="1:41" hidden="1" x14ac:dyDescent="0.25">
      <c r="A699" s="51" t="s">
        <v>4308</v>
      </c>
      <c r="B699" s="51" t="s">
        <v>4309</v>
      </c>
      <c r="C699" s="54" t="s">
        <v>2692</v>
      </c>
      <c r="D699" s="51" t="s">
        <v>4310</v>
      </c>
      <c r="E699" s="20">
        <v>10735.61</v>
      </c>
      <c r="F699" s="20">
        <v>4912.8500000000004</v>
      </c>
      <c r="G699" s="20">
        <v>16008.43</v>
      </c>
      <c r="H699" s="20">
        <v>3870.86</v>
      </c>
      <c r="I699" s="20">
        <v>4912.8500000000004</v>
      </c>
      <c r="J699" s="51" t="s">
        <v>6727</v>
      </c>
      <c r="K699" s="15">
        <v>25</v>
      </c>
      <c r="L699" s="51" t="s">
        <v>2369</v>
      </c>
      <c r="M699" s="51" t="s">
        <v>4311</v>
      </c>
      <c r="N699" s="51" t="s">
        <v>1340</v>
      </c>
      <c r="O699" s="51" t="s">
        <v>67</v>
      </c>
      <c r="P699" s="51" t="s">
        <v>67</v>
      </c>
      <c r="Q699" s="45">
        <v>46281.555368287038</v>
      </c>
      <c r="R699" s="46">
        <v>46296</v>
      </c>
      <c r="S699" s="46">
        <v>46291</v>
      </c>
      <c r="T699" s="51" t="s">
        <v>6119</v>
      </c>
      <c r="U699" s="15">
        <v>848.05</v>
      </c>
      <c r="V699" s="15">
        <v>3921.84</v>
      </c>
      <c r="W699" s="15">
        <v>36.08</v>
      </c>
      <c r="X699" s="15">
        <v>14.9</v>
      </c>
      <c r="Y699" s="15">
        <v>1.662307</v>
      </c>
      <c r="Z699" s="15">
        <v>6</v>
      </c>
      <c r="AA699" s="46">
        <v>46266</v>
      </c>
      <c r="AB699" s="15"/>
      <c r="AC699" s="15"/>
      <c r="AD699" s="15"/>
      <c r="AE699" s="15"/>
      <c r="AF699" s="15"/>
      <c r="AG699" s="15"/>
      <c r="AH699" s="15"/>
      <c r="AI699" s="46"/>
      <c r="AJ699" s="51" t="s">
        <v>6121</v>
      </c>
      <c r="AK699" s="51" t="s">
        <v>6121</v>
      </c>
      <c r="AL699" s="15">
        <v>848.05</v>
      </c>
      <c r="AM699" s="51" t="s">
        <v>67</v>
      </c>
      <c r="AN699" s="51" t="s">
        <v>67</v>
      </c>
      <c r="AO699" s="50" t="s">
        <v>9554</v>
      </c>
    </row>
    <row r="700" spans="1:41" hidden="1" x14ac:dyDescent="0.25">
      <c r="A700" s="51" t="s">
        <v>4312</v>
      </c>
      <c r="B700" s="51" t="s">
        <v>4313</v>
      </c>
      <c r="C700" s="54" t="s">
        <v>2345</v>
      </c>
      <c r="D700" s="51" t="s">
        <v>4314</v>
      </c>
      <c r="E700" s="20">
        <v>11683.12</v>
      </c>
      <c r="F700" s="20">
        <v>4812.62</v>
      </c>
      <c r="G700" s="20">
        <v>3150.66</v>
      </c>
      <c r="H700" s="20">
        <v>3870.86</v>
      </c>
      <c r="I700" s="20">
        <v>4812.62</v>
      </c>
      <c r="J700" s="51" t="s">
        <v>6727</v>
      </c>
      <c r="K700" s="15">
        <v>15</v>
      </c>
      <c r="L700" s="51" t="s">
        <v>2369</v>
      </c>
      <c r="M700" s="51" t="s">
        <v>4315</v>
      </c>
      <c r="N700" s="51" t="s">
        <v>1340</v>
      </c>
      <c r="O700" s="51" t="s">
        <v>4316</v>
      </c>
      <c r="P700" s="51" t="s">
        <v>1340</v>
      </c>
      <c r="Q700" s="45">
        <v>46281.555370243055</v>
      </c>
      <c r="R700" s="46">
        <v>46306</v>
      </c>
      <c r="S700" s="46">
        <v>46301</v>
      </c>
      <c r="T700" s="51" t="s">
        <v>6119</v>
      </c>
      <c r="U700" s="15">
        <v>848.05</v>
      </c>
      <c r="V700" s="15">
        <v>3921.84</v>
      </c>
      <c r="W700" s="15">
        <v>36.08</v>
      </c>
      <c r="X700" s="15">
        <v>14.9</v>
      </c>
      <c r="Y700" s="15">
        <v>1.662307</v>
      </c>
      <c r="Z700" s="15">
        <v>6</v>
      </c>
      <c r="AA700" s="46">
        <v>46276</v>
      </c>
      <c r="AB700" s="15"/>
      <c r="AC700" s="15"/>
      <c r="AD700" s="15"/>
      <c r="AE700" s="15"/>
      <c r="AF700" s="15"/>
      <c r="AG700" s="15"/>
      <c r="AH700" s="15"/>
      <c r="AI700" s="46"/>
      <c r="AJ700" s="51" t="s">
        <v>6121</v>
      </c>
      <c r="AK700" s="51" t="s">
        <v>6121</v>
      </c>
      <c r="AL700" s="15">
        <v>848.05</v>
      </c>
      <c r="AM700" s="51" t="s">
        <v>67</v>
      </c>
      <c r="AN700" s="51" t="s">
        <v>67</v>
      </c>
      <c r="AO700" s="50" t="s">
        <v>9554</v>
      </c>
    </row>
    <row r="701" spans="1:41" hidden="1" x14ac:dyDescent="0.25">
      <c r="A701" s="51" t="s">
        <v>4317</v>
      </c>
      <c r="B701" s="51" t="s">
        <v>4318</v>
      </c>
      <c r="C701" s="54" t="s">
        <v>5601</v>
      </c>
      <c r="D701" s="51" t="s">
        <v>4319</v>
      </c>
      <c r="E701" s="20">
        <v>13350.08</v>
      </c>
      <c r="F701" s="20">
        <v>8970.26</v>
      </c>
      <c r="G701" s="20">
        <v>11230.78</v>
      </c>
      <c r="H701" s="20">
        <v>3870.86</v>
      </c>
      <c r="I701" s="20">
        <v>5099.3999999999996</v>
      </c>
      <c r="J701" s="51" t="s">
        <v>6727</v>
      </c>
      <c r="K701" s="15">
        <v>36</v>
      </c>
      <c r="L701" s="51" t="s">
        <v>2369</v>
      </c>
      <c r="M701" s="51" t="s">
        <v>4320</v>
      </c>
      <c r="N701" s="51" t="s">
        <v>1344</v>
      </c>
      <c r="O701" s="51" t="s">
        <v>67</v>
      </c>
      <c r="P701" s="51" t="s">
        <v>67</v>
      </c>
      <c r="Q701" s="45">
        <v>46281.555372222225</v>
      </c>
      <c r="R701" s="46">
        <v>46316</v>
      </c>
      <c r="S701" s="46">
        <v>46311</v>
      </c>
      <c r="T701" s="51" t="s">
        <v>6119</v>
      </c>
      <c r="U701" s="15">
        <v>849.8</v>
      </c>
      <c r="V701" s="15">
        <v>3922.15</v>
      </c>
      <c r="W701" s="15">
        <v>36.39</v>
      </c>
      <c r="X701" s="15">
        <v>14.9</v>
      </c>
      <c r="Y701" s="15">
        <v>1.6620440000000001</v>
      </c>
      <c r="Z701" s="15">
        <v>6</v>
      </c>
      <c r="AA701" s="46">
        <v>46255</v>
      </c>
      <c r="AB701" s="15"/>
      <c r="AC701" s="15"/>
      <c r="AD701" s="15"/>
      <c r="AE701" s="15"/>
      <c r="AF701" s="15"/>
      <c r="AG701" s="15"/>
      <c r="AH701" s="15"/>
      <c r="AI701" s="46"/>
      <c r="AJ701" s="51" t="s">
        <v>6121</v>
      </c>
      <c r="AK701" s="51" t="s">
        <v>6121</v>
      </c>
      <c r="AL701" s="15">
        <v>849.8</v>
      </c>
      <c r="AM701" s="51" t="s">
        <v>67</v>
      </c>
      <c r="AN701" s="51" t="s">
        <v>67</v>
      </c>
      <c r="AO701" s="50" t="s">
        <v>9554</v>
      </c>
    </row>
    <row r="702" spans="1:41" hidden="1" x14ac:dyDescent="0.25">
      <c r="A702" s="51" t="s">
        <v>4321</v>
      </c>
      <c r="B702" s="51" t="s">
        <v>4322</v>
      </c>
      <c r="C702" s="54" t="s">
        <v>608</v>
      </c>
      <c r="D702" s="51" t="s">
        <v>4323</v>
      </c>
      <c r="E702" s="20">
        <v>12668.6</v>
      </c>
      <c r="F702" s="20">
        <v>6537.33</v>
      </c>
      <c r="G702" s="20">
        <v>11126.34</v>
      </c>
      <c r="H702" s="20">
        <v>3870.86</v>
      </c>
      <c r="I702" s="20">
        <v>4386.8500000000004</v>
      </c>
      <c r="J702" s="51" t="s">
        <v>6726</v>
      </c>
      <c r="K702" s="15">
        <v>0</v>
      </c>
      <c r="L702" s="51" t="s">
        <v>2371</v>
      </c>
      <c r="M702" s="51" t="s">
        <v>4324</v>
      </c>
      <c r="N702" s="51" t="s">
        <v>1340</v>
      </c>
      <c r="O702" s="51" t="s">
        <v>4325</v>
      </c>
      <c r="P702" s="51" t="s">
        <v>1340</v>
      </c>
      <c r="Q702" s="45">
        <v>46281.555374374999</v>
      </c>
      <c r="R702" s="46">
        <v>46315</v>
      </c>
      <c r="S702" s="46">
        <v>46310</v>
      </c>
      <c r="T702" s="51" t="s">
        <v>6119</v>
      </c>
      <c r="U702" s="15">
        <v>849.8</v>
      </c>
      <c r="V702" s="15">
        <v>3922.15</v>
      </c>
      <c r="W702" s="15">
        <v>36.39</v>
      </c>
      <c r="X702" s="15">
        <v>14.9</v>
      </c>
      <c r="Y702" s="15">
        <v>1.6620440000000001</v>
      </c>
      <c r="Z702" s="15">
        <v>6</v>
      </c>
      <c r="AA702" s="46">
        <v>46254</v>
      </c>
      <c r="AB702" s="15"/>
      <c r="AC702" s="15"/>
      <c r="AD702" s="15"/>
      <c r="AE702" s="15"/>
      <c r="AF702" s="15"/>
      <c r="AG702" s="15"/>
      <c r="AH702" s="15"/>
      <c r="AI702" s="46"/>
      <c r="AJ702" s="51" t="s">
        <v>67</v>
      </c>
      <c r="AK702" s="51" t="s">
        <v>6121</v>
      </c>
      <c r="AL702" s="15">
        <v>849.8</v>
      </c>
      <c r="AM702" s="51" t="s">
        <v>67</v>
      </c>
      <c r="AN702" s="51" t="s">
        <v>67</v>
      </c>
      <c r="AO702" s="50" t="s">
        <v>9554</v>
      </c>
    </row>
    <row r="703" spans="1:41" hidden="1" x14ac:dyDescent="0.25">
      <c r="A703" s="51" t="s">
        <v>4326</v>
      </c>
      <c r="B703" s="51" t="s">
        <v>4327</v>
      </c>
      <c r="C703" s="54" t="s">
        <v>608</v>
      </c>
      <c r="D703" s="51" t="s">
        <v>4328</v>
      </c>
      <c r="E703" s="20">
        <v>10067.44</v>
      </c>
      <c r="F703" s="20">
        <v>9350.36</v>
      </c>
      <c r="G703" s="20">
        <v>10039.879999999999</v>
      </c>
      <c r="H703" s="20">
        <v>3870.86</v>
      </c>
      <c r="I703" s="20">
        <v>7199.88</v>
      </c>
      <c r="J703" s="51" t="s">
        <v>6727</v>
      </c>
      <c r="K703" s="15">
        <v>37</v>
      </c>
      <c r="L703" s="51" t="s">
        <v>2369</v>
      </c>
      <c r="M703" s="51" t="s">
        <v>67</v>
      </c>
      <c r="N703" s="51" t="s">
        <v>67</v>
      </c>
      <c r="O703" s="51" t="s">
        <v>4329</v>
      </c>
      <c r="P703" s="51" t="s">
        <v>1340</v>
      </c>
      <c r="Q703" s="45">
        <v>46281.55537652778</v>
      </c>
      <c r="R703" s="46">
        <v>46315</v>
      </c>
      <c r="S703" s="46">
        <v>46310</v>
      </c>
      <c r="T703" s="51" t="s">
        <v>6119</v>
      </c>
      <c r="U703" s="15">
        <v>849.8</v>
      </c>
      <c r="V703" s="15">
        <v>3922.15</v>
      </c>
      <c r="W703" s="15">
        <v>36.39</v>
      </c>
      <c r="X703" s="15">
        <v>14.9</v>
      </c>
      <c r="Y703" s="15">
        <v>1.6620440000000001</v>
      </c>
      <c r="Z703" s="15">
        <v>6</v>
      </c>
      <c r="AA703" s="46">
        <v>46254</v>
      </c>
      <c r="AB703" s="15"/>
      <c r="AC703" s="15"/>
      <c r="AD703" s="15"/>
      <c r="AE703" s="15"/>
      <c r="AF703" s="15"/>
      <c r="AG703" s="15"/>
      <c r="AH703" s="15"/>
      <c r="AI703" s="46"/>
      <c r="AJ703" s="51" t="s">
        <v>6121</v>
      </c>
      <c r="AK703" s="51" t="s">
        <v>6121</v>
      </c>
      <c r="AL703" s="15">
        <v>849.8</v>
      </c>
      <c r="AM703" s="51" t="s">
        <v>67</v>
      </c>
      <c r="AN703" s="51" t="s">
        <v>67</v>
      </c>
      <c r="AO703" s="50" t="s">
        <v>9554</v>
      </c>
    </row>
    <row r="704" spans="1:41" hidden="1" x14ac:dyDescent="0.25">
      <c r="A704" s="51" t="s">
        <v>4330</v>
      </c>
      <c r="B704" s="51" t="s">
        <v>4331</v>
      </c>
      <c r="C704" s="54" t="s">
        <v>2693</v>
      </c>
      <c r="D704" s="51" t="s">
        <v>4332</v>
      </c>
      <c r="E704" s="20">
        <v>12007.76</v>
      </c>
      <c r="F704" s="20">
        <v>278.75</v>
      </c>
      <c r="G704" s="20">
        <v>18863.75</v>
      </c>
      <c r="H704" s="20">
        <v>0</v>
      </c>
      <c r="I704" s="20">
        <v>627.19000000000005</v>
      </c>
      <c r="J704" s="51" t="s">
        <v>2654</v>
      </c>
      <c r="K704" s="15">
        <v>0</v>
      </c>
      <c r="L704" s="51" t="s">
        <v>2371</v>
      </c>
      <c r="M704" s="51" t="s">
        <v>67</v>
      </c>
      <c r="N704" s="51" t="s">
        <v>67</v>
      </c>
      <c r="O704" s="51" t="s">
        <v>4333</v>
      </c>
      <c r="P704" s="51" t="s">
        <v>1340</v>
      </c>
      <c r="Q704" s="45">
        <v>46281.555378773148</v>
      </c>
      <c r="R704" s="46">
        <v>46314</v>
      </c>
      <c r="S704" s="46">
        <v>46309</v>
      </c>
      <c r="T704" s="51" t="s">
        <v>6119</v>
      </c>
      <c r="U704" s="15"/>
      <c r="V704" s="15"/>
      <c r="W704" s="15"/>
      <c r="X704" s="15"/>
      <c r="Y704" s="15"/>
      <c r="Z704" s="15"/>
      <c r="AA704" s="46"/>
      <c r="AB704" s="15"/>
      <c r="AC704" s="15"/>
      <c r="AD704" s="15"/>
      <c r="AE704" s="15"/>
      <c r="AF704" s="15"/>
      <c r="AG704" s="15"/>
      <c r="AH704" s="15"/>
      <c r="AI704" s="46"/>
      <c r="AJ704" s="51" t="s">
        <v>67</v>
      </c>
      <c r="AK704" s="51" t="s">
        <v>67</v>
      </c>
      <c r="AL704" s="15"/>
      <c r="AM704" s="51" t="s">
        <v>67</v>
      </c>
      <c r="AN704" s="51" t="s">
        <v>67</v>
      </c>
      <c r="AO704" s="50" t="s">
        <v>9554</v>
      </c>
    </row>
    <row r="705" spans="1:41" hidden="1" x14ac:dyDescent="0.25">
      <c r="A705" s="51" t="s">
        <v>4334</v>
      </c>
      <c r="B705" s="51" t="s">
        <v>4335</v>
      </c>
      <c r="C705" s="54" t="s">
        <v>605</v>
      </c>
      <c r="D705" s="51" t="s">
        <v>4336</v>
      </c>
      <c r="E705" s="20">
        <v>5696.92</v>
      </c>
      <c r="F705" s="20">
        <v>702.52</v>
      </c>
      <c r="G705" s="20">
        <v>20064.29</v>
      </c>
      <c r="H705" s="20">
        <v>0</v>
      </c>
      <c r="I705" s="20">
        <v>702.52</v>
      </c>
      <c r="J705" s="51" t="s">
        <v>2654</v>
      </c>
      <c r="K705" s="15">
        <v>0</v>
      </c>
      <c r="L705" s="51" t="s">
        <v>2371</v>
      </c>
      <c r="M705" s="51" t="s">
        <v>4337</v>
      </c>
      <c r="N705" s="51" t="s">
        <v>1340</v>
      </c>
      <c r="O705" s="51" t="s">
        <v>67</v>
      </c>
      <c r="P705" s="51" t="s">
        <v>67</v>
      </c>
      <c r="Q705" s="45">
        <v>46281.555380590275</v>
      </c>
      <c r="R705" s="46">
        <v>46305</v>
      </c>
      <c r="S705" s="46">
        <v>46300</v>
      </c>
      <c r="T705" s="51" t="s">
        <v>6119</v>
      </c>
      <c r="U705" s="15"/>
      <c r="V705" s="15"/>
      <c r="W705" s="15"/>
      <c r="X705" s="15"/>
      <c r="Y705" s="15"/>
      <c r="Z705" s="15"/>
      <c r="AA705" s="46"/>
      <c r="AB705" s="15"/>
      <c r="AC705" s="15"/>
      <c r="AD705" s="15"/>
      <c r="AE705" s="15"/>
      <c r="AF705" s="15"/>
      <c r="AG705" s="15"/>
      <c r="AH705" s="15"/>
      <c r="AI705" s="46"/>
      <c r="AJ705" s="51" t="s">
        <v>67</v>
      </c>
      <c r="AK705" s="51" t="s">
        <v>67</v>
      </c>
      <c r="AL705" s="15"/>
      <c r="AM705" s="51" t="s">
        <v>67</v>
      </c>
      <c r="AN705" s="51" t="s">
        <v>67</v>
      </c>
      <c r="AO705" s="50" t="s">
        <v>9554</v>
      </c>
    </row>
    <row r="706" spans="1:41" hidden="1" x14ac:dyDescent="0.25">
      <c r="A706" s="51" t="s">
        <v>4338</v>
      </c>
      <c r="B706" s="51" t="s">
        <v>4339</v>
      </c>
      <c r="C706" s="54" t="s">
        <v>5607</v>
      </c>
      <c r="D706" s="51" t="s">
        <v>4340</v>
      </c>
      <c r="E706" s="20">
        <v>10472.81</v>
      </c>
      <c r="F706" s="20">
        <v>5131.47</v>
      </c>
      <c r="G706" s="20">
        <v>16451.28</v>
      </c>
      <c r="H706" s="20">
        <v>3870.86</v>
      </c>
      <c r="I706" s="20">
        <v>5131.47</v>
      </c>
      <c r="J706" s="51" t="s">
        <v>6727</v>
      </c>
      <c r="K706" s="15">
        <v>22</v>
      </c>
      <c r="L706" s="51" t="s">
        <v>2369</v>
      </c>
      <c r="M706" s="51" t="s">
        <v>4341</v>
      </c>
      <c r="N706" s="51" t="s">
        <v>1340</v>
      </c>
      <c r="O706" s="51" t="s">
        <v>67</v>
      </c>
      <c r="P706" s="51" t="s">
        <v>67</v>
      </c>
      <c r="Q706" s="45">
        <v>46281.555382314815</v>
      </c>
      <c r="R706" s="46">
        <v>46299</v>
      </c>
      <c r="S706" s="46">
        <v>46294</v>
      </c>
      <c r="T706" s="51" t="s">
        <v>6119</v>
      </c>
      <c r="U706" s="15">
        <v>848.05</v>
      </c>
      <c r="V706" s="15">
        <v>3921.84</v>
      </c>
      <c r="W706" s="15">
        <v>36.08</v>
      </c>
      <c r="X706" s="15">
        <v>14.9</v>
      </c>
      <c r="Y706" s="15">
        <v>1.662307</v>
      </c>
      <c r="Z706" s="15">
        <v>6</v>
      </c>
      <c r="AA706" s="46">
        <v>46269</v>
      </c>
      <c r="AB706" s="15"/>
      <c r="AC706" s="15"/>
      <c r="AD706" s="15"/>
      <c r="AE706" s="15"/>
      <c r="AF706" s="15"/>
      <c r="AG706" s="15"/>
      <c r="AH706" s="15"/>
      <c r="AI706" s="46"/>
      <c r="AJ706" s="51" t="s">
        <v>6121</v>
      </c>
      <c r="AK706" s="51" t="s">
        <v>6121</v>
      </c>
      <c r="AL706" s="15">
        <v>848.05</v>
      </c>
      <c r="AM706" s="51" t="s">
        <v>67</v>
      </c>
      <c r="AN706" s="51" t="s">
        <v>67</v>
      </c>
      <c r="AO706" s="50" t="s">
        <v>9554</v>
      </c>
    </row>
    <row r="707" spans="1:41" hidden="1" x14ac:dyDescent="0.25">
      <c r="A707" s="51" t="s">
        <v>4342</v>
      </c>
      <c r="B707" s="51" t="s">
        <v>4343</v>
      </c>
      <c r="C707" s="54" t="s">
        <v>2356</v>
      </c>
      <c r="D707" s="51" t="s">
        <v>4344</v>
      </c>
      <c r="E707" s="20">
        <v>6364.44</v>
      </c>
      <c r="F707" s="20">
        <v>4583.67</v>
      </c>
      <c r="G707" s="20">
        <v>3299.29</v>
      </c>
      <c r="H707" s="20">
        <v>3870.86</v>
      </c>
      <c r="I707" s="20">
        <v>4512.53</v>
      </c>
      <c r="J707" s="51" t="s">
        <v>6727</v>
      </c>
      <c r="K707" s="15">
        <v>14</v>
      </c>
      <c r="L707" s="51" t="s">
        <v>2369</v>
      </c>
      <c r="M707" s="51" t="s">
        <v>4345</v>
      </c>
      <c r="N707" s="51" t="s">
        <v>1340</v>
      </c>
      <c r="O707" s="51" t="s">
        <v>4346</v>
      </c>
      <c r="P707" s="51" t="s">
        <v>1340</v>
      </c>
      <c r="Q707" s="45">
        <v>46281.555384317129</v>
      </c>
      <c r="R707" s="46">
        <v>46307</v>
      </c>
      <c r="S707" s="46">
        <v>46302</v>
      </c>
      <c r="T707" s="51" t="s">
        <v>6119</v>
      </c>
      <c r="U707" s="15">
        <v>848.05</v>
      </c>
      <c r="V707" s="15">
        <v>3921.84</v>
      </c>
      <c r="W707" s="15">
        <v>36.08</v>
      </c>
      <c r="X707" s="15">
        <v>14.9</v>
      </c>
      <c r="Y707" s="15">
        <v>1.662307</v>
      </c>
      <c r="Z707" s="15">
        <v>6</v>
      </c>
      <c r="AA707" s="46">
        <v>46277</v>
      </c>
      <c r="AB707" s="15"/>
      <c r="AC707" s="15"/>
      <c r="AD707" s="15"/>
      <c r="AE707" s="15"/>
      <c r="AF707" s="15"/>
      <c r="AG707" s="15"/>
      <c r="AH707" s="15"/>
      <c r="AI707" s="46"/>
      <c r="AJ707" s="51" t="s">
        <v>6121</v>
      </c>
      <c r="AK707" s="51" t="s">
        <v>6121</v>
      </c>
      <c r="AL707" s="15">
        <v>848.05</v>
      </c>
      <c r="AM707" s="51" t="s">
        <v>67</v>
      </c>
      <c r="AN707" s="51" t="s">
        <v>67</v>
      </c>
      <c r="AO707" s="50" t="s">
        <v>9554</v>
      </c>
    </row>
    <row r="708" spans="1:41" hidden="1" x14ac:dyDescent="0.25">
      <c r="A708" s="51" t="s">
        <v>4347</v>
      </c>
      <c r="B708" s="51" t="s">
        <v>4348</v>
      </c>
      <c r="C708" s="54" t="s">
        <v>5606</v>
      </c>
      <c r="D708" s="51" t="s">
        <v>4349</v>
      </c>
      <c r="E708" s="20">
        <v>2724.23</v>
      </c>
      <c r="F708" s="20">
        <v>923.59</v>
      </c>
      <c r="G708" s="20">
        <v>14485.64</v>
      </c>
      <c r="H708" s="20">
        <v>0</v>
      </c>
      <c r="I708" s="20">
        <v>923.59</v>
      </c>
      <c r="J708" s="51" t="s">
        <v>2654</v>
      </c>
      <c r="K708" s="15">
        <v>0</v>
      </c>
      <c r="L708" s="51" t="s">
        <v>2371</v>
      </c>
      <c r="M708" s="51" t="s">
        <v>4350</v>
      </c>
      <c r="N708" s="51" t="s">
        <v>1340</v>
      </c>
      <c r="O708" s="51" t="s">
        <v>4351</v>
      </c>
      <c r="P708" s="51" t="s">
        <v>1340</v>
      </c>
      <c r="Q708" s="45">
        <v>46281.555386388885</v>
      </c>
      <c r="R708" s="46">
        <v>46297</v>
      </c>
      <c r="S708" s="46">
        <v>46292</v>
      </c>
      <c r="T708" s="51" t="s">
        <v>6119</v>
      </c>
      <c r="U708" s="15"/>
      <c r="V708" s="15"/>
      <c r="W708" s="15"/>
      <c r="X708" s="15"/>
      <c r="Y708" s="15"/>
      <c r="Z708" s="15"/>
      <c r="AA708" s="46"/>
      <c r="AB708" s="15"/>
      <c r="AC708" s="15"/>
      <c r="AD708" s="15"/>
      <c r="AE708" s="15"/>
      <c r="AF708" s="15"/>
      <c r="AG708" s="15"/>
      <c r="AH708" s="15"/>
      <c r="AI708" s="46"/>
      <c r="AJ708" s="51" t="s">
        <v>67</v>
      </c>
      <c r="AK708" s="51" t="s">
        <v>67</v>
      </c>
      <c r="AL708" s="15"/>
      <c r="AM708" s="51" t="s">
        <v>67</v>
      </c>
      <c r="AN708" s="51" t="s">
        <v>67</v>
      </c>
      <c r="AO708" s="50" t="s">
        <v>9554</v>
      </c>
    </row>
    <row r="709" spans="1:41" hidden="1" x14ac:dyDescent="0.25">
      <c r="A709" s="51" t="s">
        <v>4352</v>
      </c>
      <c r="B709" s="51" t="s">
        <v>4353</v>
      </c>
      <c r="C709" s="54" t="s">
        <v>5597</v>
      </c>
      <c r="D709" s="51" t="s">
        <v>4354</v>
      </c>
      <c r="E709" s="20">
        <v>10306.83</v>
      </c>
      <c r="F709" s="20">
        <v>702.79</v>
      </c>
      <c r="G709" s="20">
        <v>8127.13</v>
      </c>
      <c r="H709" s="20">
        <v>702.79</v>
      </c>
      <c r="I709" s="20">
        <v>702.79</v>
      </c>
      <c r="J709" s="51" t="s">
        <v>6727</v>
      </c>
      <c r="K709" s="15">
        <v>0</v>
      </c>
      <c r="L709" s="51" t="s">
        <v>2371</v>
      </c>
      <c r="M709" s="51" t="s">
        <v>4355</v>
      </c>
      <c r="N709" s="51" t="s">
        <v>1340</v>
      </c>
      <c r="O709" s="51" t="s">
        <v>67</v>
      </c>
      <c r="P709" s="51" t="s">
        <v>67</v>
      </c>
      <c r="Q709" s="45">
        <v>46281.555388356479</v>
      </c>
      <c r="R709" s="46">
        <v>46321</v>
      </c>
      <c r="S709" s="46">
        <v>46316</v>
      </c>
      <c r="T709" s="51" t="s">
        <v>6119</v>
      </c>
      <c r="U709" s="15"/>
      <c r="V709" s="15"/>
      <c r="W709" s="15"/>
      <c r="X709" s="15"/>
      <c r="Y709" s="15"/>
      <c r="Z709" s="15"/>
      <c r="AA709" s="46"/>
      <c r="AB709" s="15"/>
      <c r="AC709" s="15"/>
      <c r="AD709" s="15"/>
      <c r="AE709" s="15"/>
      <c r="AF709" s="15"/>
      <c r="AG709" s="15"/>
      <c r="AH709" s="15"/>
      <c r="AI709" s="46"/>
      <c r="AJ709" s="51" t="s">
        <v>67</v>
      </c>
      <c r="AK709" s="51" t="s">
        <v>67</v>
      </c>
      <c r="AL709" s="15"/>
      <c r="AM709" s="51" t="s">
        <v>67</v>
      </c>
      <c r="AN709" s="51" t="s">
        <v>67</v>
      </c>
      <c r="AO709" s="50" t="s">
        <v>9554</v>
      </c>
    </row>
    <row r="710" spans="1:41" hidden="1" x14ac:dyDescent="0.25">
      <c r="A710" s="51" t="s">
        <v>4356</v>
      </c>
      <c r="B710" s="51" t="s">
        <v>4357</v>
      </c>
      <c r="C710" s="54" t="s">
        <v>2691</v>
      </c>
      <c r="D710" s="51" t="s">
        <v>4358</v>
      </c>
      <c r="E710" s="20">
        <v>7368.65</v>
      </c>
      <c r="F710" s="20">
        <v>4826.83</v>
      </c>
      <c r="G710" s="20">
        <v>11961.62</v>
      </c>
      <c r="H710" s="20">
        <v>3870.86</v>
      </c>
      <c r="I710" s="20">
        <v>4826.83</v>
      </c>
      <c r="J710" s="51" t="s">
        <v>6727</v>
      </c>
      <c r="K710" s="15">
        <v>20</v>
      </c>
      <c r="L710" s="51" t="s">
        <v>2369</v>
      </c>
      <c r="M710" s="51" t="s">
        <v>4359</v>
      </c>
      <c r="N710" s="51" t="s">
        <v>1340</v>
      </c>
      <c r="O710" s="51" t="s">
        <v>67</v>
      </c>
      <c r="P710" s="51" t="s">
        <v>67</v>
      </c>
      <c r="Q710" s="45">
        <v>46281.55539011574</v>
      </c>
      <c r="R710" s="46">
        <v>46301</v>
      </c>
      <c r="S710" s="46">
        <v>46296</v>
      </c>
      <c r="T710" s="51" t="s">
        <v>6119</v>
      </c>
      <c r="U710" s="15">
        <v>848.05</v>
      </c>
      <c r="V710" s="15">
        <v>3921.84</v>
      </c>
      <c r="W710" s="15">
        <v>36.08</v>
      </c>
      <c r="X710" s="15">
        <v>14.9</v>
      </c>
      <c r="Y710" s="15">
        <v>1.662307</v>
      </c>
      <c r="Z710" s="15">
        <v>6</v>
      </c>
      <c r="AA710" s="46">
        <v>46271</v>
      </c>
      <c r="AB710" s="15"/>
      <c r="AC710" s="15"/>
      <c r="AD710" s="15"/>
      <c r="AE710" s="15"/>
      <c r="AF710" s="15"/>
      <c r="AG710" s="15"/>
      <c r="AH710" s="15"/>
      <c r="AI710" s="46"/>
      <c r="AJ710" s="51" t="s">
        <v>6121</v>
      </c>
      <c r="AK710" s="51" t="s">
        <v>6121</v>
      </c>
      <c r="AL710" s="15">
        <v>848.05</v>
      </c>
      <c r="AM710" s="51" t="s">
        <v>67</v>
      </c>
      <c r="AN710" s="51" t="s">
        <v>67</v>
      </c>
      <c r="AO710" s="50" t="s">
        <v>9554</v>
      </c>
    </row>
    <row r="711" spans="1:41" hidden="1" x14ac:dyDescent="0.25">
      <c r="A711" s="51" t="s">
        <v>4360</v>
      </c>
      <c r="B711" s="51" t="s">
        <v>4361</v>
      </c>
      <c r="C711" s="54" t="s">
        <v>608</v>
      </c>
      <c r="D711" s="51" t="s">
        <v>4362</v>
      </c>
      <c r="E711" s="20">
        <v>6125.34</v>
      </c>
      <c r="F711" s="20">
        <v>8975.89</v>
      </c>
      <c r="G711" s="20">
        <v>-1244.79</v>
      </c>
      <c r="H711" s="20">
        <v>3870.86</v>
      </c>
      <c r="I711" s="20">
        <v>5965.22</v>
      </c>
      <c r="J711" s="51" t="s">
        <v>6727</v>
      </c>
      <c r="K711" s="15">
        <v>37</v>
      </c>
      <c r="L711" s="51" t="s">
        <v>2369</v>
      </c>
      <c r="M711" s="51" t="s">
        <v>4363</v>
      </c>
      <c r="N711" s="51" t="s">
        <v>1340</v>
      </c>
      <c r="O711" s="51" t="s">
        <v>4364</v>
      </c>
      <c r="P711" s="51" t="s">
        <v>1340</v>
      </c>
      <c r="Q711" s="45">
        <v>46281.555392407405</v>
      </c>
      <c r="R711" s="46">
        <v>46315</v>
      </c>
      <c r="S711" s="46">
        <v>46310</v>
      </c>
      <c r="T711" s="51" t="s">
        <v>6119</v>
      </c>
      <c r="U711" s="15">
        <v>849.8</v>
      </c>
      <c r="V711" s="15">
        <v>3922.15</v>
      </c>
      <c r="W711" s="15">
        <v>36.39</v>
      </c>
      <c r="X711" s="15">
        <v>14.9</v>
      </c>
      <c r="Y711" s="15">
        <v>1.6620440000000001</v>
      </c>
      <c r="Z711" s="15">
        <v>6</v>
      </c>
      <c r="AA711" s="46">
        <v>46254</v>
      </c>
      <c r="AB711" s="15"/>
      <c r="AC711" s="15"/>
      <c r="AD711" s="15"/>
      <c r="AE711" s="15"/>
      <c r="AF711" s="15"/>
      <c r="AG711" s="15"/>
      <c r="AH711" s="15"/>
      <c r="AI711" s="46"/>
      <c r="AJ711" s="51" t="s">
        <v>6121</v>
      </c>
      <c r="AK711" s="51" t="s">
        <v>6121</v>
      </c>
      <c r="AL711" s="15">
        <v>849.8</v>
      </c>
      <c r="AM711" s="51" t="s">
        <v>6705</v>
      </c>
      <c r="AN711" s="51" t="s">
        <v>6713</v>
      </c>
      <c r="AO711" s="50" t="s">
        <v>9554</v>
      </c>
    </row>
    <row r="712" spans="1:41" hidden="1" x14ac:dyDescent="0.25">
      <c r="A712" s="51" t="s">
        <v>4365</v>
      </c>
      <c r="B712" s="51" t="s">
        <v>4366</v>
      </c>
      <c r="C712" s="54" t="s">
        <v>5596</v>
      </c>
      <c r="D712" s="51" t="s">
        <v>4367</v>
      </c>
      <c r="E712" s="20">
        <v>9451.23</v>
      </c>
      <c r="F712" s="20">
        <v>4886.92</v>
      </c>
      <c r="G712" s="20">
        <v>7772.42</v>
      </c>
      <c r="H712" s="20">
        <v>3870.86</v>
      </c>
      <c r="I712" s="20">
        <v>4886.92</v>
      </c>
      <c r="J712" s="51" t="s">
        <v>6727</v>
      </c>
      <c r="K712" s="15">
        <v>21</v>
      </c>
      <c r="L712" s="51" t="s">
        <v>2369</v>
      </c>
      <c r="M712" s="51" t="s">
        <v>67</v>
      </c>
      <c r="N712" s="51" t="s">
        <v>67</v>
      </c>
      <c r="O712" s="51" t="s">
        <v>4368</v>
      </c>
      <c r="P712" s="51" t="s">
        <v>1340</v>
      </c>
      <c r="Q712" s="45">
        <v>46281.555394444447</v>
      </c>
      <c r="R712" s="46">
        <v>46300</v>
      </c>
      <c r="S712" s="46">
        <v>46295</v>
      </c>
      <c r="T712" s="51" t="s">
        <v>6119</v>
      </c>
      <c r="U712" s="15">
        <v>848.05</v>
      </c>
      <c r="V712" s="15">
        <v>3921.84</v>
      </c>
      <c r="W712" s="15">
        <v>36.08</v>
      </c>
      <c r="X712" s="15">
        <v>14.9</v>
      </c>
      <c r="Y712" s="15">
        <v>1.662307</v>
      </c>
      <c r="Z712" s="15">
        <v>6</v>
      </c>
      <c r="AA712" s="46">
        <v>46270</v>
      </c>
      <c r="AB712" s="15"/>
      <c r="AC712" s="15"/>
      <c r="AD712" s="15"/>
      <c r="AE712" s="15"/>
      <c r="AF712" s="15"/>
      <c r="AG712" s="15"/>
      <c r="AH712" s="15"/>
      <c r="AI712" s="46"/>
      <c r="AJ712" s="51" t="s">
        <v>6121</v>
      </c>
      <c r="AK712" s="51" t="s">
        <v>6121</v>
      </c>
      <c r="AL712" s="15">
        <v>848.05</v>
      </c>
      <c r="AM712" s="51" t="s">
        <v>67</v>
      </c>
      <c r="AN712" s="51" t="s">
        <v>67</v>
      </c>
      <c r="AO712" s="50" t="s">
        <v>9554</v>
      </c>
    </row>
    <row r="713" spans="1:41" hidden="1" x14ac:dyDescent="0.25">
      <c r="A713" s="51" t="s">
        <v>4369</v>
      </c>
      <c r="B713" s="51" t="s">
        <v>4370</v>
      </c>
      <c r="C713" s="54" t="s">
        <v>5603</v>
      </c>
      <c r="D713" s="51" t="s">
        <v>4371</v>
      </c>
      <c r="E713" s="20">
        <v>11173.26</v>
      </c>
      <c r="F713" s="20">
        <v>769.48</v>
      </c>
      <c r="G713" s="20">
        <v>20066.78</v>
      </c>
      <c r="H713" s="20">
        <v>3870.86</v>
      </c>
      <c r="I713" s="20">
        <v>769.48</v>
      </c>
      <c r="J713" s="51" t="s">
        <v>6724</v>
      </c>
      <c r="K713" s="15">
        <v>0</v>
      </c>
      <c r="L713" s="51" t="s">
        <v>2371</v>
      </c>
      <c r="M713" s="51" t="s">
        <v>4372</v>
      </c>
      <c r="N713" s="51" t="s">
        <v>1340</v>
      </c>
      <c r="O713" s="51" t="s">
        <v>67</v>
      </c>
      <c r="P713" s="51" t="s">
        <v>67</v>
      </c>
      <c r="Q713" s="45">
        <v>46281.555396539348</v>
      </c>
      <c r="R713" s="46">
        <v>46298</v>
      </c>
      <c r="S713" s="46">
        <v>46293</v>
      </c>
      <c r="T713" s="51" t="s">
        <v>6119</v>
      </c>
      <c r="U713" s="15">
        <v>848.05</v>
      </c>
      <c r="V713" s="15">
        <v>3921.84</v>
      </c>
      <c r="W713" s="15">
        <v>36.08</v>
      </c>
      <c r="X713" s="15">
        <v>14.9</v>
      </c>
      <c r="Y713" s="15">
        <v>1.662307</v>
      </c>
      <c r="Z713" s="15">
        <v>6</v>
      </c>
      <c r="AA713" s="46">
        <v>46268</v>
      </c>
      <c r="AB713" s="15"/>
      <c r="AC713" s="15"/>
      <c r="AD713" s="15"/>
      <c r="AE713" s="15"/>
      <c r="AF713" s="15"/>
      <c r="AG713" s="15"/>
      <c r="AH713" s="15"/>
      <c r="AI713" s="46"/>
      <c r="AJ713" s="51" t="s">
        <v>67</v>
      </c>
      <c r="AK713" s="51" t="s">
        <v>6121</v>
      </c>
      <c r="AL713" s="15">
        <v>848.05</v>
      </c>
      <c r="AM713" s="51" t="s">
        <v>67</v>
      </c>
      <c r="AN713" s="51" t="s">
        <v>67</v>
      </c>
      <c r="AO713" s="50" t="s">
        <v>9554</v>
      </c>
    </row>
    <row r="714" spans="1:41" hidden="1" x14ac:dyDescent="0.25">
      <c r="A714" s="51" t="s">
        <v>4373</v>
      </c>
      <c r="B714" s="51" t="s">
        <v>4374</v>
      </c>
      <c r="C714" s="54" t="s">
        <v>5607</v>
      </c>
      <c r="D714" s="51" t="s">
        <v>4375</v>
      </c>
      <c r="E714" s="20">
        <v>2250.08</v>
      </c>
      <c r="F714" s="20">
        <v>710.22</v>
      </c>
      <c r="G714" s="20">
        <v>16821.27</v>
      </c>
      <c r="H714" s="20">
        <v>0</v>
      </c>
      <c r="I714" s="20">
        <v>710.22</v>
      </c>
      <c r="J714" s="51" t="s">
        <v>2654</v>
      </c>
      <c r="K714" s="15">
        <v>0</v>
      </c>
      <c r="L714" s="51" t="s">
        <v>2371</v>
      </c>
      <c r="M714" s="51" t="s">
        <v>4376</v>
      </c>
      <c r="N714" s="51" t="s">
        <v>1340</v>
      </c>
      <c r="O714" s="51" t="s">
        <v>67</v>
      </c>
      <c r="P714" s="51" t="s">
        <v>67</v>
      </c>
      <c r="Q714" s="45">
        <v>46281.55539854167</v>
      </c>
      <c r="R714" s="46">
        <v>46299</v>
      </c>
      <c r="S714" s="46">
        <v>46294</v>
      </c>
      <c r="T714" s="51" t="s">
        <v>6119</v>
      </c>
      <c r="U714" s="15"/>
      <c r="V714" s="15"/>
      <c r="W714" s="15"/>
      <c r="X714" s="15"/>
      <c r="Y714" s="15"/>
      <c r="Z714" s="15"/>
      <c r="AA714" s="46"/>
      <c r="AB714" s="15"/>
      <c r="AC714" s="15"/>
      <c r="AD714" s="15"/>
      <c r="AE714" s="15"/>
      <c r="AF714" s="15"/>
      <c r="AG714" s="15"/>
      <c r="AH714" s="15"/>
      <c r="AI714" s="46"/>
      <c r="AJ714" s="51" t="s">
        <v>67</v>
      </c>
      <c r="AK714" s="51" t="s">
        <v>67</v>
      </c>
      <c r="AL714" s="15"/>
      <c r="AM714" s="51" t="s">
        <v>67</v>
      </c>
      <c r="AN714" s="51" t="s">
        <v>67</v>
      </c>
      <c r="AO714" s="50" t="s">
        <v>9554</v>
      </c>
    </row>
    <row r="715" spans="1:41" hidden="1" x14ac:dyDescent="0.25">
      <c r="A715" s="51" t="s">
        <v>4377</v>
      </c>
      <c r="B715" s="51" t="s">
        <v>4378</v>
      </c>
      <c r="C715" s="54" t="s">
        <v>5604</v>
      </c>
      <c r="D715" s="51" t="s">
        <v>4379</v>
      </c>
      <c r="E715" s="20">
        <v>14978.59</v>
      </c>
      <c r="F715" s="20">
        <v>0</v>
      </c>
      <c r="G715" s="20">
        <v>5924.79</v>
      </c>
      <c r="H715" s="20">
        <v>0</v>
      </c>
      <c r="I715" s="20">
        <v>836.75</v>
      </c>
      <c r="J715" s="51" t="s">
        <v>2654</v>
      </c>
      <c r="K715" s="15">
        <v>0</v>
      </c>
      <c r="L715" s="51" t="s">
        <v>2371</v>
      </c>
      <c r="M715" s="51" t="s">
        <v>4380</v>
      </c>
      <c r="N715" s="51" t="s">
        <v>1340</v>
      </c>
      <c r="O715" s="51" t="s">
        <v>4381</v>
      </c>
      <c r="P715" s="51" t="s">
        <v>1340</v>
      </c>
      <c r="Q715" s="45">
        <v>46281.55540016204</v>
      </c>
      <c r="R715" s="46">
        <v>46313</v>
      </c>
      <c r="S715" s="46">
        <v>46308</v>
      </c>
      <c r="T715" s="51" t="s">
        <v>6119</v>
      </c>
      <c r="U715" s="15"/>
      <c r="V715" s="15"/>
      <c r="W715" s="15"/>
      <c r="X715" s="15"/>
      <c r="Y715" s="15"/>
      <c r="Z715" s="15"/>
      <c r="AA715" s="46"/>
      <c r="AB715" s="15"/>
      <c r="AC715" s="15"/>
      <c r="AD715" s="15"/>
      <c r="AE715" s="15"/>
      <c r="AF715" s="15"/>
      <c r="AG715" s="15"/>
      <c r="AH715" s="15"/>
      <c r="AI715" s="46"/>
      <c r="AJ715" s="51" t="s">
        <v>67</v>
      </c>
      <c r="AK715" s="51" t="s">
        <v>67</v>
      </c>
      <c r="AL715" s="15"/>
      <c r="AM715" s="51" t="s">
        <v>67</v>
      </c>
      <c r="AN715" s="51" t="s">
        <v>67</v>
      </c>
      <c r="AO715" s="50" t="s">
        <v>9554</v>
      </c>
    </row>
    <row r="716" spans="1:41" hidden="1" x14ac:dyDescent="0.25">
      <c r="A716" s="51" t="s">
        <v>4382</v>
      </c>
      <c r="B716" s="51" t="s">
        <v>4383</v>
      </c>
      <c r="C716" s="54" t="s">
        <v>2690</v>
      </c>
      <c r="D716" s="51" t="s">
        <v>4384</v>
      </c>
      <c r="E716" s="20">
        <v>14027.93</v>
      </c>
      <c r="F716" s="20">
        <v>783.97</v>
      </c>
      <c r="G716" s="20">
        <v>4277.58</v>
      </c>
      <c r="H716" s="20">
        <v>783.97</v>
      </c>
      <c r="I716" s="20">
        <v>783.97</v>
      </c>
      <c r="J716" s="51" t="s">
        <v>6727</v>
      </c>
      <c r="K716" s="15">
        <v>0</v>
      </c>
      <c r="L716" s="51" t="s">
        <v>2371</v>
      </c>
      <c r="M716" s="51" t="s">
        <v>4385</v>
      </c>
      <c r="N716" s="51" t="s">
        <v>1340</v>
      </c>
      <c r="O716" s="51" t="s">
        <v>4386</v>
      </c>
      <c r="P716" s="51" t="s">
        <v>1340</v>
      </c>
      <c r="Q716" s="45">
        <v>46281.555401990743</v>
      </c>
      <c r="R716" s="46">
        <v>46322</v>
      </c>
      <c r="S716" s="46">
        <v>46317</v>
      </c>
      <c r="T716" s="51" t="s">
        <v>6119</v>
      </c>
      <c r="U716" s="15"/>
      <c r="V716" s="15"/>
      <c r="W716" s="15"/>
      <c r="X716" s="15"/>
      <c r="Y716" s="15"/>
      <c r="Z716" s="15"/>
      <c r="AA716" s="46"/>
      <c r="AB716" s="15"/>
      <c r="AC716" s="15"/>
      <c r="AD716" s="15"/>
      <c r="AE716" s="15"/>
      <c r="AF716" s="15"/>
      <c r="AG716" s="15"/>
      <c r="AH716" s="15"/>
      <c r="AI716" s="46"/>
      <c r="AJ716" s="51" t="s">
        <v>67</v>
      </c>
      <c r="AK716" s="51" t="s">
        <v>67</v>
      </c>
      <c r="AL716" s="15"/>
      <c r="AM716" s="51" t="s">
        <v>67</v>
      </c>
      <c r="AN716" s="51" t="s">
        <v>67</v>
      </c>
      <c r="AO716" s="50" t="s">
        <v>9554</v>
      </c>
    </row>
    <row r="717" spans="1:41" hidden="1" x14ac:dyDescent="0.25">
      <c r="A717" s="51" t="s">
        <v>4387</v>
      </c>
      <c r="B717" s="51" t="s">
        <v>4388</v>
      </c>
      <c r="C717" s="54" t="s">
        <v>2358</v>
      </c>
      <c r="D717" s="51" t="s">
        <v>4389</v>
      </c>
      <c r="E717" s="20">
        <v>11386.63</v>
      </c>
      <c r="F717" s="20">
        <v>4680.3999999999996</v>
      </c>
      <c r="G717" s="20">
        <v>5764.7</v>
      </c>
      <c r="H717" s="20">
        <v>3870.86</v>
      </c>
      <c r="I717" s="20">
        <v>4424.9399999999996</v>
      </c>
      <c r="J717" s="51" t="s">
        <v>6727</v>
      </c>
      <c r="K717" s="15">
        <v>12</v>
      </c>
      <c r="L717" s="51" t="s">
        <v>2369</v>
      </c>
      <c r="M717" s="51" t="s">
        <v>4390</v>
      </c>
      <c r="N717" s="51" t="s">
        <v>1344</v>
      </c>
      <c r="O717" s="51" t="s">
        <v>67</v>
      </c>
      <c r="P717" s="51" t="s">
        <v>67</v>
      </c>
      <c r="Q717" s="45">
        <v>46281.555403923609</v>
      </c>
      <c r="R717" s="46">
        <v>46309</v>
      </c>
      <c r="S717" s="46">
        <v>46304</v>
      </c>
      <c r="T717" s="51" t="s">
        <v>6119</v>
      </c>
      <c r="U717" s="15">
        <v>848.05</v>
      </c>
      <c r="V717" s="15">
        <v>3921.84</v>
      </c>
      <c r="W717" s="15">
        <v>36.08</v>
      </c>
      <c r="X717" s="15">
        <v>14.9</v>
      </c>
      <c r="Y717" s="15">
        <v>1.662307</v>
      </c>
      <c r="Z717" s="15">
        <v>6</v>
      </c>
      <c r="AA717" s="46">
        <v>46279</v>
      </c>
      <c r="AB717" s="15"/>
      <c r="AC717" s="15"/>
      <c r="AD717" s="15"/>
      <c r="AE717" s="15"/>
      <c r="AF717" s="15"/>
      <c r="AG717" s="15"/>
      <c r="AH717" s="15"/>
      <c r="AI717" s="46"/>
      <c r="AJ717" s="51" t="s">
        <v>6121</v>
      </c>
      <c r="AK717" s="51" t="s">
        <v>6121</v>
      </c>
      <c r="AL717" s="15">
        <v>848.05</v>
      </c>
      <c r="AM717" s="51" t="s">
        <v>67</v>
      </c>
      <c r="AN717" s="51" t="s">
        <v>67</v>
      </c>
      <c r="AO717" s="50" t="s">
        <v>9554</v>
      </c>
    </row>
    <row r="718" spans="1:41" hidden="1" x14ac:dyDescent="0.25">
      <c r="A718" s="51" t="s">
        <v>4391</v>
      </c>
      <c r="B718" s="51" t="s">
        <v>4392</v>
      </c>
      <c r="C718" s="54" t="s">
        <v>5602</v>
      </c>
      <c r="D718" s="51" t="s">
        <v>4393</v>
      </c>
      <c r="E718" s="20">
        <v>12192.06</v>
      </c>
      <c r="F718" s="20">
        <v>4739.24</v>
      </c>
      <c r="G718" s="20">
        <v>6437.8</v>
      </c>
      <c r="H718" s="20">
        <v>3870.86</v>
      </c>
      <c r="I718" s="20">
        <v>4739.24</v>
      </c>
      <c r="J718" s="51" t="s">
        <v>6727</v>
      </c>
      <c r="K718" s="15">
        <v>18</v>
      </c>
      <c r="L718" s="51" t="s">
        <v>2369</v>
      </c>
      <c r="M718" s="51" t="s">
        <v>67</v>
      </c>
      <c r="N718" s="51" t="s">
        <v>67</v>
      </c>
      <c r="O718" s="51" t="s">
        <v>4394</v>
      </c>
      <c r="P718" s="51" t="s">
        <v>1340</v>
      </c>
      <c r="Q718" s="45">
        <v>46281.555405960651</v>
      </c>
      <c r="R718" s="46">
        <v>46303</v>
      </c>
      <c r="S718" s="46">
        <v>46298</v>
      </c>
      <c r="T718" s="51" t="s">
        <v>6119</v>
      </c>
      <c r="U718" s="15">
        <v>848.05</v>
      </c>
      <c r="V718" s="15">
        <v>3921.84</v>
      </c>
      <c r="W718" s="15">
        <v>36.08</v>
      </c>
      <c r="X718" s="15">
        <v>14.9</v>
      </c>
      <c r="Y718" s="15">
        <v>1.662307</v>
      </c>
      <c r="Z718" s="15">
        <v>6</v>
      </c>
      <c r="AA718" s="46">
        <v>46273</v>
      </c>
      <c r="AB718" s="15"/>
      <c r="AC718" s="15"/>
      <c r="AD718" s="15"/>
      <c r="AE718" s="15"/>
      <c r="AF718" s="15"/>
      <c r="AG718" s="15"/>
      <c r="AH718" s="15"/>
      <c r="AI718" s="46"/>
      <c r="AJ718" s="51" t="s">
        <v>6121</v>
      </c>
      <c r="AK718" s="51" t="s">
        <v>6121</v>
      </c>
      <c r="AL718" s="15">
        <v>848.05</v>
      </c>
      <c r="AM718" s="51" t="s">
        <v>67</v>
      </c>
      <c r="AN718" s="51" t="s">
        <v>67</v>
      </c>
      <c r="AO718" s="50" t="s">
        <v>9554</v>
      </c>
    </row>
    <row r="719" spans="1:41" hidden="1" x14ac:dyDescent="0.25">
      <c r="A719" s="51" t="s">
        <v>4395</v>
      </c>
      <c r="B719" s="51" t="s">
        <v>4396</v>
      </c>
      <c r="C719" s="54" t="s">
        <v>5605</v>
      </c>
      <c r="D719" s="51" t="s">
        <v>4397</v>
      </c>
      <c r="E719" s="20">
        <v>11228.16</v>
      </c>
      <c r="F719" s="20">
        <v>453.64</v>
      </c>
      <c r="G719" s="20">
        <v>8896.52</v>
      </c>
      <c r="H719" s="20">
        <v>453.64</v>
      </c>
      <c r="I719" s="20">
        <v>453.64</v>
      </c>
      <c r="J719" s="51" t="s">
        <v>6727</v>
      </c>
      <c r="K719" s="15">
        <v>0</v>
      </c>
      <c r="L719" s="51" t="s">
        <v>2371</v>
      </c>
      <c r="M719" s="51" t="s">
        <v>4398</v>
      </c>
      <c r="N719" s="51" t="s">
        <v>1340</v>
      </c>
      <c r="O719" s="51" t="s">
        <v>67</v>
      </c>
      <c r="P719" s="51" t="s">
        <v>67</v>
      </c>
      <c r="Q719" s="45">
        <v>46281.555408055552</v>
      </c>
      <c r="R719" s="46">
        <v>46323</v>
      </c>
      <c r="S719" s="46">
        <v>46318</v>
      </c>
      <c r="T719" s="51" t="s">
        <v>6119</v>
      </c>
      <c r="U719" s="15"/>
      <c r="V719" s="15"/>
      <c r="W719" s="15"/>
      <c r="X719" s="15"/>
      <c r="Y719" s="15"/>
      <c r="Z719" s="15"/>
      <c r="AA719" s="46"/>
      <c r="AB719" s="15"/>
      <c r="AC719" s="15"/>
      <c r="AD719" s="15"/>
      <c r="AE719" s="15"/>
      <c r="AF719" s="15"/>
      <c r="AG719" s="15"/>
      <c r="AH719" s="15"/>
      <c r="AI719" s="46"/>
      <c r="AJ719" s="51" t="s">
        <v>67</v>
      </c>
      <c r="AK719" s="51" t="s">
        <v>67</v>
      </c>
      <c r="AL719" s="15"/>
      <c r="AM719" s="51" t="s">
        <v>67</v>
      </c>
      <c r="AN719" s="51" t="s">
        <v>67</v>
      </c>
      <c r="AO719" s="50" t="s">
        <v>9554</v>
      </c>
    </row>
    <row r="720" spans="1:41" hidden="1" x14ac:dyDescent="0.25">
      <c r="A720" s="51" t="s">
        <v>4399</v>
      </c>
      <c r="B720" s="51" t="s">
        <v>4400</v>
      </c>
      <c r="C720" s="54" t="s">
        <v>2690</v>
      </c>
      <c r="D720" s="51" t="s">
        <v>4401</v>
      </c>
      <c r="E720" s="20">
        <v>11046.59</v>
      </c>
      <c r="F720" s="20">
        <v>623.26</v>
      </c>
      <c r="G720" s="20">
        <v>20156.75</v>
      </c>
      <c r="H720" s="20">
        <v>4401.99</v>
      </c>
      <c r="I720" s="20">
        <v>623.26</v>
      </c>
      <c r="J720" s="51" t="s">
        <v>6726</v>
      </c>
      <c r="K720" s="15">
        <v>0</v>
      </c>
      <c r="L720" s="51" t="s">
        <v>2371</v>
      </c>
      <c r="M720" s="51" t="s">
        <v>4402</v>
      </c>
      <c r="N720" s="51" t="s">
        <v>1340</v>
      </c>
      <c r="O720" s="51" t="s">
        <v>4403</v>
      </c>
      <c r="P720" s="51" t="s">
        <v>1340</v>
      </c>
      <c r="Q720" s="45">
        <v>46281.555409837965</v>
      </c>
      <c r="R720" s="46">
        <v>46322</v>
      </c>
      <c r="S720" s="46">
        <v>46317</v>
      </c>
      <c r="T720" s="51" t="s">
        <v>6119</v>
      </c>
      <c r="U720" s="15">
        <v>849.8</v>
      </c>
      <c r="V720" s="15">
        <v>3922.15</v>
      </c>
      <c r="W720" s="15">
        <v>36.39</v>
      </c>
      <c r="X720" s="15">
        <v>14.9</v>
      </c>
      <c r="Y720" s="15">
        <v>1.6620440000000001</v>
      </c>
      <c r="Z720" s="15">
        <v>6</v>
      </c>
      <c r="AA720" s="46">
        <v>46261</v>
      </c>
      <c r="AB720" s="15"/>
      <c r="AC720" s="15"/>
      <c r="AD720" s="15"/>
      <c r="AE720" s="15"/>
      <c r="AF720" s="15"/>
      <c r="AG720" s="15"/>
      <c r="AH720" s="15"/>
      <c r="AI720" s="46"/>
      <c r="AJ720" s="51" t="s">
        <v>67</v>
      </c>
      <c r="AK720" s="51" t="s">
        <v>6121</v>
      </c>
      <c r="AL720" s="15">
        <v>849.8</v>
      </c>
      <c r="AM720" s="51" t="s">
        <v>67</v>
      </c>
      <c r="AN720" s="51" t="s">
        <v>67</v>
      </c>
      <c r="AO720" s="50" t="s">
        <v>9554</v>
      </c>
    </row>
    <row r="721" spans="1:41" hidden="1" x14ac:dyDescent="0.25">
      <c r="A721" s="51" t="s">
        <v>4404</v>
      </c>
      <c r="B721" s="51" t="s">
        <v>4405</v>
      </c>
      <c r="C721" s="54" t="s">
        <v>2692</v>
      </c>
      <c r="D721" s="51" t="s">
        <v>4406</v>
      </c>
      <c r="E721" s="20">
        <v>2524.37</v>
      </c>
      <c r="F721" s="20">
        <v>5196.4399999999996</v>
      </c>
      <c r="G721" s="20">
        <v>1523.63</v>
      </c>
      <c r="H721" s="20">
        <v>3870.86</v>
      </c>
      <c r="I721" s="20">
        <v>5196.4399999999996</v>
      </c>
      <c r="J721" s="51" t="s">
        <v>6727</v>
      </c>
      <c r="K721" s="15">
        <v>25</v>
      </c>
      <c r="L721" s="51" t="s">
        <v>2369</v>
      </c>
      <c r="M721" s="51" t="s">
        <v>4407</v>
      </c>
      <c r="N721" s="51" t="s">
        <v>1344</v>
      </c>
      <c r="O721" s="51" t="s">
        <v>4408</v>
      </c>
      <c r="P721" s="51" t="s">
        <v>1344</v>
      </c>
      <c r="Q721" s="45">
        <v>46281.555411817128</v>
      </c>
      <c r="R721" s="46">
        <v>46296</v>
      </c>
      <c r="S721" s="46">
        <v>46291</v>
      </c>
      <c r="T721" s="51" t="s">
        <v>6119</v>
      </c>
      <c r="U721" s="15">
        <v>848.05</v>
      </c>
      <c r="V721" s="15">
        <v>3921.84</v>
      </c>
      <c r="W721" s="15">
        <v>36.08</v>
      </c>
      <c r="X721" s="15">
        <v>14.9</v>
      </c>
      <c r="Y721" s="15">
        <v>1.662307</v>
      </c>
      <c r="Z721" s="15">
        <v>6</v>
      </c>
      <c r="AA721" s="46">
        <v>46266</v>
      </c>
      <c r="AB721" s="15"/>
      <c r="AC721" s="15"/>
      <c r="AD721" s="15"/>
      <c r="AE721" s="15"/>
      <c r="AF721" s="15"/>
      <c r="AG721" s="15"/>
      <c r="AH721" s="15"/>
      <c r="AI721" s="46"/>
      <c r="AJ721" s="51" t="s">
        <v>6121</v>
      </c>
      <c r="AK721" s="51" t="s">
        <v>6121</v>
      </c>
      <c r="AL721" s="15">
        <v>848.05</v>
      </c>
      <c r="AM721" s="51" t="s">
        <v>67</v>
      </c>
      <c r="AN721" s="51" t="s">
        <v>67</v>
      </c>
      <c r="AO721" s="50" t="s">
        <v>9554</v>
      </c>
    </row>
    <row r="722" spans="1:41" hidden="1" x14ac:dyDescent="0.25">
      <c r="A722" s="51" t="s">
        <v>4409</v>
      </c>
      <c r="B722" s="51" t="s">
        <v>4410</v>
      </c>
      <c r="C722" s="54" t="s">
        <v>605</v>
      </c>
      <c r="D722" s="51" t="s">
        <v>4411</v>
      </c>
      <c r="E722" s="20">
        <v>6089.21</v>
      </c>
      <c r="F722" s="20">
        <v>5036</v>
      </c>
      <c r="G722" s="20">
        <v>753.41</v>
      </c>
      <c r="H722" s="20">
        <v>3870.86</v>
      </c>
      <c r="I722" s="20">
        <v>5036</v>
      </c>
      <c r="J722" s="51" t="s">
        <v>6727</v>
      </c>
      <c r="K722" s="15">
        <v>16</v>
      </c>
      <c r="L722" s="51" t="s">
        <v>2369</v>
      </c>
      <c r="M722" s="51" t="s">
        <v>4412</v>
      </c>
      <c r="N722" s="51" t="s">
        <v>1340</v>
      </c>
      <c r="O722" s="51" t="s">
        <v>4413</v>
      </c>
      <c r="P722" s="51" t="s">
        <v>1340</v>
      </c>
      <c r="Q722" s="45">
        <v>46281.556623796299</v>
      </c>
      <c r="R722" s="46">
        <v>46305</v>
      </c>
      <c r="S722" s="46">
        <v>46300</v>
      </c>
      <c r="T722" s="51" t="s">
        <v>6119</v>
      </c>
      <c r="U722" s="15">
        <v>848.05</v>
      </c>
      <c r="V722" s="15">
        <v>3921.84</v>
      </c>
      <c r="W722" s="15">
        <v>36.08</v>
      </c>
      <c r="X722" s="15">
        <v>14.9</v>
      </c>
      <c r="Y722" s="15">
        <v>1.662307</v>
      </c>
      <c r="Z722" s="15">
        <v>6</v>
      </c>
      <c r="AA722" s="46">
        <v>46275</v>
      </c>
      <c r="AB722" s="15"/>
      <c r="AC722" s="15"/>
      <c r="AD722" s="15"/>
      <c r="AE722" s="15"/>
      <c r="AF722" s="15"/>
      <c r="AG722" s="15"/>
      <c r="AH722" s="15"/>
      <c r="AI722" s="46"/>
      <c r="AJ722" s="51" t="s">
        <v>6121</v>
      </c>
      <c r="AK722" s="51" t="s">
        <v>6121</v>
      </c>
      <c r="AL722" s="15">
        <v>848.05</v>
      </c>
      <c r="AM722" s="51" t="s">
        <v>67</v>
      </c>
      <c r="AN722" s="51" t="s">
        <v>67</v>
      </c>
      <c r="AO722" s="50" t="s">
        <v>9554</v>
      </c>
    </row>
    <row r="723" spans="1:41" hidden="1" x14ac:dyDescent="0.25">
      <c r="A723" s="51" t="s">
        <v>4414</v>
      </c>
      <c r="B723" s="51" t="s">
        <v>4415</v>
      </c>
      <c r="C723" s="54" t="s">
        <v>5599</v>
      </c>
      <c r="D723" s="51" t="s">
        <v>4416</v>
      </c>
      <c r="E723" s="20">
        <v>5546.47</v>
      </c>
      <c r="F723" s="20">
        <v>829.96</v>
      </c>
      <c r="G723" s="20">
        <v>3632.05</v>
      </c>
      <c r="H723" s="20">
        <v>0</v>
      </c>
      <c r="I723" s="20">
        <v>829.96</v>
      </c>
      <c r="J723" s="51" t="s">
        <v>2654</v>
      </c>
      <c r="K723" s="15">
        <v>0</v>
      </c>
      <c r="L723" s="51" t="s">
        <v>2371</v>
      </c>
      <c r="M723" s="51" t="s">
        <v>67</v>
      </c>
      <c r="N723" s="51" t="s">
        <v>67</v>
      </c>
      <c r="O723" s="51" t="s">
        <v>4417</v>
      </c>
      <c r="P723" s="51" t="s">
        <v>1340</v>
      </c>
      <c r="Q723" s="45">
        <v>46281.556626458332</v>
      </c>
      <c r="R723" s="46">
        <v>46302</v>
      </c>
      <c r="S723" s="46">
        <v>46297</v>
      </c>
      <c r="T723" s="51" t="s">
        <v>6119</v>
      </c>
      <c r="U723" s="15"/>
      <c r="V723" s="15"/>
      <c r="W723" s="15"/>
      <c r="X723" s="15"/>
      <c r="Y723" s="15"/>
      <c r="Z723" s="15"/>
      <c r="AA723" s="46"/>
      <c r="AB723" s="15"/>
      <c r="AC723" s="15"/>
      <c r="AD723" s="15"/>
      <c r="AE723" s="15"/>
      <c r="AF723" s="15"/>
      <c r="AG723" s="15"/>
      <c r="AH723" s="15"/>
      <c r="AI723" s="46"/>
      <c r="AJ723" s="51" t="s">
        <v>67</v>
      </c>
      <c r="AK723" s="51" t="s">
        <v>67</v>
      </c>
      <c r="AL723" s="15"/>
      <c r="AM723" s="51" t="s">
        <v>67</v>
      </c>
      <c r="AN723" s="51" t="s">
        <v>67</v>
      </c>
      <c r="AO723" s="50" t="s">
        <v>9554</v>
      </c>
    </row>
    <row r="724" spans="1:41" hidden="1" x14ac:dyDescent="0.25">
      <c r="A724" s="51" t="s">
        <v>4418</v>
      </c>
      <c r="B724" s="51" t="s">
        <v>4419</v>
      </c>
      <c r="C724" s="54" t="s">
        <v>2345</v>
      </c>
      <c r="D724" s="51" t="s">
        <v>4420</v>
      </c>
      <c r="E724" s="20">
        <v>12508.29</v>
      </c>
      <c r="F724" s="20">
        <v>5032.8599999999997</v>
      </c>
      <c r="G724" s="20">
        <v>3936.18</v>
      </c>
      <c r="H724" s="20">
        <v>3870.86</v>
      </c>
      <c r="I724" s="20">
        <v>5032.8599999999997</v>
      </c>
      <c r="J724" s="51" t="s">
        <v>6727</v>
      </c>
      <c r="K724" s="15">
        <v>15</v>
      </c>
      <c r="L724" s="51" t="s">
        <v>2369</v>
      </c>
      <c r="M724" s="51" t="s">
        <v>67</v>
      </c>
      <c r="N724" s="51" t="s">
        <v>67</v>
      </c>
      <c r="O724" s="51" t="s">
        <v>4421</v>
      </c>
      <c r="P724" s="51" t="s">
        <v>1344</v>
      </c>
      <c r="Q724" s="45">
        <v>46281.556628668979</v>
      </c>
      <c r="R724" s="46">
        <v>46306</v>
      </c>
      <c r="S724" s="46">
        <v>46301</v>
      </c>
      <c r="T724" s="51" t="s">
        <v>6119</v>
      </c>
      <c r="U724" s="15">
        <v>848.05</v>
      </c>
      <c r="V724" s="15">
        <v>3921.84</v>
      </c>
      <c r="W724" s="15">
        <v>36.08</v>
      </c>
      <c r="X724" s="15">
        <v>14.9</v>
      </c>
      <c r="Y724" s="15">
        <v>1.662307</v>
      </c>
      <c r="Z724" s="15">
        <v>6</v>
      </c>
      <c r="AA724" s="46">
        <v>46276</v>
      </c>
      <c r="AB724" s="15"/>
      <c r="AC724" s="15"/>
      <c r="AD724" s="15"/>
      <c r="AE724" s="15"/>
      <c r="AF724" s="15"/>
      <c r="AG724" s="15"/>
      <c r="AH724" s="15"/>
      <c r="AI724" s="46"/>
      <c r="AJ724" s="51" t="s">
        <v>6121</v>
      </c>
      <c r="AK724" s="51" t="s">
        <v>6121</v>
      </c>
      <c r="AL724" s="15">
        <v>848.05</v>
      </c>
      <c r="AM724" s="51" t="s">
        <v>67</v>
      </c>
      <c r="AN724" s="51" t="s">
        <v>67</v>
      </c>
      <c r="AO724" s="50" t="s">
        <v>9554</v>
      </c>
    </row>
    <row r="725" spans="1:41" hidden="1" x14ac:dyDescent="0.25">
      <c r="A725" s="51" t="s">
        <v>4422</v>
      </c>
      <c r="B725" s="51" t="s">
        <v>4423</v>
      </c>
      <c r="C725" s="54" t="s">
        <v>608</v>
      </c>
      <c r="D725" s="51" t="s">
        <v>4424</v>
      </c>
      <c r="E725" s="20">
        <v>8881.11</v>
      </c>
      <c r="F725" s="20">
        <v>9144.7900000000009</v>
      </c>
      <c r="G725" s="20">
        <v>6898.67</v>
      </c>
      <c r="H725" s="20">
        <v>3870.86</v>
      </c>
      <c r="I725" s="20">
        <v>6994.3</v>
      </c>
      <c r="J725" s="51" t="s">
        <v>6727</v>
      </c>
      <c r="K725" s="15">
        <v>37</v>
      </c>
      <c r="L725" s="51" t="s">
        <v>2369</v>
      </c>
      <c r="M725" s="51" t="s">
        <v>67</v>
      </c>
      <c r="N725" s="51" t="s">
        <v>67</v>
      </c>
      <c r="O725" s="51" t="s">
        <v>4425</v>
      </c>
      <c r="P725" s="51" t="s">
        <v>1344</v>
      </c>
      <c r="Q725" s="45">
        <v>46281.556631388892</v>
      </c>
      <c r="R725" s="46">
        <v>46315</v>
      </c>
      <c r="S725" s="46">
        <v>46310</v>
      </c>
      <c r="T725" s="51" t="s">
        <v>6119</v>
      </c>
      <c r="U725" s="15">
        <v>849.8</v>
      </c>
      <c r="V725" s="15">
        <v>3922.15</v>
      </c>
      <c r="W725" s="15">
        <v>36.39</v>
      </c>
      <c r="X725" s="15">
        <v>14.9</v>
      </c>
      <c r="Y725" s="15">
        <v>1.6620440000000001</v>
      </c>
      <c r="Z725" s="15">
        <v>6</v>
      </c>
      <c r="AA725" s="46">
        <v>46254</v>
      </c>
      <c r="AB725" s="15"/>
      <c r="AC725" s="15"/>
      <c r="AD725" s="15"/>
      <c r="AE725" s="15"/>
      <c r="AF725" s="15"/>
      <c r="AG725" s="15"/>
      <c r="AH725" s="15"/>
      <c r="AI725" s="46"/>
      <c r="AJ725" s="51" t="s">
        <v>6121</v>
      </c>
      <c r="AK725" s="51" t="s">
        <v>6121</v>
      </c>
      <c r="AL725" s="15">
        <v>849.8</v>
      </c>
      <c r="AM725" s="51" t="s">
        <v>67</v>
      </c>
      <c r="AN725" s="51" t="s">
        <v>67</v>
      </c>
      <c r="AO725" s="50" t="s">
        <v>9554</v>
      </c>
    </row>
    <row r="726" spans="1:41" hidden="1" x14ac:dyDescent="0.25">
      <c r="A726" s="51" t="s">
        <v>4426</v>
      </c>
      <c r="B726" s="51" t="s">
        <v>4427</v>
      </c>
      <c r="C726" s="54" t="s">
        <v>5600</v>
      </c>
      <c r="D726" s="51" t="s">
        <v>4428</v>
      </c>
      <c r="E726" s="20">
        <v>13394.96</v>
      </c>
      <c r="F726" s="20">
        <v>515.49</v>
      </c>
      <c r="G726" s="20">
        <v>6285.13</v>
      </c>
      <c r="H726" s="20">
        <v>0</v>
      </c>
      <c r="I726" s="20">
        <v>515.49</v>
      </c>
      <c r="J726" s="51" t="s">
        <v>2654</v>
      </c>
      <c r="K726" s="15">
        <v>0</v>
      </c>
      <c r="L726" s="51" t="s">
        <v>2371</v>
      </c>
      <c r="M726" s="51" t="s">
        <v>4429</v>
      </c>
      <c r="N726" s="51" t="s">
        <v>1340</v>
      </c>
      <c r="O726" s="51" t="s">
        <v>67</v>
      </c>
      <c r="P726" s="51" t="s">
        <v>67</v>
      </c>
      <c r="Q726" s="45">
        <v>46281.556634016204</v>
      </c>
      <c r="R726" s="46">
        <v>46304</v>
      </c>
      <c r="S726" s="46">
        <v>46299</v>
      </c>
      <c r="T726" s="51" t="s">
        <v>6119</v>
      </c>
      <c r="U726" s="15"/>
      <c r="V726" s="15"/>
      <c r="W726" s="15"/>
      <c r="X726" s="15"/>
      <c r="Y726" s="15"/>
      <c r="Z726" s="15"/>
      <c r="AA726" s="46"/>
      <c r="AB726" s="15"/>
      <c r="AC726" s="15"/>
      <c r="AD726" s="15"/>
      <c r="AE726" s="15"/>
      <c r="AF726" s="15"/>
      <c r="AG726" s="15"/>
      <c r="AH726" s="15"/>
      <c r="AI726" s="46"/>
      <c r="AJ726" s="51" t="s">
        <v>67</v>
      </c>
      <c r="AK726" s="51" t="s">
        <v>67</v>
      </c>
      <c r="AL726" s="15"/>
      <c r="AM726" s="51" t="s">
        <v>67</v>
      </c>
      <c r="AN726" s="51" t="s">
        <v>67</v>
      </c>
      <c r="AO726" s="50" t="s">
        <v>9554</v>
      </c>
    </row>
    <row r="727" spans="1:41" hidden="1" x14ac:dyDescent="0.25">
      <c r="A727" s="51" t="s">
        <v>4430</v>
      </c>
      <c r="B727" s="51" t="s">
        <v>4431</v>
      </c>
      <c r="C727" s="54" t="s">
        <v>5601</v>
      </c>
      <c r="D727" s="51" t="s">
        <v>4432</v>
      </c>
      <c r="E727" s="20">
        <v>1297.6500000000001</v>
      </c>
      <c r="F727" s="20">
        <v>0</v>
      </c>
      <c r="G727" s="20">
        <v>7414.99</v>
      </c>
      <c r="H727" s="20">
        <v>0</v>
      </c>
      <c r="I727" s="20">
        <v>463.96</v>
      </c>
      <c r="J727" s="51" t="s">
        <v>2654</v>
      </c>
      <c r="K727" s="15">
        <v>0</v>
      </c>
      <c r="L727" s="51" t="s">
        <v>2371</v>
      </c>
      <c r="M727" s="51" t="s">
        <v>67</v>
      </c>
      <c r="N727" s="51" t="s">
        <v>67</v>
      </c>
      <c r="O727" s="51" t="s">
        <v>4433</v>
      </c>
      <c r="P727" s="51" t="s">
        <v>1340</v>
      </c>
      <c r="Q727" s="45">
        <v>46281.556636064815</v>
      </c>
      <c r="R727" s="46">
        <v>46316</v>
      </c>
      <c r="S727" s="46">
        <v>46311</v>
      </c>
      <c r="T727" s="51" t="s">
        <v>6119</v>
      </c>
      <c r="U727" s="15"/>
      <c r="V727" s="15"/>
      <c r="W727" s="15"/>
      <c r="X727" s="15"/>
      <c r="Y727" s="15"/>
      <c r="Z727" s="15"/>
      <c r="AA727" s="46"/>
      <c r="AB727" s="15"/>
      <c r="AC727" s="15"/>
      <c r="AD727" s="15"/>
      <c r="AE727" s="15"/>
      <c r="AF727" s="15"/>
      <c r="AG727" s="15"/>
      <c r="AH727" s="15"/>
      <c r="AI727" s="46"/>
      <c r="AJ727" s="51" t="s">
        <v>67</v>
      </c>
      <c r="AK727" s="51" t="s">
        <v>67</v>
      </c>
      <c r="AL727" s="15"/>
      <c r="AM727" s="51" t="s">
        <v>67</v>
      </c>
      <c r="AN727" s="51" t="s">
        <v>67</v>
      </c>
      <c r="AO727" s="50" t="s">
        <v>9554</v>
      </c>
    </row>
    <row r="728" spans="1:41" hidden="1" x14ac:dyDescent="0.25">
      <c r="A728" s="51" t="s">
        <v>4434</v>
      </c>
      <c r="B728" s="51" t="s">
        <v>4435</v>
      </c>
      <c r="C728" s="54" t="s">
        <v>2690</v>
      </c>
      <c r="D728" s="51" t="s">
        <v>4436</v>
      </c>
      <c r="E728" s="20">
        <v>2024.12</v>
      </c>
      <c r="F728" s="20">
        <v>6658.14</v>
      </c>
      <c r="G728" s="20">
        <v>10151.49</v>
      </c>
      <c r="H728" s="20">
        <v>5922.09</v>
      </c>
      <c r="I728" s="20">
        <v>6658.14</v>
      </c>
      <c r="J728" s="51" t="s">
        <v>6727</v>
      </c>
      <c r="K728" s="15">
        <v>30</v>
      </c>
      <c r="L728" s="51" t="s">
        <v>2369</v>
      </c>
      <c r="M728" s="51" t="s">
        <v>4437</v>
      </c>
      <c r="N728" s="51" t="s">
        <v>1340</v>
      </c>
      <c r="O728" s="51" t="s">
        <v>4438</v>
      </c>
      <c r="P728" s="51" t="s">
        <v>1340</v>
      </c>
      <c r="Q728" s="45">
        <v>46281.556638333335</v>
      </c>
      <c r="R728" s="46">
        <v>46322</v>
      </c>
      <c r="S728" s="46">
        <v>46317</v>
      </c>
      <c r="T728" s="51" t="s">
        <v>6119</v>
      </c>
      <c r="U728" s="15">
        <v>849.8</v>
      </c>
      <c r="V728" s="15">
        <v>3922.15</v>
      </c>
      <c r="W728" s="15">
        <v>36.39</v>
      </c>
      <c r="X728" s="15">
        <v>14.9</v>
      </c>
      <c r="Y728" s="15">
        <v>1.6620440000000001</v>
      </c>
      <c r="Z728" s="15">
        <v>6</v>
      </c>
      <c r="AA728" s="46">
        <v>46261</v>
      </c>
      <c r="AB728" s="15"/>
      <c r="AC728" s="15"/>
      <c r="AD728" s="15"/>
      <c r="AE728" s="15"/>
      <c r="AF728" s="15"/>
      <c r="AG728" s="15"/>
      <c r="AH728" s="15"/>
      <c r="AI728" s="46"/>
      <c r="AJ728" s="51" t="s">
        <v>6121</v>
      </c>
      <c r="AK728" s="51" t="s">
        <v>6121</v>
      </c>
      <c r="AL728" s="15">
        <v>849.8</v>
      </c>
      <c r="AM728" s="51" t="s">
        <v>67</v>
      </c>
      <c r="AN728" s="51" t="s">
        <v>67</v>
      </c>
      <c r="AO728" s="50" t="s">
        <v>9554</v>
      </c>
    </row>
    <row r="729" spans="1:41" hidden="1" x14ac:dyDescent="0.25">
      <c r="A729" s="51" t="s">
        <v>4439</v>
      </c>
      <c r="B729" s="51" t="s">
        <v>4440</v>
      </c>
      <c r="C729" s="54" t="s">
        <v>2691</v>
      </c>
      <c r="D729" s="51" t="s">
        <v>4441</v>
      </c>
      <c r="E729" s="20">
        <v>4393.7299999999996</v>
      </c>
      <c r="F729" s="20">
        <v>491.47</v>
      </c>
      <c r="G729" s="20">
        <v>1863.59</v>
      </c>
      <c r="H729" s="20">
        <v>0</v>
      </c>
      <c r="I729" s="20">
        <v>491.47</v>
      </c>
      <c r="J729" s="51" t="s">
        <v>2654</v>
      </c>
      <c r="K729" s="15">
        <v>0</v>
      </c>
      <c r="L729" s="51" t="s">
        <v>2371</v>
      </c>
      <c r="M729" s="51" t="s">
        <v>4442</v>
      </c>
      <c r="N729" s="51" t="s">
        <v>1340</v>
      </c>
      <c r="O729" s="51" t="s">
        <v>4443</v>
      </c>
      <c r="P729" s="51" t="s">
        <v>1340</v>
      </c>
      <c r="Q729" s="45">
        <v>46281.556640590279</v>
      </c>
      <c r="R729" s="46">
        <v>46301</v>
      </c>
      <c r="S729" s="46">
        <v>46296</v>
      </c>
      <c r="T729" s="51" t="s">
        <v>6119</v>
      </c>
      <c r="U729" s="15"/>
      <c r="V729" s="15"/>
      <c r="W729" s="15"/>
      <c r="X729" s="15"/>
      <c r="Y729" s="15"/>
      <c r="Z729" s="15"/>
      <c r="AA729" s="46"/>
      <c r="AB729" s="15"/>
      <c r="AC729" s="15"/>
      <c r="AD729" s="15"/>
      <c r="AE729" s="15"/>
      <c r="AF729" s="15"/>
      <c r="AG729" s="15"/>
      <c r="AH729" s="15"/>
      <c r="AI729" s="46"/>
      <c r="AJ729" s="51" t="s">
        <v>67</v>
      </c>
      <c r="AK729" s="51" t="s">
        <v>67</v>
      </c>
      <c r="AL729" s="15"/>
      <c r="AM729" s="51" t="s">
        <v>67</v>
      </c>
      <c r="AN729" s="51" t="s">
        <v>67</v>
      </c>
      <c r="AO729" s="50" t="s">
        <v>9554</v>
      </c>
    </row>
    <row r="730" spans="1:41" hidden="1" x14ac:dyDescent="0.25">
      <c r="A730" s="51" t="s">
        <v>4444</v>
      </c>
      <c r="B730" s="51" t="s">
        <v>4445</v>
      </c>
      <c r="C730" s="54" t="s">
        <v>2345</v>
      </c>
      <c r="D730" s="51" t="s">
        <v>4446</v>
      </c>
      <c r="E730" s="20">
        <v>11352.68</v>
      </c>
      <c r="F730" s="20">
        <v>513.16</v>
      </c>
      <c r="G730" s="20">
        <v>19568.16</v>
      </c>
      <c r="H730" s="20">
        <v>0</v>
      </c>
      <c r="I730" s="20">
        <v>513.16</v>
      </c>
      <c r="J730" s="51" t="s">
        <v>2654</v>
      </c>
      <c r="K730" s="15">
        <v>0</v>
      </c>
      <c r="L730" s="51" t="s">
        <v>2371</v>
      </c>
      <c r="M730" s="51" t="s">
        <v>67</v>
      </c>
      <c r="N730" s="51" t="s">
        <v>67</v>
      </c>
      <c r="O730" s="51" t="s">
        <v>4447</v>
      </c>
      <c r="P730" s="51" t="s">
        <v>1340</v>
      </c>
      <c r="Q730" s="45">
        <v>46281.556642696756</v>
      </c>
      <c r="R730" s="46">
        <v>46306</v>
      </c>
      <c r="S730" s="46">
        <v>46301</v>
      </c>
      <c r="T730" s="51" t="s">
        <v>6119</v>
      </c>
      <c r="U730" s="15"/>
      <c r="V730" s="15"/>
      <c r="W730" s="15"/>
      <c r="X730" s="15"/>
      <c r="Y730" s="15"/>
      <c r="Z730" s="15"/>
      <c r="AA730" s="46"/>
      <c r="AB730" s="15"/>
      <c r="AC730" s="15"/>
      <c r="AD730" s="15"/>
      <c r="AE730" s="15"/>
      <c r="AF730" s="15"/>
      <c r="AG730" s="15"/>
      <c r="AH730" s="15"/>
      <c r="AI730" s="46"/>
      <c r="AJ730" s="51" t="s">
        <v>67</v>
      </c>
      <c r="AK730" s="51" t="s">
        <v>67</v>
      </c>
      <c r="AL730" s="15"/>
      <c r="AM730" s="51" t="s">
        <v>67</v>
      </c>
      <c r="AN730" s="51" t="s">
        <v>67</v>
      </c>
      <c r="AO730" s="50" t="s">
        <v>9554</v>
      </c>
    </row>
    <row r="731" spans="1:41" hidden="1" x14ac:dyDescent="0.25">
      <c r="A731" s="51" t="s">
        <v>4448</v>
      </c>
      <c r="B731" s="51" t="s">
        <v>4449</v>
      </c>
      <c r="C731" s="54" t="s">
        <v>2358</v>
      </c>
      <c r="D731" s="51" t="s">
        <v>4450</v>
      </c>
      <c r="E731" s="20">
        <v>8280.27</v>
      </c>
      <c r="F731" s="20">
        <v>873.87</v>
      </c>
      <c r="G731" s="20">
        <v>2325.9499999999998</v>
      </c>
      <c r="H731" s="20">
        <v>0</v>
      </c>
      <c r="I731" s="20">
        <v>873.87</v>
      </c>
      <c r="J731" s="51" t="s">
        <v>2654</v>
      </c>
      <c r="K731" s="15">
        <v>0</v>
      </c>
      <c r="L731" s="51" t="s">
        <v>2371</v>
      </c>
      <c r="M731" s="51" t="s">
        <v>67</v>
      </c>
      <c r="N731" s="51" t="s">
        <v>67</v>
      </c>
      <c r="O731" s="51" t="s">
        <v>4451</v>
      </c>
      <c r="P731" s="51" t="s">
        <v>1340</v>
      </c>
      <c r="Q731" s="45">
        <v>46281.556644849537</v>
      </c>
      <c r="R731" s="46">
        <v>46309</v>
      </c>
      <c r="S731" s="46">
        <v>46304</v>
      </c>
      <c r="T731" s="51" t="s">
        <v>6119</v>
      </c>
      <c r="U731" s="15"/>
      <c r="V731" s="15"/>
      <c r="W731" s="15"/>
      <c r="X731" s="15"/>
      <c r="Y731" s="15"/>
      <c r="Z731" s="15"/>
      <c r="AA731" s="46"/>
      <c r="AB731" s="15"/>
      <c r="AC731" s="15"/>
      <c r="AD731" s="15"/>
      <c r="AE731" s="15"/>
      <c r="AF731" s="15"/>
      <c r="AG731" s="15"/>
      <c r="AH731" s="15"/>
      <c r="AI731" s="46"/>
      <c r="AJ731" s="51" t="s">
        <v>67</v>
      </c>
      <c r="AK731" s="51" t="s">
        <v>67</v>
      </c>
      <c r="AL731" s="15"/>
      <c r="AM731" s="51" t="s">
        <v>67</v>
      </c>
      <c r="AN731" s="51" t="s">
        <v>67</v>
      </c>
      <c r="AO731" s="50" t="s">
        <v>9554</v>
      </c>
    </row>
    <row r="732" spans="1:41" hidden="1" x14ac:dyDescent="0.25">
      <c r="A732" s="51" t="s">
        <v>4452</v>
      </c>
      <c r="B732" s="51" t="s">
        <v>4453</v>
      </c>
      <c r="C732" s="54" t="s">
        <v>5606</v>
      </c>
      <c r="D732" s="51" t="s">
        <v>4454</v>
      </c>
      <c r="E732" s="20">
        <v>6160.17</v>
      </c>
      <c r="F732" s="20">
        <v>647.96</v>
      </c>
      <c r="G732" s="20">
        <v>17866.48</v>
      </c>
      <c r="H732" s="20">
        <v>0</v>
      </c>
      <c r="I732" s="20">
        <v>647.96</v>
      </c>
      <c r="J732" s="51" t="s">
        <v>2654</v>
      </c>
      <c r="K732" s="15">
        <v>0</v>
      </c>
      <c r="L732" s="51" t="s">
        <v>2371</v>
      </c>
      <c r="M732" s="51" t="s">
        <v>67</v>
      </c>
      <c r="N732" s="51" t="s">
        <v>67</v>
      </c>
      <c r="O732" s="51" t="s">
        <v>4455</v>
      </c>
      <c r="P732" s="51" t="s">
        <v>1340</v>
      </c>
      <c r="Q732" s="45">
        <v>46281.556646770834</v>
      </c>
      <c r="R732" s="46">
        <v>46297</v>
      </c>
      <c r="S732" s="46">
        <v>46292</v>
      </c>
      <c r="T732" s="51" t="s">
        <v>6119</v>
      </c>
      <c r="U732" s="15"/>
      <c r="V732" s="15"/>
      <c r="W732" s="15"/>
      <c r="X732" s="15"/>
      <c r="Y732" s="15"/>
      <c r="Z732" s="15"/>
      <c r="AA732" s="46"/>
      <c r="AB732" s="15"/>
      <c r="AC732" s="15"/>
      <c r="AD732" s="15"/>
      <c r="AE732" s="15"/>
      <c r="AF732" s="15"/>
      <c r="AG732" s="15"/>
      <c r="AH732" s="15"/>
      <c r="AI732" s="46"/>
      <c r="AJ732" s="51" t="s">
        <v>67</v>
      </c>
      <c r="AK732" s="51" t="s">
        <v>67</v>
      </c>
      <c r="AL732" s="15"/>
      <c r="AM732" s="51" t="s">
        <v>67</v>
      </c>
      <c r="AN732" s="51" t="s">
        <v>67</v>
      </c>
      <c r="AO732" s="50" t="s">
        <v>9554</v>
      </c>
    </row>
    <row r="733" spans="1:41" hidden="1" x14ac:dyDescent="0.25">
      <c r="A733" s="51" t="s">
        <v>4456</v>
      </c>
      <c r="B733" s="51" t="s">
        <v>4457</v>
      </c>
      <c r="C733" s="54" t="s">
        <v>607</v>
      </c>
      <c r="D733" s="51" t="s">
        <v>4458</v>
      </c>
      <c r="E733" s="20">
        <v>11387.74</v>
      </c>
      <c r="F733" s="20">
        <v>419.6</v>
      </c>
      <c r="G733" s="20">
        <v>11286.64</v>
      </c>
      <c r="H733" s="20">
        <v>0</v>
      </c>
      <c r="I733" s="20">
        <v>755.28</v>
      </c>
      <c r="J733" s="51" t="s">
        <v>2654</v>
      </c>
      <c r="K733" s="15">
        <v>0</v>
      </c>
      <c r="L733" s="51" t="s">
        <v>2371</v>
      </c>
      <c r="M733" s="51" t="s">
        <v>4459</v>
      </c>
      <c r="N733" s="51" t="s">
        <v>1340</v>
      </c>
      <c r="O733" s="51" t="s">
        <v>67</v>
      </c>
      <c r="P733" s="51" t="s">
        <v>67</v>
      </c>
      <c r="Q733" s="45">
        <v>46281.556648541664</v>
      </c>
      <c r="R733" s="46">
        <v>46310</v>
      </c>
      <c r="S733" s="46">
        <v>46305</v>
      </c>
      <c r="T733" s="51" t="s">
        <v>6119</v>
      </c>
      <c r="U733" s="15"/>
      <c r="V733" s="15"/>
      <c r="W733" s="15"/>
      <c r="X733" s="15"/>
      <c r="Y733" s="15"/>
      <c r="Z733" s="15"/>
      <c r="AA733" s="46"/>
      <c r="AB733" s="15"/>
      <c r="AC733" s="15"/>
      <c r="AD733" s="15"/>
      <c r="AE733" s="15"/>
      <c r="AF733" s="15"/>
      <c r="AG733" s="15"/>
      <c r="AH733" s="15"/>
      <c r="AI733" s="46"/>
      <c r="AJ733" s="51" t="s">
        <v>67</v>
      </c>
      <c r="AK733" s="51" t="s">
        <v>67</v>
      </c>
      <c r="AL733" s="15"/>
      <c r="AM733" s="51" t="s">
        <v>67</v>
      </c>
      <c r="AN733" s="51" t="s">
        <v>67</v>
      </c>
      <c r="AO733" s="50" t="s">
        <v>9554</v>
      </c>
    </row>
    <row r="734" spans="1:41" hidden="1" x14ac:dyDescent="0.25">
      <c r="A734" s="51" t="s">
        <v>4460</v>
      </c>
      <c r="B734" s="51" t="s">
        <v>4461</v>
      </c>
      <c r="C734" s="54" t="s">
        <v>5606</v>
      </c>
      <c r="D734" s="51" t="s">
        <v>4462</v>
      </c>
      <c r="E734" s="20">
        <v>4492.8100000000004</v>
      </c>
      <c r="F734" s="20">
        <v>436.97</v>
      </c>
      <c r="G734" s="20">
        <v>4322.82</v>
      </c>
      <c r="H734" s="20">
        <v>0</v>
      </c>
      <c r="I734" s="20">
        <v>436.97</v>
      </c>
      <c r="J734" s="51" t="s">
        <v>2654</v>
      </c>
      <c r="K734" s="15">
        <v>0</v>
      </c>
      <c r="L734" s="51" t="s">
        <v>2371</v>
      </c>
      <c r="M734" s="51" t="s">
        <v>4463</v>
      </c>
      <c r="N734" s="51" t="s">
        <v>1340</v>
      </c>
      <c r="O734" s="51" t="s">
        <v>4464</v>
      </c>
      <c r="P734" s="51" t="s">
        <v>1340</v>
      </c>
      <c r="Q734" s="45">
        <v>46281.556650462961</v>
      </c>
      <c r="R734" s="46">
        <v>46297</v>
      </c>
      <c r="S734" s="46">
        <v>46292</v>
      </c>
      <c r="T734" s="51" t="s">
        <v>6119</v>
      </c>
      <c r="U734" s="15"/>
      <c r="V734" s="15"/>
      <c r="W734" s="15"/>
      <c r="X734" s="15"/>
      <c r="Y734" s="15"/>
      <c r="Z734" s="15"/>
      <c r="AA734" s="46"/>
      <c r="AB734" s="15"/>
      <c r="AC734" s="15"/>
      <c r="AD734" s="15"/>
      <c r="AE734" s="15"/>
      <c r="AF734" s="15"/>
      <c r="AG734" s="15"/>
      <c r="AH734" s="15"/>
      <c r="AI734" s="46"/>
      <c r="AJ734" s="51" t="s">
        <v>67</v>
      </c>
      <c r="AK734" s="51" t="s">
        <v>67</v>
      </c>
      <c r="AL734" s="15"/>
      <c r="AM734" s="51" t="s">
        <v>67</v>
      </c>
      <c r="AN734" s="51" t="s">
        <v>67</v>
      </c>
      <c r="AO734" s="50" t="s">
        <v>9554</v>
      </c>
    </row>
    <row r="735" spans="1:41" hidden="1" x14ac:dyDescent="0.25">
      <c r="A735" s="51" t="s">
        <v>4465</v>
      </c>
      <c r="B735" s="51" t="s">
        <v>4466</v>
      </c>
      <c r="C735" s="54" t="s">
        <v>2692</v>
      </c>
      <c r="D735" s="51" t="s">
        <v>4467</v>
      </c>
      <c r="E735" s="20">
        <v>7977.79</v>
      </c>
      <c r="F735" s="20">
        <v>924.48</v>
      </c>
      <c r="G735" s="20">
        <v>1784.81</v>
      </c>
      <c r="H735" s="20">
        <v>0</v>
      </c>
      <c r="I735" s="20">
        <v>924.48</v>
      </c>
      <c r="J735" s="51" t="s">
        <v>2654</v>
      </c>
      <c r="K735" s="15">
        <v>0</v>
      </c>
      <c r="L735" s="51" t="s">
        <v>2371</v>
      </c>
      <c r="M735" s="51" t="s">
        <v>67</v>
      </c>
      <c r="N735" s="51" t="s">
        <v>67</v>
      </c>
      <c r="O735" s="51" t="s">
        <v>4468</v>
      </c>
      <c r="P735" s="51" t="s">
        <v>1340</v>
      </c>
      <c r="Q735" s="45">
        <v>46281.556652222222</v>
      </c>
      <c r="R735" s="46">
        <v>46296</v>
      </c>
      <c r="S735" s="46">
        <v>46291</v>
      </c>
      <c r="T735" s="51" t="s">
        <v>6119</v>
      </c>
      <c r="U735" s="15"/>
      <c r="V735" s="15"/>
      <c r="W735" s="15"/>
      <c r="X735" s="15"/>
      <c r="Y735" s="15"/>
      <c r="Z735" s="15"/>
      <c r="AA735" s="46"/>
      <c r="AB735" s="15"/>
      <c r="AC735" s="15"/>
      <c r="AD735" s="15"/>
      <c r="AE735" s="15"/>
      <c r="AF735" s="15"/>
      <c r="AG735" s="15"/>
      <c r="AH735" s="15"/>
      <c r="AI735" s="46"/>
      <c r="AJ735" s="51" t="s">
        <v>67</v>
      </c>
      <c r="AK735" s="51" t="s">
        <v>67</v>
      </c>
      <c r="AL735" s="15"/>
      <c r="AM735" s="51" t="s">
        <v>67</v>
      </c>
      <c r="AN735" s="51" t="s">
        <v>67</v>
      </c>
      <c r="AO735" s="50" t="s">
        <v>9554</v>
      </c>
    </row>
    <row r="736" spans="1:41" hidden="1" x14ac:dyDescent="0.25">
      <c r="A736" s="51" t="s">
        <v>4469</v>
      </c>
      <c r="B736" s="51" t="s">
        <v>4470</v>
      </c>
      <c r="C736" s="54" t="s">
        <v>5596</v>
      </c>
      <c r="D736" s="51" t="s">
        <v>4471</v>
      </c>
      <c r="E736" s="20">
        <v>2111.02</v>
      </c>
      <c r="F736" s="20">
        <v>988.78</v>
      </c>
      <c r="G736" s="20">
        <v>5790.8</v>
      </c>
      <c r="H736" s="20">
        <v>0</v>
      </c>
      <c r="I736" s="20">
        <v>988.78</v>
      </c>
      <c r="J736" s="51" t="s">
        <v>2654</v>
      </c>
      <c r="K736" s="15">
        <v>0</v>
      </c>
      <c r="L736" s="51" t="s">
        <v>2371</v>
      </c>
      <c r="M736" s="51" t="s">
        <v>4472</v>
      </c>
      <c r="N736" s="51" t="s">
        <v>1340</v>
      </c>
      <c r="O736" s="51" t="s">
        <v>67</v>
      </c>
      <c r="P736" s="51" t="s">
        <v>67</v>
      </c>
      <c r="Q736" s="45">
        <v>46281.556653900465</v>
      </c>
      <c r="R736" s="46">
        <v>46300</v>
      </c>
      <c r="S736" s="46">
        <v>46295</v>
      </c>
      <c r="T736" s="51" t="s">
        <v>6119</v>
      </c>
      <c r="U736" s="15"/>
      <c r="V736" s="15"/>
      <c r="W736" s="15"/>
      <c r="X736" s="15"/>
      <c r="Y736" s="15"/>
      <c r="Z736" s="15"/>
      <c r="AA736" s="46"/>
      <c r="AB736" s="15"/>
      <c r="AC736" s="15"/>
      <c r="AD736" s="15"/>
      <c r="AE736" s="15"/>
      <c r="AF736" s="15"/>
      <c r="AG736" s="15"/>
      <c r="AH736" s="15"/>
      <c r="AI736" s="46"/>
      <c r="AJ736" s="51" t="s">
        <v>67</v>
      </c>
      <c r="AK736" s="51" t="s">
        <v>67</v>
      </c>
      <c r="AL736" s="15"/>
      <c r="AM736" s="51" t="s">
        <v>67</v>
      </c>
      <c r="AN736" s="51" t="s">
        <v>67</v>
      </c>
      <c r="AO736" s="50" t="s">
        <v>9554</v>
      </c>
    </row>
    <row r="737" spans="1:41" hidden="1" x14ac:dyDescent="0.25">
      <c r="A737" s="51" t="s">
        <v>4473</v>
      </c>
      <c r="B737" s="51" t="s">
        <v>4474</v>
      </c>
      <c r="C737" s="54" t="s">
        <v>607</v>
      </c>
      <c r="D737" s="51" t="s">
        <v>4475</v>
      </c>
      <c r="E737" s="20">
        <v>10952.16</v>
      </c>
      <c r="F737" s="20">
        <v>4510.8599999999997</v>
      </c>
      <c r="G737" s="20">
        <v>9935.06</v>
      </c>
      <c r="H737" s="20">
        <v>3870.86</v>
      </c>
      <c r="I737" s="20">
        <v>4510.8500000000004</v>
      </c>
      <c r="J737" s="51" t="s">
        <v>6727</v>
      </c>
      <c r="K737" s="15">
        <v>11</v>
      </c>
      <c r="L737" s="51" t="s">
        <v>2369</v>
      </c>
      <c r="M737" s="51" t="s">
        <v>4476</v>
      </c>
      <c r="N737" s="51" t="s">
        <v>1340</v>
      </c>
      <c r="O737" s="51" t="s">
        <v>4477</v>
      </c>
      <c r="P737" s="51" t="s">
        <v>1340</v>
      </c>
      <c r="Q737" s="45">
        <v>46281.556655891203</v>
      </c>
      <c r="R737" s="46">
        <v>46310</v>
      </c>
      <c r="S737" s="46">
        <v>46305</v>
      </c>
      <c r="T737" s="51" t="s">
        <v>6119</v>
      </c>
      <c r="U737" s="15">
        <v>848.05</v>
      </c>
      <c r="V737" s="15">
        <v>3921.84</v>
      </c>
      <c r="W737" s="15">
        <v>36.08</v>
      </c>
      <c r="X737" s="15">
        <v>14.9</v>
      </c>
      <c r="Y737" s="15">
        <v>1.662307</v>
      </c>
      <c r="Z737" s="15">
        <v>6</v>
      </c>
      <c r="AA737" s="46">
        <v>46280</v>
      </c>
      <c r="AB737" s="15"/>
      <c r="AC737" s="15"/>
      <c r="AD737" s="15"/>
      <c r="AE737" s="15"/>
      <c r="AF737" s="15"/>
      <c r="AG737" s="15"/>
      <c r="AH737" s="15"/>
      <c r="AI737" s="46"/>
      <c r="AJ737" s="51" t="s">
        <v>6121</v>
      </c>
      <c r="AK737" s="51" t="s">
        <v>6121</v>
      </c>
      <c r="AL737" s="15">
        <v>848.05</v>
      </c>
      <c r="AM737" s="51" t="s">
        <v>67</v>
      </c>
      <c r="AN737" s="51" t="s">
        <v>67</v>
      </c>
      <c r="AO737" s="50" t="s">
        <v>9554</v>
      </c>
    </row>
    <row r="738" spans="1:41" hidden="1" x14ac:dyDescent="0.25">
      <c r="A738" s="51" t="s">
        <v>4478</v>
      </c>
      <c r="B738" s="51" t="s">
        <v>4479</v>
      </c>
      <c r="C738" s="54" t="s">
        <v>5606</v>
      </c>
      <c r="D738" s="51" t="s">
        <v>4480</v>
      </c>
      <c r="E738" s="20">
        <v>12216.7</v>
      </c>
      <c r="F738" s="20">
        <v>5055.8100000000004</v>
      </c>
      <c r="G738" s="20">
        <v>14119.7</v>
      </c>
      <c r="H738" s="20">
        <v>3870.86</v>
      </c>
      <c r="I738" s="20">
        <v>5055.8100000000004</v>
      </c>
      <c r="J738" s="51" t="s">
        <v>6727</v>
      </c>
      <c r="K738" s="15">
        <v>24</v>
      </c>
      <c r="L738" s="51" t="s">
        <v>2369</v>
      </c>
      <c r="M738" s="51" t="s">
        <v>4481</v>
      </c>
      <c r="N738" s="51" t="s">
        <v>1340</v>
      </c>
      <c r="O738" s="51" t="s">
        <v>67</v>
      </c>
      <c r="P738" s="51" t="s">
        <v>67</v>
      </c>
      <c r="Q738" s="45">
        <v>46281.556658020832</v>
      </c>
      <c r="R738" s="46">
        <v>46297</v>
      </c>
      <c r="S738" s="46">
        <v>46292</v>
      </c>
      <c r="T738" s="51" t="s">
        <v>6119</v>
      </c>
      <c r="U738" s="15">
        <v>848.05</v>
      </c>
      <c r="V738" s="15">
        <v>3921.84</v>
      </c>
      <c r="W738" s="15">
        <v>36.08</v>
      </c>
      <c r="X738" s="15">
        <v>14.9</v>
      </c>
      <c r="Y738" s="15">
        <v>1.662307</v>
      </c>
      <c r="Z738" s="15">
        <v>6</v>
      </c>
      <c r="AA738" s="46">
        <v>46267</v>
      </c>
      <c r="AB738" s="15"/>
      <c r="AC738" s="15"/>
      <c r="AD738" s="15"/>
      <c r="AE738" s="15"/>
      <c r="AF738" s="15"/>
      <c r="AG738" s="15"/>
      <c r="AH738" s="15"/>
      <c r="AI738" s="46"/>
      <c r="AJ738" s="51" t="s">
        <v>6121</v>
      </c>
      <c r="AK738" s="51" t="s">
        <v>6121</v>
      </c>
      <c r="AL738" s="15">
        <v>848.05</v>
      </c>
      <c r="AM738" s="51" t="s">
        <v>67</v>
      </c>
      <c r="AN738" s="51" t="s">
        <v>67</v>
      </c>
      <c r="AO738" s="50" t="s">
        <v>9554</v>
      </c>
    </row>
    <row r="739" spans="1:41" hidden="1" x14ac:dyDescent="0.25">
      <c r="A739" s="51" t="s">
        <v>4482</v>
      </c>
      <c r="B739" s="51" t="s">
        <v>4483</v>
      </c>
      <c r="C739" s="54" t="s">
        <v>5596</v>
      </c>
      <c r="D739" s="51" t="s">
        <v>4484</v>
      </c>
      <c r="E739" s="20">
        <v>3381.83</v>
      </c>
      <c r="F739" s="20">
        <v>4839.92</v>
      </c>
      <c r="G739" s="20">
        <v>6127.96</v>
      </c>
      <c r="H739" s="20">
        <v>3870.86</v>
      </c>
      <c r="I739" s="20">
        <v>4839.92</v>
      </c>
      <c r="J739" s="51" t="s">
        <v>6727</v>
      </c>
      <c r="K739" s="15">
        <v>21</v>
      </c>
      <c r="L739" s="51" t="s">
        <v>2369</v>
      </c>
      <c r="M739" s="51" t="s">
        <v>67</v>
      </c>
      <c r="N739" s="51" t="s">
        <v>67</v>
      </c>
      <c r="O739" s="51" t="s">
        <v>4485</v>
      </c>
      <c r="P739" s="51" t="s">
        <v>1340</v>
      </c>
      <c r="Q739" s="45">
        <v>46281.556659930553</v>
      </c>
      <c r="R739" s="46">
        <v>46300</v>
      </c>
      <c r="S739" s="46">
        <v>46295</v>
      </c>
      <c r="T739" s="51" t="s">
        <v>6119</v>
      </c>
      <c r="U739" s="15">
        <v>848.05</v>
      </c>
      <c r="V739" s="15">
        <v>3921.84</v>
      </c>
      <c r="W739" s="15">
        <v>36.08</v>
      </c>
      <c r="X739" s="15">
        <v>14.9</v>
      </c>
      <c r="Y739" s="15">
        <v>1.662307</v>
      </c>
      <c r="Z739" s="15">
        <v>6</v>
      </c>
      <c r="AA739" s="46">
        <v>46270</v>
      </c>
      <c r="AB739" s="15"/>
      <c r="AC739" s="15"/>
      <c r="AD739" s="15"/>
      <c r="AE739" s="15"/>
      <c r="AF739" s="15"/>
      <c r="AG739" s="15"/>
      <c r="AH739" s="15"/>
      <c r="AI739" s="46"/>
      <c r="AJ739" s="51" t="s">
        <v>6121</v>
      </c>
      <c r="AK739" s="51" t="s">
        <v>6121</v>
      </c>
      <c r="AL739" s="15">
        <v>848.05</v>
      </c>
      <c r="AM739" s="51" t="s">
        <v>67</v>
      </c>
      <c r="AN739" s="51" t="s">
        <v>67</v>
      </c>
      <c r="AO739" s="50" t="s">
        <v>9554</v>
      </c>
    </row>
    <row r="740" spans="1:41" hidden="1" x14ac:dyDescent="0.25">
      <c r="A740" s="51" t="s">
        <v>4486</v>
      </c>
      <c r="B740" s="51" t="s">
        <v>4487</v>
      </c>
      <c r="C740" s="54" t="s">
        <v>5602</v>
      </c>
      <c r="D740" s="51" t="s">
        <v>4488</v>
      </c>
      <c r="E740" s="20">
        <v>10600.39</v>
      </c>
      <c r="F740" s="20">
        <v>4743.5</v>
      </c>
      <c r="G740" s="20">
        <v>16258.06</v>
      </c>
      <c r="H740" s="20">
        <v>3870.86</v>
      </c>
      <c r="I740" s="20">
        <v>4743.49</v>
      </c>
      <c r="J740" s="51" t="s">
        <v>6727</v>
      </c>
      <c r="K740" s="15">
        <v>18</v>
      </c>
      <c r="L740" s="51" t="s">
        <v>2369</v>
      </c>
      <c r="M740" s="51" t="s">
        <v>4489</v>
      </c>
      <c r="N740" s="51" t="s">
        <v>1344</v>
      </c>
      <c r="O740" s="51" t="s">
        <v>4490</v>
      </c>
      <c r="P740" s="51" t="s">
        <v>1344</v>
      </c>
      <c r="Q740" s="45">
        <v>46281.556662048613</v>
      </c>
      <c r="R740" s="46">
        <v>46303</v>
      </c>
      <c r="S740" s="46">
        <v>46298</v>
      </c>
      <c r="T740" s="51" t="s">
        <v>6119</v>
      </c>
      <c r="U740" s="15">
        <v>848.05</v>
      </c>
      <c r="V740" s="15">
        <v>3921.84</v>
      </c>
      <c r="W740" s="15">
        <v>36.08</v>
      </c>
      <c r="X740" s="15">
        <v>14.9</v>
      </c>
      <c r="Y740" s="15">
        <v>1.662307</v>
      </c>
      <c r="Z740" s="15">
        <v>6</v>
      </c>
      <c r="AA740" s="46">
        <v>46273</v>
      </c>
      <c r="AB740" s="15"/>
      <c r="AC740" s="15"/>
      <c r="AD740" s="15"/>
      <c r="AE740" s="15"/>
      <c r="AF740" s="15"/>
      <c r="AG740" s="15"/>
      <c r="AH740" s="15"/>
      <c r="AI740" s="46"/>
      <c r="AJ740" s="51" t="s">
        <v>6121</v>
      </c>
      <c r="AK740" s="51" t="s">
        <v>6121</v>
      </c>
      <c r="AL740" s="15">
        <v>848.05</v>
      </c>
      <c r="AM740" s="51" t="s">
        <v>67</v>
      </c>
      <c r="AN740" s="51" t="s">
        <v>67</v>
      </c>
      <c r="AO740" s="50" t="s">
        <v>9554</v>
      </c>
    </row>
    <row r="741" spans="1:41" hidden="1" x14ac:dyDescent="0.25">
      <c r="A741" s="51" t="s">
        <v>4491</v>
      </c>
      <c r="B741" s="51" t="s">
        <v>4492</v>
      </c>
      <c r="C741" s="54" t="s">
        <v>2345</v>
      </c>
      <c r="D741" s="51" t="s">
        <v>4493</v>
      </c>
      <c r="E741" s="20">
        <v>15372.78</v>
      </c>
      <c r="F741" s="20">
        <v>834.31</v>
      </c>
      <c r="G741" s="20">
        <v>14507.67</v>
      </c>
      <c r="H741" s="20">
        <v>0</v>
      </c>
      <c r="I741" s="20">
        <v>834.31</v>
      </c>
      <c r="J741" s="51" t="s">
        <v>2654</v>
      </c>
      <c r="K741" s="15">
        <v>0</v>
      </c>
      <c r="L741" s="51" t="s">
        <v>2371</v>
      </c>
      <c r="M741" s="51" t="s">
        <v>67</v>
      </c>
      <c r="N741" s="51" t="s">
        <v>67</v>
      </c>
      <c r="O741" s="51" t="s">
        <v>4494</v>
      </c>
      <c r="P741" s="51" t="s">
        <v>1340</v>
      </c>
      <c r="Q741" s="45">
        <v>46281.556664178242</v>
      </c>
      <c r="R741" s="46">
        <v>46306</v>
      </c>
      <c r="S741" s="46">
        <v>46301</v>
      </c>
      <c r="T741" s="51" t="s">
        <v>6119</v>
      </c>
      <c r="U741" s="15"/>
      <c r="V741" s="15"/>
      <c r="W741" s="15"/>
      <c r="X741" s="15"/>
      <c r="Y741" s="15"/>
      <c r="Z741" s="15"/>
      <c r="AA741" s="46"/>
      <c r="AB741" s="15"/>
      <c r="AC741" s="15"/>
      <c r="AD741" s="15"/>
      <c r="AE741" s="15"/>
      <c r="AF741" s="15"/>
      <c r="AG741" s="15"/>
      <c r="AH741" s="15"/>
      <c r="AI741" s="46"/>
      <c r="AJ741" s="51" t="s">
        <v>67</v>
      </c>
      <c r="AK741" s="51" t="s">
        <v>67</v>
      </c>
      <c r="AL741" s="15"/>
      <c r="AM741" s="51" t="s">
        <v>67</v>
      </c>
      <c r="AN741" s="51" t="s">
        <v>67</v>
      </c>
      <c r="AO741" s="50" t="s">
        <v>9554</v>
      </c>
    </row>
    <row r="742" spans="1:41" hidden="1" x14ac:dyDescent="0.25">
      <c r="A742" s="51" t="s">
        <v>4495</v>
      </c>
      <c r="B742" s="51" t="s">
        <v>4496</v>
      </c>
      <c r="C742" s="54" t="s">
        <v>5598</v>
      </c>
      <c r="D742" s="51" t="s">
        <v>4497</v>
      </c>
      <c r="E742" s="20">
        <v>6374.77</v>
      </c>
      <c r="F742" s="20">
        <v>7148.35</v>
      </c>
      <c r="G742" s="20">
        <v>-257.14999999999998</v>
      </c>
      <c r="H742" s="20">
        <v>6326.44</v>
      </c>
      <c r="I742" s="20">
        <v>7148.35</v>
      </c>
      <c r="J742" s="51" t="s">
        <v>6727</v>
      </c>
      <c r="K742" s="15">
        <v>34</v>
      </c>
      <c r="L742" s="51" t="s">
        <v>2369</v>
      </c>
      <c r="M742" s="51" t="s">
        <v>4498</v>
      </c>
      <c r="N742" s="51" t="s">
        <v>1340</v>
      </c>
      <c r="O742" s="51" t="s">
        <v>67</v>
      </c>
      <c r="P742" s="51" t="s">
        <v>67</v>
      </c>
      <c r="Q742" s="45">
        <v>46281.55666584491</v>
      </c>
      <c r="R742" s="46">
        <v>46318</v>
      </c>
      <c r="S742" s="46">
        <v>46313</v>
      </c>
      <c r="T742" s="51" t="s">
        <v>6119</v>
      </c>
      <c r="U742" s="15">
        <v>849.8</v>
      </c>
      <c r="V742" s="15">
        <v>3922.15</v>
      </c>
      <c r="W742" s="15">
        <v>36.39</v>
      </c>
      <c r="X742" s="15">
        <v>14.9</v>
      </c>
      <c r="Y742" s="15">
        <v>1.6620440000000001</v>
      </c>
      <c r="Z742" s="15">
        <v>6</v>
      </c>
      <c r="AA742" s="46">
        <v>46257</v>
      </c>
      <c r="AB742" s="15"/>
      <c r="AC742" s="15"/>
      <c r="AD742" s="15"/>
      <c r="AE742" s="15"/>
      <c r="AF742" s="15"/>
      <c r="AG742" s="15"/>
      <c r="AH742" s="15"/>
      <c r="AI742" s="46"/>
      <c r="AJ742" s="51" t="s">
        <v>6121</v>
      </c>
      <c r="AK742" s="51" t="s">
        <v>6121</v>
      </c>
      <c r="AL742" s="15">
        <v>849.8</v>
      </c>
      <c r="AM742" s="51" t="s">
        <v>6705</v>
      </c>
      <c r="AN742" s="51" t="s">
        <v>6713</v>
      </c>
      <c r="AO742" s="50" t="s">
        <v>9554</v>
      </c>
    </row>
    <row r="743" spans="1:41" hidden="1" x14ac:dyDescent="0.25">
      <c r="A743" s="51" t="s">
        <v>4499</v>
      </c>
      <c r="B743" s="51" t="s">
        <v>4500</v>
      </c>
      <c r="C743" s="54" t="s">
        <v>2357</v>
      </c>
      <c r="D743" s="51" t="s">
        <v>4501</v>
      </c>
      <c r="E743" s="20">
        <v>5277.39</v>
      </c>
      <c r="F743" s="20">
        <v>707.21</v>
      </c>
      <c r="G743" s="20">
        <v>5966.76</v>
      </c>
      <c r="H743" s="20">
        <v>0</v>
      </c>
      <c r="I743" s="20">
        <v>707.21</v>
      </c>
      <c r="J743" s="51" t="s">
        <v>2654</v>
      </c>
      <c r="K743" s="15">
        <v>0</v>
      </c>
      <c r="L743" s="51" t="s">
        <v>2371</v>
      </c>
      <c r="M743" s="51" t="s">
        <v>67</v>
      </c>
      <c r="N743" s="51" t="s">
        <v>67</v>
      </c>
      <c r="O743" s="51" t="s">
        <v>4502</v>
      </c>
      <c r="P743" s="51" t="s">
        <v>1344</v>
      </c>
      <c r="Q743" s="45">
        <v>46281.556668101854</v>
      </c>
      <c r="R743" s="46">
        <v>46308</v>
      </c>
      <c r="S743" s="46">
        <v>46303</v>
      </c>
      <c r="T743" s="51" t="s">
        <v>6119</v>
      </c>
      <c r="U743" s="15"/>
      <c r="V743" s="15"/>
      <c r="W743" s="15"/>
      <c r="X743" s="15"/>
      <c r="Y743" s="15"/>
      <c r="Z743" s="15"/>
      <c r="AA743" s="46"/>
      <c r="AB743" s="15"/>
      <c r="AC743" s="15"/>
      <c r="AD743" s="15"/>
      <c r="AE743" s="15"/>
      <c r="AF743" s="15"/>
      <c r="AG743" s="15"/>
      <c r="AH743" s="15"/>
      <c r="AI743" s="46"/>
      <c r="AJ743" s="51" t="s">
        <v>67</v>
      </c>
      <c r="AK743" s="51" t="s">
        <v>67</v>
      </c>
      <c r="AL743" s="15"/>
      <c r="AM743" s="51" t="s">
        <v>67</v>
      </c>
      <c r="AN743" s="51" t="s">
        <v>67</v>
      </c>
      <c r="AO743" s="50" t="s">
        <v>9554</v>
      </c>
    </row>
    <row r="744" spans="1:41" hidden="1" x14ac:dyDescent="0.25">
      <c r="A744" s="51" t="s">
        <v>4503</v>
      </c>
      <c r="B744" s="51" t="s">
        <v>4504</v>
      </c>
      <c r="C744" s="54" t="s">
        <v>2692</v>
      </c>
      <c r="D744" s="51" t="s">
        <v>4505</v>
      </c>
      <c r="E744" s="20">
        <v>5133.05</v>
      </c>
      <c r="F744" s="20">
        <v>620.82000000000005</v>
      </c>
      <c r="G744" s="20">
        <v>4356.42</v>
      </c>
      <c r="H744" s="20">
        <v>3870.86</v>
      </c>
      <c r="I744" s="20">
        <v>620.82000000000005</v>
      </c>
      <c r="J744" s="51" t="s">
        <v>6724</v>
      </c>
      <c r="K744" s="15">
        <v>0</v>
      </c>
      <c r="L744" s="51" t="s">
        <v>2371</v>
      </c>
      <c r="M744" s="51" t="s">
        <v>67</v>
      </c>
      <c r="N744" s="51" t="s">
        <v>67</v>
      </c>
      <c r="O744" s="51" t="s">
        <v>4506</v>
      </c>
      <c r="P744" s="51" t="s">
        <v>1340</v>
      </c>
      <c r="Q744" s="45">
        <v>46281.556669861115</v>
      </c>
      <c r="R744" s="46">
        <v>46296</v>
      </c>
      <c r="S744" s="46">
        <v>46291</v>
      </c>
      <c r="T744" s="51" t="s">
        <v>6119</v>
      </c>
      <c r="U744" s="15">
        <v>848.05</v>
      </c>
      <c r="V744" s="15">
        <v>3921.84</v>
      </c>
      <c r="W744" s="15">
        <v>36.08</v>
      </c>
      <c r="X744" s="15">
        <v>14.9</v>
      </c>
      <c r="Y744" s="15">
        <v>1.662307</v>
      </c>
      <c r="Z744" s="15">
        <v>6</v>
      </c>
      <c r="AA744" s="46">
        <v>46266</v>
      </c>
      <c r="AB744" s="15"/>
      <c r="AC744" s="15"/>
      <c r="AD744" s="15"/>
      <c r="AE744" s="15"/>
      <c r="AF744" s="15"/>
      <c r="AG744" s="15"/>
      <c r="AH744" s="15"/>
      <c r="AI744" s="46"/>
      <c r="AJ744" s="51" t="s">
        <v>67</v>
      </c>
      <c r="AK744" s="51" t="s">
        <v>6121</v>
      </c>
      <c r="AL744" s="15">
        <v>848.05</v>
      </c>
      <c r="AM744" s="51" t="s">
        <v>67</v>
      </c>
      <c r="AN744" s="51" t="s">
        <v>67</v>
      </c>
      <c r="AO744" s="50" t="s">
        <v>9554</v>
      </c>
    </row>
    <row r="745" spans="1:41" hidden="1" x14ac:dyDescent="0.25">
      <c r="A745" s="51" t="s">
        <v>4507</v>
      </c>
      <c r="B745" s="51" t="s">
        <v>4508</v>
      </c>
      <c r="C745" s="54" t="s">
        <v>2689</v>
      </c>
      <c r="D745" s="51" t="s">
        <v>4509</v>
      </c>
      <c r="E745" s="20">
        <v>5339.3</v>
      </c>
      <c r="F745" s="20">
        <v>8947.41</v>
      </c>
      <c r="G745" s="20">
        <v>-3233.77</v>
      </c>
      <c r="H745" s="20">
        <v>3870.86</v>
      </c>
      <c r="I745" s="20">
        <v>8947.41</v>
      </c>
      <c r="J745" s="51" t="s">
        <v>6727</v>
      </c>
      <c r="K745" s="15">
        <v>35</v>
      </c>
      <c r="L745" s="51" t="s">
        <v>2369</v>
      </c>
      <c r="M745" s="51" t="s">
        <v>4510</v>
      </c>
      <c r="N745" s="51" t="s">
        <v>1340</v>
      </c>
      <c r="O745" s="51" t="s">
        <v>67</v>
      </c>
      <c r="P745" s="51" t="s">
        <v>67</v>
      </c>
      <c r="Q745" s="45">
        <v>46281.556671886574</v>
      </c>
      <c r="R745" s="46">
        <v>46317</v>
      </c>
      <c r="S745" s="46">
        <v>46312</v>
      </c>
      <c r="T745" s="51" t="s">
        <v>6119</v>
      </c>
      <c r="U745" s="15">
        <v>849.8</v>
      </c>
      <c r="V745" s="15">
        <v>3922.15</v>
      </c>
      <c r="W745" s="15">
        <v>36.39</v>
      </c>
      <c r="X745" s="15">
        <v>14.9</v>
      </c>
      <c r="Y745" s="15">
        <v>1.6620440000000001</v>
      </c>
      <c r="Z745" s="15">
        <v>6</v>
      </c>
      <c r="AA745" s="46">
        <v>46256</v>
      </c>
      <c r="AB745" s="15"/>
      <c r="AC745" s="15"/>
      <c r="AD745" s="15"/>
      <c r="AE745" s="15"/>
      <c r="AF745" s="15"/>
      <c r="AG745" s="15"/>
      <c r="AH745" s="15"/>
      <c r="AI745" s="46"/>
      <c r="AJ745" s="51" t="s">
        <v>6121</v>
      </c>
      <c r="AK745" s="51" t="s">
        <v>6121</v>
      </c>
      <c r="AL745" s="15">
        <v>849.8</v>
      </c>
      <c r="AM745" s="51" t="s">
        <v>6705</v>
      </c>
      <c r="AN745" s="51" t="s">
        <v>6713</v>
      </c>
      <c r="AO745" s="50" t="s">
        <v>9554</v>
      </c>
    </row>
    <row r="746" spans="1:41" hidden="1" x14ac:dyDescent="0.25">
      <c r="A746" s="51" t="s">
        <v>4511</v>
      </c>
      <c r="B746" s="51" t="s">
        <v>4512</v>
      </c>
      <c r="C746" s="54" t="s">
        <v>2358</v>
      </c>
      <c r="D746" s="51" t="s">
        <v>4278</v>
      </c>
      <c r="E746" s="20">
        <v>6369.13</v>
      </c>
      <c r="F746" s="20">
        <v>498.03</v>
      </c>
      <c r="G746" s="20">
        <v>7114.11</v>
      </c>
      <c r="H746" s="20">
        <v>0</v>
      </c>
      <c r="I746" s="20">
        <v>896.45</v>
      </c>
      <c r="J746" s="51" t="s">
        <v>2654</v>
      </c>
      <c r="K746" s="15">
        <v>0</v>
      </c>
      <c r="L746" s="51" t="s">
        <v>2371</v>
      </c>
      <c r="M746" s="51" t="s">
        <v>67</v>
      </c>
      <c r="N746" s="51" t="s">
        <v>67</v>
      </c>
      <c r="O746" s="51" t="s">
        <v>4513</v>
      </c>
      <c r="P746" s="51" t="s">
        <v>1340</v>
      </c>
      <c r="Q746" s="45">
        <v>46281.556674039355</v>
      </c>
      <c r="R746" s="46">
        <v>46309</v>
      </c>
      <c r="S746" s="46">
        <v>46304</v>
      </c>
      <c r="T746" s="51" t="s">
        <v>6119</v>
      </c>
      <c r="U746" s="15"/>
      <c r="V746" s="15"/>
      <c r="W746" s="15"/>
      <c r="X746" s="15"/>
      <c r="Y746" s="15"/>
      <c r="Z746" s="15"/>
      <c r="AA746" s="46"/>
      <c r="AB746" s="15"/>
      <c r="AC746" s="15"/>
      <c r="AD746" s="15"/>
      <c r="AE746" s="15"/>
      <c r="AF746" s="15"/>
      <c r="AG746" s="15"/>
      <c r="AH746" s="15"/>
      <c r="AI746" s="46"/>
      <c r="AJ746" s="51" t="s">
        <v>67</v>
      </c>
      <c r="AK746" s="51" t="s">
        <v>67</v>
      </c>
      <c r="AL746" s="15"/>
      <c r="AM746" s="51" t="s">
        <v>67</v>
      </c>
      <c r="AN746" s="51" t="s">
        <v>67</v>
      </c>
      <c r="AO746" s="50" t="s">
        <v>9554</v>
      </c>
    </row>
    <row r="747" spans="1:41" hidden="1" x14ac:dyDescent="0.25">
      <c r="A747" s="51" t="s">
        <v>4514</v>
      </c>
      <c r="B747" s="51" t="s">
        <v>4515</v>
      </c>
      <c r="C747" s="54" t="s">
        <v>2689</v>
      </c>
      <c r="D747" s="51" t="s">
        <v>4516</v>
      </c>
      <c r="E747" s="20">
        <v>7053.43</v>
      </c>
      <c r="F747" s="20">
        <v>0</v>
      </c>
      <c r="G747" s="20">
        <v>13071.58</v>
      </c>
      <c r="H747" s="20">
        <v>0</v>
      </c>
      <c r="I747" s="20">
        <v>406.11</v>
      </c>
      <c r="J747" s="51" t="s">
        <v>2654</v>
      </c>
      <c r="K747" s="15">
        <v>0</v>
      </c>
      <c r="L747" s="51" t="s">
        <v>2371</v>
      </c>
      <c r="M747" s="51" t="s">
        <v>67</v>
      </c>
      <c r="N747" s="51" t="s">
        <v>67</v>
      </c>
      <c r="O747" s="51" t="s">
        <v>4517</v>
      </c>
      <c r="P747" s="51" t="s">
        <v>1340</v>
      </c>
      <c r="Q747" s="45">
        <v>46281.556675590276</v>
      </c>
      <c r="R747" s="46">
        <v>46317</v>
      </c>
      <c r="S747" s="46">
        <v>46312</v>
      </c>
      <c r="T747" s="51" t="s">
        <v>6119</v>
      </c>
      <c r="U747" s="15"/>
      <c r="V747" s="15"/>
      <c r="W747" s="15"/>
      <c r="X747" s="15"/>
      <c r="Y747" s="15"/>
      <c r="Z747" s="15"/>
      <c r="AA747" s="46"/>
      <c r="AB747" s="15"/>
      <c r="AC747" s="15"/>
      <c r="AD747" s="15"/>
      <c r="AE747" s="15"/>
      <c r="AF747" s="15"/>
      <c r="AG747" s="15"/>
      <c r="AH747" s="15"/>
      <c r="AI747" s="46"/>
      <c r="AJ747" s="51" t="s">
        <v>67</v>
      </c>
      <c r="AK747" s="51" t="s">
        <v>67</v>
      </c>
      <c r="AL747" s="15"/>
      <c r="AM747" s="51" t="s">
        <v>67</v>
      </c>
      <c r="AN747" s="51" t="s">
        <v>67</v>
      </c>
      <c r="AO747" s="50" t="s">
        <v>9554</v>
      </c>
    </row>
    <row r="748" spans="1:41" hidden="1" x14ac:dyDescent="0.25">
      <c r="A748" s="51" t="s">
        <v>4518</v>
      </c>
      <c r="B748" s="51" t="s">
        <v>4519</v>
      </c>
      <c r="C748" s="54" t="s">
        <v>5607</v>
      </c>
      <c r="D748" s="51" t="s">
        <v>4520</v>
      </c>
      <c r="E748" s="20">
        <v>4645.5</v>
      </c>
      <c r="F748" s="20">
        <v>926.88</v>
      </c>
      <c r="G748" s="20">
        <v>20914.650000000001</v>
      </c>
      <c r="H748" s="20">
        <v>0</v>
      </c>
      <c r="I748" s="20">
        <v>926.88</v>
      </c>
      <c r="J748" s="51" t="s">
        <v>2654</v>
      </c>
      <c r="K748" s="15">
        <v>0</v>
      </c>
      <c r="L748" s="51" t="s">
        <v>2371</v>
      </c>
      <c r="M748" s="51" t="s">
        <v>4521</v>
      </c>
      <c r="N748" s="51" t="s">
        <v>1344</v>
      </c>
      <c r="O748" s="51" t="s">
        <v>67</v>
      </c>
      <c r="P748" s="51" t="s">
        <v>67</v>
      </c>
      <c r="Q748" s="45">
        <v>46281.556677361114</v>
      </c>
      <c r="R748" s="46">
        <v>46299</v>
      </c>
      <c r="S748" s="46">
        <v>46294</v>
      </c>
      <c r="T748" s="51" t="s">
        <v>6119</v>
      </c>
      <c r="U748" s="15"/>
      <c r="V748" s="15"/>
      <c r="W748" s="15"/>
      <c r="X748" s="15"/>
      <c r="Y748" s="15"/>
      <c r="Z748" s="15"/>
      <c r="AA748" s="46"/>
      <c r="AB748" s="15"/>
      <c r="AC748" s="15"/>
      <c r="AD748" s="15"/>
      <c r="AE748" s="15"/>
      <c r="AF748" s="15"/>
      <c r="AG748" s="15"/>
      <c r="AH748" s="15"/>
      <c r="AI748" s="46"/>
      <c r="AJ748" s="51" t="s">
        <v>67</v>
      </c>
      <c r="AK748" s="51" t="s">
        <v>67</v>
      </c>
      <c r="AL748" s="15"/>
      <c r="AM748" s="51" t="s">
        <v>67</v>
      </c>
      <c r="AN748" s="51" t="s">
        <v>67</v>
      </c>
      <c r="AO748" s="50" t="s">
        <v>9554</v>
      </c>
    </row>
    <row r="749" spans="1:41" hidden="1" x14ac:dyDescent="0.25">
      <c r="A749" s="51" t="s">
        <v>4522</v>
      </c>
      <c r="B749" s="51" t="s">
        <v>4523</v>
      </c>
      <c r="C749" s="54" t="s">
        <v>2694</v>
      </c>
      <c r="D749" s="51" t="s">
        <v>4524</v>
      </c>
      <c r="E749" s="20">
        <v>1286.97</v>
      </c>
      <c r="F749" s="20">
        <v>4322.3599999999997</v>
      </c>
      <c r="G749" s="20">
        <v>5232.41</v>
      </c>
      <c r="H749" s="20">
        <v>3870.86</v>
      </c>
      <c r="I749" s="20">
        <v>4156.17</v>
      </c>
      <c r="J749" s="51" t="s">
        <v>6727</v>
      </c>
      <c r="K749" s="15">
        <v>9</v>
      </c>
      <c r="L749" s="51" t="s">
        <v>2369</v>
      </c>
      <c r="M749" s="51" t="s">
        <v>4525</v>
      </c>
      <c r="N749" s="51" t="s">
        <v>1344</v>
      </c>
      <c r="O749" s="51" t="s">
        <v>4526</v>
      </c>
      <c r="P749" s="51" t="s">
        <v>1344</v>
      </c>
      <c r="Q749" s="45">
        <v>46281.556679224537</v>
      </c>
      <c r="R749" s="46">
        <v>46312</v>
      </c>
      <c r="S749" s="46">
        <v>46307</v>
      </c>
      <c r="T749" s="51" t="s">
        <v>6119</v>
      </c>
      <c r="U749" s="15">
        <v>848.05</v>
      </c>
      <c r="V749" s="15">
        <v>3921.84</v>
      </c>
      <c r="W749" s="15">
        <v>36.08</v>
      </c>
      <c r="X749" s="15">
        <v>14.9</v>
      </c>
      <c r="Y749" s="15">
        <v>1.662307</v>
      </c>
      <c r="Z749" s="15">
        <v>6</v>
      </c>
      <c r="AA749" s="46">
        <v>46282</v>
      </c>
      <c r="AB749" s="15"/>
      <c r="AC749" s="15"/>
      <c r="AD749" s="15"/>
      <c r="AE749" s="15"/>
      <c r="AF749" s="15"/>
      <c r="AG749" s="15"/>
      <c r="AH749" s="15"/>
      <c r="AI749" s="46"/>
      <c r="AJ749" s="51" t="s">
        <v>6121</v>
      </c>
      <c r="AK749" s="51" t="s">
        <v>6121</v>
      </c>
      <c r="AL749" s="15">
        <v>848.05</v>
      </c>
      <c r="AM749" s="51" t="s">
        <v>67</v>
      </c>
      <c r="AN749" s="51" t="s">
        <v>67</v>
      </c>
      <c r="AO749" s="50" t="s">
        <v>9554</v>
      </c>
    </row>
    <row r="750" spans="1:41" hidden="1" x14ac:dyDescent="0.25">
      <c r="A750" s="51" t="s">
        <v>4527</v>
      </c>
      <c r="B750" s="51" t="s">
        <v>4528</v>
      </c>
      <c r="C750" s="54" t="s">
        <v>2693</v>
      </c>
      <c r="D750" s="51" t="s">
        <v>4529</v>
      </c>
      <c r="E750" s="20">
        <v>1880.43</v>
      </c>
      <c r="F750" s="20">
        <v>0</v>
      </c>
      <c r="G750" s="20">
        <v>12818.95</v>
      </c>
      <c r="H750" s="20">
        <v>0</v>
      </c>
      <c r="I750" s="20">
        <v>463.89</v>
      </c>
      <c r="J750" s="51" t="s">
        <v>2654</v>
      </c>
      <c r="K750" s="15">
        <v>0</v>
      </c>
      <c r="L750" s="51" t="s">
        <v>2371</v>
      </c>
      <c r="M750" s="51" t="s">
        <v>67</v>
      </c>
      <c r="N750" s="51" t="s">
        <v>67</v>
      </c>
      <c r="O750" s="51" t="s">
        <v>4530</v>
      </c>
      <c r="P750" s="51" t="s">
        <v>1340</v>
      </c>
      <c r="Q750" s="45">
        <v>46281.556681365742</v>
      </c>
      <c r="R750" s="46">
        <v>46314</v>
      </c>
      <c r="S750" s="46">
        <v>46309</v>
      </c>
      <c r="T750" s="51" t="s">
        <v>6119</v>
      </c>
      <c r="U750" s="15"/>
      <c r="V750" s="15"/>
      <c r="W750" s="15"/>
      <c r="X750" s="15"/>
      <c r="Y750" s="15"/>
      <c r="Z750" s="15"/>
      <c r="AA750" s="46"/>
      <c r="AB750" s="15"/>
      <c r="AC750" s="15"/>
      <c r="AD750" s="15"/>
      <c r="AE750" s="15"/>
      <c r="AF750" s="15"/>
      <c r="AG750" s="15"/>
      <c r="AH750" s="15"/>
      <c r="AI750" s="46"/>
      <c r="AJ750" s="51" t="s">
        <v>67</v>
      </c>
      <c r="AK750" s="51" t="s">
        <v>67</v>
      </c>
      <c r="AL750" s="15"/>
      <c r="AM750" s="51" t="s">
        <v>67</v>
      </c>
      <c r="AN750" s="51" t="s">
        <v>67</v>
      </c>
      <c r="AO750" s="50" t="s">
        <v>9554</v>
      </c>
    </row>
    <row r="751" spans="1:41" hidden="1" x14ac:dyDescent="0.25">
      <c r="A751" s="51" t="s">
        <v>4531</v>
      </c>
      <c r="B751" s="51" t="s">
        <v>4532</v>
      </c>
      <c r="C751" s="54" t="s">
        <v>2693</v>
      </c>
      <c r="D751" s="51" t="s">
        <v>4533</v>
      </c>
      <c r="E751" s="20">
        <v>11059.02</v>
      </c>
      <c r="F751" s="20">
        <v>0</v>
      </c>
      <c r="G751" s="20">
        <v>16223.35</v>
      </c>
      <c r="H751" s="20">
        <v>0</v>
      </c>
      <c r="I751" s="20">
        <v>875.13</v>
      </c>
      <c r="J751" s="51" t="s">
        <v>2654</v>
      </c>
      <c r="K751" s="15">
        <v>0</v>
      </c>
      <c r="L751" s="51" t="s">
        <v>2371</v>
      </c>
      <c r="M751" s="51" t="s">
        <v>4534</v>
      </c>
      <c r="N751" s="51" t="s">
        <v>1340</v>
      </c>
      <c r="O751" s="51" t="s">
        <v>4535</v>
      </c>
      <c r="P751" s="51" t="s">
        <v>1340</v>
      </c>
      <c r="Q751" s="45">
        <v>46281.556683043978</v>
      </c>
      <c r="R751" s="46">
        <v>46314</v>
      </c>
      <c r="S751" s="46">
        <v>46309</v>
      </c>
      <c r="T751" s="51" t="s">
        <v>6119</v>
      </c>
      <c r="U751" s="15"/>
      <c r="V751" s="15"/>
      <c r="W751" s="15"/>
      <c r="X751" s="15"/>
      <c r="Y751" s="15"/>
      <c r="Z751" s="15"/>
      <c r="AA751" s="46"/>
      <c r="AB751" s="15"/>
      <c r="AC751" s="15"/>
      <c r="AD751" s="15"/>
      <c r="AE751" s="15"/>
      <c r="AF751" s="15"/>
      <c r="AG751" s="15"/>
      <c r="AH751" s="15"/>
      <c r="AI751" s="46"/>
      <c r="AJ751" s="51" t="s">
        <v>67</v>
      </c>
      <c r="AK751" s="51" t="s">
        <v>67</v>
      </c>
      <c r="AL751" s="15"/>
      <c r="AM751" s="51" t="s">
        <v>67</v>
      </c>
      <c r="AN751" s="51" t="s">
        <v>67</v>
      </c>
      <c r="AO751" s="50" t="s">
        <v>9554</v>
      </c>
    </row>
    <row r="752" spans="1:41" hidden="1" x14ac:dyDescent="0.25">
      <c r="A752" s="51" t="s">
        <v>4536</v>
      </c>
      <c r="B752" s="51" t="s">
        <v>4537</v>
      </c>
      <c r="C752" s="54" t="s">
        <v>5603</v>
      </c>
      <c r="D752" s="51" t="s">
        <v>4538</v>
      </c>
      <c r="E752" s="20">
        <v>2558.67</v>
      </c>
      <c r="F752" s="20">
        <v>4828.87</v>
      </c>
      <c r="G752" s="20">
        <v>-1346.02</v>
      </c>
      <c r="H752" s="20">
        <v>3870.86</v>
      </c>
      <c r="I752" s="20">
        <v>4828.87</v>
      </c>
      <c r="J752" s="51" t="s">
        <v>6727</v>
      </c>
      <c r="K752" s="15">
        <v>23</v>
      </c>
      <c r="L752" s="51" t="s">
        <v>2369</v>
      </c>
      <c r="M752" s="51" t="s">
        <v>67</v>
      </c>
      <c r="N752" s="51" t="s">
        <v>67</v>
      </c>
      <c r="O752" s="51" t="s">
        <v>4539</v>
      </c>
      <c r="P752" s="51" t="s">
        <v>1340</v>
      </c>
      <c r="Q752" s="45">
        <v>46281.56033670139</v>
      </c>
      <c r="R752" s="46">
        <v>46298</v>
      </c>
      <c r="S752" s="46">
        <v>46293</v>
      </c>
      <c r="T752" s="51" t="s">
        <v>6119</v>
      </c>
      <c r="U752" s="15">
        <v>848.05</v>
      </c>
      <c r="V752" s="15">
        <v>3921.84</v>
      </c>
      <c r="W752" s="15">
        <v>36.08</v>
      </c>
      <c r="X752" s="15">
        <v>14.9</v>
      </c>
      <c r="Y752" s="15">
        <v>1.662307</v>
      </c>
      <c r="Z752" s="15">
        <v>6</v>
      </c>
      <c r="AA752" s="46">
        <v>46268</v>
      </c>
      <c r="AB752" s="15"/>
      <c r="AC752" s="15"/>
      <c r="AD752" s="15"/>
      <c r="AE752" s="15"/>
      <c r="AF752" s="15"/>
      <c r="AG752" s="15"/>
      <c r="AH752" s="15"/>
      <c r="AI752" s="46"/>
      <c r="AJ752" s="51" t="s">
        <v>6121</v>
      </c>
      <c r="AK752" s="51" t="s">
        <v>6121</v>
      </c>
      <c r="AL752" s="15">
        <v>848.05</v>
      </c>
      <c r="AM752" s="51" t="s">
        <v>6705</v>
      </c>
      <c r="AN752" s="51" t="s">
        <v>6713</v>
      </c>
      <c r="AO752" s="50" t="s">
        <v>9554</v>
      </c>
    </row>
    <row r="753" spans="1:41" hidden="1" x14ac:dyDescent="0.25">
      <c r="A753" s="51" t="s">
        <v>4540</v>
      </c>
      <c r="B753" s="51" t="s">
        <v>4541</v>
      </c>
      <c r="C753" s="54" t="s">
        <v>2541</v>
      </c>
      <c r="D753" s="51" t="s">
        <v>4542</v>
      </c>
      <c r="E753" s="20">
        <v>14466.36</v>
      </c>
      <c r="F753" s="20">
        <v>4404.63</v>
      </c>
      <c r="G753" s="20">
        <v>13659.27</v>
      </c>
      <c r="H753" s="20">
        <v>3870.86</v>
      </c>
      <c r="I753" s="20">
        <v>4177.6499999999996</v>
      </c>
      <c r="J753" s="51" t="s">
        <v>6727</v>
      </c>
      <c r="K753" s="15">
        <v>10</v>
      </c>
      <c r="L753" s="51" t="s">
        <v>2369</v>
      </c>
      <c r="M753" s="51" t="s">
        <v>67</v>
      </c>
      <c r="N753" s="51" t="s">
        <v>67</v>
      </c>
      <c r="O753" s="51" t="s">
        <v>4543</v>
      </c>
      <c r="P753" s="51" t="s">
        <v>1344</v>
      </c>
      <c r="Q753" s="45">
        <v>46281.560339583331</v>
      </c>
      <c r="R753" s="46">
        <v>46311</v>
      </c>
      <c r="S753" s="46">
        <v>46306</v>
      </c>
      <c r="T753" s="51" t="s">
        <v>6119</v>
      </c>
      <c r="U753" s="15">
        <v>848.05</v>
      </c>
      <c r="V753" s="15">
        <v>3921.84</v>
      </c>
      <c r="W753" s="15">
        <v>36.08</v>
      </c>
      <c r="X753" s="15">
        <v>14.9</v>
      </c>
      <c r="Y753" s="15">
        <v>1.662307</v>
      </c>
      <c r="Z753" s="15">
        <v>6</v>
      </c>
      <c r="AA753" s="46">
        <v>46281</v>
      </c>
      <c r="AB753" s="15"/>
      <c r="AC753" s="15"/>
      <c r="AD753" s="15"/>
      <c r="AE753" s="15"/>
      <c r="AF753" s="15"/>
      <c r="AG753" s="15"/>
      <c r="AH753" s="15"/>
      <c r="AI753" s="46"/>
      <c r="AJ753" s="51" t="s">
        <v>6121</v>
      </c>
      <c r="AK753" s="51" t="s">
        <v>6121</v>
      </c>
      <c r="AL753" s="15">
        <v>848.05</v>
      </c>
      <c r="AM753" s="51" t="s">
        <v>67</v>
      </c>
      <c r="AN753" s="51" t="s">
        <v>67</v>
      </c>
      <c r="AO753" s="50" t="s">
        <v>9554</v>
      </c>
    </row>
    <row r="754" spans="1:41" hidden="1" x14ac:dyDescent="0.25">
      <c r="A754" s="51" t="s">
        <v>4544</v>
      </c>
      <c r="B754" s="51" t="s">
        <v>4545</v>
      </c>
      <c r="C754" s="54" t="s">
        <v>2357</v>
      </c>
      <c r="D754" s="51" t="s">
        <v>4546</v>
      </c>
      <c r="E754" s="20">
        <v>2740.03</v>
      </c>
      <c r="F754" s="20">
        <v>5012.2</v>
      </c>
      <c r="G754" s="20">
        <v>2438.0700000000002</v>
      </c>
      <c r="H754" s="20">
        <v>3870.86</v>
      </c>
      <c r="I754" s="20">
        <v>4498.7700000000004</v>
      </c>
      <c r="J754" s="51" t="s">
        <v>6727</v>
      </c>
      <c r="K754" s="15">
        <v>13</v>
      </c>
      <c r="L754" s="51" t="s">
        <v>2369</v>
      </c>
      <c r="M754" s="51" t="s">
        <v>67</v>
      </c>
      <c r="N754" s="51" t="s">
        <v>67</v>
      </c>
      <c r="O754" s="51" t="s">
        <v>4547</v>
      </c>
      <c r="P754" s="51" t="s">
        <v>1340</v>
      </c>
      <c r="Q754" s="45">
        <v>46281.56034196759</v>
      </c>
      <c r="R754" s="46">
        <v>46308</v>
      </c>
      <c r="S754" s="46">
        <v>46303</v>
      </c>
      <c r="T754" s="51" t="s">
        <v>6119</v>
      </c>
      <c r="U754" s="15">
        <v>848.05</v>
      </c>
      <c r="V754" s="15">
        <v>3921.84</v>
      </c>
      <c r="W754" s="15">
        <v>36.08</v>
      </c>
      <c r="X754" s="15">
        <v>14.9</v>
      </c>
      <c r="Y754" s="15">
        <v>1.662307</v>
      </c>
      <c r="Z754" s="15">
        <v>6</v>
      </c>
      <c r="AA754" s="46">
        <v>46278</v>
      </c>
      <c r="AB754" s="15"/>
      <c r="AC754" s="15"/>
      <c r="AD754" s="15"/>
      <c r="AE754" s="15"/>
      <c r="AF754" s="15"/>
      <c r="AG754" s="15"/>
      <c r="AH754" s="15"/>
      <c r="AI754" s="46"/>
      <c r="AJ754" s="51" t="s">
        <v>6121</v>
      </c>
      <c r="AK754" s="51" t="s">
        <v>6121</v>
      </c>
      <c r="AL754" s="15">
        <v>848.05</v>
      </c>
      <c r="AM754" s="51" t="s">
        <v>67</v>
      </c>
      <c r="AN754" s="51" t="s">
        <v>67</v>
      </c>
      <c r="AO754" s="50" t="s">
        <v>9554</v>
      </c>
    </row>
    <row r="755" spans="1:41" hidden="1" x14ac:dyDescent="0.25">
      <c r="A755" s="51" t="s">
        <v>4548</v>
      </c>
      <c r="B755" s="51" t="s">
        <v>4549</v>
      </c>
      <c r="C755" s="54" t="s">
        <v>5596</v>
      </c>
      <c r="D755" s="51" t="s">
        <v>4550</v>
      </c>
      <c r="E755" s="20">
        <v>12099.2</v>
      </c>
      <c r="F755" s="20">
        <v>728.96</v>
      </c>
      <c r="G755" s="20">
        <v>16968.439999999999</v>
      </c>
      <c r="H755" s="20">
        <v>0</v>
      </c>
      <c r="I755" s="20">
        <v>728.96</v>
      </c>
      <c r="J755" s="51" t="s">
        <v>2654</v>
      </c>
      <c r="K755" s="15">
        <v>0</v>
      </c>
      <c r="L755" s="51" t="s">
        <v>2371</v>
      </c>
      <c r="M755" s="51" t="s">
        <v>4551</v>
      </c>
      <c r="N755" s="51" t="s">
        <v>1340</v>
      </c>
      <c r="O755" s="51" t="s">
        <v>4552</v>
      </c>
      <c r="P755" s="51" t="s">
        <v>1340</v>
      </c>
      <c r="Q755" s="45">
        <v>46281.56034434028</v>
      </c>
      <c r="R755" s="46">
        <v>46300</v>
      </c>
      <c r="S755" s="46">
        <v>46295</v>
      </c>
      <c r="T755" s="51" t="s">
        <v>6119</v>
      </c>
      <c r="U755" s="15"/>
      <c r="V755" s="15"/>
      <c r="W755" s="15"/>
      <c r="X755" s="15"/>
      <c r="Y755" s="15"/>
      <c r="Z755" s="15"/>
      <c r="AA755" s="46"/>
      <c r="AB755" s="15"/>
      <c r="AC755" s="15"/>
      <c r="AD755" s="15"/>
      <c r="AE755" s="15"/>
      <c r="AF755" s="15"/>
      <c r="AG755" s="15"/>
      <c r="AH755" s="15"/>
      <c r="AI755" s="46"/>
      <c r="AJ755" s="51" t="s">
        <v>67</v>
      </c>
      <c r="AK755" s="51" t="s">
        <v>67</v>
      </c>
      <c r="AL755" s="15"/>
      <c r="AM755" s="51" t="s">
        <v>67</v>
      </c>
      <c r="AN755" s="51" t="s">
        <v>67</v>
      </c>
      <c r="AO755" s="50" t="s">
        <v>9554</v>
      </c>
    </row>
    <row r="756" spans="1:41" hidden="1" x14ac:dyDescent="0.25">
      <c r="A756" s="51" t="s">
        <v>4553</v>
      </c>
      <c r="B756" s="51" t="s">
        <v>4554</v>
      </c>
      <c r="C756" s="54" t="s">
        <v>2693</v>
      </c>
      <c r="D756" s="51" t="s">
        <v>4555</v>
      </c>
      <c r="E756" s="20">
        <v>3537.91</v>
      </c>
      <c r="F756" s="20">
        <v>0</v>
      </c>
      <c r="G756" s="20">
        <v>8121.42</v>
      </c>
      <c r="H756" s="20">
        <v>0</v>
      </c>
      <c r="I756" s="20">
        <v>796.97</v>
      </c>
      <c r="J756" s="51" t="s">
        <v>2654</v>
      </c>
      <c r="K756" s="15">
        <v>0</v>
      </c>
      <c r="L756" s="51" t="s">
        <v>2371</v>
      </c>
      <c r="M756" s="51" t="s">
        <v>67</v>
      </c>
      <c r="N756" s="51" t="s">
        <v>67</v>
      </c>
      <c r="O756" s="51" t="s">
        <v>4556</v>
      </c>
      <c r="P756" s="51" t="s">
        <v>1340</v>
      </c>
      <c r="Q756" s="45">
        <v>46281.560346446757</v>
      </c>
      <c r="R756" s="46">
        <v>46314</v>
      </c>
      <c r="S756" s="46">
        <v>46309</v>
      </c>
      <c r="T756" s="51" t="s">
        <v>6119</v>
      </c>
      <c r="U756" s="15"/>
      <c r="V756" s="15"/>
      <c r="W756" s="15"/>
      <c r="X756" s="15"/>
      <c r="Y756" s="15"/>
      <c r="Z756" s="15"/>
      <c r="AA756" s="46"/>
      <c r="AB756" s="15"/>
      <c r="AC756" s="15"/>
      <c r="AD756" s="15"/>
      <c r="AE756" s="15"/>
      <c r="AF756" s="15"/>
      <c r="AG756" s="15"/>
      <c r="AH756" s="15"/>
      <c r="AI756" s="46"/>
      <c r="AJ756" s="51" t="s">
        <v>67</v>
      </c>
      <c r="AK756" s="51" t="s">
        <v>67</v>
      </c>
      <c r="AL756" s="15"/>
      <c r="AM756" s="51" t="s">
        <v>67</v>
      </c>
      <c r="AN756" s="51" t="s">
        <v>67</v>
      </c>
      <c r="AO756" s="50" t="s">
        <v>9554</v>
      </c>
    </row>
    <row r="757" spans="1:41" hidden="1" x14ac:dyDescent="0.25">
      <c r="A757" s="51" t="s">
        <v>4557</v>
      </c>
      <c r="B757" s="51" t="s">
        <v>4558</v>
      </c>
      <c r="C757" s="54" t="s">
        <v>2541</v>
      </c>
      <c r="D757" s="51" t="s">
        <v>4559</v>
      </c>
      <c r="E757" s="20">
        <v>12505.27</v>
      </c>
      <c r="F757" s="20">
        <v>822.29</v>
      </c>
      <c r="G757" s="20">
        <v>5213.18</v>
      </c>
      <c r="H757" s="20">
        <v>0</v>
      </c>
      <c r="I757" s="20">
        <v>822.29</v>
      </c>
      <c r="J757" s="51" t="s">
        <v>2654</v>
      </c>
      <c r="K757" s="15">
        <v>0</v>
      </c>
      <c r="L757" s="51" t="s">
        <v>2371</v>
      </c>
      <c r="M757" s="51" t="s">
        <v>4560</v>
      </c>
      <c r="N757" s="51" t="s">
        <v>1344</v>
      </c>
      <c r="O757" s="51" t="s">
        <v>4561</v>
      </c>
      <c r="P757" s="51" t="s">
        <v>1344</v>
      </c>
      <c r="Q757" s="45">
        <v>46281.560348391205</v>
      </c>
      <c r="R757" s="46">
        <v>46311</v>
      </c>
      <c r="S757" s="46">
        <v>46306</v>
      </c>
      <c r="T757" s="51" t="s">
        <v>6119</v>
      </c>
      <c r="U757" s="15"/>
      <c r="V757" s="15"/>
      <c r="W757" s="15"/>
      <c r="X757" s="15"/>
      <c r="Y757" s="15"/>
      <c r="Z757" s="15"/>
      <c r="AA757" s="46"/>
      <c r="AB757" s="15"/>
      <c r="AC757" s="15"/>
      <c r="AD757" s="15"/>
      <c r="AE757" s="15"/>
      <c r="AF757" s="15"/>
      <c r="AG757" s="15"/>
      <c r="AH757" s="15"/>
      <c r="AI757" s="46"/>
      <c r="AJ757" s="51" t="s">
        <v>67</v>
      </c>
      <c r="AK757" s="51" t="s">
        <v>67</v>
      </c>
      <c r="AL757" s="15"/>
      <c r="AM757" s="51" t="s">
        <v>67</v>
      </c>
      <c r="AN757" s="51" t="s">
        <v>67</v>
      </c>
      <c r="AO757" s="50" t="s">
        <v>9554</v>
      </c>
    </row>
    <row r="758" spans="1:41" hidden="1" x14ac:dyDescent="0.25">
      <c r="A758" s="51" t="s">
        <v>4562</v>
      </c>
      <c r="B758" s="51" t="s">
        <v>4563</v>
      </c>
      <c r="C758" s="54" t="s">
        <v>5603</v>
      </c>
      <c r="D758" s="51" t="s">
        <v>4564</v>
      </c>
      <c r="E758" s="20">
        <v>8205.39</v>
      </c>
      <c r="F758" s="20">
        <v>5093.3900000000003</v>
      </c>
      <c r="G758" s="20">
        <v>8585.33</v>
      </c>
      <c r="H758" s="20">
        <v>3870.86</v>
      </c>
      <c r="I758" s="20">
        <v>5093.3900000000003</v>
      </c>
      <c r="J758" s="51" t="s">
        <v>6727</v>
      </c>
      <c r="K758" s="15">
        <v>23</v>
      </c>
      <c r="L758" s="51" t="s">
        <v>2369</v>
      </c>
      <c r="M758" s="51" t="s">
        <v>4565</v>
      </c>
      <c r="N758" s="51" t="s">
        <v>1340</v>
      </c>
      <c r="O758" s="51" t="s">
        <v>67</v>
      </c>
      <c r="P758" s="51" t="s">
        <v>67</v>
      </c>
      <c r="Q758" s="45">
        <v>46281.560350567132</v>
      </c>
      <c r="R758" s="46">
        <v>46298</v>
      </c>
      <c r="S758" s="46">
        <v>46293</v>
      </c>
      <c r="T758" s="51" t="s">
        <v>6119</v>
      </c>
      <c r="U758" s="15">
        <v>848.05</v>
      </c>
      <c r="V758" s="15">
        <v>3921.84</v>
      </c>
      <c r="W758" s="15">
        <v>36.08</v>
      </c>
      <c r="X758" s="15">
        <v>14.9</v>
      </c>
      <c r="Y758" s="15">
        <v>1.662307</v>
      </c>
      <c r="Z758" s="15">
        <v>6</v>
      </c>
      <c r="AA758" s="46">
        <v>46268</v>
      </c>
      <c r="AB758" s="15"/>
      <c r="AC758" s="15"/>
      <c r="AD758" s="15"/>
      <c r="AE758" s="15"/>
      <c r="AF758" s="15"/>
      <c r="AG758" s="15"/>
      <c r="AH758" s="15"/>
      <c r="AI758" s="46"/>
      <c r="AJ758" s="51" t="s">
        <v>6121</v>
      </c>
      <c r="AK758" s="51" t="s">
        <v>6121</v>
      </c>
      <c r="AL758" s="15">
        <v>848.05</v>
      </c>
      <c r="AM758" s="51" t="s">
        <v>67</v>
      </c>
      <c r="AN758" s="51" t="s">
        <v>67</v>
      </c>
      <c r="AO758" s="50" t="s">
        <v>9554</v>
      </c>
    </row>
    <row r="759" spans="1:41" hidden="1" x14ac:dyDescent="0.25">
      <c r="A759" s="51" t="s">
        <v>4566</v>
      </c>
      <c r="B759" s="51" t="s">
        <v>4567</v>
      </c>
      <c r="C759" s="54" t="s">
        <v>2693</v>
      </c>
      <c r="D759" s="51" t="s">
        <v>4568</v>
      </c>
      <c r="E759" s="20">
        <v>9526.82</v>
      </c>
      <c r="F759" s="20">
        <v>9215.02</v>
      </c>
      <c r="G759" s="20">
        <v>9942.9599999999991</v>
      </c>
      <c r="H759" s="20">
        <v>3870.86</v>
      </c>
      <c r="I759" s="20">
        <v>9215.02</v>
      </c>
      <c r="J759" s="51" t="s">
        <v>6727</v>
      </c>
      <c r="K759" s="15">
        <v>38</v>
      </c>
      <c r="L759" s="51" t="s">
        <v>2369</v>
      </c>
      <c r="M759" s="51" t="s">
        <v>4569</v>
      </c>
      <c r="N759" s="51" t="s">
        <v>1344</v>
      </c>
      <c r="O759" s="51" t="s">
        <v>67</v>
      </c>
      <c r="P759" s="51" t="s">
        <v>67</v>
      </c>
      <c r="Q759" s="45">
        <v>46281.560352916669</v>
      </c>
      <c r="R759" s="46">
        <v>46314</v>
      </c>
      <c r="S759" s="46">
        <v>46309</v>
      </c>
      <c r="T759" s="51" t="s">
        <v>6119</v>
      </c>
      <c r="U759" s="15">
        <v>849.8</v>
      </c>
      <c r="V759" s="15">
        <v>3922.15</v>
      </c>
      <c r="W759" s="15">
        <v>36.39</v>
      </c>
      <c r="X759" s="15">
        <v>14.9</v>
      </c>
      <c r="Y759" s="15">
        <v>1.6620440000000001</v>
      </c>
      <c r="Z759" s="15">
        <v>6</v>
      </c>
      <c r="AA759" s="46">
        <v>46253</v>
      </c>
      <c r="AB759" s="15">
        <v>212.9</v>
      </c>
      <c r="AC759" s="15">
        <v>387.09</v>
      </c>
      <c r="AD759" s="15">
        <v>38.71</v>
      </c>
      <c r="AE759" s="15">
        <v>582.26</v>
      </c>
      <c r="AF759" s="15">
        <v>3729.62</v>
      </c>
      <c r="AG759" s="15">
        <v>57.49</v>
      </c>
      <c r="AH759" s="15">
        <v>1.5861069999999999</v>
      </c>
      <c r="AI759" s="46">
        <v>46283</v>
      </c>
      <c r="AJ759" s="51" t="s">
        <v>6121</v>
      </c>
      <c r="AK759" s="51" t="s">
        <v>6121</v>
      </c>
      <c r="AL759" s="15">
        <v>849.8</v>
      </c>
      <c r="AM759" s="51" t="s">
        <v>67</v>
      </c>
      <c r="AN759" s="51" t="s">
        <v>67</v>
      </c>
      <c r="AO759" s="50" t="s">
        <v>9554</v>
      </c>
    </row>
    <row r="760" spans="1:41" hidden="1" x14ac:dyDescent="0.25">
      <c r="A760" s="51" t="s">
        <v>4570</v>
      </c>
      <c r="B760" s="51" t="s">
        <v>4571</v>
      </c>
      <c r="C760" s="54" t="s">
        <v>611</v>
      </c>
      <c r="D760" s="51" t="s">
        <v>4572</v>
      </c>
      <c r="E760" s="20">
        <v>2873.91</v>
      </c>
      <c r="F760" s="20">
        <v>437.38</v>
      </c>
      <c r="G760" s="20">
        <v>1796.89</v>
      </c>
      <c r="H760" s="20">
        <v>424.92</v>
      </c>
      <c r="I760" s="20">
        <v>437.38</v>
      </c>
      <c r="J760" s="51" t="s">
        <v>6727</v>
      </c>
      <c r="K760" s="15">
        <v>1</v>
      </c>
      <c r="L760" s="51" t="s">
        <v>2369</v>
      </c>
      <c r="M760" s="51" t="s">
        <v>4573</v>
      </c>
      <c r="N760" s="51" t="s">
        <v>1340</v>
      </c>
      <c r="O760" s="51" t="s">
        <v>4574</v>
      </c>
      <c r="P760" s="51" t="s">
        <v>1340</v>
      </c>
      <c r="Q760" s="45">
        <v>46281.560355127316</v>
      </c>
      <c r="R760" s="46">
        <v>46320</v>
      </c>
      <c r="S760" s="46">
        <v>46315</v>
      </c>
      <c r="T760" s="51" t="s">
        <v>6119</v>
      </c>
      <c r="U760" s="15"/>
      <c r="V760" s="15"/>
      <c r="W760" s="15"/>
      <c r="X760" s="15"/>
      <c r="Y760" s="15"/>
      <c r="Z760" s="15"/>
      <c r="AA760" s="46"/>
      <c r="AB760" s="15"/>
      <c r="AC760" s="15"/>
      <c r="AD760" s="15"/>
      <c r="AE760" s="15"/>
      <c r="AF760" s="15"/>
      <c r="AG760" s="15"/>
      <c r="AH760" s="15"/>
      <c r="AI760" s="46"/>
      <c r="AJ760" s="51" t="s">
        <v>67</v>
      </c>
      <c r="AK760" s="51" t="s">
        <v>67</v>
      </c>
      <c r="AL760" s="15"/>
      <c r="AM760" s="51" t="s">
        <v>67</v>
      </c>
      <c r="AN760" s="51" t="s">
        <v>67</v>
      </c>
      <c r="AO760" s="50" t="s">
        <v>9554</v>
      </c>
    </row>
    <row r="761" spans="1:41" hidden="1" x14ac:dyDescent="0.25">
      <c r="A761" s="51" t="s">
        <v>4575</v>
      </c>
      <c r="B761" s="51" t="s">
        <v>4576</v>
      </c>
      <c r="C761" s="54" t="s">
        <v>2693</v>
      </c>
      <c r="D761" s="51" t="s">
        <v>4577</v>
      </c>
      <c r="E761" s="20">
        <v>1701.21</v>
      </c>
      <c r="F761" s="20">
        <v>8997.5400000000009</v>
      </c>
      <c r="G761" s="20">
        <v>6213.98</v>
      </c>
      <c r="H761" s="20">
        <v>3870.86</v>
      </c>
      <c r="I761" s="20">
        <v>7277.16</v>
      </c>
      <c r="J761" s="51" t="s">
        <v>6727</v>
      </c>
      <c r="K761" s="15">
        <v>38</v>
      </c>
      <c r="L761" s="51" t="s">
        <v>2369</v>
      </c>
      <c r="M761" s="51" t="s">
        <v>67</v>
      </c>
      <c r="N761" s="51" t="s">
        <v>67</v>
      </c>
      <c r="O761" s="51" t="s">
        <v>4578</v>
      </c>
      <c r="P761" s="51" t="s">
        <v>1340</v>
      </c>
      <c r="Q761" s="45">
        <v>46281.560357326387</v>
      </c>
      <c r="R761" s="46">
        <v>46314</v>
      </c>
      <c r="S761" s="46">
        <v>46309</v>
      </c>
      <c r="T761" s="51" t="s">
        <v>6119</v>
      </c>
      <c r="U761" s="15">
        <v>849.8</v>
      </c>
      <c r="V761" s="15">
        <v>3922.15</v>
      </c>
      <c r="W761" s="15">
        <v>36.39</v>
      </c>
      <c r="X761" s="15">
        <v>14.9</v>
      </c>
      <c r="Y761" s="15">
        <v>1.6620440000000001</v>
      </c>
      <c r="Z761" s="15">
        <v>6</v>
      </c>
      <c r="AA761" s="46">
        <v>46253</v>
      </c>
      <c r="AB761" s="15">
        <v>212.9</v>
      </c>
      <c r="AC761" s="15">
        <v>387.09</v>
      </c>
      <c r="AD761" s="15">
        <v>38.71</v>
      </c>
      <c r="AE761" s="15">
        <v>582.26</v>
      </c>
      <c r="AF761" s="15">
        <v>3729.62</v>
      </c>
      <c r="AG761" s="15">
        <v>57.49</v>
      </c>
      <c r="AH761" s="15">
        <v>1.5861069999999999</v>
      </c>
      <c r="AI761" s="46">
        <v>46283</v>
      </c>
      <c r="AJ761" s="51" t="s">
        <v>6121</v>
      </c>
      <c r="AK761" s="51" t="s">
        <v>6121</v>
      </c>
      <c r="AL761" s="15">
        <v>849.8</v>
      </c>
      <c r="AM761" s="51" t="s">
        <v>67</v>
      </c>
      <c r="AN761" s="51" t="s">
        <v>67</v>
      </c>
      <c r="AO761" s="50" t="s">
        <v>9554</v>
      </c>
    </row>
    <row r="762" spans="1:41" hidden="1" x14ac:dyDescent="0.25">
      <c r="A762" s="51" t="s">
        <v>4579</v>
      </c>
      <c r="B762" s="51" t="s">
        <v>4580</v>
      </c>
      <c r="C762" s="54" t="s">
        <v>5602</v>
      </c>
      <c r="D762" s="51" t="s">
        <v>4581</v>
      </c>
      <c r="E762" s="20">
        <v>2269.0300000000002</v>
      </c>
      <c r="F762" s="20">
        <v>410.72</v>
      </c>
      <c r="G762" s="20">
        <v>17245.64</v>
      </c>
      <c r="H762" s="20">
        <v>0</v>
      </c>
      <c r="I762" s="20">
        <v>410.72</v>
      </c>
      <c r="J762" s="51" t="s">
        <v>2654</v>
      </c>
      <c r="K762" s="15">
        <v>0</v>
      </c>
      <c r="L762" s="51" t="s">
        <v>2371</v>
      </c>
      <c r="M762" s="51" t="s">
        <v>4582</v>
      </c>
      <c r="N762" s="51" t="s">
        <v>1344</v>
      </c>
      <c r="O762" s="51" t="s">
        <v>67</v>
      </c>
      <c r="P762" s="51" t="s">
        <v>67</v>
      </c>
      <c r="Q762" s="45">
        <v>46281.560359560186</v>
      </c>
      <c r="R762" s="46">
        <v>46303</v>
      </c>
      <c r="S762" s="46">
        <v>46298</v>
      </c>
      <c r="T762" s="51" t="s">
        <v>6119</v>
      </c>
      <c r="U762" s="15"/>
      <c r="V762" s="15"/>
      <c r="W762" s="15"/>
      <c r="X762" s="15"/>
      <c r="Y762" s="15"/>
      <c r="Z762" s="15"/>
      <c r="AA762" s="46"/>
      <c r="AB762" s="15"/>
      <c r="AC762" s="15"/>
      <c r="AD762" s="15"/>
      <c r="AE762" s="15"/>
      <c r="AF762" s="15"/>
      <c r="AG762" s="15"/>
      <c r="AH762" s="15"/>
      <c r="AI762" s="46"/>
      <c r="AJ762" s="51" t="s">
        <v>67</v>
      </c>
      <c r="AK762" s="51" t="s">
        <v>67</v>
      </c>
      <c r="AL762" s="15"/>
      <c r="AM762" s="51" t="s">
        <v>67</v>
      </c>
      <c r="AN762" s="51" t="s">
        <v>67</v>
      </c>
      <c r="AO762" s="50" t="s">
        <v>9554</v>
      </c>
    </row>
    <row r="763" spans="1:41" hidden="1" x14ac:dyDescent="0.25">
      <c r="A763" s="51" t="s">
        <v>4583</v>
      </c>
      <c r="B763" s="51" t="s">
        <v>4584</v>
      </c>
      <c r="C763" s="54" t="s">
        <v>2691</v>
      </c>
      <c r="D763" s="51" t="s">
        <v>4585</v>
      </c>
      <c r="E763" s="20">
        <v>1269.8499999999999</v>
      </c>
      <c r="F763" s="20">
        <v>524.05999999999995</v>
      </c>
      <c r="G763" s="20">
        <v>20342.73</v>
      </c>
      <c r="H763" s="20">
        <v>0</v>
      </c>
      <c r="I763" s="20">
        <v>524.05999999999995</v>
      </c>
      <c r="J763" s="51" t="s">
        <v>2654</v>
      </c>
      <c r="K763" s="15">
        <v>0</v>
      </c>
      <c r="L763" s="51" t="s">
        <v>2371</v>
      </c>
      <c r="M763" s="51" t="s">
        <v>4586</v>
      </c>
      <c r="N763" s="51" t="s">
        <v>1340</v>
      </c>
      <c r="O763" s="51" t="s">
        <v>67</v>
      </c>
      <c r="P763" s="51" t="s">
        <v>67</v>
      </c>
      <c r="Q763" s="45">
        <v>46281.56036127315</v>
      </c>
      <c r="R763" s="46">
        <v>46301</v>
      </c>
      <c r="S763" s="46">
        <v>46296</v>
      </c>
      <c r="T763" s="51" t="s">
        <v>6119</v>
      </c>
      <c r="U763" s="15"/>
      <c r="V763" s="15"/>
      <c r="W763" s="15"/>
      <c r="X763" s="15"/>
      <c r="Y763" s="15"/>
      <c r="Z763" s="15"/>
      <c r="AA763" s="46"/>
      <c r="AB763" s="15"/>
      <c r="AC763" s="15"/>
      <c r="AD763" s="15"/>
      <c r="AE763" s="15"/>
      <c r="AF763" s="15"/>
      <c r="AG763" s="15"/>
      <c r="AH763" s="15"/>
      <c r="AI763" s="46"/>
      <c r="AJ763" s="51" t="s">
        <v>67</v>
      </c>
      <c r="AK763" s="51" t="s">
        <v>67</v>
      </c>
      <c r="AL763" s="15"/>
      <c r="AM763" s="51" t="s">
        <v>67</v>
      </c>
      <c r="AN763" s="51" t="s">
        <v>67</v>
      </c>
      <c r="AO763" s="50" t="s">
        <v>9554</v>
      </c>
    </row>
    <row r="764" spans="1:41" hidden="1" x14ac:dyDescent="0.25">
      <c r="A764" s="51" t="s">
        <v>4587</v>
      </c>
      <c r="B764" s="51" t="s">
        <v>4588</v>
      </c>
      <c r="C764" s="54" t="s">
        <v>2690</v>
      </c>
      <c r="D764" s="51" t="s">
        <v>4589</v>
      </c>
      <c r="E764" s="20">
        <v>13824.7</v>
      </c>
      <c r="F764" s="20">
        <v>659.27</v>
      </c>
      <c r="G764" s="20">
        <v>7297.63</v>
      </c>
      <c r="H764" s="20">
        <v>659.27</v>
      </c>
      <c r="I764" s="20">
        <v>659.27</v>
      </c>
      <c r="J764" s="51" t="s">
        <v>6727</v>
      </c>
      <c r="K764" s="15">
        <v>0</v>
      </c>
      <c r="L764" s="51" t="s">
        <v>2371</v>
      </c>
      <c r="M764" s="51" t="s">
        <v>4590</v>
      </c>
      <c r="N764" s="51" t="s">
        <v>1340</v>
      </c>
      <c r="O764" s="51" t="s">
        <v>67</v>
      </c>
      <c r="P764" s="51" t="s">
        <v>67</v>
      </c>
      <c r="Q764" s="45">
        <v>46281.560363182871</v>
      </c>
      <c r="R764" s="46">
        <v>46322</v>
      </c>
      <c r="S764" s="46">
        <v>46317</v>
      </c>
      <c r="T764" s="51" t="s">
        <v>6119</v>
      </c>
      <c r="U764" s="15"/>
      <c r="V764" s="15"/>
      <c r="W764" s="15"/>
      <c r="X764" s="15"/>
      <c r="Y764" s="15"/>
      <c r="Z764" s="15"/>
      <c r="AA764" s="46"/>
      <c r="AB764" s="15"/>
      <c r="AC764" s="15"/>
      <c r="AD764" s="15"/>
      <c r="AE764" s="15"/>
      <c r="AF764" s="15"/>
      <c r="AG764" s="15"/>
      <c r="AH764" s="15"/>
      <c r="AI764" s="46"/>
      <c r="AJ764" s="51" t="s">
        <v>67</v>
      </c>
      <c r="AK764" s="51" t="s">
        <v>67</v>
      </c>
      <c r="AL764" s="15"/>
      <c r="AM764" s="51" t="s">
        <v>67</v>
      </c>
      <c r="AN764" s="51" t="s">
        <v>67</v>
      </c>
      <c r="AO764" s="50" t="s">
        <v>9554</v>
      </c>
    </row>
    <row r="765" spans="1:41" hidden="1" x14ac:dyDescent="0.25">
      <c r="A765" s="51" t="s">
        <v>4591</v>
      </c>
      <c r="B765" s="51" t="s">
        <v>4592</v>
      </c>
      <c r="C765" s="54" t="s">
        <v>2692</v>
      </c>
      <c r="D765" s="51" t="s">
        <v>4593</v>
      </c>
      <c r="E765" s="20">
        <v>5408.49</v>
      </c>
      <c r="F765" s="20">
        <v>5146.2299999999996</v>
      </c>
      <c r="G765" s="20">
        <v>15400.61</v>
      </c>
      <c r="H765" s="20">
        <v>3870.86</v>
      </c>
      <c r="I765" s="20">
        <v>5146.2299999999996</v>
      </c>
      <c r="J765" s="51" t="s">
        <v>6727</v>
      </c>
      <c r="K765" s="15">
        <v>25</v>
      </c>
      <c r="L765" s="51" t="s">
        <v>2369</v>
      </c>
      <c r="M765" s="51" t="s">
        <v>4594</v>
      </c>
      <c r="N765" s="51" t="s">
        <v>1340</v>
      </c>
      <c r="O765" s="51" t="s">
        <v>67</v>
      </c>
      <c r="P765" s="51" t="s">
        <v>67</v>
      </c>
      <c r="Q765" s="45">
        <v>46281.560365115743</v>
      </c>
      <c r="R765" s="46">
        <v>46296</v>
      </c>
      <c r="S765" s="46">
        <v>46291</v>
      </c>
      <c r="T765" s="51" t="s">
        <v>6119</v>
      </c>
      <c r="U765" s="15">
        <v>848.05</v>
      </c>
      <c r="V765" s="15">
        <v>3921.84</v>
      </c>
      <c r="W765" s="15">
        <v>36.08</v>
      </c>
      <c r="X765" s="15">
        <v>14.9</v>
      </c>
      <c r="Y765" s="15">
        <v>1.662307</v>
      </c>
      <c r="Z765" s="15">
        <v>6</v>
      </c>
      <c r="AA765" s="46">
        <v>46266</v>
      </c>
      <c r="AB765" s="15"/>
      <c r="AC765" s="15"/>
      <c r="AD765" s="15"/>
      <c r="AE765" s="15"/>
      <c r="AF765" s="15"/>
      <c r="AG765" s="15"/>
      <c r="AH765" s="15"/>
      <c r="AI765" s="46"/>
      <c r="AJ765" s="51" t="s">
        <v>6121</v>
      </c>
      <c r="AK765" s="51" t="s">
        <v>6121</v>
      </c>
      <c r="AL765" s="15">
        <v>848.05</v>
      </c>
      <c r="AM765" s="51" t="s">
        <v>67</v>
      </c>
      <c r="AN765" s="51" t="s">
        <v>67</v>
      </c>
      <c r="AO765" s="50" t="s">
        <v>9554</v>
      </c>
    </row>
    <row r="766" spans="1:41" hidden="1" x14ac:dyDescent="0.25">
      <c r="A766" s="51" t="s">
        <v>4595</v>
      </c>
      <c r="B766" s="51" t="s">
        <v>4596</v>
      </c>
      <c r="C766" s="54" t="s">
        <v>611</v>
      </c>
      <c r="D766" s="51" t="s">
        <v>4597</v>
      </c>
      <c r="E766" s="20">
        <v>4333.5</v>
      </c>
      <c r="F766" s="20">
        <v>1002.7</v>
      </c>
      <c r="G766" s="20">
        <v>17586.14</v>
      </c>
      <c r="H766" s="20">
        <v>974.12</v>
      </c>
      <c r="I766" s="20">
        <v>1002.7</v>
      </c>
      <c r="J766" s="51" t="s">
        <v>6727</v>
      </c>
      <c r="K766" s="15">
        <v>1</v>
      </c>
      <c r="L766" s="51" t="s">
        <v>2369</v>
      </c>
      <c r="M766" s="51" t="s">
        <v>4598</v>
      </c>
      <c r="N766" s="51" t="s">
        <v>1340</v>
      </c>
      <c r="O766" s="51" t="s">
        <v>67</v>
      </c>
      <c r="P766" s="51" t="s">
        <v>67</v>
      </c>
      <c r="Q766" s="45">
        <v>46281.560367106482</v>
      </c>
      <c r="R766" s="46">
        <v>46320</v>
      </c>
      <c r="S766" s="46">
        <v>46315</v>
      </c>
      <c r="T766" s="51" t="s">
        <v>6119</v>
      </c>
      <c r="U766" s="15"/>
      <c r="V766" s="15"/>
      <c r="W766" s="15"/>
      <c r="X766" s="15"/>
      <c r="Y766" s="15"/>
      <c r="Z766" s="15"/>
      <c r="AA766" s="46"/>
      <c r="AB766" s="15"/>
      <c r="AC766" s="15"/>
      <c r="AD766" s="15"/>
      <c r="AE766" s="15"/>
      <c r="AF766" s="15"/>
      <c r="AG766" s="15"/>
      <c r="AH766" s="15"/>
      <c r="AI766" s="46"/>
      <c r="AJ766" s="51" t="s">
        <v>67</v>
      </c>
      <c r="AK766" s="51" t="s">
        <v>67</v>
      </c>
      <c r="AL766" s="15"/>
      <c r="AM766" s="51" t="s">
        <v>67</v>
      </c>
      <c r="AN766" s="51" t="s">
        <v>67</v>
      </c>
      <c r="AO766" s="50" t="s">
        <v>9554</v>
      </c>
    </row>
    <row r="767" spans="1:41" hidden="1" x14ac:dyDescent="0.25">
      <c r="A767" s="51" t="s">
        <v>4599</v>
      </c>
      <c r="B767" s="51" t="s">
        <v>4600</v>
      </c>
      <c r="C767" s="54" t="s">
        <v>607</v>
      </c>
      <c r="D767" s="51" t="s">
        <v>4601</v>
      </c>
      <c r="E767" s="20">
        <v>15203.69</v>
      </c>
      <c r="F767" s="20">
        <v>874.07</v>
      </c>
      <c r="G767" s="20">
        <v>17900.66</v>
      </c>
      <c r="H767" s="20">
        <v>3870.86</v>
      </c>
      <c r="I767" s="20">
        <v>92.13</v>
      </c>
      <c r="J767" s="51" t="s">
        <v>6724</v>
      </c>
      <c r="K767" s="15">
        <v>0</v>
      </c>
      <c r="L767" s="51" t="s">
        <v>2371</v>
      </c>
      <c r="M767" s="51" t="s">
        <v>4602</v>
      </c>
      <c r="N767" s="51" t="s">
        <v>1340</v>
      </c>
      <c r="O767" s="51" t="s">
        <v>67</v>
      </c>
      <c r="P767" s="51" t="s">
        <v>67</v>
      </c>
      <c r="Q767" s="45">
        <v>46281.560369004626</v>
      </c>
      <c r="R767" s="46">
        <v>46310</v>
      </c>
      <c r="S767" s="46">
        <v>46305</v>
      </c>
      <c r="T767" s="51" t="s">
        <v>6119</v>
      </c>
      <c r="U767" s="15">
        <v>848.05</v>
      </c>
      <c r="V767" s="15">
        <v>3921.84</v>
      </c>
      <c r="W767" s="15">
        <v>36.08</v>
      </c>
      <c r="X767" s="15">
        <v>14.9</v>
      </c>
      <c r="Y767" s="15">
        <v>1.662307</v>
      </c>
      <c r="Z767" s="15">
        <v>6</v>
      </c>
      <c r="AA767" s="46">
        <v>46280</v>
      </c>
      <c r="AB767" s="15"/>
      <c r="AC767" s="15"/>
      <c r="AD767" s="15"/>
      <c r="AE767" s="15"/>
      <c r="AF767" s="15"/>
      <c r="AG767" s="15"/>
      <c r="AH767" s="15"/>
      <c r="AI767" s="46"/>
      <c r="AJ767" s="51" t="s">
        <v>67</v>
      </c>
      <c r="AK767" s="51" t="s">
        <v>6121</v>
      </c>
      <c r="AL767" s="15">
        <v>848.05</v>
      </c>
      <c r="AM767" s="51" t="s">
        <v>67</v>
      </c>
      <c r="AN767" s="51" t="s">
        <v>67</v>
      </c>
      <c r="AO767" s="50" t="s">
        <v>9554</v>
      </c>
    </row>
    <row r="768" spans="1:41" hidden="1" x14ac:dyDescent="0.25">
      <c r="A768" s="51" t="s">
        <v>4603</v>
      </c>
      <c r="B768" s="51" t="s">
        <v>4604</v>
      </c>
      <c r="C768" s="54" t="s">
        <v>5607</v>
      </c>
      <c r="D768" s="51" t="s">
        <v>4605</v>
      </c>
      <c r="E768" s="20">
        <v>5402.04</v>
      </c>
      <c r="F768" s="20">
        <v>5104.71</v>
      </c>
      <c r="G768" s="20">
        <v>-422.25</v>
      </c>
      <c r="H768" s="20">
        <v>3870.86</v>
      </c>
      <c r="I768" s="20">
        <v>5104.71</v>
      </c>
      <c r="J768" s="51" t="s">
        <v>6727</v>
      </c>
      <c r="K768" s="15">
        <v>22</v>
      </c>
      <c r="L768" s="51" t="s">
        <v>2369</v>
      </c>
      <c r="M768" s="51" t="s">
        <v>4606</v>
      </c>
      <c r="N768" s="51" t="s">
        <v>1340</v>
      </c>
      <c r="O768" s="51" t="s">
        <v>67</v>
      </c>
      <c r="P768" s="51" t="s">
        <v>67</v>
      </c>
      <c r="Q768" s="45">
        <v>46281.560371238425</v>
      </c>
      <c r="R768" s="46">
        <v>46299</v>
      </c>
      <c r="S768" s="46">
        <v>46294</v>
      </c>
      <c r="T768" s="51" t="s">
        <v>6119</v>
      </c>
      <c r="U768" s="15">
        <v>848.05</v>
      </c>
      <c r="V768" s="15">
        <v>3921.84</v>
      </c>
      <c r="W768" s="15">
        <v>36.08</v>
      </c>
      <c r="X768" s="15">
        <v>14.9</v>
      </c>
      <c r="Y768" s="15">
        <v>1.662307</v>
      </c>
      <c r="Z768" s="15">
        <v>6</v>
      </c>
      <c r="AA768" s="46">
        <v>46269</v>
      </c>
      <c r="AB768" s="15"/>
      <c r="AC768" s="15"/>
      <c r="AD768" s="15"/>
      <c r="AE768" s="15"/>
      <c r="AF768" s="15"/>
      <c r="AG768" s="15"/>
      <c r="AH768" s="15"/>
      <c r="AI768" s="46"/>
      <c r="AJ768" s="51" t="s">
        <v>6121</v>
      </c>
      <c r="AK768" s="51" t="s">
        <v>6121</v>
      </c>
      <c r="AL768" s="15">
        <v>848.05</v>
      </c>
      <c r="AM768" s="51" t="s">
        <v>6705</v>
      </c>
      <c r="AN768" s="51" t="s">
        <v>6713</v>
      </c>
      <c r="AO768" s="50" t="s">
        <v>9554</v>
      </c>
    </row>
    <row r="769" spans="1:41" hidden="1" x14ac:dyDescent="0.25">
      <c r="A769" s="51" t="s">
        <v>4607</v>
      </c>
      <c r="B769" s="51" t="s">
        <v>4608</v>
      </c>
      <c r="C769" s="54" t="s">
        <v>5602</v>
      </c>
      <c r="D769" s="51" t="s">
        <v>4130</v>
      </c>
      <c r="E769" s="20">
        <v>3194.1</v>
      </c>
      <c r="F769" s="20">
        <v>4989.8500000000004</v>
      </c>
      <c r="G769" s="20">
        <v>-2564.81</v>
      </c>
      <c r="H769" s="20">
        <v>3870.86</v>
      </c>
      <c r="I769" s="20">
        <v>4989.8500000000004</v>
      </c>
      <c r="J769" s="51" t="s">
        <v>6727</v>
      </c>
      <c r="K769" s="15">
        <v>18</v>
      </c>
      <c r="L769" s="51" t="s">
        <v>2369</v>
      </c>
      <c r="M769" s="51" t="s">
        <v>4609</v>
      </c>
      <c r="N769" s="51" t="s">
        <v>1344</v>
      </c>
      <c r="O769" s="51" t="s">
        <v>67</v>
      </c>
      <c r="P769" s="51" t="s">
        <v>67</v>
      </c>
      <c r="Q769" s="45">
        <v>46281.560373356479</v>
      </c>
      <c r="R769" s="46">
        <v>46303</v>
      </c>
      <c r="S769" s="46">
        <v>46298</v>
      </c>
      <c r="T769" s="51" t="s">
        <v>6119</v>
      </c>
      <c r="U769" s="15">
        <v>848.05</v>
      </c>
      <c r="V769" s="15">
        <v>3921.84</v>
      </c>
      <c r="W769" s="15">
        <v>36.08</v>
      </c>
      <c r="X769" s="15">
        <v>14.9</v>
      </c>
      <c r="Y769" s="15">
        <v>1.662307</v>
      </c>
      <c r="Z769" s="15">
        <v>6</v>
      </c>
      <c r="AA769" s="46">
        <v>46273</v>
      </c>
      <c r="AB769" s="15"/>
      <c r="AC769" s="15"/>
      <c r="AD769" s="15"/>
      <c r="AE769" s="15"/>
      <c r="AF769" s="15"/>
      <c r="AG769" s="15"/>
      <c r="AH769" s="15"/>
      <c r="AI769" s="46"/>
      <c r="AJ769" s="51" t="s">
        <v>6121</v>
      </c>
      <c r="AK769" s="51" t="s">
        <v>6121</v>
      </c>
      <c r="AL769" s="15">
        <v>848.05</v>
      </c>
      <c r="AM769" s="51" t="s">
        <v>6705</v>
      </c>
      <c r="AN769" s="51" t="s">
        <v>6713</v>
      </c>
      <c r="AO769" s="50" t="s">
        <v>9554</v>
      </c>
    </row>
    <row r="770" spans="1:41" hidden="1" x14ac:dyDescent="0.25">
      <c r="A770" s="51" t="s">
        <v>4610</v>
      </c>
      <c r="B770" s="51" t="s">
        <v>4611</v>
      </c>
      <c r="C770" s="54" t="s">
        <v>2692</v>
      </c>
      <c r="D770" s="51" t="s">
        <v>4612</v>
      </c>
      <c r="E770" s="20">
        <v>572.65</v>
      </c>
      <c r="F770" s="20">
        <v>5286.74</v>
      </c>
      <c r="G770" s="20">
        <v>837.19</v>
      </c>
      <c r="H770" s="20">
        <v>3870.86</v>
      </c>
      <c r="I770" s="20">
        <v>5286.74</v>
      </c>
      <c r="J770" s="51" t="s">
        <v>6727</v>
      </c>
      <c r="K770" s="15">
        <v>25</v>
      </c>
      <c r="L770" s="51" t="s">
        <v>2369</v>
      </c>
      <c r="M770" s="51" t="s">
        <v>67</v>
      </c>
      <c r="N770" s="51" t="s">
        <v>67</v>
      </c>
      <c r="O770" s="51" t="s">
        <v>4613</v>
      </c>
      <c r="P770" s="51" t="s">
        <v>1344</v>
      </c>
      <c r="Q770" s="45">
        <v>46281.560375590278</v>
      </c>
      <c r="R770" s="46">
        <v>46296</v>
      </c>
      <c r="S770" s="46">
        <v>46291</v>
      </c>
      <c r="T770" s="51" t="s">
        <v>6119</v>
      </c>
      <c r="U770" s="15">
        <v>848.05</v>
      </c>
      <c r="V770" s="15">
        <v>3921.84</v>
      </c>
      <c r="W770" s="15">
        <v>36.08</v>
      </c>
      <c r="X770" s="15">
        <v>14.9</v>
      </c>
      <c r="Y770" s="15">
        <v>1.662307</v>
      </c>
      <c r="Z770" s="15">
        <v>6</v>
      </c>
      <c r="AA770" s="46">
        <v>46266</v>
      </c>
      <c r="AB770" s="15"/>
      <c r="AC770" s="15"/>
      <c r="AD770" s="15"/>
      <c r="AE770" s="15"/>
      <c r="AF770" s="15"/>
      <c r="AG770" s="15"/>
      <c r="AH770" s="15"/>
      <c r="AI770" s="46"/>
      <c r="AJ770" s="51" t="s">
        <v>6121</v>
      </c>
      <c r="AK770" s="51" t="s">
        <v>6121</v>
      </c>
      <c r="AL770" s="15">
        <v>848.05</v>
      </c>
      <c r="AM770" s="51" t="s">
        <v>67</v>
      </c>
      <c r="AN770" s="51" t="s">
        <v>67</v>
      </c>
      <c r="AO770" s="50" t="s">
        <v>9554</v>
      </c>
    </row>
    <row r="771" spans="1:41" hidden="1" x14ac:dyDescent="0.25">
      <c r="A771" s="51" t="s">
        <v>4614</v>
      </c>
      <c r="B771" s="51" t="s">
        <v>4615</v>
      </c>
      <c r="C771" s="54" t="s">
        <v>607</v>
      </c>
      <c r="D771" s="51" t="s">
        <v>4616</v>
      </c>
      <c r="E771" s="20">
        <v>5024.97</v>
      </c>
      <c r="F771" s="20">
        <v>4174.3599999999997</v>
      </c>
      <c r="G771" s="20">
        <v>17730.349999999999</v>
      </c>
      <c r="H771" s="20">
        <v>3870.86</v>
      </c>
      <c r="I771" s="20">
        <v>3841.04</v>
      </c>
      <c r="J771" s="51" t="s">
        <v>6726</v>
      </c>
      <c r="K771" s="15">
        <v>11</v>
      </c>
      <c r="L771" s="51" t="s">
        <v>2369</v>
      </c>
      <c r="M771" s="51" t="s">
        <v>67</v>
      </c>
      <c r="N771" s="51" t="s">
        <v>67</v>
      </c>
      <c r="O771" s="51" t="s">
        <v>4617</v>
      </c>
      <c r="P771" s="51" t="s">
        <v>1340</v>
      </c>
      <c r="Q771" s="45">
        <v>46281.560377766204</v>
      </c>
      <c r="R771" s="46">
        <v>46310</v>
      </c>
      <c r="S771" s="46">
        <v>46305</v>
      </c>
      <c r="T771" s="51" t="s">
        <v>6119</v>
      </c>
      <c r="U771" s="15">
        <v>848.05</v>
      </c>
      <c r="V771" s="15">
        <v>3921.84</v>
      </c>
      <c r="W771" s="15">
        <v>36.08</v>
      </c>
      <c r="X771" s="15">
        <v>14.9</v>
      </c>
      <c r="Y771" s="15">
        <v>1.662307</v>
      </c>
      <c r="Z771" s="15">
        <v>6</v>
      </c>
      <c r="AA771" s="46">
        <v>46280</v>
      </c>
      <c r="AB771" s="15"/>
      <c r="AC771" s="15"/>
      <c r="AD771" s="15"/>
      <c r="AE771" s="15"/>
      <c r="AF771" s="15"/>
      <c r="AG771" s="15"/>
      <c r="AH771" s="15"/>
      <c r="AI771" s="46"/>
      <c r="AJ771" s="51" t="s">
        <v>6121</v>
      </c>
      <c r="AK771" s="51" t="s">
        <v>6121</v>
      </c>
      <c r="AL771" s="15">
        <v>848.05</v>
      </c>
      <c r="AM771" s="51" t="s">
        <v>67</v>
      </c>
      <c r="AN771" s="51" t="s">
        <v>67</v>
      </c>
      <c r="AO771" s="50" t="s">
        <v>9554</v>
      </c>
    </row>
    <row r="772" spans="1:41" hidden="1" x14ac:dyDescent="0.25">
      <c r="A772" s="51" t="s">
        <v>4618</v>
      </c>
      <c r="B772" s="51" t="s">
        <v>4619</v>
      </c>
      <c r="C772" s="54" t="s">
        <v>2356</v>
      </c>
      <c r="D772" s="51" t="s">
        <v>4620</v>
      </c>
      <c r="E772" s="20">
        <v>6091.02</v>
      </c>
      <c r="F772" s="20">
        <v>942.37</v>
      </c>
      <c r="G772" s="20">
        <v>20601.71</v>
      </c>
      <c r="H772" s="20">
        <v>0</v>
      </c>
      <c r="I772" s="20">
        <v>942.37</v>
      </c>
      <c r="J772" s="51" t="s">
        <v>2654</v>
      </c>
      <c r="K772" s="15">
        <v>0</v>
      </c>
      <c r="L772" s="51" t="s">
        <v>2371</v>
      </c>
      <c r="M772" s="51" t="s">
        <v>4621</v>
      </c>
      <c r="N772" s="51" t="s">
        <v>1340</v>
      </c>
      <c r="O772" s="51" t="s">
        <v>67</v>
      </c>
      <c r="P772" s="51" t="s">
        <v>67</v>
      </c>
      <c r="Q772" s="45">
        <v>46281.560380196759</v>
      </c>
      <c r="R772" s="46">
        <v>46307</v>
      </c>
      <c r="S772" s="46">
        <v>46302</v>
      </c>
      <c r="T772" s="51" t="s">
        <v>6119</v>
      </c>
      <c r="U772" s="15"/>
      <c r="V772" s="15"/>
      <c r="W772" s="15"/>
      <c r="X772" s="15"/>
      <c r="Y772" s="15"/>
      <c r="Z772" s="15"/>
      <c r="AA772" s="46"/>
      <c r="AB772" s="15"/>
      <c r="AC772" s="15"/>
      <c r="AD772" s="15"/>
      <c r="AE772" s="15"/>
      <c r="AF772" s="15"/>
      <c r="AG772" s="15"/>
      <c r="AH772" s="15"/>
      <c r="AI772" s="46"/>
      <c r="AJ772" s="51" t="s">
        <v>67</v>
      </c>
      <c r="AK772" s="51" t="s">
        <v>67</v>
      </c>
      <c r="AL772" s="15"/>
      <c r="AM772" s="51" t="s">
        <v>67</v>
      </c>
      <c r="AN772" s="51" t="s">
        <v>67</v>
      </c>
      <c r="AO772" s="50" t="s">
        <v>9554</v>
      </c>
    </row>
    <row r="773" spans="1:41" hidden="1" x14ac:dyDescent="0.25">
      <c r="A773" s="51" t="s">
        <v>4622</v>
      </c>
      <c r="B773" s="51" t="s">
        <v>4623</v>
      </c>
      <c r="C773" s="54" t="s">
        <v>2691</v>
      </c>
      <c r="D773" s="51" t="s">
        <v>4624</v>
      </c>
      <c r="E773" s="20">
        <v>10747.99</v>
      </c>
      <c r="F773" s="20">
        <v>5031.22</v>
      </c>
      <c r="G773" s="20">
        <v>13203.26</v>
      </c>
      <c r="H773" s="20">
        <v>3870.86</v>
      </c>
      <c r="I773" s="20">
        <v>5031.22</v>
      </c>
      <c r="J773" s="51" t="s">
        <v>6727</v>
      </c>
      <c r="K773" s="15">
        <v>20</v>
      </c>
      <c r="L773" s="51" t="s">
        <v>2369</v>
      </c>
      <c r="M773" s="51" t="s">
        <v>4625</v>
      </c>
      <c r="N773" s="51" t="s">
        <v>1344</v>
      </c>
      <c r="O773" s="51" t="s">
        <v>67</v>
      </c>
      <c r="P773" s="51" t="s">
        <v>67</v>
      </c>
      <c r="Q773" s="45">
        <v>46281.560382118056</v>
      </c>
      <c r="R773" s="46">
        <v>46301</v>
      </c>
      <c r="S773" s="46">
        <v>46296</v>
      </c>
      <c r="T773" s="51" t="s">
        <v>6119</v>
      </c>
      <c r="U773" s="15">
        <v>848.05</v>
      </c>
      <c r="V773" s="15">
        <v>3921.84</v>
      </c>
      <c r="W773" s="15">
        <v>36.08</v>
      </c>
      <c r="X773" s="15">
        <v>14.9</v>
      </c>
      <c r="Y773" s="15">
        <v>1.662307</v>
      </c>
      <c r="Z773" s="15">
        <v>6</v>
      </c>
      <c r="AA773" s="46">
        <v>46271</v>
      </c>
      <c r="AB773" s="15"/>
      <c r="AC773" s="15"/>
      <c r="AD773" s="15"/>
      <c r="AE773" s="15"/>
      <c r="AF773" s="15"/>
      <c r="AG773" s="15"/>
      <c r="AH773" s="15"/>
      <c r="AI773" s="46"/>
      <c r="AJ773" s="51" t="s">
        <v>6121</v>
      </c>
      <c r="AK773" s="51" t="s">
        <v>6121</v>
      </c>
      <c r="AL773" s="15">
        <v>848.05</v>
      </c>
      <c r="AM773" s="51" t="s">
        <v>67</v>
      </c>
      <c r="AN773" s="51" t="s">
        <v>67</v>
      </c>
      <c r="AO773" s="50" t="s">
        <v>9554</v>
      </c>
    </row>
    <row r="774" spans="1:41" hidden="1" x14ac:dyDescent="0.25">
      <c r="A774" s="51" t="s">
        <v>4626</v>
      </c>
      <c r="B774" s="51" t="s">
        <v>4627</v>
      </c>
      <c r="C774" s="54" t="s">
        <v>5598</v>
      </c>
      <c r="D774" s="51" t="s">
        <v>4628</v>
      </c>
      <c r="E774" s="20">
        <v>15128.58</v>
      </c>
      <c r="F774" s="20">
        <v>740.73</v>
      </c>
      <c r="G774" s="20">
        <v>20082.330000000002</v>
      </c>
      <c r="H774" s="20">
        <v>894.41</v>
      </c>
      <c r="I774" s="20">
        <v>740.73</v>
      </c>
      <c r="J774" s="51" t="s">
        <v>6726</v>
      </c>
      <c r="K774" s="15">
        <v>0</v>
      </c>
      <c r="L774" s="51" t="s">
        <v>2371</v>
      </c>
      <c r="M774" s="51" t="s">
        <v>67</v>
      </c>
      <c r="N774" s="51" t="s">
        <v>67</v>
      </c>
      <c r="O774" s="51" t="s">
        <v>4629</v>
      </c>
      <c r="P774" s="51" t="s">
        <v>1340</v>
      </c>
      <c r="Q774" s="45">
        <v>46281.560384340279</v>
      </c>
      <c r="R774" s="46">
        <v>46318</v>
      </c>
      <c r="S774" s="46">
        <v>46313</v>
      </c>
      <c r="T774" s="51" t="s">
        <v>6119</v>
      </c>
      <c r="U774" s="15"/>
      <c r="V774" s="15"/>
      <c r="W774" s="15"/>
      <c r="X774" s="15"/>
      <c r="Y774" s="15"/>
      <c r="Z774" s="15"/>
      <c r="AA774" s="46"/>
      <c r="AB774" s="15"/>
      <c r="AC774" s="15"/>
      <c r="AD774" s="15"/>
      <c r="AE774" s="15"/>
      <c r="AF774" s="15"/>
      <c r="AG774" s="15"/>
      <c r="AH774" s="15"/>
      <c r="AI774" s="46"/>
      <c r="AJ774" s="51" t="s">
        <v>67</v>
      </c>
      <c r="AK774" s="51" t="s">
        <v>67</v>
      </c>
      <c r="AL774" s="15"/>
      <c r="AM774" s="51" t="s">
        <v>67</v>
      </c>
      <c r="AN774" s="51" t="s">
        <v>67</v>
      </c>
      <c r="AO774" s="50" t="s">
        <v>9554</v>
      </c>
    </row>
    <row r="775" spans="1:41" hidden="1" x14ac:dyDescent="0.25">
      <c r="A775" s="51" t="s">
        <v>4630</v>
      </c>
      <c r="B775" s="51" t="s">
        <v>4631</v>
      </c>
      <c r="C775" s="54" t="s">
        <v>2541</v>
      </c>
      <c r="D775" s="51" t="s">
        <v>4632</v>
      </c>
      <c r="E775" s="20">
        <v>6872.24</v>
      </c>
      <c r="F775" s="20">
        <v>840.39</v>
      </c>
      <c r="G775" s="20">
        <v>1387.21</v>
      </c>
      <c r="H775" s="20">
        <v>3870.86</v>
      </c>
      <c r="I775" s="20">
        <v>341.55</v>
      </c>
      <c r="J775" s="51" t="s">
        <v>6724</v>
      </c>
      <c r="K775" s="15">
        <v>0</v>
      </c>
      <c r="L775" s="51" t="s">
        <v>2371</v>
      </c>
      <c r="M775" s="51" t="s">
        <v>4633</v>
      </c>
      <c r="N775" s="51" t="s">
        <v>1340</v>
      </c>
      <c r="O775" s="51" t="s">
        <v>4634</v>
      </c>
      <c r="P775" s="51" t="s">
        <v>1340</v>
      </c>
      <c r="Q775" s="45">
        <v>46281.560386168981</v>
      </c>
      <c r="R775" s="46">
        <v>46311</v>
      </c>
      <c r="S775" s="46">
        <v>46306</v>
      </c>
      <c r="T775" s="51" t="s">
        <v>6119</v>
      </c>
      <c r="U775" s="15">
        <v>848.05</v>
      </c>
      <c r="V775" s="15">
        <v>3921.84</v>
      </c>
      <c r="W775" s="15">
        <v>36.08</v>
      </c>
      <c r="X775" s="15">
        <v>14.9</v>
      </c>
      <c r="Y775" s="15">
        <v>1.662307</v>
      </c>
      <c r="Z775" s="15">
        <v>6</v>
      </c>
      <c r="AA775" s="46">
        <v>46281</v>
      </c>
      <c r="AB775" s="15"/>
      <c r="AC775" s="15"/>
      <c r="AD775" s="15"/>
      <c r="AE775" s="15"/>
      <c r="AF775" s="15"/>
      <c r="AG775" s="15"/>
      <c r="AH775" s="15"/>
      <c r="AI775" s="46"/>
      <c r="AJ775" s="51" t="s">
        <v>67</v>
      </c>
      <c r="AK775" s="51" t="s">
        <v>6121</v>
      </c>
      <c r="AL775" s="15">
        <v>848.05</v>
      </c>
      <c r="AM775" s="51" t="s">
        <v>6705</v>
      </c>
      <c r="AN775" s="51" t="s">
        <v>6713</v>
      </c>
      <c r="AO775" s="50" t="s">
        <v>9554</v>
      </c>
    </row>
    <row r="776" spans="1:41" hidden="1" x14ac:dyDescent="0.25">
      <c r="A776" s="51" t="s">
        <v>4635</v>
      </c>
      <c r="B776" s="51" t="s">
        <v>4636</v>
      </c>
      <c r="C776" s="54" t="s">
        <v>5596</v>
      </c>
      <c r="D776" s="51" t="s">
        <v>4637</v>
      </c>
      <c r="E776" s="20">
        <v>3569.26</v>
      </c>
      <c r="F776" s="20">
        <v>752.98</v>
      </c>
      <c r="G776" s="20">
        <v>1868.78</v>
      </c>
      <c r="H776" s="20">
        <v>0</v>
      </c>
      <c r="I776" s="20">
        <v>752.98</v>
      </c>
      <c r="J776" s="51" t="s">
        <v>2654</v>
      </c>
      <c r="K776" s="15">
        <v>0</v>
      </c>
      <c r="L776" s="51" t="s">
        <v>2371</v>
      </c>
      <c r="M776" s="51" t="s">
        <v>67</v>
      </c>
      <c r="N776" s="51" t="s">
        <v>67</v>
      </c>
      <c r="O776" s="51" t="s">
        <v>4638</v>
      </c>
      <c r="P776" s="51" t="s">
        <v>1340</v>
      </c>
      <c r="Q776" s="45">
        <v>46281.560388310187</v>
      </c>
      <c r="R776" s="46">
        <v>46300</v>
      </c>
      <c r="S776" s="46">
        <v>46295</v>
      </c>
      <c r="T776" s="51" t="s">
        <v>6119</v>
      </c>
      <c r="U776" s="15"/>
      <c r="V776" s="15"/>
      <c r="W776" s="15"/>
      <c r="X776" s="15"/>
      <c r="Y776" s="15"/>
      <c r="Z776" s="15"/>
      <c r="AA776" s="46"/>
      <c r="AB776" s="15"/>
      <c r="AC776" s="15"/>
      <c r="AD776" s="15"/>
      <c r="AE776" s="15"/>
      <c r="AF776" s="15"/>
      <c r="AG776" s="15"/>
      <c r="AH776" s="15"/>
      <c r="AI776" s="46"/>
      <c r="AJ776" s="51" t="s">
        <v>67</v>
      </c>
      <c r="AK776" s="51" t="s">
        <v>67</v>
      </c>
      <c r="AL776" s="15"/>
      <c r="AM776" s="51" t="s">
        <v>67</v>
      </c>
      <c r="AN776" s="51" t="s">
        <v>67</v>
      </c>
      <c r="AO776" s="50" t="s">
        <v>9554</v>
      </c>
    </row>
    <row r="777" spans="1:41" hidden="1" x14ac:dyDescent="0.25">
      <c r="A777" s="51" t="s">
        <v>4639</v>
      </c>
      <c r="B777" s="51" t="s">
        <v>4640</v>
      </c>
      <c r="C777" s="54" t="s">
        <v>5604</v>
      </c>
      <c r="D777" s="51" t="s">
        <v>4641</v>
      </c>
      <c r="E777" s="20">
        <v>9002.44</v>
      </c>
      <c r="F777" s="20">
        <v>9362.74</v>
      </c>
      <c r="G777" s="20">
        <v>11939.07</v>
      </c>
      <c r="H777" s="20">
        <v>3870.86</v>
      </c>
      <c r="I777" s="20">
        <v>6352.07</v>
      </c>
      <c r="J777" s="51" t="s">
        <v>6727</v>
      </c>
      <c r="K777" s="15">
        <v>39</v>
      </c>
      <c r="L777" s="51" t="s">
        <v>2369</v>
      </c>
      <c r="M777" s="51" t="s">
        <v>4642</v>
      </c>
      <c r="N777" s="51" t="s">
        <v>1340</v>
      </c>
      <c r="O777" s="51" t="s">
        <v>4643</v>
      </c>
      <c r="P777" s="51" t="s">
        <v>1340</v>
      </c>
      <c r="Q777" s="45">
        <v>46281.560389988423</v>
      </c>
      <c r="R777" s="46">
        <v>46313</v>
      </c>
      <c r="S777" s="46">
        <v>46308</v>
      </c>
      <c r="T777" s="51" t="s">
        <v>6119</v>
      </c>
      <c r="U777" s="15">
        <v>849.8</v>
      </c>
      <c r="V777" s="15">
        <v>3922.15</v>
      </c>
      <c r="W777" s="15">
        <v>36.39</v>
      </c>
      <c r="X777" s="15">
        <v>14.9</v>
      </c>
      <c r="Y777" s="15">
        <v>1.6620440000000001</v>
      </c>
      <c r="Z777" s="15">
        <v>6</v>
      </c>
      <c r="AA777" s="46">
        <v>46252</v>
      </c>
      <c r="AB777" s="15">
        <v>212.9</v>
      </c>
      <c r="AC777" s="15">
        <v>387.09</v>
      </c>
      <c r="AD777" s="15">
        <v>38.71</v>
      </c>
      <c r="AE777" s="15">
        <v>582.26</v>
      </c>
      <c r="AF777" s="15">
        <v>3729.62</v>
      </c>
      <c r="AG777" s="15">
        <v>57.49</v>
      </c>
      <c r="AH777" s="15">
        <v>1.5861069999999999</v>
      </c>
      <c r="AI777" s="46">
        <v>46283</v>
      </c>
      <c r="AJ777" s="51" t="s">
        <v>6121</v>
      </c>
      <c r="AK777" s="51" t="s">
        <v>6121</v>
      </c>
      <c r="AL777" s="15">
        <v>849.8</v>
      </c>
      <c r="AM777" s="51" t="s">
        <v>67</v>
      </c>
      <c r="AN777" s="51" t="s">
        <v>67</v>
      </c>
      <c r="AO777" s="50" t="s">
        <v>9554</v>
      </c>
    </row>
    <row r="778" spans="1:41" hidden="1" x14ac:dyDescent="0.25">
      <c r="A778" s="51" t="s">
        <v>4644</v>
      </c>
      <c r="B778" s="51" t="s">
        <v>4645</v>
      </c>
      <c r="C778" s="54" t="s">
        <v>2689</v>
      </c>
      <c r="D778" s="51" t="s">
        <v>4646</v>
      </c>
      <c r="E778" s="20">
        <v>2476.92</v>
      </c>
      <c r="F778" s="20">
        <v>0</v>
      </c>
      <c r="G778" s="20">
        <v>3586.99</v>
      </c>
      <c r="H778" s="20">
        <v>0</v>
      </c>
      <c r="I778" s="20">
        <v>976.99</v>
      </c>
      <c r="J778" s="51" t="s">
        <v>2654</v>
      </c>
      <c r="K778" s="15">
        <v>0</v>
      </c>
      <c r="L778" s="51" t="s">
        <v>2371</v>
      </c>
      <c r="M778" s="51" t="s">
        <v>4647</v>
      </c>
      <c r="N778" s="51" t="s">
        <v>1340</v>
      </c>
      <c r="O778" s="51" t="s">
        <v>67</v>
      </c>
      <c r="P778" s="51" t="s">
        <v>67</v>
      </c>
      <c r="Q778" s="45">
        <v>46281.560392164349</v>
      </c>
      <c r="R778" s="46">
        <v>46317</v>
      </c>
      <c r="S778" s="46">
        <v>46312</v>
      </c>
      <c r="T778" s="51" t="s">
        <v>6119</v>
      </c>
      <c r="U778" s="15"/>
      <c r="V778" s="15"/>
      <c r="W778" s="15"/>
      <c r="X778" s="15"/>
      <c r="Y778" s="15"/>
      <c r="Z778" s="15"/>
      <c r="AA778" s="46"/>
      <c r="AB778" s="15"/>
      <c r="AC778" s="15"/>
      <c r="AD778" s="15"/>
      <c r="AE778" s="15"/>
      <c r="AF778" s="15"/>
      <c r="AG778" s="15"/>
      <c r="AH778" s="15"/>
      <c r="AI778" s="46"/>
      <c r="AJ778" s="51" t="s">
        <v>67</v>
      </c>
      <c r="AK778" s="51" t="s">
        <v>67</v>
      </c>
      <c r="AL778" s="15"/>
      <c r="AM778" s="51" t="s">
        <v>67</v>
      </c>
      <c r="AN778" s="51" t="s">
        <v>67</v>
      </c>
      <c r="AO778" s="50" t="s">
        <v>9554</v>
      </c>
    </row>
    <row r="779" spans="1:41" hidden="1" x14ac:dyDescent="0.25">
      <c r="A779" s="51" t="s">
        <v>4648</v>
      </c>
      <c r="B779" s="51" t="s">
        <v>4649</v>
      </c>
      <c r="C779" s="54" t="s">
        <v>5596</v>
      </c>
      <c r="D779" s="51" t="s">
        <v>4650</v>
      </c>
      <c r="E779" s="20">
        <v>12366.16</v>
      </c>
      <c r="F779" s="20">
        <v>4827.51</v>
      </c>
      <c r="G779" s="20">
        <v>14020.64</v>
      </c>
      <c r="H779" s="20">
        <v>3870.86</v>
      </c>
      <c r="I779" s="20">
        <v>4827.51</v>
      </c>
      <c r="J779" s="51" t="s">
        <v>6727</v>
      </c>
      <c r="K779" s="15">
        <v>21</v>
      </c>
      <c r="L779" s="51" t="s">
        <v>2369</v>
      </c>
      <c r="M779" s="51" t="s">
        <v>4651</v>
      </c>
      <c r="N779" s="51" t="s">
        <v>1340</v>
      </c>
      <c r="O779" s="51" t="s">
        <v>67</v>
      </c>
      <c r="P779" s="51" t="s">
        <v>67</v>
      </c>
      <c r="Q779" s="45">
        <v>46281.560393969907</v>
      </c>
      <c r="R779" s="46">
        <v>46300</v>
      </c>
      <c r="S779" s="46">
        <v>46295</v>
      </c>
      <c r="T779" s="51" t="s">
        <v>6119</v>
      </c>
      <c r="U779" s="15">
        <v>848.05</v>
      </c>
      <c r="V779" s="15">
        <v>3921.84</v>
      </c>
      <c r="W779" s="15">
        <v>36.08</v>
      </c>
      <c r="X779" s="15">
        <v>14.9</v>
      </c>
      <c r="Y779" s="15">
        <v>1.662307</v>
      </c>
      <c r="Z779" s="15">
        <v>6</v>
      </c>
      <c r="AA779" s="46">
        <v>46270</v>
      </c>
      <c r="AB779" s="15"/>
      <c r="AC779" s="15"/>
      <c r="AD779" s="15"/>
      <c r="AE779" s="15"/>
      <c r="AF779" s="15"/>
      <c r="AG779" s="15"/>
      <c r="AH779" s="15"/>
      <c r="AI779" s="46"/>
      <c r="AJ779" s="51" t="s">
        <v>6121</v>
      </c>
      <c r="AK779" s="51" t="s">
        <v>6121</v>
      </c>
      <c r="AL779" s="15">
        <v>848.05</v>
      </c>
      <c r="AM779" s="51" t="s">
        <v>67</v>
      </c>
      <c r="AN779" s="51" t="s">
        <v>67</v>
      </c>
      <c r="AO779" s="50" t="s">
        <v>9554</v>
      </c>
    </row>
    <row r="780" spans="1:41" hidden="1" x14ac:dyDescent="0.25">
      <c r="A780" s="51" t="s">
        <v>4652</v>
      </c>
      <c r="B780" s="51" t="s">
        <v>4653</v>
      </c>
      <c r="C780" s="54" t="s">
        <v>2692</v>
      </c>
      <c r="D780" s="51" t="s">
        <v>4654</v>
      </c>
      <c r="E780" s="20">
        <v>14826.69</v>
      </c>
      <c r="F780" s="20">
        <v>407.73</v>
      </c>
      <c r="G780" s="20">
        <v>19374.32</v>
      </c>
      <c r="H780" s="20">
        <v>0</v>
      </c>
      <c r="I780" s="20">
        <v>407.73</v>
      </c>
      <c r="J780" s="51" t="s">
        <v>2654</v>
      </c>
      <c r="K780" s="15">
        <v>0</v>
      </c>
      <c r="L780" s="51" t="s">
        <v>2371</v>
      </c>
      <c r="M780" s="51" t="s">
        <v>67</v>
      </c>
      <c r="N780" s="51" t="s">
        <v>67</v>
      </c>
      <c r="O780" s="51" t="s">
        <v>4655</v>
      </c>
      <c r="P780" s="51" t="s">
        <v>1340</v>
      </c>
      <c r="Q780" s="45">
        <v>46281.560396006942</v>
      </c>
      <c r="R780" s="46">
        <v>46296</v>
      </c>
      <c r="S780" s="46">
        <v>46291</v>
      </c>
      <c r="T780" s="51" t="s">
        <v>6119</v>
      </c>
      <c r="U780" s="15"/>
      <c r="V780" s="15"/>
      <c r="W780" s="15"/>
      <c r="X780" s="15"/>
      <c r="Y780" s="15"/>
      <c r="Z780" s="15"/>
      <c r="AA780" s="46"/>
      <c r="AB780" s="15"/>
      <c r="AC780" s="15"/>
      <c r="AD780" s="15"/>
      <c r="AE780" s="15"/>
      <c r="AF780" s="15"/>
      <c r="AG780" s="15"/>
      <c r="AH780" s="15"/>
      <c r="AI780" s="46"/>
      <c r="AJ780" s="51" t="s">
        <v>67</v>
      </c>
      <c r="AK780" s="51" t="s">
        <v>67</v>
      </c>
      <c r="AL780" s="15"/>
      <c r="AM780" s="51" t="s">
        <v>67</v>
      </c>
      <c r="AN780" s="51" t="s">
        <v>67</v>
      </c>
      <c r="AO780" s="50" t="s">
        <v>9554</v>
      </c>
    </row>
    <row r="781" spans="1:41" hidden="1" x14ac:dyDescent="0.25">
      <c r="A781" s="51" t="s">
        <v>4656</v>
      </c>
      <c r="B781" s="51" t="s">
        <v>4657</v>
      </c>
      <c r="C781" s="54" t="s">
        <v>5597</v>
      </c>
      <c r="D781" s="51" t="s">
        <v>4658</v>
      </c>
      <c r="E781" s="20">
        <v>521.95000000000005</v>
      </c>
      <c r="F781" s="20">
        <v>968.74</v>
      </c>
      <c r="G781" s="20">
        <v>8519.26</v>
      </c>
      <c r="H781" s="20">
        <v>968.74</v>
      </c>
      <c r="I781" s="20">
        <v>968.74</v>
      </c>
      <c r="J781" s="51" t="s">
        <v>6727</v>
      </c>
      <c r="K781" s="15">
        <v>0</v>
      </c>
      <c r="L781" s="51" t="s">
        <v>2371</v>
      </c>
      <c r="M781" s="51" t="s">
        <v>4659</v>
      </c>
      <c r="N781" s="51" t="s">
        <v>1340</v>
      </c>
      <c r="O781" s="51" t="s">
        <v>4660</v>
      </c>
      <c r="P781" s="51" t="s">
        <v>1340</v>
      </c>
      <c r="Q781" s="45">
        <v>46281.560397847221</v>
      </c>
      <c r="R781" s="46">
        <v>46321</v>
      </c>
      <c r="S781" s="46">
        <v>46316</v>
      </c>
      <c r="T781" s="51" t="s">
        <v>6119</v>
      </c>
      <c r="U781" s="15"/>
      <c r="V781" s="15"/>
      <c r="W781" s="15"/>
      <c r="X781" s="15"/>
      <c r="Y781" s="15"/>
      <c r="Z781" s="15"/>
      <c r="AA781" s="46"/>
      <c r="AB781" s="15"/>
      <c r="AC781" s="15"/>
      <c r="AD781" s="15"/>
      <c r="AE781" s="15"/>
      <c r="AF781" s="15"/>
      <c r="AG781" s="15"/>
      <c r="AH781" s="15"/>
      <c r="AI781" s="46"/>
      <c r="AJ781" s="51" t="s">
        <v>67</v>
      </c>
      <c r="AK781" s="51" t="s">
        <v>67</v>
      </c>
      <c r="AL781" s="15"/>
      <c r="AM781" s="51" t="s">
        <v>67</v>
      </c>
      <c r="AN781" s="51" t="s">
        <v>67</v>
      </c>
      <c r="AO781" s="50" t="s">
        <v>9554</v>
      </c>
    </row>
    <row r="782" spans="1:41" hidden="1" x14ac:dyDescent="0.25">
      <c r="A782" s="51" t="s">
        <v>4661</v>
      </c>
      <c r="B782" s="51" t="s">
        <v>4662</v>
      </c>
      <c r="C782" s="54" t="s">
        <v>2356</v>
      </c>
      <c r="D782" s="51" t="s">
        <v>4663</v>
      </c>
      <c r="E782" s="20">
        <v>1263.29</v>
      </c>
      <c r="F782" s="20">
        <v>5052.75</v>
      </c>
      <c r="G782" s="20">
        <v>9399.2900000000009</v>
      </c>
      <c r="H782" s="20">
        <v>3870.86</v>
      </c>
      <c r="I782" s="20">
        <v>5052.75</v>
      </c>
      <c r="J782" s="51" t="s">
        <v>6727</v>
      </c>
      <c r="K782" s="15">
        <v>14</v>
      </c>
      <c r="L782" s="51" t="s">
        <v>2369</v>
      </c>
      <c r="M782" s="51" t="s">
        <v>4664</v>
      </c>
      <c r="N782" s="51" t="s">
        <v>1340</v>
      </c>
      <c r="O782" s="51" t="s">
        <v>67</v>
      </c>
      <c r="P782" s="51" t="s">
        <v>67</v>
      </c>
      <c r="Q782" s="45">
        <v>46281.560399675924</v>
      </c>
      <c r="R782" s="46">
        <v>46307</v>
      </c>
      <c r="S782" s="46">
        <v>46302</v>
      </c>
      <c r="T782" s="51" t="s">
        <v>6119</v>
      </c>
      <c r="U782" s="15">
        <v>848.05</v>
      </c>
      <c r="V782" s="15">
        <v>3921.84</v>
      </c>
      <c r="W782" s="15">
        <v>36.08</v>
      </c>
      <c r="X782" s="15">
        <v>14.9</v>
      </c>
      <c r="Y782" s="15">
        <v>1.662307</v>
      </c>
      <c r="Z782" s="15">
        <v>6</v>
      </c>
      <c r="AA782" s="46">
        <v>46277</v>
      </c>
      <c r="AB782" s="15"/>
      <c r="AC782" s="15"/>
      <c r="AD782" s="15"/>
      <c r="AE782" s="15"/>
      <c r="AF782" s="15"/>
      <c r="AG782" s="15"/>
      <c r="AH782" s="15"/>
      <c r="AI782" s="46"/>
      <c r="AJ782" s="51" t="s">
        <v>6121</v>
      </c>
      <c r="AK782" s="51" t="s">
        <v>6121</v>
      </c>
      <c r="AL782" s="15">
        <v>848.05</v>
      </c>
      <c r="AM782" s="51" t="s">
        <v>67</v>
      </c>
      <c r="AN782" s="51" t="s">
        <v>67</v>
      </c>
      <c r="AO782" s="50" t="s">
        <v>9554</v>
      </c>
    </row>
    <row r="783" spans="1:41" hidden="1" x14ac:dyDescent="0.25">
      <c r="A783" s="51" t="s">
        <v>4665</v>
      </c>
      <c r="B783" s="51" t="s">
        <v>4666</v>
      </c>
      <c r="C783" s="54" t="s">
        <v>5603</v>
      </c>
      <c r="D783" s="51" t="s">
        <v>4667</v>
      </c>
      <c r="E783" s="20">
        <v>10388.23</v>
      </c>
      <c r="F783" s="20">
        <v>561.63</v>
      </c>
      <c r="G783" s="20">
        <v>14152.45</v>
      </c>
      <c r="H783" s="20">
        <v>0</v>
      </c>
      <c r="I783" s="20">
        <v>561.63</v>
      </c>
      <c r="J783" s="51" t="s">
        <v>2654</v>
      </c>
      <c r="K783" s="15">
        <v>0</v>
      </c>
      <c r="L783" s="51" t="s">
        <v>2371</v>
      </c>
      <c r="M783" s="51" t="s">
        <v>4668</v>
      </c>
      <c r="N783" s="51" t="s">
        <v>1344</v>
      </c>
      <c r="O783" s="51" t="s">
        <v>67</v>
      </c>
      <c r="P783" s="51" t="s">
        <v>67</v>
      </c>
      <c r="Q783" s="45">
        <v>46281.56040170139</v>
      </c>
      <c r="R783" s="46">
        <v>46298</v>
      </c>
      <c r="S783" s="46">
        <v>46293</v>
      </c>
      <c r="T783" s="51" t="s">
        <v>6119</v>
      </c>
      <c r="U783" s="15"/>
      <c r="V783" s="15"/>
      <c r="W783" s="15"/>
      <c r="X783" s="15"/>
      <c r="Y783" s="15"/>
      <c r="Z783" s="15"/>
      <c r="AA783" s="46"/>
      <c r="AB783" s="15"/>
      <c r="AC783" s="15"/>
      <c r="AD783" s="15"/>
      <c r="AE783" s="15"/>
      <c r="AF783" s="15"/>
      <c r="AG783" s="15"/>
      <c r="AH783" s="15"/>
      <c r="AI783" s="46"/>
      <c r="AJ783" s="51" t="s">
        <v>67</v>
      </c>
      <c r="AK783" s="51" t="s">
        <v>67</v>
      </c>
      <c r="AL783" s="15"/>
      <c r="AM783" s="51" t="s">
        <v>67</v>
      </c>
      <c r="AN783" s="51" t="s">
        <v>67</v>
      </c>
      <c r="AO783" s="50" t="s">
        <v>9554</v>
      </c>
    </row>
    <row r="784" spans="1:41" hidden="1" x14ac:dyDescent="0.25">
      <c r="A784" s="51" t="s">
        <v>4669</v>
      </c>
      <c r="B784" s="51" t="s">
        <v>4670</v>
      </c>
      <c r="C784" s="54" t="s">
        <v>5601</v>
      </c>
      <c r="D784" s="51" t="s">
        <v>4671</v>
      </c>
      <c r="E784" s="20">
        <v>4250.95</v>
      </c>
      <c r="F784" s="20">
        <v>8143.56</v>
      </c>
      <c r="G784" s="20">
        <v>11278</v>
      </c>
      <c r="H784" s="20">
        <v>3870.86</v>
      </c>
      <c r="I784" s="20">
        <v>6853.27</v>
      </c>
      <c r="J784" s="51" t="s">
        <v>6727</v>
      </c>
      <c r="K784" s="15">
        <v>36</v>
      </c>
      <c r="L784" s="51" t="s">
        <v>2369</v>
      </c>
      <c r="M784" s="51" t="s">
        <v>4672</v>
      </c>
      <c r="N784" s="51" t="s">
        <v>1340</v>
      </c>
      <c r="O784" s="51" t="s">
        <v>67</v>
      </c>
      <c r="P784" s="51" t="s">
        <v>67</v>
      </c>
      <c r="Q784" s="45">
        <v>46281.560403657408</v>
      </c>
      <c r="R784" s="46">
        <v>46316</v>
      </c>
      <c r="S784" s="46">
        <v>46311</v>
      </c>
      <c r="T784" s="51" t="s">
        <v>6119</v>
      </c>
      <c r="U784" s="15">
        <v>849.8</v>
      </c>
      <c r="V784" s="15">
        <v>3922.15</v>
      </c>
      <c r="W784" s="15">
        <v>36.39</v>
      </c>
      <c r="X784" s="15">
        <v>14.9</v>
      </c>
      <c r="Y784" s="15">
        <v>1.6620440000000001</v>
      </c>
      <c r="Z784" s="15">
        <v>6</v>
      </c>
      <c r="AA784" s="46">
        <v>46255</v>
      </c>
      <c r="AB784" s="15"/>
      <c r="AC784" s="15"/>
      <c r="AD784" s="15"/>
      <c r="AE784" s="15"/>
      <c r="AF784" s="15"/>
      <c r="AG784" s="15"/>
      <c r="AH784" s="15"/>
      <c r="AI784" s="46"/>
      <c r="AJ784" s="51" t="s">
        <v>6121</v>
      </c>
      <c r="AK784" s="51" t="s">
        <v>6121</v>
      </c>
      <c r="AL784" s="15">
        <v>849.8</v>
      </c>
      <c r="AM784" s="51" t="s">
        <v>67</v>
      </c>
      <c r="AN784" s="51" t="s">
        <v>67</v>
      </c>
      <c r="AO784" s="50" t="s">
        <v>9554</v>
      </c>
    </row>
    <row r="785" spans="1:41" hidden="1" x14ac:dyDescent="0.25">
      <c r="A785" s="51" t="s">
        <v>4673</v>
      </c>
      <c r="B785" s="51" t="s">
        <v>4674</v>
      </c>
      <c r="C785" s="54" t="s">
        <v>5600</v>
      </c>
      <c r="D785" s="51" t="s">
        <v>4675</v>
      </c>
      <c r="E785" s="20">
        <v>5602.27</v>
      </c>
      <c r="F785" s="20">
        <v>4881.1499999999996</v>
      </c>
      <c r="G785" s="20">
        <v>832.31</v>
      </c>
      <c r="H785" s="20">
        <v>3870.86</v>
      </c>
      <c r="I785" s="20">
        <v>4881.1499999999996</v>
      </c>
      <c r="J785" s="51" t="s">
        <v>6727</v>
      </c>
      <c r="K785" s="15">
        <v>17</v>
      </c>
      <c r="L785" s="51" t="s">
        <v>2369</v>
      </c>
      <c r="M785" s="51" t="s">
        <v>4676</v>
      </c>
      <c r="N785" s="51" t="s">
        <v>1340</v>
      </c>
      <c r="O785" s="51" t="s">
        <v>67</v>
      </c>
      <c r="P785" s="51" t="s">
        <v>67</v>
      </c>
      <c r="Q785" s="45">
        <v>46281.560405821758</v>
      </c>
      <c r="R785" s="46">
        <v>46304</v>
      </c>
      <c r="S785" s="46">
        <v>46299</v>
      </c>
      <c r="T785" s="51" t="s">
        <v>6119</v>
      </c>
      <c r="U785" s="15">
        <v>848.05</v>
      </c>
      <c r="V785" s="15">
        <v>3921.84</v>
      </c>
      <c r="W785" s="15">
        <v>36.08</v>
      </c>
      <c r="X785" s="15">
        <v>14.9</v>
      </c>
      <c r="Y785" s="15">
        <v>1.662307</v>
      </c>
      <c r="Z785" s="15">
        <v>6</v>
      </c>
      <c r="AA785" s="46">
        <v>46274</v>
      </c>
      <c r="AB785" s="15"/>
      <c r="AC785" s="15"/>
      <c r="AD785" s="15"/>
      <c r="AE785" s="15"/>
      <c r="AF785" s="15"/>
      <c r="AG785" s="15"/>
      <c r="AH785" s="15"/>
      <c r="AI785" s="46"/>
      <c r="AJ785" s="51" t="s">
        <v>6121</v>
      </c>
      <c r="AK785" s="51" t="s">
        <v>6121</v>
      </c>
      <c r="AL785" s="15">
        <v>848.05</v>
      </c>
      <c r="AM785" s="51" t="s">
        <v>67</v>
      </c>
      <c r="AN785" s="51" t="s">
        <v>67</v>
      </c>
      <c r="AO785" s="50" t="s">
        <v>9554</v>
      </c>
    </row>
    <row r="786" spans="1:41" hidden="1" x14ac:dyDescent="0.25">
      <c r="A786" s="51" t="s">
        <v>4677</v>
      </c>
      <c r="B786" s="51" t="s">
        <v>4678</v>
      </c>
      <c r="C786" s="54" t="s">
        <v>5605</v>
      </c>
      <c r="D786" s="51" t="s">
        <v>4679</v>
      </c>
      <c r="E786" s="20">
        <v>7664.09</v>
      </c>
      <c r="F786" s="20">
        <v>2098.36</v>
      </c>
      <c r="G786" s="20">
        <v>1096.8800000000001</v>
      </c>
      <c r="H786" s="20">
        <v>4458.2700000000004</v>
      </c>
      <c r="I786" s="20">
        <v>2098.36</v>
      </c>
      <c r="J786" s="51" t="s">
        <v>6726</v>
      </c>
      <c r="K786" s="15">
        <v>0</v>
      </c>
      <c r="L786" s="51" t="s">
        <v>2371</v>
      </c>
      <c r="M786" s="51" t="s">
        <v>4680</v>
      </c>
      <c r="N786" s="51" t="s">
        <v>1340</v>
      </c>
      <c r="O786" s="51" t="s">
        <v>67</v>
      </c>
      <c r="P786" s="51" t="s">
        <v>67</v>
      </c>
      <c r="Q786" s="45">
        <v>46281.560407847224</v>
      </c>
      <c r="R786" s="46">
        <v>46323</v>
      </c>
      <c r="S786" s="46">
        <v>46318</v>
      </c>
      <c r="T786" s="51" t="s">
        <v>6119</v>
      </c>
      <c r="U786" s="15">
        <v>849.8</v>
      </c>
      <c r="V786" s="15">
        <v>3922.15</v>
      </c>
      <c r="W786" s="15">
        <v>36.39</v>
      </c>
      <c r="X786" s="15">
        <v>14.9</v>
      </c>
      <c r="Y786" s="15">
        <v>1.6620440000000001</v>
      </c>
      <c r="Z786" s="15">
        <v>6</v>
      </c>
      <c r="AA786" s="46">
        <v>46262</v>
      </c>
      <c r="AB786" s="15"/>
      <c r="AC786" s="15"/>
      <c r="AD786" s="15"/>
      <c r="AE786" s="15"/>
      <c r="AF786" s="15"/>
      <c r="AG786" s="15"/>
      <c r="AH786" s="15"/>
      <c r="AI786" s="46"/>
      <c r="AJ786" s="51" t="s">
        <v>67</v>
      </c>
      <c r="AK786" s="51" t="s">
        <v>6121</v>
      </c>
      <c r="AL786" s="15">
        <v>849.8</v>
      </c>
      <c r="AM786" s="51" t="s">
        <v>6705</v>
      </c>
      <c r="AN786" s="51" t="s">
        <v>6713</v>
      </c>
      <c r="AO786" s="50" t="s">
        <v>9554</v>
      </c>
    </row>
    <row r="787" spans="1:41" hidden="1" x14ac:dyDescent="0.25">
      <c r="A787" s="51" t="s">
        <v>4681</v>
      </c>
      <c r="B787" s="51" t="s">
        <v>4682</v>
      </c>
      <c r="C787" s="54" t="s">
        <v>5605</v>
      </c>
      <c r="D787" s="51" t="s">
        <v>4683</v>
      </c>
      <c r="E787" s="20">
        <v>14218.44</v>
      </c>
      <c r="F787" s="20">
        <v>549.67999999999995</v>
      </c>
      <c r="G787" s="20">
        <v>14190.86</v>
      </c>
      <c r="H787" s="20">
        <v>549.67999999999995</v>
      </c>
      <c r="I787" s="20">
        <v>549.67999999999995</v>
      </c>
      <c r="J787" s="51" t="s">
        <v>6727</v>
      </c>
      <c r="K787" s="15">
        <v>0</v>
      </c>
      <c r="L787" s="51" t="s">
        <v>2371</v>
      </c>
      <c r="M787" s="51" t="s">
        <v>4684</v>
      </c>
      <c r="N787" s="51" t="s">
        <v>1344</v>
      </c>
      <c r="O787" s="51" t="s">
        <v>4685</v>
      </c>
      <c r="P787" s="51" t="s">
        <v>1344</v>
      </c>
      <c r="Q787" s="45">
        <v>46281.560410138889</v>
      </c>
      <c r="R787" s="46">
        <v>46323</v>
      </c>
      <c r="S787" s="46">
        <v>46318</v>
      </c>
      <c r="T787" s="51" t="s">
        <v>6119</v>
      </c>
      <c r="U787" s="15"/>
      <c r="V787" s="15"/>
      <c r="W787" s="15"/>
      <c r="X787" s="15"/>
      <c r="Y787" s="15"/>
      <c r="Z787" s="15"/>
      <c r="AA787" s="46"/>
      <c r="AB787" s="15"/>
      <c r="AC787" s="15"/>
      <c r="AD787" s="15"/>
      <c r="AE787" s="15"/>
      <c r="AF787" s="15"/>
      <c r="AG787" s="15"/>
      <c r="AH787" s="15"/>
      <c r="AI787" s="46"/>
      <c r="AJ787" s="51" t="s">
        <v>67</v>
      </c>
      <c r="AK787" s="51" t="s">
        <v>67</v>
      </c>
      <c r="AL787" s="15"/>
      <c r="AM787" s="51" t="s">
        <v>67</v>
      </c>
      <c r="AN787" s="51" t="s">
        <v>67</v>
      </c>
      <c r="AO787" s="50" t="s">
        <v>9554</v>
      </c>
    </row>
    <row r="788" spans="1:41" hidden="1" x14ac:dyDescent="0.25">
      <c r="A788" s="51" t="s">
        <v>4686</v>
      </c>
      <c r="B788" s="51" t="s">
        <v>4687</v>
      </c>
      <c r="C788" s="54" t="s">
        <v>5604</v>
      </c>
      <c r="D788" s="51" t="s">
        <v>4688</v>
      </c>
      <c r="E788" s="20">
        <v>8473.8799999999992</v>
      </c>
      <c r="F788" s="20">
        <v>9446.07</v>
      </c>
      <c r="G788" s="20">
        <v>8748.1</v>
      </c>
      <c r="H788" s="20">
        <v>3870.86</v>
      </c>
      <c r="I788" s="20">
        <v>7725.68</v>
      </c>
      <c r="J788" s="51" t="s">
        <v>6727</v>
      </c>
      <c r="K788" s="15">
        <v>39</v>
      </c>
      <c r="L788" s="51" t="s">
        <v>2369</v>
      </c>
      <c r="M788" s="51" t="s">
        <v>4689</v>
      </c>
      <c r="N788" s="51" t="s">
        <v>1344</v>
      </c>
      <c r="O788" s="51" t="s">
        <v>4690</v>
      </c>
      <c r="P788" s="51" t="s">
        <v>1344</v>
      </c>
      <c r="Q788" s="45">
        <v>46281.560411921295</v>
      </c>
      <c r="R788" s="46">
        <v>46313</v>
      </c>
      <c r="S788" s="46">
        <v>46308</v>
      </c>
      <c r="T788" s="51" t="s">
        <v>6119</v>
      </c>
      <c r="U788" s="15">
        <v>849.8</v>
      </c>
      <c r="V788" s="15">
        <v>3922.15</v>
      </c>
      <c r="W788" s="15">
        <v>36.39</v>
      </c>
      <c r="X788" s="15">
        <v>14.9</v>
      </c>
      <c r="Y788" s="15">
        <v>1.6620440000000001</v>
      </c>
      <c r="Z788" s="15">
        <v>6</v>
      </c>
      <c r="AA788" s="46">
        <v>46252</v>
      </c>
      <c r="AB788" s="15">
        <v>212.9</v>
      </c>
      <c r="AC788" s="15">
        <v>387.09</v>
      </c>
      <c r="AD788" s="15">
        <v>38.71</v>
      </c>
      <c r="AE788" s="15">
        <v>582.26</v>
      </c>
      <c r="AF788" s="15">
        <v>3729.62</v>
      </c>
      <c r="AG788" s="15">
        <v>57.49</v>
      </c>
      <c r="AH788" s="15">
        <v>1.5861069999999999</v>
      </c>
      <c r="AI788" s="46">
        <v>46283</v>
      </c>
      <c r="AJ788" s="51" t="s">
        <v>6121</v>
      </c>
      <c r="AK788" s="51" t="s">
        <v>6121</v>
      </c>
      <c r="AL788" s="15">
        <v>849.8</v>
      </c>
      <c r="AM788" s="51" t="s">
        <v>67</v>
      </c>
      <c r="AN788" s="51" t="s">
        <v>67</v>
      </c>
      <c r="AO788" s="50" t="s">
        <v>9554</v>
      </c>
    </row>
    <row r="789" spans="1:41" hidden="1" x14ac:dyDescent="0.25">
      <c r="A789" s="51" t="s">
        <v>4691</v>
      </c>
      <c r="B789" s="51" t="s">
        <v>4692</v>
      </c>
      <c r="C789" s="54" t="s">
        <v>5606</v>
      </c>
      <c r="D789" s="51" t="s">
        <v>4693</v>
      </c>
      <c r="E789" s="20">
        <v>13531.28</v>
      </c>
      <c r="F789" s="20">
        <v>4911.53</v>
      </c>
      <c r="G789" s="20">
        <v>3330.8</v>
      </c>
      <c r="H789" s="20">
        <v>3870.86</v>
      </c>
      <c r="I789" s="20">
        <v>4911.53</v>
      </c>
      <c r="J789" s="51" t="s">
        <v>6727</v>
      </c>
      <c r="K789" s="15">
        <v>24</v>
      </c>
      <c r="L789" s="51" t="s">
        <v>2369</v>
      </c>
      <c r="M789" s="51" t="s">
        <v>4694</v>
      </c>
      <c r="N789" s="51" t="s">
        <v>1340</v>
      </c>
      <c r="O789" s="51" t="s">
        <v>67</v>
      </c>
      <c r="P789" s="51" t="s">
        <v>67</v>
      </c>
      <c r="Q789" s="45">
        <v>46281.560413969906</v>
      </c>
      <c r="R789" s="46">
        <v>46297</v>
      </c>
      <c r="S789" s="46">
        <v>46292</v>
      </c>
      <c r="T789" s="51" t="s">
        <v>6119</v>
      </c>
      <c r="U789" s="15">
        <v>848.05</v>
      </c>
      <c r="V789" s="15">
        <v>3921.84</v>
      </c>
      <c r="W789" s="15">
        <v>36.08</v>
      </c>
      <c r="X789" s="15">
        <v>14.9</v>
      </c>
      <c r="Y789" s="15">
        <v>1.662307</v>
      </c>
      <c r="Z789" s="15">
        <v>6</v>
      </c>
      <c r="AA789" s="46">
        <v>46267</v>
      </c>
      <c r="AB789" s="15"/>
      <c r="AC789" s="15"/>
      <c r="AD789" s="15"/>
      <c r="AE789" s="15"/>
      <c r="AF789" s="15"/>
      <c r="AG789" s="15"/>
      <c r="AH789" s="15"/>
      <c r="AI789" s="46"/>
      <c r="AJ789" s="51" t="s">
        <v>6121</v>
      </c>
      <c r="AK789" s="51" t="s">
        <v>6121</v>
      </c>
      <c r="AL789" s="15">
        <v>848.05</v>
      </c>
      <c r="AM789" s="51" t="s">
        <v>67</v>
      </c>
      <c r="AN789" s="51" t="s">
        <v>67</v>
      </c>
      <c r="AO789" s="50" t="s">
        <v>9554</v>
      </c>
    </row>
    <row r="790" spans="1:41" hidden="1" x14ac:dyDescent="0.25">
      <c r="A790" s="51" t="s">
        <v>4695</v>
      </c>
      <c r="B790" s="51" t="s">
        <v>4696</v>
      </c>
      <c r="C790" s="54" t="s">
        <v>2357</v>
      </c>
      <c r="D790" s="51" t="s">
        <v>4697</v>
      </c>
      <c r="E790" s="20">
        <v>2654.42</v>
      </c>
      <c r="F790" s="20">
        <v>811.07</v>
      </c>
      <c r="G790" s="20">
        <v>14892.58</v>
      </c>
      <c r="H790" s="20">
        <v>0</v>
      </c>
      <c r="I790" s="20">
        <v>811.07</v>
      </c>
      <c r="J790" s="51" t="s">
        <v>2654</v>
      </c>
      <c r="K790" s="15">
        <v>0</v>
      </c>
      <c r="L790" s="51" t="s">
        <v>2371</v>
      </c>
      <c r="M790" s="51" t="s">
        <v>4698</v>
      </c>
      <c r="N790" s="51" t="s">
        <v>1340</v>
      </c>
      <c r="O790" s="51" t="s">
        <v>67</v>
      </c>
      <c r="P790" s="51" t="s">
        <v>67</v>
      </c>
      <c r="Q790" s="45">
        <v>46281.560416273147</v>
      </c>
      <c r="R790" s="46">
        <v>46308</v>
      </c>
      <c r="S790" s="46">
        <v>46303</v>
      </c>
      <c r="T790" s="51" t="s">
        <v>6119</v>
      </c>
      <c r="U790" s="15"/>
      <c r="V790" s="15"/>
      <c r="W790" s="15"/>
      <c r="X790" s="15"/>
      <c r="Y790" s="15"/>
      <c r="Z790" s="15"/>
      <c r="AA790" s="46"/>
      <c r="AB790" s="15"/>
      <c r="AC790" s="15"/>
      <c r="AD790" s="15"/>
      <c r="AE790" s="15"/>
      <c r="AF790" s="15"/>
      <c r="AG790" s="15"/>
      <c r="AH790" s="15"/>
      <c r="AI790" s="46"/>
      <c r="AJ790" s="51" t="s">
        <v>67</v>
      </c>
      <c r="AK790" s="51" t="s">
        <v>67</v>
      </c>
      <c r="AL790" s="15"/>
      <c r="AM790" s="51" t="s">
        <v>67</v>
      </c>
      <c r="AN790" s="51" t="s">
        <v>67</v>
      </c>
      <c r="AO790" s="50" t="s">
        <v>9554</v>
      </c>
    </row>
    <row r="791" spans="1:41" hidden="1" x14ac:dyDescent="0.25">
      <c r="A791" s="51" t="s">
        <v>4699</v>
      </c>
      <c r="B791" s="51" t="s">
        <v>4700</v>
      </c>
      <c r="C791" s="54" t="s">
        <v>611</v>
      </c>
      <c r="D791" s="51" t="s">
        <v>4701</v>
      </c>
      <c r="E791" s="20">
        <v>13077.15</v>
      </c>
      <c r="F791" s="20">
        <v>421.47</v>
      </c>
      <c r="G791" s="20">
        <v>4486.5</v>
      </c>
      <c r="H791" s="20">
        <v>409.45</v>
      </c>
      <c r="I791" s="20">
        <v>421.47</v>
      </c>
      <c r="J791" s="51" t="s">
        <v>6727</v>
      </c>
      <c r="K791" s="15">
        <v>1</v>
      </c>
      <c r="L791" s="51" t="s">
        <v>2369</v>
      </c>
      <c r="M791" s="51" t="s">
        <v>4702</v>
      </c>
      <c r="N791" s="51" t="s">
        <v>1340</v>
      </c>
      <c r="O791" s="51" t="s">
        <v>67</v>
      </c>
      <c r="P791" s="51" t="s">
        <v>67</v>
      </c>
      <c r="Q791" s="45">
        <v>46281.560418113426</v>
      </c>
      <c r="R791" s="46">
        <v>46320</v>
      </c>
      <c r="S791" s="46">
        <v>46315</v>
      </c>
      <c r="T791" s="51" t="s">
        <v>6119</v>
      </c>
      <c r="U791" s="15"/>
      <c r="V791" s="15"/>
      <c r="W791" s="15"/>
      <c r="X791" s="15"/>
      <c r="Y791" s="15"/>
      <c r="Z791" s="15"/>
      <c r="AA791" s="46"/>
      <c r="AB791" s="15"/>
      <c r="AC791" s="15"/>
      <c r="AD791" s="15"/>
      <c r="AE791" s="15"/>
      <c r="AF791" s="15"/>
      <c r="AG791" s="15"/>
      <c r="AH791" s="15"/>
      <c r="AI791" s="46"/>
      <c r="AJ791" s="51" t="s">
        <v>67</v>
      </c>
      <c r="AK791" s="51" t="s">
        <v>67</v>
      </c>
      <c r="AL791" s="15"/>
      <c r="AM791" s="51" t="s">
        <v>67</v>
      </c>
      <c r="AN791" s="51" t="s">
        <v>67</v>
      </c>
      <c r="AO791" s="50" t="s">
        <v>9554</v>
      </c>
    </row>
    <row r="792" spans="1:41" hidden="1" x14ac:dyDescent="0.25">
      <c r="A792" s="51" t="s">
        <v>4703</v>
      </c>
      <c r="B792" s="51" t="s">
        <v>4704</v>
      </c>
      <c r="C792" s="54" t="s">
        <v>2693</v>
      </c>
      <c r="D792" s="51" t="s">
        <v>4705</v>
      </c>
      <c r="E792" s="20">
        <v>7737.08</v>
      </c>
      <c r="F792" s="20">
        <v>183.41</v>
      </c>
      <c r="G792" s="20">
        <v>3228.73</v>
      </c>
      <c r="H792" s="20">
        <v>0</v>
      </c>
      <c r="I792" s="20">
        <v>550.24</v>
      </c>
      <c r="J792" s="51" t="s">
        <v>2654</v>
      </c>
      <c r="K792" s="15">
        <v>0</v>
      </c>
      <c r="L792" s="51" t="s">
        <v>2371</v>
      </c>
      <c r="M792" s="51" t="s">
        <v>4706</v>
      </c>
      <c r="N792" s="51" t="s">
        <v>1340</v>
      </c>
      <c r="O792" s="51" t="s">
        <v>4707</v>
      </c>
      <c r="P792" s="51" t="s">
        <v>1340</v>
      </c>
      <c r="Q792" s="45">
        <v>46281.56041982639</v>
      </c>
      <c r="R792" s="46">
        <v>46314</v>
      </c>
      <c r="S792" s="46">
        <v>46309</v>
      </c>
      <c r="T792" s="51" t="s">
        <v>6119</v>
      </c>
      <c r="U792" s="15"/>
      <c r="V792" s="15"/>
      <c r="W792" s="15"/>
      <c r="X792" s="15"/>
      <c r="Y792" s="15"/>
      <c r="Z792" s="15"/>
      <c r="AA792" s="46"/>
      <c r="AB792" s="15"/>
      <c r="AC792" s="15"/>
      <c r="AD792" s="15"/>
      <c r="AE792" s="15"/>
      <c r="AF792" s="15"/>
      <c r="AG792" s="15"/>
      <c r="AH792" s="15"/>
      <c r="AI792" s="46"/>
      <c r="AJ792" s="51" t="s">
        <v>67</v>
      </c>
      <c r="AK792" s="51" t="s">
        <v>67</v>
      </c>
      <c r="AL792" s="15"/>
      <c r="AM792" s="51" t="s">
        <v>67</v>
      </c>
      <c r="AN792" s="51" t="s">
        <v>67</v>
      </c>
      <c r="AO792" s="50" t="s">
        <v>9554</v>
      </c>
    </row>
    <row r="793" spans="1:41" hidden="1" x14ac:dyDescent="0.25">
      <c r="A793" s="51" t="s">
        <v>4708</v>
      </c>
      <c r="B793" s="51" t="s">
        <v>4709</v>
      </c>
      <c r="C793" s="54" t="s">
        <v>5608</v>
      </c>
      <c r="D793" s="51" t="s">
        <v>4710</v>
      </c>
      <c r="E793" s="20">
        <v>1244.79</v>
      </c>
      <c r="F793" s="20">
        <v>9175.56</v>
      </c>
      <c r="G793" s="20">
        <v>11786.82</v>
      </c>
      <c r="H793" s="20">
        <v>8375.1200000000008</v>
      </c>
      <c r="I793" s="20">
        <v>9175.56</v>
      </c>
      <c r="J793" s="51" t="s">
        <v>6727</v>
      </c>
      <c r="K793" s="15">
        <v>33</v>
      </c>
      <c r="L793" s="51" t="s">
        <v>2369</v>
      </c>
      <c r="M793" s="51" t="s">
        <v>4711</v>
      </c>
      <c r="N793" s="51" t="s">
        <v>1344</v>
      </c>
      <c r="O793" s="51" t="s">
        <v>67</v>
      </c>
      <c r="P793" s="51" t="s">
        <v>67</v>
      </c>
      <c r="Q793" s="45">
        <v>46281.560421736111</v>
      </c>
      <c r="R793" s="46">
        <v>46319</v>
      </c>
      <c r="S793" s="46">
        <v>46314</v>
      </c>
      <c r="T793" s="51" t="s">
        <v>6119</v>
      </c>
      <c r="U793" s="15">
        <v>849.8</v>
      </c>
      <c r="V793" s="15">
        <v>3922.15</v>
      </c>
      <c r="W793" s="15">
        <v>36.39</v>
      </c>
      <c r="X793" s="15">
        <v>14.9</v>
      </c>
      <c r="Y793" s="15">
        <v>1.6620440000000001</v>
      </c>
      <c r="Z793" s="15">
        <v>6</v>
      </c>
      <c r="AA793" s="46">
        <v>46258</v>
      </c>
      <c r="AB793" s="15"/>
      <c r="AC793" s="15"/>
      <c r="AD793" s="15"/>
      <c r="AE793" s="15"/>
      <c r="AF793" s="15"/>
      <c r="AG793" s="15"/>
      <c r="AH793" s="15"/>
      <c r="AI793" s="46"/>
      <c r="AJ793" s="51" t="s">
        <v>6121</v>
      </c>
      <c r="AK793" s="51" t="s">
        <v>6121</v>
      </c>
      <c r="AL793" s="15">
        <v>849.8</v>
      </c>
      <c r="AM793" s="51" t="s">
        <v>6705</v>
      </c>
      <c r="AN793" s="51" t="s">
        <v>6716</v>
      </c>
      <c r="AO793" s="50" t="s">
        <v>9554</v>
      </c>
    </row>
    <row r="794" spans="1:41" hidden="1" x14ac:dyDescent="0.25">
      <c r="A794" s="51" t="s">
        <v>4712</v>
      </c>
      <c r="B794" s="51" t="s">
        <v>4713</v>
      </c>
      <c r="C794" s="54" t="s">
        <v>5608</v>
      </c>
      <c r="D794" s="51" t="s">
        <v>4714</v>
      </c>
      <c r="E794" s="20">
        <v>4560.17</v>
      </c>
      <c r="F794" s="20">
        <v>993.9</v>
      </c>
      <c r="G794" s="20">
        <v>16501.439999999999</v>
      </c>
      <c r="H794" s="20">
        <v>960.39</v>
      </c>
      <c r="I794" s="20">
        <v>993.9</v>
      </c>
      <c r="J794" s="51" t="s">
        <v>6727</v>
      </c>
      <c r="K794" s="15">
        <v>2</v>
      </c>
      <c r="L794" s="51" t="s">
        <v>2369</v>
      </c>
      <c r="M794" s="51" t="s">
        <v>4715</v>
      </c>
      <c r="N794" s="51" t="s">
        <v>1340</v>
      </c>
      <c r="O794" s="51" t="s">
        <v>67</v>
      </c>
      <c r="P794" s="51" t="s">
        <v>67</v>
      </c>
      <c r="Q794" s="45">
        <v>46281.560423935189</v>
      </c>
      <c r="R794" s="46">
        <v>46319</v>
      </c>
      <c r="S794" s="46">
        <v>46314</v>
      </c>
      <c r="T794" s="51" t="s">
        <v>6119</v>
      </c>
      <c r="U794" s="15"/>
      <c r="V794" s="15"/>
      <c r="W794" s="15"/>
      <c r="X794" s="15"/>
      <c r="Y794" s="15"/>
      <c r="Z794" s="15"/>
      <c r="AA794" s="46"/>
      <c r="AB794" s="15"/>
      <c r="AC794" s="15"/>
      <c r="AD794" s="15"/>
      <c r="AE794" s="15"/>
      <c r="AF794" s="15"/>
      <c r="AG794" s="15"/>
      <c r="AH794" s="15"/>
      <c r="AI794" s="46"/>
      <c r="AJ794" s="51" t="s">
        <v>67</v>
      </c>
      <c r="AK794" s="51" t="s">
        <v>67</v>
      </c>
      <c r="AL794" s="15"/>
      <c r="AM794" s="51" t="s">
        <v>6705</v>
      </c>
      <c r="AN794" s="51" t="s">
        <v>6716</v>
      </c>
      <c r="AO794" s="50" t="s">
        <v>9554</v>
      </c>
    </row>
    <row r="795" spans="1:41" hidden="1" x14ac:dyDescent="0.25">
      <c r="A795" s="51" t="s">
        <v>4716</v>
      </c>
      <c r="B795" s="51" t="s">
        <v>4717</v>
      </c>
      <c r="C795" s="54" t="s">
        <v>2691</v>
      </c>
      <c r="D795" s="51" t="s">
        <v>4718</v>
      </c>
      <c r="E795" s="20">
        <v>2922.63</v>
      </c>
      <c r="F795" s="20">
        <v>920.49</v>
      </c>
      <c r="G795" s="20">
        <v>1590.34</v>
      </c>
      <c r="H795" s="20">
        <v>0</v>
      </c>
      <c r="I795" s="20">
        <v>920.49</v>
      </c>
      <c r="J795" s="51" t="s">
        <v>2654</v>
      </c>
      <c r="K795" s="15">
        <v>0</v>
      </c>
      <c r="L795" s="51" t="s">
        <v>2371</v>
      </c>
      <c r="M795" s="51" t="s">
        <v>4719</v>
      </c>
      <c r="N795" s="51" t="s">
        <v>1344</v>
      </c>
      <c r="O795" s="51" t="s">
        <v>67</v>
      </c>
      <c r="P795" s="51" t="s">
        <v>67</v>
      </c>
      <c r="Q795" s="45">
        <v>46281.560425659722</v>
      </c>
      <c r="R795" s="46">
        <v>46301</v>
      </c>
      <c r="S795" s="46">
        <v>46296</v>
      </c>
      <c r="T795" s="51" t="s">
        <v>6119</v>
      </c>
      <c r="U795" s="15"/>
      <c r="V795" s="15"/>
      <c r="W795" s="15"/>
      <c r="X795" s="15"/>
      <c r="Y795" s="15"/>
      <c r="Z795" s="15"/>
      <c r="AA795" s="46"/>
      <c r="AB795" s="15"/>
      <c r="AC795" s="15"/>
      <c r="AD795" s="15"/>
      <c r="AE795" s="15"/>
      <c r="AF795" s="15"/>
      <c r="AG795" s="15"/>
      <c r="AH795" s="15"/>
      <c r="AI795" s="46"/>
      <c r="AJ795" s="51" t="s">
        <v>67</v>
      </c>
      <c r="AK795" s="51" t="s">
        <v>67</v>
      </c>
      <c r="AL795" s="15"/>
      <c r="AM795" s="51" t="s">
        <v>67</v>
      </c>
      <c r="AN795" s="51" t="s">
        <v>67</v>
      </c>
      <c r="AO795" s="50" t="s">
        <v>9554</v>
      </c>
    </row>
    <row r="796" spans="1:41" hidden="1" x14ac:dyDescent="0.25">
      <c r="A796" s="51" t="s">
        <v>4720</v>
      </c>
      <c r="B796" s="51" t="s">
        <v>4721</v>
      </c>
      <c r="C796" s="54" t="s">
        <v>2692</v>
      </c>
      <c r="D796" s="51" t="s">
        <v>4722</v>
      </c>
      <c r="E796" s="20">
        <v>6531.31</v>
      </c>
      <c r="F796" s="20">
        <v>4909.46</v>
      </c>
      <c r="G796" s="20">
        <v>11195.21</v>
      </c>
      <c r="H796" s="20">
        <v>3870.86</v>
      </c>
      <c r="I796" s="20">
        <v>4909.46</v>
      </c>
      <c r="J796" s="51" t="s">
        <v>6727</v>
      </c>
      <c r="K796" s="15">
        <v>25</v>
      </c>
      <c r="L796" s="51" t="s">
        <v>2369</v>
      </c>
      <c r="M796" s="51" t="s">
        <v>4723</v>
      </c>
      <c r="N796" s="51" t="s">
        <v>1340</v>
      </c>
      <c r="O796" s="51" t="s">
        <v>67</v>
      </c>
      <c r="P796" s="51" t="s">
        <v>67</v>
      </c>
      <c r="Q796" s="45">
        <v>46281.56042746528</v>
      </c>
      <c r="R796" s="46">
        <v>46296</v>
      </c>
      <c r="S796" s="46">
        <v>46291</v>
      </c>
      <c r="T796" s="51" t="s">
        <v>6119</v>
      </c>
      <c r="U796" s="15">
        <v>848.05</v>
      </c>
      <c r="V796" s="15">
        <v>3921.84</v>
      </c>
      <c r="W796" s="15">
        <v>36.08</v>
      </c>
      <c r="X796" s="15">
        <v>14.9</v>
      </c>
      <c r="Y796" s="15">
        <v>1.662307</v>
      </c>
      <c r="Z796" s="15">
        <v>6</v>
      </c>
      <c r="AA796" s="46">
        <v>46266</v>
      </c>
      <c r="AB796" s="15"/>
      <c r="AC796" s="15"/>
      <c r="AD796" s="15"/>
      <c r="AE796" s="15"/>
      <c r="AF796" s="15"/>
      <c r="AG796" s="15"/>
      <c r="AH796" s="15"/>
      <c r="AI796" s="46"/>
      <c r="AJ796" s="51" t="s">
        <v>6121</v>
      </c>
      <c r="AK796" s="51" t="s">
        <v>6121</v>
      </c>
      <c r="AL796" s="15">
        <v>848.05</v>
      </c>
      <c r="AM796" s="51" t="s">
        <v>67</v>
      </c>
      <c r="AN796" s="51" t="s">
        <v>67</v>
      </c>
      <c r="AO796" s="50" t="s">
        <v>9554</v>
      </c>
    </row>
    <row r="797" spans="1:41" hidden="1" x14ac:dyDescent="0.25">
      <c r="A797" s="51" t="s">
        <v>4724</v>
      </c>
      <c r="B797" s="51" t="s">
        <v>4725</v>
      </c>
      <c r="C797" s="54" t="s">
        <v>5599</v>
      </c>
      <c r="D797" s="51" t="s">
        <v>4726</v>
      </c>
      <c r="E797" s="20">
        <v>6257.98</v>
      </c>
      <c r="F797" s="20">
        <v>796.7</v>
      </c>
      <c r="G797" s="20">
        <v>8741.36</v>
      </c>
      <c r="H797" s="20">
        <v>0</v>
      </c>
      <c r="I797" s="20">
        <v>796.7</v>
      </c>
      <c r="J797" s="51" t="s">
        <v>2654</v>
      </c>
      <c r="K797" s="15">
        <v>0</v>
      </c>
      <c r="L797" s="51" t="s">
        <v>2371</v>
      </c>
      <c r="M797" s="51" t="s">
        <v>67</v>
      </c>
      <c r="N797" s="51" t="s">
        <v>67</v>
      </c>
      <c r="O797" s="51" t="s">
        <v>4727</v>
      </c>
      <c r="P797" s="51" t="s">
        <v>1340</v>
      </c>
      <c r="Q797" s="45">
        <v>46281.560429560188</v>
      </c>
      <c r="R797" s="46">
        <v>46302</v>
      </c>
      <c r="S797" s="46">
        <v>46297</v>
      </c>
      <c r="T797" s="51" t="s">
        <v>6119</v>
      </c>
      <c r="U797" s="15"/>
      <c r="V797" s="15"/>
      <c r="W797" s="15"/>
      <c r="X797" s="15"/>
      <c r="Y797" s="15"/>
      <c r="Z797" s="15"/>
      <c r="AA797" s="46"/>
      <c r="AB797" s="15"/>
      <c r="AC797" s="15"/>
      <c r="AD797" s="15"/>
      <c r="AE797" s="15"/>
      <c r="AF797" s="15"/>
      <c r="AG797" s="15"/>
      <c r="AH797" s="15"/>
      <c r="AI797" s="46"/>
      <c r="AJ797" s="51" t="s">
        <v>67</v>
      </c>
      <c r="AK797" s="51" t="s">
        <v>67</v>
      </c>
      <c r="AL797" s="15"/>
      <c r="AM797" s="51" t="s">
        <v>67</v>
      </c>
      <c r="AN797" s="51" t="s">
        <v>67</v>
      </c>
      <c r="AO797" s="50" t="s">
        <v>9554</v>
      </c>
    </row>
    <row r="798" spans="1:41" hidden="1" x14ac:dyDescent="0.25">
      <c r="A798" s="51" t="s">
        <v>4728</v>
      </c>
      <c r="B798" s="51" t="s">
        <v>4729</v>
      </c>
      <c r="C798" s="54" t="s">
        <v>5602</v>
      </c>
      <c r="D798" s="51" t="s">
        <v>4730</v>
      </c>
      <c r="E798" s="20">
        <v>8008.29</v>
      </c>
      <c r="F798" s="20">
        <v>4793.57</v>
      </c>
      <c r="G798" s="20">
        <v>13008.52</v>
      </c>
      <c r="H798" s="20">
        <v>3870.86</v>
      </c>
      <c r="I798" s="20">
        <v>4793.57</v>
      </c>
      <c r="J798" s="51" t="s">
        <v>6727</v>
      </c>
      <c r="K798" s="15">
        <v>18</v>
      </c>
      <c r="L798" s="51" t="s">
        <v>2369</v>
      </c>
      <c r="M798" s="51" t="s">
        <v>67</v>
      </c>
      <c r="N798" s="51" t="s">
        <v>67</v>
      </c>
      <c r="O798" s="51" t="s">
        <v>4731</v>
      </c>
      <c r="P798" s="51" t="s">
        <v>1344</v>
      </c>
      <c r="Q798" s="45">
        <v>46281.560431203703</v>
      </c>
      <c r="R798" s="46">
        <v>46303</v>
      </c>
      <c r="S798" s="46">
        <v>46298</v>
      </c>
      <c r="T798" s="51" t="s">
        <v>6119</v>
      </c>
      <c r="U798" s="15">
        <v>848.05</v>
      </c>
      <c r="V798" s="15">
        <v>3921.84</v>
      </c>
      <c r="W798" s="15">
        <v>36.08</v>
      </c>
      <c r="X798" s="15">
        <v>14.9</v>
      </c>
      <c r="Y798" s="15">
        <v>1.662307</v>
      </c>
      <c r="Z798" s="15">
        <v>6</v>
      </c>
      <c r="AA798" s="46">
        <v>46273</v>
      </c>
      <c r="AB798" s="15"/>
      <c r="AC798" s="15"/>
      <c r="AD798" s="15"/>
      <c r="AE798" s="15"/>
      <c r="AF798" s="15"/>
      <c r="AG798" s="15"/>
      <c r="AH798" s="15"/>
      <c r="AI798" s="46"/>
      <c r="AJ798" s="51" t="s">
        <v>6121</v>
      </c>
      <c r="AK798" s="51" t="s">
        <v>6121</v>
      </c>
      <c r="AL798" s="15">
        <v>848.05</v>
      </c>
      <c r="AM798" s="51" t="s">
        <v>67</v>
      </c>
      <c r="AN798" s="51" t="s">
        <v>67</v>
      </c>
      <c r="AO798" s="50" t="s">
        <v>9554</v>
      </c>
    </row>
    <row r="799" spans="1:41" hidden="1" x14ac:dyDescent="0.25">
      <c r="A799" s="51" t="s">
        <v>4732</v>
      </c>
      <c r="B799" s="51" t="s">
        <v>4733</v>
      </c>
      <c r="C799" s="54" t="s">
        <v>608</v>
      </c>
      <c r="D799" s="51" t="s">
        <v>4734</v>
      </c>
      <c r="E799" s="20">
        <v>13536.9</v>
      </c>
      <c r="F799" s="20">
        <v>8975.0400000000009</v>
      </c>
      <c r="G799" s="20">
        <v>1444.79</v>
      </c>
      <c r="H799" s="20">
        <v>3870.86</v>
      </c>
      <c r="I799" s="20">
        <v>5104.18</v>
      </c>
      <c r="J799" s="51" t="s">
        <v>6727</v>
      </c>
      <c r="K799" s="15">
        <v>37</v>
      </c>
      <c r="L799" s="51" t="s">
        <v>2369</v>
      </c>
      <c r="M799" s="51" t="s">
        <v>67</v>
      </c>
      <c r="N799" s="51" t="s">
        <v>67</v>
      </c>
      <c r="O799" s="51" t="s">
        <v>4735</v>
      </c>
      <c r="P799" s="51" t="s">
        <v>1340</v>
      </c>
      <c r="Q799" s="45">
        <v>46281.560433773149</v>
      </c>
      <c r="R799" s="46">
        <v>46315</v>
      </c>
      <c r="S799" s="46">
        <v>46310</v>
      </c>
      <c r="T799" s="51" t="s">
        <v>6119</v>
      </c>
      <c r="U799" s="15">
        <v>849.8</v>
      </c>
      <c r="V799" s="15">
        <v>3922.15</v>
      </c>
      <c r="W799" s="15">
        <v>36.39</v>
      </c>
      <c r="X799" s="15">
        <v>14.9</v>
      </c>
      <c r="Y799" s="15">
        <v>1.6620440000000001</v>
      </c>
      <c r="Z799" s="15">
        <v>6</v>
      </c>
      <c r="AA799" s="46">
        <v>46254</v>
      </c>
      <c r="AB799" s="15"/>
      <c r="AC799" s="15"/>
      <c r="AD799" s="15"/>
      <c r="AE799" s="15"/>
      <c r="AF799" s="15"/>
      <c r="AG799" s="15"/>
      <c r="AH799" s="15"/>
      <c r="AI799" s="46"/>
      <c r="AJ799" s="51" t="s">
        <v>6121</v>
      </c>
      <c r="AK799" s="51" t="s">
        <v>6121</v>
      </c>
      <c r="AL799" s="15">
        <v>849.8</v>
      </c>
      <c r="AM799" s="51" t="s">
        <v>67</v>
      </c>
      <c r="AN799" s="51" t="s">
        <v>67</v>
      </c>
      <c r="AO799" s="50" t="s">
        <v>9554</v>
      </c>
    </row>
    <row r="800" spans="1:41" hidden="1" x14ac:dyDescent="0.25">
      <c r="A800" s="51" t="s">
        <v>4736</v>
      </c>
      <c r="B800" s="51" t="s">
        <v>4737</v>
      </c>
      <c r="C800" s="54" t="s">
        <v>608</v>
      </c>
      <c r="D800" s="51" t="s">
        <v>4738</v>
      </c>
      <c r="E800" s="20">
        <v>11924.36</v>
      </c>
      <c r="F800" s="20">
        <v>0</v>
      </c>
      <c r="G800" s="20">
        <v>8201.58</v>
      </c>
      <c r="H800" s="20">
        <v>0</v>
      </c>
      <c r="I800" s="20">
        <v>569.80999999999995</v>
      </c>
      <c r="J800" s="51" t="s">
        <v>2654</v>
      </c>
      <c r="K800" s="15">
        <v>0</v>
      </c>
      <c r="L800" s="51" t="s">
        <v>2371</v>
      </c>
      <c r="M800" s="51" t="s">
        <v>4739</v>
      </c>
      <c r="N800" s="51" t="s">
        <v>1340</v>
      </c>
      <c r="O800" s="51" t="s">
        <v>4740</v>
      </c>
      <c r="P800" s="51" t="s">
        <v>1340</v>
      </c>
      <c r="Q800" s="45">
        <v>46281.560436018517</v>
      </c>
      <c r="R800" s="46">
        <v>46315</v>
      </c>
      <c r="S800" s="46">
        <v>46310</v>
      </c>
      <c r="T800" s="51" t="s">
        <v>6119</v>
      </c>
      <c r="U800" s="15"/>
      <c r="V800" s="15"/>
      <c r="W800" s="15"/>
      <c r="X800" s="15"/>
      <c r="Y800" s="15"/>
      <c r="Z800" s="15"/>
      <c r="AA800" s="46"/>
      <c r="AB800" s="15"/>
      <c r="AC800" s="15"/>
      <c r="AD800" s="15"/>
      <c r="AE800" s="15"/>
      <c r="AF800" s="15"/>
      <c r="AG800" s="15"/>
      <c r="AH800" s="15"/>
      <c r="AI800" s="46"/>
      <c r="AJ800" s="51" t="s">
        <v>67</v>
      </c>
      <c r="AK800" s="51" t="s">
        <v>67</v>
      </c>
      <c r="AL800" s="15"/>
      <c r="AM800" s="51" t="s">
        <v>67</v>
      </c>
      <c r="AN800" s="51" t="s">
        <v>67</v>
      </c>
      <c r="AO800" s="50" t="s">
        <v>9554</v>
      </c>
    </row>
    <row r="801" spans="1:41" hidden="1" x14ac:dyDescent="0.25">
      <c r="A801" s="51" t="s">
        <v>4741</v>
      </c>
      <c r="B801" s="51" t="s">
        <v>4742</v>
      </c>
      <c r="C801" s="54" t="s">
        <v>5605</v>
      </c>
      <c r="D801" s="51" t="s">
        <v>4743</v>
      </c>
      <c r="E801" s="20">
        <v>7411.84</v>
      </c>
      <c r="F801" s="20">
        <v>893.34</v>
      </c>
      <c r="G801" s="20">
        <v>18281</v>
      </c>
      <c r="H801" s="20">
        <v>893.34</v>
      </c>
      <c r="I801" s="20">
        <v>893.34</v>
      </c>
      <c r="J801" s="51" t="s">
        <v>6727</v>
      </c>
      <c r="K801" s="15">
        <v>0</v>
      </c>
      <c r="L801" s="51" t="s">
        <v>2371</v>
      </c>
      <c r="M801" s="51" t="s">
        <v>4744</v>
      </c>
      <c r="N801" s="51" t="s">
        <v>1340</v>
      </c>
      <c r="O801" s="51" t="s">
        <v>67</v>
      </c>
      <c r="P801" s="51" t="s">
        <v>67</v>
      </c>
      <c r="Q801" s="45">
        <v>46281.560437812499</v>
      </c>
      <c r="R801" s="46">
        <v>46323</v>
      </c>
      <c r="S801" s="46">
        <v>46318</v>
      </c>
      <c r="T801" s="51" t="s">
        <v>6119</v>
      </c>
      <c r="U801" s="15"/>
      <c r="V801" s="15"/>
      <c r="W801" s="15"/>
      <c r="X801" s="15"/>
      <c r="Y801" s="15"/>
      <c r="Z801" s="15"/>
      <c r="AA801" s="46"/>
      <c r="AB801" s="15"/>
      <c r="AC801" s="15"/>
      <c r="AD801" s="15"/>
      <c r="AE801" s="15"/>
      <c r="AF801" s="15"/>
      <c r="AG801" s="15"/>
      <c r="AH801" s="15"/>
      <c r="AI801" s="46"/>
      <c r="AJ801" s="51" t="s">
        <v>67</v>
      </c>
      <c r="AK801" s="51" t="s">
        <v>67</v>
      </c>
      <c r="AL801" s="15"/>
      <c r="AM801" s="51" t="s">
        <v>67</v>
      </c>
      <c r="AN801" s="51" t="s">
        <v>67</v>
      </c>
      <c r="AO801" s="50" t="s">
        <v>9554</v>
      </c>
    </row>
    <row r="802" spans="1:41" hidden="1" x14ac:dyDescent="0.25">
      <c r="A802" s="51" t="s">
        <v>4745</v>
      </c>
      <c r="B802" s="51" t="s">
        <v>4746</v>
      </c>
      <c r="C802" s="54" t="s">
        <v>5605</v>
      </c>
      <c r="D802" s="51" t="s">
        <v>4747</v>
      </c>
      <c r="E802" s="20">
        <v>903.59</v>
      </c>
      <c r="F802" s="20">
        <v>6334.37</v>
      </c>
      <c r="G802" s="20">
        <v>12282.82</v>
      </c>
      <c r="H802" s="20">
        <v>5619.75</v>
      </c>
      <c r="I802" s="20">
        <v>6334.37</v>
      </c>
      <c r="J802" s="51" t="s">
        <v>6727</v>
      </c>
      <c r="K802" s="15">
        <v>29</v>
      </c>
      <c r="L802" s="51" t="s">
        <v>2369</v>
      </c>
      <c r="M802" s="51" t="s">
        <v>4748</v>
      </c>
      <c r="N802" s="51" t="s">
        <v>1340</v>
      </c>
      <c r="O802" s="51" t="s">
        <v>4749</v>
      </c>
      <c r="P802" s="51" t="s">
        <v>1340</v>
      </c>
      <c r="Q802" s="45">
        <v>46281.560463981485</v>
      </c>
      <c r="R802" s="46">
        <v>46323</v>
      </c>
      <c r="S802" s="46">
        <v>46318</v>
      </c>
      <c r="T802" s="51" t="s">
        <v>6119</v>
      </c>
      <c r="U802" s="15">
        <v>849.8</v>
      </c>
      <c r="V802" s="15">
        <v>3922.15</v>
      </c>
      <c r="W802" s="15">
        <v>36.39</v>
      </c>
      <c r="X802" s="15">
        <v>14.9</v>
      </c>
      <c r="Y802" s="15">
        <v>1.6620440000000001</v>
      </c>
      <c r="Z802" s="15">
        <v>6</v>
      </c>
      <c r="AA802" s="46">
        <v>46262</v>
      </c>
      <c r="AB802" s="15"/>
      <c r="AC802" s="15"/>
      <c r="AD802" s="15"/>
      <c r="AE802" s="15"/>
      <c r="AF802" s="15"/>
      <c r="AG802" s="15"/>
      <c r="AH802" s="15"/>
      <c r="AI802" s="46"/>
      <c r="AJ802" s="51" t="s">
        <v>6121</v>
      </c>
      <c r="AK802" s="51" t="s">
        <v>6121</v>
      </c>
      <c r="AL802" s="15">
        <v>849.8</v>
      </c>
      <c r="AM802" s="51" t="s">
        <v>67</v>
      </c>
      <c r="AN802" s="51" t="s">
        <v>67</v>
      </c>
      <c r="AO802" s="50" t="s">
        <v>9554</v>
      </c>
    </row>
    <row r="803" spans="1:41" hidden="1" x14ac:dyDescent="0.25">
      <c r="A803" s="51" t="s">
        <v>4750</v>
      </c>
      <c r="B803" s="51" t="s">
        <v>4751</v>
      </c>
      <c r="C803" s="54" t="s">
        <v>611</v>
      </c>
      <c r="D803" s="51" t="s">
        <v>3808</v>
      </c>
      <c r="E803" s="20">
        <v>4552.92</v>
      </c>
      <c r="F803" s="20">
        <v>652.47</v>
      </c>
      <c r="G803" s="20">
        <v>12078.81</v>
      </c>
      <c r="H803" s="20">
        <v>633.87</v>
      </c>
      <c r="I803" s="20">
        <v>652.47</v>
      </c>
      <c r="J803" s="51" t="s">
        <v>6727</v>
      </c>
      <c r="K803" s="15">
        <v>1</v>
      </c>
      <c r="L803" s="51" t="s">
        <v>2369</v>
      </c>
      <c r="M803" s="51" t="s">
        <v>67</v>
      </c>
      <c r="N803" s="51" t="s">
        <v>67</v>
      </c>
      <c r="O803" s="51" t="s">
        <v>4752</v>
      </c>
      <c r="P803" s="51" t="s">
        <v>1340</v>
      </c>
      <c r="Q803" s="45">
        <v>46281.560466111114</v>
      </c>
      <c r="R803" s="46">
        <v>46320</v>
      </c>
      <c r="S803" s="46">
        <v>46315</v>
      </c>
      <c r="T803" s="51" t="s">
        <v>6119</v>
      </c>
      <c r="U803" s="15"/>
      <c r="V803" s="15"/>
      <c r="W803" s="15"/>
      <c r="X803" s="15"/>
      <c r="Y803" s="15"/>
      <c r="Z803" s="15"/>
      <c r="AA803" s="46"/>
      <c r="AB803" s="15"/>
      <c r="AC803" s="15"/>
      <c r="AD803" s="15"/>
      <c r="AE803" s="15"/>
      <c r="AF803" s="15"/>
      <c r="AG803" s="15"/>
      <c r="AH803" s="15"/>
      <c r="AI803" s="46"/>
      <c r="AJ803" s="51" t="s">
        <v>67</v>
      </c>
      <c r="AK803" s="51" t="s">
        <v>67</v>
      </c>
      <c r="AL803" s="15"/>
      <c r="AM803" s="51" t="s">
        <v>67</v>
      </c>
      <c r="AN803" s="51" t="s">
        <v>67</v>
      </c>
      <c r="AO803" s="50" t="s">
        <v>9554</v>
      </c>
    </row>
    <row r="804" spans="1:41" hidden="1" x14ac:dyDescent="0.25">
      <c r="A804" s="51" t="s">
        <v>4753</v>
      </c>
      <c r="B804" s="51" t="s">
        <v>4754</v>
      </c>
      <c r="C804" s="54" t="s">
        <v>5606</v>
      </c>
      <c r="D804" s="51" t="s">
        <v>4755</v>
      </c>
      <c r="E804" s="20">
        <v>12149.16</v>
      </c>
      <c r="F804" s="20">
        <v>4879.16</v>
      </c>
      <c r="G804" s="20">
        <v>9792.43</v>
      </c>
      <c r="H804" s="20">
        <v>3870.86</v>
      </c>
      <c r="I804" s="20">
        <v>4879.16</v>
      </c>
      <c r="J804" s="51" t="s">
        <v>6727</v>
      </c>
      <c r="K804" s="15">
        <v>24</v>
      </c>
      <c r="L804" s="51" t="s">
        <v>2369</v>
      </c>
      <c r="M804" s="51" t="s">
        <v>67</v>
      </c>
      <c r="N804" s="51" t="s">
        <v>67</v>
      </c>
      <c r="O804" s="51" t="s">
        <v>4756</v>
      </c>
      <c r="P804" s="51" t="s">
        <v>1340</v>
      </c>
      <c r="Q804" s="45">
        <v>46281.560467824071</v>
      </c>
      <c r="R804" s="46">
        <v>46297</v>
      </c>
      <c r="S804" s="46">
        <v>46292</v>
      </c>
      <c r="T804" s="51" t="s">
        <v>6119</v>
      </c>
      <c r="U804" s="15">
        <v>848.05</v>
      </c>
      <c r="V804" s="15">
        <v>3921.84</v>
      </c>
      <c r="W804" s="15">
        <v>36.08</v>
      </c>
      <c r="X804" s="15">
        <v>14.9</v>
      </c>
      <c r="Y804" s="15">
        <v>1.662307</v>
      </c>
      <c r="Z804" s="15">
        <v>6</v>
      </c>
      <c r="AA804" s="46">
        <v>46267</v>
      </c>
      <c r="AB804" s="15"/>
      <c r="AC804" s="15"/>
      <c r="AD804" s="15"/>
      <c r="AE804" s="15"/>
      <c r="AF804" s="15"/>
      <c r="AG804" s="15"/>
      <c r="AH804" s="15"/>
      <c r="AI804" s="46"/>
      <c r="AJ804" s="51" t="s">
        <v>6121</v>
      </c>
      <c r="AK804" s="51" t="s">
        <v>6121</v>
      </c>
      <c r="AL804" s="15">
        <v>848.05</v>
      </c>
      <c r="AM804" s="51" t="s">
        <v>67</v>
      </c>
      <c r="AN804" s="51" t="s">
        <v>67</v>
      </c>
      <c r="AO804" s="50" t="s">
        <v>9554</v>
      </c>
    </row>
    <row r="805" spans="1:41" hidden="1" x14ac:dyDescent="0.25">
      <c r="A805" s="51" t="s">
        <v>4757</v>
      </c>
      <c r="B805" s="51" t="s">
        <v>4758</v>
      </c>
      <c r="C805" s="54" t="s">
        <v>2691</v>
      </c>
      <c r="D805" s="51" t="s">
        <v>4759</v>
      </c>
      <c r="E805" s="20">
        <v>6419.5</v>
      </c>
      <c r="F805" s="20">
        <v>4739.76</v>
      </c>
      <c r="G805" s="20">
        <v>2771.44</v>
      </c>
      <c r="H805" s="20">
        <v>3870.86</v>
      </c>
      <c r="I805" s="20">
        <v>4739.76</v>
      </c>
      <c r="J805" s="51" t="s">
        <v>6727</v>
      </c>
      <c r="K805" s="15">
        <v>20</v>
      </c>
      <c r="L805" s="51" t="s">
        <v>2369</v>
      </c>
      <c r="M805" s="51" t="s">
        <v>67</v>
      </c>
      <c r="N805" s="51" t="s">
        <v>67</v>
      </c>
      <c r="O805" s="51" t="s">
        <v>4760</v>
      </c>
      <c r="P805" s="51" t="s">
        <v>1340</v>
      </c>
      <c r="Q805" s="45">
        <v>46281.560470104167</v>
      </c>
      <c r="R805" s="46">
        <v>46301</v>
      </c>
      <c r="S805" s="46">
        <v>46296</v>
      </c>
      <c r="T805" s="51" t="s">
        <v>6119</v>
      </c>
      <c r="U805" s="15">
        <v>848.05</v>
      </c>
      <c r="V805" s="15">
        <v>3921.84</v>
      </c>
      <c r="W805" s="15">
        <v>36.08</v>
      </c>
      <c r="X805" s="15">
        <v>14.9</v>
      </c>
      <c r="Y805" s="15">
        <v>1.662307</v>
      </c>
      <c r="Z805" s="15">
        <v>6</v>
      </c>
      <c r="AA805" s="46">
        <v>46271</v>
      </c>
      <c r="AB805" s="15"/>
      <c r="AC805" s="15"/>
      <c r="AD805" s="15"/>
      <c r="AE805" s="15"/>
      <c r="AF805" s="15"/>
      <c r="AG805" s="15"/>
      <c r="AH805" s="15"/>
      <c r="AI805" s="46"/>
      <c r="AJ805" s="51" t="s">
        <v>6121</v>
      </c>
      <c r="AK805" s="51" t="s">
        <v>6121</v>
      </c>
      <c r="AL805" s="15">
        <v>848.05</v>
      </c>
      <c r="AM805" s="51" t="s">
        <v>67</v>
      </c>
      <c r="AN805" s="51" t="s">
        <v>67</v>
      </c>
      <c r="AO805" s="50" t="s">
        <v>9554</v>
      </c>
    </row>
    <row r="806" spans="1:41" hidden="1" x14ac:dyDescent="0.25">
      <c r="A806" s="51" t="s">
        <v>4761</v>
      </c>
      <c r="B806" s="51" t="s">
        <v>4762</v>
      </c>
      <c r="C806" s="54" t="s">
        <v>5608</v>
      </c>
      <c r="D806" s="51" t="s">
        <v>4763</v>
      </c>
      <c r="E806" s="20">
        <v>5798.54</v>
      </c>
      <c r="F806" s="20">
        <v>7815.69</v>
      </c>
      <c r="G806" s="20">
        <v>11182.62</v>
      </c>
      <c r="H806" s="20">
        <v>7015.23</v>
      </c>
      <c r="I806" s="20">
        <v>7815.69</v>
      </c>
      <c r="J806" s="51" t="s">
        <v>6727</v>
      </c>
      <c r="K806" s="15">
        <v>33</v>
      </c>
      <c r="L806" s="51" t="s">
        <v>2369</v>
      </c>
      <c r="M806" s="51" t="s">
        <v>4764</v>
      </c>
      <c r="N806" s="51" t="s">
        <v>1340</v>
      </c>
      <c r="O806" s="51" t="s">
        <v>67</v>
      </c>
      <c r="P806" s="51" t="s">
        <v>67</v>
      </c>
      <c r="Q806" s="45">
        <v>46281.560472141202</v>
      </c>
      <c r="R806" s="46">
        <v>46319</v>
      </c>
      <c r="S806" s="46">
        <v>46314</v>
      </c>
      <c r="T806" s="51" t="s">
        <v>6119</v>
      </c>
      <c r="U806" s="15">
        <v>849.8</v>
      </c>
      <c r="V806" s="15">
        <v>3922.15</v>
      </c>
      <c r="W806" s="15">
        <v>36.39</v>
      </c>
      <c r="X806" s="15">
        <v>14.9</v>
      </c>
      <c r="Y806" s="15">
        <v>1.6620440000000001</v>
      </c>
      <c r="Z806" s="15">
        <v>6</v>
      </c>
      <c r="AA806" s="46">
        <v>46258</v>
      </c>
      <c r="AB806" s="15"/>
      <c r="AC806" s="15"/>
      <c r="AD806" s="15"/>
      <c r="AE806" s="15"/>
      <c r="AF806" s="15"/>
      <c r="AG806" s="15"/>
      <c r="AH806" s="15"/>
      <c r="AI806" s="46"/>
      <c r="AJ806" s="51" t="s">
        <v>6121</v>
      </c>
      <c r="AK806" s="51" t="s">
        <v>6121</v>
      </c>
      <c r="AL806" s="15">
        <v>849.8</v>
      </c>
      <c r="AM806" s="51" t="s">
        <v>6705</v>
      </c>
      <c r="AN806" s="51" t="s">
        <v>6716</v>
      </c>
      <c r="AO806" s="50" t="s">
        <v>9554</v>
      </c>
    </row>
    <row r="807" spans="1:41" hidden="1" x14ac:dyDescent="0.25">
      <c r="A807" s="51" t="s">
        <v>4765</v>
      </c>
      <c r="B807" s="51" t="s">
        <v>4766</v>
      </c>
      <c r="C807" s="54" t="s">
        <v>607</v>
      </c>
      <c r="D807" s="51" t="s">
        <v>4767</v>
      </c>
      <c r="E807" s="20">
        <v>8636.0499999999993</v>
      </c>
      <c r="F807" s="20">
        <v>4936.41</v>
      </c>
      <c r="G807" s="20">
        <v>11458.86</v>
      </c>
      <c r="H807" s="20">
        <v>3870.86</v>
      </c>
      <c r="I807" s="20">
        <v>4526.8</v>
      </c>
      <c r="J807" s="51" t="s">
        <v>6727</v>
      </c>
      <c r="K807" s="15">
        <v>11</v>
      </c>
      <c r="L807" s="51" t="s">
        <v>2369</v>
      </c>
      <c r="M807" s="51" t="s">
        <v>4768</v>
      </c>
      <c r="N807" s="51" t="s">
        <v>1340</v>
      </c>
      <c r="O807" s="51" t="s">
        <v>4769</v>
      </c>
      <c r="P807" s="51" t="s">
        <v>1340</v>
      </c>
      <c r="Q807" s="45">
        <v>46281.560474293983</v>
      </c>
      <c r="R807" s="46">
        <v>46310</v>
      </c>
      <c r="S807" s="46">
        <v>46305</v>
      </c>
      <c r="T807" s="51" t="s">
        <v>6119</v>
      </c>
      <c r="U807" s="15">
        <v>848.05</v>
      </c>
      <c r="V807" s="15">
        <v>3921.84</v>
      </c>
      <c r="W807" s="15">
        <v>36.08</v>
      </c>
      <c r="X807" s="15">
        <v>14.9</v>
      </c>
      <c r="Y807" s="15">
        <v>1.662307</v>
      </c>
      <c r="Z807" s="15">
        <v>6</v>
      </c>
      <c r="AA807" s="46">
        <v>46280</v>
      </c>
      <c r="AB807" s="15"/>
      <c r="AC807" s="15"/>
      <c r="AD807" s="15"/>
      <c r="AE807" s="15"/>
      <c r="AF807" s="15"/>
      <c r="AG807" s="15"/>
      <c r="AH807" s="15"/>
      <c r="AI807" s="46"/>
      <c r="AJ807" s="51" t="s">
        <v>6121</v>
      </c>
      <c r="AK807" s="51" t="s">
        <v>6121</v>
      </c>
      <c r="AL807" s="15">
        <v>848.05</v>
      </c>
      <c r="AM807" s="51" t="s">
        <v>67</v>
      </c>
      <c r="AN807" s="51" t="s">
        <v>67</v>
      </c>
      <c r="AO807" s="50" t="s">
        <v>9554</v>
      </c>
    </row>
    <row r="808" spans="1:41" hidden="1" x14ac:dyDescent="0.25">
      <c r="A808" s="51" t="s">
        <v>4770</v>
      </c>
      <c r="B808" s="51" t="s">
        <v>4771</v>
      </c>
      <c r="C808" s="54" t="s">
        <v>2694</v>
      </c>
      <c r="D808" s="51" t="s">
        <v>4772</v>
      </c>
      <c r="E808" s="20">
        <v>7475.02</v>
      </c>
      <c r="F808" s="20">
        <v>492.92</v>
      </c>
      <c r="G808" s="20">
        <v>5311.05</v>
      </c>
      <c r="H808" s="20">
        <v>0</v>
      </c>
      <c r="I808" s="20">
        <v>887.26</v>
      </c>
      <c r="J808" s="51" t="s">
        <v>2654</v>
      </c>
      <c r="K808" s="15">
        <v>0</v>
      </c>
      <c r="L808" s="51" t="s">
        <v>2371</v>
      </c>
      <c r="M808" s="51" t="s">
        <v>4773</v>
      </c>
      <c r="N808" s="51" t="s">
        <v>1340</v>
      </c>
      <c r="O808" s="51" t="s">
        <v>4774</v>
      </c>
      <c r="P808" s="51" t="s">
        <v>1340</v>
      </c>
      <c r="Q808" s="45">
        <v>46281.560476608793</v>
      </c>
      <c r="R808" s="46">
        <v>46312</v>
      </c>
      <c r="S808" s="46">
        <v>46307</v>
      </c>
      <c r="T808" s="51" t="s">
        <v>6119</v>
      </c>
      <c r="U808" s="15"/>
      <c r="V808" s="15"/>
      <c r="W808" s="15"/>
      <c r="X808" s="15"/>
      <c r="Y808" s="15"/>
      <c r="Z808" s="15"/>
      <c r="AA808" s="46"/>
      <c r="AB808" s="15"/>
      <c r="AC808" s="15"/>
      <c r="AD808" s="15"/>
      <c r="AE808" s="15"/>
      <c r="AF808" s="15"/>
      <c r="AG808" s="15"/>
      <c r="AH808" s="15"/>
      <c r="AI808" s="46"/>
      <c r="AJ808" s="51" t="s">
        <v>67</v>
      </c>
      <c r="AK808" s="51" t="s">
        <v>67</v>
      </c>
      <c r="AL808" s="15"/>
      <c r="AM808" s="51" t="s">
        <v>67</v>
      </c>
      <c r="AN808" s="51" t="s">
        <v>67</v>
      </c>
      <c r="AO808" s="50" t="s">
        <v>9554</v>
      </c>
    </row>
    <row r="809" spans="1:41" hidden="1" x14ac:dyDescent="0.25">
      <c r="A809" s="51" t="s">
        <v>4775</v>
      </c>
      <c r="B809" s="51" t="s">
        <v>4776</v>
      </c>
      <c r="C809" s="54" t="s">
        <v>2691</v>
      </c>
      <c r="D809" s="51" t="s">
        <v>4777</v>
      </c>
      <c r="E809" s="20">
        <v>13682.07</v>
      </c>
      <c r="F809" s="20">
        <v>4930.9399999999996</v>
      </c>
      <c r="G809" s="20">
        <v>12909.29</v>
      </c>
      <c r="H809" s="20">
        <v>3870.86</v>
      </c>
      <c r="I809" s="20">
        <v>4930.9399999999996</v>
      </c>
      <c r="J809" s="51" t="s">
        <v>6727</v>
      </c>
      <c r="K809" s="15">
        <v>20</v>
      </c>
      <c r="L809" s="51" t="s">
        <v>2369</v>
      </c>
      <c r="M809" s="51" t="s">
        <v>4778</v>
      </c>
      <c r="N809" s="51" t="s">
        <v>1344</v>
      </c>
      <c r="O809" s="51" t="s">
        <v>67</v>
      </c>
      <c r="P809" s="51" t="s">
        <v>67</v>
      </c>
      <c r="Q809" s="45">
        <v>46281.560478449072</v>
      </c>
      <c r="R809" s="46">
        <v>46301</v>
      </c>
      <c r="S809" s="46">
        <v>46296</v>
      </c>
      <c r="T809" s="51" t="s">
        <v>6119</v>
      </c>
      <c r="U809" s="15">
        <v>848.05</v>
      </c>
      <c r="V809" s="15">
        <v>3921.84</v>
      </c>
      <c r="W809" s="15">
        <v>36.08</v>
      </c>
      <c r="X809" s="15">
        <v>14.9</v>
      </c>
      <c r="Y809" s="15">
        <v>1.662307</v>
      </c>
      <c r="Z809" s="15">
        <v>6</v>
      </c>
      <c r="AA809" s="46">
        <v>46271</v>
      </c>
      <c r="AB809" s="15"/>
      <c r="AC809" s="15"/>
      <c r="AD809" s="15"/>
      <c r="AE809" s="15"/>
      <c r="AF809" s="15"/>
      <c r="AG809" s="15"/>
      <c r="AH809" s="15"/>
      <c r="AI809" s="46"/>
      <c r="AJ809" s="51" t="s">
        <v>6121</v>
      </c>
      <c r="AK809" s="51" t="s">
        <v>6121</v>
      </c>
      <c r="AL809" s="15">
        <v>848.05</v>
      </c>
      <c r="AM809" s="51" t="s">
        <v>67</v>
      </c>
      <c r="AN809" s="51" t="s">
        <v>67</v>
      </c>
      <c r="AO809" s="50" t="s">
        <v>9554</v>
      </c>
    </row>
    <row r="810" spans="1:41" hidden="1" x14ac:dyDescent="0.25">
      <c r="A810" s="51" t="s">
        <v>4779</v>
      </c>
      <c r="B810" s="51" t="s">
        <v>4780</v>
      </c>
      <c r="C810" s="54" t="s">
        <v>2541</v>
      </c>
      <c r="D810" s="51" t="s">
        <v>4781</v>
      </c>
      <c r="E810" s="20">
        <v>9689.4500000000007</v>
      </c>
      <c r="F810" s="20">
        <v>4493.53</v>
      </c>
      <c r="G810" s="20">
        <v>9739.61</v>
      </c>
      <c r="H810" s="20">
        <v>3870.86</v>
      </c>
      <c r="I810" s="20">
        <v>4177.66</v>
      </c>
      <c r="J810" s="51" t="s">
        <v>6727</v>
      </c>
      <c r="K810" s="15">
        <v>10</v>
      </c>
      <c r="L810" s="51" t="s">
        <v>2369</v>
      </c>
      <c r="M810" s="51" t="s">
        <v>4782</v>
      </c>
      <c r="N810" s="51" t="s">
        <v>1344</v>
      </c>
      <c r="O810" s="51" t="s">
        <v>4783</v>
      </c>
      <c r="P810" s="51" t="s">
        <v>1344</v>
      </c>
      <c r="Q810" s="45">
        <v>46281.560480659726</v>
      </c>
      <c r="R810" s="46">
        <v>46311</v>
      </c>
      <c r="S810" s="46">
        <v>46306</v>
      </c>
      <c r="T810" s="51" t="s">
        <v>6119</v>
      </c>
      <c r="U810" s="15">
        <v>848.05</v>
      </c>
      <c r="V810" s="15">
        <v>3921.84</v>
      </c>
      <c r="W810" s="15">
        <v>36.08</v>
      </c>
      <c r="X810" s="15">
        <v>14.9</v>
      </c>
      <c r="Y810" s="15">
        <v>1.662307</v>
      </c>
      <c r="Z810" s="15">
        <v>6</v>
      </c>
      <c r="AA810" s="46">
        <v>46281</v>
      </c>
      <c r="AB810" s="15"/>
      <c r="AC810" s="15"/>
      <c r="AD810" s="15"/>
      <c r="AE810" s="15"/>
      <c r="AF810" s="15"/>
      <c r="AG810" s="15"/>
      <c r="AH810" s="15"/>
      <c r="AI810" s="46"/>
      <c r="AJ810" s="51" t="s">
        <v>6121</v>
      </c>
      <c r="AK810" s="51" t="s">
        <v>6121</v>
      </c>
      <c r="AL810" s="15">
        <v>848.05</v>
      </c>
      <c r="AM810" s="51" t="s">
        <v>67</v>
      </c>
      <c r="AN810" s="51" t="s">
        <v>67</v>
      </c>
      <c r="AO810" s="50" t="s">
        <v>9554</v>
      </c>
    </row>
    <row r="811" spans="1:41" hidden="1" x14ac:dyDescent="0.25">
      <c r="A811" s="51" t="s">
        <v>4784</v>
      </c>
      <c r="B811" s="51" t="s">
        <v>4785</v>
      </c>
      <c r="C811" s="54" t="s">
        <v>2692</v>
      </c>
      <c r="D811" s="51" t="s">
        <v>4786</v>
      </c>
      <c r="E811" s="20">
        <v>3459.4</v>
      </c>
      <c r="F811" s="20">
        <v>449.46</v>
      </c>
      <c r="G811" s="20">
        <v>16244.96</v>
      </c>
      <c r="H811" s="20">
        <v>0</v>
      </c>
      <c r="I811" s="20">
        <v>449.46</v>
      </c>
      <c r="J811" s="51" t="s">
        <v>2654</v>
      </c>
      <c r="K811" s="15">
        <v>0</v>
      </c>
      <c r="L811" s="51" t="s">
        <v>2371</v>
      </c>
      <c r="M811" s="51" t="s">
        <v>4787</v>
      </c>
      <c r="N811" s="51" t="s">
        <v>1340</v>
      </c>
      <c r="O811" s="51" t="s">
        <v>67</v>
      </c>
      <c r="P811" s="51" t="s">
        <v>67</v>
      </c>
      <c r="Q811" s="45">
        <v>46281.56048270833</v>
      </c>
      <c r="R811" s="46">
        <v>46296</v>
      </c>
      <c r="S811" s="46">
        <v>46291</v>
      </c>
      <c r="T811" s="51" t="s">
        <v>6119</v>
      </c>
      <c r="U811" s="15"/>
      <c r="V811" s="15"/>
      <c r="W811" s="15"/>
      <c r="X811" s="15"/>
      <c r="Y811" s="15"/>
      <c r="Z811" s="15"/>
      <c r="AA811" s="46"/>
      <c r="AB811" s="15"/>
      <c r="AC811" s="15"/>
      <c r="AD811" s="15"/>
      <c r="AE811" s="15"/>
      <c r="AF811" s="15"/>
      <c r="AG811" s="15"/>
      <c r="AH811" s="15"/>
      <c r="AI811" s="46"/>
      <c r="AJ811" s="51" t="s">
        <v>67</v>
      </c>
      <c r="AK811" s="51" t="s">
        <v>67</v>
      </c>
      <c r="AL811" s="15"/>
      <c r="AM811" s="51" t="s">
        <v>67</v>
      </c>
      <c r="AN811" s="51" t="s">
        <v>67</v>
      </c>
      <c r="AO811" s="50" t="s">
        <v>9554</v>
      </c>
    </row>
    <row r="812" spans="1:41" hidden="1" x14ac:dyDescent="0.25">
      <c r="A812" s="51" t="s">
        <v>4788</v>
      </c>
      <c r="B812" s="51" t="s">
        <v>4789</v>
      </c>
      <c r="C812" s="54" t="s">
        <v>2694</v>
      </c>
      <c r="D812" s="51" t="s">
        <v>4790</v>
      </c>
      <c r="E812" s="20">
        <v>7990.23</v>
      </c>
      <c r="F812" s="20">
        <v>4230.5</v>
      </c>
      <c r="G812" s="20">
        <v>15367.67</v>
      </c>
      <c r="H812" s="20">
        <v>3870.86</v>
      </c>
      <c r="I812" s="20">
        <v>4156.17</v>
      </c>
      <c r="J812" s="51" t="s">
        <v>6727</v>
      </c>
      <c r="K812" s="15">
        <v>9</v>
      </c>
      <c r="L812" s="51" t="s">
        <v>2369</v>
      </c>
      <c r="M812" s="51" t="s">
        <v>4791</v>
      </c>
      <c r="N812" s="51" t="s">
        <v>1344</v>
      </c>
      <c r="O812" s="51" t="s">
        <v>4792</v>
      </c>
      <c r="P812" s="51" t="s">
        <v>1344</v>
      </c>
      <c r="Q812" s="45">
        <v>46281.560484409725</v>
      </c>
      <c r="R812" s="46">
        <v>46312</v>
      </c>
      <c r="S812" s="46">
        <v>46307</v>
      </c>
      <c r="T812" s="51" t="s">
        <v>6119</v>
      </c>
      <c r="U812" s="15">
        <v>848.05</v>
      </c>
      <c r="V812" s="15">
        <v>3921.84</v>
      </c>
      <c r="W812" s="15">
        <v>36.08</v>
      </c>
      <c r="X812" s="15">
        <v>14.9</v>
      </c>
      <c r="Y812" s="15">
        <v>1.662307</v>
      </c>
      <c r="Z812" s="15">
        <v>6</v>
      </c>
      <c r="AA812" s="46">
        <v>46282</v>
      </c>
      <c r="AB812" s="15"/>
      <c r="AC812" s="15"/>
      <c r="AD812" s="15"/>
      <c r="AE812" s="15"/>
      <c r="AF812" s="15"/>
      <c r="AG812" s="15"/>
      <c r="AH812" s="15"/>
      <c r="AI812" s="46"/>
      <c r="AJ812" s="51" t="s">
        <v>6121</v>
      </c>
      <c r="AK812" s="51" t="s">
        <v>6121</v>
      </c>
      <c r="AL812" s="15">
        <v>848.05</v>
      </c>
      <c r="AM812" s="51" t="s">
        <v>67</v>
      </c>
      <c r="AN812" s="51" t="s">
        <v>67</v>
      </c>
      <c r="AO812" s="50" t="s">
        <v>9554</v>
      </c>
    </row>
    <row r="813" spans="1:41" hidden="1" x14ac:dyDescent="0.25">
      <c r="A813" s="51" t="s">
        <v>4793</v>
      </c>
      <c r="B813" s="51" t="s">
        <v>4794</v>
      </c>
      <c r="C813" s="54" t="s">
        <v>2693</v>
      </c>
      <c r="D813" s="51" t="s">
        <v>4795</v>
      </c>
      <c r="E813" s="20">
        <v>6306.62</v>
      </c>
      <c r="F813" s="20">
        <v>9080.9599999999991</v>
      </c>
      <c r="G813" s="20">
        <v>-6738.45</v>
      </c>
      <c r="H813" s="20">
        <v>3870.86</v>
      </c>
      <c r="I813" s="20">
        <v>7790.67</v>
      </c>
      <c r="J813" s="51" t="s">
        <v>6727</v>
      </c>
      <c r="K813" s="15">
        <v>38</v>
      </c>
      <c r="L813" s="51" t="s">
        <v>2369</v>
      </c>
      <c r="M813" s="51" t="s">
        <v>67</v>
      </c>
      <c r="N813" s="51" t="s">
        <v>67</v>
      </c>
      <c r="O813" s="51" t="s">
        <v>4796</v>
      </c>
      <c r="P813" s="51" t="s">
        <v>1340</v>
      </c>
      <c r="Q813" s="45">
        <v>46281.560486689814</v>
      </c>
      <c r="R813" s="46">
        <v>46314</v>
      </c>
      <c r="S813" s="46">
        <v>46309</v>
      </c>
      <c r="T813" s="51" t="s">
        <v>6119</v>
      </c>
      <c r="U813" s="15">
        <v>849.8</v>
      </c>
      <c r="V813" s="15">
        <v>3922.15</v>
      </c>
      <c r="W813" s="15">
        <v>36.39</v>
      </c>
      <c r="X813" s="15">
        <v>14.9</v>
      </c>
      <c r="Y813" s="15">
        <v>1.6620440000000001</v>
      </c>
      <c r="Z813" s="15">
        <v>6</v>
      </c>
      <c r="AA813" s="46">
        <v>46253</v>
      </c>
      <c r="AB813" s="15">
        <v>212.9</v>
      </c>
      <c r="AC813" s="15">
        <v>387.09</v>
      </c>
      <c r="AD813" s="15">
        <v>38.71</v>
      </c>
      <c r="AE813" s="15">
        <v>582.26</v>
      </c>
      <c r="AF813" s="15">
        <v>3729.62</v>
      </c>
      <c r="AG813" s="15">
        <v>57.49</v>
      </c>
      <c r="AH813" s="15">
        <v>1.5861069999999999</v>
      </c>
      <c r="AI813" s="46">
        <v>46283</v>
      </c>
      <c r="AJ813" s="51" t="s">
        <v>6121</v>
      </c>
      <c r="AK813" s="51" t="s">
        <v>6121</v>
      </c>
      <c r="AL813" s="15">
        <v>849.8</v>
      </c>
      <c r="AM813" s="51" t="s">
        <v>6705</v>
      </c>
      <c r="AN813" s="51" t="s">
        <v>6713</v>
      </c>
      <c r="AO813" s="50" t="s">
        <v>9554</v>
      </c>
    </row>
    <row r="814" spans="1:41" hidden="1" x14ac:dyDescent="0.25">
      <c r="A814" s="51" t="s">
        <v>4797</v>
      </c>
      <c r="B814" s="51" t="s">
        <v>4798</v>
      </c>
      <c r="C814" s="54" t="s">
        <v>2689</v>
      </c>
      <c r="D814" s="51" t="s">
        <v>4799</v>
      </c>
      <c r="E814" s="20">
        <v>4303.6499999999996</v>
      </c>
      <c r="F814" s="20">
        <v>0</v>
      </c>
      <c r="G814" s="20">
        <v>8218.75</v>
      </c>
      <c r="H814" s="20">
        <v>0</v>
      </c>
      <c r="I814" s="20">
        <v>863.45</v>
      </c>
      <c r="J814" s="51" t="s">
        <v>2654</v>
      </c>
      <c r="K814" s="15">
        <v>0</v>
      </c>
      <c r="L814" s="51" t="s">
        <v>2371</v>
      </c>
      <c r="M814" s="51" t="s">
        <v>4800</v>
      </c>
      <c r="N814" s="51" t="s">
        <v>1340</v>
      </c>
      <c r="O814" s="51" t="s">
        <v>67</v>
      </c>
      <c r="P814" s="51" t="s">
        <v>67</v>
      </c>
      <c r="Q814" s="45">
        <v>46281.560488773146</v>
      </c>
      <c r="R814" s="46">
        <v>46317</v>
      </c>
      <c r="S814" s="46">
        <v>46312</v>
      </c>
      <c r="T814" s="51" t="s">
        <v>6119</v>
      </c>
      <c r="U814" s="15"/>
      <c r="V814" s="15"/>
      <c r="W814" s="15"/>
      <c r="X814" s="15"/>
      <c r="Y814" s="15"/>
      <c r="Z814" s="15"/>
      <c r="AA814" s="46"/>
      <c r="AB814" s="15"/>
      <c r="AC814" s="15"/>
      <c r="AD814" s="15"/>
      <c r="AE814" s="15"/>
      <c r="AF814" s="15"/>
      <c r="AG814" s="15"/>
      <c r="AH814" s="15"/>
      <c r="AI814" s="46"/>
      <c r="AJ814" s="51" t="s">
        <v>67</v>
      </c>
      <c r="AK814" s="51" t="s">
        <v>67</v>
      </c>
      <c r="AL814" s="15"/>
      <c r="AM814" s="51" t="s">
        <v>67</v>
      </c>
      <c r="AN814" s="51" t="s">
        <v>67</v>
      </c>
      <c r="AO814" s="50" t="s">
        <v>9554</v>
      </c>
    </row>
    <row r="815" spans="1:41" hidden="1" x14ac:dyDescent="0.25">
      <c r="A815" s="51" t="s">
        <v>4801</v>
      </c>
      <c r="B815" s="51" t="s">
        <v>4802</v>
      </c>
      <c r="C815" s="54" t="s">
        <v>2691</v>
      </c>
      <c r="D815" s="51" t="s">
        <v>4803</v>
      </c>
      <c r="E815" s="20">
        <v>11355.3</v>
      </c>
      <c r="F815" s="20">
        <v>553.66999999999996</v>
      </c>
      <c r="G815" s="20">
        <v>21300.35</v>
      </c>
      <c r="H815" s="20">
        <v>0</v>
      </c>
      <c r="I815" s="20">
        <v>553.66999999999996</v>
      </c>
      <c r="J815" s="51" t="s">
        <v>2654</v>
      </c>
      <c r="K815" s="15">
        <v>0</v>
      </c>
      <c r="L815" s="51" t="s">
        <v>2371</v>
      </c>
      <c r="M815" s="51" t="s">
        <v>67</v>
      </c>
      <c r="N815" s="51" t="s">
        <v>67</v>
      </c>
      <c r="O815" s="51" t="s">
        <v>4804</v>
      </c>
      <c r="P815" s="51" t="s">
        <v>1340</v>
      </c>
      <c r="Q815" s="45">
        <v>46281.560490543983</v>
      </c>
      <c r="R815" s="46">
        <v>46301</v>
      </c>
      <c r="S815" s="46">
        <v>46296</v>
      </c>
      <c r="T815" s="51" t="s">
        <v>6119</v>
      </c>
      <c r="U815" s="15"/>
      <c r="V815" s="15"/>
      <c r="W815" s="15"/>
      <c r="X815" s="15"/>
      <c r="Y815" s="15"/>
      <c r="Z815" s="15"/>
      <c r="AA815" s="46"/>
      <c r="AB815" s="15"/>
      <c r="AC815" s="15"/>
      <c r="AD815" s="15"/>
      <c r="AE815" s="15"/>
      <c r="AF815" s="15"/>
      <c r="AG815" s="15"/>
      <c r="AH815" s="15"/>
      <c r="AI815" s="46"/>
      <c r="AJ815" s="51" t="s">
        <v>67</v>
      </c>
      <c r="AK815" s="51" t="s">
        <v>67</v>
      </c>
      <c r="AL815" s="15"/>
      <c r="AM815" s="51" t="s">
        <v>67</v>
      </c>
      <c r="AN815" s="51" t="s">
        <v>67</v>
      </c>
      <c r="AO815" s="50" t="s">
        <v>9554</v>
      </c>
    </row>
    <row r="816" spans="1:41" hidden="1" x14ac:dyDescent="0.25">
      <c r="A816" s="51" t="s">
        <v>4805</v>
      </c>
      <c r="B816" s="51" t="s">
        <v>4806</v>
      </c>
      <c r="C816" s="54" t="s">
        <v>2689</v>
      </c>
      <c r="D816" s="51" t="s">
        <v>4807</v>
      </c>
      <c r="E816" s="20">
        <v>13827.69</v>
      </c>
      <c r="F816" s="20">
        <v>0</v>
      </c>
      <c r="G816" s="20">
        <v>10471.15</v>
      </c>
      <c r="H816" s="20">
        <v>0</v>
      </c>
      <c r="I816" s="20">
        <v>831.65</v>
      </c>
      <c r="J816" s="51" t="s">
        <v>2654</v>
      </c>
      <c r="K816" s="15">
        <v>0</v>
      </c>
      <c r="L816" s="51" t="s">
        <v>2371</v>
      </c>
      <c r="M816" s="51" t="s">
        <v>4808</v>
      </c>
      <c r="N816" s="51" t="s">
        <v>1340</v>
      </c>
      <c r="O816" s="51" t="s">
        <v>67</v>
      </c>
      <c r="P816" s="51" t="s">
        <v>67</v>
      </c>
      <c r="Q816" s="45">
        <v>46281.560492372686</v>
      </c>
      <c r="R816" s="46">
        <v>46317</v>
      </c>
      <c r="S816" s="46">
        <v>46312</v>
      </c>
      <c r="T816" s="51" t="s">
        <v>6119</v>
      </c>
      <c r="U816" s="15"/>
      <c r="V816" s="15"/>
      <c r="W816" s="15"/>
      <c r="X816" s="15"/>
      <c r="Y816" s="15"/>
      <c r="Z816" s="15"/>
      <c r="AA816" s="46"/>
      <c r="AB816" s="15"/>
      <c r="AC816" s="15"/>
      <c r="AD816" s="15"/>
      <c r="AE816" s="15"/>
      <c r="AF816" s="15"/>
      <c r="AG816" s="15"/>
      <c r="AH816" s="15"/>
      <c r="AI816" s="46"/>
      <c r="AJ816" s="51" t="s">
        <v>67</v>
      </c>
      <c r="AK816" s="51" t="s">
        <v>67</v>
      </c>
      <c r="AL816" s="15"/>
      <c r="AM816" s="51" t="s">
        <v>67</v>
      </c>
      <c r="AN816" s="51" t="s">
        <v>67</v>
      </c>
      <c r="AO816" s="50" t="s">
        <v>9554</v>
      </c>
    </row>
    <row r="817" spans="1:41" hidden="1" x14ac:dyDescent="0.25">
      <c r="A817" s="51" t="s">
        <v>4809</v>
      </c>
      <c r="B817" s="51" t="s">
        <v>4810</v>
      </c>
      <c r="C817" s="54" t="s">
        <v>5601</v>
      </c>
      <c r="D817" s="51" t="s">
        <v>4811</v>
      </c>
      <c r="E817" s="20">
        <v>11888.62</v>
      </c>
      <c r="F817" s="20">
        <v>0</v>
      </c>
      <c r="G817" s="20">
        <v>9138.8799999999992</v>
      </c>
      <c r="H817" s="20">
        <v>0</v>
      </c>
      <c r="I817" s="20">
        <v>876.63</v>
      </c>
      <c r="J817" s="51" t="s">
        <v>2654</v>
      </c>
      <c r="K817" s="15">
        <v>0</v>
      </c>
      <c r="L817" s="51" t="s">
        <v>2371</v>
      </c>
      <c r="M817" s="51" t="s">
        <v>4812</v>
      </c>
      <c r="N817" s="51" t="s">
        <v>1340</v>
      </c>
      <c r="O817" s="51" t="s">
        <v>67</v>
      </c>
      <c r="P817" s="51" t="s">
        <v>67</v>
      </c>
      <c r="Q817" s="45">
        <v>46281.560494097219</v>
      </c>
      <c r="R817" s="46">
        <v>46316</v>
      </c>
      <c r="S817" s="46">
        <v>46311</v>
      </c>
      <c r="T817" s="51" t="s">
        <v>6119</v>
      </c>
      <c r="U817" s="15"/>
      <c r="V817" s="15"/>
      <c r="W817" s="15"/>
      <c r="X817" s="15"/>
      <c r="Y817" s="15"/>
      <c r="Z817" s="15"/>
      <c r="AA817" s="46"/>
      <c r="AB817" s="15"/>
      <c r="AC817" s="15"/>
      <c r="AD817" s="15"/>
      <c r="AE817" s="15"/>
      <c r="AF817" s="15"/>
      <c r="AG817" s="15"/>
      <c r="AH817" s="15"/>
      <c r="AI817" s="46"/>
      <c r="AJ817" s="51" t="s">
        <v>67</v>
      </c>
      <c r="AK817" s="51" t="s">
        <v>67</v>
      </c>
      <c r="AL817" s="15"/>
      <c r="AM817" s="51" t="s">
        <v>67</v>
      </c>
      <c r="AN817" s="51" t="s">
        <v>67</v>
      </c>
      <c r="AO817" s="50" t="s">
        <v>9554</v>
      </c>
    </row>
    <row r="818" spans="1:41" hidden="1" x14ac:dyDescent="0.25">
      <c r="A818" s="51" t="s">
        <v>4813</v>
      </c>
      <c r="B818" s="51" t="s">
        <v>4814</v>
      </c>
      <c r="C818" s="54" t="s">
        <v>605</v>
      </c>
      <c r="D818" s="51" t="s">
        <v>4815</v>
      </c>
      <c r="E818" s="20">
        <v>7151.41</v>
      </c>
      <c r="F818" s="20">
        <v>694.47</v>
      </c>
      <c r="G818" s="20">
        <v>14703.58</v>
      </c>
      <c r="H818" s="20">
        <v>0</v>
      </c>
      <c r="I818" s="20">
        <v>694.47</v>
      </c>
      <c r="J818" s="51" t="s">
        <v>2654</v>
      </c>
      <c r="K818" s="15">
        <v>0</v>
      </c>
      <c r="L818" s="51" t="s">
        <v>2371</v>
      </c>
      <c r="M818" s="51" t="s">
        <v>67</v>
      </c>
      <c r="N818" s="51" t="s">
        <v>67</v>
      </c>
      <c r="O818" s="51" t="s">
        <v>4816</v>
      </c>
      <c r="P818" s="51" t="s">
        <v>1340</v>
      </c>
      <c r="Q818" s="45">
        <v>46281.56049585648</v>
      </c>
      <c r="R818" s="46">
        <v>46305</v>
      </c>
      <c r="S818" s="46">
        <v>46300</v>
      </c>
      <c r="T818" s="51" t="s">
        <v>6119</v>
      </c>
      <c r="U818" s="15"/>
      <c r="V818" s="15"/>
      <c r="W818" s="15"/>
      <c r="X818" s="15"/>
      <c r="Y818" s="15"/>
      <c r="Z818" s="15"/>
      <c r="AA818" s="46"/>
      <c r="AB818" s="15"/>
      <c r="AC818" s="15"/>
      <c r="AD818" s="15"/>
      <c r="AE818" s="15"/>
      <c r="AF818" s="15"/>
      <c r="AG818" s="15"/>
      <c r="AH818" s="15"/>
      <c r="AI818" s="46"/>
      <c r="AJ818" s="51" t="s">
        <v>67</v>
      </c>
      <c r="AK818" s="51" t="s">
        <v>67</v>
      </c>
      <c r="AL818" s="15"/>
      <c r="AM818" s="51" t="s">
        <v>67</v>
      </c>
      <c r="AN818" s="51" t="s">
        <v>67</v>
      </c>
      <c r="AO818" s="50" t="s">
        <v>9554</v>
      </c>
    </row>
    <row r="819" spans="1:41" hidden="1" x14ac:dyDescent="0.25">
      <c r="A819" s="51" t="s">
        <v>4817</v>
      </c>
      <c r="B819" s="51" t="s">
        <v>4818</v>
      </c>
      <c r="C819" s="54" t="s">
        <v>611</v>
      </c>
      <c r="D819" s="51" t="s">
        <v>4819</v>
      </c>
      <c r="E819" s="20">
        <v>10820.16</v>
      </c>
      <c r="F819" s="20">
        <v>560.30999999999995</v>
      </c>
      <c r="G819" s="20">
        <v>6609.66</v>
      </c>
      <c r="H819" s="20">
        <v>544.34</v>
      </c>
      <c r="I819" s="20">
        <v>560.30999999999995</v>
      </c>
      <c r="J819" s="51" t="s">
        <v>6727</v>
      </c>
      <c r="K819" s="15">
        <v>1</v>
      </c>
      <c r="L819" s="51" t="s">
        <v>2369</v>
      </c>
      <c r="M819" s="51" t="s">
        <v>67</v>
      </c>
      <c r="N819" s="51" t="s">
        <v>67</v>
      </c>
      <c r="O819" s="51" t="s">
        <v>4820</v>
      </c>
      <c r="P819" s="51" t="s">
        <v>1340</v>
      </c>
      <c r="Q819" s="45">
        <v>46281.560497615741</v>
      </c>
      <c r="R819" s="46">
        <v>46320</v>
      </c>
      <c r="S819" s="46">
        <v>46315</v>
      </c>
      <c r="T819" s="51" t="s">
        <v>6119</v>
      </c>
      <c r="U819" s="15"/>
      <c r="V819" s="15"/>
      <c r="W819" s="15"/>
      <c r="X819" s="15"/>
      <c r="Y819" s="15"/>
      <c r="Z819" s="15"/>
      <c r="AA819" s="46"/>
      <c r="AB819" s="15"/>
      <c r="AC819" s="15"/>
      <c r="AD819" s="15"/>
      <c r="AE819" s="15"/>
      <c r="AF819" s="15"/>
      <c r="AG819" s="15"/>
      <c r="AH819" s="15"/>
      <c r="AI819" s="46"/>
      <c r="AJ819" s="51" t="s">
        <v>67</v>
      </c>
      <c r="AK819" s="51" t="s">
        <v>67</v>
      </c>
      <c r="AL819" s="15"/>
      <c r="AM819" s="51" t="s">
        <v>67</v>
      </c>
      <c r="AN819" s="51" t="s">
        <v>67</v>
      </c>
      <c r="AO819" s="50" t="s">
        <v>9554</v>
      </c>
    </row>
    <row r="820" spans="1:41" hidden="1" x14ac:dyDescent="0.25">
      <c r="A820" s="51" t="s">
        <v>4821</v>
      </c>
      <c r="B820" s="51" t="s">
        <v>4822</v>
      </c>
      <c r="C820" s="54" t="s">
        <v>2692</v>
      </c>
      <c r="D820" s="51" t="s">
        <v>4823</v>
      </c>
      <c r="E820" s="20">
        <v>10920.97</v>
      </c>
      <c r="F820" s="20">
        <v>809.12</v>
      </c>
      <c r="G820" s="20">
        <v>19779.8</v>
      </c>
      <c r="H820" s="20">
        <v>0</v>
      </c>
      <c r="I820" s="20">
        <v>809.12</v>
      </c>
      <c r="J820" s="51" t="s">
        <v>2654</v>
      </c>
      <c r="K820" s="15">
        <v>0</v>
      </c>
      <c r="L820" s="51" t="s">
        <v>2371</v>
      </c>
      <c r="M820" s="51" t="s">
        <v>67</v>
      </c>
      <c r="N820" s="51" t="s">
        <v>67</v>
      </c>
      <c r="O820" s="51" t="s">
        <v>4824</v>
      </c>
      <c r="P820" s="51" t="s">
        <v>1344</v>
      </c>
      <c r="Q820" s="45">
        <v>46281.560499270832</v>
      </c>
      <c r="R820" s="46">
        <v>46296</v>
      </c>
      <c r="S820" s="46">
        <v>46291</v>
      </c>
      <c r="T820" s="51" t="s">
        <v>6119</v>
      </c>
      <c r="U820" s="15"/>
      <c r="V820" s="15"/>
      <c r="W820" s="15"/>
      <c r="X820" s="15"/>
      <c r="Y820" s="15"/>
      <c r="Z820" s="15"/>
      <c r="AA820" s="46"/>
      <c r="AB820" s="15"/>
      <c r="AC820" s="15"/>
      <c r="AD820" s="15"/>
      <c r="AE820" s="15"/>
      <c r="AF820" s="15"/>
      <c r="AG820" s="15"/>
      <c r="AH820" s="15"/>
      <c r="AI820" s="46"/>
      <c r="AJ820" s="51" t="s">
        <v>67</v>
      </c>
      <c r="AK820" s="51" t="s">
        <v>67</v>
      </c>
      <c r="AL820" s="15"/>
      <c r="AM820" s="51" t="s">
        <v>67</v>
      </c>
      <c r="AN820" s="51" t="s">
        <v>67</v>
      </c>
      <c r="AO820" s="50" t="s">
        <v>9554</v>
      </c>
    </row>
    <row r="821" spans="1:41" hidden="1" x14ac:dyDescent="0.25">
      <c r="A821" s="51" t="s">
        <v>4825</v>
      </c>
      <c r="B821" s="51" t="s">
        <v>4826</v>
      </c>
      <c r="C821" s="54" t="s">
        <v>5596</v>
      </c>
      <c r="D821" s="51" t="s">
        <v>4827</v>
      </c>
      <c r="E821" s="20">
        <v>10930.36</v>
      </c>
      <c r="F821" s="20">
        <v>4989.33</v>
      </c>
      <c r="G821" s="20">
        <v>2774.98</v>
      </c>
      <c r="H821" s="20">
        <v>3870.86</v>
      </c>
      <c r="I821" s="20">
        <v>4989.33</v>
      </c>
      <c r="J821" s="51" t="s">
        <v>6727</v>
      </c>
      <c r="K821" s="15">
        <v>21</v>
      </c>
      <c r="L821" s="51" t="s">
        <v>2369</v>
      </c>
      <c r="M821" s="51" t="s">
        <v>4828</v>
      </c>
      <c r="N821" s="51" t="s">
        <v>1340</v>
      </c>
      <c r="O821" s="51" t="s">
        <v>4829</v>
      </c>
      <c r="P821" s="51" t="s">
        <v>1340</v>
      </c>
      <c r="Q821" s="45">
        <v>46281.560501018517</v>
      </c>
      <c r="R821" s="46">
        <v>46300</v>
      </c>
      <c r="S821" s="46">
        <v>46295</v>
      </c>
      <c r="T821" s="51" t="s">
        <v>6119</v>
      </c>
      <c r="U821" s="15">
        <v>848.05</v>
      </c>
      <c r="V821" s="15">
        <v>3921.84</v>
      </c>
      <c r="W821" s="15">
        <v>36.08</v>
      </c>
      <c r="X821" s="15">
        <v>14.9</v>
      </c>
      <c r="Y821" s="15">
        <v>1.662307</v>
      </c>
      <c r="Z821" s="15">
        <v>6</v>
      </c>
      <c r="AA821" s="46">
        <v>46270</v>
      </c>
      <c r="AB821" s="15"/>
      <c r="AC821" s="15"/>
      <c r="AD821" s="15"/>
      <c r="AE821" s="15"/>
      <c r="AF821" s="15"/>
      <c r="AG821" s="15"/>
      <c r="AH821" s="15"/>
      <c r="AI821" s="46"/>
      <c r="AJ821" s="51" t="s">
        <v>6121</v>
      </c>
      <c r="AK821" s="51" t="s">
        <v>6121</v>
      </c>
      <c r="AL821" s="15">
        <v>848.05</v>
      </c>
      <c r="AM821" s="51" t="s">
        <v>67</v>
      </c>
      <c r="AN821" s="51" t="s">
        <v>67</v>
      </c>
      <c r="AO821" s="50" t="s">
        <v>9554</v>
      </c>
    </row>
    <row r="822" spans="1:41" hidden="1" x14ac:dyDescent="0.25">
      <c r="A822" s="51" t="s">
        <v>4830</v>
      </c>
      <c r="B822" s="51" t="s">
        <v>4831</v>
      </c>
      <c r="C822" s="54" t="s">
        <v>608</v>
      </c>
      <c r="D822" s="51" t="s">
        <v>4832</v>
      </c>
      <c r="E822" s="20">
        <v>12346.79</v>
      </c>
      <c r="F822" s="20">
        <v>0</v>
      </c>
      <c r="G822" s="20">
        <v>12440.92</v>
      </c>
      <c r="H822" s="20">
        <v>0</v>
      </c>
      <c r="I822" s="20">
        <v>954.18</v>
      </c>
      <c r="J822" s="51" t="s">
        <v>2654</v>
      </c>
      <c r="K822" s="15">
        <v>0</v>
      </c>
      <c r="L822" s="51" t="s">
        <v>2371</v>
      </c>
      <c r="M822" s="51" t="s">
        <v>4833</v>
      </c>
      <c r="N822" s="51" t="s">
        <v>1340</v>
      </c>
      <c r="O822" s="51" t="s">
        <v>67</v>
      </c>
      <c r="P822" s="51" t="s">
        <v>67</v>
      </c>
      <c r="Q822" s="45">
        <v>46281.560503171298</v>
      </c>
      <c r="R822" s="46">
        <v>46315</v>
      </c>
      <c r="S822" s="46">
        <v>46310</v>
      </c>
      <c r="T822" s="51" t="s">
        <v>6119</v>
      </c>
      <c r="U822" s="15"/>
      <c r="V822" s="15"/>
      <c r="W822" s="15"/>
      <c r="X822" s="15"/>
      <c r="Y822" s="15"/>
      <c r="Z822" s="15"/>
      <c r="AA822" s="46"/>
      <c r="AB822" s="15"/>
      <c r="AC822" s="15"/>
      <c r="AD822" s="15"/>
      <c r="AE822" s="15"/>
      <c r="AF822" s="15"/>
      <c r="AG822" s="15"/>
      <c r="AH822" s="15"/>
      <c r="AI822" s="46"/>
      <c r="AJ822" s="51" t="s">
        <v>67</v>
      </c>
      <c r="AK822" s="51" t="s">
        <v>67</v>
      </c>
      <c r="AL822" s="15"/>
      <c r="AM822" s="51" t="s">
        <v>67</v>
      </c>
      <c r="AN822" s="51" t="s">
        <v>67</v>
      </c>
      <c r="AO822" s="50" t="s">
        <v>9554</v>
      </c>
    </row>
    <row r="823" spans="1:41" hidden="1" x14ac:dyDescent="0.25">
      <c r="A823" s="51" t="s">
        <v>4834</v>
      </c>
      <c r="B823" s="51" t="s">
        <v>4835</v>
      </c>
      <c r="C823" s="54" t="s">
        <v>2689</v>
      </c>
      <c r="D823" s="51" t="s">
        <v>4836</v>
      </c>
      <c r="E823" s="20">
        <v>7657.83</v>
      </c>
      <c r="F823" s="20">
        <v>0</v>
      </c>
      <c r="G823" s="20">
        <v>6203.55</v>
      </c>
      <c r="H823" s="20">
        <v>0</v>
      </c>
      <c r="I823" s="20">
        <v>413.52</v>
      </c>
      <c r="J823" s="51" t="s">
        <v>2654</v>
      </c>
      <c r="K823" s="15">
        <v>0</v>
      </c>
      <c r="L823" s="51" t="s">
        <v>2371</v>
      </c>
      <c r="M823" s="51" t="s">
        <v>4837</v>
      </c>
      <c r="N823" s="51" t="s">
        <v>1340</v>
      </c>
      <c r="O823" s="51" t="s">
        <v>67</v>
      </c>
      <c r="P823" s="51" t="s">
        <v>67</v>
      </c>
      <c r="Q823" s="45">
        <v>46281.560504942128</v>
      </c>
      <c r="R823" s="46">
        <v>46317</v>
      </c>
      <c r="S823" s="46">
        <v>46312</v>
      </c>
      <c r="T823" s="51" t="s">
        <v>6119</v>
      </c>
      <c r="U823" s="15"/>
      <c r="V823" s="15"/>
      <c r="W823" s="15"/>
      <c r="X823" s="15"/>
      <c r="Y823" s="15"/>
      <c r="Z823" s="15"/>
      <c r="AA823" s="46"/>
      <c r="AB823" s="15"/>
      <c r="AC823" s="15"/>
      <c r="AD823" s="15"/>
      <c r="AE823" s="15"/>
      <c r="AF823" s="15"/>
      <c r="AG823" s="15"/>
      <c r="AH823" s="15"/>
      <c r="AI823" s="46"/>
      <c r="AJ823" s="51" t="s">
        <v>67</v>
      </c>
      <c r="AK823" s="51" t="s">
        <v>67</v>
      </c>
      <c r="AL823" s="15"/>
      <c r="AM823" s="51" t="s">
        <v>67</v>
      </c>
      <c r="AN823" s="51" t="s">
        <v>67</v>
      </c>
      <c r="AO823" s="50" t="s">
        <v>9554</v>
      </c>
    </row>
    <row r="824" spans="1:41" hidden="1" x14ac:dyDescent="0.25">
      <c r="A824" s="51" t="s">
        <v>4838</v>
      </c>
      <c r="B824" s="51" t="s">
        <v>4839</v>
      </c>
      <c r="C824" s="54" t="s">
        <v>2692</v>
      </c>
      <c r="D824" s="51" t="s">
        <v>4840</v>
      </c>
      <c r="E824" s="20">
        <v>10075.42</v>
      </c>
      <c r="F824" s="20">
        <v>513.61</v>
      </c>
      <c r="G824" s="20">
        <v>2711.61</v>
      </c>
      <c r="H824" s="20">
        <v>0</v>
      </c>
      <c r="I824" s="20">
        <v>513.61</v>
      </c>
      <c r="J824" s="51" t="s">
        <v>2654</v>
      </c>
      <c r="K824" s="15">
        <v>0</v>
      </c>
      <c r="L824" s="51" t="s">
        <v>2371</v>
      </c>
      <c r="M824" s="51" t="s">
        <v>4841</v>
      </c>
      <c r="N824" s="51" t="s">
        <v>1340</v>
      </c>
      <c r="O824" s="51" t="s">
        <v>67</v>
      </c>
      <c r="P824" s="51" t="s">
        <v>67</v>
      </c>
      <c r="Q824" s="45">
        <v>46281.560506643516</v>
      </c>
      <c r="R824" s="46">
        <v>46296</v>
      </c>
      <c r="S824" s="46">
        <v>46291</v>
      </c>
      <c r="T824" s="51" t="s">
        <v>6119</v>
      </c>
      <c r="U824" s="15"/>
      <c r="V824" s="15"/>
      <c r="W824" s="15"/>
      <c r="X824" s="15"/>
      <c r="Y824" s="15"/>
      <c r="Z824" s="15"/>
      <c r="AA824" s="46"/>
      <c r="AB824" s="15"/>
      <c r="AC824" s="15"/>
      <c r="AD824" s="15"/>
      <c r="AE824" s="15"/>
      <c r="AF824" s="15"/>
      <c r="AG824" s="15"/>
      <c r="AH824" s="15"/>
      <c r="AI824" s="46"/>
      <c r="AJ824" s="51" t="s">
        <v>67</v>
      </c>
      <c r="AK824" s="51" t="s">
        <v>67</v>
      </c>
      <c r="AL824" s="15"/>
      <c r="AM824" s="51" t="s">
        <v>67</v>
      </c>
      <c r="AN824" s="51" t="s">
        <v>67</v>
      </c>
      <c r="AO824" s="50" t="s">
        <v>9554</v>
      </c>
    </row>
    <row r="825" spans="1:41" hidden="1" x14ac:dyDescent="0.25">
      <c r="A825" s="51" t="s">
        <v>4842</v>
      </c>
      <c r="B825" s="51" t="s">
        <v>4843</v>
      </c>
      <c r="C825" s="54" t="s">
        <v>5606</v>
      </c>
      <c r="D825" s="51" t="s">
        <v>4844</v>
      </c>
      <c r="E825" s="20">
        <v>12392.11</v>
      </c>
      <c r="F825" s="20">
        <v>4964.87</v>
      </c>
      <c r="G825" s="20">
        <v>9057.98</v>
      </c>
      <c r="H825" s="20">
        <v>3870.86</v>
      </c>
      <c r="I825" s="20">
        <v>4964.87</v>
      </c>
      <c r="J825" s="51" t="s">
        <v>6727</v>
      </c>
      <c r="K825" s="15">
        <v>24</v>
      </c>
      <c r="L825" s="51" t="s">
        <v>2369</v>
      </c>
      <c r="M825" s="51" t="s">
        <v>4845</v>
      </c>
      <c r="N825" s="51" t="s">
        <v>1340</v>
      </c>
      <c r="O825" s="51" t="s">
        <v>4846</v>
      </c>
      <c r="P825" s="51" t="s">
        <v>1340</v>
      </c>
      <c r="Q825" s="45">
        <v>46281.560508506947</v>
      </c>
      <c r="R825" s="46">
        <v>46297</v>
      </c>
      <c r="S825" s="46">
        <v>46292</v>
      </c>
      <c r="T825" s="51" t="s">
        <v>6119</v>
      </c>
      <c r="U825" s="15">
        <v>848.05</v>
      </c>
      <c r="V825" s="15">
        <v>3921.84</v>
      </c>
      <c r="W825" s="15">
        <v>36.08</v>
      </c>
      <c r="X825" s="15">
        <v>14.9</v>
      </c>
      <c r="Y825" s="15">
        <v>1.662307</v>
      </c>
      <c r="Z825" s="15">
        <v>6</v>
      </c>
      <c r="AA825" s="46">
        <v>46267</v>
      </c>
      <c r="AB825" s="15"/>
      <c r="AC825" s="15"/>
      <c r="AD825" s="15"/>
      <c r="AE825" s="15"/>
      <c r="AF825" s="15"/>
      <c r="AG825" s="15"/>
      <c r="AH825" s="15"/>
      <c r="AI825" s="46"/>
      <c r="AJ825" s="51" t="s">
        <v>6121</v>
      </c>
      <c r="AK825" s="51" t="s">
        <v>6121</v>
      </c>
      <c r="AL825" s="15">
        <v>848.05</v>
      </c>
      <c r="AM825" s="51" t="s">
        <v>67</v>
      </c>
      <c r="AN825" s="51" t="s">
        <v>67</v>
      </c>
      <c r="AO825" s="50" t="s">
        <v>9554</v>
      </c>
    </row>
    <row r="826" spans="1:41" hidden="1" x14ac:dyDescent="0.25">
      <c r="A826" s="51" t="s">
        <v>4847</v>
      </c>
      <c r="B826" s="51" t="s">
        <v>4848</v>
      </c>
      <c r="C826" s="54" t="s">
        <v>2356</v>
      </c>
      <c r="D826" s="51" t="s">
        <v>4849</v>
      </c>
      <c r="E826" s="20">
        <v>5697.92</v>
      </c>
      <c r="F826" s="20">
        <v>507.85</v>
      </c>
      <c r="G826" s="20">
        <v>5824.21</v>
      </c>
      <c r="H826" s="20">
        <v>0</v>
      </c>
      <c r="I826" s="20">
        <v>507.85</v>
      </c>
      <c r="J826" s="51" t="s">
        <v>2654</v>
      </c>
      <c r="K826" s="15">
        <v>0</v>
      </c>
      <c r="L826" s="51" t="s">
        <v>2371</v>
      </c>
      <c r="M826" s="51" t="s">
        <v>4850</v>
      </c>
      <c r="N826" s="51" t="s">
        <v>1340</v>
      </c>
      <c r="O826" s="51" t="s">
        <v>4851</v>
      </c>
      <c r="P826" s="51" t="s">
        <v>1340</v>
      </c>
      <c r="Q826" s="45">
        <v>46281.560510740739</v>
      </c>
      <c r="R826" s="46">
        <v>46307</v>
      </c>
      <c r="S826" s="46">
        <v>46302</v>
      </c>
      <c r="T826" s="51" t="s">
        <v>6119</v>
      </c>
      <c r="U826" s="15"/>
      <c r="V826" s="15"/>
      <c r="W826" s="15"/>
      <c r="X826" s="15"/>
      <c r="Y826" s="15"/>
      <c r="Z826" s="15"/>
      <c r="AA826" s="46"/>
      <c r="AB826" s="15"/>
      <c r="AC826" s="15"/>
      <c r="AD826" s="15"/>
      <c r="AE826" s="15"/>
      <c r="AF826" s="15"/>
      <c r="AG826" s="15"/>
      <c r="AH826" s="15"/>
      <c r="AI826" s="46"/>
      <c r="AJ826" s="51" t="s">
        <v>67</v>
      </c>
      <c r="AK826" s="51" t="s">
        <v>67</v>
      </c>
      <c r="AL826" s="15"/>
      <c r="AM826" s="51" t="s">
        <v>67</v>
      </c>
      <c r="AN826" s="51" t="s">
        <v>67</v>
      </c>
      <c r="AO826" s="50" t="s">
        <v>9554</v>
      </c>
    </row>
    <row r="827" spans="1:41" hidden="1" x14ac:dyDescent="0.25">
      <c r="A827" s="51" t="s">
        <v>4852</v>
      </c>
      <c r="B827" s="51" t="s">
        <v>4853</v>
      </c>
      <c r="C827" s="54" t="s">
        <v>611</v>
      </c>
      <c r="D827" s="51" t="s">
        <v>4854</v>
      </c>
      <c r="E827" s="20">
        <v>7164.54</v>
      </c>
      <c r="F827" s="20">
        <v>655.36</v>
      </c>
      <c r="G827" s="20">
        <v>13319.04</v>
      </c>
      <c r="H827" s="20">
        <v>636.67999999999995</v>
      </c>
      <c r="I827" s="20">
        <v>655.36</v>
      </c>
      <c r="J827" s="51" t="s">
        <v>6727</v>
      </c>
      <c r="K827" s="15">
        <v>1</v>
      </c>
      <c r="L827" s="51" t="s">
        <v>2369</v>
      </c>
      <c r="M827" s="51" t="s">
        <v>67</v>
      </c>
      <c r="N827" s="51" t="s">
        <v>67</v>
      </c>
      <c r="O827" s="51" t="s">
        <v>4855</v>
      </c>
      <c r="P827" s="51" t="s">
        <v>1340</v>
      </c>
      <c r="Q827" s="45">
        <v>46281.560512488424</v>
      </c>
      <c r="R827" s="46">
        <v>46320</v>
      </c>
      <c r="S827" s="46">
        <v>46315</v>
      </c>
      <c r="T827" s="51" t="s">
        <v>6119</v>
      </c>
      <c r="U827" s="15"/>
      <c r="V827" s="15"/>
      <c r="W827" s="15"/>
      <c r="X827" s="15"/>
      <c r="Y827" s="15"/>
      <c r="Z827" s="15"/>
      <c r="AA827" s="46"/>
      <c r="AB827" s="15"/>
      <c r="AC827" s="15"/>
      <c r="AD827" s="15"/>
      <c r="AE827" s="15"/>
      <c r="AF827" s="15"/>
      <c r="AG827" s="15"/>
      <c r="AH827" s="15"/>
      <c r="AI827" s="46"/>
      <c r="AJ827" s="51" t="s">
        <v>67</v>
      </c>
      <c r="AK827" s="51" t="s">
        <v>67</v>
      </c>
      <c r="AL827" s="15"/>
      <c r="AM827" s="51" t="s">
        <v>67</v>
      </c>
      <c r="AN827" s="51" t="s">
        <v>67</v>
      </c>
      <c r="AO827" s="50" t="s">
        <v>9554</v>
      </c>
    </row>
    <row r="828" spans="1:41" hidden="1" x14ac:dyDescent="0.25">
      <c r="A828" s="51" t="s">
        <v>4856</v>
      </c>
      <c r="B828" s="51" t="s">
        <v>4857</v>
      </c>
      <c r="C828" s="54" t="s">
        <v>2693</v>
      </c>
      <c r="D828" s="51" t="s">
        <v>4858</v>
      </c>
      <c r="E828" s="20">
        <v>10061.64</v>
      </c>
      <c r="F828" s="20">
        <v>0</v>
      </c>
      <c r="G828" s="20">
        <v>15259.85</v>
      </c>
      <c r="H828" s="20">
        <v>0</v>
      </c>
      <c r="I828" s="20">
        <v>983.62</v>
      </c>
      <c r="J828" s="51" t="s">
        <v>2654</v>
      </c>
      <c r="K828" s="15">
        <v>0</v>
      </c>
      <c r="L828" s="51" t="s">
        <v>2371</v>
      </c>
      <c r="M828" s="51" t="s">
        <v>67</v>
      </c>
      <c r="N828" s="51" t="s">
        <v>67</v>
      </c>
      <c r="O828" s="51" t="s">
        <v>4859</v>
      </c>
      <c r="P828" s="51" t="s">
        <v>1344</v>
      </c>
      <c r="Q828" s="45">
        <v>46281.560514166667</v>
      </c>
      <c r="R828" s="46">
        <v>46314</v>
      </c>
      <c r="S828" s="46">
        <v>46309</v>
      </c>
      <c r="T828" s="51" t="s">
        <v>6119</v>
      </c>
      <c r="U828" s="15"/>
      <c r="V828" s="15"/>
      <c r="W828" s="15"/>
      <c r="X828" s="15"/>
      <c r="Y828" s="15"/>
      <c r="Z828" s="15"/>
      <c r="AA828" s="46"/>
      <c r="AB828" s="15"/>
      <c r="AC828" s="15"/>
      <c r="AD828" s="15"/>
      <c r="AE828" s="15"/>
      <c r="AF828" s="15"/>
      <c r="AG828" s="15"/>
      <c r="AH828" s="15"/>
      <c r="AI828" s="46"/>
      <c r="AJ828" s="51" t="s">
        <v>67</v>
      </c>
      <c r="AK828" s="51" t="s">
        <v>67</v>
      </c>
      <c r="AL828" s="15"/>
      <c r="AM828" s="51" t="s">
        <v>67</v>
      </c>
      <c r="AN828" s="51" t="s">
        <v>67</v>
      </c>
      <c r="AO828" s="50" t="s">
        <v>9554</v>
      </c>
    </row>
    <row r="829" spans="1:41" hidden="1" x14ac:dyDescent="0.25">
      <c r="A829" s="51" t="s">
        <v>4860</v>
      </c>
      <c r="B829" s="51" t="s">
        <v>4861</v>
      </c>
      <c r="C829" s="54" t="s">
        <v>2356</v>
      </c>
      <c r="D829" s="51" t="s">
        <v>4862</v>
      </c>
      <c r="E829" s="20">
        <v>10356.91</v>
      </c>
      <c r="F829" s="20">
        <v>4762.08</v>
      </c>
      <c r="G829" s="20">
        <v>2404.81</v>
      </c>
      <c r="H829" s="20">
        <v>3870.86</v>
      </c>
      <c r="I829" s="20">
        <v>4762.08</v>
      </c>
      <c r="J829" s="51" t="s">
        <v>6727</v>
      </c>
      <c r="K829" s="15">
        <v>14</v>
      </c>
      <c r="L829" s="51" t="s">
        <v>2369</v>
      </c>
      <c r="M829" s="51" t="s">
        <v>67</v>
      </c>
      <c r="N829" s="51" t="s">
        <v>67</v>
      </c>
      <c r="O829" s="51" t="s">
        <v>4863</v>
      </c>
      <c r="P829" s="51" t="s">
        <v>1340</v>
      </c>
      <c r="Q829" s="45">
        <v>46281.560516111109</v>
      </c>
      <c r="R829" s="46">
        <v>46307</v>
      </c>
      <c r="S829" s="46">
        <v>46302</v>
      </c>
      <c r="T829" s="51" t="s">
        <v>6119</v>
      </c>
      <c r="U829" s="15">
        <v>848.05</v>
      </c>
      <c r="V829" s="15">
        <v>3921.84</v>
      </c>
      <c r="W829" s="15">
        <v>36.08</v>
      </c>
      <c r="X829" s="15">
        <v>14.9</v>
      </c>
      <c r="Y829" s="15">
        <v>1.662307</v>
      </c>
      <c r="Z829" s="15">
        <v>6</v>
      </c>
      <c r="AA829" s="46">
        <v>46277</v>
      </c>
      <c r="AB829" s="15"/>
      <c r="AC829" s="15"/>
      <c r="AD829" s="15"/>
      <c r="AE829" s="15"/>
      <c r="AF829" s="15"/>
      <c r="AG829" s="15"/>
      <c r="AH829" s="15"/>
      <c r="AI829" s="46"/>
      <c r="AJ829" s="51" t="s">
        <v>6121</v>
      </c>
      <c r="AK829" s="51" t="s">
        <v>6121</v>
      </c>
      <c r="AL829" s="15">
        <v>848.05</v>
      </c>
      <c r="AM829" s="51" t="s">
        <v>67</v>
      </c>
      <c r="AN829" s="51" t="s">
        <v>67</v>
      </c>
      <c r="AO829" s="50" t="s">
        <v>9554</v>
      </c>
    </row>
    <row r="830" spans="1:41" hidden="1" x14ac:dyDescent="0.25">
      <c r="A830" s="51" t="s">
        <v>4864</v>
      </c>
      <c r="B830" s="51" t="s">
        <v>4865</v>
      </c>
      <c r="C830" s="54" t="s">
        <v>2541</v>
      </c>
      <c r="D830" s="51" t="s">
        <v>4866</v>
      </c>
      <c r="E830" s="20">
        <v>13256.46</v>
      </c>
      <c r="F830" s="20">
        <v>4625.97</v>
      </c>
      <c r="G830" s="20">
        <v>10970.83</v>
      </c>
      <c r="H830" s="20">
        <v>3870.86</v>
      </c>
      <c r="I830" s="20">
        <v>4376.91</v>
      </c>
      <c r="J830" s="51" t="s">
        <v>6727</v>
      </c>
      <c r="K830" s="15">
        <v>10</v>
      </c>
      <c r="L830" s="51" t="s">
        <v>2369</v>
      </c>
      <c r="M830" s="51" t="s">
        <v>4867</v>
      </c>
      <c r="N830" s="51" t="s">
        <v>1344</v>
      </c>
      <c r="O830" s="51" t="s">
        <v>4868</v>
      </c>
      <c r="P830" s="51" t="s">
        <v>1344</v>
      </c>
      <c r="Q830" s="45">
        <v>46281.560518113423</v>
      </c>
      <c r="R830" s="46">
        <v>46311</v>
      </c>
      <c r="S830" s="46">
        <v>46306</v>
      </c>
      <c r="T830" s="51" t="s">
        <v>6119</v>
      </c>
      <c r="U830" s="15">
        <v>848.05</v>
      </c>
      <c r="V830" s="15">
        <v>3921.84</v>
      </c>
      <c r="W830" s="15">
        <v>36.08</v>
      </c>
      <c r="X830" s="15">
        <v>14.9</v>
      </c>
      <c r="Y830" s="15">
        <v>1.662307</v>
      </c>
      <c r="Z830" s="15">
        <v>6</v>
      </c>
      <c r="AA830" s="46">
        <v>46281</v>
      </c>
      <c r="AB830" s="15"/>
      <c r="AC830" s="15"/>
      <c r="AD830" s="15"/>
      <c r="AE830" s="15"/>
      <c r="AF830" s="15"/>
      <c r="AG830" s="15"/>
      <c r="AH830" s="15"/>
      <c r="AI830" s="46"/>
      <c r="AJ830" s="51" t="s">
        <v>6121</v>
      </c>
      <c r="AK830" s="51" t="s">
        <v>6121</v>
      </c>
      <c r="AL830" s="15">
        <v>848.05</v>
      </c>
      <c r="AM830" s="51" t="s">
        <v>67</v>
      </c>
      <c r="AN830" s="51" t="s">
        <v>67</v>
      </c>
      <c r="AO830" s="50" t="s">
        <v>9554</v>
      </c>
    </row>
    <row r="831" spans="1:41" hidden="1" x14ac:dyDescent="0.25">
      <c r="A831" s="51" t="s">
        <v>4869</v>
      </c>
      <c r="B831" s="51" t="s">
        <v>4870</v>
      </c>
      <c r="C831" s="54" t="s">
        <v>5603</v>
      </c>
      <c r="D831" s="51" t="s">
        <v>4871</v>
      </c>
      <c r="E831" s="20">
        <v>14185.18</v>
      </c>
      <c r="F831" s="20">
        <v>5097.99</v>
      </c>
      <c r="G831" s="20">
        <v>1682.46</v>
      </c>
      <c r="H831" s="20">
        <v>3870.86</v>
      </c>
      <c r="I831" s="20">
        <v>5097.99</v>
      </c>
      <c r="J831" s="51" t="s">
        <v>6727</v>
      </c>
      <c r="K831" s="15">
        <v>23</v>
      </c>
      <c r="L831" s="51" t="s">
        <v>2369</v>
      </c>
      <c r="M831" s="51" t="s">
        <v>4872</v>
      </c>
      <c r="N831" s="51" t="s">
        <v>1340</v>
      </c>
      <c r="O831" s="51" t="s">
        <v>4873</v>
      </c>
      <c r="P831" s="51" t="s">
        <v>1340</v>
      </c>
      <c r="Q831" s="45">
        <v>46281.560520208332</v>
      </c>
      <c r="R831" s="46">
        <v>46298</v>
      </c>
      <c r="S831" s="46">
        <v>46293</v>
      </c>
      <c r="T831" s="51" t="s">
        <v>6119</v>
      </c>
      <c r="U831" s="15">
        <v>848.05</v>
      </c>
      <c r="V831" s="15">
        <v>3921.84</v>
      </c>
      <c r="W831" s="15">
        <v>36.08</v>
      </c>
      <c r="X831" s="15">
        <v>14.9</v>
      </c>
      <c r="Y831" s="15">
        <v>1.662307</v>
      </c>
      <c r="Z831" s="15">
        <v>6</v>
      </c>
      <c r="AA831" s="46">
        <v>46268</v>
      </c>
      <c r="AB831" s="15"/>
      <c r="AC831" s="15"/>
      <c r="AD831" s="15"/>
      <c r="AE831" s="15"/>
      <c r="AF831" s="15"/>
      <c r="AG831" s="15"/>
      <c r="AH831" s="15"/>
      <c r="AI831" s="46"/>
      <c r="AJ831" s="51" t="s">
        <v>6121</v>
      </c>
      <c r="AK831" s="51" t="s">
        <v>6121</v>
      </c>
      <c r="AL831" s="15">
        <v>848.05</v>
      </c>
      <c r="AM831" s="51" t="s">
        <v>67</v>
      </c>
      <c r="AN831" s="51" t="s">
        <v>67</v>
      </c>
      <c r="AO831" s="50" t="s">
        <v>9554</v>
      </c>
    </row>
    <row r="832" spans="1:41" hidden="1" x14ac:dyDescent="0.25">
      <c r="A832" s="51" t="s">
        <v>4874</v>
      </c>
      <c r="B832" s="51" t="s">
        <v>4875</v>
      </c>
      <c r="C832" s="54" t="s">
        <v>5599</v>
      </c>
      <c r="D832" s="51" t="s">
        <v>4876</v>
      </c>
      <c r="E832" s="20">
        <v>6005.23</v>
      </c>
      <c r="F832" s="20">
        <v>4989.83</v>
      </c>
      <c r="G832" s="20">
        <v>7164.28</v>
      </c>
      <c r="H832" s="20">
        <v>3870.86</v>
      </c>
      <c r="I832" s="20">
        <v>4989.82</v>
      </c>
      <c r="J832" s="51" t="s">
        <v>6727</v>
      </c>
      <c r="K832" s="15">
        <v>19</v>
      </c>
      <c r="L832" s="51" t="s">
        <v>2369</v>
      </c>
      <c r="M832" s="51" t="s">
        <v>4877</v>
      </c>
      <c r="N832" s="51" t="s">
        <v>1340</v>
      </c>
      <c r="O832" s="51" t="s">
        <v>4878</v>
      </c>
      <c r="P832" s="51" t="s">
        <v>1340</v>
      </c>
      <c r="Q832" s="45">
        <v>46281.560522557869</v>
      </c>
      <c r="R832" s="46">
        <v>46302</v>
      </c>
      <c r="S832" s="46">
        <v>46297</v>
      </c>
      <c r="T832" s="51" t="s">
        <v>6119</v>
      </c>
      <c r="U832" s="15">
        <v>848.05</v>
      </c>
      <c r="V832" s="15">
        <v>3921.84</v>
      </c>
      <c r="W832" s="15">
        <v>36.08</v>
      </c>
      <c r="X832" s="15">
        <v>14.9</v>
      </c>
      <c r="Y832" s="15">
        <v>1.662307</v>
      </c>
      <c r="Z832" s="15">
        <v>6</v>
      </c>
      <c r="AA832" s="46">
        <v>46272</v>
      </c>
      <c r="AB832" s="15"/>
      <c r="AC832" s="15"/>
      <c r="AD832" s="15"/>
      <c r="AE832" s="15"/>
      <c r="AF832" s="15"/>
      <c r="AG832" s="15"/>
      <c r="AH832" s="15"/>
      <c r="AI832" s="46"/>
      <c r="AJ832" s="51" t="s">
        <v>6121</v>
      </c>
      <c r="AK832" s="51" t="s">
        <v>6121</v>
      </c>
      <c r="AL832" s="15">
        <v>848.05</v>
      </c>
      <c r="AM832" s="51" t="s">
        <v>67</v>
      </c>
      <c r="AN832" s="51" t="s">
        <v>67</v>
      </c>
      <c r="AO832" s="50" t="s">
        <v>9554</v>
      </c>
    </row>
    <row r="833" spans="1:41" hidden="1" x14ac:dyDescent="0.25">
      <c r="A833" s="51" t="s">
        <v>4879</v>
      </c>
      <c r="B833" s="51" t="s">
        <v>4880</v>
      </c>
      <c r="C833" s="54" t="s">
        <v>5599</v>
      </c>
      <c r="D833" s="51" t="s">
        <v>4881</v>
      </c>
      <c r="E833" s="20">
        <v>4323.91</v>
      </c>
      <c r="F833" s="20">
        <v>5115.2700000000004</v>
      </c>
      <c r="G833" s="20">
        <v>12046.02</v>
      </c>
      <c r="H833" s="20">
        <v>3870.86</v>
      </c>
      <c r="I833" s="20">
        <v>5115.2700000000004</v>
      </c>
      <c r="J833" s="51" t="s">
        <v>6727</v>
      </c>
      <c r="K833" s="15">
        <v>19</v>
      </c>
      <c r="L833" s="51" t="s">
        <v>2369</v>
      </c>
      <c r="M833" s="51" t="s">
        <v>67</v>
      </c>
      <c r="N833" s="51" t="s">
        <v>67</v>
      </c>
      <c r="O833" s="51" t="s">
        <v>4882</v>
      </c>
      <c r="P833" s="51" t="s">
        <v>1340</v>
      </c>
      <c r="Q833" s="45">
        <v>46281.560524803244</v>
      </c>
      <c r="R833" s="46">
        <v>46302</v>
      </c>
      <c r="S833" s="46">
        <v>46297</v>
      </c>
      <c r="T833" s="51" t="s">
        <v>6119</v>
      </c>
      <c r="U833" s="15">
        <v>848.05</v>
      </c>
      <c r="V833" s="15">
        <v>3921.84</v>
      </c>
      <c r="W833" s="15">
        <v>36.08</v>
      </c>
      <c r="X833" s="15">
        <v>14.9</v>
      </c>
      <c r="Y833" s="15">
        <v>1.662307</v>
      </c>
      <c r="Z833" s="15">
        <v>6</v>
      </c>
      <c r="AA833" s="46">
        <v>46272</v>
      </c>
      <c r="AB833" s="15"/>
      <c r="AC833" s="15"/>
      <c r="AD833" s="15"/>
      <c r="AE833" s="15"/>
      <c r="AF833" s="15"/>
      <c r="AG833" s="15"/>
      <c r="AH833" s="15"/>
      <c r="AI833" s="46"/>
      <c r="AJ833" s="51" t="s">
        <v>6121</v>
      </c>
      <c r="AK833" s="51" t="s">
        <v>6121</v>
      </c>
      <c r="AL833" s="15">
        <v>848.05</v>
      </c>
      <c r="AM833" s="51" t="s">
        <v>67</v>
      </c>
      <c r="AN833" s="51" t="s">
        <v>67</v>
      </c>
      <c r="AO833" s="50" t="s">
        <v>9554</v>
      </c>
    </row>
    <row r="834" spans="1:41" hidden="1" x14ac:dyDescent="0.25">
      <c r="A834" s="51" t="s">
        <v>4883</v>
      </c>
      <c r="B834" s="51" t="s">
        <v>4884</v>
      </c>
      <c r="C834" s="54" t="s">
        <v>2689</v>
      </c>
      <c r="D834" s="51" t="s">
        <v>3634</v>
      </c>
      <c r="E834" s="20">
        <v>3624.11</v>
      </c>
      <c r="F834" s="20">
        <v>5625.85</v>
      </c>
      <c r="G834" s="20">
        <v>-3079.43</v>
      </c>
      <c r="H834" s="20">
        <v>3870.86</v>
      </c>
      <c r="I834" s="20">
        <v>2615.1799999999998</v>
      </c>
      <c r="J834" s="51" t="s">
        <v>6726</v>
      </c>
      <c r="K834" s="15">
        <v>0</v>
      </c>
      <c r="L834" s="51" t="s">
        <v>2371</v>
      </c>
      <c r="M834" s="51" t="s">
        <v>67</v>
      </c>
      <c r="N834" s="51" t="s">
        <v>67</v>
      </c>
      <c r="O834" s="51" t="s">
        <v>4885</v>
      </c>
      <c r="P834" s="51" t="s">
        <v>1340</v>
      </c>
      <c r="Q834" s="45">
        <v>46281.56052702546</v>
      </c>
      <c r="R834" s="46">
        <v>46317</v>
      </c>
      <c r="S834" s="46">
        <v>46312</v>
      </c>
      <c r="T834" s="51" t="s">
        <v>6119</v>
      </c>
      <c r="U834" s="15">
        <v>849.8</v>
      </c>
      <c r="V834" s="15">
        <v>3922.15</v>
      </c>
      <c r="W834" s="15">
        <v>36.39</v>
      </c>
      <c r="X834" s="15">
        <v>14.9</v>
      </c>
      <c r="Y834" s="15">
        <v>1.6620440000000001</v>
      </c>
      <c r="Z834" s="15">
        <v>6</v>
      </c>
      <c r="AA834" s="46">
        <v>46256</v>
      </c>
      <c r="AB834" s="15"/>
      <c r="AC834" s="15"/>
      <c r="AD834" s="15"/>
      <c r="AE834" s="15"/>
      <c r="AF834" s="15"/>
      <c r="AG834" s="15"/>
      <c r="AH834" s="15"/>
      <c r="AI834" s="46"/>
      <c r="AJ834" s="51" t="s">
        <v>67</v>
      </c>
      <c r="AK834" s="51" t="s">
        <v>6121</v>
      </c>
      <c r="AL834" s="15">
        <v>849.8</v>
      </c>
      <c r="AM834" s="51" t="s">
        <v>6705</v>
      </c>
      <c r="AN834" s="51" t="s">
        <v>6713</v>
      </c>
      <c r="AO834" s="50" t="s">
        <v>9554</v>
      </c>
    </row>
    <row r="835" spans="1:41" hidden="1" x14ac:dyDescent="0.25">
      <c r="A835" s="51" t="s">
        <v>4886</v>
      </c>
      <c r="B835" s="51" t="s">
        <v>4887</v>
      </c>
      <c r="C835" s="54" t="s">
        <v>2692</v>
      </c>
      <c r="D835" s="51" t="s">
        <v>4888</v>
      </c>
      <c r="E835" s="20">
        <v>2042.77</v>
      </c>
      <c r="F835" s="20">
        <v>4832.8100000000004</v>
      </c>
      <c r="G835" s="20">
        <v>7689.66</v>
      </c>
      <c r="H835" s="20">
        <v>3870.86</v>
      </c>
      <c r="I835" s="20">
        <v>4832.8100000000004</v>
      </c>
      <c r="J835" s="51" t="s">
        <v>6727</v>
      </c>
      <c r="K835" s="15">
        <v>25</v>
      </c>
      <c r="L835" s="51" t="s">
        <v>2369</v>
      </c>
      <c r="M835" s="51" t="s">
        <v>4889</v>
      </c>
      <c r="N835" s="51" t="s">
        <v>1340</v>
      </c>
      <c r="O835" s="51" t="s">
        <v>67</v>
      </c>
      <c r="P835" s="51" t="s">
        <v>67</v>
      </c>
      <c r="Q835" s="45">
        <v>46281.56052914352</v>
      </c>
      <c r="R835" s="46">
        <v>46296</v>
      </c>
      <c r="S835" s="46">
        <v>46291</v>
      </c>
      <c r="T835" s="51" t="s">
        <v>6119</v>
      </c>
      <c r="U835" s="15">
        <v>848.05</v>
      </c>
      <c r="V835" s="15">
        <v>3921.84</v>
      </c>
      <c r="W835" s="15">
        <v>36.08</v>
      </c>
      <c r="X835" s="15">
        <v>14.9</v>
      </c>
      <c r="Y835" s="15">
        <v>1.662307</v>
      </c>
      <c r="Z835" s="15">
        <v>6</v>
      </c>
      <c r="AA835" s="46">
        <v>46266</v>
      </c>
      <c r="AB835" s="15"/>
      <c r="AC835" s="15"/>
      <c r="AD835" s="15"/>
      <c r="AE835" s="15"/>
      <c r="AF835" s="15"/>
      <c r="AG835" s="15"/>
      <c r="AH835" s="15"/>
      <c r="AI835" s="46"/>
      <c r="AJ835" s="51" t="s">
        <v>6121</v>
      </c>
      <c r="AK835" s="51" t="s">
        <v>6121</v>
      </c>
      <c r="AL835" s="15">
        <v>848.05</v>
      </c>
      <c r="AM835" s="51" t="s">
        <v>67</v>
      </c>
      <c r="AN835" s="51" t="s">
        <v>67</v>
      </c>
      <c r="AO835" s="50" t="s">
        <v>9554</v>
      </c>
    </row>
    <row r="836" spans="1:41" hidden="1" x14ac:dyDescent="0.25">
      <c r="A836" s="51" t="s">
        <v>4890</v>
      </c>
      <c r="B836" s="51" t="s">
        <v>4891</v>
      </c>
      <c r="C836" s="54" t="s">
        <v>2694</v>
      </c>
      <c r="D836" s="51" t="s">
        <v>4892</v>
      </c>
      <c r="E836" s="20">
        <v>10017.9</v>
      </c>
      <c r="F836" s="20">
        <v>251.72</v>
      </c>
      <c r="G836" s="20">
        <v>15724.71</v>
      </c>
      <c r="H836" s="20">
        <v>0</v>
      </c>
      <c r="I836" s="20">
        <v>755.15</v>
      </c>
      <c r="J836" s="51" t="s">
        <v>2654</v>
      </c>
      <c r="K836" s="15">
        <v>0</v>
      </c>
      <c r="L836" s="51" t="s">
        <v>2371</v>
      </c>
      <c r="M836" s="51" t="s">
        <v>4893</v>
      </c>
      <c r="N836" s="51" t="s">
        <v>1340</v>
      </c>
      <c r="O836" s="51" t="s">
        <v>67</v>
      </c>
      <c r="P836" s="51" t="s">
        <v>67</v>
      </c>
      <c r="Q836" s="45">
        <v>46281.560531180556</v>
      </c>
      <c r="R836" s="46">
        <v>46312</v>
      </c>
      <c r="S836" s="46">
        <v>46307</v>
      </c>
      <c r="T836" s="51" t="s">
        <v>6119</v>
      </c>
      <c r="U836" s="15"/>
      <c r="V836" s="15"/>
      <c r="W836" s="15"/>
      <c r="X836" s="15"/>
      <c r="Y836" s="15"/>
      <c r="Z836" s="15"/>
      <c r="AA836" s="46"/>
      <c r="AB836" s="15"/>
      <c r="AC836" s="15"/>
      <c r="AD836" s="15"/>
      <c r="AE836" s="15"/>
      <c r="AF836" s="15"/>
      <c r="AG836" s="15"/>
      <c r="AH836" s="15"/>
      <c r="AI836" s="46"/>
      <c r="AJ836" s="51" t="s">
        <v>67</v>
      </c>
      <c r="AK836" s="51" t="s">
        <v>67</v>
      </c>
      <c r="AL836" s="15"/>
      <c r="AM836" s="51" t="s">
        <v>67</v>
      </c>
      <c r="AN836" s="51" t="s">
        <v>67</v>
      </c>
      <c r="AO836" s="50" t="s">
        <v>9554</v>
      </c>
    </row>
    <row r="837" spans="1:41" hidden="1" x14ac:dyDescent="0.25">
      <c r="A837" s="51" t="s">
        <v>4894</v>
      </c>
      <c r="B837" s="51" t="s">
        <v>4895</v>
      </c>
      <c r="C837" s="54" t="s">
        <v>2693</v>
      </c>
      <c r="D837" s="51" t="s">
        <v>4896</v>
      </c>
      <c r="E837" s="20">
        <v>9251</v>
      </c>
      <c r="F837" s="20">
        <v>8770.07</v>
      </c>
      <c r="G837" s="20">
        <v>-3894.73</v>
      </c>
      <c r="H837" s="20">
        <v>3870.86</v>
      </c>
      <c r="I837" s="20">
        <v>7479.78</v>
      </c>
      <c r="J837" s="51" t="s">
        <v>6726</v>
      </c>
      <c r="K837" s="15">
        <v>38</v>
      </c>
      <c r="L837" s="51" t="s">
        <v>2369</v>
      </c>
      <c r="M837" s="51" t="s">
        <v>67</v>
      </c>
      <c r="N837" s="51" t="s">
        <v>67</v>
      </c>
      <c r="O837" s="51" t="s">
        <v>4897</v>
      </c>
      <c r="P837" s="51" t="s">
        <v>1340</v>
      </c>
      <c r="Q837" s="45">
        <v>46281.560533148149</v>
      </c>
      <c r="R837" s="46">
        <v>46314</v>
      </c>
      <c r="S837" s="46">
        <v>46309</v>
      </c>
      <c r="T837" s="51" t="s">
        <v>6119</v>
      </c>
      <c r="U837" s="15">
        <v>849.8</v>
      </c>
      <c r="V837" s="15">
        <v>3922.15</v>
      </c>
      <c r="W837" s="15">
        <v>36.39</v>
      </c>
      <c r="X837" s="15">
        <v>14.9</v>
      </c>
      <c r="Y837" s="15">
        <v>1.6620440000000001</v>
      </c>
      <c r="Z837" s="15">
        <v>6</v>
      </c>
      <c r="AA837" s="46">
        <v>46253</v>
      </c>
      <c r="AB837" s="15">
        <v>212.9</v>
      </c>
      <c r="AC837" s="15">
        <v>387.09</v>
      </c>
      <c r="AD837" s="15">
        <v>38.71</v>
      </c>
      <c r="AE837" s="15">
        <v>582.26</v>
      </c>
      <c r="AF837" s="15">
        <v>3729.62</v>
      </c>
      <c r="AG837" s="15">
        <v>57.49</v>
      </c>
      <c r="AH837" s="15">
        <v>1.5861069999999999</v>
      </c>
      <c r="AI837" s="46">
        <v>46283</v>
      </c>
      <c r="AJ837" s="51" t="s">
        <v>6121</v>
      </c>
      <c r="AK837" s="51" t="s">
        <v>6121</v>
      </c>
      <c r="AL837" s="15">
        <v>849.8</v>
      </c>
      <c r="AM837" s="51" t="s">
        <v>6705</v>
      </c>
      <c r="AN837" s="51" t="s">
        <v>6713</v>
      </c>
      <c r="AO837" s="50" t="s">
        <v>9554</v>
      </c>
    </row>
    <row r="838" spans="1:41" hidden="1" x14ac:dyDescent="0.25">
      <c r="A838" s="51" t="s">
        <v>4898</v>
      </c>
      <c r="B838" s="51" t="s">
        <v>4899</v>
      </c>
      <c r="C838" s="54" t="s">
        <v>5599</v>
      </c>
      <c r="D838" s="51" t="s">
        <v>4900</v>
      </c>
      <c r="E838" s="20">
        <v>15116.37</v>
      </c>
      <c r="F838" s="20">
        <v>406.87</v>
      </c>
      <c r="G838" s="20">
        <v>1702.65</v>
      </c>
      <c r="H838" s="20">
        <v>0</v>
      </c>
      <c r="I838" s="20">
        <v>406.87</v>
      </c>
      <c r="J838" s="51" t="s">
        <v>2654</v>
      </c>
      <c r="K838" s="15">
        <v>0</v>
      </c>
      <c r="L838" s="51" t="s">
        <v>2371</v>
      </c>
      <c r="M838" s="51" t="s">
        <v>67</v>
      </c>
      <c r="N838" s="51" t="s">
        <v>67</v>
      </c>
      <c r="O838" s="51" t="s">
        <v>4901</v>
      </c>
      <c r="P838" s="51" t="s">
        <v>1340</v>
      </c>
      <c r="Q838" s="45">
        <v>46281.560535381941</v>
      </c>
      <c r="R838" s="46">
        <v>46302</v>
      </c>
      <c r="S838" s="46">
        <v>46297</v>
      </c>
      <c r="T838" s="51" t="s">
        <v>6119</v>
      </c>
      <c r="U838" s="15"/>
      <c r="V838" s="15"/>
      <c r="W838" s="15"/>
      <c r="X838" s="15"/>
      <c r="Y838" s="15"/>
      <c r="Z838" s="15"/>
      <c r="AA838" s="46"/>
      <c r="AB838" s="15"/>
      <c r="AC838" s="15"/>
      <c r="AD838" s="15"/>
      <c r="AE838" s="15"/>
      <c r="AF838" s="15"/>
      <c r="AG838" s="15"/>
      <c r="AH838" s="15"/>
      <c r="AI838" s="46"/>
      <c r="AJ838" s="51" t="s">
        <v>67</v>
      </c>
      <c r="AK838" s="51" t="s">
        <v>67</v>
      </c>
      <c r="AL838" s="15"/>
      <c r="AM838" s="51" t="s">
        <v>67</v>
      </c>
      <c r="AN838" s="51" t="s">
        <v>67</v>
      </c>
      <c r="AO838" s="50" t="s">
        <v>9554</v>
      </c>
    </row>
    <row r="839" spans="1:41" hidden="1" x14ac:dyDescent="0.25">
      <c r="A839" s="51" t="s">
        <v>4902</v>
      </c>
      <c r="B839" s="51" t="s">
        <v>4903</v>
      </c>
      <c r="C839" s="54" t="s">
        <v>2690</v>
      </c>
      <c r="D839" s="51" t="s">
        <v>4637</v>
      </c>
      <c r="E839" s="20">
        <v>13796.57</v>
      </c>
      <c r="F839" s="20">
        <v>584.82000000000005</v>
      </c>
      <c r="G839" s="20">
        <v>6351.54</v>
      </c>
      <c r="H839" s="20">
        <v>584.82000000000005</v>
      </c>
      <c r="I839" s="20">
        <v>584.82000000000005</v>
      </c>
      <c r="J839" s="51" t="s">
        <v>6727</v>
      </c>
      <c r="K839" s="15">
        <v>0</v>
      </c>
      <c r="L839" s="51" t="s">
        <v>2371</v>
      </c>
      <c r="M839" s="51" t="s">
        <v>67</v>
      </c>
      <c r="N839" s="51" t="s">
        <v>67</v>
      </c>
      <c r="O839" s="51" t="s">
        <v>4904</v>
      </c>
      <c r="P839" s="51" t="s">
        <v>1340</v>
      </c>
      <c r="Q839" s="45">
        <v>46281.56053732639</v>
      </c>
      <c r="R839" s="46">
        <v>46322</v>
      </c>
      <c r="S839" s="46">
        <v>46317</v>
      </c>
      <c r="T839" s="51" t="s">
        <v>6119</v>
      </c>
      <c r="U839" s="15"/>
      <c r="V839" s="15"/>
      <c r="W839" s="15"/>
      <c r="X839" s="15"/>
      <c r="Y839" s="15"/>
      <c r="Z839" s="15"/>
      <c r="AA839" s="46"/>
      <c r="AB839" s="15"/>
      <c r="AC839" s="15"/>
      <c r="AD839" s="15"/>
      <c r="AE839" s="15"/>
      <c r="AF839" s="15"/>
      <c r="AG839" s="15"/>
      <c r="AH839" s="15"/>
      <c r="AI839" s="46"/>
      <c r="AJ839" s="51" t="s">
        <v>67</v>
      </c>
      <c r="AK839" s="51" t="s">
        <v>67</v>
      </c>
      <c r="AL839" s="15"/>
      <c r="AM839" s="51" t="s">
        <v>67</v>
      </c>
      <c r="AN839" s="51" t="s">
        <v>67</v>
      </c>
      <c r="AO839" s="50" t="s">
        <v>9554</v>
      </c>
    </row>
    <row r="840" spans="1:41" hidden="1" x14ac:dyDescent="0.25">
      <c r="A840" s="51" t="s">
        <v>4905</v>
      </c>
      <c r="B840" s="51" t="s">
        <v>4906</v>
      </c>
      <c r="C840" s="54" t="s">
        <v>2689</v>
      </c>
      <c r="D840" s="51" t="s">
        <v>4907</v>
      </c>
      <c r="E840" s="20">
        <v>10520.77</v>
      </c>
      <c r="F840" s="20">
        <v>9378.1200000000008</v>
      </c>
      <c r="G840" s="20">
        <v>12415.5</v>
      </c>
      <c r="H840" s="20">
        <v>3870.86</v>
      </c>
      <c r="I840" s="20">
        <v>5507.26</v>
      </c>
      <c r="J840" s="51" t="s">
        <v>6727</v>
      </c>
      <c r="K840" s="15">
        <v>35</v>
      </c>
      <c r="L840" s="51" t="s">
        <v>2369</v>
      </c>
      <c r="M840" s="51" t="s">
        <v>4908</v>
      </c>
      <c r="N840" s="51" t="s">
        <v>1340</v>
      </c>
      <c r="O840" s="51" t="s">
        <v>67</v>
      </c>
      <c r="P840" s="51" t="s">
        <v>67</v>
      </c>
      <c r="Q840" s="45">
        <v>46281.560539525461</v>
      </c>
      <c r="R840" s="46">
        <v>46317</v>
      </c>
      <c r="S840" s="46">
        <v>46312</v>
      </c>
      <c r="T840" s="51" t="s">
        <v>6119</v>
      </c>
      <c r="U840" s="15">
        <v>849.8</v>
      </c>
      <c r="V840" s="15">
        <v>3922.15</v>
      </c>
      <c r="W840" s="15">
        <v>36.39</v>
      </c>
      <c r="X840" s="15">
        <v>14.9</v>
      </c>
      <c r="Y840" s="15">
        <v>1.6620440000000001</v>
      </c>
      <c r="Z840" s="15">
        <v>6</v>
      </c>
      <c r="AA840" s="46">
        <v>46256</v>
      </c>
      <c r="AB840" s="15"/>
      <c r="AC840" s="15"/>
      <c r="AD840" s="15"/>
      <c r="AE840" s="15"/>
      <c r="AF840" s="15"/>
      <c r="AG840" s="15"/>
      <c r="AH840" s="15"/>
      <c r="AI840" s="46"/>
      <c r="AJ840" s="51" t="s">
        <v>6121</v>
      </c>
      <c r="AK840" s="51" t="s">
        <v>6121</v>
      </c>
      <c r="AL840" s="15">
        <v>849.8</v>
      </c>
      <c r="AM840" s="51" t="s">
        <v>67</v>
      </c>
      <c r="AN840" s="51" t="s">
        <v>67</v>
      </c>
      <c r="AO840" s="50" t="s">
        <v>9554</v>
      </c>
    </row>
    <row r="841" spans="1:41" hidden="1" x14ac:dyDescent="0.25">
      <c r="A841" s="51" t="s">
        <v>4909</v>
      </c>
      <c r="B841" s="51" t="s">
        <v>4910</v>
      </c>
      <c r="C841" s="54" t="s">
        <v>2357</v>
      </c>
      <c r="D841" s="51" t="s">
        <v>4911</v>
      </c>
      <c r="E841" s="20">
        <v>731.31</v>
      </c>
      <c r="F841" s="20">
        <v>427.58</v>
      </c>
      <c r="G841" s="20">
        <v>3358.5</v>
      </c>
      <c r="H841" s="20">
        <v>0</v>
      </c>
      <c r="I841" s="20">
        <v>427.58</v>
      </c>
      <c r="J841" s="51" t="s">
        <v>2654</v>
      </c>
      <c r="K841" s="15">
        <v>0</v>
      </c>
      <c r="L841" s="51" t="s">
        <v>2371</v>
      </c>
      <c r="M841" s="51" t="s">
        <v>4912</v>
      </c>
      <c r="N841" s="51" t="s">
        <v>1340</v>
      </c>
      <c r="O841" s="51" t="s">
        <v>4913</v>
      </c>
      <c r="P841" s="51" t="s">
        <v>1340</v>
      </c>
      <c r="Q841" s="45">
        <v>46281.56054204861</v>
      </c>
      <c r="R841" s="46">
        <v>46308</v>
      </c>
      <c r="S841" s="46">
        <v>46303</v>
      </c>
      <c r="T841" s="51" t="s">
        <v>6119</v>
      </c>
      <c r="U841" s="15"/>
      <c r="V841" s="15"/>
      <c r="W841" s="15"/>
      <c r="X841" s="15"/>
      <c r="Y841" s="15"/>
      <c r="Z841" s="15"/>
      <c r="AA841" s="46"/>
      <c r="AB841" s="15"/>
      <c r="AC841" s="15"/>
      <c r="AD841" s="15"/>
      <c r="AE841" s="15"/>
      <c r="AF841" s="15"/>
      <c r="AG841" s="15"/>
      <c r="AH841" s="15"/>
      <c r="AI841" s="46"/>
      <c r="AJ841" s="51" t="s">
        <v>67</v>
      </c>
      <c r="AK841" s="51" t="s">
        <v>67</v>
      </c>
      <c r="AL841" s="15"/>
      <c r="AM841" s="51" t="s">
        <v>67</v>
      </c>
      <c r="AN841" s="51" t="s">
        <v>67</v>
      </c>
      <c r="AO841" s="50" t="s">
        <v>9554</v>
      </c>
    </row>
    <row r="842" spans="1:41" hidden="1" x14ac:dyDescent="0.25">
      <c r="A842" s="51" t="s">
        <v>4914</v>
      </c>
      <c r="B842" s="51" t="s">
        <v>4915</v>
      </c>
      <c r="C842" s="54" t="s">
        <v>2541</v>
      </c>
      <c r="D842" s="51" t="s">
        <v>4916</v>
      </c>
      <c r="E842" s="20">
        <v>9444.09</v>
      </c>
      <c r="F842" s="20">
        <v>414.45</v>
      </c>
      <c r="G842" s="20">
        <v>8886.68</v>
      </c>
      <c r="H842" s="20">
        <v>0</v>
      </c>
      <c r="I842" s="20">
        <v>621.66999999999996</v>
      </c>
      <c r="J842" s="51" t="s">
        <v>2654</v>
      </c>
      <c r="K842" s="15">
        <v>0</v>
      </c>
      <c r="L842" s="51" t="s">
        <v>2371</v>
      </c>
      <c r="M842" s="51" t="s">
        <v>4917</v>
      </c>
      <c r="N842" s="51" t="s">
        <v>1340</v>
      </c>
      <c r="O842" s="51" t="s">
        <v>67</v>
      </c>
      <c r="P842" s="51" t="s">
        <v>67</v>
      </c>
      <c r="Q842" s="45">
        <v>46281.560543981483</v>
      </c>
      <c r="R842" s="46">
        <v>46311</v>
      </c>
      <c r="S842" s="46">
        <v>46306</v>
      </c>
      <c r="T842" s="51" t="s">
        <v>6119</v>
      </c>
      <c r="U842" s="15"/>
      <c r="V842" s="15"/>
      <c r="W842" s="15"/>
      <c r="X842" s="15"/>
      <c r="Y842" s="15"/>
      <c r="Z842" s="15"/>
      <c r="AA842" s="46"/>
      <c r="AB842" s="15"/>
      <c r="AC842" s="15"/>
      <c r="AD842" s="15"/>
      <c r="AE842" s="15"/>
      <c r="AF842" s="15"/>
      <c r="AG842" s="15"/>
      <c r="AH842" s="15"/>
      <c r="AI842" s="46"/>
      <c r="AJ842" s="51" t="s">
        <v>67</v>
      </c>
      <c r="AK842" s="51" t="s">
        <v>67</v>
      </c>
      <c r="AL842" s="15"/>
      <c r="AM842" s="51" t="s">
        <v>67</v>
      </c>
      <c r="AN842" s="51" t="s">
        <v>67</v>
      </c>
      <c r="AO842" s="50" t="s">
        <v>9554</v>
      </c>
    </row>
    <row r="843" spans="1:41" hidden="1" x14ac:dyDescent="0.25">
      <c r="A843" s="51" t="s">
        <v>4918</v>
      </c>
      <c r="B843" s="51" t="s">
        <v>4919</v>
      </c>
      <c r="C843" s="54" t="s">
        <v>5599</v>
      </c>
      <c r="D843" s="51" t="s">
        <v>4920</v>
      </c>
      <c r="E843" s="20">
        <v>1949.01</v>
      </c>
      <c r="F843" s="20">
        <v>812.79</v>
      </c>
      <c r="G843" s="20">
        <v>15387.19</v>
      </c>
      <c r="H843" s="20">
        <v>0</v>
      </c>
      <c r="I843" s="20">
        <v>812.79</v>
      </c>
      <c r="J843" s="51" t="s">
        <v>2654</v>
      </c>
      <c r="K843" s="15">
        <v>0</v>
      </c>
      <c r="L843" s="51" t="s">
        <v>2371</v>
      </c>
      <c r="M843" s="51" t="s">
        <v>4921</v>
      </c>
      <c r="N843" s="51" t="s">
        <v>1340</v>
      </c>
      <c r="O843" s="51" t="s">
        <v>4922</v>
      </c>
      <c r="P843" s="51" t="s">
        <v>1340</v>
      </c>
      <c r="Q843" s="45">
        <v>46281.560545844906</v>
      </c>
      <c r="R843" s="46">
        <v>46302</v>
      </c>
      <c r="S843" s="46">
        <v>46297</v>
      </c>
      <c r="T843" s="51" t="s">
        <v>6119</v>
      </c>
      <c r="U843" s="15"/>
      <c r="V843" s="15"/>
      <c r="W843" s="15"/>
      <c r="X843" s="15"/>
      <c r="Y843" s="15"/>
      <c r="Z843" s="15"/>
      <c r="AA843" s="46"/>
      <c r="AB843" s="15"/>
      <c r="AC843" s="15"/>
      <c r="AD843" s="15"/>
      <c r="AE843" s="15"/>
      <c r="AF843" s="15"/>
      <c r="AG843" s="15"/>
      <c r="AH843" s="15"/>
      <c r="AI843" s="46"/>
      <c r="AJ843" s="51" t="s">
        <v>67</v>
      </c>
      <c r="AK843" s="51" t="s">
        <v>67</v>
      </c>
      <c r="AL843" s="15"/>
      <c r="AM843" s="51" t="s">
        <v>67</v>
      </c>
      <c r="AN843" s="51" t="s">
        <v>67</v>
      </c>
      <c r="AO843" s="50" t="s">
        <v>9554</v>
      </c>
    </row>
    <row r="844" spans="1:41" hidden="1" x14ac:dyDescent="0.25">
      <c r="A844" s="51" t="s">
        <v>4923</v>
      </c>
      <c r="B844" s="51" t="s">
        <v>4924</v>
      </c>
      <c r="C844" s="54" t="s">
        <v>5606</v>
      </c>
      <c r="D844" s="51" t="s">
        <v>4925</v>
      </c>
      <c r="E844" s="20">
        <v>5861.4</v>
      </c>
      <c r="F844" s="20">
        <v>2368.56</v>
      </c>
      <c r="G844" s="20">
        <v>2029.17</v>
      </c>
      <c r="H844" s="20">
        <v>3870.86</v>
      </c>
      <c r="I844" s="20">
        <v>2368.56</v>
      </c>
      <c r="J844" s="51" t="s">
        <v>6726</v>
      </c>
      <c r="K844" s="15">
        <v>0</v>
      </c>
      <c r="L844" s="51" t="s">
        <v>2371</v>
      </c>
      <c r="M844" s="51" t="s">
        <v>67</v>
      </c>
      <c r="N844" s="51" t="s">
        <v>67</v>
      </c>
      <c r="O844" s="51" t="s">
        <v>4926</v>
      </c>
      <c r="P844" s="51" t="s">
        <v>1340</v>
      </c>
      <c r="Q844" s="45">
        <v>46281.560547858797</v>
      </c>
      <c r="R844" s="46">
        <v>46297</v>
      </c>
      <c r="S844" s="46">
        <v>46292</v>
      </c>
      <c r="T844" s="51" t="s">
        <v>6119</v>
      </c>
      <c r="U844" s="15">
        <v>848.05</v>
      </c>
      <c r="V844" s="15">
        <v>3921.84</v>
      </c>
      <c r="W844" s="15">
        <v>36.08</v>
      </c>
      <c r="X844" s="15">
        <v>14.9</v>
      </c>
      <c r="Y844" s="15">
        <v>1.662307</v>
      </c>
      <c r="Z844" s="15">
        <v>6</v>
      </c>
      <c r="AA844" s="46">
        <v>46267</v>
      </c>
      <c r="AB844" s="15"/>
      <c r="AC844" s="15"/>
      <c r="AD844" s="15"/>
      <c r="AE844" s="15"/>
      <c r="AF844" s="15"/>
      <c r="AG844" s="15"/>
      <c r="AH844" s="15"/>
      <c r="AI844" s="46"/>
      <c r="AJ844" s="51" t="s">
        <v>67</v>
      </c>
      <c r="AK844" s="51" t="s">
        <v>6121</v>
      </c>
      <c r="AL844" s="15">
        <v>848.05</v>
      </c>
      <c r="AM844" s="51" t="s">
        <v>6705</v>
      </c>
      <c r="AN844" s="51" t="s">
        <v>6713</v>
      </c>
      <c r="AO844" s="50" t="s">
        <v>9554</v>
      </c>
    </row>
    <row r="845" spans="1:41" hidden="1" x14ac:dyDescent="0.25">
      <c r="A845" s="51" t="s">
        <v>4927</v>
      </c>
      <c r="B845" s="51" t="s">
        <v>4928</v>
      </c>
      <c r="C845" s="54" t="s">
        <v>5608</v>
      </c>
      <c r="D845" s="51" t="s">
        <v>4929</v>
      </c>
      <c r="E845" s="20">
        <v>1023.52</v>
      </c>
      <c r="F845" s="20">
        <v>92.13</v>
      </c>
      <c r="G845" s="20">
        <v>14873.54</v>
      </c>
      <c r="H845" s="20">
        <v>8348.2800000000007</v>
      </c>
      <c r="I845" s="20">
        <v>92.13</v>
      </c>
      <c r="J845" s="51" t="s">
        <v>6724</v>
      </c>
      <c r="K845" s="15">
        <v>0</v>
      </c>
      <c r="L845" s="51" t="s">
        <v>2371</v>
      </c>
      <c r="M845" s="51" t="s">
        <v>4930</v>
      </c>
      <c r="N845" s="51" t="s">
        <v>1340</v>
      </c>
      <c r="O845" s="51" t="s">
        <v>67</v>
      </c>
      <c r="P845" s="51" t="s">
        <v>67</v>
      </c>
      <c r="Q845" s="45">
        <v>46281.560550208334</v>
      </c>
      <c r="R845" s="46">
        <v>46319</v>
      </c>
      <c r="S845" s="46">
        <v>46314</v>
      </c>
      <c r="T845" s="51" t="s">
        <v>6119</v>
      </c>
      <c r="U845" s="15">
        <v>849.8</v>
      </c>
      <c r="V845" s="15">
        <v>3922.15</v>
      </c>
      <c r="W845" s="15">
        <v>36.39</v>
      </c>
      <c r="X845" s="15">
        <v>14.9</v>
      </c>
      <c r="Y845" s="15">
        <v>1.6620440000000001</v>
      </c>
      <c r="Z845" s="15">
        <v>6</v>
      </c>
      <c r="AA845" s="46">
        <v>46258</v>
      </c>
      <c r="AB845" s="15"/>
      <c r="AC845" s="15"/>
      <c r="AD845" s="15"/>
      <c r="AE845" s="15"/>
      <c r="AF845" s="15"/>
      <c r="AG845" s="15"/>
      <c r="AH845" s="15"/>
      <c r="AI845" s="46"/>
      <c r="AJ845" s="51" t="s">
        <v>67</v>
      </c>
      <c r="AK845" s="51" t="s">
        <v>6121</v>
      </c>
      <c r="AL845" s="15">
        <v>849.8</v>
      </c>
      <c r="AM845" s="51" t="s">
        <v>6705</v>
      </c>
      <c r="AN845" s="51" t="s">
        <v>6716</v>
      </c>
      <c r="AO845" s="50" t="s">
        <v>9554</v>
      </c>
    </row>
    <row r="846" spans="1:41" hidden="1" x14ac:dyDescent="0.25">
      <c r="A846" s="51" t="s">
        <v>4931</v>
      </c>
      <c r="B846" s="51" t="s">
        <v>4932</v>
      </c>
      <c r="C846" s="54" t="s">
        <v>5604</v>
      </c>
      <c r="D846" s="51" t="s">
        <v>4933</v>
      </c>
      <c r="E846" s="20">
        <v>7733.86</v>
      </c>
      <c r="F846" s="20">
        <v>637.03</v>
      </c>
      <c r="G846" s="20">
        <v>20269.009999999998</v>
      </c>
      <c r="H846" s="20">
        <v>0</v>
      </c>
      <c r="I846" s="20">
        <v>819.04</v>
      </c>
      <c r="J846" s="51" t="s">
        <v>2654</v>
      </c>
      <c r="K846" s="15">
        <v>0</v>
      </c>
      <c r="L846" s="51" t="s">
        <v>2371</v>
      </c>
      <c r="M846" s="51" t="s">
        <v>4934</v>
      </c>
      <c r="N846" s="51" t="s">
        <v>1340</v>
      </c>
      <c r="O846" s="51" t="s">
        <v>4935</v>
      </c>
      <c r="P846" s="51" t="s">
        <v>1340</v>
      </c>
      <c r="Q846" s="45">
        <v>46281.560552361108</v>
      </c>
      <c r="R846" s="46">
        <v>46313</v>
      </c>
      <c r="S846" s="46">
        <v>46308</v>
      </c>
      <c r="T846" s="51" t="s">
        <v>6119</v>
      </c>
      <c r="U846" s="15"/>
      <c r="V846" s="15"/>
      <c r="W846" s="15"/>
      <c r="X846" s="15"/>
      <c r="Y846" s="15"/>
      <c r="Z846" s="15"/>
      <c r="AA846" s="46"/>
      <c r="AB846" s="15"/>
      <c r="AC846" s="15"/>
      <c r="AD846" s="15"/>
      <c r="AE846" s="15"/>
      <c r="AF846" s="15"/>
      <c r="AG846" s="15"/>
      <c r="AH846" s="15"/>
      <c r="AI846" s="46"/>
      <c r="AJ846" s="51" t="s">
        <v>67</v>
      </c>
      <c r="AK846" s="51" t="s">
        <v>67</v>
      </c>
      <c r="AL846" s="15"/>
      <c r="AM846" s="51" t="s">
        <v>67</v>
      </c>
      <c r="AN846" s="51" t="s">
        <v>67</v>
      </c>
      <c r="AO846" s="50" t="s">
        <v>9554</v>
      </c>
    </row>
    <row r="847" spans="1:41" hidden="1" x14ac:dyDescent="0.25">
      <c r="A847" s="51" t="s">
        <v>4936</v>
      </c>
      <c r="B847" s="51" t="s">
        <v>4937</v>
      </c>
      <c r="C847" s="54" t="s">
        <v>5596</v>
      </c>
      <c r="D847" s="51" t="s">
        <v>4138</v>
      </c>
      <c r="E847" s="20">
        <v>5655.52</v>
      </c>
      <c r="F847" s="20">
        <v>4821.01</v>
      </c>
      <c r="G847" s="20">
        <v>-489.59</v>
      </c>
      <c r="H847" s="20">
        <v>3870.86</v>
      </c>
      <c r="I847" s="20">
        <v>4821.01</v>
      </c>
      <c r="J847" s="51" t="s">
        <v>6727</v>
      </c>
      <c r="K847" s="15">
        <v>21</v>
      </c>
      <c r="L847" s="51" t="s">
        <v>2369</v>
      </c>
      <c r="M847" s="51" t="s">
        <v>67</v>
      </c>
      <c r="N847" s="51" t="s">
        <v>67</v>
      </c>
      <c r="O847" s="51" t="s">
        <v>4938</v>
      </c>
      <c r="P847" s="51" t="s">
        <v>1344</v>
      </c>
      <c r="Q847" s="45">
        <v>46281.560554328702</v>
      </c>
      <c r="R847" s="46">
        <v>46300</v>
      </c>
      <c r="S847" s="46">
        <v>46295</v>
      </c>
      <c r="T847" s="51" t="s">
        <v>6119</v>
      </c>
      <c r="U847" s="15">
        <v>848.05</v>
      </c>
      <c r="V847" s="15">
        <v>3921.84</v>
      </c>
      <c r="W847" s="15">
        <v>36.08</v>
      </c>
      <c r="X847" s="15">
        <v>14.9</v>
      </c>
      <c r="Y847" s="15">
        <v>1.662307</v>
      </c>
      <c r="Z847" s="15">
        <v>6</v>
      </c>
      <c r="AA847" s="46">
        <v>46270</v>
      </c>
      <c r="AB847" s="15"/>
      <c r="AC847" s="15"/>
      <c r="AD847" s="15"/>
      <c r="AE847" s="15"/>
      <c r="AF847" s="15"/>
      <c r="AG847" s="15"/>
      <c r="AH847" s="15"/>
      <c r="AI847" s="46"/>
      <c r="AJ847" s="51" t="s">
        <v>6121</v>
      </c>
      <c r="AK847" s="51" t="s">
        <v>6121</v>
      </c>
      <c r="AL847" s="15">
        <v>848.05</v>
      </c>
      <c r="AM847" s="51" t="s">
        <v>6705</v>
      </c>
      <c r="AN847" s="51" t="s">
        <v>6713</v>
      </c>
      <c r="AO847" s="50" t="s">
        <v>9554</v>
      </c>
    </row>
    <row r="848" spans="1:41" hidden="1" x14ac:dyDescent="0.25">
      <c r="A848" s="51" t="s">
        <v>4939</v>
      </c>
      <c r="B848" s="51" t="s">
        <v>4940</v>
      </c>
      <c r="C848" s="54" t="s">
        <v>2693</v>
      </c>
      <c r="D848" s="51" t="s">
        <v>4941</v>
      </c>
      <c r="E848" s="20">
        <v>8615.42</v>
      </c>
      <c r="F848" s="20">
        <v>189.93</v>
      </c>
      <c r="G848" s="20">
        <v>16381.35</v>
      </c>
      <c r="H848" s="20">
        <v>0</v>
      </c>
      <c r="I848" s="20">
        <v>569.79</v>
      </c>
      <c r="J848" s="51" t="s">
        <v>2654</v>
      </c>
      <c r="K848" s="15">
        <v>0</v>
      </c>
      <c r="L848" s="51" t="s">
        <v>2371</v>
      </c>
      <c r="M848" s="51" t="s">
        <v>67</v>
      </c>
      <c r="N848" s="51" t="s">
        <v>67</v>
      </c>
      <c r="O848" s="51" t="s">
        <v>4942</v>
      </c>
      <c r="P848" s="51" t="s">
        <v>1340</v>
      </c>
      <c r="Q848" s="45">
        <v>46281.560556666664</v>
      </c>
      <c r="R848" s="46">
        <v>46314</v>
      </c>
      <c r="S848" s="46">
        <v>46309</v>
      </c>
      <c r="T848" s="51" t="s">
        <v>6119</v>
      </c>
      <c r="U848" s="15"/>
      <c r="V848" s="15"/>
      <c r="W848" s="15"/>
      <c r="X848" s="15"/>
      <c r="Y848" s="15"/>
      <c r="Z848" s="15"/>
      <c r="AA848" s="46"/>
      <c r="AB848" s="15"/>
      <c r="AC848" s="15"/>
      <c r="AD848" s="15"/>
      <c r="AE848" s="15"/>
      <c r="AF848" s="15"/>
      <c r="AG848" s="15"/>
      <c r="AH848" s="15"/>
      <c r="AI848" s="46"/>
      <c r="AJ848" s="51" t="s">
        <v>67</v>
      </c>
      <c r="AK848" s="51" t="s">
        <v>67</v>
      </c>
      <c r="AL848" s="15"/>
      <c r="AM848" s="51" t="s">
        <v>67</v>
      </c>
      <c r="AN848" s="51" t="s">
        <v>67</v>
      </c>
      <c r="AO848" s="50" t="s">
        <v>9554</v>
      </c>
    </row>
    <row r="849" spans="1:41" hidden="1" x14ac:dyDescent="0.25">
      <c r="A849" s="51" t="s">
        <v>4943</v>
      </c>
      <c r="B849" s="51" t="s">
        <v>4944</v>
      </c>
      <c r="C849" s="54" t="s">
        <v>2690</v>
      </c>
      <c r="D849" s="51" t="s">
        <v>4945</v>
      </c>
      <c r="E849" s="20">
        <v>6445.98</v>
      </c>
      <c r="F849" s="20">
        <v>2750.89</v>
      </c>
      <c r="G849" s="20">
        <v>4896.8</v>
      </c>
      <c r="H849" s="20">
        <v>4607.3500000000004</v>
      </c>
      <c r="I849" s="20">
        <v>2750.89</v>
      </c>
      <c r="J849" s="51" t="s">
        <v>6726</v>
      </c>
      <c r="K849" s="15">
        <v>0</v>
      </c>
      <c r="L849" s="51" t="s">
        <v>2371</v>
      </c>
      <c r="M849" s="51" t="s">
        <v>4946</v>
      </c>
      <c r="N849" s="51" t="s">
        <v>1340</v>
      </c>
      <c r="O849" s="51" t="s">
        <v>67</v>
      </c>
      <c r="P849" s="51" t="s">
        <v>67</v>
      </c>
      <c r="Q849" s="45">
        <v>46281.560558414349</v>
      </c>
      <c r="R849" s="46">
        <v>46322</v>
      </c>
      <c r="S849" s="46">
        <v>46317</v>
      </c>
      <c r="T849" s="51" t="s">
        <v>6119</v>
      </c>
      <c r="U849" s="15">
        <v>849.8</v>
      </c>
      <c r="V849" s="15">
        <v>3922.15</v>
      </c>
      <c r="W849" s="15">
        <v>36.39</v>
      </c>
      <c r="X849" s="15">
        <v>14.9</v>
      </c>
      <c r="Y849" s="15">
        <v>1.6620440000000001</v>
      </c>
      <c r="Z849" s="15">
        <v>6</v>
      </c>
      <c r="AA849" s="46">
        <v>46261</v>
      </c>
      <c r="AB849" s="15"/>
      <c r="AC849" s="15"/>
      <c r="AD849" s="15"/>
      <c r="AE849" s="15"/>
      <c r="AF849" s="15"/>
      <c r="AG849" s="15"/>
      <c r="AH849" s="15"/>
      <c r="AI849" s="46"/>
      <c r="AJ849" s="51" t="s">
        <v>67</v>
      </c>
      <c r="AK849" s="51" t="s">
        <v>6121</v>
      </c>
      <c r="AL849" s="15">
        <v>849.8</v>
      </c>
      <c r="AM849" s="51" t="s">
        <v>67</v>
      </c>
      <c r="AN849" s="51" t="s">
        <v>67</v>
      </c>
      <c r="AO849" s="50" t="s">
        <v>9554</v>
      </c>
    </row>
    <row r="850" spans="1:41" hidden="1" x14ac:dyDescent="0.25">
      <c r="A850" s="51" t="s">
        <v>4947</v>
      </c>
      <c r="B850" s="51" t="s">
        <v>4948</v>
      </c>
      <c r="C850" s="54" t="s">
        <v>2693</v>
      </c>
      <c r="D850" s="51" t="s">
        <v>4949</v>
      </c>
      <c r="E850" s="20">
        <v>14268.44</v>
      </c>
      <c r="F850" s="20">
        <v>8951.18</v>
      </c>
      <c r="G850" s="20">
        <v>1760.16</v>
      </c>
      <c r="H850" s="20">
        <v>3870.86</v>
      </c>
      <c r="I850" s="20">
        <v>8951.18</v>
      </c>
      <c r="J850" s="51" t="s">
        <v>6726</v>
      </c>
      <c r="K850" s="15">
        <v>38</v>
      </c>
      <c r="L850" s="51" t="s">
        <v>2369</v>
      </c>
      <c r="M850" s="51" t="s">
        <v>4950</v>
      </c>
      <c r="N850" s="51" t="s">
        <v>1340</v>
      </c>
      <c r="O850" s="51" t="s">
        <v>67</v>
      </c>
      <c r="P850" s="51" t="s">
        <v>67</v>
      </c>
      <c r="Q850" s="45">
        <v>46281.560560520833</v>
      </c>
      <c r="R850" s="46">
        <v>46314</v>
      </c>
      <c r="S850" s="46">
        <v>46309</v>
      </c>
      <c r="T850" s="51" t="s">
        <v>6119</v>
      </c>
      <c r="U850" s="15">
        <v>849.8</v>
      </c>
      <c r="V850" s="15">
        <v>3922.15</v>
      </c>
      <c r="W850" s="15">
        <v>36.39</v>
      </c>
      <c r="X850" s="15">
        <v>14.9</v>
      </c>
      <c r="Y850" s="15">
        <v>1.6620440000000001</v>
      </c>
      <c r="Z850" s="15">
        <v>6</v>
      </c>
      <c r="AA850" s="46">
        <v>46253</v>
      </c>
      <c r="AB850" s="15">
        <v>212.9</v>
      </c>
      <c r="AC850" s="15">
        <v>387.09</v>
      </c>
      <c r="AD850" s="15">
        <v>38.71</v>
      </c>
      <c r="AE850" s="15">
        <v>582.26</v>
      </c>
      <c r="AF850" s="15">
        <v>3729.62</v>
      </c>
      <c r="AG850" s="15">
        <v>57.49</v>
      </c>
      <c r="AH850" s="15">
        <v>1.5861069999999999</v>
      </c>
      <c r="AI850" s="46">
        <v>46283</v>
      </c>
      <c r="AJ850" s="51" t="s">
        <v>6121</v>
      </c>
      <c r="AK850" s="51" t="s">
        <v>6121</v>
      </c>
      <c r="AL850" s="15">
        <v>849.8</v>
      </c>
      <c r="AM850" s="51" t="s">
        <v>67</v>
      </c>
      <c r="AN850" s="51" t="s">
        <v>67</v>
      </c>
      <c r="AO850" s="50" t="s">
        <v>9554</v>
      </c>
    </row>
    <row r="851" spans="1:41" hidden="1" x14ac:dyDescent="0.25">
      <c r="A851" s="51" t="s">
        <v>4951</v>
      </c>
      <c r="B851" s="51" t="s">
        <v>4952</v>
      </c>
      <c r="C851" s="54" t="s">
        <v>607</v>
      </c>
      <c r="D851" s="51" t="s">
        <v>4953</v>
      </c>
      <c r="E851" s="20">
        <v>7293.61</v>
      </c>
      <c r="F851" s="20">
        <v>502.84</v>
      </c>
      <c r="G851" s="20">
        <v>2919</v>
      </c>
      <c r="H851" s="20">
        <v>0</v>
      </c>
      <c r="I851" s="20">
        <v>905.11</v>
      </c>
      <c r="J851" s="51" t="s">
        <v>2654</v>
      </c>
      <c r="K851" s="15">
        <v>0</v>
      </c>
      <c r="L851" s="51" t="s">
        <v>2371</v>
      </c>
      <c r="M851" s="51" t="s">
        <v>67</v>
      </c>
      <c r="N851" s="51" t="s">
        <v>67</v>
      </c>
      <c r="O851" s="51" t="s">
        <v>4954</v>
      </c>
      <c r="P851" s="51" t="s">
        <v>1340</v>
      </c>
      <c r="Q851" s="45">
        <v>46281.560562719904</v>
      </c>
      <c r="R851" s="46">
        <v>46310</v>
      </c>
      <c r="S851" s="46">
        <v>46305</v>
      </c>
      <c r="T851" s="51" t="s">
        <v>6119</v>
      </c>
      <c r="U851" s="15"/>
      <c r="V851" s="15"/>
      <c r="W851" s="15"/>
      <c r="X851" s="15"/>
      <c r="Y851" s="15"/>
      <c r="Z851" s="15"/>
      <c r="AA851" s="46"/>
      <c r="AB851" s="15"/>
      <c r="AC851" s="15"/>
      <c r="AD851" s="15"/>
      <c r="AE851" s="15"/>
      <c r="AF851" s="15"/>
      <c r="AG851" s="15"/>
      <c r="AH851" s="15"/>
      <c r="AI851" s="46"/>
      <c r="AJ851" s="51" t="s">
        <v>67</v>
      </c>
      <c r="AK851" s="51" t="s">
        <v>67</v>
      </c>
      <c r="AL851" s="15"/>
      <c r="AM851" s="51" t="s">
        <v>67</v>
      </c>
      <c r="AN851" s="51" t="s">
        <v>67</v>
      </c>
      <c r="AO851" s="50" t="s">
        <v>9554</v>
      </c>
    </row>
    <row r="852" spans="1:41" hidden="1" x14ac:dyDescent="0.25">
      <c r="A852" s="51" t="s">
        <v>4955</v>
      </c>
      <c r="B852" s="51" t="s">
        <v>4956</v>
      </c>
      <c r="C852" s="54" t="s">
        <v>5607</v>
      </c>
      <c r="D852" s="51" t="s">
        <v>4957</v>
      </c>
      <c r="E852" s="20">
        <v>12443.15</v>
      </c>
      <c r="F852" s="20">
        <v>4780.4799999999996</v>
      </c>
      <c r="G852" s="20">
        <v>15578.87</v>
      </c>
      <c r="H852" s="20">
        <v>3870.86</v>
      </c>
      <c r="I852" s="20">
        <v>4780.4799999999996</v>
      </c>
      <c r="J852" s="51" t="s">
        <v>6727</v>
      </c>
      <c r="K852" s="15">
        <v>22</v>
      </c>
      <c r="L852" s="51" t="s">
        <v>2369</v>
      </c>
      <c r="M852" s="51" t="s">
        <v>67</v>
      </c>
      <c r="N852" s="51" t="s">
        <v>67</v>
      </c>
      <c r="O852" s="51" t="s">
        <v>4958</v>
      </c>
      <c r="P852" s="51" t="s">
        <v>1340</v>
      </c>
      <c r="Q852" s="45">
        <v>46281.561499016207</v>
      </c>
      <c r="R852" s="46">
        <v>46299</v>
      </c>
      <c r="S852" s="46">
        <v>46294</v>
      </c>
      <c r="T852" s="51" t="s">
        <v>6119</v>
      </c>
      <c r="U852" s="15">
        <v>848.05</v>
      </c>
      <c r="V852" s="15">
        <v>3921.84</v>
      </c>
      <c r="W852" s="15">
        <v>36.08</v>
      </c>
      <c r="X852" s="15">
        <v>14.9</v>
      </c>
      <c r="Y852" s="15">
        <v>1.662307</v>
      </c>
      <c r="Z852" s="15">
        <v>6</v>
      </c>
      <c r="AA852" s="46">
        <v>46269</v>
      </c>
      <c r="AB852" s="15"/>
      <c r="AC852" s="15"/>
      <c r="AD852" s="15"/>
      <c r="AE852" s="15"/>
      <c r="AF852" s="15"/>
      <c r="AG852" s="15"/>
      <c r="AH852" s="15"/>
      <c r="AI852" s="46"/>
      <c r="AJ852" s="51" t="s">
        <v>6121</v>
      </c>
      <c r="AK852" s="51" t="s">
        <v>6121</v>
      </c>
      <c r="AL852" s="15">
        <v>848.05</v>
      </c>
      <c r="AM852" s="51" t="s">
        <v>67</v>
      </c>
      <c r="AN852" s="51" t="s">
        <v>67</v>
      </c>
      <c r="AO852" s="50" t="s">
        <v>9554</v>
      </c>
    </row>
    <row r="853" spans="1:41" hidden="1" x14ac:dyDescent="0.25">
      <c r="A853" s="51" t="s">
        <v>4959</v>
      </c>
      <c r="B853" s="51" t="s">
        <v>4960</v>
      </c>
      <c r="C853" s="54" t="s">
        <v>5601</v>
      </c>
      <c r="D853" s="51" t="s">
        <v>4961</v>
      </c>
      <c r="E853" s="20">
        <v>3590.3</v>
      </c>
      <c r="F853" s="20">
        <v>9350.83</v>
      </c>
      <c r="G853" s="20">
        <v>1146.56</v>
      </c>
      <c r="H853" s="20">
        <v>3870.86</v>
      </c>
      <c r="I853" s="20">
        <v>7630.45</v>
      </c>
      <c r="J853" s="51" t="s">
        <v>6727</v>
      </c>
      <c r="K853" s="15">
        <v>36</v>
      </c>
      <c r="L853" s="51" t="s">
        <v>2369</v>
      </c>
      <c r="M853" s="51" t="s">
        <v>4962</v>
      </c>
      <c r="N853" s="51" t="s">
        <v>1340</v>
      </c>
      <c r="O853" s="51" t="s">
        <v>67</v>
      </c>
      <c r="P853" s="51" t="s">
        <v>67</v>
      </c>
      <c r="Q853" s="45">
        <v>46281.561501504628</v>
      </c>
      <c r="R853" s="46">
        <v>46316</v>
      </c>
      <c r="S853" s="46">
        <v>46311</v>
      </c>
      <c r="T853" s="51" t="s">
        <v>6119</v>
      </c>
      <c r="U853" s="15">
        <v>849.8</v>
      </c>
      <c r="V853" s="15">
        <v>3922.15</v>
      </c>
      <c r="W853" s="15">
        <v>36.39</v>
      </c>
      <c r="X853" s="15">
        <v>14.9</v>
      </c>
      <c r="Y853" s="15">
        <v>1.6620440000000001</v>
      </c>
      <c r="Z853" s="15">
        <v>6</v>
      </c>
      <c r="AA853" s="46">
        <v>46255</v>
      </c>
      <c r="AB853" s="15"/>
      <c r="AC853" s="15"/>
      <c r="AD853" s="15"/>
      <c r="AE853" s="15"/>
      <c r="AF853" s="15"/>
      <c r="AG853" s="15"/>
      <c r="AH853" s="15"/>
      <c r="AI853" s="46"/>
      <c r="AJ853" s="51" t="s">
        <v>6121</v>
      </c>
      <c r="AK853" s="51" t="s">
        <v>6121</v>
      </c>
      <c r="AL853" s="15">
        <v>849.8</v>
      </c>
      <c r="AM853" s="51" t="s">
        <v>67</v>
      </c>
      <c r="AN853" s="51" t="s">
        <v>67</v>
      </c>
      <c r="AO853" s="50" t="s">
        <v>9554</v>
      </c>
    </row>
    <row r="854" spans="1:41" hidden="1" x14ac:dyDescent="0.25">
      <c r="A854" s="51" t="s">
        <v>4963</v>
      </c>
      <c r="B854" s="51" t="s">
        <v>4964</v>
      </c>
      <c r="C854" s="54" t="s">
        <v>605</v>
      </c>
      <c r="D854" s="51" t="s">
        <v>4965</v>
      </c>
      <c r="E854" s="20">
        <v>2496.0100000000002</v>
      </c>
      <c r="F854" s="20">
        <v>4824.54</v>
      </c>
      <c r="G854" s="20">
        <v>15037.26</v>
      </c>
      <c r="H854" s="20">
        <v>3870.86</v>
      </c>
      <c r="I854" s="20">
        <v>4824.54</v>
      </c>
      <c r="J854" s="51" t="s">
        <v>6727</v>
      </c>
      <c r="K854" s="15">
        <v>16</v>
      </c>
      <c r="L854" s="51" t="s">
        <v>2369</v>
      </c>
      <c r="M854" s="51" t="s">
        <v>4966</v>
      </c>
      <c r="N854" s="51" t="s">
        <v>1340</v>
      </c>
      <c r="O854" s="51" t="s">
        <v>67</v>
      </c>
      <c r="P854" s="51" t="s">
        <v>67</v>
      </c>
      <c r="Q854" s="45">
        <v>46281.561503784724</v>
      </c>
      <c r="R854" s="46">
        <v>46305</v>
      </c>
      <c r="S854" s="46">
        <v>46300</v>
      </c>
      <c r="T854" s="51" t="s">
        <v>6119</v>
      </c>
      <c r="U854" s="15">
        <v>848.05</v>
      </c>
      <c r="V854" s="15">
        <v>3921.84</v>
      </c>
      <c r="W854" s="15">
        <v>36.08</v>
      </c>
      <c r="X854" s="15">
        <v>14.9</v>
      </c>
      <c r="Y854" s="15">
        <v>1.662307</v>
      </c>
      <c r="Z854" s="15">
        <v>6</v>
      </c>
      <c r="AA854" s="46">
        <v>46275</v>
      </c>
      <c r="AB854" s="15"/>
      <c r="AC854" s="15"/>
      <c r="AD854" s="15"/>
      <c r="AE854" s="15"/>
      <c r="AF854" s="15"/>
      <c r="AG854" s="15"/>
      <c r="AH854" s="15"/>
      <c r="AI854" s="46"/>
      <c r="AJ854" s="51" t="s">
        <v>6121</v>
      </c>
      <c r="AK854" s="51" t="s">
        <v>6121</v>
      </c>
      <c r="AL854" s="15">
        <v>848.05</v>
      </c>
      <c r="AM854" s="51" t="s">
        <v>67</v>
      </c>
      <c r="AN854" s="51" t="s">
        <v>67</v>
      </c>
      <c r="AO854" s="50" t="s">
        <v>9554</v>
      </c>
    </row>
    <row r="855" spans="1:41" hidden="1" x14ac:dyDescent="0.25">
      <c r="A855" s="51" t="s">
        <v>4967</v>
      </c>
      <c r="B855" s="51" t="s">
        <v>4968</v>
      </c>
      <c r="C855" s="54" t="s">
        <v>2345</v>
      </c>
      <c r="D855" s="51" t="s">
        <v>4969</v>
      </c>
      <c r="E855" s="20">
        <v>9340.83</v>
      </c>
      <c r="F855" s="20">
        <v>814.25</v>
      </c>
      <c r="G855" s="20">
        <v>3265.48</v>
      </c>
      <c r="H855" s="20">
        <v>0</v>
      </c>
      <c r="I855" s="20">
        <v>814.25</v>
      </c>
      <c r="J855" s="51" t="s">
        <v>2654</v>
      </c>
      <c r="K855" s="15">
        <v>0</v>
      </c>
      <c r="L855" s="51" t="s">
        <v>2371</v>
      </c>
      <c r="M855" s="51" t="s">
        <v>67</v>
      </c>
      <c r="N855" s="51" t="s">
        <v>67</v>
      </c>
      <c r="O855" s="51" t="s">
        <v>4970</v>
      </c>
      <c r="P855" s="51" t="s">
        <v>1340</v>
      </c>
      <c r="Q855" s="45">
        <v>46281.561506319442</v>
      </c>
      <c r="R855" s="46">
        <v>46306</v>
      </c>
      <c r="S855" s="46">
        <v>46301</v>
      </c>
      <c r="T855" s="51" t="s">
        <v>6119</v>
      </c>
      <c r="U855" s="15"/>
      <c r="V855" s="15"/>
      <c r="W855" s="15"/>
      <c r="X855" s="15"/>
      <c r="Y855" s="15"/>
      <c r="Z855" s="15"/>
      <c r="AA855" s="46"/>
      <c r="AB855" s="15"/>
      <c r="AC855" s="15"/>
      <c r="AD855" s="15"/>
      <c r="AE855" s="15"/>
      <c r="AF855" s="15"/>
      <c r="AG855" s="15"/>
      <c r="AH855" s="15"/>
      <c r="AI855" s="46"/>
      <c r="AJ855" s="51" t="s">
        <v>67</v>
      </c>
      <c r="AK855" s="51" t="s">
        <v>67</v>
      </c>
      <c r="AL855" s="15"/>
      <c r="AM855" s="51" t="s">
        <v>67</v>
      </c>
      <c r="AN855" s="51" t="s">
        <v>67</v>
      </c>
      <c r="AO855" s="50" t="s">
        <v>9554</v>
      </c>
    </row>
    <row r="856" spans="1:41" hidden="1" x14ac:dyDescent="0.25">
      <c r="A856" s="51" t="s">
        <v>4971</v>
      </c>
      <c r="B856" s="51" t="s">
        <v>4972</v>
      </c>
      <c r="C856" s="54" t="s">
        <v>5598</v>
      </c>
      <c r="D856" s="51" t="s">
        <v>4973</v>
      </c>
      <c r="E856" s="20">
        <v>13819.45</v>
      </c>
      <c r="F856" s="20">
        <v>6664.81</v>
      </c>
      <c r="G856" s="20">
        <v>-1806.36</v>
      </c>
      <c r="H856" s="20">
        <v>7302.98</v>
      </c>
      <c r="I856" s="20">
        <v>6664.81</v>
      </c>
      <c r="J856" s="51" t="s">
        <v>6725</v>
      </c>
      <c r="K856" s="15">
        <v>0</v>
      </c>
      <c r="L856" s="51" t="s">
        <v>2371</v>
      </c>
      <c r="M856" s="51" t="s">
        <v>67</v>
      </c>
      <c r="N856" s="51" t="s">
        <v>67</v>
      </c>
      <c r="O856" s="51" t="s">
        <v>4974</v>
      </c>
      <c r="P856" s="51" t="s">
        <v>1340</v>
      </c>
      <c r="Q856" s="45">
        <v>46281.561508298611</v>
      </c>
      <c r="R856" s="46">
        <v>46318</v>
      </c>
      <c r="S856" s="46">
        <v>46313</v>
      </c>
      <c r="T856" s="51" t="s">
        <v>6119</v>
      </c>
      <c r="U856" s="15">
        <v>849.8</v>
      </c>
      <c r="V856" s="15">
        <v>3922.15</v>
      </c>
      <c r="W856" s="15">
        <v>36.39</v>
      </c>
      <c r="X856" s="15">
        <v>14.9</v>
      </c>
      <c r="Y856" s="15">
        <v>1.6620440000000001</v>
      </c>
      <c r="Z856" s="15">
        <v>6</v>
      </c>
      <c r="AA856" s="46">
        <v>46257</v>
      </c>
      <c r="AB856" s="15"/>
      <c r="AC856" s="15"/>
      <c r="AD856" s="15"/>
      <c r="AE856" s="15"/>
      <c r="AF856" s="15"/>
      <c r="AG856" s="15"/>
      <c r="AH856" s="15"/>
      <c r="AI856" s="46"/>
      <c r="AJ856" s="51" t="s">
        <v>67</v>
      </c>
      <c r="AK856" s="51" t="s">
        <v>6121</v>
      </c>
      <c r="AL856" s="15">
        <v>849.8</v>
      </c>
      <c r="AM856" s="51" t="s">
        <v>6705</v>
      </c>
      <c r="AN856" s="51" t="s">
        <v>6713</v>
      </c>
      <c r="AO856" s="50" t="s">
        <v>9554</v>
      </c>
    </row>
    <row r="857" spans="1:41" hidden="1" x14ac:dyDescent="0.25">
      <c r="A857" s="51" t="s">
        <v>4975</v>
      </c>
      <c r="B857" s="51" t="s">
        <v>4976</v>
      </c>
      <c r="C857" s="54" t="s">
        <v>5606</v>
      </c>
      <c r="D857" s="51" t="s">
        <v>4977</v>
      </c>
      <c r="E857" s="20">
        <v>1071.28</v>
      </c>
      <c r="F857" s="20">
        <v>521.07000000000005</v>
      </c>
      <c r="G857" s="20">
        <v>12455.05</v>
      </c>
      <c r="H857" s="20">
        <v>0</v>
      </c>
      <c r="I857" s="20">
        <v>521.07000000000005</v>
      </c>
      <c r="J857" s="51" t="s">
        <v>2654</v>
      </c>
      <c r="K857" s="15">
        <v>0</v>
      </c>
      <c r="L857" s="51" t="s">
        <v>2371</v>
      </c>
      <c r="M857" s="51" t="s">
        <v>4978</v>
      </c>
      <c r="N857" s="51" t="s">
        <v>1344</v>
      </c>
      <c r="O857" s="51" t="s">
        <v>4979</v>
      </c>
      <c r="P857" s="51" t="s">
        <v>1344</v>
      </c>
      <c r="Q857" s="45">
        <v>46281.561510567131</v>
      </c>
      <c r="R857" s="46">
        <v>46297</v>
      </c>
      <c r="S857" s="46">
        <v>46292</v>
      </c>
      <c r="T857" s="51" t="s">
        <v>6119</v>
      </c>
      <c r="U857" s="15"/>
      <c r="V857" s="15"/>
      <c r="W857" s="15"/>
      <c r="X857" s="15"/>
      <c r="Y857" s="15"/>
      <c r="Z857" s="15"/>
      <c r="AA857" s="46"/>
      <c r="AB857" s="15"/>
      <c r="AC857" s="15"/>
      <c r="AD857" s="15"/>
      <c r="AE857" s="15"/>
      <c r="AF857" s="15"/>
      <c r="AG857" s="15"/>
      <c r="AH857" s="15"/>
      <c r="AI857" s="46"/>
      <c r="AJ857" s="51" t="s">
        <v>67</v>
      </c>
      <c r="AK857" s="51" t="s">
        <v>67</v>
      </c>
      <c r="AL857" s="15"/>
      <c r="AM857" s="51" t="s">
        <v>67</v>
      </c>
      <c r="AN857" s="51" t="s">
        <v>67</v>
      </c>
      <c r="AO857" s="50" t="s">
        <v>9554</v>
      </c>
    </row>
    <row r="858" spans="1:41" hidden="1" x14ac:dyDescent="0.25">
      <c r="A858" s="51" t="s">
        <v>4980</v>
      </c>
      <c r="B858" s="51" t="s">
        <v>4981</v>
      </c>
      <c r="C858" s="54" t="s">
        <v>608</v>
      </c>
      <c r="D858" s="51" t="s">
        <v>4982</v>
      </c>
      <c r="E858" s="20">
        <v>784.94</v>
      </c>
      <c r="F858" s="20">
        <v>8978.2900000000009</v>
      </c>
      <c r="G858" s="20">
        <v>7605.43</v>
      </c>
      <c r="H858" s="20">
        <v>3870.86</v>
      </c>
      <c r="I858" s="20">
        <v>5107.43</v>
      </c>
      <c r="J858" s="51" t="s">
        <v>6727</v>
      </c>
      <c r="K858" s="15">
        <v>37</v>
      </c>
      <c r="L858" s="51" t="s">
        <v>2369</v>
      </c>
      <c r="M858" s="51" t="s">
        <v>67</v>
      </c>
      <c r="N858" s="51" t="s">
        <v>67</v>
      </c>
      <c r="O858" s="51" t="s">
        <v>4983</v>
      </c>
      <c r="P858" s="51" t="s">
        <v>1340</v>
      </c>
      <c r="Q858" s="45">
        <v>46281.561513553243</v>
      </c>
      <c r="R858" s="46">
        <v>46315</v>
      </c>
      <c r="S858" s="46">
        <v>46310</v>
      </c>
      <c r="T858" s="51" t="s">
        <v>6119</v>
      </c>
      <c r="U858" s="15">
        <v>849.8</v>
      </c>
      <c r="V858" s="15">
        <v>3922.15</v>
      </c>
      <c r="W858" s="15">
        <v>36.39</v>
      </c>
      <c r="X858" s="15">
        <v>14.9</v>
      </c>
      <c r="Y858" s="15">
        <v>1.6620440000000001</v>
      </c>
      <c r="Z858" s="15">
        <v>6</v>
      </c>
      <c r="AA858" s="46">
        <v>46254</v>
      </c>
      <c r="AB858" s="15"/>
      <c r="AC858" s="15"/>
      <c r="AD858" s="15"/>
      <c r="AE858" s="15"/>
      <c r="AF858" s="15"/>
      <c r="AG858" s="15"/>
      <c r="AH858" s="15"/>
      <c r="AI858" s="46"/>
      <c r="AJ858" s="51" t="s">
        <v>6121</v>
      </c>
      <c r="AK858" s="51" t="s">
        <v>6121</v>
      </c>
      <c r="AL858" s="15">
        <v>849.8</v>
      </c>
      <c r="AM858" s="51" t="s">
        <v>67</v>
      </c>
      <c r="AN858" s="51" t="s">
        <v>67</v>
      </c>
      <c r="AO858" s="50" t="s">
        <v>9554</v>
      </c>
    </row>
    <row r="859" spans="1:41" hidden="1" x14ac:dyDescent="0.25">
      <c r="A859" s="51" t="s">
        <v>4984</v>
      </c>
      <c r="B859" s="51" t="s">
        <v>4985</v>
      </c>
      <c r="C859" s="54" t="s">
        <v>5602</v>
      </c>
      <c r="D859" s="51" t="s">
        <v>4986</v>
      </c>
      <c r="E859" s="20">
        <v>12623.94</v>
      </c>
      <c r="F859" s="20">
        <v>4955.07</v>
      </c>
      <c r="G859" s="20">
        <v>12376.1</v>
      </c>
      <c r="H859" s="20">
        <v>3870.86</v>
      </c>
      <c r="I859" s="20">
        <v>4955.07</v>
      </c>
      <c r="J859" s="51" t="s">
        <v>6727</v>
      </c>
      <c r="K859" s="15">
        <v>18</v>
      </c>
      <c r="L859" s="51" t="s">
        <v>2369</v>
      </c>
      <c r="M859" s="51" t="s">
        <v>4987</v>
      </c>
      <c r="N859" s="51" t="s">
        <v>1340</v>
      </c>
      <c r="O859" s="51" t="s">
        <v>4988</v>
      </c>
      <c r="P859" s="51" t="s">
        <v>1340</v>
      </c>
      <c r="Q859" s="45">
        <v>46281.561516608796</v>
      </c>
      <c r="R859" s="46">
        <v>46303</v>
      </c>
      <c r="S859" s="46">
        <v>46298</v>
      </c>
      <c r="T859" s="51" t="s">
        <v>6119</v>
      </c>
      <c r="U859" s="15">
        <v>848.05</v>
      </c>
      <c r="V859" s="15">
        <v>3921.84</v>
      </c>
      <c r="W859" s="15">
        <v>36.08</v>
      </c>
      <c r="X859" s="15">
        <v>14.9</v>
      </c>
      <c r="Y859" s="15">
        <v>1.662307</v>
      </c>
      <c r="Z859" s="15">
        <v>6</v>
      </c>
      <c r="AA859" s="46">
        <v>46273</v>
      </c>
      <c r="AB859" s="15"/>
      <c r="AC859" s="15"/>
      <c r="AD859" s="15"/>
      <c r="AE859" s="15"/>
      <c r="AF859" s="15"/>
      <c r="AG859" s="15"/>
      <c r="AH859" s="15"/>
      <c r="AI859" s="46"/>
      <c r="AJ859" s="51" t="s">
        <v>6121</v>
      </c>
      <c r="AK859" s="51" t="s">
        <v>6121</v>
      </c>
      <c r="AL859" s="15">
        <v>848.05</v>
      </c>
      <c r="AM859" s="51" t="s">
        <v>67</v>
      </c>
      <c r="AN859" s="51" t="s">
        <v>67</v>
      </c>
      <c r="AO859" s="50" t="s">
        <v>9554</v>
      </c>
    </row>
    <row r="860" spans="1:41" hidden="1" x14ac:dyDescent="0.25">
      <c r="A860" s="51" t="s">
        <v>4989</v>
      </c>
      <c r="B860" s="51" t="s">
        <v>4990</v>
      </c>
      <c r="C860" s="54" t="s">
        <v>2692</v>
      </c>
      <c r="D860" s="51" t="s">
        <v>4991</v>
      </c>
      <c r="E860" s="20">
        <v>7482.45</v>
      </c>
      <c r="F860" s="20">
        <v>412.48</v>
      </c>
      <c r="G860" s="20">
        <v>14570.09</v>
      </c>
      <c r="H860" s="20">
        <v>0</v>
      </c>
      <c r="I860" s="20">
        <v>412.48</v>
      </c>
      <c r="J860" s="51" t="s">
        <v>2654</v>
      </c>
      <c r="K860" s="15">
        <v>0</v>
      </c>
      <c r="L860" s="51" t="s">
        <v>2371</v>
      </c>
      <c r="M860" s="51" t="s">
        <v>4992</v>
      </c>
      <c r="N860" s="51" t="s">
        <v>1340</v>
      </c>
      <c r="O860" s="51" t="s">
        <v>4993</v>
      </c>
      <c r="P860" s="51" t="s">
        <v>1340</v>
      </c>
      <c r="Q860" s="45">
        <v>46281.561519490744</v>
      </c>
      <c r="R860" s="46">
        <v>46296</v>
      </c>
      <c r="S860" s="46">
        <v>46291</v>
      </c>
      <c r="T860" s="51" t="s">
        <v>6119</v>
      </c>
      <c r="U860" s="15"/>
      <c r="V860" s="15"/>
      <c r="W860" s="15"/>
      <c r="X860" s="15"/>
      <c r="Y860" s="15"/>
      <c r="Z860" s="15"/>
      <c r="AA860" s="46"/>
      <c r="AB860" s="15"/>
      <c r="AC860" s="15"/>
      <c r="AD860" s="15"/>
      <c r="AE860" s="15"/>
      <c r="AF860" s="15"/>
      <c r="AG860" s="15"/>
      <c r="AH860" s="15"/>
      <c r="AI860" s="46"/>
      <c r="AJ860" s="51" t="s">
        <v>67</v>
      </c>
      <c r="AK860" s="51" t="s">
        <v>67</v>
      </c>
      <c r="AL860" s="15"/>
      <c r="AM860" s="51" t="s">
        <v>67</v>
      </c>
      <c r="AN860" s="51" t="s">
        <v>67</v>
      </c>
      <c r="AO860" s="50" t="s">
        <v>9554</v>
      </c>
    </row>
    <row r="861" spans="1:41" hidden="1" x14ac:dyDescent="0.25">
      <c r="A861" s="51" t="s">
        <v>4994</v>
      </c>
      <c r="B861" s="51" t="s">
        <v>4995</v>
      </c>
      <c r="C861" s="54" t="s">
        <v>2691</v>
      </c>
      <c r="D861" s="51" t="s">
        <v>4996</v>
      </c>
      <c r="E861" s="20">
        <v>5407.4</v>
      </c>
      <c r="F861" s="20">
        <v>511.89</v>
      </c>
      <c r="G861" s="20">
        <v>13596.59</v>
      </c>
      <c r="H861" s="20">
        <v>0</v>
      </c>
      <c r="I861" s="20">
        <v>511.89</v>
      </c>
      <c r="J861" s="51" t="s">
        <v>2654</v>
      </c>
      <c r="K861" s="15">
        <v>0</v>
      </c>
      <c r="L861" s="51" t="s">
        <v>2371</v>
      </c>
      <c r="M861" s="51" t="s">
        <v>4997</v>
      </c>
      <c r="N861" s="51" t="s">
        <v>1340</v>
      </c>
      <c r="O861" s="51" t="s">
        <v>67</v>
      </c>
      <c r="P861" s="51" t="s">
        <v>67</v>
      </c>
      <c r="Q861" s="45">
        <v>46281.561521655094</v>
      </c>
      <c r="R861" s="46">
        <v>46301</v>
      </c>
      <c r="S861" s="46">
        <v>46296</v>
      </c>
      <c r="T861" s="51" t="s">
        <v>6119</v>
      </c>
      <c r="U861" s="15"/>
      <c r="V861" s="15"/>
      <c r="W861" s="15"/>
      <c r="X861" s="15"/>
      <c r="Y861" s="15"/>
      <c r="Z861" s="15"/>
      <c r="AA861" s="46"/>
      <c r="AB861" s="15"/>
      <c r="AC861" s="15"/>
      <c r="AD861" s="15"/>
      <c r="AE861" s="15"/>
      <c r="AF861" s="15"/>
      <c r="AG861" s="15"/>
      <c r="AH861" s="15"/>
      <c r="AI861" s="46"/>
      <c r="AJ861" s="51" t="s">
        <v>67</v>
      </c>
      <c r="AK861" s="51" t="s">
        <v>67</v>
      </c>
      <c r="AL861" s="15"/>
      <c r="AM861" s="51" t="s">
        <v>67</v>
      </c>
      <c r="AN861" s="51" t="s">
        <v>67</v>
      </c>
      <c r="AO861" s="50" t="s">
        <v>9554</v>
      </c>
    </row>
    <row r="862" spans="1:41" hidden="1" x14ac:dyDescent="0.25">
      <c r="A862" s="51" t="s">
        <v>4998</v>
      </c>
      <c r="B862" s="51" t="s">
        <v>4999</v>
      </c>
      <c r="C862" s="54" t="s">
        <v>5606</v>
      </c>
      <c r="D862" s="51" t="s">
        <v>5000</v>
      </c>
      <c r="E862" s="20">
        <v>5069.71</v>
      </c>
      <c r="F862" s="20">
        <v>4933.18</v>
      </c>
      <c r="G862" s="20">
        <v>1242.27</v>
      </c>
      <c r="H862" s="20">
        <v>3870.86</v>
      </c>
      <c r="I862" s="20">
        <v>4933.18</v>
      </c>
      <c r="J862" s="51" t="s">
        <v>6727</v>
      </c>
      <c r="K862" s="15">
        <v>24</v>
      </c>
      <c r="L862" s="51" t="s">
        <v>2369</v>
      </c>
      <c r="M862" s="51" t="s">
        <v>5001</v>
      </c>
      <c r="N862" s="51" t="s">
        <v>1340</v>
      </c>
      <c r="O862" s="51" t="s">
        <v>67</v>
      </c>
      <c r="P862" s="51" t="s">
        <v>67</v>
      </c>
      <c r="Q862" s="45">
        <v>46281.561523564815</v>
      </c>
      <c r="R862" s="46">
        <v>46297</v>
      </c>
      <c r="S862" s="46">
        <v>46292</v>
      </c>
      <c r="T862" s="51" t="s">
        <v>6119</v>
      </c>
      <c r="U862" s="15">
        <v>848.05</v>
      </c>
      <c r="V862" s="15">
        <v>3921.84</v>
      </c>
      <c r="W862" s="15">
        <v>36.08</v>
      </c>
      <c r="X862" s="15">
        <v>14.9</v>
      </c>
      <c r="Y862" s="15">
        <v>1.662307</v>
      </c>
      <c r="Z862" s="15">
        <v>6</v>
      </c>
      <c r="AA862" s="46">
        <v>46267</v>
      </c>
      <c r="AB862" s="15"/>
      <c r="AC862" s="15"/>
      <c r="AD862" s="15"/>
      <c r="AE862" s="15"/>
      <c r="AF862" s="15"/>
      <c r="AG862" s="15"/>
      <c r="AH862" s="15"/>
      <c r="AI862" s="46"/>
      <c r="AJ862" s="51" t="s">
        <v>6121</v>
      </c>
      <c r="AK862" s="51" t="s">
        <v>6121</v>
      </c>
      <c r="AL862" s="15">
        <v>848.05</v>
      </c>
      <c r="AM862" s="51" t="s">
        <v>67</v>
      </c>
      <c r="AN862" s="51" t="s">
        <v>67</v>
      </c>
      <c r="AO862" s="50" t="s">
        <v>9554</v>
      </c>
    </row>
    <row r="863" spans="1:41" hidden="1" x14ac:dyDescent="0.25">
      <c r="A863" s="51" t="s">
        <v>5002</v>
      </c>
      <c r="B863" s="51" t="s">
        <v>5003</v>
      </c>
      <c r="C863" s="54" t="s">
        <v>5608</v>
      </c>
      <c r="D863" s="51" t="s">
        <v>5004</v>
      </c>
      <c r="E863" s="20">
        <v>3805.26</v>
      </c>
      <c r="F863" s="20">
        <v>8116.92</v>
      </c>
      <c r="G863" s="20">
        <v>2003.14</v>
      </c>
      <c r="H863" s="20">
        <v>7316.45</v>
      </c>
      <c r="I863" s="20">
        <v>8116.92</v>
      </c>
      <c r="J863" s="51" t="s">
        <v>6727</v>
      </c>
      <c r="K863" s="15">
        <v>33</v>
      </c>
      <c r="L863" s="51" t="s">
        <v>2369</v>
      </c>
      <c r="M863" s="51" t="s">
        <v>67</v>
      </c>
      <c r="N863" s="51" t="s">
        <v>67</v>
      </c>
      <c r="O863" s="51" t="s">
        <v>5005</v>
      </c>
      <c r="P863" s="51" t="s">
        <v>1340</v>
      </c>
      <c r="Q863" s="45">
        <v>46281.561526273152</v>
      </c>
      <c r="R863" s="46">
        <v>46319</v>
      </c>
      <c r="S863" s="46">
        <v>46314</v>
      </c>
      <c r="T863" s="51" t="s">
        <v>6119</v>
      </c>
      <c r="U863" s="15">
        <v>849.8</v>
      </c>
      <c r="V863" s="15">
        <v>3922.15</v>
      </c>
      <c r="W863" s="15">
        <v>36.39</v>
      </c>
      <c r="X863" s="15">
        <v>14.9</v>
      </c>
      <c r="Y863" s="15">
        <v>1.6620440000000001</v>
      </c>
      <c r="Z863" s="15">
        <v>6</v>
      </c>
      <c r="AA863" s="46">
        <v>46258</v>
      </c>
      <c r="AB863" s="15"/>
      <c r="AC863" s="15"/>
      <c r="AD863" s="15"/>
      <c r="AE863" s="15"/>
      <c r="AF863" s="15"/>
      <c r="AG863" s="15"/>
      <c r="AH863" s="15"/>
      <c r="AI863" s="46"/>
      <c r="AJ863" s="51" t="s">
        <v>6121</v>
      </c>
      <c r="AK863" s="51" t="s">
        <v>6121</v>
      </c>
      <c r="AL863" s="15">
        <v>849.8</v>
      </c>
      <c r="AM863" s="51" t="s">
        <v>6705</v>
      </c>
      <c r="AN863" s="51" t="s">
        <v>6716</v>
      </c>
      <c r="AO863" s="50" t="s">
        <v>9554</v>
      </c>
    </row>
    <row r="864" spans="1:41" hidden="1" x14ac:dyDescent="0.25">
      <c r="A864" s="51" t="s">
        <v>5006</v>
      </c>
      <c r="B864" s="51" t="s">
        <v>5007</v>
      </c>
      <c r="C864" s="54" t="s">
        <v>5606</v>
      </c>
      <c r="D864" s="51" t="s">
        <v>5008</v>
      </c>
      <c r="E864" s="20">
        <v>5528.66</v>
      </c>
      <c r="F864" s="20">
        <v>5018.3999999999996</v>
      </c>
      <c r="G864" s="20">
        <v>907.22</v>
      </c>
      <c r="H864" s="20">
        <v>3870.86</v>
      </c>
      <c r="I864" s="20">
        <v>5018.3999999999996</v>
      </c>
      <c r="J864" s="51" t="s">
        <v>6727</v>
      </c>
      <c r="K864" s="15">
        <v>24</v>
      </c>
      <c r="L864" s="51" t="s">
        <v>2369</v>
      </c>
      <c r="M864" s="51" t="s">
        <v>67</v>
      </c>
      <c r="N864" s="51" t="s">
        <v>67</v>
      </c>
      <c r="O864" s="51" t="s">
        <v>5009</v>
      </c>
      <c r="P864" s="51" t="s">
        <v>1340</v>
      </c>
      <c r="Q864" s="45">
        <v>46281.561528379629</v>
      </c>
      <c r="R864" s="46">
        <v>46297</v>
      </c>
      <c r="S864" s="46">
        <v>46292</v>
      </c>
      <c r="T864" s="51" t="s">
        <v>6119</v>
      </c>
      <c r="U864" s="15">
        <v>848.05</v>
      </c>
      <c r="V864" s="15">
        <v>3921.84</v>
      </c>
      <c r="W864" s="15">
        <v>36.08</v>
      </c>
      <c r="X864" s="15">
        <v>14.9</v>
      </c>
      <c r="Y864" s="15">
        <v>1.662307</v>
      </c>
      <c r="Z864" s="15">
        <v>6</v>
      </c>
      <c r="AA864" s="46">
        <v>46267</v>
      </c>
      <c r="AB864" s="15"/>
      <c r="AC864" s="15"/>
      <c r="AD864" s="15"/>
      <c r="AE864" s="15"/>
      <c r="AF864" s="15"/>
      <c r="AG864" s="15"/>
      <c r="AH864" s="15"/>
      <c r="AI864" s="46"/>
      <c r="AJ864" s="51" t="s">
        <v>6121</v>
      </c>
      <c r="AK864" s="51" t="s">
        <v>6121</v>
      </c>
      <c r="AL864" s="15">
        <v>848.05</v>
      </c>
      <c r="AM864" s="51" t="s">
        <v>67</v>
      </c>
      <c r="AN864" s="51" t="s">
        <v>67</v>
      </c>
      <c r="AO864" s="50" t="s">
        <v>9554</v>
      </c>
    </row>
    <row r="865" spans="1:41" hidden="1" x14ac:dyDescent="0.25">
      <c r="A865" s="51" t="s">
        <v>5010</v>
      </c>
      <c r="B865" s="51" t="s">
        <v>5011</v>
      </c>
      <c r="C865" s="54" t="s">
        <v>5606</v>
      </c>
      <c r="D865" s="51" t="s">
        <v>5012</v>
      </c>
      <c r="E865" s="20">
        <v>7755.37</v>
      </c>
      <c r="F865" s="20">
        <v>4830.42</v>
      </c>
      <c r="G865" s="20">
        <v>8709.6200000000008</v>
      </c>
      <c r="H865" s="20">
        <v>3870.86</v>
      </c>
      <c r="I865" s="20">
        <v>4830.42</v>
      </c>
      <c r="J865" s="51" t="s">
        <v>6727</v>
      </c>
      <c r="K865" s="15">
        <v>24</v>
      </c>
      <c r="L865" s="51" t="s">
        <v>2369</v>
      </c>
      <c r="M865" s="51" t="s">
        <v>67</v>
      </c>
      <c r="N865" s="51" t="s">
        <v>67</v>
      </c>
      <c r="O865" s="51" t="s">
        <v>5013</v>
      </c>
      <c r="P865" s="51" t="s">
        <v>1340</v>
      </c>
      <c r="Q865" s="45">
        <v>46281.561530729166</v>
      </c>
      <c r="R865" s="46">
        <v>46297</v>
      </c>
      <c r="S865" s="46">
        <v>46292</v>
      </c>
      <c r="T865" s="51" t="s">
        <v>6119</v>
      </c>
      <c r="U865" s="15">
        <v>848.05</v>
      </c>
      <c r="V865" s="15">
        <v>3921.84</v>
      </c>
      <c r="W865" s="15">
        <v>36.08</v>
      </c>
      <c r="X865" s="15">
        <v>14.9</v>
      </c>
      <c r="Y865" s="15">
        <v>1.662307</v>
      </c>
      <c r="Z865" s="15">
        <v>6</v>
      </c>
      <c r="AA865" s="46">
        <v>46267</v>
      </c>
      <c r="AB865" s="15"/>
      <c r="AC865" s="15"/>
      <c r="AD865" s="15"/>
      <c r="AE865" s="15"/>
      <c r="AF865" s="15"/>
      <c r="AG865" s="15"/>
      <c r="AH865" s="15"/>
      <c r="AI865" s="46"/>
      <c r="AJ865" s="51" t="s">
        <v>6121</v>
      </c>
      <c r="AK865" s="51" t="s">
        <v>6121</v>
      </c>
      <c r="AL865" s="15">
        <v>848.05</v>
      </c>
      <c r="AM865" s="51" t="s">
        <v>67</v>
      </c>
      <c r="AN865" s="51" t="s">
        <v>67</v>
      </c>
      <c r="AO865" s="50" t="s">
        <v>9554</v>
      </c>
    </row>
    <row r="866" spans="1:41" hidden="1" x14ac:dyDescent="0.25">
      <c r="A866" s="51" t="s">
        <v>5014</v>
      </c>
      <c r="B866" s="51" t="s">
        <v>5015</v>
      </c>
      <c r="C866" s="54" t="s">
        <v>5607</v>
      </c>
      <c r="D866" s="51" t="s">
        <v>5016</v>
      </c>
      <c r="E866" s="20">
        <v>4080.05</v>
      </c>
      <c r="F866" s="20">
        <v>828.93</v>
      </c>
      <c r="G866" s="20">
        <v>11640.13</v>
      </c>
      <c r="H866" s="20">
        <v>0</v>
      </c>
      <c r="I866" s="20">
        <v>828.93</v>
      </c>
      <c r="J866" s="51" t="s">
        <v>2654</v>
      </c>
      <c r="K866" s="15">
        <v>0</v>
      </c>
      <c r="L866" s="51" t="s">
        <v>2371</v>
      </c>
      <c r="M866" s="51" t="s">
        <v>5017</v>
      </c>
      <c r="N866" s="51" t="s">
        <v>1340</v>
      </c>
      <c r="O866" s="51" t="s">
        <v>67</v>
      </c>
      <c r="P866" s="51" t="s">
        <v>67</v>
      </c>
      <c r="Q866" s="45">
        <v>46281.561532789354</v>
      </c>
      <c r="R866" s="46">
        <v>46299</v>
      </c>
      <c r="S866" s="46">
        <v>46294</v>
      </c>
      <c r="T866" s="51" t="s">
        <v>6119</v>
      </c>
      <c r="U866" s="15"/>
      <c r="V866" s="15"/>
      <c r="W866" s="15"/>
      <c r="X866" s="15"/>
      <c r="Y866" s="15"/>
      <c r="Z866" s="15"/>
      <c r="AA866" s="46"/>
      <c r="AB866" s="15"/>
      <c r="AC866" s="15"/>
      <c r="AD866" s="15"/>
      <c r="AE866" s="15"/>
      <c r="AF866" s="15"/>
      <c r="AG866" s="15"/>
      <c r="AH866" s="15"/>
      <c r="AI866" s="46"/>
      <c r="AJ866" s="51" t="s">
        <v>67</v>
      </c>
      <c r="AK866" s="51" t="s">
        <v>67</v>
      </c>
      <c r="AL866" s="15"/>
      <c r="AM866" s="51" t="s">
        <v>67</v>
      </c>
      <c r="AN866" s="51" t="s">
        <v>67</v>
      </c>
      <c r="AO866" s="50" t="s">
        <v>9554</v>
      </c>
    </row>
    <row r="867" spans="1:41" hidden="1" x14ac:dyDescent="0.25">
      <c r="A867" s="51" t="s">
        <v>5018</v>
      </c>
      <c r="B867" s="51" t="s">
        <v>5019</v>
      </c>
      <c r="C867" s="54" t="s">
        <v>2690</v>
      </c>
      <c r="D867" s="51" t="s">
        <v>5020</v>
      </c>
      <c r="E867" s="20">
        <v>11001.88</v>
      </c>
      <c r="F867" s="20">
        <v>677.83</v>
      </c>
      <c r="G867" s="20">
        <v>10384.36</v>
      </c>
      <c r="H867" s="20">
        <v>677.83</v>
      </c>
      <c r="I867" s="20">
        <v>677.83</v>
      </c>
      <c r="J867" s="51" t="s">
        <v>6727</v>
      </c>
      <c r="K867" s="15">
        <v>0</v>
      </c>
      <c r="L867" s="51" t="s">
        <v>2371</v>
      </c>
      <c r="M867" s="51" t="s">
        <v>67</v>
      </c>
      <c r="N867" s="51" t="s">
        <v>67</v>
      </c>
      <c r="O867" s="51" t="s">
        <v>5021</v>
      </c>
      <c r="P867" s="51" t="s">
        <v>1340</v>
      </c>
      <c r="Q867" s="45">
        <v>46281.561534479166</v>
      </c>
      <c r="R867" s="46">
        <v>46322</v>
      </c>
      <c r="S867" s="46">
        <v>46317</v>
      </c>
      <c r="T867" s="51" t="s">
        <v>6119</v>
      </c>
      <c r="U867" s="15"/>
      <c r="V867" s="15"/>
      <c r="W867" s="15"/>
      <c r="X867" s="15"/>
      <c r="Y867" s="15"/>
      <c r="Z867" s="15"/>
      <c r="AA867" s="46"/>
      <c r="AB867" s="15"/>
      <c r="AC867" s="15"/>
      <c r="AD867" s="15"/>
      <c r="AE867" s="15"/>
      <c r="AF867" s="15"/>
      <c r="AG867" s="15"/>
      <c r="AH867" s="15"/>
      <c r="AI867" s="46"/>
      <c r="AJ867" s="51" t="s">
        <v>67</v>
      </c>
      <c r="AK867" s="51" t="s">
        <v>67</v>
      </c>
      <c r="AL867" s="15"/>
      <c r="AM867" s="51" t="s">
        <v>67</v>
      </c>
      <c r="AN867" s="51" t="s">
        <v>67</v>
      </c>
      <c r="AO867" s="50" t="s">
        <v>9554</v>
      </c>
    </row>
    <row r="868" spans="1:41" hidden="1" x14ac:dyDescent="0.25">
      <c r="A868" s="51" t="s">
        <v>5022</v>
      </c>
      <c r="B868" s="51" t="s">
        <v>5023</v>
      </c>
      <c r="C868" s="54" t="s">
        <v>2356</v>
      </c>
      <c r="D868" s="51" t="s">
        <v>5024</v>
      </c>
      <c r="E868" s="20">
        <v>1148.1500000000001</v>
      </c>
      <c r="F868" s="20">
        <v>4792.71</v>
      </c>
      <c r="G868" s="20">
        <v>16083.77</v>
      </c>
      <c r="H868" s="20">
        <v>3870.86</v>
      </c>
      <c r="I868" s="20">
        <v>4675.12</v>
      </c>
      <c r="J868" s="51" t="s">
        <v>6727</v>
      </c>
      <c r="K868" s="15">
        <v>14</v>
      </c>
      <c r="L868" s="51" t="s">
        <v>2369</v>
      </c>
      <c r="M868" s="51" t="s">
        <v>67</v>
      </c>
      <c r="N868" s="51" t="s">
        <v>67</v>
      </c>
      <c r="O868" s="51" t="s">
        <v>5025</v>
      </c>
      <c r="P868" s="51" t="s">
        <v>1340</v>
      </c>
      <c r="Q868" s="45">
        <v>46281.561536284724</v>
      </c>
      <c r="R868" s="46">
        <v>46307</v>
      </c>
      <c r="S868" s="46">
        <v>46302</v>
      </c>
      <c r="T868" s="51" t="s">
        <v>6119</v>
      </c>
      <c r="U868" s="15">
        <v>848.05</v>
      </c>
      <c r="V868" s="15">
        <v>3921.84</v>
      </c>
      <c r="W868" s="15">
        <v>36.08</v>
      </c>
      <c r="X868" s="15">
        <v>14.9</v>
      </c>
      <c r="Y868" s="15">
        <v>1.662307</v>
      </c>
      <c r="Z868" s="15">
        <v>6</v>
      </c>
      <c r="AA868" s="46">
        <v>46277</v>
      </c>
      <c r="AB868" s="15"/>
      <c r="AC868" s="15"/>
      <c r="AD868" s="15"/>
      <c r="AE868" s="15"/>
      <c r="AF868" s="15"/>
      <c r="AG868" s="15"/>
      <c r="AH868" s="15"/>
      <c r="AI868" s="46"/>
      <c r="AJ868" s="51" t="s">
        <v>6121</v>
      </c>
      <c r="AK868" s="51" t="s">
        <v>6121</v>
      </c>
      <c r="AL868" s="15">
        <v>848.05</v>
      </c>
      <c r="AM868" s="51" t="s">
        <v>67</v>
      </c>
      <c r="AN868" s="51" t="s">
        <v>67</v>
      </c>
      <c r="AO868" s="50" t="s">
        <v>9554</v>
      </c>
    </row>
    <row r="869" spans="1:41" hidden="1" x14ac:dyDescent="0.25">
      <c r="A869" s="51" t="s">
        <v>5026</v>
      </c>
      <c r="B869" s="51" t="s">
        <v>5027</v>
      </c>
      <c r="C869" s="54" t="s">
        <v>2692</v>
      </c>
      <c r="D869" s="51" t="s">
        <v>5028</v>
      </c>
      <c r="E869" s="20">
        <v>13295.48</v>
      </c>
      <c r="F869" s="20">
        <v>4926.68</v>
      </c>
      <c r="G869" s="20">
        <v>7813.37</v>
      </c>
      <c r="H869" s="20">
        <v>3870.86</v>
      </c>
      <c r="I869" s="20">
        <v>4926.66</v>
      </c>
      <c r="J869" s="51" t="s">
        <v>6727</v>
      </c>
      <c r="K869" s="15">
        <v>25</v>
      </c>
      <c r="L869" s="51" t="s">
        <v>2369</v>
      </c>
      <c r="M869" s="51" t="s">
        <v>67</v>
      </c>
      <c r="N869" s="51" t="s">
        <v>67</v>
      </c>
      <c r="O869" s="51" t="s">
        <v>5029</v>
      </c>
      <c r="P869" s="51" t="s">
        <v>1340</v>
      </c>
      <c r="Q869" s="45">
        <v>46281.56153835648</v>
      </c>
      <c r="R869" s="46">
        <v>46296</v>
      </c>
      <c r="S869" s="46">
        <v>46291</v>
      </c>
      <c r="T869" s="51" t="s">
        <v>6119</v>
      </c>
      <c r="U869" s="15">
        <v>848.05</v>
      </c>
      <c r="V869" s="15">
        <v>3921.84</v>
      </c>
      <c r="W869" s="15">
        <v>36.08</v>
      </c>
      <c r="X869" s="15">
        <v>14.9</v>
      </c>
      <c r="Y869" s="15">
        <v>1.662307</v>
      </c>
      <c r="Z869" s="15">
        <v>6</v>
      </c>
      <c r="AA869" s="46">
        <v>46266</v>
      </c>
      <c r="AB869" s="15"/>
      <c r="AC869" s="15"/>
      <c r="AD869" s="15"/>
      <c r="AE869" s="15"/>
      <c r="AF869" s="15"/>
      <c r="AG869" s="15"/>
      <c r="AH869" s="15"/>
      <c r="AI869" s="46"/>
      <c r="AJ869" s="51" t="s">
        <v>6121</v>
      </c>
      <c r="AK869" s="51" t="s">
        <v>6121</v>
      </c>
      <c r="AL869" s="15">
        <v>848.05</v>
      </c>
      <c r="AM869" s="51" t="s">
        <v>67</v>
      </c>
      <c r="AN869" s="51" t="s">
        <v>67</v>
      </c>
      <c r="AO869" s="50" t="s">
        <v>9554</v>
      </c>
    </row>
    <row r="870" spans="1:41" hidden="1" x14ac:dyDescent="0.25">
      <c r="A870" s="51" t="s">
        <v>5030</v>
      </c>
      <c r="B870" s="51" t="s">
        <v>5031</v>
      </c>
      <c r="C870" s="54" t="s">
        <v>2694</v>
      </c>
      <c r="D870" s="51" t="s">
        <v>5032</v>
      </c>
      <c r="E870" s="20">
        <v>12225.73</v>
      </c>
      <c r="F870" s="20">
        <v>501.63</v>
      </c>
      <c r="G870" s="20">
        <v>6300.34</v>
      </c>
      <c r="H870" s="20">
        <v>0</v>
      </c>
      <c r="I870" s="20">
        <v>501.63</v>
      </c>
      <c r="J870" s="51" t="s">
        <v>2654</v>
      </c>
      <c r="K870" s="15">
        <v>0</v>
      </c>
      <c r="L870" s="51" t="s">
        <v>2371</v>
      </c>
      <c r="M870" s="51" t="s">
        <v>67</v>
      </c>
      <c r="N870" s="51" t="s">
        <v>67</v>
      </c>
      <c r="O870" s="51" t="s">
        <v>5033</v>
      </c>
      <c r="P870" s="51" t="s">
        <v>1344</v>
      </c>
      <c r="Q870" s="45">
        <v>46281.561540509261</v>
      </c>
      <c r="R870" s="46">
        <v>46312</v>
      </c>
      <c r="S870" s="46">
        <v>46307</v>
      </c>
      <c r="T870" s="51" t="s">
        <v>6119</v>
      </c>
      <c r="U870" s="15"/>
      <c r="V870" s="15"/>
      <c r="W870" s="15"/>
      <c r="X870" s="15"/>
      <c r="Y870" s="15"/>
      <c r="Z870" s="15"/>
      <c r="AA870" s="46"/>
      <c r="AB870" s="15"/>
      <c r="AC870" s="15"/>
      <c r="AD870" s="15"/>
      <c r="AE870" s="15"/>
      <c r="AF870" s="15"/>
      <c r="AG870" s="15"/>
      <c r="AH870" s="15"/>
      <c r="AI870" s="46"/>
      <c r="AJ870" s="51" t="s">
        <v>67</v>
      </c>
      <c r="AK870" s="51" t="s">
        <v>67</v>
      </c>
      <c r="AL870" s="15"/>
      <c r="AM870" s="51" t="s">
        <v>67</v>
      </c>
      <c r="AN870" s="51" t="s">
        <v>67</v>
      </c>
      <c r="AO870" s="50" t="s">
        <v>9554</v>
      </c>
    </row>
    <row r="871" spans="1:41" hidden="1" x14ac:dyDescent="0.25">
      <c r="A871" s="51" t="s">
        <v>5034</v>
      </c>
      <c r="B871" s="51" t="s">
        <v>5035</v>
      </c>
      <c r="C871" s="54" t="s">
        <v>5600</v>
      </c>
      <c r="D871" s="51" t="s">
        <v>5036</v>
      </c>
      <c r="E871" s="20">
        <v>908.7</v>
      </c>
      <c r="F871" s="20">
        <v>4709.41</v>
      </c>
      <c r="G871" s="20">
        <v>-1176.81</v>
      </c>
      <c r="H871" s="20">
        <v>3870.86</v>
      </c>
      <c r="I871" s="20">
        <v>4709.41</v>
      </c>
      <c r="J871" s="51" t="s">
        <v>6727</v>
      </c>
      <c r="K871" s="15">
        <v>17</v>
      </c>
      <c r="L871" s="51" t="s">
        <v>2369</v>
      </c>
      <c r="M871" s="51" t="s">
        <v>67</v>
      </c>
      <c r="N871" s="51" t="s">
        <v>67</v>
      </c>
      <c r="O871" s="51" t="s">
        <v>5037</v>
      </c>
      <c r="P871" s="51" t="s">
        <v>1340</v>
      </c>
      <c r="Q871" s="45">
        <v>46281.561542280091</v>
      </c>
      <c r="R871" s="46">
        <v>46304</v>
      </c>
      <c r="S871" s="46">
        <v>46299</v>
      </c>
      <c r="T871" s="51" t="s">
        <v>6119</v>
      </c>
      <c r="U871" s="15">
        <v>848.05</v>
      </c>
      <c r="V871" s="15">
        <v>3921.84</v>
      </c>
      <c r="W871" s="15">
        <v>36.08</v>
      </c>
      <c r="X871" s="15">
        <v>14.9</v>
      </c>
      <c r="Y871" s="15">
        <v>1.662307</v>
      </c>
      <c r="Z871" s="15">
        <v>6</v>
      </c>
      <c r="AA871" s="46">
        <v>46274</v>
      </c>
      <c r="AB871" s="15"/>
      <c r="AC871" s="15"/>
      <c r="AD871" s="15"/>
      <c r="AE871" s="15"/>
      <c r="AF871" s="15"/>
      <c r="AG871" s="15"/>
      <c r="AH871" s="15"/>
      <c r="AI871" s="46"/>
      <c r="AJ871" s="51" t="s">
        <v>6121</v>
      </c>
      <c r="AK871" s="51" t="s">
        <v>6121</v>
      </c>
      <c r="AL871" s="15">
        <v>848.05</v>
      </c>
      <c r="AM871" s="51" t="s">
        <v>6705</v>
      </c>
      <c r="AN871" s="51" t="s">
        <v>6713</v>
      </c>
      <c r="AO871" s="50" t="s">
        <v>9554</v>
      </c>
    </row>
    <row r="872" spans="1:41" hidden="1" x14ac:dyDescent="0.25">
      <c r="A872" s="51" t="s">
        <v>5038</v>
      </c>
      <c r="B872" s="51" t="s">
        <v>5039</v>
      </c>
      <c r="C872" s="54" t="s">
        <v>2689</v>
      </c>
      <c r="D872" s="51" t="s">
        <v>5040</v>
      </c>
      <c r="E872" s="20">
        <v>7241</v>
      </c>
      <c r="F872" s="20">
        <v>8368.25</v>
      </c>
      <c r="G872" s="20">
        <v>8937.75</v>
      </c>
      <c r="H872" s="20">
        <v>3870.86</v>
      </c>
      <c r="I872" s="20">
        <v>8368.25</v>
      </c>
      <c r="J872" s="51" t="s">
        <v>6727</v>
      </c>
      <c r="K872" s="15">
        <v>35</v>
      </c>
      <c r="L872" s="51" t="s">
        <v>2369</v>
      </c>
      <c r="M872" s="51" t="s">
        <v>67</v>
      </c>
      <c r="N872" s="51" t="s">
        <v>67</v>
      </c>
      <c r="O872" s="51" t="s">
        <v>5041</v>
      </c>
      <c r="P872" s="51" t="s">
        <v>1340</v>
      </c>
      <c r="Q872" s="45">
        <v>46281.561544386575</v>
      </c>
      <c r="R872" s="46">
        <v>46317</v>
      </c>
      <c r="S872" s="46">
        <v>46312</v>
      </c>
      <c r="T872" s="51" t="s">
        <v>6119</v>
      </c>
      <c r="U872" s="15">
        <v>849.8</v>
      </c>
      <c r="V872" s="15">
        <v>3922.15</v>
      </c>
      <c r="W872" s="15">
        <v>36.39</v>
      </c>
      <c r="X872" s="15">
        <v>14.9</v>
      </c>
      <c r="Y872" s="15">
        <v>1.6620440000000001</v>
      </c>
      <c r="Z872" s="15">
        <v>6</v>
      </c>
      <c r="AA872" s="46">
        <v>46256</v>
      </c>
      <c r="AB872" s="15"/>
      <c r="AC872" s="15"/>
      <c r="AD872" s="15"/>
      <c r="AE872" s="15"/>
      <c r="AF872" s="15"/>
      <c r="AG872" s="15"/>
      <c r="AH872" s="15"/>
      <c r="AI872" s="46"/>
      <c r="AJ872" s="51" t="s">
        <v>6121</v>
      </c>
      <c r="AK872" s="51" t="s">
        <v>6121</v>
      </c>
      <c r="AL872" s="15">
        <v>849.8</v>
      </c>
      <c r="AM872" s="51" t="s">
        <v>67</v>
      </c>
      <c r="AN872" s="51" t="s">
        <v>67</v>
      </c>
      <c r="AO872" s="50" t="s">
        <v>9554</v>
      </c>
    </row>
    <row r="873" spans="1:41" hidden="1" x14ac:dyDescent="0.25">
      <c r="A873" s="51" t="s">
        <v>5042</v>
      </c>
      <c r="B873" s="51" t="s">
        <v>5043</v>
      </c>
      <c r="C873" s="54" t="s">
        <v>5601</v>
      </c>
      <c r="D873" s="51" t="s">
        <v>5044</v>
      </c>
      <c r="E873" s="20">
        <v>7337.88</v>
      </c>
      <c r="F873" s="20">
        <v>8038.32</v>
      </c>
      <c r="G873" s="20">
        <v>1268.26</v>
      </c>
      <c r="H873" s="20">
        <v>3870.86</v>
      </c>
      <c r="I873" s="20">
        <v>6317.94</v>
      </c>
      <c r="J873" s="51" t="s">
        <v>6727</v>
      </c>
      <c r="K873" s="15">
        <v>36</v>
      </c>
      <c r="L873" s="51" t="s">
        <v>2369</v>
      </c>
      <c r="M873" s="51" t="s">
        <v>67</v>
      </c>
      <c r="N873" s="51" t="s">
        <v>67</v>
      </c>
      <c r="O873" s="51" t="s">
        <v>5045</v>
      </c>
      <c r="P873" s="51" t="s">
        <v>1340</v>
      </c>
      <c r="Q873" s="45">
        <v>46281.561546608798</v>
      </c>
      <c r="R873" s="46">
        <v>46316</v>
      </c>
      <c r="S873" s="46">
        <v>46311</v>
      </c>
      <c r="T873" s="51" t="s">
        <v>6119</v>
      </c>
      <c r="U873" s="15">
        <v>849.8</v>
      </c>
      <c r="V873" s="15">
        <v>3922.15</v>
      </c>
      <c r="W873" s="15">
        <v>36.39</v>
      </c>
      <c r="X873" s="15">
        <v>14.9</v>
      </c>
      <c r="Y873" s="15">
        <v>1.6620440000000001</v>
      </c>
      <c r="Z873" s="15">
        <v>6</v>
      </c>
      <c r="AA873" s="46">
        <v>46255</v>
      </c>
      <c r="AB873" s="15"/>
      <c r="AC873" s="15"/>
      <c r="AD873" s="15"/>
      <c r="AE873" s="15"/>
      <c r="AF873" s="15"/>
      <c r="AG873" s="15"/>
      <c r="AH873" s="15"/>
      <c r="AI873" s="46"/>
      <c r="AJ873" s="51" t="s">
        <v>6121</v>
      </c>
      <c r="AK873" s="51" t="s">
        <v>6121</v>
      </c>
      <c r="AL873" s="15">
        <v>849.8</v>
      </c>
      <c r="AM873" s="51" t="s">
        <v>67</v>
      </c>
      <c r="AN873" s="51" t="s">
        <v>67</v>
      </c>
      <c r="AO873" s="50" t="s">
        <v>9554</v>
      </c>
    </row>
    <row r="874" spans="1:41" hidden="1" x14ac:dyDescent="0.25">
      <c r="A874" s="51" t="s">
        <v>5046</v>
      </c>
      <c r="B874" s="51" t="s">
        <v>5047</v>
      </c>
      <c r="C874" s="54" t="s">
        <v>5596</v>
      </c>
      <c r="D874" s="51" t="s">
        <v>5048</v>
      </c>
      <c r="E874" s="20">
        <v>7324.38</v>
      </c>
      <c r="F874" s="20">
        <v>552.52</v>
      </c>
      <c r="G874" s="20">
        <v>17267.34</v>
      </c>
      <c r="H874" s="20">
        <v>0</v>
      </c>
      <c r="I874" s="20">
        <v>552.52</v>
      </c>
      <c r="J874" s="51" t="s">
        <v>2654</v>
      </c>
      <c r="K874" s="15">
        <v>0</v>
      </c>
      <c r="L874" s="51" t="s">
        <v>2371</v>
      </c>
      <c r="M874" s="51" t="s">
        <v>67</v>
      </c>
      <c r="N874" s="51" t="s">
        <v>67</v>
      </c>
      <c r="O874" s="51" t="s">
        <v>5049</v>
      </c>
      <c r="P874" s="51" t="s">
        <v>1340</v>
      </c>
      <c r="Q874" s="45">
        <v>46281.561548680555</v>
      </c>
      <c r="R874" s="46">
        <v>46300</v>
      </c>
      <c r="S874" s="46">
        <v>46295</v>
      </c>
      <c r="T874" s="51" t="s">
        <v>6119</v>
      </c>
      <c r="U874" s="15"/>
      <c r="V874" s="15"/>
      <c r="W874" s="15"/>
      <c r="X874" s="15"/>
      <c r="Y874" s="15"/>
      <c r="Z874" s="15"/>
      <c r="AA874" s="46"/>
      <c r="AB874" s="15"/>
      <c r="AC874" s="15"/>
      <c r="AD874" s="15"/>
      <c r="AE874" s="15"/>
      <c r="AF874" s="15"/>
      <c r="AG874" s="15"/>
      <c r="AH874" s="15"/>
      <c r="AI874" s="46"/>
      <c r="AJ874" s="51" t="s">
        <v>67</v>
      </c>
      <c r="AK874" s="51" t="s">
        <v>67</v>
      </c>
      <c r="AL874" s="15"/>
      <c r="AM874" s="51" t="s">
        <v>67</v>
      </c>
      <c r="AN874" s="51" t="s">
        <v>67</v>
      </c>
      <c r="AO874" s="50" t="s">
        <v>9554</v>
      </c>
    </row>
    <row r="875" spans="1:41" hidden="1" x14ac:dyDescent="0.25">
      <c r="A875" s="51" t="s">
        <v>5050</v>
      </c>
      <c r="B875" s="51" t="s">
        <v>5051</v>
      </c>
      <c r="C875" s="54" t="s">
        <v>2693</v>
      </c>
      <c r="D875" s="51" t="s">
        <v>5052</v>
      </c>
      <c r="E875" s="20">
        <v>8288.49</v>
      </c>
      <c r="F875" s="20">
        <v>9237.77</v>
      </c>
      <c r="G875" s="20">
        <v>4274.87</v>
      </c>
      <c r="H875" s="20">
        <v>3870.86</v>
      </c>
      <c r="I875" s="20">
        <v>6657.2</v>
      </c>
      <c r="J875" s="51" t="s">
        <v>6727</v>
      </c>
      <c r="K875" s="15">
        <v>38</v>
      </c>
      <c r="L875" s="51" t="s">
        <v>2369</v>
      </c>
      <c r="M875" s="51" t="s">
        <v>5053</v>
      </c>
      <c r="N875" s="51" t="s">
        <v>1344</v>
      </c>
      <c r="O875" s="51" t="s">
        <v>67</v>
      </c>
      <c r="P875" s="51" t="s">
        <v>67</v>
      </c>
      <c r="Q875" s="45">
        <v>46281.561550358798</v>
      </c>
      <c r="R875" s="46">
        <v>46314</v>
      </c>
      <c r="S875" s="46">
        <v>46309</v>
      </c>
      <c r="T875" s="51" t="s">
        <v>6119</v>
      </c>
      <c r="U875" s="15">
        <v>849.8</v>
      </c>
      <c r="V875" s="15">
        <v>3922.15</v>
      </c>
      <c r="W875" s="15">
        <v>36.39</v>
      </c>
      <c r="X875" s="15">
        <v>14.9</v>
      </c>
      <c r="Y875" s="15">
        <v>1.6620440000000001</v>
      </c>
      <c r="Z875" s="15">
        <v>6</v>
      </c>
      <c r="AA875" s="46">
        <v>46253</v>
      </c>
      <c r="AB875" s="15">
        <v>212.9</v>
      </c>
      <c r="AC875" s="15">
        <v>387.09</v>
      </c>
      <c r="AD875" s="15">
        <v>38.71</v>
      </c>
      <c r="AE875" s="15">
        <v>582.26</v>
      </c>
      <c r="AF875" s="15">
        <v>3729.62</v>
      </c>
      <c r="AG875" s="15">
        <v>57.49</v>
      </c>
      <c r="AH875" s="15">
        <v>1.5861069999999999</v>
      </c>
      <c r="AI875" s="46">
        <v>46283</v>
      </c>
      <c r="AJ875" s="51" t="s">
        <v>6121</v>
      </c>
      <c r="AK875" s="51" t="s">
        <v>6121</v>
      </c>
      <c r="AL875" s="15">
        <v>849.8</v>
      </c>
      <c r="AM875" s="51" t="s">
        <v>67</v>
      </c>
      <c r="AN875" s="51" t="s">
        <v>67</v>
      </c>
      <c r="AO875" s="50" t="s">
        <v>9554</v>
      </c>
    </row>
    <row r="876" spans="1:41" hidden="1" x14ac:dyDescent="0.25">
      <c r="A876" s="51" t="s">
        <v>5054</v>
      </c>
      <c r="B876" s="51" t="s">
        <v>5055</v>
      </c>
      <c r="C876" s="54" t="s">
        <v>611</v>
      </c>
      <c r="D876" s="51" t="s">
        <v>5056</v>
      </c>
      <c r="E876" s="20">
        <v>8452.5499999999993</v>
      </c>
      <c r="F876" s="20">
        <v>591.92999999999995</v>
      </c>
      <c r="G876" s="20">
        <v>9470.92</v>
      </c>
      <c r="H876" s="20">
        <v>575.04999999999995</v>
      </c>
      <c r="I876" s="20">
        <v>591.92999999999995</v>
      </c>
      <c r="J876" s="51" t="s">
        <v>6727</v>
      </c>
      <c r="K876" s="15">
        <v>1</v>
      </c>
      <c r="L876" s="51" t="s">
        <v>2369</v>
      </c>
      <c r="M876" s="51" t="s">
        <v>67</v>
      </c>
      <c r="N876" s="51" t="s">
        <v>67</v>
      </c>
      <c r="O876" s="51" t="s">
        <v>5057</v>
      </c>
      <c r="P876" s="51" t="s">
        <v>1340</v>
      </c>
      <c r="Q876" s="45">
        <v>46281.561552500003</v>
      </c>
      <c r="R876" s="46">
        <v>46320</v>
      </c>
      <c r="S876" s="46">
        <v>46315</v>
      </c>
      <c r="T876" s="51" t="s">
        <v>6119</v>
      </c>
      <c r="U876" s="15"/>
      <c r="V876" s="15"/>
      <c r="W876" s="15"/>
      <c r="X876" s="15"/>
      <c r="Y876" s="15"/>
      <c r="Z876" s="15"/>
      <c r="AA876" s="46"/>
      <c r="AB876" s="15"/>
      <c r="AC876" s="15"/>
      <c r="AD876" s="15"/>
      <c r="AE876" s="15"/>
      <c r="AF876" s="15"/>
      <c r="AG876" s="15"/>
      <c r="AH876" s="15"/>
      <c r="AI876" s="46"/>
      <c r="AJ876" s="51" t="s">
        <v>67</v>
      </c>
      <c r="AK876" s="51" t="s">
        <v>67</v>
      </c>
      <c r="AL876" s="15"/>
      <c r="AM876" s="51" t="s">
        <v>67</v>
      </c>
      <c r="AN876" s="51" t="s">
        <v>67</v>
      </c>
      <c r="AO876" s="50" t="s">
        <v>9554</v>
      </c>
    </row>
    <row r="877" spans="1:41" hidden="1" x14ac:dyDescent="0.25">
      <c r="A877" s="51" t="s">
        <v>5058</v>
      </c>
      <c r="B877" s="51" t="s">
        <v>5059</v>
      </c>
      <c r="C877" s="54" t="s">
        <v>5596</v>
      </c>
      <c r="D877" s="51" t="s">
        <v>5060</v>
      </c>
      <c r="E877" s="20">
        <v>2454.9</v>
      </c>
      <c r="F877" s="20">
        <v>5144.95</v>
      </c>
      <c r="G877" s="20">
        <v>-1996.62</v>
      </c>
      <c r="H877" s="20">
        <v>3870.86</v>
      </c>
      <c r="I877" s="20">
        <v>5144.9399999999996</v>
      </c>
      <c r="J877" s="51" t="s">
        <v>6727</v>
      </c>
      <c r="K877" s="15">
        <v>21</v>
      </c>
      <c r="L877" s="51" t="s">
        <v>2369</v>
      </c>
      <c r="M877" s="51" t="s">
        <v>5061</v>
      </c>
      <c r="N877" s="51" t="s">
        <v>1340</v>
      </c>
      <c r="O877" s="51" t="s">
        <v>67</v>
      </c>
      <c r="P877" s="51" t="s">
        <v>67</v>
      </c>
      <c r="Q877" s="45">
        <v>46281.561554293985</v>
      </c>
      <c r="R877" s="46">
        <v>46300</v>
      </c>
      <c r="S877" s="46">
        <v>46295</v>
      </c>
      <c r="T877" s="51" t="s">
        <v>6119</v>
      </c>
      <c r="U877" s="15">
        <v>848.05</v>
      </c>
      <c r="V877" s="15">
        <v>3921.84</v>
      </c>
      <c r="W877" s="15">
        <v>36.08</v>
      </c>
      <c r="X877" s="15">
        <v>14.9</v>
      </c>
      <c r="Y877" s="15">
        <v>1.662307</v>
      </c>
      <c r="Z877" s="15">
        <v>6</v>
      </c>
      <c r="AA877" s="46">
        <v>46270</v>
      </c>
      <c r="AB877" s="15"/>
      <c r="AC877" s="15"/>
      <c r="AD877" s="15"/>
      <c r="AE877" s="15"/>
      <c r="AF877" s="15"/>
      <c r="AG877" s="15"/>
      <c r="AH877" s="15"/>
      <c r="AI877" s="46"/>
      <c r="AJ877" s="51" t="s">
        <v>6121</v>
      </c>
      <c r="AK877" s="51" t="s">
        <v>6121</v>
      </c>
      <c r="AL877" s="15">
        <v>848.05</v>
      </c>
      <c r="AM877" s="51" t="s">
        <v>6705</v>
      </c>
      <c r="AN877" s="51" t="s">
        <v>6713</v>
      </c>
      <c r="AO877" s="50" t="s">
        <v>9554</v>
      </c>
    </row>
    <row r="878" spans="1:41" hidden="1" x14ac:dyDescent="0.25">
      <c r="A878" s="51" t="s">
        <v>5062</v>
      </c>
      <c r="B878" s="51" t="s">
        <v>5063</v>
      </c>
      <c r="C878" s="54" t="s">
        <v>2689</v>
      </c>
      <c r="D878" s="51" t="s">
        <v>5064</v>
      </c>
      <c r="E878" s="20">
        <v>5453.2</v>
      </c>
      <c r="F878" s="20">
        <v>7903.1</v>
      </c>
      <c r="G878" s="20">
        <v>12851.13</v>
      </c>
      <c r="H878" s="20">
        <v>3870.86</v>
      </c>
      <c r="I878" s="20">
        <v>7903.1</v>
      </c>
      <c r="J878" s="51" t="s">
        <v>6727</v>
      </c>
      <c r="K878" s="15">
        <v>35</v>
      </c>
      <c r="L878" s="51" t="s">
        <v>2369</v>
      </c>
      <c r="M878" s="51" t="s">
        <v>5065</v>
      </c>
      <c r="N878" s="51" t="s">
        <v>1340</v>
      </c>
      <c r="O878" s="51" t="s">
        <v>67</v>
      </c>
      <c r="P878" s="51" t="s">
        <v>67</v>
      </c>
      <c r="Q878" s="45">
        <v>46281.561556712964</v>
      </c>
      <c r="R878" s="46">
        <v>46317</v>
      </c>
      <c r="S878" s="46">
        <v>46312</v>
      </c>
      <c r="T878" s="51" t="s">
        <v>6119</v>
      </c>
      <c r="U878" s="15">
        <v>849.8</v>
      </c>
      <c r="V878" s="15">
        <v>3922.15</v>
      </c>
      <c r="W878" s="15">
        <v>36.39</v>
      </c>
      <c r="X878" s="15">
        <v>14.9</v>
      </c>
      <c r="Y878" s="15">
        <v>1.6620440000000001</v>
      </c>
      <c r="Z878" s="15">
        <v>6</v>
      </c>
      <c r="AA878" s="46">
        <v>46256</v>
      </c>
      <c r="AB878" s="15"/>
      <c r="AC878" s="15"/>
      <c r="AD878" s="15"/>
      <c r="AE878" s="15"/>
      <c r="AF878" s="15"/>
      <c r="AG878" s="15"/>
      <c r="AH878" s="15"/>
      <c r="AI878" s="46"/>
      <c r="AJ878" s="51" t="s">
        <v>6121</v>
      </c>
      <c r="AK878" s="51" t="s">
        <v>6121</v>
      </c>
      <c r="AL878" s="15">
        <v>849.8</v>
      </c>
      <c r="AM878" s="51" t="s">
        <v>67</v>
      </c>
      <c r="AN878" s="51" t="s">
        <v>67</v>
      </c>
      <c r="AO878" s="50" t="s">
        <v>9554</v>
      </c>
    </row>
    <row r="879" spans="1:41" hidden="1" x14ac:dyDescent="0.25">
      <c r="A879" s="51" t="s">
        <v>5066</v>
      </c>
      <c r="B879" s="51" t="s">
        <v>5067</v>
      </c>
      <c r="C879" s="54" t="s">
        <v>5597</v>
      </c>
      <c r="D879" s="51" t="s">
        <v>5068</v>
      </c>
      <c r="E879" s="20">
        <v>12540.94</v>
      </c>
      <c r="F879" s="20">
        <v>7190.45</v>
      </c>
      <c r="G879" s="20">
        <v>-1190.45</v>
      </c>
      <c r="H879" s="20">
        <v>7485.41</v>
      </c>
      <c r="I879" s="20">
        <v>7190.45</v>
      </c>
      <c r="J879" s="51" t="s">
        <v>6726</v>
      </c>
      <c r="K879" s="15">
        <v>0</v>
      </c>
      <c r="L879" s="51" t="s">
        <v>2371</v>
      </c>
      <c r="M879" s="51" t="s">
        <v>5069</v>
      </c>
      <c r="N879" s="51" t="s">
        <v>1340</v>
      </c>
      <c r="O879" s="51" t="s">
        <v>5070</v>
      </c>
      <c r="P879" s="51" t="s">
        <v>1340</v>
      </c>
      <c r="Q879" s="45">
        <v>46281.561559293979</v>
      </c>
      <c r="R879" s="46">
        <v>46321</v>
      </c>
      <c r="S879" s="46">
        <v>46316</v>
      </c>
      <c r="T879" s="51" t="s">
        <v>6119</v>
      </c>
      <c r="U879" s="15">
        <v>849.8</v>
      </c>
      <c r="V879" s="15">
        <v>3922.15</v>
      </c>
      <c r="W879" s="15">
        <v>36.39</v>
      </c>
      <c r="X879" s="15">
        <v>14.9</v>
      </c>
      <c r="Y879" s="15">
        <v>1.6620440000000001</v>
      </c>
      <c r="Z879" s="15">
        <v>6</v>
      </c>
      <c r="AA879" s="46">
        <v>46260</v>
      </c>
      <c r="AB879" s="15"/>
      <c r="AC879" s="15"/>
      <c r="AD879" s="15"/>
      <c r="AE879" s="15"/>
      <c r="AF879" s="15"/>
      <c r="AG879" s="15"/>
      <c r="AH879" s="15"/>
      <c r="AI879" s="46"/>
      <c r="AJ879" s="51" t="s">
        <v>67</v>
      </c>
      <c r="AK879" s="51" t="s">
        <v>6121</v>
      </c>
      <c r="AL879" s="15">
        <v>849.8</v>
      </c>
      <c r="AM879" s="51" t="s">
        <v>6705</v>
      </c>
      <c r="AN879" s="51" t="s">
        <v>6713</v>
      </c>
      <c r="AO879" s="50" t="s">
        <v>9554</v>
      </c>
    </row>
    <row r="880" spans="1:41" hidden="1" x14ac:dyDescent="0.25">
      <c r="A880" s="51" t="s">
        <v>5071</v>
      </c>
      <c r="B880" s="51" t="s">
        <v>5072</v>
      </c>
      <c r="C880" s="54" t="s">
        <v>5603</v>
      </c>
      <c r="D880" s="51" t="s">
        <v>5073</v>
      </c>
      <c r="E880" s="20">
        <v>2759.18</v>
      </c>
      <c r="F880" s="20">
        <v>5072.53</v>
      </c>
      <c r="G880" s="20">
        <v>2663.66</v>
      </c>
      <c r="H880" s="20">
        <v>3870.86</v>
      </c>
      <c r="I880" s="20">
        <v>5072.53</v>
      </c>
      <c r="J880" s="51" t="s">
        <v>6727</v>
      </c>
      <c r="K880" s="15">
        <v>23</v>
      </c>
      <c r="L880" s="51" t="s">
        <v>2369</v>
      </c>
      <c r="M880" s="51" t="s">
        <v>5074</v>
      </c>
      <c r="N880" s="51" t="s">
        <v>1340</v>
      </c>
      <c r="O880" s="51" t="s">
        <v>67</v>
      </c>
      <c r="P880" s="51" t="s">
        <v>67</v>
      </c>
      <c r="Q880" s="45">
        <v>46281.561561736111</v>
      </c>
      <c r="R880" s="46">
        <v>46298</v>
      </c>
      <c r="S880" s="46">
        <v>46293</v>
      </c>
      <c r="T880" s="51" t="s">
        <v>6119</v>
      </c>
      <c r="U880" s="15">
        <v>848.05</v>
      </c>
      <c r="V880" s="15">
        <v>3921.84</v>
      </c>
      <c r="W880" s="15">
        <v>36.08</v>
      </c>
      <c r="X880" s="15">
        <v>14.9</v>
      </c>
      <c r="Y880" s="15">
        <v>1.662307</v>
      </c>
      <c r="Z880" s="15">
        <v>6</v>
      </c>
      <c r="AA880" s="46">
        <v>46268</v>
      </c>
      <c r="AB880" s="15"/>
      <c r="AC880" s="15"/>
      <c r="AD880" s="15"/>
      <c r="AE880" s="15"/>
      <c r="AF880" s="15"/>
      <c r="AG880" s="15"/>
      <c r="AH880" s="15"/>
      <c r="AI880" s="46"/>
      <c r="AJ880" s="51" t="s">
        <v>6121</v>
      </c>
      <c r="AK880" s="51" t="s">
        <v>6121</v>
      </c>
      <c r="AL880" s="15">
        <v>848.05</v>
      </c>
      <c r="AM880" s="51" t="s">
        <v>67</v>
      </c>
      <c r="AN880" s="51" t="s">
        <v>67</v>
      </c>
      <c r="AO880" s="50" t="s">
        <v>9554</v>
      </c>
    </row>
    <row r="881" spans="1:41" hidden="1" x14ac:dyDescent="0.25">
      <c r="A881" s="51" t="s">
        <v>5075</v>
      </c>
      <c r="B881" s="51" t="s">
        <v>5076</v>
      </c>
      <c r="C881" s="54" t="s">
        <v>2693</v>
      </c>
      <c r="D881" s="51" t="s">
        <v>5077</v>
      </c>
      <c r="E881" s="20">
        <v>6776.06</v>
      </c>
      <c r="F881" s="20">
        <v>9226.98</v>
      </c>
      <c r="G881" s="20">
        <v>-5488.17</v>
      </c>
      <c r="H881" s="20">
        <v>3870.86</v>
      </c>
      <c r="I881" s="20">
        <v>9226.98</v>
      </c>
      <c r="J881" s="51" t="s">
        <v>6727</v>
      </c>
      <c r="K881" s="15">
        <v>38</v>
      </c>
      <c r="L881" s="51" t="s">
        <v>2369</v>
      </c>
      <c r="M881" s="51" t="s">
        <v>5078</v>
      </c>
      <c r="N881" s="51" t="s">
        <v>1340</v>
      </c>
      <c r="O881" s="51" t="s">
        <v>5079</v>
      </c>
      <c r="P881" s="51" t="s">
        <v>1340</v>
      </c>
      <c r="Q881" s="45">
        <v>46281.561564733798</v>
      </c>
      <c r="R881" s="46">
        <v>46314</v>
      </c>
      <c r="S881" s="46">
        <v>46309</v>
      </c>
      <c r="T881" s="51" t="s">
        <v>6119</v>
      </c>
      <c r="U881" s="15">
        <v>849.8</v>
      </c>
      <c r="V881" s="15">
        <v>3922.15</v>
      </c>
      <c r="W881" s="15">
        <v>36.39</v>
      </c>
      <c r="X881" s="15">
        <v>14.9</v>
      </c>
      <c r="Y881" s="15">
        <v>1.6620440000000001</v>
      </c>
      <c r="Z881" s="15">
        <v>6</v>
      </c>
      <c r="AA881" s="46">
        <v>46253</v>
      </c>
      <c r="AB881" s="15">
        <v>212.9</v>
      </c>
      <c r="AC881" s="15">
        <v>387.09</v>
      </c>
      <c r="AD881" s="15">
        <v>38.71</v>
      </c>
      <c r="AE881" s="15">
        <v>582.26</v>
      </c>
      <c r="AF881" s="15">
        <v>3729.62</v>
      </c>
      <c r="AG881" s="15">
        <v>57.49</v>
      </c>
      <c r="AH881" s="15">
        <v>1.5861069999999999</v>
      </c>
      <c r="AI881" s="46">
        <v>46283</v>
      </c>
      <c r="AJ881" s="51" t="s">
        <v>6121</v>
      </c>
      <c r="AK881" s="51" t="s">
        <v>6121</v>
      </c>
      <c r="AL881" s="15">
        <v>849.8</v>
      </c>
      <c r="AM881" s="51" t="s">
        <v>6705</v>
      </c>
      <c r="AN881" s="51" t="s">
        <v>6713</v>
      </c>
      <c r="AO881" s="50" t="s">
        <v>9554</v>
      </c>
    </row>
    <row r="882" spans="1:41" hidden="1" x14ac:dyDescent="0.25">
      <c r="A882" s="51" t="s">
        <v>5080</v>
      </c>
      <c r="B882" s="51" t="s">
        <v>5081</v>
      </c>
      <c r="C882" s="54" t="s">
        <v>5608</v>
      </c>
      <c r="D882" s="51" t="s">
        <v>5082</v>
      </c>
      <c r="E882" s="20">
        <v>8931.94</v>
      </c>
      <c r="F882" s="20">
        <v>2359.9</v>
      </c>
      <c r="G882" s="20">
        <v>14414.88</v>
      </c>
      <c r="H882" s="20">
        <v>5039.4799999999996</v>
      </c>
      <c r="I882" s="20">
        <v>2359.9</v>
      </c>
      <c r="J882" s="51" t="s">
        <v>6726</v>
      </c>
      <c r="K882" s="15">
        <v>0</v>
      </c>
      <c r="L882" s="51" t="s">
        <v>2371</v>
      </c>
      <c r="M882" s="51" t="s">
        <v>5083</v>
      </c>
      <c r="N882" s="51" t="s">
        <v>1340</v>
      </c>
      <c r="O882" s="51" t="s">
        <v>5084</v>
      </c>
      <c r="P882" s="51" t="s">
        <v>1340</v>
      </c>
      <c r="Q882" s="45">
        <v>46281.561567141202</v>
      </c>
      <c r="R882" s="46">
        <v>46319</v>
      </c>
      <c r="S882" s="46">
        <v>46314</v>
      </c>
      <c r="T882" s="51" t="s">
        <v>6119</v>
      </c>
      <c r="U882" s="15">
        <v>849.8</v>
      </c>
      <c r="V882" s="15">
        <v>3922.15</v>
      </c>
      <c r="W882" s="15">
        <v>36.39</v>
      </c>
      <c r="X882" s="15">
        <v>14.9</v>
      </c>
      <c r="Y882" s="15">
        <v>1.6620440000000001</v>
      </c>
      <c r="Z882" s="15">
        <v>6</v>
      </c>
      <c r="AA882" s="46">
        <v>46258</v>
      </c>
      <c r="AB882" s="15"/>
      <c r="AC882" s="15"/>
      <c r="AD882" s="15"/>
      <c r="AE882" s="15"/>
      <c r="AF882" s="15"/>
      <c r="AG882" s="15"/>
      <c r="AH882" s="15"/>
      <c r="AI882" s="46"/>
      <c r="AJ882" s="51" t="s">
        <v>67</v>
      </c>
      <c r="AK882" s="51" t="s">
        <v>6121</v>
      </c>
      <c r="AL882" s="15">
        <v>849.8</v>
      </c>
      <c r="AM882" s="51" t="s">
        <v>6705</v>
      </c>
      <c r="AN882" s="51" t="s">
        <v>6716</v>
      </c>
      <c r="AO882" s="50" t="s">
        <v>9554</v>
      </c>
    </row>
    <row r="883" spans="1:41" hidden="1" x14ac:dyDescent="0.25">
      <c r="A883" s="51" t="s">
        <v>5085</v>
      </c>
      <c r="B883" s="51" t="s">
        <v>5086</v>
      </c>
      <c r="C883" s="54" t="s">
        <v>5602</v>
      </c>
      <c r="D883" s="51" t="s">
        <v>5087</v>
      </c>
      <c r="E883" s="20">
        <v>3599.15</v>
      </c>
      <c r="F883" s="20">
        <v>952.93</v>
      </c>
      <c r="G883" s="20">
        <v>4387.8999999999996</v>
      </c>
      <c r="H883" s="20">
        <v>0</v>
      </c>
      <c r="I883" s="20">
        <v>952.93</v>
      </c>
      <c r="J883" s="51" t="s">
        <v>2654</v>
      </c>
      <c r="K883" s="15">
        <v>0</v>
      </c>
      <c r="L883" s="51" t="s">
        <v>2371</v>
      </c>
      <c r="M883" s="51" t="s">
        <v>67</v>
      </c>
      <c r="N883" s="51" t="s">
        <v>67</v>
      </c>
      <c r="O883" s="51" t="s">
        <v>5088</v>
      </c>
      <c r="P883" s="51" t="s">
        <v>1340</v>
      </c>
      <c r="Q883" s="45">
        <v>46281.56156962963</v>
      </c>
      <c r="R883" s="46">
        <v>46303</v>
      </c>
      <c r="S883" s="46">
        <v>46298</v>
      </c>
      <c r="T883" s="51" t="s">
        <v>6119</v>
      </c>
      <c r="U883" s="15"/>
      <c r="V883" s="15"/>
      <c r="W883" s="15"/>
      <c r="X883" s="15"/>
      <c r="Y883" s="15"/>
      <c r="Z883" s="15"/>
      <c r="AA883" s="46"/>
      <c r="AB883" s="15"/>
      <c r="AC883" s="15"/>
      <c r="AD883" s="15"/>
      <c r="AE883" s="15"/>
      <c r="AF883" s="15"/>
      <c r="AG883" s="15"/>
      <c r="AH883" s="15"/>
      <c r="AI883" s="46"/>
      <c r="AJ883" s="51" t="s">
        <v>67</v>
      </c>
      <c r="AK883" s="51" t="s">
        <v>67</v>
      </c>
      <c r="AL883" s="15"/>
      <c r="AM883" s="51" t="s">
        <v>67</v>
      </c>
      <c r="AN883" s="51" t="s">
        <v>67</v>
      </c>
      <c r="AO883" s="50" t="s">
        <v>9554</v>
      </c>
    </row>
    <row r="884" spans="1:41" hidden="1" x14ac:dyDescent="0.25">
      <c r="A884" s="51" t="s">
        <v>5089</v>
      </c>
      <c r="B884" s="51" t="s">
        <v>5090</v>
      </c>
      <c r="C884" s="54" t="s">
        <v>5606</v>
      </c>
      <c r="D884" s="51" t="s">
        <v>5091</v>
      </c>
      <c r="E884" s="20">
        <v>14190.97</v>
      </c>
      <c r="F884" s="20">
        <v>5117.42</v>
      </c>
      <c r="G884" s="20">
        <v>11080.67</v>
      </c>
      <c r="H884" s="20">
        <v>3870.86</v>
      </c>
      <c r="I884" s="20">
        <v>5117.42</v>
      </c>
      <c r="J884" s="51" t="s">
        <v>6727</v>
      </c>
      <c r="K884" s="15">
        <v>24</v>
      </c>
      <c r="L884" s="51" t="s">
        <v>2369</v>
      </c>
      <c r="M884" s="51" t="s">
        <v>5092</v>
      </c>
      <c r="N884" s="51" t="s">
        <v>1340</v>
      </c>
      <c r="O884" s="51" t="s">
        <v>5093</v>
      </c>
      <c r="P884" s="51" t="s">
        <v>1340</v>
      </c>
      <c r="Q884" s="45">
        <v>46281.561571886574</v>
      </c>
      <c r="R884" s="46">
        <v>46297</v>
      </c>
      <c r="S884" s="46">
        <v>46292</v>
      </c>
      <c r="T884" s="51" t="s">
        <v>6119</v>
      </c>
      <c r="U884" s="15">
        <v>848.05</v>
      </c>
      <c r="V884" s="15">
        <v>3921.84</v>
      </c>
      <c r="W884" s="15">
        <v>36.08</v>
      </c>
      <c r="X884" s="15">
        <v>14.9</v>
      </c>
      <c r="Y884" s="15">
        <v>1.662307</v>
      </c>
      <c r="Z884" s="15">
        <v>6</v>
      </c>
      <c r="AA884" s="46">
        <v>46267</v>
      </c>
      <c r="AB884" s="15"/>
      <c r="AC884" s="15"/>
      <c r="AD884" s="15"/>
      <c r="AE884" s="15"/>
      <c r="AF884" s="15"/>
      <c r="AG884" s="15"/>
      <c r="AH884" s="15"/>
      <c r="AI884" s="46"/>
      <c r="AJ884" s="51" t="s">
        <v>6121</v>
      </c>
      <c r="AK884" s="51" t="s">
        <v>6121</v>
      </c>
      <c r="AL884" s="15">
        <v>848.05</v>
      </c>
      <c r="AM884" s="51" t="s">
        <v>67</v>
      </c>
      <c r="AN884" s="51" t="s">
        <v>67</v>
      </c>
      <c r="AO884" s="50" t="s">
        <v>9554</v>
      </c>
    </row>
    <row r="885" spans="1:41" hidden="1" x14ac:dyDescent="0.25">
      <c r="A885" s="51" t="s">
        <v>5094</v>
      </c>
      <c r="B885" s="51" t="s">
        <v>5095</v>
      </c>
      <c r="C885" s="54" t="s">
        <v>611</v>
      </c>
      <c r="D885" s="51" t="s">
        <v>5096</v>
      </c>
      <c r="E885" s="20">
        <v>5699.26</v>
      </c>
      <c r="F885" s="20">
        <v>6036.42</v>
      </c>
      <c r="G885" s="20">
        <v>-580.89</v>
      </c>
      <c r="H885" s="20">
        <v>5257.42</v>
      </c>
      <c r="I885" s="20">
        <v>6036.42</v>
      </c>
      <c r="J885" s="51" t="s">
        <v>6727</v>
      </c>
      <c r="K885" s="15">
        <v>32</v>
      </c>
      <c r="L885" s="51" t="s">
        <v>2369</v>
      </c>
      <c r="M885" s="51" t="s">
        <v>5097</v>
      </c>
      <c r="N885" s="51" t="s">
        <v>1340</v>
      </c>
      <c r="O885" s="51" t="s">
        <v>67</v>
      </c>
      <c r="P885" s="51" t="s">
        <v>67</v>
      </c>
      <c r="Q885" s="45">
        <v>46281.561574201391</v>
      </c>
      <c r="R885" s="46">
        <v>46320</v>
      </c>
      <c r="S885" s="46">
        <v>46315</v>
      </c>
      <c r="T885" s="51" t="s">
        <v>6119</v>
      </c>
      <c r="U885" s="15">
        <v>849.8</v>
      </c>
      <c r="V885" s="15">
        <v>3922.15</v>
      </c>
      <c r="W885" s="15">
        <v>36.39</v>
      </c>
      <c r="X885" s="15">
        <v>14.9</v>
      </c>
      <c r="Y885" s="15">
        <v>1.6620440000000001</v>
      </c>
      <c r="Z885" s="15">
        <v>6</v>
      </c>
      <c r="AA885" s="46">
        <v>46259</v>
      </c>
      <c r="AB885" s="15"/>
      <c r="AC885" s="15"/>
      <c r="AD885" s="15"/>
      <c r="AE885" s="15"/>
      <c r="AF885" s="15"/>
      <c r="AG885" s="15"/>
      <c r="AH885" s="15"/>
      <c r="AI885" s="46"/>
      <c r="AJ885" s="51" t="s">
        <v>6121</v>
      </c>
      <c r="AK885" s="51" t="s">
        <v>6121</v>
      </c>
      <c r="AL885" s="15">
        <v>849.8</v>
      </c>
      <c r="AM885" s="51" t="s">
        <v>6705</v>
      </c>
      <c r="AN885" s="51" t="s">
        <v>6713</v>
      </c>
      <c r="AO885" s="50" t="s">
        <v>9554</v>
      </c>
    </row>
    <row r="886" spans="1:41" hidden="1" x14ac:dyDescent="0.25">
      <c r="A886" s="51" t="s">
        <v>5098</v>
      </c>
      <c r="B886" s="51" t="s">
        <v>5099</v>
      </c>
      <c r="C886" s="54" t="s">
        <v>5602</v>
      </c>
      <c r="D886" s="51" t="s">
        <v>5100</v>
      </c>
      <c r="E886" s="20">
        <v>11136.41</v>
      </c>
      <c r="F886" s="20">
        <v>5072.6899999999996</v>
      </c>
      <c r="G886" s="20">
        <v>2693.95</v>
      </c>
      <c r="H886" s="20">
        <v>3870.86</v>
      </c>
      <c r="I886" s="20">
        <v>5072.6899999999996</v>
      </c>
      <c r="J886" s="51" t="s">
        <v>6727</v>
      </c>
      <c r="K886" s="15">
        <v>18</v>
      </c>
      <c r="L886" s="51" t="s">
        <v>2369</v>
      </c>
      <c r="M886" s="51" t="s">
        <v>5101</v>
      </c>
      <c r="N886" s="51" t="s">
        <v>1340</v>
      </c>
      <c r="O886" s="51" t="s">
        <v>5102</v>
      </c>
      <c r="P886" s="51" t="s">
        <v>1340</v>
      </c>
      <c r="Q886" s="45">
        <v>46281.561576736109</v>
      </c>
      <c r="R886" s="46">
        <v>46303</v>
      </c>
      <c r="S886" s="46">
        <v>46298</v>
      </c>
      <c r="T886" s="51" t="s">
        <v>6119</v>
      </c>
      <c r="U886" s="15">
        <v>848.05</v>
      </c>
      <c r="V886" s="15">
        <v>3921.84</v>
      </c>
      <c r="W886" s="15">
        <v>36.08</v>
      </c>
      <c r="X886" s="15">
        <v>14.9</v>
      </c>
      <c r="Y886" s="15">
        <v>1.662307</v>
      </c>
      <c r="Z886" s="15">
        <v>6</v>
      </c>
      <c r="AA886" s="46">
        <v>46273</v>
      </c>
      <c r="AB886" s="15"/>
      <c r="AC886" s="15"/>
      <c r="AD886" s="15"/>
      <c r="AE886" s="15"/>
      <c r="AF886" s="15"/>
      <c r="AG886" s="15"/>
      <c r="AH886" s="15"/>
      <c r="AI886" s="46"/>
      <c r="AJ886" s="51" t="s">
        <v>6121</v>
      </c>
      <c r="AK886" s="51" t="s">
        <v>6121</v>
      </c>
      <c r="AL886" s="15">
        <v>848.05</v>
      </c>
      <c r="AM886" s="51" t="s">
        <v>67</v>
      </c>
      <c r="AN886" s="51" t="s">
        <v>67</v>
      </c>
      <c r="AO886" s="50" t="s">
        <v>9554</v>
      </c>
    </row>
    <row r="887" spans="1:41" hidden="1" x14ac:dyDescent="0.25">
      <c r="A887" s="51" t="s">
        <v>5103</v>
      </c>
      <c r="B887" s="51" t="s">
        <v>5104</v>
      </c>
      <c r="C887" s="54" t="s">
        <v>2541</v>
      </c>
      <c r="D887" s="51" t="s">
        <v>3177</v>
      </c>
      <c r="E887" s="20">
        <v>3547.93</v>
      </c>
      <c r="F887" s="20">
        <v>4361.2299999999996</v>
      </c>
      <c r="G887" s="20">
        <v>11840.15</v>
      </c>
      <c r="H887" s="20">
        <v>3870.86</v>
      </c>
      <c r="I887" s="20">
        <v>4177.6499999999996</v>
      </c>
      <c r="J887" s="51" t="s">
        <v>6727</v>
      </c>
      <c r="K887" s="15">
        <v>10</v>
      </c>
      <c r="L887" s="51" t="s">
        <v>2369</v>
      </c>
      <c r="M887" s="51" t="s">
        <v>5105</v>
      </c>
      <c r="N887" s="51" t="s">
        <v>1344</v>
      </c>
      <c r="O887" s="51" t="s">
        <v>5106</v>
      </c>
      <c r="P887" s="51" t="s">
        <v>1344</v>
      </c>
      <c r="Q887" s="45">
        <v>46281.561579062502</v>
      </c>
      <c r="R887" s="46">
        <v>46311</v>
      </c>
      <c r="S887" s="46">
        <v>46306</v>
      </c>
      <c r="T887" s="51" t="s">
        <v>6119</v>
      </c>
      <c r="U887" s="15">
        <v>848.05</v>
      </c>
      <c r="V887" s="15">
        <v>3921.84</v>
      </c>
      <c r="W887" s="15">
        <v>36.08</v>
      </c>
      <c r="X887" s="15">
        <v>14.9</v>
      </c>
      <c r="Y887" s="15">
        <v>1.662307</v>
      </c>
      <c r="Z887" s="15">
        <v>6</v>
      </c>
      <c r="AA887" s="46">
        <v>46281</v>
      </c>
      <c r="AB887" s="15"/>
      <c r="AC887" s="15"/>
      <c r="AD887" s="15"/>
      <c r="AE887" s="15"/>
      <c r="AF887" s="15"/>
      <c r="AG887" s="15"/>
      <c r="AH887" s="15"/>
      <c r="AI887" s="46"/>
      <c r="AJ887" s="51" t="s">
        <v>6121</v>
      </c>
      <c r="AK887" s="51" t="s">
        <v>6121</v>
      </c>
      <c r="AL887" s="15">
        <v>848.05</v>
      </c>
      <c r="AM887" s="51" t="s">
        <v>67</v>
      </c>
      <c r="AN887" s="51" t="s">
        <v>67</v>
      </c>
      <c r="AO887" s="50" t="s">
        <v>9554</v>
      </c>
    </row>
    <row r="888" spans="1:41" hidden="1" x14ac:dyDescent="0.25">
      <c r="A888" s="51" t="s">
        <v>5107</v>
      </c>
      <c r="B888" s="51" t="s">
        <v>5108</v>
      </c>
      <c r="C888" s="54" t="s">
        <v>5604</v>
      </c>
      <c r="D888" s="51" t="s">
        <v>5109</v>
      </c>
      <c r="E888" s="20">
        <v>4517.32</v>
      </c>
      <c r="F888" s="20">
        <v>9050.58</v>
      </c>
      <c r="G888" s="20">
        <v>10613.03</v>
      </c>
      <c r="H888" s="20">
        <v>3870.86</v>
      </c>
      <c r="I888" s="20">
        <v>6039.91</v>
      </c>
      <c r="J888" s="51" t="s">
        <v>6727</v>
      </c>
      <c r="K888" s="15">
        <v>39</v>
      </c>
      <c r="L888" s="51" t="s">
        <v>2369</v>
      </c>
      <c r="M888" s="51" t="s">
        <v>67</v>
      </c>
      <c r="N888" s="51" t="s">
        <v>67</v>
      </c>
      <c r="O888" s="51" t="s">
        <v>5110</v>
      </c>
      <c r="P888" s="51" t="s">
        <v>1340</v>
      </c>
      <c r="Q888" s="45">
        <v>46281.561581412039</v>
      </c>
      <c r="R888" s="46">
        <v>46313</v>
      </c>
      <c r="S888" s="46">
        <v>46308</v>
      </c>
      <c r="T888" s="51" t="s">
        <v>6119</v>
      </c>
      <c r="U888" s="15">
        <v>849.8</v>
      </c>
      <c r="V888" s="15">
        <v>3922.15</v>
      </c>
      <c r="W888" s="15">
        <v>36.39</v>
      </c>
      <c r="X888" s="15">
        <v>14.9</v>
      </c>
      <c r="Y888" s="15">
        <v>1.6620440000000001</v>
      </c>
      <c r="Z888" s="15">
        <v>6</v>
      </c>
      <c r="AA888" s="46">
        <v>46252</v>
      </c>
      <c r="AB888" s="15">
        <v>212.9</v>
      </c>
      <c r="AC888" s="15">
        <v>387.09</v>
      </c>
      <c r="AD888" s="15">
        <v>38.71</v>
      </c>
      <c r="AE888" s="15">
        <v>582.26</v>
      </c>
      <c r="AF888" s="15">
        <v>3729.62</v>
      </c>
      <c r="AG888" s="15">
        <v>57.49</v>
      </c>
      <c r="AH888" s="15">
        <v>1.5861069999999999</v>
      </c>
      <c r="AI888" s="46">
        <v>46283</v>
      </c>
      <c r="AJ888" s="51" t="s">
        <v>6121</v>
      </c>
      <c r="AK888" s="51" t="s">
        <v>6121</v>
      </c>
      <c r="AL888" s="15">
        <v>849.8</v>
      </c>
      <c r="AM888" s="51" t="s">
        <v>67</v>
      </c>
      <c r="AN888" s="51" t="s">
        <v>67</v>
      </c>
      <c r="AO888" s="50" t="s">
        <v>9554</v>
      </c>
    </row>
    <row r="889" spans="1:41" hidden="1" x14ac:dyDescent="0.25">
      <c r="A889" s="51" t="s">
        <v>5111</v>
      </c>
      <c r="B889" s="51" t="s">
        <v>5112</v>
      </c>
      <c r="C889" s="54" t="s">
        <v>2358</v>
      </c>
      <c r="D889" s="51" t="s">
        <v>3048</v>
      </c>
      <c r="E889" s="20">
        <v>3556.79</v>
      </c>
      <c r="F889" s="20">
        <v>5011.09</v>
      </c>
      <c r="G889" s="20">
        <v>6217.89</v>
      </c>
      <c r="H889" s="20">
        <v>3870.86</v>
      </c>
      <c r="I889" s="20">
        <v>4396.2299999999996</v>
      </c>
      <c r="J889" s="51" t="s">
        <v>6727</v>
      </c>
      <c r="K889" s="15">
        <v>12</v>
      </c>
      <c r="L889" s="51" t="s">
        <v>2369</v>
      </c>
      <c r="M889" s="51" t="s">
        <v>5113</v>
      </c>
      <c r="N889" s="51" t="s">
        <v>1344</v>
      </c>
      <c r="O889" s="51" t="s">
        <v>5114</v>
      </c>
      <c r="P889" s="51" t="s">
        <v>1344</v>
      </c>
      <c r="Q889" s="45">
        <v>46281.561583634262</v>
      </c>
      <c r="R889" s="46">
        <v>46309</v>
      </c>
      <c r="S889" s="46">
        <v>46304</v>
      </c>
      <c r="T889" s="51" t="s">
        <v>6119</v>
      </c>
      <c r="U889" s="15">
        <v>848.05</v>
      </c>
      <c r="V889" s="15">
        <v>3921.84</v>
      </c>
      <c r="W889" s="15">
        <v>36.08</v>
      </c>
      <c r="X889" s="15">
        <v>14.9</v>
      </c>
      <c r="Y889" s="15">
        <v>1.662307</v>
      </c>
      <c r="Z889" s="15">
        <v>6</v>
      </c>
      <c r="AA889" s="46">
        <v>46279</v>
      </c>
      <c r="AB889" s="15"/>
      <c r="AC889" s="15"/>
      <c r="AD889" s="15"/>
      <c r="AE889" s="15"/>
      <c r="AF889" s="15"/>
      <c r="AG889" s="15"/>
      <c r="AH889" s="15"/>
      <c r="AI889" s="46"/>
      <c r="AJ889" s="51" t="s">
        <v>6121</v>
      </c>
      <c r="AK889" s="51" t="s">
        <v>6121</v>
      </c>
      <c r="AL889" s="15">
        <v>848.05</v>
      </c>
      <c r="AM889" s="51" t="s">
        <v>67</v>
      </c>
      <c r="AN889" s="51" t="s">
        <v>67</v>
      </c>
      <c r="AO889" s="50" t="s">
        <v>9554</v>
      </c>
    </row>
    <row r="890" spans="1:41" hidden="1" x14ac:dyDescent="0.25">
      <c r="A890" s="51" t="s">
        <v>5115</v>
      </c>
      <c r="B890" s="51" t="s">
        <v>5116</v>
      </c>
      <c r="C890" s="54" t="s">
        <v>2357</v>
      </c>
      <c r="D890" s="51" t="s">
        <v>5117</v>
      </c>
      <c r="E890" s="20">
        <v>7360.94</v>
      </c>
      <c r="F890" s="20">
        <v>4724.8</v>
      </c>
      <c r="G890" s="20">
        <v>9468.5</v>
      </c>
      <c r="H890" s="20">
        <v>3870.86</v>
      </c>
      <c r="I890" s="20">
        <v>4563.88</v>
      </c>
      <c r="J890" s="51" t="s">
        <v>6727</v>
      </c>
      <c r="K890" s="15">
        <v>13</v>
      </c>
      <c r="L890" s="51" t="s">
        <v>2369</v>
      </c>
      <c r="M890" s="51" t="s">
        <v>67</v>
      </c>
      <c r="N890" s="51" t="s">
        <v>67</v>
      </c>
      <c r="O890" s="51" t="s">
        <v>5118</v>
      </c>
      <c r="P890" s="51" t="s">
        <v>1340</v>
      </c>
      <c r="Q890" s="45">
        <v>46281.561585810188</v>
      </c>
      <c r="R890" s="46">
        <v>46308</v>
      </c>
      <c r="S890" s="46">
        <v>46303</v>
      </c>
      <c r="T890" s="51" t="s">
        <v>6119</v>
      </c>
      <c r="U890" s="15">
        <v>848.05</v>
      </c>
      <c r="V890" s="15">
        <v>3921.84</v>
      </c>
      <c r="W890" s="15">
        <v>36.08</v>
      </c>
      <c r="X890" s="15">
        <v>14.9</v>
      </c>
      <c r="Y890" s="15">
        <v>1.662307</v>
      </c>
      <c r="Z890" s="15">
        <v>6</v>
      </c>
      <c r="AA890" s="46">
        <v>46278</v>
      </c>
      <c r="AB890" s="15"/>
      <c r="AC890" s="15"/>
      <c r="AD890" s="15"/>
      <c r="AE890" s="15"/>
      <c r="AF890" s="15"/>
      <c r="AG890" s="15"/>
      <c r="AH890" s="15"/>
      <c r="AI890" s="46"/>
      <c r="AJ890" s="51" t="s">
        <v>6121</v>
      </c>
      <c r="AK890" s="51" t="s">
        <v>6121</v>
      </c>
      <c r="AL890" s="15">
        <v>848.05</v>
      </c>
      <c r="AM890" s="51" t="s">
        <v>67</v>
      </c>
      <c r="AN890" s="51" t="s">
        <v>67</v>
      </c>
      <c r="AO890" s="50" t="s">
        <v>9554</v>
      </c>
    </row>
    <row r="891" spans="1:41" hidden="1" x14ac:dyDescent="0.25">
      <c r="A891" s="51" t="s">
        <v>5119</v>
      </c>
      <c r="B891" s="51" t="s">
        <v>5120</v>
      </c>
      <c r="C891" s="54" t="s">
        <v>2691</v>
      </c>
      <c r="D891" s="51" t="s">
        <v>5121</v>
      </c>
      <c r="E891" s="20">
        <v>5418.75</v>
      </c>
      <c r="F891" s="20">
        <v>5088.21</v>
      </c>
      <c r="G891" s="20">
        <v>5030.74</v>
      </c>
      <c r="H891" s="20">
        <v>3870.86</v>
      </c>
      <c r="I891" s="20">
        <v>5088.21</v>
      </c>
      <c r="J891" s="51" t="s">
        <v>6727</v>
      </c>
      <c r="K891" s="15">
        <v>20</v>
      </c>
      <c r="L891" s="51" t="s">
        <v>2369</v>
      </c>
      <c r="M891" s="51" t="s">
        <v>5122</v>
      </c>
      <c r="N891" s="51" t="s">
        <v>1340</v>
      </c>
      <c r="O891" s="51" t="s">
        <v>67</v>
      </c>
      <c r="P891" s="51" t="s">
        <v>67</v>
      </c>
      <c r="Q891" s="45">
        <v>46281.561587951386</v>
      </c>
      <c r="R891" s="46">
        <v>46301</v>
      </c>
      <c r="S891" s="46">
        <v>46296</v>
      </c>
      <c r="T891" s="51" t="s">
        <v>6119</v>
      </c>
      <c r="U891" s="15">
        <v>848.05</v>
      </c>
      <c r="V891" s="15">
        <v>3921.84</v>
      </c>
      <c r="W891" s="15">
        <v>36.08</v>
      </c>
      <c r="X891" s="15">
        <v>14.9</v>
      </c>
      <c r="Y891" s="15">
        <v>1.662307</v>
      </c>
      <c r="Z891" s="15">
        <v>6</v>
      </c>
      <c r="AA891" s="46">
        <v>46271</v>
      </c>
      <c r="AB891" s="15"/>
      <c r="AC891" s="15"/>
      <c r="AD891" s="15"/>
      <c r="AE891" s="15"/>
      <c r="AF891" s="15"/>
      <c r="AG891" s="15"/>
      <c r="AH891" s="15"/>
      <c r="AI891" s="46"/>
      <c r="AJ891" s="51" t="s">
        <v>6121</v>
      </c>
      <c r="AK891" s="51" t="s">
        <v>6121</v>
      </c>
      <c r="AL891" s="15">
        <v>848.05</v>
      </c>
      <c r="AM891" s="51" t="s">
        <v>67</v>
      </c>
      <c r="AN891" s="51" t="s">
        <v>67</v>
      </c>
      <c r="AO891" s="50" t="s">
        <v>9554</v>
      </c>
    </row>
    <row r="892" spans="1:41" hidden="1" x14ac:dyDescent="0.25">
      <c r="A892" s="51" t="s">
        <v>5123</v>
      </c>
      <c r="B892" s="51" t="s">
        <v>5124</v>
      </c>
      <c r="C892" s="54" t="s">
        <v>2694</v>
      </c>
      <c r="D892" s="51" t="s">
        <v>5125</v>
      </c>
      <c r="E892" s="20">
        <v>4536.5200000000004</v>
      </c>
      <c r="F892" s="20">
        <v>4265.74</v>
      </c>
      <c r="G892" s="20">
        <v>14872.77</v>
      </c>
      <c r="H892" s="20">
        <v>3870.86</v>
      </c>
      <c r="I892" s="20">
        <v>4156.17</v>
      </c>
      <c r="J892" s="51" t="s">
        <v>6727</v>
      </c>
      <c r="K892" s="15">
        <v>9</v>
      </c>
      <c r="L892" s="51" t="s">
        <v>2369</v>
      </c>
      <c r="M892" s="51" t="s">
        <v>67</v>
      </c>
      <c r="N892" s="51" t="s">
        <v>67</v>
      </c>
      <c r="O892" s="51" t="s">
        <v>5126</v>
      </c>
      <c r="P892" s="51" t="s">
        <v>1340</v>
      </c>
      <c r="Q892" s="45">
        <v>46281.561590046294</v>
      </c>
      <c r="R892" s="46">
        <v>46312</v>
      </c>
      <c r="S892" s="46">
        <v>46307</v>
      </c>
      <c r="T892" s="51" t="s">
        <v>6119</v>
      </c>
      <c r="U892" s="15">
        <v>848.05</v>
      </c>
      <c r="V892" s="15">
        <v>3921.84</v>
      </c>
      <c r="W892" s="15">
        <v>36.08</v>
      </c>
      <c r="X892" s="15">
        <v>14.9</v>
      </c>
      <c r="Y892" s="15">
        <v>1.662307</v>
      </c>
      <c r="Z892" s="15">
        <v>6</v>
      </c>
      <c r="AA892" s="46">
        <v>46282</v>
      </c>
      <c r="AB892" s="15"/>
      <c r="AC892" s="15"/>
      <c r="AD892" s="15"/>
      <c r="AE892" s="15"/>
      <c r="AF892" s="15"/>
      <c r="AG892" s="15"/>
      <c r="AH892" s="15"/>
      <c r="AI892" s="46"/>
      <c r="AJ892" s="51" t="s">
        <v>6121</v>
      </c>
      <c r="AK892" s="51" t="s">
        <v>6121</v>
      </c>
      <c r="AL892" s="15">
        <v>848.05</v>
      </c>
      <c r="AM892" s="51" t="s">
        <v>67</v>
      </c>
      <c r="AN892" s="51" t="s">
        <v>67</v>
      </c>
      <c r="AO892" s="50" t="s">
        <v>9554</v>
      </c>
    </row>
    <row r="893" spans="1:41" hidden="1" x14ac:dyDescent="0.25">
      <c r="A893" s="51" t="s">
        <v>5127</v>
      </c>
      <c r="B893" s="51" t="s">
        <v>5128</v>
      </c>
      <c r="C893" s="54" t="s">
        <v>5597</v>
      </c>
      <c r="D893" s="51" t="s">
        <v>5129</v>
      </c>
      <c r="E893" s="20">
        <v>6555.59</v>
      </c>
      <c r="F893" s="20">
        <v>5208.6400000000003</v>
      </c>
      <c r="G893" s="20">
        <v>10916.83</v>
      </c>
      <c r="H893" s="20">
        <v>5484.28</v>
      </c>
      <c r="I893" s="20">
        <v>5208.6400000000003</v>
      </c>
      <c r="J893" s="51" t="s">
        <v>6726</v>
      </c>
      <c r="K893" s="15">
        <v>0</v>
      </c>
      <c r="L893" s="51" t="s">
        <v>2371</v>
      </c>
      <c r="M893" s="51" t="s">
        <v>67</v>
      </c>
      <c r="N893" s="51" t="s">
        <v>67</v>
      </c>
      <c r="O893" s="51" t="s">
        <v>5130</v>
      </c>
      <c r="P893" s="51" t="s">
        <v>1340</v>
      </c>
      <c r="Q893" s="45">
        <v>46281.56159222222</v>
      </c>
      <c r="R893" s="46">
        <v>46321</v>
      </c>
      <c r="S893" s="46">
        <v>46316</v>
      </c>
      <c r="T893" s="51" t="s">
        <v>6119</v>
      </c>
      <c r="U893" s="15">
        <v>849.8</v>
      </c>
      <c r="V893" s="15">
        <v>3922.15</v>
      </c>
      <c r="W893" s="15">
        <v>36.39</v>
      </c>
      <c r="X893" s="15">
        <v>14.9</v>
      </c>
      <c r="Y893" s="15">
        <v>1.6620440000000001</v>
      </c>
      <c r="Z893" s="15">
        <v>6</v>
      </c>
      <c r="AA893" s="46">
        <v>46260</v>
      </c>
      <c r="AB893" s="15"/>
      <c r="AC893" s="15"/>
      <c r="AD893" s="15"/>
      <c r="AE893" s="15"/>
      <c r="AF893" s="15"/>
      <c r="AG893" s="15"/>
      <c r="AH893" s="15"/>
      <c r="AI893" s="46"/>
      <c r="AJ893" s="51" t="s">
        <v>67</v>
      </c>
      <c r="AK893" s="51" t="s">
        <v>6121</v>
      </c>
      <c r="AL893" s="15">
        <v>849.8</v>
      </c>
      <c r="AM893" s="51" t="s">
        <v>67</v>
      </c>
      <c r="AN893" s="51" t="s">
        <v>67</v>
      </c>
      <c r="AO893" s="50" t="s">
        <v>9554</v>
      </c>
    </row>
    <row r="894" spans="1:41" hidden="1" x14ac:dyDescent="0.25">
      <c r="A894" s="51" t="s">
        <v>5131</v>
      </c>
      <c r="B894" s="51" t="s">
        <v>5132</v>
      </c>
      <c r="C894" s="54" t="s">
        <v>5608</v>
      </c>
      <c r="D894" s="51" t="s">
        <v>3168</v>
      </c>
      <c r="E894" s="20">
        <v>4384.7700000000004</v>
      </c>
      <c r="F894" s="20">
        <v>92.13</v>
      </c>
      <c r="G894" s="20">
        <v>19778.349999999999</v>
      </c>
      <c r="H894" s="20">
        <v>5937.46</v>
      </c>
      <c r="I894" s="20">
        <v>92.13</v>
      </c>
      <c r="J894" s="51" t="s">
        <v>6724</v>
      </c>
      <c r="K894" s="15">
        <v>0</v>
      </c>
      <c r="L894" s="51" t="s">
        <v>2371</v>
      </c>
      <c r="M894" s="51" t="s">
        <v>67</v>
      </c>
      <c r="N894" s="51" t="s">
        <v>67</v>
      </c>
      <c r="O894" s="51" t="s">
        <v>5133</v>
      </c>
      <c r="P894" s="51" t="s">
        <v>1340</v>
      </c>
      <c r="Q894" s="45">
        <v>46281.561594444443</v>
      </c>
      <c r="R894" s="46">
        <v>46319</v>
      </c>
      <c r="S894" s="46">
        <v>46314</v>
      </c>
      <c r="T894" s="51" t="s">
        <v>6119</v>
      </c>
      <c r="U894" s="15">
        <v>849.8</v>
      </c>
      <c r="V894" s="15">
        <v>3922.15</v>
      </c>
      <c r="W894" s="15">
        <v>36.39</v>
      </c>
      <c r="X894" s="15">
        <v>14.9</v>
      </c>
      <c r="Y894" s="15">
        <v>1.6620440000000001</v>
      </c>
      <c r="Z894" s="15">
        <v>6</v>
      </c>
      <c r="AA894" s="46">
        <v>46258</v>
      </c>
      <c r="AB894" s="15"/>
      <c r="AC894" s="15"/>
      <c r="AD894" s="15"/>
      <c r="AE894" s="15"/>
      <c r="AF894" s="15"/>
      <c r="AG894" s="15"/>
      <c r="AH894" s="15"/>
      <c r="AI894" s="46"/>
      <c r="AJ894" s="51" t="s">
        <v>67</v>
      </c>
      <c r="AK894" s="51" t="s">
        <v>6121</v>
      </c>
      <c r="AL894" s="15">
        <v>849.8</v>
      </c>
      <c r="AM894" s="51" t="s">
        <v>6705</v>
      </c>
      <c r="AN894" s="51" t="s">
        <v>6716</v>
      </c>
      <c r="AO894" s="50" t="s">
        <v>9554</v>
      </c>
    </row>
    <row r="895" spans="1:41" hidden="1" x14ac:dyDescent="0.25">
      <c r="A895" s="51" t="s">
        <v>5134</v>
      </c>
      <c r="B895" s="51" t="s">
        <v>5135</v>
      </c>
      <c r="C895" s="54" t="s">
        <v>5608</v>
      </c>
      <c r="D895" s="51" t="s">
        <v>5136</v>
      </c>
      <c r="E895" s="20">
        <v>7489.58</v>
      </c>
      <c r="F895" s="20">
        <v>92.13</v>
      </c>
      <c r="G895" s="20">
        <v>6318.57</v>
      </c>
      <c r="H895" s="20">
        <v>7295.41</v>
      </c>
      <c r="I895" s="20">
        <v>92.13</v>
      </c>
      <c r="J895" s="51" t="s">
        <v>6724</v>
      </c>
      <c r="K895" s="15">
        <v>0</v>
      </c>
      <c r="L895" s="51" t="s">
        <v>2371</v>
      </c>
      <c r="M895" s="51" t="s">
        <v>5137</v>
      </c>
      <c r="N895" s="51" t="s">
        <v>1340</v>
      </c>
      <c r="O895" s="51" t="s">
        <v>67</v>
      </c>
      <c r="P895" s="51" t="s">
        <v>67</v>
      </c>
      <c r="Q895" s="45">
        <v>46281.561596689811</v>
      </c>
      <c r="R895" s="46">
        <v>46319</v>
      </c>
      <c r="S895" s="46">
        <v>46314</v>
      </c>
      <c r="T895" s="51" t="s">
        <v>6119</v>
      </c>
      <c r="U895" s="15">
        <v>849.8</v>
      </c>
      <c r="V895" s="15">
        <v>3922.15</v>
      </c>
      <c r="W895" s="15">
        <v>36.39</v>
      </c>
      <c r="X895" s="15">
        <v>14.9</v>
      </c>
      <c r="Y895" s="15">
        <v>1.6620440000000001</v>
      </c>
      <c r="Z895" s="15">
        <v>6</v>
      </c>
      <c r="AA895" s="46">
        <v>46258</v>
      </c>
      <c r="AB895" s="15"/>
      <c r="AC895" s="15"/>
      <c r="AD895" s="15"/>
      <c r="AE895" s="15"/>
      <c r="AF895" s="15"/>
      <c r="AG895" s="15"/>
      <c r="AH895" s="15"/>
      <c r="AI895" s="46"/>
      <c r="AJ895" s="51" t="s">
        <v>67</v>
      </c>
      <c r="AK895" s="51" t="s">
        <v>6121</v>
      </c>
      <c r="AL895" s="15">
        <v>849.8</v>
      </c>
      <c r="AM895" s="51" t="s">
        <v>6705</v>
      </c>
      <c r="AN895" s="51" t="s">
        <v>6717</v>
      </c>
      <c r="AO895" s="50" t="s">
        <v>9554</v>
      </c>
    </row>
    <row r="896" spans="1:41" hidden="1" x14ac:dyDescent="0.25">
      <c r="A896" s="51" t="s">
        <v>5138</v>
      </c>
      <c r="B896" s="51" t="s">
        <v>5139</v>
      </c>
      <c r="C896" s="54" t="s">
        <v>5599</v>
      </c>
      <c r="D896" s="51" t="s">
        <v>5140</v>
      </c>
      <c r="E896" s="20">
        <v>12466.67</v>
      </c>
      <c r="F896" s="20">
        <v>2496.92</v>
      </c>
      <c r="G896" s="20">
        <v>8833.82</v>
      </c>
      <c r="H896" s="20">
        <v>3870.86</v>
      </c>
      <c r="I896" s="20">
        <v>2496.92</v>
      </c>
      <c r="J896" s="51" t="s">
        <v>6726</v>
      </c>
      <c r="K896" s="15">
        <v>0</v>
      </c>
      <c r="L896" s="51" t="s">
        <v>2371</v>
      </c>
      <c r="M896" s="51" t="s">
        <v>67</v>
      </c>
      <c r="N896" s="51" t="s">
        <v>67</v>
      </c>
      <c r="O896" s="51" t="s">
        <v>5141</v>
      </c>
      <c r="P896" s="51" t="s">
        <v>1340</v>
      </c>
      <c r="Q896" s="45">
        <v>46281.561598865737</v>
      </c>
      <c r="R896" s="46">
        <v>46302</v>
      </c>
      <c r="S896" s="46">
        <v>46297</v>
      </c>
      <c r="T896" s="51" t="s">
        <v>6119</v>
      </c>
      <c r="U896" s="15">
        <v>848.05</v>
      </c>
      <c r="V896" s="15">
        <v>3921.84</v>
      </c>
      <c r="W896" s="15">
        <v>36.08</v>
      </c>
      <c r="X896" s="15">
        <v>14.9</v>
      </c>
      <c r="Y896" s="15">
        <v>1.662307</v>
      </c>
      <c r="Z896" s="15">
        <v>6</v>
      </c>
      <c r="AA896" s="46">
        <v>46272</v>
      </c>
      <c r="AB896" s="15"/>
      <c r="AC896" s="15"/>
      <c r="AD896" s="15"/>
      <c r="AE896" s="15"/>
      <c r="AF896" s="15"/>
      <c r="AG896" s="15"/>
      <c r="AH896" s="15"/>
      <c r="AI896" s="46"/>
      <c r="AJ896" s="51" t="s">
        <v>67</v>
      </c>
      <c r="AK896" s="51" t="s">
        <v>6121</v>
      </c>
      <c r="AL896" s="15">
        <v>848.05</v>
      </c>
      <c r="AM896" s="51" t="s">
        <v>67</v>
      </c>
      <c r="AN896" s="51" t="s">
        <v>67</v>
      </c>
      <c r="AO896" s="50" t="s">
        <v>9554</v>
      </c>
    </row>
    <row r="897" spans="1:41" hidden="1" x14ac:dyDescent="0.25">
      <c r="A897" s="51" t="s">
        <v>5142</v>
      </c>
      <c r="B897" s="51" t="s">
        <v>5143</v>
      </c>
      <c r="C897" s="54" t="s">
        <v>2694</v>
      </c>
      <c r="D897" s="51" t="s">
        <v>5144</v>
      </c>
      <c r="E897" s="20">
        <v>4375.71</v>
      </c>
      <c r="F897" s="20">
        <v>4809.13</v>
      </c>
      <c r="G897" s="20">
        <v>1351.62</v>
      </c>
      <c r="H897" s="20">
        <v>3870.86</v>
      </c>
      <c r="I897" s="20">
        <v>4156.1899999999996</v>
      </c>
      <c r="J897" s="51" t="s">
        <v>6727</v>
      </c>
      <c r="K897" s="15">
        <v>9</v>
      </c>
      <c r="L897" s="51" t="s">
        <v>2369</v>
      </c>
      <c r="M897" s="51" t="s">
        <v>5145</v>
      </c>
      <c r="N897" s="51" t="s">
        <v>1340</v>
      </c>
      <c r="O897" s="51" t="s">
        <v>67</v>
      </c>
      <c r="P897" s="51" t="s">
        <v>67</v>
      </c>
      <c r="Q897" s="45">
        <v>46281.561600960646</v>
      </c>
      <c r="R897" s="46">
        <v>46312</v>
      </c>
      <c r="S897" s="46">
        <v>46307</v>
      </c>
      <c r="T897" s="51" t="s">
        <v>6119</v>
      </c>
      <c r="U897" s="15">
        <v>848.05</v>
      </c>
      <c r="V897" s="15">
        <v>3921.84</v>
      </c>
      <c r="W897" s="15">
        <v>36.08</v>
      </c>
      <c r="X897" s="15">
        <v>14.9</v>
      </c>
      <c r="Y897" s="15">
        <v>1.662307</v>
      </c>
      <c r="Z897" s="15">
        <v>6</v>
      </c>
      <c r="AA897" s="46">
        <v>46282</v>
      </c>
      <c r="AB897" s="15"/>
      <c r="AC897" s="15"/>
      <c r="AD897" s="15"/>
      <c r="AE897" s="15"/>
      <c r="AF897" s="15"/>
      <c r="AG897" s="15"/>
      <c r="AH897" s="15"/>
      <c r="AI897" s="46"/>
      <c r="AJ897" s="51" t="s">
        <v>6121</v>
      </c>
      <c r="AK897" s="51" t="s">
        <v>6121</v>
      </c>
      <c r="AL897" s="15">
        <v>848.05</v>
      </c>
      <c r="AM897" s="51" t="s">
        <v>67</v>
      </c>
      <c r="AN897" s="51" t="s">
        <v>67</v>
      </c>
      <c r="AO897" s="50" t="s">
        <v>9554</v>
      </c>
    </row>
    <row r="898" spans="1:41" hidden="1" x14ac:dyDescent="0.25">
      <c r="A898" s="51" t="s">
        <v>5146</v>
      </c>
      <c r="B898" s="51" t="s">
        <v>5147</v>
      </c>
      <c r="C898" s="54" t="s">
        <v>5606</v>
      </c>
      <c r="D898" s="51" t="s">
        <v>5148</v>
      </c>
      <c r="E898" s="20">
        <v>8059.12</v>
      </c>
      <c r="F898" s="20">
        <v>4926.33</v>
      </c>
      <c r="G898" s="20">
        <v>13691</v>
      </c>
      <c r="H898" s="20">
        <v>3870.86</v>
      </c>
      <c r="I898" s="20">
        <v>4926.33</v>
      </c>
      <c r="J898" s="51" t="s">
        <v>6727</v>
      </c>
      <c r="K898" s="15">
        <v>24</v>
      </c>
      <c r="L898" s="51" t="s">
        <v>2369</v>
      </c>
      <c r="M898" s="51" t="s">
        <v>5149</v>
      </c>
      <c r="N898" s="51" t="s">
        <v>1344</v>
      </c>
      <c r="O898" s="51" t="s">
        <v>67</v>
      </c>
      <c r="P898" s="51" t="s">
        <v>67</v>
      </c>
      <c r="Q898" s="45">
        <v>46281.561603055554</v>
      </c>
      <c r="R898" s="46">
        <v>46297</v>
      </c>
      <c r="S898" s="46">
        <v>46292</v>
      </c>
      <c r="T898" s="51" t="s">
        <v>6119</v>
      </c>
      <c r="U898" s="15">
        <v>848.05</v>
      </c>
      <c r="V898" s="15">
        <v>3921.84</v>
      </c>
      <c r="W898" s="15">
        <v>36.08</v>
      </c>
      <c r="X898" s="15">
        <v>14.9</v>
      </c>
      <c r="Y898" s="15">
        <v>1.662307</v>
      </c>
      <c r="Z898" s="15">
        <v>6</v>
      </c>
      <c r="AA898" s="46">
        <v>46267</v>
      </c>
      <c r="AB898" s="15"/>
      <c r="AC898" s="15"/>
      <c r="AD898" s="15"/>
      <c r="AE898" s="15"/>
      <c r="AF898" s="15"/>
      <c r="AG898" s="15"/>
      <c r="AH898" s="15"/>
      <c r="AI898" s="46"/>
      <c r="AJ898" s="51" t="s">
        <v>6121</v>
      </c>
      <c r="AK898" s="51" t="s">
        <v>6121</v>
      </c>
      <c r="AL898" s="15">
        <v>848.05</v>
      </c>
      <c r="AM898" s="51" t="s">
        <v>67</v>
      </c>
      <c r="AN898" s="51" t="s">
        <v>67</v>
      </c>
      <c r="AO898" s="50" t="s">
        <v>9554</v>
      </c>
    </row>
    <row r="899" spans="1:41" hidden="1" x14ac:dyDescent="0.25">
      <c r="A899" s="51" t="s">
        <v>5150</v>
      </c>
      <c r="B899" s="51" t="s">
        <v>5151</v>
      </c>
      <c r="C899" s="54" t="s">
        <v>5605</v>
      </c>
      <c r="D899" s="51" t="s">
        <v>5152</v>
      </c>
      <c r="E899" s="20">
        <v>11690.96</v>
      </c>
      <c r="F899" s="20">
        <v>870.16</v>
      </c>
      <c r="G899" s="20">
        <v>20689.63</v>
      </c>
      <c r="H899" s="20">
        <v>870.16</v>
      </c>
      <c r="I899" s="20">
        <v>870.16</v>
      </c>
      <c r="J899" s="51" t="s">
        <v>6727</v>
      </c>
      <c r="K899" s="15">
        <v>0</v>
      </c>
      <c r="L899" s="51" t="s">
        <v>2371</v>
      </c>
      <c r="M899" s="51" t="s">
        <v>5153</v>
      </c>
      <c r="N899" s="51" t="s">
        <v>1340</v>
      </c>
      <c r="O899" s="51" t="s">
        <v>67</v>
      </c>
      <c r="P899" s="51" t="s">
        <v>67</v>
      </c>
      <c r="Q899" s="45">
        <v>46281.561605381947</v>
      </c>
      <c r="R899" s="46">
        <v>46323</v>
      </c>
      <c r="S899" s="46">
        <v>46318</v>
      </c>
      <c r="T899" s="51" t="s">
        <v>6119</v>
      </c>
      <c r="U899" s="15"/>
      <c r="V899" s="15"/>
      <c r="W899" s="15"/>
      <c r="X899" s="15"/>
      <c r="Y899" s="15"/>
      <c r="Z899" s="15"/>
      <c r="AA899" s="46"/>
      <c r="AB899" s="15"/>
      <c r="AC899" s="15"/>
      <c r="AD899" s="15"/>
      <c r="AE899" s="15"/>
      <c r="AF899" s="15"/>
      <c r="AG899" s="15"/>
      <c r="AH899" s="15"/>
      <c r="AI899" s="46"/>
      <c r="AJ899" s="51" t="s">
        <v>67</v>
      </c>
      <c r="AK899" s="51" t="s">
        <v>67</v>
      </c>
      <c r="AL899" s="15"/>
      <c r="AM899" s="51" t="s">
        <v>67</v>
      </c>
      <c r="AN899" s="51" t="s">
        <v>67</v>
      </c>
      <c r="AO899" s="50" t="s">
        <v>9554</v>
      </c>
    </row>
    <row r="900" spans="1:41" hidden="1" x14ac:dyDescent="0.25">
      <c r="A900" s="51" t="s">
        <v>5154</v>
      </c>
      <c r="B900" s="51" t="s">
        <v>5155</v>
      </c>
      <c r="C900" s="54" t="s">
        <v>611</v>
      </c>
      <c r="D900" s="51" t="s">
        <v>5156</v>
      </c>
      <c r="E900" s="20">
        <v>14333.05</v>
      </c>
      <c r="F900" s="20">
        <v>912.94</v>
      </c>
      <c r="G900" s="20">
        <v>19811.740000000002</v>
      </c>
      <c r="H900" s="20">
        <v>886.91</v>
      </c>
      <c r="I900" s="20">
        <v>912.94</v>
      </c>
      <c r="J900" s="51" t="s">
        <v>6727</v>
      </c>
      <c r="K900" s="15">
        <v>1</v>
      </c>
      <c r="L900" s="51" t="s">
        <v>2369</v>
      </c>
      <c r="M900" s="51" t="s">
        <v>67</v>
      </c>
      <c r="N900" s="51" t="s">
        <v>67</v>
      </c>
      <c r="O900" s="51" t="s">
        <v>5157</v>
      </c>
      <c r="P900" s="51" t="s">
        <v>1340</v>
      </c>
      <c r="Q900" s="45">
        <v>46281.561607164353</v>
      </c>
      <c r="R900" s="46">
        <v>46320</v>
      </c>
      <c r="S900" s="46">
        <v>46315</v>
      </c>
      <c r="T900" s="51" t="s">
        <v>6119</v>
      </c>
      <c r="U900" s="15"/>
      <c r="V900" s="15"/>
      <c r="W900" s="15"/>
      <c r="X900" s="15"/>
      <c r="Y900" s="15"/>
      <c r="Z900" s="15"/>
      <c r="AA900" s="46"/>
      <c r="AB900" s="15"/>
      <c r="AC900" s="15"/>
      <c r="AD900" s="15"/>
      <c r="AE900" s="15"/>
      <c r="AF900" s="15"/>
      <c r="AG900" s="15"/>
      <c r="AH900" s="15"/>
      <c r="AI900" s="46"/>
      <c r="AJ900" s="51" t="s">
        <v>67</v>
      </c>
      <c r="AK900" s="51" t="s">
        <v>67</v>
      </c>
      <c r="AL900" s="15"/>
      <c r="AM900" s="51" t="s">
        <v>67</v>
      </c>
      <c r="AN900" s="51" t="s">
        <v>67</v>
      </c>
      <c r="AO900" s="50" t="s">
        <v>9554</v>
      </c>
    </row>
    <row r="901" spans="1:41" hidden="1" x14ac:dyDescent="0.25">
      <c r="A901" s="51" t="s">
        <v>5158</v>
      </c>
      <c r="B901" s="51" t="s">
        <v>5159</v>
      </c>
      <c r="C901" s="54" t="s">
        <v>5606</v>
      </c>
      <c r="D901" s="51" t="s">
        <v>5160</v>
      </c>
      <c r="E901" s="20">
        <v>1183.1099999999999</v>
      </c>
      <c r="F901" s="20">
        <v>436.76</v>
      </c>
      <c r="G901" s="20">
        <v>6291.52</v>
      </c>
      <c r="H901" s="20">
        <v>0</v>
      </c>
      <c r="I901" s="20">
        <v>436.76</v>
      </c>
      <c r="J901" s="51" t="s">
        <v>2654</v>
      </c>
      <c r="K901" s="15">
        <v>0</v>
      </c>
      <c r="L901" s="51" t="s">
        <v>2371</v>
      </c>
      <c r="M901" s="51" t="s">
        <v>5161</v>
      </c>
      <c r="N901" s="51" t="s">
        <v>1340</v>
      </c>
      <c r="O901" s="51" t="s">
        <v>67</v>
      </c>
      <c r="P901" s="51" t="s">
        <v>67</v>
      </c>
      <c r="Q901" s="45">
        <v>46281.561608854165</v>
      </c>
      <c r="R901" s="46">
        <v>46297</v>
      </c>
      <c r="S901" s="46">
        <v>46292</v>
      </c>
      <c r="T901" s="51" t="s">
        <v>6119</v>
      </c>
      <c r="U901" s="15"/>
      <c r="V901" s="15"/>
      <c r="W901" s="15"/>
      <c r="X901" s="15"/>
      <c r="Y901" s="15"/>
      <c r="Z901" s="15"/>
      <c r="AA901" s="46"/>
      <c r="AB901" s="15"/>
      <c r="AC901" s="15"/>
      <c r="AD901" s="15"/>
      <c r="AE901" s="15"/>
      <c r="AF901" s="15"/>
      <c r="AG901" s="15"/>
      <c r="AH901" s="15"/>
      <c r="AI901" s="46"/>
      <c r="AJ901" s="51" t="s">
        <v>67</v>
      </c>
      <c r="AK901" s="51" t="s">
        <v>67</v>
      </c>
      <c r="AL901" s="15"/>
      <c r="AM901" s="51" t="s">
        <v>67</v>
      </c>
      <c r="AN901" s="51" t="s">
        <v>67</v>
      </c>
      <c r="AO901" s="50" t="s">
        <v>9554</v>
      </c>
    </row>
    <row r="902" spans="1:41" hidden="1" x14ac:dyDescent="0.25">
      <c r="A902" s="51" t="s">
        <v>5162</v>
      </c>
      <c r="B902" s="51" t="s">
        <v>5163</v>
      </c>
      <c r="C902" s="54" t="s">
        <v>2692</v>
      </c>
      <c r="D902" s="51" t="s">
        <v>5164</v>
      </c>
      <c r="E902" s="20">
        <v>12583.6</v>
      </c>
      <c r="F902" s="20">
        <v>742.12</v>
      </c>
      <c r="G902" s="20">
        <v>3010.33</v>
      </c>
      <c r="H902" s="20">
        <v>0</v>
      </c>
      <c r="I902" s="20">
        <v>742.12</v>
      </c>
      <c r="J902" s="51" t="s">
        <v>2654</v>
      </c>
      <c r="K902" s="15">
        <v>0</v>
      </c>
      <c r="L902" s="51" t="s">
        <v>2371</v>
      </c>
      <c r="M902" s="51" t="s">
        <v>5165</v>
      </c>
      <c r="N902" s="51" t="s">
        <v>1344</v>
      </c>
      <c r="O902" s="51" t="s">
        <v>67</v>
      </c>
      <c r="P902" s="51" t="s">
        <v>67</v>
      </c>
      <c r="Q902" s="45">
        <v>46281.608457604169</v>
      </c>
      <c r="R902" s="46">
        <v>46296</v>
      </c>
      <c r="S902" s="46">
        <v>46291</v>
      </c>
      <c r="T902" s="51" t="s">
        <v>6119</v>
      </c>
      <c r="U902" s="15"/>
      <c r="V902" s="15"/>
      <c r="W902" s="15"/>
      <c r="X902" s="15"/>
      <c r="Y902" s="15"/>
      <c r="Z902" s="15"/>
      <c r="AA902" s="46"/>
      <c r="AB902" s="15"/>
      <c r="AC902" s="15"/>
      <c r="AD902" s="15"/>
      <c r="AE902" s="15"/>
      <c r="AF902" s="15"/>
      <c r="AG902" s="15"/>
      <c r="AH902" s="15"/>
      <c r="AI902" s="46"/>
      <c r="AJ902" s="51" t="s">
        <v>67</v>
      </c>
      <c r="AK902" s="51" t="s">
        <v>67</v>
      </c>
      <c r="AL902" s="15"/>
      <c r="AM902" s="51" t="s">
        <v>67</v>
      </c>
      <c r="AN902" s="51" t="s">
        <v>67</v>
      </c>
      <c r="AO902" s="50" t="s">
        <v>9554</v>
      </c>
    </row>
    <row r="903" spans="1:41" hidden="1" x14ac:dyDescent="0.25">
      <c r="A903" s="51" t="s">
        <v>5166</v>
      </c>
      <c r="B903" s="51" t="s">
        <v>5167</v>
      </c>
      <c r="C903" s="54" t="s">
        <v>5600</v>
      </c>
      <c r="D903" s="51" t="s">
        <v>5168</v>
      </c>
      <c r="E903" s="20">
        <v>3328.04</v>
      </c>
      <c r="F903" s="20">
        <v>5091.75</v>
      </c>
      <c r="G903" s="20">
        <v>10501.6</v>
      </c>
      <c r="H903" s="20">
        <v>3870.86</v>
      </c>
      <c r="I903" s="20">
        <v>5091.75</v>
      </c>
      <c r="J903" s="51" t="s">
        <v>6727</v>
      </c>
      <c r="K903" s="15">
        <v>17</v>
      </c>
      <c r="L903" s="51" t="s">
        <v>2369</v>
      </c>
      <c r="M903" s="51" t="s">
        <v>67</v>
      </c>
      <c r="N903" s="51" t="s">
        <v>67</v>
      </c>
      <c r="O903" s="51" t="s">
        <v>5169</v>
      </c>
      <c r="P903" s="51" t="s">
        <v>1340</v>
      </c>
      <c r="Q903" s="45">
        <v>46281.608459965275</v>
      </c>
      <c r="R903" s="46">
        <v>46304</v>
      </c>
      <c r="S903" s="46">
        <v>46299</v>
      </c>
      <c r="T903" s="51" t="s">
        <v>6119</v>
      </c>
      <c r="U903" s="15">
        <v>848.05</v>
      </c>
      <c r="V903" s="15">
        <v>3921.84</v>
      </c>
      <c r="W903" s="15">
        <v>36.08</v>
      </c>
      <c r="X903" s="15">
        <v>14.9</v>
      </c>
      <c r="Y903" s="15">
        <v>1.662307</v>
      </c>
      <c r="Z903" s="15">
        <v>6</v>
      </c>
      <c r="AA903" s="46">
        <v>46274</v>
      </c>
      <c r="AB903" s="15"/>
      <c r="AC903" s="15"/>
      <c r="AD903" s="15"/>
      <c r="AE903" s="15"/>
      <c r="AF903" s="15"/>
      <c r="AG903" s="15"/>
      <c r="AH903" s="15"/>
      <c r="AI903" s="46"/>
      <c r="AJ903" s="51" t="s">
        <v>6121</v>
      </c>
      <c r="AK903" s="51" t="s">
        <v>6121</v>
      </c>
      <c r="AL903" s="15">
        <v>848.05</v>
      </c>
      <c r="AM903" s="51" t="s">
        <v>67</v>
      </c>
      <c r="AN903" s="51" t="s">
        <v>67</v>
      </c>
      <c r="AO903" s="50" t="s">
        <v>9554</v>
      </c>
    </row>
    <row r="904" spans="1:41" hidden="1" x14ac:dyDescent="0.25">
      <c r="A904" s="51" t="s">
        <v>5170</v>
      </c>
      <c r="B904" s="51" t="s">
        <v>5171</v>
      </c>
      <c r="C904" s="54" t="s">
        <v>2690</v>
      </c>
      <c r="D904" s="51" t="s">
        <v>5172</v>
      </c>
      <c r="E904" s="20">
        <v>5764.88</v>
      </c>
      <c r="F904" s="20">
        <v>4258.2700000000004</v>
      </c>
      <c r="G904" s="20">
        <v>15488.46</v>
      </c>
      <c r="H904" s="20">
        <v>4553.2299999999996</v>
      </c>
      <c r="I904" s="20">
        <v>4258.2700000000004</v>
      </c>
      <c r="J904" s="51" t="s">
        <v>6726</v>
      </c>
      <c r="K904" s="15">
        <v>0</v>
      </c>
      <c r="L904" s="51" t="s">
        <v>2371</v>
      </c>
      <c r="M904" s="51" t="s">
        <v>5173</v>
      </c>
      <c r="N904" s="51" t="s">
        <v>1340</v>
      </c>
      <c r="O904" s="51" t="s">
        <v>67</v>
      </c>
      <c r="P904" s="51" t="s">
        <v>67</v>
      </c>
      <c r="Q904" s="45">
        <v>46281.608462662036</v>
      </c>
      <c r="R904" s="46">
        <v>46322</v>
      </c>
      <c r="S904" s="46">
        <v>46317</v>
      </c>
      <c r="T904" s="51" t="s">
        <v>6119</v>
      </c>
      <c r="U904" s="15">
        <v>849.8</v>
      </c>
      <c r="V904" s="15">
        <v>3922.15</v>
      </c>
      <c r="W904" s="15">
        <v>36.39</v>
      </c>
      <c r="X904" s="15">
        <v>14.9</v>
      </c>
      <c r="Y904" s="15">
        <v>1.6620440000000001</v>
      </c>
      <c r="Z904" s="15">
        <v>6</v>
      </c>
      <c r="AA904" s="46">
        <v>46261</v>
      </c>
      <c r="AB904" s="15"/>
      <c r="AC904" s="15"/>
      <c r="AD904" s="15"/>
      <c r="AE904" s="15"/>
      <c r="AF904" s="15"/>
      <c r="AG904" s="15"/>
      <c r="AH904" s="15"/>
      <c r="AI904" s="46"/>
      <c r="AJ904" s="51" t="s">
        <v>67</v>
      </c>
      <c r="AK904" s="51" t="s">
        <v>6121</v>
      </c>
      <c r="AL904" s="15">
        <v>849.8</v>
      </c>
      <c r="AM904" s="51" t="s">
        <v>67</v>
      </c>
      <c r="AN904" s="51" t="s">
        <v>67</v>
      </c>
      <c r="AO904" s="50" t="s">
        <v>9554</v>
      </c>
    </row>
    <row r="905" spans="1:41" hidden="1" x14ac:dyDescent="0.25">
      <c r="A905" s="51" t="s">
        <v>5174</v>
      </c>
      <c r="B905" s="51" t="s">
        <v>5175</v>
      </c>
      <c r="C905" s="54" t="s">
        <v>5605</v>
      </c>
      <c r="D905" s="51" t="s">
        <v>5176</v>
      </c>
      <c r="E905" s="20">
        <v>4566.74</v>
      </c>
      <c r="F905" s="20">
        <v>4933.42</v>
      </c>
      <c r="G905" s="20">
        <v>3763.27</v>
      </c>
      <c r="H905" s="20">
        <v>4218.83</v>
      </c>
      <c r="I905" s="20">
        <v>4933.41</v>
      </c>
      <c r="J905" s="51" t="s">
        <v>6727</v>
      </c>
      <c r="K905" s="15">
        <v>29</v>
      </c>
      <c r="L905" s="51" t="s">
        <v>2369</v>
      </c>
      <c r="M905" s="51" t="s">
        <v>67</v>
      </c>
      <c r="N905" s="51" t="s">
        <v>67</v>
      </c>
      <c r="O905" s="51" t="s">
        <v>5177</v>
      </c>
      <c r="P905" s="51" t="s">
        <v>1344</v>
      </c>
      <c r="Q905" s="45">
        <v>46281.608465173609</v>
      </c>
      <c r="R905" s="46">
        <v>46323</v>
      </c>
      <c r="S905" s="46">
        <v>46318</v>
      </c>
      <c r="T905" s="51" t="s">
        <v>6119</v>
      </c>
      <c r="U905" s="15">
        <v>849.8</v>
      </c>
      <c r="V905" s="15">
        <v>3922.15</v>
      </c>
      <c r="W905" s="15">
        <v>36.39</v>
      </c>
      <c r="X905" s="15">
        <v>14.9</v>
      </c>
      <c r="Y905" s="15">
        <v>1.6620440000000001</v>
      </c>
      <c r="Z905" s="15">
        <v>6</v>
      </c>
      <c r="AA905" s="46">
        <v>46262</v>
      </c>
      <c r="AB905" s="15"/>
      <c r="AC905" s="15"/>
      <c r="AD905" s="15"/>
      <c r="AE905" s="15"/>
      <c r="AF905" s="15"/>
      <c r="AG905" s="15"/>
      <c r="AH905" s="15"/>
      <c r="AI905" s="46"/>
      <c r="AJ905" s="51" t="s">
        <v>6121</v>
      </c>
      <c r="AK905" s="51" t="s">
        <v>6121</v>
      </c>
      <c r="AL905" s="15">
        <v>849.8</v>
      </c>
      <c r="AM905" s="51" t="s">
        <v>67</v>
      </c>
      <c r="AN905" s="51" t="s">
        <v>67</v>
      </c>
      <c r="AO905" s="50" t="s">
        <v>9554</v>
      </c>
    </row>
    <row r="906" spans="1:41" hidden="1" x14ac:dyDescent="0.25">
      <c r="A906" s="51" t="s">
        <v>5178</v>
      </c>
      <c r="B906" s="51" t="s">
        <v>5179</v>
      </c>
      <c r="C906" s="54" t="s">
        <v>611</v>
      </c>
      <c r="D906" s="51" t="s">
        <v>5180</v>
      </c>
      <c r="E906" s="20">
        <v>8309.01</v>
      </c>
      <c r="F906" s="20">
        <v>911.47</v>
      </c>
      <c r="G906" s="20">
        <v>18512.77</v>
      </c>
      <c r="H906" s="20">
        <v>885.5</v>
      </c>
      <c r="I906" s="20">
        <v>911.47</v>
      </c>
      <c r="J906" s="51" t="s">
        <v>6727</v>
      </c>
      <c r="K906" s="15">
        <v>1</v>
      </c>
      <c r="L906" s="51" t="s">
        <v>2369</v>
      </c>
      <c r="M906" s="51" t="s">
        <v>67</v>
      </c>
      <c r="N906" s="51" t="s">
        <v>67</v>
      </c>
      <c r="O906" s="51" t="s">
        <v>5181</v>
      </c>
      <c r="P906" s="51" t="s">
        <v>1340</v>
      </c>
      <c r="Q906" s="45">
        <v>46281.608468020837</v>
      </c>
      <c r="R906" s="46">
        <v>46320</v>
      </c>
      <c r="S906" s="46">
        <v>46315</v>
      </c>
      <c r="T906" s="51" t="s">
        <v>6119</v>
      </c>
      <c r="U906" s="15"/>
      <c r="V906" s="15"/>
      <c r="W906" s="15"/>
      <c r="X906" s="15"/>
      <c r="Y906" s="15"/>
      <c r="Z906" s="15"/>
      <c r="AA906" s="46"/>
      <c r="AB906" s="15"/>
      <c r="AC906" s="15"/>
      <c r="AD906" s="15"/>
      <c r="AE906" s="15"/>
      <c r="AF906" s="15"/>
      <c r="AG906" s="15"/>
      <c r="AH906" s="15"/>
      <c r="AI906" s="46"/>
      <c r="AJ906" s="51" t="s">
        <v>67</v>
      </c>
      <c r="AK906" s="51" t="s">
        <v>67</v>
      </c>
      <c r="AL906" s="15"/>
      <c r="AM906" s="51" t="s">
        <v>67</v>
      </c>
      <c r="AN906" s="51" t="s">
        <v>67</v>
      </c>
      <c r="AO906" s="50" t="s">
        <v>9554</v>
      </c>
    </row>
    <row r="907" spans="1:41" hidden="1" x14ac:dyDescent="0.25">
      <c r="A907" s="51" t="s">
        <v>5182</v>
      </c>
      <c r="B907" s="51" t="s">
        <v>5183</v>
      </c>
      <c r="C907" s="54" t="s">
        <v>5607</v>
      </c>
      <c r="D907" s="51" t="s">
        <v>5184</v>
      </c>
      <c r="E907" s="20">
        <v>15261.14</v>
      </c>
      <c r="F907" s="20">
        <v>816.49</v>
      </c>
      <c r="G907" s="20">
        <v>9266.57</v>
      </c>
      <c r="H907" s="20">
        <v>3870.86</v>
      </c>
      <c r="I907" s="20">
        <v>816.49</v>
      </c>
      <c r="J907" s="51" t="s">
        <v>6724</v>
      </c>
      <c r="K907" s="15">
        <v>0</v>
      </c>
      <c r="L907" s="51" t="s">
        <v>2371</v>
      </c>
      <c r="M907" s="51" t="s">
        <v>5185</v>
      </c>
      <c r="N907" s="51" t="s">
        <v>1340</v>
      </c>
      <c r="O907" s="51" t="s">
        <v>5186</v>
      </c>
      <c r="P907" s="51" t="s">
        <v>1340</v>
      </c>
      <c r="Q907" s="45">
        <v>46281.608470069441</v>
      </c>
      <c r="R907" s="46">
        <v>46299</v>
      </c>
      <c r="S907" s="46">
        <v>46294</v>
      </c>
      <c r="T907" s="51" t="s">
        <v>6119</v>
      </c>
      <c r="U907" s="15">
        <v>848.05</v>
      </c>
      <c r="V907" s="15">
        <v>3921.84</v>
      </c>
      <c r="W907" s="15">
        <v>36.08</v>
      </c>
      <c r="X907" s="15">
        <v>14.9</v>
      </c>
      <c r="Y907" s="15">
        <v>1.662307</v>
      </c>
      <c r="Z907" s="15">
        <v>6</v>
      </c>
      <c r="AA907" s="46">
        <v>46269</v>
      </c>
      <c r="AB907" s="15"/>
      <c r="AC907" s="15"/>
      <c r="AD907" s="15"/>
      <c r="AE907" s="15"/>
      <c r="AF907" s="15"/>
      <c r="AG907" s="15"/>
      <c r="AH907" s="15"/>
      <c r="AI907" s="46"/>
      <c r="AJ907" s="51" t="s">
        <v>67</v>
      </c>
      <c r="AK907" s="51" t="s">
        <v>6121</v>
      </c>
      <c r="AL907" s="15">
        <v>848.05</v>
      </c>
      <c r="AM907" s="51" t="s">
        <v>67</v>
      </c>
      <c r="AN907" s="51" t="s">
        <v>67</v>
      </c>
      <c r="AO907" s="50" t="s">
        <v>9554</v>
      </c>
    </row>
    <row r="908" spans="1:41" hidden="1" x14ac:dyDescent="0.25">
      <c r="A908" s="51" t="s">
        <v>5187</v>
      </c>
      <c r="B908" s="51" t="s">
        <v>5188</v>
      </c>
      <c r="C908" s="54" t="s">
        <v>611</v>
      </c>
      <c r="D908" s="51" t="s">
        <v>5189</v>
      </c>
      <c r="E908" s="20">
        <v>8533.2099999999991</v>
      </c>
      <c r="F908" s="20">
        <v>797.89</v>
      </c>
      <c r="G908" s="20">
        <v>6882.09</v>
      </c>
      <c r="H908" s="20">
        <v>775.14</v>
      </c>
      <c r="I908" s="20">
        <v>797.89</v>
      </c>
      <c r="J908" s="51" t="s">
        <v>6727</v>
      </c>
      <c r="K908" s="15">
        <v>1</v>
      </c>
      <c r="L908" s="51" t="s">
        <v>2369</v>
      </c>
      <c r="M908" s="51" t="s">
        <v>5190</v>
      </c>
      <c r="N908" s="51" t="s">
        <v>1344</v>
      </c>
      <c r="O908" s="51" t="s">
        <v>5191</v>
      </c>
      <c r="P908" s="51" t="s">
        <v>1344</v>
      </c>
      <c r="Q908" s="45">
        <v>46281.608472615742</v>
      </c>
      <c r="R908" s="46">
        <v>46320</v>
      </c>
      <c r="S908" s="46">
        <v>46315</v>
      </c>
      <c r="T908" s="51" t="s">
        <v>6119</v>
      </c>
      <c r="U908" s="15"/>
      <c r="V908" s="15"/>
      <c r="W908" s="15"/>
      <c r="X908" s="15"/>
      <c r="Y908" s="15"/>
      <c r="Z908" s="15"/>
      <c r="AA908" s="46"/>
      <c r="AB908" s="15"/>
      <c r="AC908" s="15"/>
      <c r="AD908" s="15"/>
      <c r="AE908" s="15"/>
      <c r="AF908" s="15"/>
      <c r="AG908" s="15"/>
      <c r="AH908" s="15"/>
      <c r="AI908" s="46"/>
      <c r="AJ908" s="51" t="s">
        <v>67</v>
      </c>
      <c r="AK908" s="51" t="s">
        <v>67</v>
      </c>
      <c r="AL908" s="15"/>
      <c r="AM908" s="51" t="s">
        <v>67</v>
      </c>
      <c r="AN908" s="51" t="s">
        <v>67</v>
      </c>
      <c r="AO908" s="50" t="s">
        <v>9554</v>
      </c>
    </row>
    <row r="909" spans="1:41" hidden="1" x14ac:dyDescent="0.25">
      <c r="A909" s="51" t="s">
        <v>5192</v>
      </c>
      <c r="B909" s="51" t="s">
        <v>5193</v>
      </c>
      <c r="C909" s="54" t="s">
        <v>5608</v>
      </c>
      <c r="D909" s="51" t="s">
        <v>5194</v>
      </c>
      <c r="E909" s="20">
        <v>4435.99</v>
      </c>
      <c r="F909" s="20">
        <v>988.89</v>
      </c>
      <c r="G909" s="20">
        <v>18773.349999999999</v>
      </c>
      <c r="H909" s="20">
        <v>955.55</v>
      </c>
      <c r="I909" s="20">
        <v>988.89</v>
      </c>
      <c r="J909" s="51" t="s">
        <v>6727</v>
      </c>
      <c r="K909" s="15">
        <v>2</v>
      </c>
      <c r="L909" s="51" t="s">
        <v>2369</v>
      </c>
      <c r="M909" s="51" t="s">
        <v>5195</v>
      </c>
      <c r="N909" s="51" t="s">
        <v>1340</v>
      </c>
      <c r="O909" s="51" t="s">
        <v>5196</v>
      </c>
      <c r="P909" s="51" t="s">
        <v>1340</v>
      </c>
      <c r="Q909" s="45">
        <v>46281.608474548608</v>
      </c>
      <c r="R909" s="46">
        <v>46319</v>
      </c>
      <c r="S909" s="46">
        <v>46314</v>
      </c>
      <c r="T909" s="51" t="s">
        <v>6119</v>
      </c>
      <c r="U909" s="15"/>
      <c r="V909" s="15"/>
      <c r="W909" s="15"/>
      <c r="X909" s="15"/>
      <c r="Y909" s="15"/>
      <c r="Z909" s="15"/>
      <c r="AA909" s="46"/>
      <c r="AB909" s="15"/>
      <c r="AC909" s="15"/>
      <c r="AD909" s="15"/>
      <c r="AE909" s="15"/>
      <c r="AF909" s="15"/>
      <c r="AG909" s="15"/>
      <c r="AH909" s="15"/>
      <c r="AI909" s="46"/>
      <c r="AJ909" s="51" t="s">
        <v>67</v>
      </c>
      <c r="AK909" s="51" t="s">
        <v>67</v>
      </c>
      <c r="AL909" s="15"/>
      <c r="AM909" s="51" t="s">
        <v>6705</v>
      </c>
      <c r="AN909" s="51" t="s">
        <v>6716</v>
      </c>
      <c r="AO909" s="50" t="s">
        <v>9554</v>
      </c>
    </row>
    <row r="910" spans="1:41" hidden="1" x14ac:dyDescent="0.25">
      <c r="A910" s="51" t="s">
        <v>5197</v>
      </c>
      <c r="B910" s="51" t="s">
        <v>5198</v>
      </c>
      <c r="C910" s="54" t="s">
        <v>2356</v>
      </c>
      <c r="D910" s="51" t="s">
        <v>5199</v>
      </c>
      <c r="E910" s="20">
        <v>11494.07</v>
      </c>
      <c r="F910" s="20">
        <v>940.82</v>
      </c>
      <c r="G910" s="20">
        <v>12647.52</v>
      </c>
      <c r="H910" s="20">
        <v>0</v>
      </c>
      <c r="I910" s="20">
        <v>940.82</v>
      </c>
      <c r="J910" s="51" t="s">
        <v>2654</v>
      </c>
      <c r="K910" s="15">
        <v>0</v>
      </c>
      <c r="L910" s="51" t="s">
        <v>2371</v>
      </c>
      <c r="M910" s="51" t="s">
        <v>5200</v>
      </c>
      <c r="N910" s="51" t="s">
        <v>1340</v>
      </c>
      <c r="O910" s="51" t="s">
        <v>67</v>
      </c>
      <c r="P910" s="51" t="s">
        <v>67</v>
      </c>
      <c r="Q910" s="45">
        <v>46281.608476504633</v>
      </c>
      <c r="R910" s="46">
        <v>46307</v>
      </c>
      <c r="S910" s="46">
        <v>46302</v>
      </c>
      <c r="T910" s="51" t="s">
        <v>6119</v>
      </c>
      <c r="U910" s="15"/>
      <c r="V910" s="15"/>
      <c r="W910" s="15"/>
      <c r="X910" s="15"/>
      <c r="Y910" s="15"/>
      <c r="Z910" s="15"/>
      <c r="AA910" s="46"/>
      <c r="AB910" s="15"/>
      <c r="AC910" s="15"/>
      <c r="AD910" s="15"/>
      <c r="AE910" s="15"/>
      <c r="AF910" s="15"/>
      <c r="AG910" s="15"/>
      <c r="AH910" s="15"/>
      <c r="AI910" s="46"/>
      <c r="AJ910" s="51" t="s">
        <v>67</v>
      </c>
      <c r="AK910" s="51" t="s">
        <v>67</v>
      </c>
      <c r="AL910" s="15"/>
      <c r="AM910" s="51" t="s">
        <v>67</v>
      </c>
      <c r="AN910" s="51" t="s">
        <v>67</v>
      </c>
      <c r="AO910" s="50" t="s">
        <v>9554</v>
      </c>
    </row>
    <row r="911" spans="1:41" hidden="1" x14ac:dyDescent="0.25">
      <c r="A911" s="51" t="s">
        <v>5201</v>
      </c>
      <c r="B911" s="51" t="s">
        <v>5202</v>
      </c>
      <c r="C911" s="54" t="s">
        <v>2694</v>
      </c>
      <c r="D911" s="51" t="s">
        <v>5203</v>
      </c>
      <c r="E911" s="20">
        <v>13257.93</v>
      </c>
      <c r="F911" s="20">
        <v>95.61</v>
      </c>
      <c r="G911" s="20">
        <v>16696.61</v>
      </c>
      <c r="H911" s="20">
        <v>0</v>
      </c>
      <c r="I911" s="20">
        <v>430.21</v>
      </c>
      <c r="J911" s="51" t="s">
        <v>2654</v>
      </c>
      <c r="K911" s="15">
        <v>0</v>
      </c>
      <c r="L911" s="51" t="s">
        <v>2371</v>
      </c>
      <c r="M911" s="51" t="s">
        <v>5204</v>
      </c>
      <c r="N911" s="51" t="s">
        <v>1340</v>
      </c>
      <c r="O911" s="51" t="s">
        <v>5205</v>
      </c>
      <c r="P911" s="51" t="s">
        <v>1340</v>
      </c>
      <c r="Q911" s="45">
        <v>46281.608478761576</v>
      </c>
      <c r="R911" s="46">
        <v>46312</v>
      </c>
      <c r="S911" s="46">
        <v>46307</v>
      </c>
      <c r="T911" s="51" t="s">
        <v>6119</v>
      </c>
      <c r="U911" s="15"/>
      <c r="V911" s="15"/>
      <c r="W911" s="15"/>
      <c r="X911" s="15"/>
      <c r="Y911" s="15"/>
      <c r="Z911" s="15"/>
      <c r="AA911" s="46"/>
      <c r="AB911" s="15"/>
      <c r="AC911" s="15"/>
      <c r="AD911" s="15"/>
      <c r="AE911" s="15"/>
      <c r="AF911" s="15"/>
      <c r="AG911" s="15"/>
      <c r="AH911" s="15"/>
      <c r="AI911" s="46"/>
      <c r="AJ911" s="51" t="s">
        <v>67</v>
      </c>
      <c r="AK911" s="51" t="s">
        <v>67</v>
      </c>
      <c r="AL911" s="15"/>
      <c r="AM911" s="51" t="s">
        <v>67</v>
      </c>
      <c r="AN911" s="51" t="s">
        <v>67</v>
      </c>
      <c r="AO911" s="50" t="s">
        <v>9554</v>
      </c>
    </row>
    <row r="912" spans="1:41" hidden="1" x14ac:dyDescent="0.25">
      <c r="A912" s="51" t="s">
        <v>5206</v>
      </c>
      <c r="B912" s="51" t="s">
        <v>5207</v>
      </c>
      <c r="C912" s="54" t="s">
        <v>5598</v>
      </c>
      <c r="D912" s="51" t="s">
        <v>5208</v>
      </c>
      <c r="E912" s="20">
        <v>8856.06</v>
      </c>
      <c r="F912" s="20">
        <v>967.3</v>
      </c>
      <c r="G912" s="20">
        <v>1671.56</v>
      </c>
      <c r="H912" s="20">
        <v>929.71</v>
      </c>
      <c r="I912" s="20">
        <v>967.3</v>
      </c>
      <c r="J912" s="51" t="s">
        <v>6727</v>
      </c>
      <c r="K912" s="15">
        <v>3</v>
      </c>
      <c r="L912" s="51" t="s">
        <v>2369</v>
      </c>
      <c r="M912" s="51" t="s">
        <v>5209</v>
      </c>
      <c r="N912" s="51" t="s">
        <v>1340</v>
      </c>
      <c r="O912" s="51" t="s">
        <v>5210</v>
      </c>
      <c r="P912" s="51" t="s">
        <v>1340</v>
      </c>
      <c r="Q912" s="45">
        <v>46281.608480925926</v>
      </c>
      <c r="R912" s="46">
        <v>46318</v>
      </c>
      <c r="S912" s="46">
        <v>46313</v>
      </c>
      <c r="T912" s="51" t="s">
        <v>6119</v>
      </c>
      <c r="U912" s="15"/>
      <c r="V912" s="15"/>
      <c r="W912" s="15"/>
      <c r="X912" s="15"/>
      <c r="Y912" s="15"/>
      <c r="Z912" s="15"/>
      <c r="AA912" s="46"/>
      <c r="AB912" s="15"/>
      <c r="AC912" s="15"/>
      <c r="AD912" s="15"/>
      <c r="AE912" s="15"/>
      <c r="AF912" s="15"/>
      <c r="AG912" s="15"/>
      <c r="AH912" s="15"/>
      <c r="AI912" s="46"/>
      <c r="AJ912" s="51" t="s">
        <v>67</v>
      </c>
      <c r="AK912" s="51" t="s">
        <v>67</v>
      </c>
      <c r="AL912" s="15"/>
      <c r="AM912" s="51" t="s">
        <v>67</v>
      </c>
      <c r="AN912" s="51" t="s">
        <v>67</v>
      </c>
      <c r="AO912" s="50" t="s">
        <v>9554</v>
      </c>
    </row>
    <row r="913" spans="1:41" hidden="1" x14ac:dyDescent="0.25">
      <c r="A913" s="51" t="s">
        <v>5211</v>
      </c>
      <c r="B913" s="51" t="s">
        <v>5212</v>
      </c>
      <c r="C913" s="54" t="s">
        <v>5608</v>
      </c>
      <c r="D913" s="51" t="s">
        <v>5213</v>
      </c>
      <c r="E913" s="20">
        <v>1511.95</v>
      </c>
      <c r="F913" s="20">
        <v>8325.25</v>
      </c>
      <c r="G913" s="20">
        <v>-2548.33</v>
      </c>
      <c r="H913" s="20">
        <v>7524.79</v>
      </c>
      <c r="I913" s="20">
        <v>8325.25</v>
      </c>
      <c r="J913" s="51" t="s">
        <v>6727</v>
      </c>
      <c r="K913" s="15">
        <v>33</v>
      </c>
      <c r="L913" s="51" t="s">
        <v>2369</v>
      </c>
      <c r="M913" s="51" t="s">
        <v>5214</v>
      </c>
      <c r="N913" s="51" t="s">
        <v>1340</v>
      </c>
      <c r="O913" s="51" t="s">
        <v>67</v>
      </c>
      <c r="P913" s="51" t="s">
        <v>67</v>
      </c>
      <c r="Q913" s="45">
        <v>46281.608482638891</v>
      </c>
      <c r="R913" s="46">
        <v>46319</v>
      </c>
      <c r="S913" s="46">
        <v>46314</v>
      </c>
      <c r="T913" s="51" t="s">
        <v>6119</v>
      </c>
      <c r="U913" s="15">
        <v>849.8</v>
      </c>
      <c r="V913" s="15">
        <v>3922.15</v>
      </c>
      <c r="W913" s="15">
        <v>36.39</v>
      </c>
      <c r="X913" s="15">
        <v>14.9</v>
      </c>
      <c r="Y913" s="15">
        <v>1.6620440000000001</v>
      </c>
      <c r="Z913" s="15">
        <v>6</v>
      </c>
      <c r="AA913" s="46">
        <v>46258</v>
      </c>
      <c r="AB913" s="15"/>
      <c r="AC913" s="15"/>
      <c r="AD913" s="15"/>
      <c r="AE913" s="15"/>
      <c r="AF913" s="15"/>
      <c r="AG913" s="15"/>
      <c r="AH913" s="15"/>
      <c r="AI913" s="46"/>
      <c r="AJ913" s="51" t="s">
        <v>6121</v>
      </c>
      <c r="AK913" s="51" t="s">
        <v>6121</v>
      </c>
      <c r="AL913" s="15">
        <v>849.8</v>
      </c>
      <c r="AM913" s="51" t="s">
        <v>6705</v>
      </c>
      <c r="AN913" s="51" t="s">
        <v>6717</v>
      </c>
      <c r="AO913" s="50" t="s">
        <v>9554</v>
      </c>
    </row>
    <row r="914" spans="1:41" hidden="1" x14ac:dyDescent="0.25">
      <c r="A914" s="51" t="s">
        <v>5215</v>
      </c>
      <c r="B914" s="51" t="s">
        <v>5216</v>
      </c>
      <c r="C914" s="54" t="s">
        <v>608</v>
      </c>
      <c r="D914" s="51" t="s">
        <v>5217</v>
      </c>
      <c r="E914" s="20">
        <v>11928.61</v>
      </c>
      <c r="F914" s="20">
        <v>0</v>
      </c>
      <c r="G914" s="20">
        <v>13075.69</v>
      </c>
      <c r="H914" s="20">
        <v>0</v>
      </c>
      <c r="I914" s="20">
        <v>450.71</v>
      </c>
      <c r="J914" s="51" t="s">
        <v>2654</v>
      </c>
      <c r="K914" s="15">
        <v>0</v>
      </c>
      <c r="L914" s="51" t="s">
        <v>2371</v>
      </c>
      <c r="M914" s="51" t="s">
        <v>5218</v>
      </c>
      <c r="N914" s="51" t="s">
        <v>1340</v>
      </c>
      <c r="O914" s="51" t="s">
        <v>5219</v>
      </c>
      <c r="P914" s="51" t="s">
        <v>1340</v>
      </c>
      <c r="Q914" s="45">
        <v>46281.608484745368</v>
      </c>
      <c r="R914" s="46">
        <v>46315</v>
      </c>
      <c r="S914" s="46">
        <v>46310</v>
      </c>
      <c r="T914" s="51" t="s">
        <v>6119</v>
      </c>
      <c r="U914" s="15"/>
      <c r="V914" s="15"/>
      <c r="W914" s="15"/>
      <c r="X914" s="15"/>
      <c r="Y914" s="15"/>
      <c r="Z914" s="15"/>
      <c r="AA914" s="46"/>
      <c r="AB914" s="15"/>
      <c r="AC914" s="15"/>
      <c r="AD914" s="15"/>
      <c r="AE914" s="15"/>
      <c r="AF914" s="15"/>
      <c r="AG914" s="15"/>
      <c r="AH914" s="15"/>
      <c r="AI914" s="46"/>
      <c r="AJ914" s="51" t="s">
        <v>67</v>
      </c>
      <c r="AK914" s="51" t="s">
        <v>67</v>
      </c>
      <c r="AL914" s="15"/>
      <c r="AM914" s="51" t="s">
        <v>67</v>
      </c>
      <c r="AN914" s="51" t="s">
        <v>67</v>
      </c>
      <c r="AO914" s="50" t="s">
        <v>9554</v>
      </c>
    </row>
    <row r="915" spans="1:41" hidden="1" x14ac:dyDescent="0.25">
      <c r="A915" s="51" t="s">
        <v>5220</v>
      </c>
      <c r="B915" s="51" t="s">
        <v>5221</v>
      </c>
      <c r="C915" s="54" t="s">
        <v>5600</v>
      </c>
      <c r="D915" s="51" t="s">
        <v>5222</v>
      </c>
      <c r="E915" s="20">
        <v>3918.87</v>
      </c>
      <c r="F915" s="20">
        <v>516.34</v>
      </c>
      <c r="G915" s="20">
        <v>11058.97</v>
      </c>
      <c r="H915" s="20">
        <v>0</v>
      </c>
      <c r="I915" s="20">
        <v>516.34</v>
      </c>
      <c r="J915" s="51" t="s">
        <v>2654</v>
      </c>
      <c r="K915" s="15">
        <v>0</v>
      </c>
      <c r="L915" s="51" t="s">
        <v>2371</v>
      </c>
      <c r="M915" s="51" t="s">
        <v>5223</v>
      </c>
      <c r="N915" s="51" t="s">
        <v>1340</v>
      </c>
      <c r="O915" s="51" t="s">
        <v>67</v>
      </c>
      <c r="P915" s="51" t="s">
        <v>67</v>
      </c>
      <c r="Q915" s="45">
        <v>46281.608486504629</v>
      </c>
      <c r="R915" s="46">
        <v>46304</v>
      </c>
      <c r="S915" s="46">
        <v>46299</v>
      </c>
      <c r="T915" s="51" t="s">
        <v>6119</v>
      </c>
      <c r="U915" s="15"/>
      <c r="V915" s="15"/>
      <c r="W915" s="15"/>
      <c r="X915" s="15"/>
      <c r="Y915" s="15"/>
      <c r="Z915" s="15"/>
      <c r="AA915" s="46"/>
      <c r="AB915" s="15"/>
      <c r="AC915" s="15"/>
      <c r="AD915" s="15"/>
      <c r="AE915" s="15"/>
      <c r="AF915" s="15"/>
      <c r="AG915" s="15"/>
      <c r="AH915" s="15"/>
      <c r="AI915" s="46"/>
      <c r="AJ915" s="51" t="s">
        <v>67</v>
      </c>
      <c r="AK915" s="51" t="s">
        <v>67</v>
      </c>
      <c r="AL915" s="15"/>
      <c r="AM915" s="51" t="s">
        <v>67</v>
      </c>
      <c r="AN915" s="51" t="s">
        <v>67</v>
      </c>
      <c r="AO915" s="50" t="s">
        <v>9554</v>
      </c>
    </row>
    <row r="916" spans="1:41" hidden="1" x14ac:dyDescent="0.25">
      <c r="A916" s="51" t="s">
        <v>5224</v>
      </c>
      <c r="B916" s="51" t="s">
        <v>5225</v>
      </c>
      <c r="C916" s="54" t="s">
        <v>5596</v>
      </c>
      <c r="D916" s="51" t="s">
        <v>5226</v>
      </c>
      <c r="E916" s="20">
        <v>12258.07</v>
      </c>
      <c r="F916" s="20">
        <v>726.19</v>
      </c>
      <c r="G916" s="20">
        <v>18210.990000000002</v>
      </c>
      <c r="H916" s="20">
        <v>0</v>
      </c>
      <c r="I916" s="20">
        <v>726.19</v>
      </c>
      <c r="J916" s="51" t="s">
        <v>2654</v>
      </c>
      <c r="K916" s="15">
        <v>0</v>
      </c>
      <c r="L916" s="51" t="s">
        <v>2371</v>
      </c>
      <c r="M916" s="51" t="s">
        <v>5227</v>
      </c>
      <c r="N916" s="51" t="s">
        <v>1340</v>
      </c>
      <c r="O916" s="51" t="s">
        <v>5228</v>
      </c>
      <c r="P916" s="51" t="s">
        <v>1340</v>
      </c>
      <c r="Q916" s="45">
        <v>46281.60848815972</v>
      </c>
      <c r="R916" s="46">
        <v>46300</v>
      </c>
      <c r="S916" s="46">
        <v>46295</v>
      </c>
      <c r="T916" s="51" t="s">
        <v>6119</v>
      </c>
      <c r="U916" s="15"/>
      <c r="V916" s="15"/>
      <c r="W916" s="15"/>
      <c r="X916" s="15"/>
      <c r="Y916" s="15"/>
      <c r="Z916" s="15"/>
      <c r="AA916" s="46"/>
      <c r="AB916" s="15"/>
      <c r="AC916" s="15"/>
      <c r="AD916" s="15"/>
      <c r="AE916" s="15"/>
      <c r="AF916" s="15"/>
      <c r="AG916" s="15"/>
      <c r="AH916" s="15"/>
      <c r="AI916" s="46"/>
      <c r="AJ916" s="51" t="s">
        <v>67</v>
      </c>
      <c r="AK916" s="51" t="s">
        <v>67</v>
      </c>
      <c r="AL916" s="15"/>
      <c r="AM916" s="51" t="s">
        <v>67</v>
      </c>
      <c r="AN916" s="51" t="s">
        <v>67</v>
      </c>
      <c r="AO916" s="50" t="s">
        <v>9554</v>
      </c>
    </row>
    <row r="917" spans="1:41" hidden="1" x14ac:dyDescent="0.25">
      <c r="A917" s="51" t="s">
        <v>5229</v>
      </c>
      <c r="B917" s="51" t="s">
        <v>5230</v>
      </c>
      <c r="C917" s="54" t="s">
        <v>2358</v>
      </c>
      <c r="D917" s="51" t="s">
        <v>5231</v>
      </c>
      <c r="E917" s="20">
        <v>1356.33</v>
      </c>
      <c r="F917" s="20">
        <v>4896.29</v>
      </c>
      <c r="G917" s="20">
        <v>-1684.96</v>
      </c>
      <c r="H917" s="20">
        <v>3870.86</v>
      </c>
      <c r="I917" s="20">
        <v>4520.88</v>
      </c>
      <c r="J917" s="51" t="s">
        <v>6727</v>
      </c>
      <c r="K917" s="15">
        <v>12</v>
      </c>
      <c r="L917" s="51" t="s">
        <v>2369</v>
      </c>
      <c r="M917" s="51" t="s">
        <v>5232</v>
      </c>
      <c r="N917" s="51" t="s">
        <v>1340</v>
      </c>
      <c r="O917" s="51" t="s">
        <v>67</v>
      </c>
      <c r="P917" s="51" t="s">
        <v>67</v>
      </c>
      <c r="Q917" s="45">
        <v>46281.60849017361</v>
      </c>
      <c r="R917" s="46">
        <v>46309</v>
      </c>
      <c r="S917" s="46">
        <v>46304</v>
      </c>
      <c r="T917" s="51" t="s">
        <v>6119</v>
      </c>
      <c r="U917" s="15">
        <v>848.05</v>
      </c>
      <c r="V917" s="15">
        <v>3921.84</v>
      </c>
      <c r="W917" s="15">
        <v>36.08</v>
      </c>
      <c r="X917" s="15">
        <v>14.9</v>
      </c>
      <c r="Y917" s="15">
        <v>1.662307</v>
      </c>
      <c r="Z917" s="15">
        <v>6</v>
      </c>
      <c r="AA917" s="46">
        <v>46279</v>
      </c>
      <c r="AB917" s="15"/>
      <c r="AC917" s="15"/>
      <c r="AD917" s="15"/>
      <c r="AE917" s="15"/>
      <c r="AF917" s="15"/>
      <c r="AG917" s="15"/>
      <c r="AH917" s="15"/>
      <c r="AI917" s="46"/>
      <c r="AJ917" s="51" t="s">
        <v>6121</v>
      </c>
      <c r="AK917" s="51" t="s">
        <v>6121</v>
      </c>
      <c r="AL917" s="15">
        <v>848.05</v>
      </c>
      <c r="AM917" s="51" t="s">
        <v>6705</v>
      </c>
      <c r="AN917" s="51" t="s">
        <v>6713</v>
      </c>
      <c r="AO917" s="50" t="s">
        <v>9554</v>
      </c>
    </row>
    <row r="918" spans="1:41" hidden="1" x14ac:dyDescent="0.25">
      <c r="A918" s="51" t="s">
        <v>5233</v>
      </c>
      <c r="B918" s="51" t="s">
        <v>5234</v>
      </c>
      <c r="C918" s="54" t="s">
        <v>608</v>
      </c>
      <c r="D918" s="51" t="s">
        <v>5235</v>
      </c>
      <c r="E918" s="20">
        <v>6038.19</v>
      </c>
      <c r="F918" s="20">
        <v>0</v>
      </c>
      <c r="G918" s="20">
        <v>5537.38</v>
      </c>
      <c r="H918" s="20">
        <v>0</v>
      </c>
      <c r="I918" s="20">
        <v>779.29</v>
      </c>
      <c r="J918" s="51" t="s">
        <v>2654</v>
      </c>
      <c r="K918" s="15">
        <v>0</v>
      </c>
      <c r="L918" s="51" t="s">
        <v>2371</v>
      </c>
      <c r="M918" s="51" t="s">
        <v>5236</v>
      </c>
      <c r="N918" s="51" t="s">
        <v>1344</v>
      </c>
      <c r="O918" s="51" t="s">
        <v>5237</v>
      </c>
      <c r="P918" s="51" t="s">
        <v>1344</v>
      </c>
      <c r="Q918" s="45">
        <v>46281.608492268519</v>
      </c>
      <c r="R918" s="46">
        <v>46315</v>
      </c>
      <c r="S918" s="46">
        <v>46310</v>
      </c>
      <c r="T918" s="51" t="s">
        <v>6119</v>
      </c>
      <c r="U918" s="15"/>
      <c r="V918" s="15"/>
      <c r="W918" s="15"/>
      <c r="X918" s="15"/>
      <c r="Y918" s="15"/>
      <c r="Z918" s="15"/>
      <c r="AA918" s="46"/>
      <c r="AB918" s="15"/>
      <c r="AC918" s="15"/>
      <c r="AD918" s="15"/>
      <c r="AE918" s="15"/>
      <c r="AF918" s="15"/>
      <c r="AG918" s="15"/>
      <c r="AH918" s="15"/>
      <c r="AI918" s="46"/>
      <c r="AJ918" s="51" t="s">
        <v>67</v>
      </c>
      <c r="AK918" s="51" t="s">
        <v>67</v>
      </c>
      <c r="AL918" s="15"/>
      <c r="AM918" s="51" t="s">
        <v>67</v>
      </c>
      <c r="AN918" s="51" t="s">
        <v>67</v>
      </c>
      <c r="AO918" s="50" t="s">
        <v>9554</v>
      </c>
    </row>
    <row r="919" spans="1:41" hidden="1" x14ac:dyDescent="0.25">
      <c r="A919" s="51" t="s">
        <v>5238</v>
      </c>
      <c r="B919" s="51" t="s">
        <v>5239</v>
      </c>
      <c r="C919" s="54" t="s">
        <v>2691</v>
      </c>
      <c r="D919" s="51" t="s">
        <v>5240</v>
      </c>
      <c r="E919" s="20">
        <v>13149.56</v>
      </c>
      <c r="F919" s="20">
        <v>4949.72</v>
      </c>
      <c r="G919" s="20">
        <v>9126.89</v>
      </c>
      <c r="H919" s="20">
        <v>3870.86</v>
      </c>
      <c r="I919" s="20">
        <v>4949.72</v>
      </c>
      <c r="J919" s="51" t="s">
        <v>6727</v>
      </c>
      <c r="K919" s="15">
        <v>20</v>
      </c>
      <c r="L919" s="51" t="s">
        <v>2369</v>
      </c>
      <c r="M919" s="51" t="s">
        <v>5241</v>
      </c>
      <c r="N919" s="51" t="s">
        <v>1340</v>
      </c>
      <c r="O919" s="51" t="s">
        <v>67</v>
      </c>
      <c r="P919" s="51" t="s">
        <v>67</v>
      </c>
      <c r="Q919" s="45">
        <v>46281.608494016204</v>
      </c>
      <c r="R919" s="46">
        <v>46301</v>
      </c>
      <c r="S919" s="46">
        <v>46296</v>
      </c>
      <c r="T919" s="51" t="s">
        <v>6119</v>
      </c>
      <c r="U919" s="15">
        <v>848.05</v>
      </c>
      <c r="V919" s="15">
        <v>3921.84</v>
      </c>
      <c r="W919" s="15">
        <v>36.08</v>
      </c>
      <c r="X919" s="15">
        <v>14.9</v>
      </c>
      <c r="Y919" s="15">
        <v>1.662307</v>
      </c>
      <c r="Z919" s="15">
        <v>6</v>
      </c>
      <c r="AA919" s="46">
        <v>46271</v>
      </c>
      <c r="AB919" s="15"/>
      <c r="AC919" s="15"/>
      <c r="AD919" s="15"/>
      <c r="AE919" s="15"/>
      <c r="AF919" s="15"/>
      <c r="AG919" s="15"/>
      <c r="AH919" s="15"/>
      <c r="AI919" s="46"/>
      <c r="AJ919" s="51" t="s">
        <v>6121</v>
      </c>
      <c r="AK919" s="51" t="s">
        <v>6121</v>
      </c>
      <c r="AL919" s="15">
        <v>848.05</v>
      </c>
      <c r="AM919" s="51" t="s">
        <v>67</v>
      </c>
      <c r="AN919" s="51" t="s">
        <v>67</v>
      </c>
      <c r="AO919" s="50" t="s">
        <v>9554</v>
      </c>
    </row>
    <row r="920" spans="1:41" hidden="1" x14ac:dyDescent="0.25">
      <c r="A920" s="51" t="s">
        <v>5242</v>
      </c>
      <c r="B920" s="51" t="s">
        <v>5243</v>
      </c>
      <c r="C920" s="54" t="s">
        <v>5600</v>
      </c>
      <c r="D920" s="51" t="s">
        <v>5244</v>
      </c>
      <c r="E920" s="20">
        <v>7293.59</v>
      </c>
      <c r="F920" s="20">
        <v>4735.91</v>
      </c>
      <c r="G920" s="20">
        <v>15904.03</v>
      </c>
      <c r="H920" s="20">
        <v>3870.86</v>
      </c>
      <c r="I920" s="20">
        <v>4735.91</v>
      </c>
      <c r="J920" s="51" t="s">
        <v>6727</v>
      </c>
      <c r="K920" s="15">
        <v>17</v>
      </c>
      <c r="L920" s="51" t="s">
        <v>2369</v>
      </c>
      <c r="M920" s="51" t="s">
        <v>5245</v>
      </c>
      <c r="N920" s="51" t="s">
        <v>1340</v>
      </c>
      <c r="O920" s="51" t="s">
        <v>5246</v>
      </c>
      <c r="P920" s="51" t="s">
        <v>1340</v>
      </c>
      <c r="Q920" s="45">
        <v>46281.608496238427</v>
      </c>
      <c r="R920" s="46">
        <v>46304</v>
      </c>
      <c r="S920" s="46">
        <v>46299</v>
      </c>
      <c r="T920" s="51" t="s">
        <v>6119</v>
      </c>
      <c r="U920" s="15">
        <v>848.05</v>
      </c>
      <c r="V920" s="15">
        <v>3921.84</v>
      </c>
      <c r="W920" s="15">
        <v>36.08</v>
      </c>
      <c r="X920" s="15">
        <v>14.9</v>
      </c>
      <c r="Y920" s="15">
        <v>1.662307</v>
      </c>
      <c r="Z920" s="15">
        <v>6</v>
      </c>
      <c r="AA920" s="46">
        <v>46274</v>
      </c>
      <c r="AB920" s="15"/>
      <c r="AC920" s="15"/>
      <c r="AD920" s="15"/>
      <c r="AE920" s="15"/>
      <c r="AF920" s="15"/>
      <c r="AG920" s="15"/>
      <c r="AH920" s="15"/>
      <c r="AI920" s="46"/>
      <c r="AJ920" s="51" t="s">
        <v>6121</v>
      </c>
      <c r="AK920" s="51" t="s">
        <v>6121</v>
      </c>
      <c r="AL920" s="15">
        <v>848.05</v>
      </c>
      <c r="AM920" s="51" t="s">
        <v>67</v>
      </c>
      <c r="AN920" s="51" t="s">
        <v>67</v>
      </c>
      <c r="AO920" s="50" t="s">
        <v>9554</v>
      </c>
    </row>
    <row r="921" spans="1:41" hidden="1" x14ac:dyDescent="0.25">
      <c r="A921" s="51" t="s">
        <v>5247</v>
      </c>
      <c r="B921" s="51" t="s">
        <v>5248</v>
      </c>
      <c r="C921" s="54" t="s">
        <v>2357</v>
      </c>
      <c r="D921" s="51" t="s">
        <v>5249</v>
      </c>
      <c r="E921" s="20">
        <v>1176.3699999999999</v>
      </c>
      <c r="F921" s="20">
        <v>828.12</v>
      </c>
      <c r="G921" s="20">
        <v>1842.41</v>
      </c>
      <c r="H921" s="20">
        <v>0</v>
      </c>
      <c r="I921" s="20">
        <v>828.12</v>
      </c>
      <c r="J921" s="51" t="s">
        <v>2654</v>
      </c>
      <c r="K921" s="15">
        <v>0</v>
      </c>
      <c r="L921" s="51" t="s">
        <v>2371</v>
      </c>
      <c r="M921" s="51" t="s">
        <v>67</v>
      </c>
      <c r="N921" s="51" t="s">
        <v>67</v>
      </c>
      <c r="O921" s="51" t="s">
        <v>5250</v>
      </c>
      <c r="P921" s="51" t="s">
        <v>1340</v>
      </c>
      <c r="Q921" s="45">
        <v>46281.60849849537</v>
      </c>
      <c r="R921" s="46">
        <v>46308</v>
      </c>
      <c r="S921" s="46">
        <v>46303</v>
      </c>
      <c r="T921" s="51" t="s">
        <v>6119</v>
      </c>
      <c r="U921" s="15"/>
      <c r="V921" s="15"/>
      <c r="W921" s="15"/>
      <c r="X921" s="15"/>
      <c r="Y921" s="15"/>
      <c r="Z921" s="15"/>
      <c r="AA921" s="46"/>
      <c r="AB921" s="15"/>
      <c r="AC921" s="15"/>
      <c r="AD921" s="15"/>
      <c r="AE921" s="15"/>
      <c r="AF921" s="15"/>
      <c r="AG921" s="15"/>
      <c r="AH921" s="15"/>
      <c r="AI921" s="46"/>
      <c r="AJ921" s="51" t="s">
        <v>67</v>
      </c>
      <c r="AK921" s="51" t="s">
        <v>67</v>
      </c>
      <c r="AL921" s="15"/>
      <c r="AM921" s="51" t="s">
        <v>67</v>
      </c>
      <c r="AN921" s="51" t="s">
        <v>67</v>
      </c>
      <c r="AO921" s="50" t="s">
        <v>9554</v>
      </c>
    </row>
    <row r="922" spans="1:41" hidden="1" x14ac:dyDescent="0.25">
      <c r="A922" s="51" t="s">
        <v>5251</v>
      </c>
      <c r="B922" s="51" t="s">
        <v>5252</v>
      </c>
      <c r="C922" s="54" t="s">
        <v>5602</v>
      </c>
      <c r="D922" s="51" t="s">
        <v>5253</v>
      </c>
      <c r="E922" s="20">
        <v>7375.24</v>
      </c>
      <c r="F922" s="20">
        <v>814.01</v>
      </c>
      <c r="G922" s="20">
        <v>3550.96</v>
      </c>
      <c r="H922" s="20">
        <v>0</v>
      </c>
      <c r="I922" s="20">
        <v>814.01</v>
      </c>
      <c r="J922" s="51" t="s">
        <v>2654</v>
      </c>
      <c r="K922" s="15">
        <v>0</v>
      </c>
      <c r="L922" s="51" t="s">
        <v>2371</v>
      </c>
      <c r="M922" s="51" t="s">
        <v>5254</v>
      </c>
      <c r="N922" s="51" t="s">
        <v>1340</v>
      </c>
      <c r="O922" s="51" t="s">
        <v>67</v>
      </c>
      <c r="P922" s="51" t="s">
        <v>67</v>
      </c>
      <c r="Q922" s="45">
        <v>46281.60850047454</v>
      </c>
      <c r="R922" s="46">
        <v>46303</v>
      </c>
      <c r="S922" s="46">
        <v>46298</v>
      </c>
      <c r="T922" s="51" t="s">
        <v>6119</v>
      </c>
      <c r="U922" s="15"/>
      <c r="V922" s="15"/>
      <c r="W922" s="15"/>
      <c r="X922" s="15"/>
      <c r="Y922" s="15"/>
      <c r="Z922" s="15"/>
      <c r="AA922" s="46"/>
      <c r="AB922" s="15"/>
      <c r="AC922" s="15"/>
      <c r="AD922" s="15"/>
      <c r="AE922" s="15"/>
      <c r="AF922" s="15"/>
      <c r="AG922" s="15"/>
      <c r="AH922" s="15"/>
      <c r="AI922" s="46"/>
      <c r="AJ922" s="51" t="s">
        <v>67</v>
      </c>
      <c r="AK922" s="51" t="s">
        <v>67</v>
      </c>
      <c r="AL922" s="15"/>
      <c r="AM922" s="51" t="s">
        <v>67</v>
      </c>
      <c r="AN922" s="51" t="s">
        <v>67</v>
      </c>
      <c r="AO922" s="50" t="s">
        <v>9554</v>
      </c>
    </row>
    <row r="923" spans="1:41" hidden="1" x14ac:dyDescent="0.25">
      <c r="A923" s="51" t="s">
        <v>5255</v>
      </c>
      <c r="B923" s="51" t="s">
        <v>5256</v>
      </c>
      <c r="C923" s="54" t="s">
        <v>2693</v>
      </c>
      <c r="D923" s="51" t="s">
        <v>5257</v>
      </c>
      <c r="E923" s="20">
        <v>12546.43</v>
      </c>
      <c r="F923" s="20">
        <v>6283.71</v>
      </c>
      <c r="G923" s="20">
        <v>11319.58</v>
      </c>
      <c r="H923" s="20">
        <v>3870.86</v>
      </c>
      <c r="I923" s="20">
        <v>3273.04</v>
      </c>
      <c r="J923" s="51" t="s">
        <v>6726</v>
      </c>
      <c r="K923" s="15">
        <v>0</v>
      </c>
      <c r="L923" s="51" t="s">
        <v>2371</v>
      </c>
      <c r="M923" s="51" t="s">
        <v>5258</v>
      </c>
      <c r="N923" s="51" t="s">
        <v>1340</v>
      </c>
      <c r="O923" s="51" t="s">
        <v>67</v>
      </c>
      <c r="P923" s="51" t="s">
        <v>67</v>
      </c>
      <c r="Q923" s="45">
        <v>46281.60850263889</v>
      </c>
      <c r="R923" s="46">
        <v>46314</v>
      </c>
      <c r="S923" s="46">
        <v>46309</v>
      </c>
      <c r="T923" s="51" t="s">
        <v>6119</v>
      </c>
      <c r="U923" s="15">
        <v>849.8</v>
      </c>
      <c r="V923" s="15">
        <v>3922.15</v>
      </c>
      <c r="W923" s="15">
        <v>36.39</v>
      </c>
      <c r="X923" s="15">
        <v>14.9</v>
      </c>
      <c r="Y923" s="15">
        <v>1.6620440000000001</v>
      </c>
      <c r="Z923" s="15">
        <v>6</v>
      </c>
      <c r="AA923" s="46">
        <v>46253</v>
      </c>
      <c r="AB923" s="15">
        <v>212.9</v>
      </c>
      <c r="AC923" s="15">
        <v>387.09</v>
      </c>
      <c r="AD923" s="15">
        <v>38.71</v>
      </c>
      <c r="AE923" s="15">
        <v>582.26</v>
      </c>
      <c r="AF923" s="15">
        <v>3729.62</v>
      </c>
      <c r="AG923" s="15">
        <v>57.49</v>
      </c>
      <c r="AH923" s="15">
        <v>1.5861069999999999</v>
      </c>
      <c r="AI923" s="46">
        <v>46283</v>
      </c>
      <c r="AJ923" s="51" t="s">
        <v>67</v>
      </c>
      <c r="AK923" s="51" t="s">
        <v>6121</v>
      </c>
      <c r="AL923" s="15">
        <v>849.8</v>
      </c>
      <c r="AM923" s="51" t="s">
        <v>67</v>
      </c>
      <c r="AN923" s="51" t="s">
        <v>67</v>
      </c>
      <c r="AO923" s="50" t="s">
        <v>9554</v>
      </c>
    </row>
    <row r="924" spans="1:41" hidden="1" x14ac:dyDescent="0.25">
      <c r="A924" s="51" t="s">
        <v>5259</v>
      </c>
      <c r="B924" s="51" t="s">
        <v>5260</v>
      </c>
      <c r="C924" s="54" t="s">
        <v>5607</v>
      </c>
      <c r="D924" s="51" t="s">
        <v>5261</v>
      </c>
      <c r="E924" s="20">
        <v>9853.5</v>
      </c>
      <c r="F924" s="20">
        <v>974.79</v>
      </c>
      <c r="G924" s="20">
        <v>15668.81</v>
      </c>
      <c r="H924" s="20">
        <v>0</v>
      </c>
      <c r="I924" s="20">
        <v>974.79</v>
      </c>
      <c r="J924" s="51" t="s">
        <v>2654</v>
      </c>
      <c r="K924" s="15">
        <v>0</v>
      </c>
      <c r="L924" s="51" t="s">
        <v>2371</v>
      </c>
      <c r="M924" s="51" t="s">
        <v>67</v>
      </c>
      <c r="N924" s="51" t="s">
        <v>67</v>
      </c>
      <c r="O924" s="51" t="s">
        <v>5262</v>
      </c>
      <c r="P924" s="51" t="s">
        <v>1340</v>
      </c>
      <c r="Q924" s="45">
        <v>46281.608504884258</v>
      </c>
      <c r="R924" s="46">
        <v>46299</v>
      </c>
      <c r="S924" s="46">
        <v>46294</v>
      </c>
      <c r="T924" s="51" t="s">
        <v>6119</v>
      </c>
      <c r="U924" s="15"/>
      <c r="V924" s="15"/>
      <c r="W924" s="15"/>
      <c r="X924" s="15"/>
      <c r="Y924" s="15"/>
      <c r="Z924" s="15"/>
      <c r="AA924" s="46"/>
      <c r="AB924" s="15"/>
      <c r="AC924" s="15"/>
      <c r="AD924" s="15"/>
      <c r="AE924" s="15"/>
      <c r="AF924" s="15"/>
      <c r="AG924" s="15"/>
      <c r="AH924" s="15"/>
      <c r="AI924" s="46"/>
      <c r="AJ924" s="51" t="s">
        <v>67</v>
      </c>
      <c r="AK924" s="51" t="s">
        <v>67</v>
      </c>
      <c r="AL924" s="15"/>
      <c r="AM924" s="51" t="s">
        <v>67</v>
      </c>
      <c r="AN924" s="51" t="s">
        <v>67</v>
      </c>
      <c r="AO924" s="50" t="s">
        <v>9554</v>
      </c>
    </row>
    <row r="925" spans="1:41" hidden="1" x14ac:dyDescent="0.25">
      <c r="A925" s="51" t="s">
        <v>5263</v>
      </c>
      <c r="B925" s="51" t="s">
        <v>5264</v>
      </c>
      <c r="C925" s="54" t="s">
        <v>2689</v>
      </c>
      <c r="D925" s="51" t="s">
        <v>5265</v>
      </c>
      <c r="E925" s="20">
        <v>9066.7199999999993</v>
      </c>
      <c r="F925" s="20">
        <v>8290.92</v>
      </c>
      <c r="G925" s="20">
        <v>3003.58</v>
      </c>
      <c r="H925" s="20">
        <v>3870.86</v>
      </c>
      <c r="I925" s="20">
        <v>5280.23</v>
      </c>
      <c r="J925" s="51" t="s">
        <v>6727</v>
      </c>
      <c r="K925" s="15">
        <v>35</v>
      </c>
      <c r="L925" s="51" t="s">
        <v>2369</v>
      </c>
      <c r="M925" s="51" t="s">
        <v>67</v>
      </c>
      <c r="N925" s="51" t="s">
        <v>67</v>
      </c>
      <c r="O925" s="51" t="s">
        <v>5266</v>
      </c>
      <c r="P925" s="51" t="s">
        <v>1340</v>
      </c>
      <c r="Q925" s="45">
        <v>46281.608506805554</v>
      </c>
      <c r="R925" s="46">
        <v>46317</v>
      </c>
      <c r="S925" s="46">
        <v>46312</v>
      </c>
      <c r="T925" s="51" t="s">
        <v>6119</v>
      </c>
      <c r="U925" s="15">
        <v>849.8</v>
      </c>
      <c r="V925" s="15">
        <v>3922.15</v>
      </c>
      <c r="W925" s="15">
        <v>36.39</v>
      </c>
      <c r="X925" s="15">
        <v>14.9</v>
      </c>
      <c r="Y925" s="15">
        <v>1.6620440000000001</v>
      </c>
      <c r="Z925" s="15">
        <v>6</v>
      </c>
      <c r="AA925" s="46">
        <v>46256</v>
      </c>
      <c r="AB925" s="15"/>
      <c r="AC925" s="15"/>
      <c r="AD925" s="15"/>
      <c r="AE925" s="15"/>
      <c r="AF925" s="15"/>
      <c r="AG925" s="15"/>
      <c r="AH925" s="15"/>
      <c r="AI925" s="46"/>
      <c r="AJ925" s="51" t="s">
        <v>6121</v>
      </c>
      <c r="AK925" s="51" t="s">
        <v>6121</v>
      </c>
      <c r="AL925" s="15">
        <v>849.8</v>
      </c>
      <c r="AM925" s="51" t="s">
        <v>67</v>
      </c>
      <c r="AN925" s="51" t="s">
        <v>67</v>
      </c>
      <c r="AO925" s="50" t="s">
        <v>9554</v>
      </c>
    </row>
    <row r="926" spans="1:41" hidden="1" x14ac:dyDescent="0.25">
      <c r="A926" s="51" t="s">
        <v>5267</v>
      </c>
      <c r="B926" s="51" t="s">
        <v>5268</v>
      </c>
      <c r="C926" s="54" t="s">
        <v>5600</v>
      </c>
      <c r="D926" s="51" t="s">
        <v>5269</v>
      </c>
      <c r="E926" s="20">
        <v>1034.3499999999999</v>
      </c>
      <c r="F926" s="20">
        <v>481.33</v>
      </c>
      <c r="G926" s="20">
        <v>10119.61</v>
      </c>
      <c r="H926" s="20">
        <v>0</v>
      </c>
      <c r="I926" s="20">
        <v>481.33</v>
      </c>
      <c r="J926" s="51" t="s">
        <v>2654</v>
      </c>
      <c r="K926" s="15">
        <v>0</v>
      </c>
      <c r="L926" s="51" t="s">
        <v>2371</v>
      </c>
      <c r="M926" s="51" t="s">
        <v>5270</v>
      </c>
      <c r="N926" s="51" t="s">
        <v>1340</v>
      </c>
      <c r="O926" s="51" t="s">
        <v>5271</v>
      </c>
      <c r="P926" s="51" t="s">
        <v>1340</v>
      </c>
      <c r="Q926" s="45">
        <v>46281.608508958336</v>
      </c>
      <c r="R926" s="46">
        <v>46304</v>
      </c>
      <c r="S926" s="46">
        <v>46299</v>
      </c>
      <c r="T926" s="51" t="s">
        <v>6119</v>
      </c>
      <c r="U926" s="15"/>
      <c r="V926" s="15"/>
      <c r="W926" s="15"/>
      <c r="X926" s="15"/>
      <c r="Y926" s="15"/>
      <c r="Z926" s="15"/>
      <c r="AA926" s="46"/>
      <c r="AB926" s="15"/>
      <c r="AC926" s="15"/>
      <c r="AD926" s="15"/>
      <c r="AE926" s="15"/>
      <c r="AF926" s="15"/>
      <c r="AG926" s="15"/>
      <c r="AH926" s="15"/>
      <c r="AI926" s="46"/>
      <c r="AJ926" s="51" t="s">
        <v>67</v>
      </c>
      <c r="AK926" s="51" t="s">
        <v>67</v>
      </c>
      <c r="AL926" s="15"/>
      <c r="AM926" s="51" t="s">
        <v>67</v>
      </c>
      <c r="AN926" s="51" t="s">
        <v>67</v>
      </c>
      <c r="AO926" s="50" t="s">
        <v>9554</v>
      </c>
    </row>
    <row r="927" spans="1:41" hidden="1" x14ac:dyDescent="0.25">
      <c r="A927" s="51" t="s">
        <v>5272</v>
      </c>
      <c r="B927" s="51" t="s">
        <v>5273</v>
      </c>
      <c r="C927" s="54" t="s">
        <v>605</v>
      </c>
      <c r="D927" s="51" t="s">
        <v>5274</v>
      </c>
      <c r="E927" s="20">
        <v>7620.12</v>
      </c>
      <c r="F927" s="20">
        <v>951.84</v>
      </c>
      <c r="G927" s="20">
        <v>17889.41</v>
      </c>
      <c r="H927" s="20">
        <v>0</v>
      </c>
      <c r="I927" s="20">
        <v>951.84</v>
      </c>
      <c r="J927" s="51" t="s">
        <v>2654</v>
      </c>
      <c r="K927" s="15">
        <v>0</v>
      </c>
      <c r="L927" s="51" t="s">
        <v>2371</v>
      </c>
      <c r="M927" s="51" t="s">
        <v>5275</v>
      </c>
      <c r="N927" s="51" t="s">
        <v>1344</v>
      </c>
      <c r="O927" s="51" t="s">
        <v>67</v>
      </c>
      <c r="P927" s="51" t="s">
        <v>67</v>
      </c>
      <c r="Q927" s="45">
        <v>46281.608510694445</v>
      </c>
      <c r="R927" s="46">
        <v>46305</v>
      </c>
      <c r="S927" s="46">
        <v>46300</v>
      </c>
      <c r="T927" s="51" t="s">
        <v>6119</v>
      </c>
      <c r="U927" s="15"/>
      <c r="V927" s="15"/>
      <c r="W927" s="15"/>
      <c r="X927" s="15"/>
      <c r="Y927" s="15"/>
      <c r="Z927" s="15"/>
      <c r="AA927" s="46"/>
      <c r="AB927" s="15"/>
      <c r="AC927" s="15"/>
      <c r="AD927" s="15"/>
      <c r="AE927" s="15"/>
      <c r="AF927" s="15"/>
      <c r="AG927" s="15"/>
      <c r="AH927" s="15"/>
      <c r="AI927" s="46"/>
      <c r="AJ927" s="51" t="s">
        <v>67</v>
      </c>
      <c r="AK927" s="51" t="s">
        <v>67</v>
      </c>
      <c r="AL927" s="15"/>
      <c r="AM927" s="51" t="s">
        <v>67</v>
      </c>
      <c r="AN927" s="51" t="s">
        <v>67</v>
      </c>
      <c r="AO927" s="50" t="s">
        <v>9554</v>
      </c>
    </row>
    <row r="928" spans="1:41" hidden="1" x14ac:dyDescent="0.25">
      <c r="A928" s="51" t="s">
        <v>5276</v>
      </c>
      <c r="B928" s="51" t="s">
        <v>5277</v>
      </c>
      <c r="C928" s="54" t="s">
        <v>5598</v>
      </c>
      <c r="D928" s="51" t="s">
        <v>5278</v>
      </c>
      <c r="E928" s="20">
        <v>1738.84</v>
      </c>
      <c r="F928" s="20">
        <v>216.21</v>
      </c>
      <c r="G928" s="20">
        <v>11480.82</v>
      </c>
      <c r="H928" s="20">
        <v>453.95</v>
      </c>
      <c r="I928" s="20">
        <v>216.21</v>
      </c>
      <c r="J928" s="51" t="s">
        <v>6726</v>
      </c>
      <c r="K928" s="15">
        <v>0</v>
      </c>
      <c r="L928" s="51" t="s">
        <v>2371</v>
      </c>
      <c r="M928" s="51" t="s">
        <v>5279</v>
      </c>
      <c r="N928" s="51" t="s">
        <v>1344</v>
      </c>
      <c r="O928" s="51" t="s">
        <v>5280</v>
      </c>
      <c r="P928" s="51" t="s">
        <v>1344</v>
      </c>
      <c r="Q928" s="45">
        <v>46281.608512511571</v>
      </c>
      <c r="R928" s="46">
        <v>46318</v>
      </c>
      <c r="S928" s="46">
        <v>46313</v>
      </c>
      <c r="T928" s="51" t="s">
        <v>6119</v>
      </c>
      <c r="U928" s="15"/>
      <c r="V928" s="15"/>
      <c r="W928" s="15"/>
      <c r="X928" s="15"/>
      <c r="Y928" s="15"/>
      <c r="Z928" s="15"/>
      <c r="AA928" s="46"/>
      <c r="AB928" s="15"/>
      <c r="AC928" s="15"/>
      <c r="AD928" s="15"/>
      <c r="AE928" s="15"/>
      <c r="AF928" s="15"/>
      <c r="AG928" s="15"/>
      <c r="AH928" s="15"/>
      <c r="AI928" s="46"/>
      <c r="AJ928" s="51" t="s">
        <v>67</v>
      </c>
      <c r="AK928" s="51" t="s">
        <v>67</v>
      </c>
      <c r="AL928" s="15"/>
      <c r="AM928" s="51" t="s">
        <v>67</v>
      </c>
      <c r="AN928" s="51" t="s">
        <v>67</v>
      </c>
      <c r="AO928" s="50" t="s">
        <v>9554</v>
      </c>
    </row>
    <row r="929" spans="1:41" hidden="1" x14ac:dyDescent="0.25">
      <c r="A929" s="51" t="s">
        <v>5281</v>
      </c>
      <c r="B929" s="51" t="s">
        <v>5282</v>
      </c>
      <c r="C929" s="54" t="s">
        <v>5606</v>
      </c>
      <c r="D929" s="51" t="s">
        <v>5283</v>
      </c>
      <c r="E929" s="20">
        <v>10216.14</v>
      </c>
      <c r="F929" s="20">
        <v>559.02</v>
      </c>
      <c r="G929" s="20">
        <v>9154.43</v>
      </c>
      <c r="H929" s="20">
        <v>0</v>
      </c>
      <c r="I929" s="20">
        <v>559.02</v>
      </c>
      <c r="J929" s="51" t="s">
        <v>2654</v>
      </c>
      <c r="K929" s="15">
        <v>0</v>
      </c>
      <c r="L929" s="51" t="s">
        <v>2371</v>
      </c>
      <c r="M929" s="51" t="s">
        <v>5284</v>
      </c>
      <c r="N929" s="51" t="s">
        <v>1340</v>
      </c>
      <c r="O929" s="51" t="s">
        <v>5285</v>
      </c>
      <c r="P929" s="51" t="s">
        <v>1340</v>
      </c>
      <c r="Q929" s="45">
        <v>46281.608514270833</v>
      </c>
      <c r="R929" s="46">
        <v>46297</v>
      </c>
      <c r="S929" s="46">
        <v>46292</v>
      </c>
      <c r="T929" s="51" t="s">
        <v>6119</v>
      </c>
      <c r="U929" s="15"/>
      <c r="V929" s="15"/>
      <c r="W929" s="15"/>
      <c r="X929" s="15"/>
      <c r="Y929" s="15"/>
      <c r="Z929" s="15"/>
      <c r="AA929" s="46"/>
      <c r="AB929" s="15"/>
      <c r="AC929" s="15"/>
      <c r="AD929" s="15"/>
      <c r="AE929" s="15"/>
      <c r="AF929" s="15"/>
      <c r="AG929" s="15"/>
      <c r="AH929" s="15"/>
      <c r="AI929" s="46"/>
      <c r="AJ929" s="51" t="s">
        <v>67</v>
      </c>
      <c r="AK929" s="51" t="s">
        <v>67</v>
      </c>
      <c r="AL929" s="15"/>
      <c r="AM929" s="51" t="s">
        <v>67</v>
      </c>
      <c r="AN929" s="51" t="s">
        <v>67</v>
      </c>
      <c r="AO929" s="50" t="s">
        <v>9554</v>
      </c>
    </row>
    <row r="930" spans="1:41" hidden="1" x14ac:dyDescent="0.25">
      <c r="A930" s="51" t="s">
        <v>5286</v>
      </c>
      <c r="B930" s="51" t="s">
        <v>5287</v>
      </c>
      <c r="C930" s="54" t="s">
        <v>5603</v>
      </c>
      <c r="D930" s="51" t="s">
        <v>5288</v>
      </c>
      <c r="E930" s="20">
        <v>10020.06</v>
      </c>
      <c r="F930" s="20">
        <v>5167.0600000000004</v>
      </c>
      <c r="G930" s="20">
        <v>6320.84</v>
      </c>
      <c r="H930" s="20">
        <v>3870.86</v>
      </c>
      <c r="I930" s="20">
        <v>5167.05</v>
      </c>
      <c r="J930" s="51" t="s">
        <v>6727</v>
      </c>
      <c r="K930" s="15">
        <v>23</v>
      </c>
      <c r="L930" s="51" t="s">
        <v>2369</v>
      </c>
      <c r="M930" s="51" t="s">
        <v>5289</v>
      </c>
      <c r="N930" s="51" t="s">
        <v>1340</v>
      </c>
      <c r="O930" s="51" t="s">
        <v>5290</v>
      </c>
      <c r="P930" s="51" t="s">
        <v>1340</v>
      </c>
      <c r="Q930" s="45">
        <v>46281.608516006941</v>
      </c>
      <c r="R930" s="46">
        <v>46298</v>
      </c>
      <c r="S930" s="46">
        <v>46293</v>
      </c>
      <c r="T930" s="51" t="s">
        <v>6119</v>
      </c>
      <c r="U930" s="15">
        <v>848.05</v>
      </c>
      <c r="V930" s="15">
        <v>3921.84</v>
      </c>
      <c r="W930" s="15">
        <v>36.08</v>
      </c>
      <c r="X930" s="15">
        <v>14.9</v>
      </c>
      <c r="Y930" s="15">
        <v>1.662307</v>
      </c>
      <c r="Z930" s="15">
        <v>6</v>
      </c>
      <c r="AA930" s="46">
        <v>46268</v>
      </c>
      <c r="AB930" s="15"/>
      <c r="AC930" s="15"/>
      <c r="AD930" s="15"/>
      <c r="AE930" s="15"/>
      <c r="AF930" s="15"/>
      <c r="AG930" s="15"/>
      <c r="AH930" s="15"/>
      <c r="AI930" s="46"/>
      <c r="AJ930" s="51" t="s">
        <v>6121</v>
      </c>
      <c r="AK930" s="51" t="s">
        <v>6121</v>
      </c>
      <c r="AL930" s="15">
        <v>848.05</v>
      </c>
      <c r="AM930" s="51" t="s">
        <v>67</v>
      </c>
      <c r="AN930" s="51" t="s">
        <v>67</v>
      </c>
      <c r="AO930" s="50" t="s">
        <v>9554</v>
      </c>
    </row>
    <row r="931" spans="1:41" hidden="1" x14ac:dyDescent="0.25">
      <c r="A931" s="51" t="s">
        <v>5291</v>
      </c>
      <c r="B931" s="51" t="s">
        <v>5292</v>
      </c>
      <c r="C931" s="54" t="s">
        <v>2357</v>
      </c>
      <c r="D931" s="51" t="s">
        <v>5293</v>
      </c>
      <c r="E931" s="20">
        <v>10556.88</v>
      </c>
      <c r="F931" s="20">
        <v>935.11</v>
      </c>
      <c r="G931" s="20">
        <v>2826.97</v>
      </c>
      <c r="H931" s="20">
        <v>0</v>
      </c>
      <c r="I931" s="20">
        <v>935.11</v>
      </c>
      <c r="J931" s="51" t="s">
        <v>2654</v>
      </c>
      <c r="K931" s="15">
        <v>0</v>
      </c>
      <c r="L931" s="51" t="s">
        <v>2371</v>
      </c>
      <c r="M931" s="51" t="s">
        <v>5294</v>
      </c>
      <c r="N931" s="51" t="s">
        <v>1340</v>
      </c>
      <c r="O931" s="51" t="s">
        <v>5295</v>
      </c>
      <c r="P931" s="51" t="s">
        <v>1340</v>
      </c>
      <c r="Q931" s="45">
        <v>46281.608518240741</v>
      </c>
      <c r="R931" s="46">
        <v>46308</v>
      </c>
      <c r="S931" s="46">
        <v>46303</v>
      </c>
      <c r="T931" s="51" t="s">
        <v>6119</v>
      </c>
      <c r="U931" s="15"/>
      <c r="V931" s="15"/>
      <c r="W931" s="15"/>
      <c r="X931" s="15"/>
      <c r="Y931" s="15"/>
      <c r="Z931" s="15"/>
      <c r="AA931" s="46"/>
      <c r="AB931" s="15"/>
      <c r="AC931" s="15"/>
      <c r="AD931" s="15"/>
      <c r="AE931" s="15"/>
      <c r="AF931" s="15"/>
      <c r="AG931" s="15"/>
      <c r="AH931" s="15"/>
      <c r="AI931" s="46"/>
      <c r="AJ931" s="51" t="s">
        <v>67</v>
      </c>
      <c r="AK931" s="51" t="s">
        <v>67</v>
      </c>
      <c r="AL931" s="15"/>
      <c r="AM931" s="51" t="s">
        <v>67</v>
      </c>
      <c r="AN931" s="51" t="s">
        <v>67</v>
      </c>
      <c r="AO931" s="50" t="s">
        <v>9554</v>
      </c>
    </row>
    <row r="932" spans="1:41" hidden="1" x14ac:dyDescent="0.25">
      <c r="A932" s="51" t="s">
        <v>5296</v>
      </c>
      <c r="B932" s="51" t="s">
        <v>5297</v>
      </c>
      <c r="C932" s="54" t="s">
        <v>2541</v>
      </c>
      <c r="D932" s="51" t="s">
        <v>5298</v>
      </c>
      <c r="E932" s="20">
        <v>14337.18</v>
      </c>
      <c r="F932" s="20">
        <v>315.43</v>
      </c>
      <c r="G932" s="20">
        <v>12603.61</v>
      </c>
      <c r="H932" s="20">
        <v>0</v>
      </c>
      <c r="I932" s="20">
        <v>473.15</v>
      </c>
      <c r="J932" s="51" t="s">
        <v>2654</v>
      </c>
      <c r="K932" s="15">
        <v>0</v>
      </c>
      <c r="L932" s="51" t="s">
        <v>2371</v>
      </c>
      <c r="M932" s="51" t="s">
        <v>5299</v>
      </c>
      <c r="N932" s="51" t="s">
        <v>1344</v>
      </c>
      <c r="O932" s="51" t="s">
        <v>67</v>
      </c>
      <c r="P932" s="51" t="s">
        <v>67</v>
      </c>
      <c r="Q932" s="45">
        <v>46281.608520277776</v>
      </c>
      <c r="R932" s="46">
        <v>46311</v>
      </c>
      <c r="S932" s="46">
        <v>46306</v>
      </c>
      <c r="T932" s="51" t="s">
        <v>6119</v>
      </c>
      <c r="U932" s="15"/>
      <c r="V932" s="15"/>
      <c r="W932" s="15"/>
      <c r="X932" s="15"/>
      <c r="Y932" s="15"/>
      <c r="Z932" s="15"/>
      <c r="AA932" s="46"/>
      <c r="AB932" s="15"/>
      <c r="AC932" s="15"/>
      <c r="AD932" s="15"/>
      <c r="AE932" s="15"/>
      <c r="AF932" s="15"/>
      <c r="AG932" s="15"/>
      <c r="AH932" s="15"/>
      <c r="AI932" s="46"/>
      <c r="AJ932" s="51" t="s">
        <v>67</v>
      </c>
      <c r="AK932" s="51" t="s">
        <v>67</v>
      </c>
      <c r="AL932" s="15"/>
      <c r="AM932" s="51" t="s">
        <v>67</v>
      </c>
      <c r="AN932" s="51" t="s">
        <v>67</v>
      </c>
      <c r="AO932" s="50" t="s">
        <v>9554</v>
      </c>
    </row>
    <row r="933" spans="1:41" hidden="1" x14ac:dyDescent="0.25">
      <c r="A933" s="51" t="s">
        <v>5300</v>
      </c>
      <c r="B933" s="51" t="s">
        <v>5301</v>
      </c>
      <c r="C933" s="54" t="s">
        <v>5601</v>
      </c>
      <c r="D933" s="51" t="s">
        <v>5302</v>
      </c>
      <c r="E933" s="20">
        <v>14817.9</v>
      </c>
      <c r="F933" s="20">
        <v>0</v>
      </c>
      <c r="G933" s="20">
        <v>21096.6</v>
      </c>
      <c r="H933" s="20">
        <v>0</v>
      </c>
      <c r="I933" s="20">
        <v>449.47</v>
      </c>
      <c r="J933" s="51" t="s">
        <v>2654</v>
      </c>
      <c r="K933" s="15">
        <v>0</v>
      </c>
      <c r="L933" s="51" t="s">
        <v>2371</v>
      </c>
      <c r="M933" s="51" t="s">
        <v>5303</v>
      </c>
      <c r="N933" s="51" t="s">
        <v>1340</v>
      </c>
      <c r="O933" s="51" t="s">
        <v>67</v>
      </c>
      <c r="P933" s="51" t="s">
        <v>67</v>
      </c>
      <c r="Q933" s="45">
        <v>46281.608521898146</v>
      </c>
      <c r="R933" s="46">
        <v>46316</v>
      </c>
      <c r="S933" s="46">
        <v>46311</v>
      </c>
      <c r="T933" s="51" t="s">
        <v>6119</v>
      </c>
      <c r="U933" s="15"/>
      <c r="V933" s="15"/>
      <c r="W933" s="15"/>
      <c r="X933" s="15"/>
      <c r="Y933" s="15"/>
      <c r="Z933" s="15"/>
      <c r="AA933" s="46"/>
      <c r="AB933" s="15"/>
      <c r="AC933" s="15"/>
      <c r="AD933" s="15"/>
      <c r="AE933" s="15"/>
      <c r="AF933" s="15"/>
      <c r="AG933" s="15"/>
      <c r="AH933" s="15"/>
      <c r="AI933" s="46"/>
      <c r="AJ933" s="51" t="s">
        <v>67</v>
      </c>
      <c r="AK933" s="51" t="s">
        <v>67</v>
      </c>
      <c r="AL933" s="15"/>
      <c r="AM933" s="51" t="s">
        <v>67</v>
      </c>
      <c r="AN933" s="51" t="s">
        <v>67</v>
      </c>
      <c r="AO933" s="50" t="s">
        <v>9554</v>
      </c>
    </row>
    <row r="934" spans="1:41" hidden="1" x14ac:dyDescent="0.25">
      <c r="A934" s="51" t="s">
        <v>5304</v>
      </c>
      <c r="B934" s="51" t="s">
        <v>5305</v>
      </c>
      <c r="C934" s="54" t="s">
        <v>5603</v>
      </c>
      <c r="D934" s="51" t="s">
        <v>5306</v>
      </c>
      <c r="E934" s="20">
        <v>12747.65</v>
      </c>
      <c r="F934" s="20">
        <v>2613.25</v>
      </c>
      <c r="G934" s="20">
        <v>3722.22</v>
      </c>
      <c r="H934" s="20">
        <v>3870.86</v>
      </c>
      <c r="I934" s="20">
        <v>2613.25</v>
      </c>
      <c r="J934" s="51" t="s">
        <v>6726</v>
      </c>
      <c r="K934" s="15">
        <v>0</v>
      </c>
      <c r="L934" s="51" t="s">
        <v>2371</v>
      </c>
      <c r="M934" s="51" t="s">
        <v>67</v>
      </c>
      <c r="N934" s="51" t="s">
        <v>67</v>
      </c>
      <c r="O934" s="51" t="s">
        <v>5307</v>
      </c>
      <c r="P934" s="51" t="s">
        <v>1340</v>
      </c>
      <c r="Q934" s="45">
        <v>46281.60852347222</v>
      </c>
      <c r="R934" s="46">
        <v>46298</v>
      </c>
      <c r="S934" s="46">
        <v>46293</v>
      </c>
      <c r="T934" s="51" t="s">
        <v>6119</v>
      </c>
      <c r="U934" s="15">
        <v>848.05</v>
      </c>
      <c r="V934" s="15">
        <v>3921.84</v>
      </c>
      <c r="W934" s="15">
        <v>36.08</v>
      </c>
      <c r="X934" s="15">
        <v>14.9</v>
      </c>
      <c r="Y934" s="15">
        <v>1.662307</v>
      </c>
      <c r="Z934" s="15">
        <v>6</v>
      </c>
      <c r="AA934" s="46">
        <v>46268</v>
      </c>
      <c r="AB934" s="15"/>
      <c r="AC934" s="15"/>
      <c r="AD934" s="15"/>
      <c r="AE934" s="15"/>
      <c r="AF934" s="15"/>
      <c r="AG934" s="15"/>
      <c r="AH934" s="15"/>
      <c r="AI934" s="46"/>
      <c r="AJ934" s="51" t="s">
        <v>67</v>
      </c>
      <c r="AK934" s="51" t="s">
        <v>6121</v>
      </c>
      <c r="AL934" s="15">
        <v>848.05</v>
      </c>
      <c r="AM934" s="51" t="s">
        <v>67</v>
      </c>
      <c r="AN934" s="51" t="s">
        <v>67</v>
      </c>
      <c r="AO934" s="50" t="s">
        <v>9554</v>
      </c>
    </row>
    <row r="935" spans="1:41" hidden="1" x14ac:dyDescent="0.25">
      <c r="A935" s="51" t="s">
        <v>5308</v>
      </c>
      <c r="B935" s="51" t="s">
        <v>5309</v>
      </c>
      <c r="C935" s="54" t="s">
        <v>5606</v>
      </c>
      <c r="D935" s="51" t="s">
        <v>5310</v>
      </c>
      <c r="E935" s="20">
        <v>5088.1099999999997</v>
      </c>
      <c r="F935" s="20">
        <v>802.5</v>
      </c>
      <c r="G935" s="20">
        <v>15760.44</v>
      </c>
      <c r="H935" s="20">
        <v>0</v>
      </c>
      <c r="I935" s="20">
        <v>802.5</v>
      </c>
      <c r="J935" s="51" t="s">
        <v>2654</v>
      </c>
      <c r="K935" s="15">
        <v>0</v>
      </c>
      <c r="L935" s="51" t="s">
        <v>2371</v>
      </c>
      <c r="M935" s="51" t="s">
        <v>67</v>
      </c>
      <c r="N935" s="51" t="s">
        <v>67</v>
      </c>
      <c r="O935" s="51" t="s">
        <v>5311</v>
      </c>
      <c r="P935" s="51" t="s">
        <v>1344</v>
      </c>
      <c r="Q935" s="45">
        <v>46281.60852559028</v>
      </c>
      <c r="R935" s="46">
        <v>46297</v>
      </c>
      <c r="S935" s="46">
        <v>46292</v>
      </c>
      <c r="T935" s="51" t="s">
        <v>6119</v>
      </c>
      <c r="U935" s="15"/>
      <c r="V935" s="15"/>
      <c r="W935" s="15"/>
      <c r="X935" s="15"/>
      <c r="Y935" s="15"/>
      <c r="Z935" s="15"/>
      <c r="AA935" s="46"/>
      <c r="AB935" s="15"/>
      <c r="AC935" s="15"/>
      <c r="AD935" s="15"/>
      <c r="AE935" s="15"/>
      <c r="AF935" s="15"/>
      <c r="AG935" s="15"/>
      <c r="AH935" s="15"/>
      <c r="AI935" s="46"/>
      <c r="AJ935" s="51" t="s">
        <v>67</v>
      </c>
      <c r="AK935" s="51" t="s">
        <v>67</v>
      </c>
      <c r="AL935" s="15"/>
      <c r="AM935" s="51" t="s">
        <v>67</v>
      </c>
      <c r="AN935" s="51" t="s">
        <v>67</v>
      </c>
      <c r="AO935" s="50" t="s">
        <v>9554</v>
      </c>
    </row>
    <row r="936" spans="1:41" hidden="1" x14ac:dyDescent="0.25">
      <c r="A936" s="51" t="s">
        <v>5312</v>
      </c>
      <c r="B936" s="51" t="s">
        <v>5313</v>
      </c>
      <c r="C936" s="54" t="s">
        <v>5599</v>
      </c>
      <c r="D936" s="51" t="s">
        <v>5314</v>
      </c>
      <c r="E936" s="20">
        <v>666.54</v>
      </c>
      <c r="F936" s="20">
        <v>4835.16</v>
      </c>
      <c r="G936" s="20">
        <v>2623.74</v>
      </c>
      <c r="H936" s="20">
        <v>3870.86</v>
      </c>
      <c r="I936" s="20">
        <v>4835.16</v>
      </c>
      <c r="J936" s="51" t="s">
        <v>6727</v>
      </c>
      <c r="K936" s="15">
        <v>19</v>
      </c>
      <c r="L936" s="51" t="s">
        <v>2369</v>
      </c>
      <c r="M936" s="51" t="s">
        <v>5315</v>
      </c>
      <c r="N936" s="51" t="s">
        <v>1344</v>
      </c>
      <c r="O936" s="51" t="s">
        <v>5316</v>
      </c>
      <c r="P936" s="51" t="s">
        <v>1344</v>
      </c>
      <c r="Q936" s="45">
        <v>46281.60852721065</v>
      </c>
      <c r="R936" s="46">
        <v>46302</v>
      </c>
      <c r="S936" s="46">
        <v>46297</v>
      </c>
      <c r="T936" s="51" t="s">
        <v>6119</v>
      </c>
      <c r="U936" s="15">
        <v>848.05</v>
      </c>
      <c r="V936" s="15">
        <v>3921.84</v>
      </c>
      <c r="W936" s="15">
        <v>36.08</v>
      </c>
      <c r="X936" s="15">
        <v>14.9</v>
      </c>
      <c r="Y936" s="15">
        <v>1.662307</v>
      </c>
      <c r="Z936" s="15">
        <v>6</v>
      </c>
      <c r="AA936" s="46">
        <v>46272</v>
      </c>
      <c r="AB936" s="15"/>
      <c r="AC936" s="15"/>
      <c r="AD936" s="15"/>
      <c r="AE936" s="15"/>
      <c r="AF936" s="15"/>
      <c r="AG936" s="15"/>
      <c r="AH936" s="15"/>
      <c r="AI936" s="46"/>
      <c r="AJ936" s="51" t="s">
        <v>6121</v>
      </c>
      <c r="AK936" s="51" t="s">
        <v>6121</v>
      </c>
      <c r="AL936" s="15">
        <v>848.05</v>
      </c>
      <c r="AM936" s="51" t="s">
        <v>67</v>
      </c>
      <c r="AN936" s="51" t="s">
        <v>67</v>
      </c>
      <c r="AO936" s="50" t="s">
        <v>9554</v>
      </c>
    </row>
    <row r="937" spans="1:41" hidden="1" x14ac:dyDescent="0.25">
      <c r="A937" s="51" t="s">
        <v>5317</v>
      </c>
      <c r="B937" s="51" t="s">
        <v>5318</v>
      </c>
      <c r="C937" s="54" t="s">
        <v>2692</v>
      </c>
      <c r="D937" s="51" t="s">
        <v>4807</v>
      </c>
      <c r="E937" s="20">
        <v>6690.23</v>
      </c>
      <c r="F937" s="20">
        <v>538.33000000000004</v>
      </c>
      <c r="G937" s="20">
        <v>18318.34</v>
      </c>
      <c r="H937" s="20">
        <v>0</v>
      </c>
      <c r="I937" s="20">
        <v>538.33000000000004</v>
      </c>
      <c r="J937" s="51" t="s">
        <v>2654</v>
      </c>
      <c r="K937" s="15">
        <v>0</v>
      </c>
      <c r="L937" s="51" t="s">
        <v>2371</v>
      </c>
      <c r="M937" s="51" t="s">
        <v>5319</v>
      </c>
      <c r="N937" s="51" t="s">
        <v>1340</v>
      </c>
      <c r="O937" s="51" t="s">
        <v>67</v>
      </c>
      <c r="P937" s="51" t="s">
        <v>67</v>
      </c>
      <c r="Q937" s="45">
        <v>46281.608529247686</v>
      </c>
      <c r="R937" s="46">
        <v>46296</v>
      </c>
      <c r="S937" s="46">
        <v>46291</v>
      </c>
      <c r="T937" s="51" t="s">
        <v>6119</v>
      </c>
      <c r="U937" s="15"/>
      <c r="V937" s="15"/>
      <c r="W937" s="15"/>
      <c r="X937" s="15"/>
      <c r="Y937" s="15"/>
      <c r="Z937" s="15"/>
      <c r="AA937" s="46"/>
      <c r="AB937" s="15"/>
      <c r="AC937" s="15"/>
      <c r="AD937" s="15"/>
      <c r="AE937" s="15"/>
      <c r="AF937" s="15"/>
      <c r="AG937" s="15"/>
      <c r="AH937" s="15"/>
      <c r="AI937" s="46"/>
      <c r="AJ937" s="51" t="s">
        <v>67</v>
      </c>
      <c r="AK937" s="51" t="s">
        <v>67</v>
      </c>
      <c r="AL937" s="15"/>
      <c r="AM937" s="51" t="s">
        <v>67</v>
      </c>
      <c r="AN937" s="51" t="s">
        <v>67</v>
      </c>
      <c r="AO937" s="50" t="s">
        <v>9554</v>
      </c>
    </row>
    <row r="938" spans="1:41" hidden="1" x14ac:dyDescent="0.25">
      <c r="A938" s="51" t="s">
        <v>5320</v>
      </c>
      <c r="B938" s="51" t="s">
        <v>5321</v>
      </c>
      <c r="C938" s="54" t="s">
        <v>2693</v>
      </c>
      <c r="D938" s="51" t="s">
        <v>5322</v>
      </c>
      <c r="E938" s="20">
        <v>7351.96</v>
      </c>
      <c r="F938" s="20">
        <v>0</v>
      </c>
      <c r="G938" s="20">
        <v>16582.03</v>
      </c>
      <c r="H938" s="20">
        <v>0</v>
      </c>
      <c r="I938" s="20">
        <v>420.86</v>
      </c>
      <c r="J938" s="51" t="s">
        <v>2654</v>
      </c>
      <c r="K938" s="15">
        <v>0</v>
      </c>
      <c r="L938" s="51" t="s">
        <v>2371</v>
      </c>
      <c r="M938" s="51" t="s">
        <v>5323</v>
      </c>
      <c r="N938" s="51" t="s">
        <v>1344</v>
      </c>
      <c r="O938" s="51" t="s">
        <v>67</v>
      </c>
      <c r="P938" s="51" t="s">
        <v>67</v>
      </c>
      <c r="Q938" s="45">
        <v>46281.608531064812</v>
      </c>
      <c r="R938" s="46">
        <v>46314</v>
      </c>
      <c r="S938" s="46">
        <v>46309</v>
      </c>
      <c r="T938" s="51" t="s">
        <v>6119</v>
      </c>
      <c r="U938" s="15"/>
      <c r="V938" s="15"/>
      <c r="W938" s="15"/>
      <c r="X938" s="15"/>
      <c r="Y938" s="15"/>
      <c r="Z938" s="15"/>
      <c r="AA938" s="46"/>
      <c r="AB938" s="15"/>
      <c r="AC938" s="15"/>
      <c r="AD938" s="15"/>
      <c r="AE938" s="15"/>
      <c r="AF938" s="15"/>
      <c r="AG938" s="15"/>
      <c r="AH938" s="15"/>
      <c r="AI938" s="46"/>
      <c r="AJ938" s="51" t="s">
        <v>67</v>
      </c>
      <c r="AK938" s="51" t="s">
        <v>67</v>
      </c>
      <c r="AL938" s="15"/>
      <c r="AM938" s="51" t="s">
        <v>67</v>
      </c>
      <c r="AN938" s="51" t="s">
        <v>67</v>
      </c>
      <c r="AO938" s="50" t="s">
        <v>9554</v>
      </c>
    </row>
    <row r="939" spans="1:41" hidden="1" x14ac:dyDescent="0.25">
      <c r="A939" s="51" t="s">
        <v>5324</v>
      </c>
      <c r="B939" s="51" t="s">
        <v>5325</v>
      </c>
      <c r="C939" s="54" t="s">
        <v>5607</v>
      </c>
      <c r="D939" s="51" t="s">
        <v>5326</v>
      </c>
      <c r="E939" s="20">
        <v>6518.69</v>
      </c>
      <c r="F939" s="20">
        <v>906.6</v>
      </c>
      <c r="G939" s="20">
        <v>3636.07</v>
      </c>
      <c r="H939" s="20">
        <v>0</v>
      </c>
      <c r="I939" s="20">
        <v>906.6</v>
      </c>
      <c r="J939" s="51" t="s">
        <v>2654</v>
      </c>
      <c r="K939" s="15">
        <v>0</v>
      </c>
      <c r="L939" s="51" t="s">
        <v>2371</v>
      </c>
      <c r="M939" s="51" t="s">
        <v>5327</v>
      </c>
      <c r="N939" s="51" t="s">
        <v>1340</v>
      </c>
      <c r="O939" s="51" t="s">
        <v>5328</v>
      </c>
      <c r="P939" s="51" t="s">
        <v>1340</v>
      </c>
      <c r="Q939" s="45">
        <v>46281.608532835649</v>
      </c>
      <c r="R939" s="46">
        <v>46299</v>
      </c>
      <c r="S939" s="46">
        <v>46294</v>
      </c>
      <c r="T939" s="51" t="s">
        <v>6119</v>
      </c>
      <c r="U939" s="15"/>
      <c r="V939" s="15"/>
      <c r="W939" s="15"/>
      <c r="X939" s="15"/>
      <c r="Y939" s="15"/>
      <c r="Z939" s="15"/>
      <c r="AA939" s="46"/>
      <c r="AB939" s="15"/>
      <c r="AC939" s="15"/>
      <c r="AD939" s="15"/>
      <c r="AE939" s="15"/>
      <c r="AF939" s="15"/>
      <c r="AG939" s="15"/>
      <c r="AH939" s="15"/>
      <c r="AI939" s="46"/>
      <c r="AJ939" s="51" t="s">
        <v>67</v>
      </c>
      <c r="AK939" s="51" t="s">
        <v>67</v>
      </c>
      <c r="AL939" s="15"/>
      <c r="AM939" s="51" t="s">
        <v>67</v>
      </c>
      <c r="AN939" s="51" t="s">
        <v>67</v>
      </c>
      <c r="AO939" s="50" t="s">
        <v>9554</v>
      </c>
    </row>
    <row r="940" spans="1:41" hidden="1" x14ac:dyDescent="0.25">
      <c r="A940" s="51" t="s">
        <v>5329</v>
      </c>
      <c r="B940" s="51" t="s">
        <v>5330</v>
      </c>
      <c r="C940" s="54" t="s">
        <v>5599</v>
      </c>
      <c r="D940" s="51" t="s">
        <v>5331</v>
      </c>
      <c r="E940" s="20">
        <v>7533.39</v>
      </c>
      <c r="F940" s="20">
        <v>4798.47</v>
      </c>
      <c r="G940" s="20">
        <v>13176.79</v>
      </c>
      <c r="H940" s="20">
        <v>3870.86</v>
      </c>
      <c r="I940" s="20">
        <v>4798.46</v>
      </c>
      <c r="J940" s="51" t="s">
        <v>6727</v>
      </c>
      <c r="K940" s="15">
        <v>19</v>
      </c>
      <c r="L940" s="51" t="s">
        <v>2369</v>
      </c>
      <c r="M940" s="51" t="s">
        <v>5332</v>
      </c>
      <c r="N940" s="51" t="s">
        <v>1340</v>
      </c>
      <c r="O940" s="51" t="s">
        <v>67</v>
      </c>
      <c r="P940" s="51" t="s">
        <v>67</v>
      </c>
      <c r="Q940" s="45">
        <v>46281.608534571758</v>
      </c>
      <c r="R940" s="46">
        <v>46302</v>
      </c>
      <c r="S940" s="46">
        <v>46297</v>
      </c>
      <c r="T940" s="51" t="s">
        <v>6119</v>
      </c>
      <c r="U940" s="15">
        <v>848.05</v>
      </c>
      <c r="V940" s="15">
        <v>3921.84</v>
      </c>
      <c r="W940" s="15">
        <v>36.08</v>
      </c>
      <c r="X940" s="15">
        <v>14.9</v>
      </c>
      <c r="Y940" s="15">
        <v>1.662307</v>
      </c>
      <c r="Z940" s="15">
        <v>6</v>
      </c>
      <c r="AA940" s="46">
        <v>46272</v>
      </c>
      <c r="AB940" s="15"/>
      <c r="AC940" s="15"/>
      <c r="AD940" s="15"/>
      <c r="AE940" s="15"/>
      <c r="AF940" s="15"/>
      <c r="AG940" s="15"/>
      <c r="AH940" s="15"/>
      <c r="AI940" s="46"/>
      <c r="AJ940" s="51" t="s">
        <v>6121</v>
      </c>
      <c r="AK940" s="51" t="s">
        <v>6121</v>
      </c>
      <c r="AL940" s="15">
        <v>848.05</v>
      </c>
      <c r="AM940" s="51" t="s">
        <v>67</v>
      </c>
      <c r="AN940" s="51" t="s">
        <v>67</v>
      </c>
      <c r="AO940" s="50" t="s">
        <v>9554</v>
      </c>
    </row>
    <row r="941" spans="1:41" hidden="1" x14ac:dyDescent="0.25">
      <c r="A941" s="51" t="s">
        <v>5333</v>
      </c>
      <c r="B941" s="51" t="s">
        <v>5334</v>
      </c>
      <c r="C941" s="54" t="s">
        <v>2541</v>
      </c>
      <c r="D941" s="51" t="s">
        <v>5335</v>
      </c>
      <c r="E941" s="20">
        <v>8765.64</v>
      </c>
      <c r="F941" s="20">
        <v>872.55</v>
      </c>
      <c r="G941" s="20">
        <v>1933.64</v>
      </c>
      <c r="H941" s="20">
        <v>3870.86</v>
      </c>
      <c r="I941" s="20">
        <v>92.13</v>
      </c>
      <c r="J941" s="51" t="s">
        <v>6724</v>
      </c>
      <c r="K941" s="15">
        <v>0</v>
      </c>
      <c r="L941" s="51" t="s">
        <v>2371</v>
      </c>
      <c r="M941" s="51" t="s">
        <v>5336</v>
      </c>
      <c r="N941" s="51" t="s">
        <v>1340</v>
      </c>
      <c r="O941" s="51" t="s">
        <v>67</v>
      </c>
      <c r="P941" s="51" t="s">
        <v>67</v>
      </c>
      <c r="Q941" s="45">
        <v>46281.608536539352</v>
      </c>
      <c r="R941" s="46">
        <v>46311</v>
      </c>
      <c r="S941" s="46">
        <v>46306</v>
      </c>
      <c r="T941" s="51" t="s">
        <v>6119</v>
      </c>
      <c r="U941" s="15">
        <v>848.05</v>
      </c>
      <c r="V941" s="15">
        <v>3921.84</v>
      </c>
      <c r="W941" s="15">
        <v>36.08</v>
      </c>
      <c r="X941" s="15">
        <v>14.9</v>
      </c>
      <c r="Y941" s="15">
        <v>1.662307</v>
      </c>
      <c r="Z941" s="15">
        <v>6</v>
      </c>
      <c r="AA941" s="46">
        <v>46281</v>
      </c>
      <c r="AB941" s="15"/>
      <c r="AC941" s="15"/>
      <c r="AD941" s="15"/>
      <c r="AE941" s="15"/>
      <c r="AF941" s="15"/>
      <c r="AG941" s="15"/>
      <c r="AH941" s="15"/>
      <c r="AI941" s="46"/>
      <c r="AJ941" s="51" t="s">
        <v>67</v>
      </c>
      <c r="AK941" s="51" t="s">
        <v>6121</v>
      </c>
      <c r="AL941" s="15">
        <v>848.05</v>
      </c>
      <c r="AM941" s="51" t="s">
        <v>6705</v>
      </c>
      <c r="AN941" s="51" t="s">
        <v>6713</v>
      </c>
      <c r="AO941" s="50" t="s">
        <v>9554</v>
      </c>
    </row>
    <row r="942" spans="1:41" hidden="1" x14ac:dyDescent="0.25">
      <c r="A942" s="51" t="s">
        <v>5337</v>
      </c>
      <c r="B942" s="51" t="s">
        <v>5338</v>
      </c>
      <c r="C942" s="54" t="s">
        <v>2690</v>
      </c>
      <c r="D942" s="51" t="s">
        <v>5339</v>
      </c>
      <c r="E942" s="20">
        <v>1548.63</v>
      </c>
      <c r="F942" s="20">
        <v>5101.75</v>
      </c>
      <c r="G942" s="20">
        <v>9351.02</v>
      </c>
      <c r="H942" s="20">
        <v>7138.59</v>
      </c>
      <c r="I942" s="20">
        <v>5101.75</v>
      </c>
      <c r="J942" s="51" t="s">
        <v>6726</v>
      </c>
      <c r="K942" s="15">
        <v>0</v>
      </c>
      <c r="L942" s="51" t="s">
        <v>2371</v>
      </c>
      <c r="M942" s="51" t="s">
        <v>5340</v>
      </c>
      <c r="N942" s="51" t="s">
        <v>1340</v>
      </c>
      <c r="O942" s="51" t="s">
        <v>5341</v>
      </c>
      <c r="P942" s="51" t="s">
        <v>1340</v>
      </c>
      <c r="Q942" s="45">
        <v>46281.608538576387</v>
      </c>
      <c r="R942" s="46">
        <v>46322</v>
      </c>
      <c r="S942" s="46">
        <v>46317</v>
      </c>
      <c r="T942" s="51" t="s">
        <v>6119</v>
      </c>
      <c r="U942" s="15">
        <v>849.8</v>
      </c>
      <c r="V942" s="15">
        <v>3922.15</v>
      </c>
      <c r="W942" s="15">
        <v>36.39</v>
      </c>
      <c r="X942" s="15">
        <v>14.9</v>
      </c>
      <c r="Y942" s="15">
        <v>1.6620440000000001</v>
      </c>
      <c r="Z942" s="15">
        <v>6</v>
      </c>
      <c r="AA942" s="46">
        <v>46261</v>
      </c>
      <c r="AB942" s="15"/>
      <c r="AC942" s="15"/>
      <c r="AD942" s="15"/>
      <c r="AE942" s="15"/>
      <c r="AF942" s="15"/>
      <c r="AG942" s="15"/>
      <c r="AH942" s="15"/>
      <c r="AI942" s="46"/>
      <c r="AJ942" s="51" t="s">
        <v>67</v>
      </c>
      <c r="AK942" s="51" t="s">
        <v>6121</v>
      </c>
      <c r="AL942" s="15">
        <v>849.8</v>
      </c>
      <c r="AM942" s="51" t="s">
        <v>67</v>
      </c>
      <c r="AN942" s="51" t="s">
        <v>67</v>
      </c>
      <c r="AO942" s="50" t="s">
        <v>9554</v>
      </c>
    </row>
    <row r="943" spans="1:41" hidden="1" x14ac:dyDescent="0.25">
      <c r="A943" s="51" t="s">
        <v>5342</v>
      </c>
      <c r="B943" s="51" t="s">
        <v>5343</v>
      </c>
      <c r="C943" s="54" t="s">
        <v>2356</v>
      </c>
      <c r="D943" s="51" t="s">
        <v>5344</v>
      </c>
      <c r="E943" s="20">
        <v>15275.49</v>
      </c>
      <c r="F943" s="20">
        <v>852.69</v>
      </c>
      <c r="G943" s="20">
        <v>4936.2299999999996</v>
      </c>
      <c r="H943" s="20">
        <v>0</v>
      </c>
      <c r="I943" s="20">
        <v>852.69</v>
      </c>
      <c r="J943" s="51" t="s">
        <v>2654</v>
      </c>
      <c r="K943" s="15">
        <v>0</v>
      </c>
      <c r="L943" s="51" t="s">
        <v>2371</v>
      </c>
      <c r="M943" s="51" t="s">
        <v>5345</v>
      </c>
      <c r="N943" s="51" t="s">
        <v>1340</v>
      </c>
      <c r="O943" s="51" t="s">
        <v>5346</v>
      </c>
      <c r="P943" s="51" t="s">
        <v>1340</v>
      </c>
      <c r="Q943" s="45">
        <v>46281.60854050926</v>
      </c>
      <c r="R943" s="46">
        <v>46307</v>
      </c>
      <c r="S943" s="46">
        <v>46302</v>
      </c>
      <c r="T943" s="51" t="s">
        <v>6119</v>
      </c>
      <c r="U943" s="15"/>
      <c r="V943" s="15"/>
      <c r="W943" s="15"/>
      <c r="X943" s="15"/>
      <c r="Y943" s="15"/>
      <c r="Z943" s="15"/>
      <c r="AA943" s="46"/>
      <c r="AB943" s="15"/>
      <c r="AC943" s="15"/>
      <c r="AD943" s="15"/>
      <c r="AE943" s="15"/>
      <c r="AF943" s="15"/>
      <c r="AG943" s="15"/>
      <c r="AH943" s="15"/>
      <c r="AI943" s="46"/>
      <c r="AJ943" s="51" t="s">
        <v>67</v>
      </c>
      <c r="AK943" s="51" t="s">
        <v>67</v>
      </c>
      <c r="AL943" s="15"/>
      <c r="AM943" s="51" t="s">
        <v>67</v>
      </c>
      <c r="AN943" s="51" t="s">
        <v>67</v>
      </c>
      <c r="AO943" s="50" t="s">
        <v>9554</v>
      </c>
    </row>
    <row r="944" spans="1:41" hidden="1" x14ac:dyDescent="0.25">
      <c r="A944" s="51" t="s">
        <v>5347</v>
      </c>
      <c r="B944" s="51" t="s">
        <v>5348</v>
      </c>
      <c r="C944" s="54" t="s">
        <v>2694</v>
      </c>
      <c r="D944" s="51" t="s">
        <v>5349</v>
      </c>
      <c r="E944" s="20">
        <v>594.73</v>
      </c>
      <c r="F944" s="20">
        <v>4402.49</v>
      </c>
      <c r="G944" s="20">
        <v>-1718.09</v>
      </c>
      <c r="H944" s="20">
        <v>3870.86</v>
      </c>
      <c r="I944" s="20">
        <v>4156.2</v>
      </c>
      <c r="J944" s="51" t="s">
        <v>6727</v>
      </c>
      <c r="K944" s="15">
        <v>9</v>
      </c>
      <c r="L944" s="51" t="s">
        <v>2369</v>
      </c>
      <c r="M944" s="51" t="s">
        <v>5350</v>
      </c>
      <c r="N944" s="51" t="s">
        <v>1340</v>
      </c>
      <c r="O944" s="51" t="s">
        <v>67</v>
      </c>
      <c r="P944" s="51" t="s">
        <v>67</v>
      </c>
      <c r="Q944" s="45">
        <v>46281.608542442133</v>
      </c>
      <c r="R944" s="46">
        <v>46312</v>
      </c>
      <c r="S944" s="46">
        <v>46307</v>
      </c>
      <c r="T944" s="51" t="s">
        <v>6119</v>
      </c>
      <c r="U944" s="15">
        <v>848.05</v>
      </c>
      <c r="V944" s="15">
        <v>3921.84</v>
      </c>
      <c r="W944" s="15">
        <v>36.08</v>
      </c>
      <c r="X944" s="15">
        <v>14.9</v>
      </c>
      <c r="Y944" s="15">
        <v>1.662307</v>
      </c>
      <c r="Z944" s="15">
        <v>6</v>
      </c>
      <c r="AA944" s="46">
        <v>46282</v>
      </c>
      <c r="AB944" s="15"/>
      <c r="AC944" s="15"/>
      <c r="AD944" s="15"/>
      <c r="AE944" s="15"/>
      <c r="AF944" s="15"/>
      <c r="AG944" s="15"/>
      <c r="AH944" s="15"/>
      <c r="AI944" s="46"/>
      <c r="AJ944" s="51" t="s">
        <v>6121</v>
      </c>
      <c r="AK944" s="51" t="s">
        <v>6121</v>
      </c>
      <c r="AL944" s="15">
        <v>848.05</v>
      </c>
      <c r="AM944" s="51" t="s">
        <v>6705</v>
      </c>
      <c r="AN944" s="51" t="s">
        <v>6713</v>
      </c>
      <c r="AO944" s="50" t="s">
        <v>9554</v>
      </c>
    </row>
    <row r="945" spans="1:41" hidden="1" x14ac:dyDescent="0.25">
      <c r="A945" s="51" t="s">
        <v>5351</v>
      </c>
      <c r="B945" s="51" t="s">
        <v>5352</v>
      </c>
      <c r="C945" s="54" t="s">
        <v>2691</v>
      </c>
      <c r="D945" s="51" t="s">
        <v>5353</v>
      </c>
      <c r="E945" s="20">
        <v>11314.17</v>
      </c>
      <c r="F945" s="20">
        <v>4896.3599999999997</v>
      </c>
      <c r="G945" s="20">
        <v>8633.14</v>
      </c>
      <c r="H945" s="20">
        <v>3870.86</v>
      </c>
      <c r="I945" s="20">
        <v>4896.3599999999997</v>
      </c>
      <c r="J945" s="51" t="s">
        <v>6727</v>
      </c>
      <c r="K945" s="15">
        <v>20</v>
      </c>
      <c r="L945" s="51" t="s">
        <v>2369</v>
      </c>
      <c r="M945" s="51" t="s">
        <v>5354</v>
      </c>
      <c r="N945" s="51" t="s">
        <v>1340</v>
      </c>
      <c r="O945" s="51" t="s">
        <v>67</v>
      </c>
      <c r="P945" s="51" t="s">
        <v>67</v>
      </c>
      <c r="Q945" s="45">
        <v>46281.608544537034</v>
      </c>
      <c r="R945" s="46">
        <v>46301</v>
      </c>
      <c r="S945" s="46">
        <v>46296</v>
      </c>
      <c r="T945" s="51" t="s">
        <v>6119</v>
      </c>
      <c r="U945" s="15">
        <v>848.05</v>
      </c>
      <c r="V945" s="15">
        <v>3921.84</v>
      </c>
      <c r="W945" s="15">
        <v>36.08</v>
      </c>
      <c r="X945" s="15">
        <v>14.9</v>
      </c>
      <c r="Y945" s="15">
        <v>1.662307</v>
      </c>
      <c r="Z945" s="15">
        <v>6</v>
      </c>
      <c r="AA945" s="46">
        <v>46271</v>
      </c>
      <c r="AB945" s="15"/>
      <c r="AC945" s="15"/>
      <c r="AD945" s="15"/>
      <c r="AE945" s="15"/>
      <c r="AF945" s="15"/>
      <c r="AG945" s="15"/>
      <c r="AH945" s="15"/>
      <c r="AI945" s="46"/>
      <c r="AJ945" s="51" t="s">
        <v>6121</v>
      </c>
      <c r="AK945" s="51" t="s">
        <v>6121</v>
      </c>
      <c r="AL945" s="15">
        <v>848.05</v>
      </c>
      <c r="AM945" s="51" t="s">
        <v>67</v>
      </c>
      <c r="AN945" s="51" t="s">
        <v>67</v>
      </c>
      <c r="AO945" s="50" t="s">
        <v>9554</v>
      </c>
    </row>
    <row r="946" spans="1:41" hidden="1" x14ac:dyDescent="0.25">
      <c r="A946" s="51" t="s">
        <v>5355</v>
      </c>
      <c r="B946" s="51" t="s">
        <v>5356</v>
      </c>
      <c r="C946" s="54" t="s">
        <v>5603</v>
      </c>
      <c r="D946" s="51" t="s">
        <v>5357</v>
      </c>
      <c r="E946" s="20">
        <v>2694.7</v>
      </c>
      <c r="F946" s="20">
        <v>972.35</v>
      </c>
      <c r="G946" s="20">
        <v>7005.96</v>
      </c>
      <c r="H946" s="20">
        <v>0</v>
      </c>
      <c r="I946" s="20">
        <v>972.35</v>
      </c>
      <c r="J946" s="51" t="s">
        <v>2654</v>
      </c>
      <c r="K946" s="15">
        <v>0</v>
      </c>
      <c r="L946" s="51" t="s">
        <v>2371</v>
      </c>
      <c r="M946" s="51" t="s">
        <v>5358</v>
      </c>
      <c r="N946" s="51" t="s">
        <v>1340</v>
      </c>
      <c r="O946" s="51" t="s">
        <v>67</v>
      </c>
      <c r="P946" s="51" t="s">
        <v>67</v>
      </c>
      <c r="Q946" s="45">
        <v>46281.6085465625</v>
      </c>
      <c r="R946" s="46">
        <v>46298</v>
      </c>
      <c r="S946" s="46">
        <v>46293</v>
      </c>
      <c r="T946" s="51" t="s">
        <v>6119</v>
      </c>
      <c r="U946" s="15"/>
      <c r="V946" s="15"/>
      <c r="W946" s="15"/>
      <c r="X946" s="15"/>
      <c r="Y946" s="15"/>
      <c r="Z946" s="15"/>
      <c r="AA946" s="46"/>
      <c r="AB946" s="15"/>
      <c r="AC946" s="15"/>
      <c r="AD946" s="15"/>
      <c r="AE946" s="15"/>
      <c r="AF946" s="15"/>
      <c r="AG946" s="15"/>
      <c r="AH946" s="15"/>
      <c r="AI946" s="46"/>
      <c r="AJ946" s="51" t="s">
        <v>67</v>
      </c>
      <c r="AK946" s="51" t="s">
        <v>67</v>
      </c>
      <c r="AL946" s="15"/>
      <c r="AM946" s="51" t="s">
        <v>67</v>
      </c>
      <c r="AN946" s="51" t="s">
        <v>67</v>
      </c>
      <c r="AO946" s="50" t="s">
        <v>9554</v>
      </c>
    </row>
    <row r="947" spans="1:41" hidden="1" x14ac:dyDescent="0.25">
      <c r="A947" s="51" t="s">
        <v>5359</v>
      </c>
      <c r="B947" s="51" t="s">
        <v>5360</v>
      </c>
      <c r="C947" s="54" t="s">
        <v>5599</v>
      </c>
      <c r="D947" s="51" t="s">
        <v>5361</v>
      </c>
      <c r="E947" s="20">
        <v>13361.88</v>
      </c>
      <c r="F947" s="20">
        <v>4878.97</v>
      </c>
      <c r="G947" s="20">
        <v>262.63</v>
      </c>
      <c r="H947" s="20">
        <v>3870.86</v>
      </c>
      <c r="I947" s="20">
        <v>4878.97</v>
      </c>
      <c r="J947" s="51" t="s">
        <v>6727</v>
      </c>
      <c r="K947" s="15">
        <v>19</v>
      </c>
      <c r="L947" s="51" t="s">
        <v>2369</v>
      </c>
      <c r="M947" s="51" t="s">
        <v>5362</v>
      </c>
      <c r="N947" s="51" t="s">
        <v>1340</v>
      </c>
      <c r="O947" s="51" t="s">
        <v>67</v>
      </c>
      <c r="P947" s="51" t="s">
        <v>67</v>
      </c>
      <c r="Q947" s="45">
        <v>46281.60854833333</v>
      </c>
      <c r="R947" s="46">
        <v>46302</v>
      </c>
      <c r="S947" s="46">
        <v>46297</v>
      </c>
      <c r="T947" s="51" t="s">
        <v>6119</v>
      </c>
      <c r="U947" s="15">
        <v>848.05</v>
      </c>
      <c r="V947" s="15">
        <v>3921.84</v>
      </c>
      <c r="W947" s="15">
        <v>36.08</v>
      </c>
      <c r="X947" s="15">
        <v>14.9</v>
      </c>
      <c r="Y947" s="15">
        <v>1.662307</v>
      </c>
      <c r="Z947" s="15">
        <v>6</v>
      </c>
      <c r="AA947" s="46">
        <v>46272</v>
      </c>
      <c r="AB947" s="15"/>
      <c r="AC947" s="15"/>
      <c r="AD947" s="15"/>
      <c r="AE947" s="15"/>
      <c r="AF947" s="15"/>
      <c r="AG947" s="15"/>
      <c r="AH947" s="15"/>
      <c r="AI947" s="46"/>
      <c r="AJ947" s="51" t="s">
        <v>6121</v>
      </c>
      <c r="AK947" s="51" t="s">
        <v>6121</v>
      </c>
      <c r="AL947" s="15">
        <v>848.05</v>
      </c>
      <c r="AM947" s="51" t="s">
        <v>67</v>
      </c>
      <c r="AN947" s="51" t="s">
        <v>67</v>
      </c>
      <c r="AO947" s="50" t="s">
        <v>9554</v>
      </c>
    </row>
    <row r="948" spans="1:41" hidden="1" x14ac:dyDescent="0.25">
      <c r="A948" s="51" t="s">
        <v>5363</v>
      </c>
      <c r="B948" s="51" t="s">
        <v>5364</v>
      </c>
      <c r="C948" s="54" t="s">
        <v>608</v>
      </c>
      <c r="D948" s="51" t="s">
        <v>5365</v>
      </c>
      <c r="E948" s="20">
        <v>7243.75</v>
      </c>
      <c r="F948" s="20">
        <v>0</v>
      </c>
      <c r="G948" s="20">
        <v>4546.38</v>
      </c>
      <c r="H948" s="20">
        <v>0</v>
      </c>
      <c r="I948" s="20">
        <v>526.32000000000005</v>
      </c>
      <c r="J948" s="51" t="s">
        <v>2654</v>
      </c>
      <c r="K948" s="15">
        <v>0</v>
      </c>
      <c r="L948" s="51" t="s">
        <v>2371</v>
      </c>
      <c r="M948" s="51" t="s">
        <v>5366</v>
      </c>
      <c r="N948" s="51" t="s">
        <v>1344</v>
      </c>
      <c r="O948" s="51" t="s">
        <v>5367</v>
      </c>
      <c r="P948" s="51" t="s">
        <v>1344</v>
      </c>
      <c r="Q948" s="45">
        <v>46281.608550289355</v>
      </c>
      <c r="R948" s="46">
        <v>46315</v>
      </c>
      <c r="S948" s="46">
        <v>46310</v>
      </c>
      <c r="T948" s="51" t="s">
        <v>6119</v>
      </c>
      <c r="U948" s="15"/>
      <c r="V948" s="15"/>
      <c r="W948" s="15"/>
      <c r="X948" s="15"/>
      <c r="Y948" s="15"/>
      <c r="Z948" s="15"/>
      <c r="AA948" s="46"/>
      <c r="AB948" s="15"/>
      <c r="AC948" s="15"/>
      <c r="AD948" s="15"/>
      <c r="AE948" s="15"/>
      <c r="AF948" s="15"/>
      <c r="AG948" s="15"/>
      <c r="AH948" s="15"/>
      <c r="AI948" s="46"/>
      <c r="AJ948" s="51" t="s">
        <v>67</v>
      </c>
      <c r="AK948" s="51" t="s">
        <v>67</v>
      </c>
      <c r="AL948" s="15"/>
      <c r="AM948" s="51" t="s">
        <v>67</v>
      </c>
      <c r="AN948" s="51" t="s">
        <v>67</v>
      </c>
      <c r="AO948" s="50" t="s">
        <v>9554</v>
      </c>
    </row>
    <row r="949" spans="1:41" hidden="1" x14ac:dyDescent="0.25">
      <c r="A949" s="51" t="s">
        <v>5368</v>
      </c>
      <c r="B949" s="51" t="s">
        <v>5369</v>
      </c>
      <c r="C949" s="54" t="s">
        <v>608</v>
      </c>
      <c r="D949" s="51" t="s">
        <v>5370</v>
      </c>
      <c r="E949" s="20">
        <v>544.5</v>
      </c>
      <c r="F949" s="20">
        <v>0</v>
      </c>
      <c r="G949" s="20">
        <v>3915.5</v>
      </c>
      <c r="H949" s="20">
        <v>0</v>
      </c>
      <c r="I949" s="20">
        <v>496.33</v>
      </c>
      <c r="J949" s="51" t="s">
        <v>2654</v>
      </c>
      <c r="K949" s="15">
        <v>0</v>
      </c>
      <c r="L949" s="51" t="s">
        <v>2371</v>
      </c>
      <c r="M949" s="51" t="s">
        <v>5371</v>
      </c>
      <c r="N949" s="51" t="s">
        <v>1340</v>
      </c>
      <c r="O949" s="51" t="s">
        <v>5372</v>
      </c>
      <c r="P949" s="51" t="s">
        <v>1340</v>
      </c>
      <c r="Q949" s="45">
        <v>46281.608551944446</v>
      </c>
      <c r="R949" s="46">
        <v>46315</v>
      </c>
      <c r="S949" s="46">
        <v>46310</v>
      </c>
      <c r="T949" s="51" t="s">
        <v>6119</v>
      </c>
      <c r="U949" s="15"/>
      <c r="V949" s="15"/>
      <c r="W949" s="15"/>
      <c r="X949" s="15"/>
      <c r="Y949" s="15"/>
      <c r="Z949" s="15"/>
      <c r="AA949" s="46"/>
      <c r="AB949" s="15"/>
      <c r="AC949" s="15"/>
      <c r="AD949" s="15"/>
      <c r="AE949" s="15"/>
      <c r="AF949" s="15"/>
      <c r="AG949" s="15"/>
      <c r="AH949" s="15"/>
      <c r="AI949" s="46"/>
      <c r="AJ949" s="51" t="s">
        <v>67</v>
      </c>
      <c r="AK949" s="51" t="s">
        <v>67</v>
      </c>
      <c r="AL949" s="15"/>
      <c r="AM949" s="51" t="s">
        <v>67</v>
      </c>
      <c r="AN949" s="51" t="s">
        <v>67</v>
      </c>
      <c r="AO949" s="50" t="s">
        <v>9554</v>
      </c>
    </row>
    <row r="950" spans="1:41" hidden="1" x14ac:dyDescent="0.25">
      <c r="A950" s="51" t="s">
        <v>5373</v>
      </c>
      <c r="B950" s="51" t="s">
        <v>5374</v>
      </c>
      <c r="C950" s="54" t="s">
        <v>607</v>
      </c>
      <c r="D950" s="51" t="s">
        <v>5375</v>
      </c>
      <c r="E950" s="20">
        <v>2855.28</v>
      </c>
      <c r="F950" s="20">
        <v>4680.34</v>
      </c>
      <c r="G950" s="20">
        <v>15123.69</v>
      </c>
      <c r="H950" s="20">
        <v>3870.86</v>
      </c>
      <c r="I950" s="20">
        <v>4412.9799999999996</v>
      </c>
      <c r="J950" s="51" t="s">
        <v>6727</v>
      </c>
      <c r="K950" s="15">
        <v>11</v>
      </c>
      <c r="L950" s="51" t="s">
        <v>2369</v>
      </c>
      <c r="M950" s="51" t="s">
        <v>5376</v>
      </c>
      <c r="N950" s="51" t="s">
        <v>1344</v>
      </c>
      <c r="O950" s="51" t="s">
        <v>67</v>
      </c>
      <c r="P950" s="51" t="s">
        <v>67</v>
      </c>
      <c r="Q950" s="45">
        <v>46281.608553738428</v>
      </c>
      <c r="R950" s="46">
        <v>46310</v>
      </c>
      <c r="S950" s="46">
        <v>46305</v>
      </c>
      <c r="T950" s="51" t="s">
        <v>6119</v>
      </c>
      <c r="U950" s="15">
        <v>848.05</v>
      </c>
      <c r="V950" s="15">
        <v>3921.84</v>
      </c>
      <c r="W950" s="15">
        <v>36.08</v>
      </c>
      <c r="X950" s="15">
        <v>14.9</v>
      </c>
      <c r="Y950" s="15">
        <v>1.662307</v>
      </c>
      <c r="Z950" s="15">
        <v>6</v>
      </c>
      <c r="AA950" s="46">
        <v>46280</v>
      </c>
      <c r="AB950" s="15"/>
      <c r="AC950" s="15"/>
      <c r="AD950" s="15"/>
      <c r="AE950" s="15"/>
      <c r="AF950" s="15"/>
      <c r="AG950" s="15"/>
      <c r="AH950" s="15"/>
      <c r="AI950" s="46"/>
      <c r="AJ950" s="51" t="s">
        <v>6121</v>
      </c>
      <c r="AK950" s="51" t="s">
        <v>6121</v>
      </c>
      <c r="AL950" s="15">
        <v>848.05</v>
      </c>
      <c r="AM950" s="51" t="s">
        <v>67</v>
      </c>
      <c r="AN950" s="51" t="s">
        <v>67</v>
      </c>
      <c r="AO950" s="50" t="s">
        <v>9554</v>
      </c>
    </row>
    <row r="951" spans="1:41" hidden="1" x14ac:dyDescent="0.25">
      <c r="A951" s="51" t="s">
        <v>5377</v>
      </c>
      <c r="B951" s="51" t="s">
        <v>5378</v>
      </c>
      <c r="C951" s="54" t="s">
        <v>5599</v>
      </c>
      <c r="D951" s="51" t="s">
        <v>5379</v>
      </c>
      <c r="E951" s="20">
        <v>2907.37</v>
      </c>
      <c r="F951" s="20">
        <v>4864.16</v>
      </c>
      <c r="G951" s="20">
        <v>13796.44</v>
      </c>
      <c r="H951" s="20">
        <v>3870.86</v>
      </c>
      <c r="I951" s="20">
        <v>4864.16</v>
      </c>
      <c r="J951" s="51" t="s">
        <v>6727</v>
      </c>
      <c r="K951" s="15">
        <v>19</v>
      </c>
      <c r="L951" s="51" t="s">
        <v>2369</v>
      </c>
      <c r="M951" s="51" t="s">
        <v>5380</v>
      </c>
      <c r="N951" s="51" t="s">
        <v>1340</v>
      </c>
      <c r="O951" s="51" t="s">
        <v>5381</v>
      </c>
      <c r="P951" s="51" t="s">
        <v>1340</v>
      </c>
      <c r="Q951" s="45">
        <v>46281.608555949075</v>
      </c>
      <c r="R951" s="46">
        <v>46302</v>
      </c>
      <c r="S951" s="46">
        <v>46297</v>
      </c>
      <c r="T951" s="51" t="s">
        <v>6119</v>
      </c>
      <c r="U951" s="15">
        <v>848.05</v>
      </c>
      <c r="V951" s="15">
        <v>3921.84</v>
      </c>
      <c r="W951" s="15">
        <v>36.08</v>
      </c>
      <c r="X951" s="15">
        <v>14.9</v>
      </c>
      <c r="Y951" s="15">
        <v>1.662307</v>
      </c>
      <c r="Z951" s="15">
        <v>6</v>
      </c>
      <c r="AA951" s="46">
        <v>46272</v>
      </c>
      <c r="AB951" s="15"/>
      <c r="AC951" s="15"/>
      <c r="AD951" s="15"/>
      <c r="AE951" s="15"/>
      <c r="AF951" s="15"/>
      <c r="AG951" s="15"/>
      <c r="AH951" s="15"/>
      <c r="AI951" s="46"/>
      <c r="AJ951" s="51" t="s">
        <v>6121</v>
      </c>
      <c r="AK951" s="51" t="s">
        <v>6121</v>
      </c>
      <c r="AL951" s="15">
        <v>848.05</v>
      </c>
      <c r="AM951" s="51" t="s">
        <v>67</v>
      </c>
      <c r="AN951" s="51" t="s">
        <v>67</v>
      </c>
      <c r="AO951" s="50" t="s">
        <v>9554</v>
      </c>
    </row>
    <row r="952" spans="1:41" hidden="1" x14ac:dyDescent="0.25">
      <c r="A952" s="51" t="s">
        <v>5382</v>
      </c>
      <c r="B952" s="51" t="s">
        <v>5383</v>
      </c>
      <c r="C952" s="54" t="s">
        <v>608</v>
      </c>
      <c r="D952" s="51" t="s">
        <v>5384</v>
      </c>
      <c r="E952" s="20">
        <v>2514.62</v>
      </c>
      <c r="F952" s="20">
        <v>517.66</v>
      </c>
      <c r="G952" s="20">
        <v>7357.94</v>
      </c>
      <c r="H952" s="20">
        <v>0</v>
      </c>
      <c r="I952" s="20">
        <v>931.79</v>
      </c>
      <c r="J952" s="51" t="s">
        <v>2654</v>
      </c>
      <c r="K952" s="15">
        <v>0</v>
      </c>
      <c r="L952" s="51" t="s">
        <v>2371</v>
      </c>
      <c r="M952" s="51" t="s">
        <v>5385</v>
      </c>
      <c r="N952" s="51" t="s">
        <v>1340</v>
      </c>
      <c r="O952" s="51" t="s">
        <v>5386</v>
      </c>
      <c r="P952" s="51" t="s">
        <v>1340</v>
      </c>
      <c r="Q952" s="45">
        <v>46281.608618171296</v>
      </c>
      <c r="R952" s="46">
        <v>46315</v>
      </c>
      <c r="S952" s="46">
        <v>46310</v>
      </c>
      <c r="T952" s="51" t="s">
        <v>6119</v>
      </c>
      <c r="U952" s="15"/>
      <c r="V952" s="15"/>
      <c r="W952" s="15"/>
      <c r="X952" s="15"/>
      <c r="Y952" s="15"/>
      <c r="Z952" s="15"/>
      <c r="AA952" s="46"/>
      <c r="AB952" s="15"/>
      <c r="AC952" s="15"/>
      <c r="AD952" s="15"/>
      <c r="AE952" s="15"/>
      <c r="AF952" s="15"/>
      <c r="AG952" s="15"/>
      <c r="AH952" s="15"/>
      <c r="AI952" s="46"/>
      <c r="AJ952" s="51" t="s">
        <v>67</v>
      </c>
      <c r="AK952" s="51" t="s">
        <v>67</v>
      </c>
      <c r="AL952" s="15"/>
      <c r="AM952" s="51" t="s">
        <v>67</v>
      </c>
      <c r="AN952" s="51" t="s">
        <v>67</v>
      </c>
      <c r="AO952" s="50" t="s">
        <v>9554</v>
      </c>
    </row>
    <row r="953" spans="1:41" hidden="1" x14ac:dyDescent="0.25">
      <c r="A953" s="51" t="s">
        <v>5387</v>
      </c>
      <c r="B953" s="51" t="s">
        <v>5388</v>
      </c>
      <c r="C953" s="54" t="s">
        <v>5604</v>
      </c>
      <c r="D953" s="51" t="s">
        <v>5389</v>
      </c>
      <c r="E953" s="20">
        <v>15418.05</v>
      </c>
      <c r="F953" s="20">
        <v>4524.57</v>
      </c>
      <c r="G953" s="20">
        <v>10368.23</v>
      </c>
      <c r="H953" s="20">
        <v>3870.86</v>
      </c>
      <c r="I953" s="20">
        <v>2804.19</v>
      </c>
      <c r="J953" s="51" t="s">
        <v>6724</v>
      </c>
      <c r="K953" s="15">
        <v>0</v>
      </c>
      <c r="L953" s="51" t="s">
        <v>2371</v>
      </c>
      <c r="M953" s="51" t="s">
        <v>67</v>
      </c>
      <c r="N953" s="51" t="s">
        <v>67</v>
      </c>
      <c r="O953" s="51" t="s">
        <v>5390</v>
      </c>
      <c r="P953" s="51" t="s">
        <v>1340</v>
      </c>
      <c r="Q953" s="45">
        <v>46281.608620324077</v>
      </c>
      <c r="R953" s="46">
        <v>46313</v>
      </c>
      <c r="S953" s="46">
        <v>46308</v>
      </c>
      <c r="T953" s="51" t="s">
        <v>6119</v>
      </c>
      <c r="U953" s="15">
        <v>849.8</v>
      </c>
      <c r="V953" s="15">
        <v>3922.15</v>
      </c>
      <c r="W953" s="15">
        <v>36.39</v>
      </c>
      <c r="X953" s="15">
        <v>14.9</v>
      </c>
      <c r="Y953" s="15">
        <v>1.6620440000000001</v>
      </c>
      <c r="Z953" s="15">
        <v>6</v>
      </c>
      <c r="AA953" s="46">
        <v>46252</v>
      </c>
      <c r="AB953" s="15">
        <v>212.9</v>
      </c>
      <c r="AC953" s="15">
        <v>387.09</v>
      </c>
      <c r="AD953" s="15">
        <v>38.71</v>
      </c>
      <c r="AE953" s="15">
        <v>582.26</v>
      </c>
      <c r="AF953" s="15">
        <v>3729.62</v>
      </c>
      <c r="AG953" s="15">
        <v>57.49</v>
      </c>
      <c r="AH953" s="15">
        <v>1.5861069999999999</v>
      </c>
      <c r="AI953" s="46">
        <v>46283</v>
      </c>
      <c r="AJ953" s="51" t="s">
        <v>67</v>
      </c>
      <c r="AK953" s="51" t="s">
        <v>6121</v>
      </c>
      <c r="AL953" s="15">
        <v>849.8</v>
      </c>
      <c r="AM953" s="51" t="s">
        <v>6705</v>
      </c>
      <c r="AN953" s="51" t="s">
        <v>6715</v>
      </c>
      <c r="AO953" s="50" t="s">
        <v>9554</v>
      </c>
    </row>
    <row r="954" spans="1:41" hidden="1" x14ac:dyDescent="0.25">
      <c r="A954" s="51" t="s">
        <v>5391</v>
      </c>
      <c r="B954" s="51" t="s">
        <v>5392</v>
      </c>
      <c r="C954" s="54" t="s">
        <v>2358</v>
      </c>
      <c r="D954" s="51" t="s">
        <v>5393</v>
      </c>
      <c r="E954" s="20">
        <v>7658.88</v>
      </c>
      <c r="F954" s="20">
        <v>4927.33</v>
      </c>
      <c r="G954" s="20">
        <v>12221.76</v>
      </c>
      <c r="H954" s="20">
        <v>3870.86</v>
      </c>
      <c r="I954" s="20">
        <v>4534.68</v>
      </c>
      <c r="J954" s="51" t="s">
        <v>6727</v>
      </c>
      <c r="K954" s="15">
        <v>12</v>
      </c>
      <c r="L954" s="51" t="s">
        <v>2369</v>
      </c>
      <c r="M954" s="51" t="s">
        <v>5394</v>
      </c>
      <c r="N954" s="51" t="s">
        <v>1340</v>
      </c>
      <c r="O954" s="51" t="s">
        <v>67</v>
      </c>
      <c r="P954" s="51" t="s">
        <v>67</v>
      </c>
      <c r="Q954" s="45">
        <v>46281.608622673608</v>
      </c>
      <c r="R954" s="46">
        <v>46309</v>
      </c>
      <c r="S954" s="46">
        <v>46304</v>
      </c>
      <c r="T954" s="51" t="s">
        <v>6119</v>
      </c>
      <c r="U954" s="15">
        <v>848.05</v>
      </c>
      <c r="V954" s="15">
        <v>3921.84</v>
      </c>
      <c r="W954" s="15">
        <v>36.08</v>
      </c>
      <c r="X954" s="15">
        <v>14.9</v>
      </c>
      <c r="Y954" s="15">
        <v>1.662307</v>
      </c>
      <c r="Z954" s="15">
        <v>6</v>
      </c>
      <c r="AA954" s="46">
        <v>46279</v>
      </c>
      <c r="AB954" s="15"/>
      <c r="AC954" s="15"/>
      <c r="AD954" s="15"/>
      <c r="AE954" s="15"/>
      <c r="AF954" s="15"/>
      <c r="AG954" s="15"/>
      <c r="AH954" s="15"/>
      <c r="AI954" s="46"/>
      <c r="AJ954" s="51" t="s">
        <v>6121</v>
      </c>
      <c r="AK954" s="51" t="s">
        <v>6121</v>
      </c>
      <c r="AL954" s="15">
        <v>848.05</v>
      </c>
      <c r="AM954" s="51" t="s">
        <v>67</v>
      </c>
      <c r="AN954" s="51" t="s">
        <v>67</v>
      </c>
      <c r="AO954" s="50" t="s">
        <v>9554</v>
      </c>
    </row>
    <row r="955" spans="1:41" hidden="1" x14ac:dyDescent="0.25">
      <c r="A955" s="51" t="s">
        <v>5395</v>
      </c>
      <c r="B955" s="51" t="s">
        <v>5396</v>
      </c>
      <c r="C955" s="54" t="s">
        <v>5601</v>
      </c>
      <c r="D955" s="51" t="s">
        <v>5397</v>
      </c>
      <c r="E955" s="20">
        <v>2621.16</v>
      </c>
      <c r="F955" s="20">
        <v>0</v>
      </c>
      <c r="G955" s="20">
        <v>12307.93</v>
      </c>
      <c r="H955" s="20">
        <v>0</v>
      </c>
      <c r="I955" s="20">
        <v>968.16</v>
      </c>
      <c r="J955" s="51" t="s">
        <v>2654</v>
      </c>
      <c r="K955" s="15">
        <v>0</v>
      </c>
      <c r="L955" s="51" t="s">
        <v>2371</v>
      </c>
      <c r="M955" s="51" t="s">
        <v>67</v>
      </c>
      <c r="N955" s="51" t="s">
        <v>67</v>
      </c>
      <c r="O955" s="51" t="s">
        <v>5398</v>
      </c>
      <c r="P955" s="51" t="s">
        <v>1340</v>
      </c>
      <c r="Q955" s="45">
        <v>46281.60862525463</v>
      </c>
      <c r="R955" s="46">
        <v>46316</v>
      </c>
      <c r="S955" s="46">
        <v>46311</v>
      </c>
      <c r="T955" s="51" t="s">
        <v>6119</v>
      </c>
      <c r="U955" s="15"/>
      <c r="V955" s="15"/>
      <c r="W955" s="15"/>
      <c r="X955" s="15"/>
      <c r="Y955" s="15"/>
      <c r="Z955" s="15"/>
      <c r="AA955" s="46"/>
      <c r="AB955" s="15"/>
      <c r="AC955" s="15"/>
      <c r="AD955" s="15"/>
      <c r="AE955" s="15"/>
      <c r="AF955" s="15"/>
      <c r="AG955" s="15"/>
      <c r="AH955" s="15"/>
      <c r="AI955" s="46"/>
      <c r="AJ955" s="51" t="s">
        <v>67</v>
      </c>
      <c r="AK955" s="51" t="s">
        <v>67</v>
      </c>
      <c r="AL955" s="15"/>
      <c r="AM955" s="51" t="s">
        <v>67</v>
      </c>
      <c r="AN955" s="51" t="s">
        <v>67</v>
      </c>
      <c r="AO955" s="50" t="s">
        <v>9554</v>
      </c>
    </row>
    <row r="956" spans="1:41" hidden="1" x14ac:dyDescent="0.25">
      <c r="A956" s="51" t="s">
        <v>5399</v>
      </c>
      <c r="B956" s="51" t="s">
        <v>5400</v>
      </c>
      <c r="C956" s="54" t="s">
        <v>607</v>
      </c>
      <c r="D956" s="51" t="s">
        <v>5401</v>
      </c>
      <c r="E956" s="20">
        <v>8989.61</v>
      </c>
      <c r="F956" s="20">
        <v>435.91</v>
      </c>
      <c r="G956" s="20">
        <v>21191.1</v>
      </c>
      <c r="H956" s="20">
        <v>0</v>
      </c>
      <c r="I956" s="20">
        <v>784.64</v>
      </c>
      <c r="J956" s="51" t="s">
        <v>2654</v>
      </c>
      <c r="K956" s="15">
        <v>0</v>
      </c>
      <c r="L956" s="51" t="s">
        <v>2371</v>
      </c>
      <c r="M956" s="51" t="s">
        <v>67</v>
      </c>
      <c r="N956" s="51" t="s">
        <v>67</v>
      </c>
      <c r="O956" s="51" t="s">
        <v>5402</v>
      </c>
      <c r="P956" s="51" t="s">
        <v>1340</v>
      </c>
      <c r="Q956" s="45">
        <v>46281.608627164351</v>
      </c>
      <c r="R956" s="46">
        <v>46310</v>
      </c>
      <c r="S956" s="46">
        <v>46305</v>
      </c>
      <c r="T956" s="51" t="s">
        <v>6119</v>
      </c>
      <c r="U956" s="15"/>
      <c r="V956" s="15"/>
      <c r="W956" s="15"/>
      <c r="X956" s="15"/>
      <c r="Y956" s="15"/>
      <c r="Z956" s="15"/>
      <c r="AA956" s="46"/>
      <c r="AB956" s="15"/>
      <c r="AC956" s="15"/>
      <c r="AD956" s="15"/>
      <c r="AE956" s="15"/>
      <c r="AF956" s="15"/>
      <c r="AG956" s="15"/>
      <c r="AH956" s="15"/>
      <c r="AI956" s="46"/>
      <c r="AJ956" s="51" t="s">
        <v>67</v>
      </c>
      <c r="AK956" s="51" t="s">
        <v>67</v>
      </c>
      <c r="AL956" s="15"/>
      <c r="AM956" s="51" t="s">
        <v>67</v>
      </c>
      <c r="AN956" s="51" t="s">
        <v>67</v>
      </c>
      <c r="AO956" s="50" t="s">
        <v>9554</v>
      </c>
    </row>
    <row r="957" spans="1:41" hidden="1" x14ac:dyDescent="0.25">
      <c r="A957" s="51" t="s">
        <v>5403</v>
      </c>
      <c r="B957" s="51" t="s">
        <v>5404</v>
      </c>
      <c r="C957" s="54" t="s">
        <v>2694</v>
      </c>
      <c r="D957" s="51" t="s">
        <v>5405</v>
      </c>
      <c r="E957" s="20">
        <v>12752.82</v>
      </c>
      <c r="F957" s="20">
        <v>172.53</v>
      </c>
      <c r="G957" s="20">
        <v>20948.439999999999</v>
      </c>
      <c r="H957" s="20">
        <v>0</v>
      </c>
      <c r="I957" s="20">
        <v>776.4</v>
      </c>
      <c r="J957" s="51" t="s">
        <v>2654</v>
      </c>
      <c r="K957" s="15">
        <v>0</v>
      </c>
      <c r="L957" s="51" t="s">
        <v>2371</v>
      </c>
      <c r="M957" s="51" t="s">
        <v>67</v>
      </c>
      <c r="N957" s="51" t="s">
        <v>67</v>
      </c>
      <c r="O957" s="51" t="s">
        <v>5406</v>
      </c>
      <c r="P957" s="51" t="s">
        <v>1340</v>
      </c>
      <c r="Q957" s="45">
        <v>46281.608628993054</v>
      </c>
      <c r="R957" s="46">
        <v>46312</v>
      </c>
      <c r="S957" s="46">
        <v>46307</v>
      </c>
      <c r="T957" s="51" t="s">
        <v>6119</v>
      </c>
      <c r="U957" s="15"/>
      <c r="V957" s="15"/>
      <c r="W957" s="15"/>
      <c r="X957" s="15"/>
      <c r="Y957" s="15"/>
      <c r="Z957" s="15"/>
      <c r="AA957" s="46"/>
      <c r="AB957" s="15"/>
      <c r="AC957" s="15"/>
      <c r="AD957" s="15"/>
      <c r="AE957" s="15"/>
      <c r="AF957" s="15"/>
      <c r="AG957" s="15"/>
      <c r="AH957" s="15"/>
      <c r="AI957" s="46"/>
      <c r="AJ957" s="51" t="s">
        <v>67</v>
      </c>
      <c r="AK957" s="51" t="s">
        <v>67</v>
      </c>
      <c r="AL957" s="15"/>
      <c r="AM957" s="51" t="s">
        <v>67</v>
      </c>
      <c r="AN957" s="51" t="s">
        <v>67</v>
      </c>
      <c r="AO957" s="50" t="s">
        <v>9554</v>
      </c>
    </row>
    <row r="958" spans="1:41" hidden="1" x14ac:dyDescent="0.25">
      <c r="A958" s="51" t="s">
        <v>5407</v>
      </c>
      <c r="B958" s="51" t="s">
        <v>5408</v>
      </c>
      <c r="C958" s="54" t="s">
        <v>5599</v>
      </c>
      <c r="D958" s="51" t="s">
        <v>5409</v>
      </c>
      <c r="E958" s="20">
        <v>4154.4399999999996</v>
      </c>
      <c r="F958" s="20">
        <v>4953.92</v>
      </c>
      <c r="G958" s="20">
        <v>15481.55</v>
      </c>
      <c r="H958" s="20">
        <v>3870.86</v>
      </c>
      <c r="I958" s="20">
        <v>4953.92</v>
      </c>
      <c r="J958" s="51" t="s">
        <v>6727</v>
      </c>
      <c r="K958" s="15">
        <v>19</v>
      </c>
      <c r="L958" s="51" t="s">
        <v>2369</v>
      </c>
      <c r="M958" s="51" t="s">
        <v>5410</v>
      </c>
      <c r="N958" s="51" t="s">
        <v>1344</v>
      </c>
      <c r="O958" s="51" t="s">
        <v>5411</v>
      </c>
      <c r="P958" s="51" t="s">
        <v>1344</v>
      </c>
      <c r="Q958" s="45">
        <v>46281.608631053241</v>
      </c>
      <c r="R958" s="46">
        <v>46302</v>
      </c>
      <c r="S958" s="46">
        <v>46297</v>
      </c>
      <c r="T958" s="51" t="s">
        <v>6119</v>
      </c>
      <c r="U958" s="15">
        <v>848.05</v>
      </c>
      <c r="V958" s="15">
        <v>3921.84</v>
      </c>
      <c r="W958" s="15">
        <v>36.08</v>
      </c>
      <c r="X958" s="15">
        <v>14.9</v>
      </c>
      <c r="Y958" s="15">
        <v>1.662307</v>
      </c>
      <c r="Z958" s="15">
        <v>6</v>
      </c>
      <c r="AA958" s="46">
        <v>46272</v>
      </c>
      <c r="AB958" s="15"/>
      <c r="AC958" s="15"/>
      <c r="AD958" s="15"/>
      <c r="AE958" s="15"/>
      <c r="AF958" s="15"/>
      <c r="AG958" s="15"/>
      <c r="AH958" s="15"/>
      <c r="AI958" s="46"/>
      <c r="AJ958" s="51" t="s">
        <v>6121</v>
      </c>
      <c r="AK958" s="51" t="s">
        <v>6121</v>
      </c>
      <c r="AL958" s="15">
        <v>848.05</v>
      </c>
      <c r="AM958" s="51" t="s">
        <v>67</v>
      </c>
      <c r="AN958" s="51" t="s">
        <v>67</v>
      </c>
      <c r="AO958" s="50" t="s">
        <v>9554</v>
      </c>
    </row>
    <row r="959" spans="1:41" hidden="1" x14ac:dyDescent="0.25">
      <c r="A959" s="51" t="s">
        <v>5412</v>
      </c>
      <c r="B959" s="51" t="s">
        <v>5413</v>
      </c>
      <c r="C959" s="54" t="s">
        <v>5601</v>
      </c>
      <c r="D959" s="51" t="s">
        <v>5414</v>
      </c>
      <c r="E959" s="20">
        <v>12469.72</v>
      </c>
      <c r="F959" s="20">
        <v>0</v>
      </c>
      <c r="G959" s="20">
        <v>4944.09</v>
      </c>
      <c r="H959" s="20">
        <v>0</v>
      </c>
      <c r="I959" s="20">
        <v>488.83</v>
      </c>
      <c r="J959" s="51" t="s">
        <v>2654</v>
      </c>
      <c r="K959" s="15">
        <v>0</v>
      </c>
      <c r="L959" s="51" t="s">
        <v>2371</v>
      </c>
      <c r="M959" s="51" t="s">
        <v>5415</v>
      </c>
      <c r="N959" s="51" t="s">
        <v>1340</v>
      </c>
      <c r="O959" s="51" t="s">
        <v>67</v>
      </c>
      <c r="P959" s="51" t="s">
        <v>67</v>
      </c>
      <c r="Q959" s="45">
        <v>46281.608633379627</v>
      </c>
      <c r="R959" s="46">
        <v>46316</v>
      </c>
      <c r="S959" s="46">
        <v>46311</v>
      </c>
      <c r="T959" s="51" t="s">
        <v>6119</v>
      </c>
      <c r="U959" s="15"/>
      <c r="V959" s="15"/>
      <c r="W959" s="15"/>
      <c r="X959" s="15"/>
      <c r="Y959" s="15"/>
      <c r="Z959" s="15"/>
      <c r="AA959" s="46"/>
      <c r="AB959" s="15"/>
      <c r="AC959" s="15"/>
      <c r="AD959" s="15"/>
      <c r="AE959" s="15"/>
      <c r="AF959" s="15"/>
      <c r="AG959" s="15"/>
      <c r="AH959" s="15"/>
      <c r="AI959" s="46"/>
      <c r="AJ959" s="51" t="s">
        <v>67</v>
      </c>
      <c r="AK959" s="51" t="s">
        <v>67</v>
      </c>
      <c r="AL959" s="15"/>
      <c r="AM959" s="51" t="s">
        <v>67</v>
      </c>
      <c r="AN959" s="51" t="s">
        <v>67</v>
      </c>
      <c r="AO959" s="50" t="s">
        <v>9554</v>
      </c>
    </row>
    <row r="960" spans="1:41" hidden="1" x14ac:dyDescent="0.25">
      <c r="A960" s="51" t="s">
        <v>5416</v>
      </c>
      <c r="B960" s="51" t="s">
        <v>5417</v>
      </c>
      <c r="C960" s="54" t="s">
        <v>5601</v>
      </c>
      <c r="D960" s="51" t="s">
        <v>5418</v>
      </c>
      <c r="E960" s="20">
        <v>12969.6</v>
      </c>
      <c r="F960" s="20">
        <v>7339.56</v>
      </c>
      <c r="G960" s="20">
        <v>4164.93</v>
      </c>
      <c r="H960" s="20">
        <v>3870.86</v>
      </c>
      <c r="I960" s="20">
        <v>6479.37</v>
      </c>
      <c r="J960" s="51" t="s">
        <v>6727</v>
      </c>
      <c r="K960" s="15">
        <v>36</v>
      </c>
      <c r="L960" s="51" t="s">
        <v>2369</v>
      </c>
      <c r="M960" s="51" t="s">
        <v>67</v>
      </c>
      <c r="N960" s="51" t="s">
        <v>67</v>
      </c>
      <c r="O960" s="51" t="s">
        <v>5419</v>
      </c>
      <c r="P960" s="51" t="s">
        <v>1340</v>
      </c>
      <c r="Q960" s="45">
        <v>46281.608635555553</v>
      </c>
      <c r="R960" s="46">
        <v>46316</v>
      </c>
      <c r="S960" s="46">
        <v>46311</v>
      </c>
      <c r="T960" s="51" t="s">
        <v>6119</v>
      </c>
      <c r="U960" s="15">
        <v>849.8</v>
      </c>
      <c r="V960" s="15">
        <v>3922.15</v>
      </c>
      <c r="W960" s="15">
        <v>36.39</v>
      </c>
      <c r="X960" s="15">
        <v>14.9</v>
      </c>
      <c r="Y960" s="15">
        <v>1.6620440000000001</v>
      </c>
      <c r="Z960" s="15">
        <v>6</v>
      </c>
      <c r="AA960" s="46">
        <v>46255</v>
      </c>
      <c r="AB960" s="15"/>
      <c r="AC960" s="15"/>
      <c r="AD960" s="15"/>
      <c r="AE960" s="15"/>
      <c r="AF960" s="15"/>
      <c r="AG960" s="15"/>
      <c r="AH960" s="15"/>
      <c r="AI960" s="46"/>
      <c r="AJ960" s="51" t="s">
        <v>6121</v>
      </c>
      <c r="AK960" s="51" t="s">
        <v>6121</v>
      </c>
      <c r="AL960" s="15">
        <v>849.8</v>
      </c>
      <c r="AM960" s="51" t="s">
        <v>67</v>
      </c>
      <c r="AN960" s="51" t="s">
        <v>67</v>
      </c>
      <c r="AO960" s="50" t="s">
        <v>9554</v>
      </c>
    </row>
    <row r="961" spans="1:41" hidden="1" x14ac:dyDescent="0.25">
      <c r="A961" s="51" t="s">
        <v>5420</v>
      </c>
      <c r="B961" s="51" t="s">
        <v>5421</v>
      </c>
      <c r="C961" s="54" t="s">
        <v>2689</v>
      </c>
      <c r="D961" s="51" t="s">
        <v>5422</v>
      </c>
      <c r="E961" s="20">
        <v>8135.35</v>
      </c>
      <c r="F961" s="20">
        <v>0</v>
      </c>
      <c r="G961" s="20">
        <v>18960.78</v>
      </c>
      <c r="H961" s="20">
        <v>0</v>
      </c>
      <c r="I961" s="20">
        <v>988.27</v>
      </c>
      <c r="J961" s="51" t="s">
        <v>2654</v>
      </c>
      <c r="K961" s="15">
        <v>0</v>
      </c>
      <c r="L961" s="51" t="s">
        <v>2371</v>
      </c>
      <c r="M961" s="51" t="s">
        <v>67</v>
      </c>
      <c r="N961" s="51" t="s">
        <v>67</v>
      </c>
      <c r="O961" s="51" t="s">
        <v>5423</v>
      </c>
      <c r="P961" s="51" t="s">
        <v>1344</v>
      </c>
      <c r="Q961" s="45">
        <v>46281.608638055557</v>
      </c>
      <c r="R961" s="46">
        <v>46317</v>
      </c>
      <c r="S961" s="46">
        <v>46312</v>
      </c>
      <c r="T961" s="51" t="s">
        <v>6119</v>
      </c>
      <c r="U961" s="15"/>
      <c r="V961" s="15"/>
      <c r="W961" s="15"/>
      <c r="X961" s="15"/>
      <c r="Y961" s="15"/>
      <c r="Z961" s="15"/>
      <c r="AA961" s="46"/>
      <c r="AB961" s="15"/>
      <c r="AC961" s="15"/>
      <c r="AD961" s="15"/>
      <c r="AE961" s="15"/>
      <c r="AF961" s="15"/>
      <c r="AG961" s="15"/>
      <c r="AH961" s="15"/>
      <c r="AI961" s="46"/>
      <c r="AJ961" s="51" t="s">
        <v>67</v>
      </c>
      <c r="AK961" s="51" t="s">
        <v>67</v>
      </c>
      <c r="AL961" s="15"/>
      <c r="AM961" s="51" t="s">
        <v>67</v>
      </c>
      <c r="AN961" s="51" t="s">
        <v>67</v>
      </c>
      <c r="AO961" s="50" t="s">
        <v>9554</v>
      </c>
    </row>
    <row r="962" spans="1:41" hidden="1" x14ac:dyDescent="0.25">
      <c r="A962" s="51" t="s">
        <v>5424</v>
      </c>
      <c r="B962" s="51" t="s">
        <v>5425</v>
      </c>
      <c r="C962" s="54" t="s">
        <v>5606</v>
      </c>
      <c r="D962" s="51" t="s">
        <v>5426</v>
      </c>
      <c r="E962" s="20">
        <v>12428.91</v>
      </c>
      <c r="F962" s="20">
        <v>994.44</v>
      </c>
      <c r="G962" s="20">
        <v>12628.7</v>
      </c>
      <c r="H962" s="20">
        <v>0</v>
      </c>
      <c r="I962" s="20">
        <v>994.44</v>
      </c>
      <c r="J962" s="51" t="s">
        <v>2654</v>
      </c>
      <c r="K962" s="15">
        <v>0</v>
      </c>
      <c r="L962" s="51" t="s">
        <v>2371</v>
      </c>
      <c r="M962" s="51" t="s">
        <v>5427</v>
      </c>
      <c r="N962" s="51" t="s">
        <v>1340</v>
      </c>
      <c r="O962" s="51" t="s">
        <v>5428</v>
      </c>
      <c r="P962" s="51" t="s">
        <v>1340</v>
      </c>
      <c r="Q962" s="45">
        <v>46281.608639965278</v>
      </c>
      <c r="R962" s="46">
        <v>46297</v>
      </c>
      <c r="S962" s="46">
        <v>46292</v>
      </c>
      <c r="T962" s="51" t="s">
        <v>6119</v>
      </c>
      <c r="U962" s="15"/>
      <c r="V962" s="15"/>
      <c r="W962" s="15"/>
      <c r="X962" s="15"/>
      <c r="Y962" s="15"/>
      <c r="Z962" s="15"/>
      <c r="AA962" s="46"/>
      <c r="AB962" s="15"/>
      <c r="AC962" s="15"/>
      <c r="AD962" s="15"/>
      <c r="AE962" s="15"/>
      <c r="AF962" s="15"/>
      <c r="AG962" s="15"/>
      <c r="AH962" s="15"/>
      <c r="AI962" s="46"/>
      <c r="AJ962" s="51" t="s">
        <v>67</v>
      </c>
      <c r="AK962" s="51" t="s">
        <v>67</v>
      </c>
      <c r="AL962" s="15"/>
      <c r="AM962" s="51" t="s">
        <v>67</v>
      </c>
      <c r="AN962" s="51" t="s">
        <v>67</v>
      </c>
      <c r="AO962" s="50" t="s">
        <v>9554</v>
      </c>
    </row>
    <row r="963" spans="1:41" hidden="1" x14ac:dyDescent="0.25">
      <c r="A963" s="51" t="s">
        <v>5429</v>
      </c>
      <c r="B963" s="51" t="s">
        <v>5430</v>
      </c>
      <c r="C963" s="54" t="s">
        <v>2358</v>
      </c>
      <c r="D963" s="51" t="s">
        <v>5431</v>
      </c>
      <c r="E963" s="20">
        <v>12107.42</v>
      </c>
      <c r="F963" s="20">
        <v>4776.3599999999997</v>
      </c>
      <c r="G963" s="20">
        <v>12986.88</v>
      </c>
      <c r="H963" s="20">
        <v>3870.86</v>
      </c>
      <c r="I963" s="20">
        <v>4652.8500000000004</v>
      </c>
      <c r="J963" s="51" t="s">
        <v>6727</v>
      </c>
      <c r="K963" s="15">
        <v>12</v>
      </c>
      <c r="L963" s="51" t="s">
        <v>2369</v>
      </c>
      <c r="M963" s="51" t="s">
        <v>5432</v>
      </c>
      <c r="N963" s="51" t="s">
        <v>1340</v>
      </c>
      <c r="O963" s="51" t="s">
        <v>67</v>
      </c>
      <c r="P963" s="51" t="s">
        <v>67</v>
      </c>
      <c r="Q963" s="45">
        <v>46281.608641747684</v>
      </c>
      <c r="R963" s="46">
        <v>46309</v>
      </c>
      <c r="S963" s="46">
        <v>46304</v>
      </c>
      <c r="T963" s="51" t="s">
        <v>6119</v>
      </c>
      <c r="U963" s="15">
        <v>848.05</v>
      </c>
      <c r="V963" s="15">
        <v>3921.84</v>
      </c>
      <c r="W963" s="15">
        <v>36.08</v>
      </c>
      <c r="X963" s="15">
        <v>14.9</v>
      </c>
      <c r="Y963" s="15">
        <v>1.662307</v>
      </c>
      <c r="Z963" s="15">
        <v>6</v>
      </c>
      <c r="AA963" s="46">
        <v>46279</v>
      </c>
      <c r="AB963" s="15"/>
      <c r="AC963" s="15"/>
      <c r="AD963" s="15"/>
      <c r="AE963" s="15"/>
      <c r="AF963" s="15"/>
      <c r="AG963" s="15"/>
      <c r="AH963" s="15"/>
      <c r="AI963" s="46"/>
      <c r="AJ963" s="51" t="s">
        <v>6121</v>
      </c>
      <c r="AK963" s="51" t="s">
        <v>6121</v>
      </c>
      <c r="AL963" s="15">
        <v>848.05</v>
      </c>
      <c r="AM963" s="51" t="s">
        <v>67</v>
      </c>
      <c r="AN963" s="51" t="s">
        <v>67</v>
      </c>
      <c r="AO963" s="50" t="s">
        <v>9554</v>
      </c>
    </row>
    <row r="964" spans="1:41" hidden="1" x14ac:dyDescent="0.25">
      <c r="A964" s="51" t="s">
        <v>5433</v>
      </c>
      <c r="B964" s="51" t="s">
        <v>5434</v>
      </c>
      <c r="C964" s="54" t="s">
        <v>5598</v>
      </c>
      <c r="D964" s="51" t="s">
        <v>5435</v>
      </c>
      <c r="E964" s="20">
        <v>13317</v>
      </c>
      <c r="F964" s="20">
        <v>776.93</v>
      </c>
      <c r="G964" s="20">
        <v>13594.04</v>
      </c>
      <c r="H964" s="20">
        <v>746.74</v>
      </c>
      <c r="I964" s="20">
        <v>776.93</v>
      </c>
      <c r="J964" s="51" t="s">
        <v>6727</v>
      </c>
      <c r="K964" s="15">
        <v>3</v>
      </c>
      <c r="L964" s="51" t="s">
        <v>2369</v>
      </c>
      <c r="M964" s="51" t="s">
        <v>5436</v>
      </c>
      <c r="N964" s="51" t="s">
        <v>1340</v>
      </c>
      <c r="O964" s="51" t="s">
        <v>67</v>
      </c>
      <c r="P964" s="51" t="s">
        <v>67</v>
      </c>
      <c r="Q964" s="45">
        <v>46281.608643715277</v>
      </c>
      <c r="R964" s="46">
        <v>46318</v>
      </c>
      <c r="S964" s="46">
        <v>46313</v>
      </c>
      <c r="T964" s="51" t="s">
        <v>6119</v>
      </c>
      <c r="U964" s="15"/>
      <c r="V964" s="15"/>
      <c r="W964" s="15"/>
      <c r="X964" s="15"/>
      <c r="Y964" s="15"/>
      <c r="Z964" s="15"/>
      <c r="AA964" s="46"/>
      <c r="AB964" s="15"/>
      <c r="AC964" s="15"/>
      <c r="AD964" s="15"/>
      <c r="AE964" s="15"/>
      <c r="AF964" s="15"/>
      <c r="AG964" s="15"/>
      <c r="AH964" s="15"/>
      <c r="AI964" s="46"/>
      <c r="AJ964" s="51" t="s">
        <v>67</v>
      </c>
      <c r="AK964" s="51" t="s">
        <v>67</v>
      </c>
      <c r="AL964" s="15"/>
      <c r="AM964" s="51" t="s">
        <v>67</v>
      </c>
      <c r="AN964" s="51" t="s">
        <v>67</v>
      </c>
      <c r="AO964" s="50" t="s">
        <v>9554</v>
      </c>
    </row>
    <row r="965" spans="1:41" hidden="1" x14ac:dyDescent="0.25">
      <c r="A965" s="51" t="s">
        <v>5437</v>
      </c>
      <c r="B965" s="51" t="s">
        <v>5438</v>
      </c>
      <c r="C965" s="54" t="s">
        <v>5599</v>
      </c>
      <c r="D965" s="51" t="s">
        <v>5439</v>
      </c>
      <c r="E965" s="20">
        <v>801.59</v>
      </c>
      <c r="F965" s="20">
        <v>5039.8900000000003</v>
      </c>
      <c r="G965" s="20">
        <v>-855.19</v>
      </c>
      <c r="H965" s="20">
        <v>3870.86</v>
      </c>
      <c r="I965" s="20">
        <v>5039.8900000000003</v>
      </c>
      <c r="J965" s="51" t="s">
        <v>6727</v>
      </c>
      <c r="K965" s="15">
        <v>19</v>
      </c>
      <c r="L965" s="51" t="s">
        <v>2369</v>
      </c>
      <c r="M965" s="51" t="s">
        <v>67</v>
      </c>
      <c r="N965" s="51" t="s">
        <v>67</v>
      </c>
      <c r="O965" s="51" t="s">
        <v>5440</v>
      </c>
      <c r="P965" s="51" t="s">
        <v>1340</v>
      </c>
      <c r="Q965" s="45">
        <v>46281.608645335647</v>
      </c>
      <c r="R965" s="46">
        <v>46302</v>
      </c>
      <c r="S965" s="46">
        <v>46297</v>
      </c>
      <c r="T965" s="51" t="s">
        <v>6119</v>
      </c>
      <c r="U965" s="15">
        <v>848.05</v>
      </c>
      <c r="V965" s="15">
        <v>3921.84</v>
      </c>
      <c r="W965" s="15">
        <v>36.08</v>
      </c>
      <c r="X965" s="15">
        <v>14.9</v>
      </c>
      <c r="Y965" s="15">
        <v>1.662307</v>
      </c>
      <c r="Z965" s="15">
        <v>6</v>
      </c>
      <c r="AA965" s="46">
        <v>46272</v>
      </c>
      <c r="AB965" s="15"/>
      <c r="AC965" s="15"/>
      <c r="AD965" s="15"/>
      <c r="AE965" s="15"/>
      <c r="AF965" s="15"/>
      <c r="AG965" s="15"/>
      <c r="AH965" s="15"/>
      <c r="AI965" s="46"/>
      <c r="AJ965" s="51" t="s">
        <v>6121</v>
      </c>
      <c r="AK965" s="51" t="s">
        <v>6121</v>
      </c>
      <c r="AL965" s="15">
        <v>848.05</v>
      </c>
      <c r="AM965" s="51" t="s">
        <v>6705</v>
      </c>
      <c r="AN965" s="51" t="s">
        <v>6713</v>
      </c>
      <c r="AO965" s="50" t="s">
        <v>9554</v>
      </c>
    </row>
    <row r="966" spans="1:41" hidden="1" x14ac:dyDescent="0.25">
      <c r="A966" s="51" t="s">
        <v>5441</v>
      </c>
      <c r="B966" s="51" t="s">
        <v>5442</v>
      </c>
      <c r="C966" s="54" t="s">
        <v>5607</v>
      </c>
      <c r="D966" s="51" t="s">
        <v>5443</v>
      </c>
      <c r="E966" s="20">
        <v>13181.94</v>
      </c>
      <c r="F966" s="20">
        <v>5166.55</v>
      </c>
      <c r="G966" s="20">
        <v>12764.07</v>
      </c>
      <c r="H966" s="20">
        <v>3870.86</v>
      </c>
      <c r="I966" s="20">
        <v>5166.55</v>
      </c>
      <c r="J966" s="51" t="s">
        <v>6727</v>
      </c>
      <c r="K966" s="15">
        <v>22</v>
      </c>
      <c r="L966" s="51" t="s">
        <v>2369</v>
      </c>
      <c r="M966" s="51" t="s">
        <v>67</v>
      </c>
      <c r="N966" s="51" t="s">
        <v>67</v>
      </c>
      <c r="O966" s="51" t="s">
        <v>5444</v>
      </c>
      <c r="P966" s="51" t="s">
        <v>1340</v>
      </c>
      <c r="Q966" s="45">
        <v>46281.608647395835</v>
      </c>
      <c r="R966" s="46">
        <v>46299</v>
      </c>
      <c r="S966" s="46">
        <v>46294</v>
      </c>
      <c r="T966" s="51" t="s">
        <v>6119</v>
      </c>
      <c r="U966" s="15">
        <v>848.05</v>
      </c>
      <c r="V966" s="15">
        <v>3921.84</v>
      </c>
      <c r="W966" s="15">
        <v>36.08</v>
      </c>
      <c r="X966" s="15">
        <v>14.9</v>
      </c>
      <c r="Y966" s="15">
        <v>1.662307</v>
      </c>
      <c r="Z966" s="15">
        <v>6</v>
      </c>
      <c r="AA966" s="46">
        <v>46269</v>
      </c>
      <c r="AB966" s="15"/>
      <c r="AC966" s="15"/>
      <c r="AD966" s="15"/>
      <c r="AE966" s="15"/>
      <c r="AF966" s="15"/>
      <c r="AG966" s="15"/>
      <c r="AH966" s="15"/>
      <c r="AI966" s="46"/>
      <c r="AJ966" s="51" t="s">
        <v>6121</v>
      </c>
      <c r="AK966" s="51" t="s">
        <v>6121</v>
      </c>
      <c r="AL966" s="15">
        <v>848.05</v>
      </c>
      <c r="AM966" s="51" t="s">
        <v>67</v>
      </c>
      <c r="AN966" s="51" t="s">
        <v>67</v>
      </c>
      <c r="AO966" s="50" t="s">
        <v>9554</v>
      </c>
    </row>
    <row r="967" spans="1:41" hidden="1" x14ac:dyDescent="0.25">
      <c r="A967" s="51" t="s">
        <v>5445</v>
      </c>
      <c r="B967" s="51" t="s">
        <v>5446</v>
      </c>
      <c r="C967" s="54" t="s">
        <v>5596</v>
      </c>
      <c r="D967" s="51" t="s">
        <v>5447</v>
      </c>
      <c r="E967" s="20">
        <v>12576.66</v>
      </c>
      <c r="F967" s="20">
        <v>641.63</v>
      </c>
      <c r="G967" s="20">
        <v>4393.59</v>
      </c>
      <c r="H967" s="20">
        <v>0</v>
      </c>
      <c r="I967" s="20">
        <v>641.63</v>
      </c>
      <c r="J967" s="51" t="s">
        <v>2654</v>
      </c>
      <c r="K967" s="15">
        <v>0</v>
      </c>
      <c r="L967" s="51" t="s">
        <v>2371</v>
      </c>
      <c r="M967" s="51" t="s">
        <v>5448</v>
      </c>
      <c r="N967" s="51" t="s">
        <v>1340</v>
      </c>
      <c r="O967" s="51" t="s">
        <v>5449</v>
      </c>
      <c r="P967" s="51" t="s">
        <v>1340</v>
      </c>
      <c r="Q967" s="45">
        <v>46281.608649363428</v>
      </c>
      <c r="R967" s="46">
        <v>46300</v>
      </c>
      <c r="S967" s="46">
        <v>46295</v>
      </c>
      <c r="T967" s="51" t="s">
        <v>6119</v>
      </c>
      <c r="U967" s="15"/>
      <c r="V967" s="15"/>
      <c r="W967" s="15"/>
      <c r="X967" s="15"/>
      <c r="Y967" s="15"/>
      <c r="Z967" s="15"/>
      <c r="AA967" s="46"/>
      <c r="AB967" s="15"/>
      <c r="AC967" s="15"/>
      <c r="AD967" s="15"/>
      <c r="AE967" s="15"/>
      <c r="AF967" s="15"/>
      <c r="AG967" s="15"/>
      <c r="AH967" s="15"/>
      <c r="AI967" s="46"/>
      <c r="AJ967" s="51" t="s">
        <v>67</v>
      </c>
      <c r="AK967" s="51" t="s">
        <v>67</v>
      </c>
      <c r="AL967" s="15"/>
      <c r="AM967" s="51" t="s">
        <v>67</v>
      </c>
      <c r="AN967" s="51" t="s">
        <v>67</v>
      </c>
      <c r="AO967" s="50" t="s">
        <v>9554</v>
      </c>
    </row>
    <row r="968" spans="1:41" hidden="1" x14ac:dyDescent="0.25">
      <c r="A968" s="51" t="s">
        <v>5450</v>
      </c>
      <c r="B968" s="51" t="s">
        <v>5451</v>
      </c>
      <c r="C968" s="54" t="s">
        <v>5606</v>
      </c>
      <c r="D968" s="51" t="s">
        <v>5452</v>
      </c>
      <c r="E968" s="20">
        <v>7183.16</v>
      </c>
      <c r="F968" s="20">
        <v>694.96</v>
      </c>
      <c r="G968" s="20">
        <v>11809.87</v>
      </c>
      <c r="H968" s="20">
        <v>0</v>
      </c>
      <c r="I968" s="20">
        <v>694.96</v>
      </c>
      <c r="J968" s="51" t="s">
        <v>2654</v>
      </c>
      <c r="K968" s="15">
        <v>0</v>
      </c>
      <c r="L968" s="51" t="s">
        <v>2371</v>
      </c>
      <c r="M968" s="51" t="s">
        <v>5453</v>
      </c>
      <c r="N968" s="51" t="s">
        <v>1340</v>
      </c>
      <c r="O968" s="51" t="s">
        <v>67</v>
      </c>
      <c r="P968" s="51" t="s">
        <v>67</v>
      </c>
      <c r="Q968" s="45">
        <v>46281.608651134258</v>
      </c>
      <c r="R968" s="46">
        <v>46297</v>
      </c>
      <c r="S968" s="46">
        <v>46292</v>
      </c>
      <c r="T968" s="51" t="s">
        <v>6119</v>
      </c>
      <c r="U968" s="15"/>
      <c r="V968" s="15"/>
      <c r="W968" s="15"/>
      <c r="X968" s="15"/>
      <c r="Y968" s="15"/>
      <c r="Z968" s="15"/>
      <c r="AA968" s="46"/>
      <c r="AB968" s="15"/>
      <c r="AC968" s="15"/>
      <c r="AD968" s="15"/>
      <c r="AE968" s="15"/>
      <c r="AF968" s="15"/>
      <c r="AG968" s="15"/>
      <c r="AH968" s="15"/>
      <c r="AI968" s="46"/>
      <c r="AJ968" s="51" t="s">
        <v>67</v>
      </c>
      <c r="AK968" s="51" t="s">
        <v>67</v>
      </c>
      <c r="AL968" s="15"/>
      <c r="AM968" s="51" t="s">
        <v>67</v>
      </c>
      <c r="AN968" s="51" t="s">
        <v>67</v>
      </c>
      <c r="AO968" s="50" t="s">
        <v>9554</v>
      </c>
    </row>
    <row r="969" spans="1:41" hidden="1" x14ac:dyDescent="0.25">
      <c r="A969" s="53" t="s">
        <v>5454</v>
      </c>
      <c r="B969" s="51" t="s">
        <v>5455</v>
      </c>
      <c r="C969" s="54" t="s">
        <v>5599</v>
      </c>
      <c r="D969" s="51" t="s">
        <v>5456</v>
      </c>
      <c r="E969" s="20">
        <v>11788.01</v>
      </c>
      <c r="F969" s="20">
        <v>4699.1000000000004</v>
      </c>
      <c r="G969" s="20">
        <v>13165.82</v>
      </c>
      <c r="H969" s="20">
        <v>3870.86</v>
      </c>
      <c r="I969" s="20">
        <v>4699.1000000000004</v>
      </c>
      <c r="J969" s="51" t="s">
        <v>6727</v>
      </c>
      <c r="K969" s="15">
        <v>19</v>
      </c>
      <c r="L969" s="51" t="s">
        <v>2369</v>
      </c>
      <c r="M969" s="51" t="s">
        <v>67</v>
      </c>
      <c r="N969" s="51" t="s">
        <v>67</v>
      </c>
      <c r="O969" s="51" t="s">
        <v>5457</v>
      </c>
      <c r="P969" s="51" t="s">
        <v>1340</v>
      </c>
      <c r="Q969" s="45">
        <v>46281.608652916664</v>
      </c>
      <c r="R969" s="46">
        <v>46302</v>
      </c>
      <c r="S969" s="46">
        <v>46297</v>
      </c>
      <c r="T969" s="51" t="s">
        <v>6119</v>
      </c>
      <c r="U969" s="15">
        <v>848.05</v>
      </c>
      <c r="V969" s="15">
        <v>3921.84</v>
      </c>
      <c r="W969" s="15">
        <v>36.08</v>
      </c>
      <c r="X969" s="15">
        <v>14.9</v>
      </c>
      <c r="Y969" s="15">
        <v>1.662307</v>
      </c>
      <c r="Z969" s="15">
        <v>6</v>
      </c>
      <c r="AA969" s="46">
        <v>46272</v>
      </c>
      <c r="AB969" s="15"/>
      <c r="AC969" s="15"/>
      <c r="AD969" s="15"/>
      <c r="AE969" s="15"/>
      <c r="AF969" s="15"/>
      <c r="AG969" s="15"/>
      <c r="AH969" s="15"/>
      <c r="AI969" s="46"/>
      <c r="AJ969" s="51" t="s">
        <v>6121</v>
      </c>
      <c r="AK969" s="51" t="s">
        <v>6121</v>
      </c>
      <c r="AL969" s="15">
        <v>848.05</v>
      </c>
      <c r="AM969" s="51" t="s">
        <v>67</v>
      </c>
      <c r="AN969" s="51" t="s">
        <v>67</v>
      </c>
      <c r="AO969" s="50" t="s">
        <v>9554</v>
      </c>
    </row>
    <row r="970" spans="1:41" hidden="1" x14ac:dyDescent="0.25">
      <c r="A970" s="51" t="s">
        <v>5458</v>
      </c>
      <c r="B970" s="51" t="s">
        <v>5459</v>
      </c>
      <c r="C970" s="54" t="s">
        <v>5598</v>
      </c>
      <c r="D970" s="51" t="s">
        <v>5460</v>
      </c>
      <c r="E970" s="20">
        <v>4663.55</v>
      </c>
      <c r="F970" s="20">
        <v>907.78</v>
      </c>
      <c r="G970" s="20">
        <v>20127.189999999999</v>
      </c>
      <c r="H970" s="20">
        <v>872.5</v>
      </c>
      <c r="I970" s="20">
        <v>907.78</v>
      </c>
      <c r="J970" s="51" t="s">
        <v>6727</v>
      </c>
      <c r="K970" s="15">
        <v>3</v>
      </c>
      <c r="L970" s="51" t="s">
        <v>2369</v>
      </c>
      <c r="M970" s="51" t="s">
        <v>5461</v>
      </c>
      <c r="N970" s="51" t="s">
        <v>1340</v>
      </c>
      <c r="O970" s="51" t="s">
        <v>5462</v>
      </c>
      <c r="P970" s="51" t="s">
        <v>1340</v>
      </c>
      <c r="Q970" s="45">
        <v>46281.608654976852</v>
      </c>
      <c r="R970" s="46">
        <v>46318</v>
      </c>
      <c r="S970" s="46">
        <v>46313</v>
      </c>
      <c r="T970" s="51" t="s">
        <v>6119</v>
      </c>
      <c r="U970" s="15"/>
      <c r="V970" s="15"/>
      <c r="W970" s="15"/>
      <c r="X970" s="15"/>
      <c r="Y970" s="15"/>
      <c r="Z970" s="15"/>
      <c r="AA970" s="46"/>
      <c r="AB970" s="15"/>
      <c r="AC970" s="15"/>
      <c r="AD970" s="15"/>
      <c r="AE970" s="15"/>
      <c r="AF970" s="15"/>
      <c r="AG970" s="15"/>
      <c r="AH970" s="15"/>
      <c r="AI970" s="46"/>
      <c r="AJ970" s="51" t="s">
        <v>67</v>
      </c>
      <c r="AK970" s="51" t="s">
        <v>67</v>
      </c>
      <c r="AL970" s="15"/>
      <c r="AM970" s="51" t="s">
        <v>67</v>
      </c>
      <c r="AN970" s="51" t="s">
        <v>67</v>
      </c>
      <c r="AO970" s="50" t="s">
        <v>9554</v>
      </c>
    </row>
    <row r="971" spans="1:41" hidden="1" x14ac:dyDescent="0.25">
      <c r="A971" s="51" t="s">
        <v>5463</v>
      </c>
      <c r="B971" s="51" t="s">
        <v>5464</v>
      </c>
      <c r="C971" s="54" t="s">
        <v>5605</v>
      </c>
      <c r="D971" s="51" t="s">
        <v>5465</v>
      </c>
      <c r="E971" s="20">
        <v>6863.5</v>
      </c>
      <c r="F971" s="20">
        <v>4887.17</v>
      </c>
      <c r="G971" s="20">
        <v>8476.34</v>
      </c>
      <c r="H971" s="20">
        <v>4172.58</v>
      </c>
      <c r="I971" s="20">
        <v>4887.16</v>
      </c>
      <c r="J971" s="51" t="s">
        <v>6727</v>
      </c>
      <c r="K971" s="15">
        <v>29</v>
      </c>
      <c r="L971" s="51" t="s">
        <v>2369</v>
      </c>
      <c r="M971" s="51" t="s">
        <v>5466</v>
      </c>
      <c r="N971" s="51" t="s">
        <v>1340</v>
      </c>
      <c r="O971" s="51" t="s">
        <v>5467</v>
      </c>
      <c r="P971" s="51" t="s">
        <v>1340</v>
      </c>
      <c r="Q971" s="45">
        <v>46281.608656608798</v>
      </c>
      <c r="R971" s="46">
        <v>46323</v>
      </c>
      <c r="S971" s="46">
        <v>46318</v>
      </c>
      <c r="T971" s="51" t="s">
        <v>6119</v>
      </c>
      <c r="U971" s="15">
        <v>849.8</v>
      </c>
      <c r="V971" s="15">
        <v>3922.15</v>
      </c>
      <c r="W971" s="15">
        <v>36.39</v>
      </c>
      <c r="X971" s="15">
        <v>14.9</v>
      </c>
      <c r="Y971" s="15">
        <v>1.6620440000000001</v>
      </c>
      <c r="Z971" s="15">
        <v>6</v>
      </c>
      <c r="AA971" s="46">
        <v>46262</v>
      </c>
      <c r="AB971" s="15"/>
      <c r="AC971" s="15"/>
      <c r="AD971" s="15"/>
      <c r="AE971" s="15"/>
      <c r="AF971" s="15"/>
      <c r="AG971" s="15"/>
      <c r="AH971" s="15"/>
      <c r="AI971" s="46"/>
      <c r="AJ971" s="51" t="s">
        <v>6121</v>
      </c>
      <c r="AK971" s="51" t="s">
        <v>6121</v>
      </c>
      <c r="AL971" s="15">
        <v>849.8</v>
      </c>
      <c r="AM971" s="51" t="s">
        <v>67</v>
      </c>
      <c r="AN971" s="51" t="s">
        <v>67</v>
      </c>
      <c r="AO971" s="50" t="s">
        <v>9554</v>
      </c>
    </row>
    <row r="972" spans="1:41" hidden="1" x14ac:dyDescent="0.25">
      <c r="A972" s="51" t="s">
        <v>5468</v>
      </c>
      <c r="B972" s="51" t="s">
        <v>5469</v>
      </c>
      <c r="C972" s="54" t="s">
        <v>5604</v>
      </c>
      <c r="D972" s="51" t="s">
        <v>5470</v>
      </c>
      <c r="E972" s="20">
        <v>8354.33</v>
      </c>
      <c r="F972" s="20">
        <v>0</v>
      </c>
      <c r="G972" s="20">
        <v>8621.98</v>
      </c>
      <c r="H972" s="20">
        <v>0</v>
      </c>
      <c r="I972" s="20">
        <v>634.91</v>
      </c>
      <c r="J972" s="51" t="s">
        <v>2654</v>
      </c>
      <c r="K972" s="15">
        <v>0</v>
      </c>
      <c r="L972" s="51" t="s">
        <v>2371</v>
      </c>
      <c r="M972" s="51" t="s">
        <v>5471</v>
      </c>
      <c r="N972" s="51" t="s">
        <v>1340</v>
      </c>
      <c r="O972" s="51" t="s">
        <v>5472</v>
      </c>
      <c r="P972" s="51" t="s">
        <v>1340</v>
      </c>
      <c r="Q972" s="45">
        <v>46281.608658634257</v>
      </c>
      <c r="R972" s="46">
        <v>46313</v>
      </c>
      <c r="S972" s="46">
        <v>46308</v>
      </c>
      <c r="T972" s="51" t="s">
        <v>6119</v>
      </c>
      <c r="U972" s="15"/>
      <c r="V972" s="15"/>
      <c r="W972" s="15"/>
      <c r="X972" s="15"/>
      <c r="Y972" s="15"/>
      <c r="Z972" s="15"/>
      <c r="AA972" s="46"/>
      <c r="AB972" s="15"/>
      <c r="AC972" s="15"/>
      <c r="AD972" s="15"/>
      <c r="AE972" s="15"/>
      <c r="AF972" s="15"/>
      <c r="AG972" s="15"/>
      <c r="AH972" s="15"/>
      <c r="AI972" s="46"/>
      <c r="AJ972" s="51" t="s">
        <v>67</v>
      </c>
      <c r="AK972" s="51" t="s">
        <v>67</v>
      </c>
      <c r="AL972" s="15"/>
      <c r="AM972" s="51" t="s">
        <v>67</v>
      </c>
      <c r="AN972" s="51" t="s">
        <v>67</v>
      </c>
      <c r="AO972" s="50" t="s">
        <v>9554</v>
      </c>
    </row>
    <row r="973" spans="1:41" hidden="1" x14ac:dyDescent="0.25">
      <c r="A973" s="51" t="s">
        <v>5473</v>
      </c>
      <c r="B973" s="51" t="s">
        <v>5474</v>
      </c>
      <c r="C973" s="54" t="s">
        <v>5606</v>
      </c>
      <c r="D973" s="51" t="s">
        <v>5475</v>
      </c>
      <c r="E973" s="20">
        <v>9251.4</v>
      </c>
      <c r="F973" s="20">
        <v>740.84</v>
      </c>
      <c r="G973" s="20">
        <v>9965.36</v>
      </c>
      <c r="H973" s="20">
        <v>0</v>
      </c>
      <c r="I973" s="20">
        <v>740.84</v>
      </c>
      <c r="J973" s="51" t="s">
        <v>2654</v>
      </c>
      <c r="K973" s="15">
        <v>0</v>
      </c>
      <c r="L973" s="51" t="s">
        <v>2371</v>
      </c>
      <c r="M973" s="51" t="s">
        <v>5476</v>
      </c>
      <c r="N973" s="51" t="s">
        <v>1340</v>
      </c>
      <c r="O973" s="51" t="s">
        <v>67</v>
      </c>
      <c r="P973" s="51" t="s">
        <v>67</v>
      </c>
      <c r="Q973" s="45">
        <v>46281.608660844904</v>
      </c>
      <c r="R973" s="46">
        <v>46297</v>
      </c>
      <c r="S973" s="46">
        <v>46292</v>
      </c>
      <c r="T973" s="51" t="s">
        <v>6119</v>
      </c>
      <c r="U973" s="15"/>
      <c r="V973" s="15"/>
      <c r="W973" s="15"/>
      <c r="X973" s="15"/>
      <c r="Y973" s="15"/>
      <c r="Z973" s="15"/>
      <c r="AA973" s="46"/>
      <c r="AB973" s="15"/>
      <c r="AC973" s="15"/>
      <c r="AD973" s="15"/>
      <c r="AE973" s="15"/>
      <c r="AF973" s="15"/>
      <c r="AG973" s="15"/>
      <c r="AH973" s="15"/>
      <c r="AI973" s="46"/>
      <c r="AJ973" s="51" t="s">
        <v>67</v>
      </c>
      <c r="AK973" s="51" t="s">
        <v>67</v>
      </c>
      <c r="AL973" s="15"/>
      <c r="AM973" s="51" t="s">
        <v>67</v>
      </c>
      <c r="AN973" s="51" t="s">
        <v>67</v>
      </c>
      <c r="AO973" s="50" t="s">
        <v>9554</v>
      </c>
    </row>
    <row r="974" spans="1:41" hidden="1" x14ac:dyDescent="0.25">
      <c r="A974" s="51" t="s">
        <v>5477</v>
      </c>
      <c r="B974" s="51" t="s">
        <v>5478</v>
      </c>
      <c r="C974" s="54" t="s">
        <v>5606</v>
      </c>
      <c r="D974" s="51" t="s">
        <v>5479</v>
      </c>
      <c r="E974" s="20">
        <v>10217.799999999999</v>
      </c>
      <c r="F974" s="20">
        <v>4832.6000000000004</v>
      </c>
      <c r="G974" s="20">
        <v>11273.27</v>
      </c>
      <c r="H974" s="20">
        <v>3870.86</v>
      </c>
      <c r="I974" s="20">
        <v>4832.6000000000004</v>
      </c>
      <c r="J974" s="51" t="s">
        <v>6727</v>
      </c>
      <c r="K974" s="15">
        <v>24</v>
      </c>
      <c r="L974" s="51" t="s">
        <v>2369</v>
      </c>
      <c r="M974" s="51" t="s">
        <v>67</v>
      </c>
      <c r="N974" s="51" t="s">
        <v>67</v>
      </c>
      <c r="O974" s="51" t="s">
        <v>5480</v>
      </c>
      <c r="P974" s="51" t="s">
        <v>1340</v>
      </c>
      <c r="Q974" s="45">
        <v>46281.608662546299</v>
      </c>
      <c r="R974" s="46">
        <v>46297</v>
      </c>
      <c r="S974" s="46">
        <v>46292</v>
      </c>
      <c r="T974" s="51" t="s">
        <v>6119</v>
      </c>
      <c r="U974" s="15">
        <v>848.05</v>
      </c>
      <c r="V974" s="15">
        <v>3921.84</v>
      </c>
      <c r="W974" s="15">
        <v>36.08</v>
      </c>
      <c r="X974" s="15">
        <v>14.9</v>
      </c>
      <c r="Y974" s="15">
        <v>1.662307</v>
      </c>
      <c r="Z974" s="15">
        <v>6</v>
      </c>
      <c r="AA974" s="46">
        <v>46267</v>
      </c>
      <c r="AB974" s="15"/>
      <c r="AC974" s="15"/>
      <c r="AD974" s="15"/>
      <c r="AE974" s="15"/>
      <c r="AF974" s="15"/>
      <c r="AG974" s="15"/>
      <c r="AH974" s="15"/>
      <c r="AI974" s="46"/>
      <c r="AJ974" s="51" t="s">
        <v>6121</v>
      </c>
      <c r="AK974" s="51" t="s">
        <v>6121</v>
      </c>
      <c r="AL974" s="15">
        <v>848.05</v>
      </c>
      <c r="AM974" s="51" t="s">
        <v>67</v>
      </c>
      <c r="AN974" s="51" t="s">
        <v>67</v>
      </c>
      <c r="AO974" s="50" t="s">
        <v>9554</v>
      </c>
    </row>
    <row r="975" spans="1:41" hidden="1" x14ac:dyDescent="0.25">
      <c r="A975" s="51" t="s">
        <v>5481</v>
      </c>
      <c r="B975" s="51" t="s">
        <v>5482</v>
      </c>
      <c r="C975" s="54" t="s">
        <v>605</v>
      </c>
      <c r="D975" s="51" t="s">
        <v>5483</v>
      </c>
      <c r="E975" s="20">
        <v>12599.55</v>
      </c>
      <c r="F975" s="20">
        <v>4724.99</v>
      </c>
      <c r="G975" s="20">
        <v>15324.75</v>
      </c>
      <c r="H975" s="20">
        <v>3870.86</v>
      </c>
      <c r="I975" s="20">
        <v>4724.99</v>
      </c>
      <c r="J975" s="51" t="s">
        <v>6727</v>
      </c>
      <c r="K975" s="15">
        <v>16</v>
      </c>
      <c r="L975" s="51" t="s">
        <v>2369</v>
      </c>
      <c r="M975" s="51" t="s">
        <v>5484</v>
      </c>
      <c r="N975" s="51" t="s">
        <v>1340</v>
      </c>
      <c r="O975" s="51" t="s">
        <v>67</v>
      </c>
      <c r="P975" s="51" t="s">
        <v>67</v>
      </c>
      <c r="Q975" s="45">
        <v>46281.608664629632</v>
      </c>
      <c r="R975" s="46">
        <v>46305</v>
      </c>
      <c r="S975" s="46">
        <v>46300</v>
      </c>
      <c r="T975" s="51" t="s">
        <v>6119</v>
      </c>
      <c r="U975" s="15">
        <v>848.05</v>
      </c>
      <c r="V975" s="15">
        <v>3921.84</v>
      </c>
      <c r="W975" s="15">
        <v>36.08</v>
      </c>
      <c r="X975" s="15">
        <v>14.9</v>
      </c>
      <c r="Y975" s="15">
        <v>1.662307</v>
      </c>
      <c r="Z975" s="15">
        <v>6</v>
      </c>
      <c r="AA975" s="46">
        <v>46275</v>
      </c>
      <c r="AB975" s="15"/>
      <c r="AC975" s="15"/>
      <c r="AD975" s="15"/>
      <c r="AE975" s="15"/>
      <c r="AF975" s="15"/>
      <c r="AG975" s="15"/>
      <c r="AH975" s="15"/>
      <c r="AI975" s="46"/>
      <c r="AJ975" s="51" t="s">
        <v>6121</v>
      </c>
      <c r="AK975" s="51" t="s">
        <v>6121</v>
      </c>
      <c r="AL975" s="15">
        <v>848.05</v>
      </c>
      <c r="AM975" s="51" t="s">
        <v>67</v>
      </c>
      <c r="AN975" s="51" t="s">
        <v>67</v>
      </c>
      <c r="AO975" s="50" t="s">
        <v>9554</v>
      </c>
    </row>
    <row r="976" spans="1:41" hidden="1" x14ac:dyDescent="0.25">
      <c r="A976" s="51" t="s">
        <v>5485</v>
      </c>
      <c r="B976" s="51" t="s">
        <v>5486</v>
      </c>
      <c r="C976" s="54" t="s">
        <v>2692</v>
      </c>
      <c r="D976" s="51" t="s">
        <v>5487</v>
      </c>
      <c r="E976" s="20">
        <v>7025.07</v>
      </c>
      <c r="F976" s="20">
        <v>4935.29</v>
      </c>
      <c r="G976" s="20">
        <v>3730.9</v>
      </c>
      <c r="H976" s="20">
        <v>3870.86</v>
      </c>
      <c r="I976" s="20">
        <v>4935.29</v>
      </c>
      <c r="J976" s="51" t="s">
        <v>6727</v>
      </c>
      <c r="K976" s="15">
        <v>25</v>
      </c>
      <c r="L976" s="51" t="s">
        <v>2369</v>
      </c>
      <c r="M976" s="51" t="s">
        <v>5488</v>
      </c>
      <c r="N976" s="51" t="s">
        <v>1340</v>
      </c>
      <c r="O976" s="51" t="s">
        <v>5489</v>
      </c>
      <c r="P976" s="51" t="s">
        <v>1340</v>
      </c>
      <c r="Q976" s="45">
        <v>46281.60866690972</v>
      </c>
      <c r="R976" s="46">
        <v>46296</v>
      </c>
      <c r="S976" s="46">
        <v>46291</v>
      </c>
      <c r="T976" s="51" t="s">
        <v>6119</v>
      </c>
      <c r="U976" s="15">
        <v>848.05</v>
      </c>
      <c r="V976" s="15">
        <v>3921.84</v>
      </c>
      <c r="W976" s="15">
        <v>36.08</v>
      </c>
      <c r="X976" s="15">
        <v>14.9</v>
      </c>
      <c r="Y976" s="15">
        <v>1.662307</v>
      </c>
      <c r="Z976" s="15">
        <v>6</v>
      </c>
      <c r="AA976" s="46">
        <v>46266</v>
      </c>
      <c r="AB976" s="15"/>
      <c r="AC976" s="15"/>
      <c r="AD976" s="15"/>
      <c r="AE976" s="15"/>
      <c r="AF976" s="15"/>
      <c r="AG976" s="15"/>
      <c r="AH976" s="15"/>
      <c r="AI976" s="46"/>
      <c r="AJ976" s="51" t="s">
        <v>6121</v>
      </c>
      <c r="AK976" s="51" t="s">
        <v>6121</v>
      </c>
      <c r="AL976" s="15">
        <v>848.05</v>
      </c>
      <c r="AM976" s="51" t="s">
        <v>67</v>
      </c>
      <c r="AN976" s="51" t="s">
        <v>67</v>
      </c>
      <c r="AO976" s="50" t="s">
        <v>9554</v>
      </c>
    </row>
    <row r="977" spans="1:41" hidden="1" x14ac:dyDescent="0.25">
      <c r="A977" s="51" t="s">
        <v>5490</v>
      </c>
      <c r="B977" s="51" t="s">
        <v>5491</v>
      </c>
      <c r="C977" s="54" t="s">
        <v>5605</v>
      </c>
      <c r="D977" s="51" t="s">
        <v>1608</v>
      </c>
      <c r="E977" s="20">
        <v>3061.41</v>
      </c>
      <c r="F977" s="20">
        <v>92.13</v>
      </c>
      <c r="G977" s="20">
        <v>4487.26</v>
      </c>
      <c r="H977" s="20">
        <v>5160.5600000000004</v>
      </c>
      <c r="I977" s="20">
        <v>92.13</v>
      </c>
      <c r="J977" s="51" t="s">
        <v>6724</v>
      </c>
      <c r="K977" s="15">
        <v>0</v>
      </c>
      <c r="L977" s="51" t="s">
        <v>2371</v>
      </c>
      <c r="M977" s="51" t="s">
        <v>5492</v>
      </c>
      <c r="N977" s="51" t="s">
        <v>1340</v>
      </c>
      <c r="O977" s="51" t="s">
        <v>67</v>
      </c>
      <c r="P977" s="51" t="s">
        <v>67</v>
      </c>
      <c r="Q977" s="45">
        <v>46281.608668981484</v>
      </c>
      <c r="R977" s="46">
        <v>46323</v>
      </c>
      <c r="S977" s="46">
        <v>46318</v>
      </c>
      <c r="T977" s="51" t="s">
        <v>6119</v>
      </c>
      <c r="U977" s="15">
        <v>849.8</v>
      </c>
      <c r="V977" s="15">
        <v>3922.15</v>
      </c>
      <c r="W977" s="15">
        <v>36.39</v>
      </c>
      <c r="X977" s="15">
        <v>14.9</v>
      </c>
      <c r="Y977" s="15">
        <v>1.6620440000000001</v>
      </c>
      <c r="Z977" s="15">
        <v>6</v>
      </c>
      <c r="AA977" s="46">
        <v>46262</v>
      </c>
      <c r="AB977" s="15"/>
      <c r="AC977" s="15"/>
      <c r="AD977" s="15"/>
      <c r="AE977" s="15"/>
      <c r="AF977" s="15"/>
      <c r="AG977" s="15"/>
      <c r="AH977" s="15"/>
      <c r="AI977" s="46"/>
      <c r="AJ977" s="51" t="s">
        <v>67</v>
      </c>
      <c r="AK977" s="51" t="s">
        <v>6121</v>
      </c>
      <c r="AL977" s="15">
        <v>849.8</v>
      </c>
      <c r="AM977" s="51" t="s">
        <v>6705</v>
      </c>
      <c r="AN977" s="51" t="s">
        <v>6713</v>
      </c>
      <c r="AO977" s="50" t="s">
        <v>9554</v>
      </c>
    </row>
    <row r="978" spans="1:41" hidden="1" x14ac:dyDescent="0.25">
      <c r="A978" s="51" t="s">
        <v>5493</v>
      </c>
      <c r="B978" s="51" t="s">
        <v>5494</v>
      </c>
      <c r="C978" s="54" t="s">
        <v>607</v>
      </c>
      <c r="D978" s="51" t="s">
        <v>5495</v>
      </c>
      <c r="E978" s="20">
        <v>6830.83</v>
      </c>
      <c r="F978" s="20">
        <v>4536.1499999999996</v>
      </c>
      <c r="G978" s="20">
        <v>3824.06</v>
      </c>
      <c r="H978" s="20">
        <v>3870.86</v>
      </c>
      <c r="I978" s="20">
        <v>4348.8900000000003</v>
      </c>
      <c r="J978" s="51" t="s">
        <v>6727</v>
      </c>
      <c r="K978" s="15">
        <v>11</v>
      </c>
      <c r="L978" s="51" t="s">
        <v>2369</v>
      </c>
      <c r="M978" s="51" t="s">
        <v>5496</v>
      </c>
      <c r="N978" s="51" t="s">
        <v>1344</v>
      </c>
      <c r="O978" s="51" t="s">
        <v>67</v>
      </c>
      <c r="P978" s="51" t="s">
        <v>67</v>
      </c>
      <c r="Q978" s="45">
        <v>46281.608671111113</v>
      </c>
      <c r="R978" s="46">
        <v>46310</v>
      </c>
      <c r="S978" s="46">
        <v>46305</v>
      </c>
      <c r="T978" s="51" t="s">
        <v>6119</v>
      </c>
      <c r="U978" s="15">
        <v>848.05</v>
      </c>
      <c r="V978" s="15">
        <v>3921.84</v>
      </c>
      <c r="W978" s="15">
        <v>36.08</v>
      </c>
      <c r="X978" s="15">
        <v>14.9</v>
      </c>
      <c r="Y978" s="15">
        <v>1.662307</v>
      </c>
      <c r="Z978" s="15">
        <v>6</v>
      </c>
      <c r="AA978" s="46">
        <v>46280</v>
      </c>
      <c r="AB978" s="15"/>
      <c r="AC978" s="15"/>
      <c r="AD978" s="15"/>
      <c r="AE978" s="15"/>
      <c r="AF978" s="15"/>
      <c r="AG978" s="15"/>
      <c r="AH978" s="15"/>
      <c r="AI978" s="46"/>
      <c r="AJ978" s="51" t="s">
        <v>6121</v>
      </c>
      <c r="AK978" s="51" t="s">
        <v>6121</v>
      </c>
      <c r="AL978" s="15">
        <v>848.05</v>
      </c>
      <c r="AM978" s="51" t="s">
        <v>67</v>
      </c>
      <c r="AN978" s="51" t="s">
        <v>67</v>
      </c>
      <c r="AO978" s="50" t="s">
        <v>9554</v>
      </c>
    </row>
    <row r="979" spans="1:41" hidden="1" x14ac:dyDescent="0.25">
      <c r="A979" s="51" t="s">
        <v>5497</v>
      </c>
      <c r="B979" s="51" t="s">
        <v>5498</v>
      </c>
      <c r="C979" s="54" t="s">
        <v>5601</v>
      </c>
      <c r="D979" s="51" t="s">
        <v>5499</v>
      </c>
      <c r="E979" s="20">
        <v>3731.47</v>
      </c>
      <c r="F979" s="20">
        <v>0</v>
      </c>
      <c r="G979" s="20">
        <v>4216.0200000000004</v>
      </c>
      <c r="H979" s="20">
        <v>0</v>
      </c>
      <c r="I979" s="20">
        <v>600.86</v>
      </c>
      <c r="J979" s="51" t="s">
        <v>2654</v>
      </c>
      <c r="K979" s="15">
        <v>0</v>
      </c>
      <c r="L979" s="51" t="s">
        <v>2371</v>
      </c>
      <c r="M979" s="51" t="s">
        <v>67</v>
      </c>
      <c r="N979" s="51" t="s">
        <v>67</v>
      </c>
      <c r="O979" s="51" t="s">
        <v>5500</v>
      </c>
      <c r="P979" s="51" t="s">
        <v>1340</v>
      </c>
      <c r="Q979" s="45">
        <v>46281.60867321759</v>
      </c>
      <c r="R979" s="46">
        <v>46316</v>
      </c>
      <c r="S979" s="46">
        <v>46311</v>
      </c>
      <c r="T979" s="51" t="s">
        <v>6119</v>
      </c>
      <c r="U979" s="15"/>
      <c r="V979" s="15"/>
      <c r="W979" s="15"/>
      <c r="X979" s="15"/>
      <c r="Y979" s="15"/>
      <c r="Z979" s="15"/>
      <c r="AA979" s="46"/>
      <c r="AB979" s="15"/>
      <c r="AC979" s="15"/>
      <c r="AD979" s="15"/>
      <c r="AE979" s="15"/>
      <c r="AF979" s="15"/>
      <c r="AG979" s="15"/>
      <c r="AH979" s="15"/>
      <c r="AI979" s="46"/>
      <c r="AJ979" s="51" t="s">
        <v>67</v>
      </c>
      <c r="AK979" s="51" t="s">
        <v>67</v>
      </c>
      <c r="AL979" s="15"/>
      <c r="AM979" s="51" t="s">
        <v>67</v>
      </c>
      <c r="AN979" s="51" t="s">
        <v>67</v>
      </c>
      <c r="AO979" s="50" t="s">
        <v>9554</v>
      </c>
    </row>
    <row r="980" spans="1:41" hidden="1" x14ac:dyDescent="0.25">
      <c r="A980" s="51" t="s">
        <v>5501</v>
      </c>
      <c r="B980" s="51" t="s">
        <v>5502</v>
      </c>
      <c r="C980" s="54" t="s">
        <v>2693</v>
      </c>
      <c r="D980" s="51" t="s">
        <v>5503</v>
      </c>
      <c r="E980" s="20">
        <v>12488.23</v>
      </c>
      <c r="F980" s="20">
        <v>7989.57</v>
      </c>
      <c r="G980" s="20">
        <v>-4369.34</v>
      </c>
      <c r="H980" s="20">
        <v>3870.86</v>
      </c>
      <c r="I980" s="20">
        <v>6269.19</v>
      </c>
      <c r="J980" s="51" t="s">
        <v>6725</v>
      </c>
      <c r="K980" s="15">
        <v>0</v>
      </c>
      <c r="L980" s="51" t="s">
        <v>2371</v>
      </c>
      <c r="M980" s="51" t="s">
        <v>67</v>
      </c>
      <c r="N980" s="51" t="s">
        <v>67</v>
      </c>
      <c r="O980" s="51" t="s">
        <v>5504</v>
      </c>
      <c r="P980" s="51" t="s">
        <v>1340</v>
      </c>
      <c r="Q980" s="45">
        <v>46281.608674872688</v>
      </c>
      <c r="R980" s="46">
        <v>46314</v>
      </c>
      <c r="S980" s="46">
        <v>46309</v>
      </c>
      <c r="T980" s="51" t="s">
        <v>6119</v>
      </c>
      <c r="U980" s="15">
        <v>849.8</v>
      </c>
      <c r="V980" s="15">
        <v>3922.15</v>
      </c>
      <c r="W980" s="15">
        <v>36.39</v>
      </c>
      <c r="X980" s="15">
        <v>14.9</v>
      </c>
      <c r="Y980" s="15">
        <v>1.6620440000000001</v>
      </c>
      <c r="Z980" s="15">
        <v>6</v>
      </c>
      <c r="AA980" s="46">
        <v>46253</v>
      </c>
      <c r="AB980" s="15">
        <v>212.9</v>
      </c>
      <c r="AC980" s="15">
        <v>387.09</v>
      </c>
      <c r="AD980" s="15">
        <v>38.71</v>
      </c>
      <c r="AE980" s="15">
        <v>582.26</v>
      </c>
      <c r="AF980" s="15">
        <v>3729.62</v>
      </c>
      <c r="AG980" s="15">
        <v>57.49</v>
      </c>
      <c r="AH980" s="15">
        <v>1.5861069999999999</v>
      </c>
      <c r="AI980" s="46">
        <v>46283</v>
      </c>
      <c r="AJ980" s="51" t="s">
        <v>67</v>
      </c>
      <c r="AK980" s="51" t="s">
        <v>6121</v>
      </c>
      <c r="AL980" s="15">
        <v>849.8</v>
      </c>
      <c r="AM980" s="51" t="s">
        <v>6705</v>
      </c>
      <c r="AN980" s="51" t="s">
        <v>6713</v>
      </c>
      <c r="AO980" s="50" t="s">
        <v>9554</v>
      </c>
    </row>
    <row r="981" spans="1:41" hidden="1" x14ac:dyDescent="0.25">
      <c r="A981" s="51" t="s">
        <v>5505</v>
      </c>
      <c r="B981" s="51" t="s">
        <v>5506</v>
      </c>
      <c r="C981" s="54" t="s">
        <v>2692</v>
      </c>
      <c r="D981" s="51" t="s">
        <v>5507</v>
      </c>
      <c r="E981" s="20">
        <v>5829.63</v>
      </c>
      <c r="F981" s="20">
        <v>4920.49</v>
      </c>
      <c r="G981" s="20">
        <v>6155.46</v>
      </c>
      <c r="H981" s="20">
        <v>3870.86</v>
      </c>
      <c r="I981" s="20">
        <v>4920.49</v>
      </c>
      <c r="J981" s="51" t="s">
        <v>6727</v>
      </c>
      <c r="K981" s="15">
        <v>25</v>
      </c>
      <c r="L981" s="51" t="s">
        <v>2369</v>
      </c>
      <c r="M981" s="51" t="s">
        <v>5508</v>
      </c>
      <c r="N981" s="51" t="s">
        <v>1340</v>
      </c>
      <c r="O981" s="51" t="s">
        <v>5509</v>
      </c>
      <c r="P981" s="51" t="s">
        <v>1340</v>
      </c>
      <c r="Q981" s="45">
        <v>46281.608677118056</v>
      </c>
      <c r="R981" s="46">
        <v>46296</v>
      </c>
      <c r="S981" s="46">
        <v>46291</v>
      </c>
      <c r="T981" s="51" t="s">
        <v>6119</v>
      </c>
      <c r="U981" s="15">
        <v>848.05</v>
      </c>
      <c r="V981" s="15">
        <v>3921.84</v>
      </c>
      <c r="W981" s="15">
        <v>36.08</v>
      </c>
      <c r="X981" s="15">
        <v>14.9</v>
      </c>
      <c r="Y981" s="15">
        <v>1.662307</v>
      </c>
      <c r="Z981" s="15">
        <v>6</v>
      </c>
      <c r="AA981" s="46">
        <v>46266</v>
      </c>
      <c r="AB981" s="15"/>
      <c r="AC981" s="15"/>
      <c r="AD981" s="15"/>
      <c r="AE981" s="15"/>
      <c r="AF981" s="15"/>
      <c r="AG981" s="15"/>
      <c r="AH981" s="15"/>
      <c r="AI981" s="46"/>
      <c r="AJ981" s="51" t="s">
        <v>6121</v>
      </c>
      <c r="AK981" s="51" t="s">
        <v>6121</v>
      </c>
      <c r="AL981" s="15">
        <v>848.05</v>
      </c>
      <c r="AM981" s="51" t="s">
        <v>67</v>
      </c>
      <c r="AN981" s="51" t="s">
        <v>67</v>
      </c>
      <c r="AO981" s="50" t="s">
        <v>9554</v>
      </c>
    </row>
    <row r="982" spans="1:41" hidden="1" x14ac:dyDescent="0.25">
      <c r="A982" s="51" t="s">
        <v>5510</v>
      </c>
      <c r="B982" s="51" t="s">
        <v>5511</v>
      </c>
      <c r="C982" s="54" t="s">
        <v>2345</v>
      </c>
      <c r="D982" s="51" t="s">
        <v>5512</v>
      </c>
      <c r="E982" s="20">
        <v>9777.2800000000007</v>
      </c>
      <c r="F982" s="20">
        <v>505</v>
      </c>
      <c r="G982" s="20">
        <v>10677.5</v>
      </c>
      <c r="H982" s="20">
        <v>0</v>
      </c>
      <c r="I982" s="20">
        <v>505</v>
      </c>
      <c r="J982" s="51" t="s">
        <v>2654</v>
      </c>
      <c r="K982" s="15">
        <v>0</v>
      </c>
      <c r="L982" s="51" t="s">
        <v>2371</v>
      </c>
      <c r="M982" s="51" t="s">
        <v>67</v>
      </c>
      <c r="N982" s="51" t="s">
        <v>67</v>
      </c>
      <c r="O982" s="51" t="s">
        <v>5513</v>
      </c>
      <c r="P982" s="51" t="s">
        <v>1340</v>
      </c>
      <c r="Q982" s="45">
        <v>46281.608679131947</v>
      </c>
      <c r="R982" s="46">
        <v>46306</v>
      </c>
      <c r="S982" s="46">
        <v>46301</v>
      </c>
      <c r="T982" s="51" t="s">
        <v>6119</v>
      </c>
      <c r="U982" s="15"/>
      <c r="V982" s="15"/>
      <c r="W982" s="15"/>
      <c r="X982" s="15"/>
      <c r="Y982" s="15"/>
      <c r="Z982" s="15"/>
      <c r="AA982" s="46"/>
      <c r="AB982" s="15"/>
      <c r="AC982" s="15"/>
      <c r="AD982" s="15"/>
      <c r="AE982" s="15"/>
      <c r="AF982" s="15"/>
      <c r="AG982" s="15"/>
      <c r="AH982" s="15"/>
      <c r="AI982" s="46"/>
      <c r="AJ982" s="51" t="s">
        <v>67</v>
      </c>
      <c r="AK982" s="51" t="s">
        <v>67</v>
      </c>
      <c r="AL982" s="15"/>
      <c r="AM982" s="51" t="s">
        <v>67</v>
      </c>
      <c r="AN982" s="51" t="s">
        <v>67</v>
      </c>
      <c r="AO982" s="50" t="s">
        <v>9554</v>
      </c>
    </row>
    <row r="983" spans="1:41" hidden="1" x14ac:dyDescent="0.25">
      <c r="A983" s="51" t="s">
        <v>5514</v>
      </c>
      <c r="B983" s="51" t="s">
        <v>5515</v>
      </c>
      <c r="C983" s="54" t="s">
        <v>2689</v>
      </c>
      <c r="D983" s="51" t="s">
        <v>5516</v>
      </c>
      <c r="E983" s="20">
        <v>10764.81</v>
      </c>
      <c r="F983" s="20">
        <v>5243.73</v>
      </c>
      <c r="G983" s="20">
        <v>-2026.42</v>
      </c>
      <c r="H983" s="20">
        <v>3870.86</v>
      </c>
      <c r="I983" s="20">
        <v>2233.06</v>
      </c>
      <c r="J983" s="51" t="s">
        <v>6726</v>
      </c>
      <c r="K983" s="15">
        <v>0</v>
      </c>
      <c r="L983" s="51" t="s">
        <v>2371</v>
      </c>
      <c r="M983" s="51" t="s">
        <v>5517</v>
      </c>
      <c r="N983" s="51" t="s">
        <v>1340</v>
      </c>
      <c r="O983" s="51" t="s">
        <v>67</v>
      </c>
      <c r="P983" s="51" t="s">
        <v>67</v>
      </c>
      <c r="Q983" s="45">
        <v>46281.608681006946</v>
      </c>
      <c r="R983" s="46">
        <v>46317</v>
      </c>
      <c r="S983" s="46">
        <v>46312</v>
      </c>
      <c r="T983" s="51" t="s">
        <v>6119</v>
      </c>
      <c r="U983" s="15">
        <v>849.8</v>
      </c>
      <c r="V983" s="15">
        <v>3922.15</v>
      </c>
      <c r="W983" s="15">
        <v>36.39</v>
      </c>
      <c r="X983" s="15">
        <v>14.9</v>
      </c>
      <c r="Y983" s="15">
        <v>1.6620440000000001</v>
      </c>
      <c r="Z983" s="15">
        <v>6</v>
      </c>
      <c r="AA983" s="46">
        <v>46256</v>
      </c>
      <c r="AB983" s="15"/>
      <c r="AC983" s="15"/>
      <c r="AD983" s="15"/>
      <c r="AE983" s="15"/>
      <c r="AF983" s="15"/>
      <c r="AG983" s="15"/>
      <c r="AH983" s="15"/>
      <c r="AI983" s="46"/>
      <c r="AJ983" s="51" t="s">
        <v>67</v>
      </c>
      <c r="AK983" s="51" t="s">
        <v>6121</v>
      </c>
      <c r="AL983" s="15">
        <v>849.8</v>
      </c>
      <c r="AM983" s="51" t="s">
        <v>6705</v>
      </c>
      <c r="AN983" s="51" t="s">
        <v>6713</v>
      </c>
      <c r="AO983" s="50" t="s">
        <v>9554</v>
      </c>
    </row>
    <row r="984" spans="1:41" hidden="1" x14ac:dyDescent="0.25">
      <c r="A984" s="51" t="s">
        <v>5518</v>
      </c>
      <c r="B984" s="51" t="s">
        <v>5519</v>
      </c>
      <c r="C984" s="54" t="s">
        <v>2345</v>
      </c>
      <c r="D984" s="51" t="s">
        <v>5520</v>
      </c>
      <c r="E984" s="20">
        <v>6294.99</v>
      </c>
      <c r="F984" s="20">
        <v>512.39</v>
      </c>
      <c r="G984" s="20">
        <v>5849.25</v>
      </c>
      <c r="H984" s="20">
        <v>0</v>
      </c>
      <c r="I984" s="20">
        <v>512.39</v>
      </c>
      <c r="J984" s="51" t="s">
        <v>2654</v>
      </c>
      <c r="K984" s="15">
        <v>0</v>
      </c>
      <c r="L984" s="51" t="s">
        <v>2371</v>
      </c>
      <c r="M984" s="51" t="s">
        <v>5521</v>
      </c>
      <c r="N984" s="51" t="s">
        <v>1340</v>
      </c>
      <c r="O984" s="51" t="s">
        <v>5522</v>
      </c>
      <c r="P984" s="51" t="s">
        <v>1340</v>
      </c>
      <c r="Q984" s="45">
        <v>46281.608683449071</v>
      </c>
      <c r="R984" s="46">
        <v>46306</v>
      </c>
      <c r="S984" s="46">
        <v>46301</v>
      </c>
      <c r="T984" s="51" t="s">
        <v>6119</v>
      </c>
      <c r="U984" s="15"/>
      <c r="V984" s="15"/>
      <c r="W984" s="15"/>
      <c r="X984" s="15"/>
      <c r="Y984" s="15"/>
      <c r="Z984" s="15"/>
      <c r="AA984" s="46"/>
      <c r="AB984" s="15"/>
      <c r="AC984" s="15"/>
      <c r="AD984" s="15"/>
      <c r="AE984" s="15"/>
      <c r="AF984" s="15"/>
      <c r="AG984" s="15"/>
      <c r="AH984" s="15"/>
      <c r="AI984" s="46"/>
      <c r="AJ984" s="51" t="s">
        <v>67</v>
      </c>
      <c r="AK984" s="51" t="s">
        <v>67</v>
      </c>
      <c r="AL984" s="15"/>
      <c r="AM984" s="51" t="s">
        <v>67</v>
      </c>
      <c r="AN984" s="51" t="s">
        <v>67</v>
      </c>
      <c r="AO984" s="50" t="s">
        <v>9554</v>
      </c>
    </row>
    <row r="985" spans="1:41" hidden="1" x14ac:dyDescent="0.25">
      <c r="A985" s="51" t="s">
        <v>5523</v>
      </c>
      <c r="B985" s="51" t="s">
        <v>5524</v>
      </c>
      <c r="C985" s="54" t="s">
        <v>2356</v>
      </c>
      <c r="D985" s="51" t="s">
        <v>4807</v>
      </c>
      <c r="E985" s="20">
        <v>12458.53</v>
      </c>
      <c r="F985" s="20">
        <v>4651.03</v>
      </c>
      <c r="G985" s="20">
        <v>12500.7</v>
      </c>
      <c r="H985" s="20">
        <v>3870.86</v>
      </c>
      <c r="I985" s="20">
        <v>4651.0200000000004</v>
      </c>
      <c r="J985" s="51" t="s">
        <v>6727</v>
      </c>
      <c r="K985" s="15">
        <v>14</v>
      </c>
      <c r="L985" s="51" t="s">
        <v>2369</v>
      </c>
      <c r="M985" s="51" t="s">
        <v>67</v>
      </c>
      <c r="N985" s="51" t="s">
        <v>67</v>
      </c>
      <c r="O985" s="51" t="s">
        <v>5525</v>
      </c>
      <c r="P985" s="51" t="s">
        <v>1340</v>
      </c>
      <c r="Q985" s="45">
        <v>46281.608685451392</v>
      </c>
      <c r="R985" s="46">
        <v>46307</v>
      </c>
      <c r="S985" s="46">
        <v>46302</v>
      </c>
      <c r="T985" s="51" t="s">
        <v>6119</v>
      </c>
      <c r="U985" s="15">
        <v>848.05</v>
      </c>
      <c r="V985" s="15">
        <v>3921.84</v>
      </c>
      <c r="W985" s="15">
        <v>36.08</v>
      </c>
      <c r="X985" s="15">
        <v>14.9</v>
      </c>
      <c r="Y985" s="15">
        <v>1.662307</v>
      </c>
      <c r="Z985" s="15">
        <v>6</v>
      </c>
      <c r="AA985" s="46">
        <v>46277</v>
      </c>
      <c r="AB985" s="15"/>
      <c r="AC985" s="15"/>
      <c r="AD985" s="15"/>
      <c r="AE985" s="15"/>
      <c r="AF985" s="15"/>
      <c r="AG985" s="15"/>
      <c r="AH985" s="15"/>
      <c r="AI985" s="46"/>
      <c r="AJ985" s="51" t="s">
        <v>6121</v>
      </c>
      <c r="AK985" s="51" t="s">
        <v>6121</v>
      </c>
      <c r="AL985" s="15">
        <v>848.05</v>
      </c>
      <c r="AM985" s="51" t="s">
        <v>67</v>
      </c>
      <c r="AN985" s="51" t="s">
        <v>67</v>
      </c>
      <c r="AO985" s="50" t="s">
        <v>9554</v>
      </c>
    </row>
    <row r="986" spans="1:41" hidden="1" x14ac:dyDescent="0.25">
      <c r="A986" s="51" t="s">
        <v>5526</v>
      </c>
      <c r="B986" s="51" t="s">
        <v>5527</v>
      </c>
      <c r="C986" s="54" t="s">
        <v>5607</v>
      </c>
      <c r="D986" s="51" t="s">
        <v>5528</v>
      </c>
      <c r="E986" s="20">
        <v>1458.02</v>
      </c>
      <c r="F986" s="20">
        <v>825.29</v>
      </c>
      <c r="G986" s="20">
        <v>14076.27</v>
      </c>
      <c r="H986" s="20">
        <v>0</v>
      </c>
      <c r="I986" s="20">
        <v>825.29</v>
      </c>
      <c r="J986" s="51" t="s">
        <v>2654</v>
      </c>
      <c r="K986" s="15">
        <v>0</v>
      </c>
      <c r="L986" s="51" t="s">
        <v>2371</v>
      </c>
      <c r="M986" s="51" t="s">
        <v>67</v>
      </c>
      <c r="N986" s="51" t="s">
        <v>67</v>
      </c>
      <c r="O986" s="51" t="s">
        <v>5529</v>
      </c>
      <c r="P986" s="51" t="s">
        <v>1340</v>
      </c>
      <c r="Q986" s="45">
        <v>46281.608687615742</v>
      </c>
      <c r="R986" s="46">
        <v>46299</v>
      </c>
      <c r="S986" s="46">
        <v>46294</v>
      </c>
      <c r="T986" s="51" t="s">
        <v>6119</v>
      </c>
      <c r="U986" s="15"/>
      <c r="V986" s="15"/>
      <c r="W986" s="15"/>
      <c r="X986" s="15"/>
      <c r="Y986" s="15"/>
      <c r="Z986" s="15"/>
      <c r="AA986" s="46"/>
      <c r="AB986" s="15"/>
      <c r="AC986" s="15"/>
      <c r="AD986" s="15"/>
      <c r="AE986" s="15"/>
      <c r="AF986" s="15"/>
      <c r="AG986" s="15"/>
      <c r="AH986" s="15"/>
      <c r="AI986" s="46"/>
      <c r="AJ986" s="51" t="s">
        <v>67</v>
      </c>
      <c r="AK986" s="51" t="s">
        <v>67</v>
      </c>
      <c r="AL986" s="15"/>
      <c r="AM986" s="51" t="s">
        <v>67</v>
      </c>
      <c r="AN986" s="51" t="s">
        <v>67</v>
      </c>
      <c r="AO986" s="50" t="s">
        <v>9554</v>
      </c>
    </row>
    <row r="987" spans="1:41" hidden="1" x14ac:dyDescent="0.25">
      <c r="A987" s="51" t="s">
        <v>5530</v>
      </c>
      <c r="B987" s="51" t="s">
        <v>5531</v>
      </c>
      <c r="C987" s="54" t="s">
        <v>2345</v>
      </c>
      <c r="D987" s="51" t="s">
        <v>5532</v>
      </c>
      <c r="E987" s="20">
        <v>9894.4599999999991</v>
      </c>
      <c r="F987" s="20">
        <v>4911.87</v>
      </c>
      <c r="G987" s="20">
        <v>10752.39</v>
      </c>
      <c r="H987" s="20">
        <v>3870.86</v>
      </c>
      <c r="I987" s="20">
        <v>4911.84</v>
      </c>
      <c r="J987" s="51" t="s">
        <v>6727</v>
      </c>
      <c r="K987" s="15">
        <v>15</v>
      </c>
      <c r="L987" s="51" t="s">
        <v>2369</v>
      </c>
      <c r="M987" s="51" t="s">
        <v>67</v>
      </c>
      <c r="N987" s="51" t="s">
        <v>67</v>
      </c>
      <c r="O987" s="51" t="s">
        <v>5533</v>
      </c>
      <c r="P987" s="51" t="s">
        <v>1340</v>
      </c>
      <c r="Q987" s="45">
        <v>46281.608689594905</v>
      </c>
      <c r="R987" s="46">
        <v>46306</v>
      </c>
      <c r="S987" s="46">
        <v>46301</v>
      </c>
      <c r="T987" s="51" t="s">
        <v>6119</v>
      </c>
      <c r="U987" s="15">
        <v>848.05</v>
      </c>
      <c r="V987" s="15">
        <v>3921.84</v>
      </c>
      <c r="W987" s="15">
        <v>36.08</v>
      </c>
      <c r="X987" s="15">
        <v>14.9</v>
      </c>
      <c r="Y987" s="15">
        <v>1.662307</v>
      </c>
      <c r="Z987" s="15">
        <v>6</v>
      </c>
      <c r="AA987" s="46">
        <v>46276</v>
      </c>
      <c r="AB987" s="15"/>
      <c r="AC987" s="15"/>
      <c r="AD987" s="15"/>
      <c r="AE987" s="15"/>
      <c r="AF987" s="15"/>
      <c r="AG987" s="15"/>
      <c r="AH987" s="15"/>
      <c r="AI987" s="46"/>
      <c r="AJ987" s="51" t="s">
        <v>6121</v>
      </c>
      <c r="AK987" s="51" t="s">
        <v>6121</v>
      </c>
      <c r="AL987" s="15">
        <v>848.05</v>
      </c>
      <c r="AM987" s="51" t="s">
        <v>67</v>
      </c>
      <c r="AN987" s="51" t="s">
        <v>67</v>
      </c>
      <c r="AO987" s="50" t="s">
        <v>9554</v>
      </c>
    </row>
    <row r="988" spans="1:41" hidden="1" x14ac:dyDescent="0.25">
      <c r="A988" s="51" t="s">
        <v>5534</v>
      </c>
      <c r="B988" s="51" t="s">
        <v>5535</v>
      </c>
      <c r="C988" s="54" t="s">
        <v>5596</v>
      </c>
      <c r="D988" s="51" t="s">
        <v>5536</v>
      </c>
      <c r="E988" s="20">
        <v>2444.27</v>
      </c>
      <c r="F988" s="20">
        <v>5104.9399999999996</v>
      </c>
      <c r="G988" s="20">
        <v>2579.85</v>
      </c>
      <c r="H988" s="20">
        <v>3870.86</v>
      </c>
      <c r="I988" s="20">
        <v>5104.93</v>
      </c>
      <c r="J988" s="51" t="s">
        <v>6727</v>
      </c>
      <c r="K988" s="15">
        <v>21</v>
      </c>
      <c r="L988" s="51" t="s">
        <v>2369</v>
      </c>
      <c r="M988" s="51" t="s">
        <v>67</v>
      </c>
      <c r="N988" s="51" t="s">
        <v>67</v>
      </c>
      <c r="O988" s="51" t="s">
        <v>5537</v>
      </c>
      <c r="P988" s="51" t="s">
        <v>1340</v>
      </c>
      <c r="Q988" s="45">
        <v>46281.608691666668</v>
      </c>
      <c r="R988" s="46">
        <v>46300</v>
      </c>
      <c r="S988" s="46">
        <v>46295</v>
      </c>
      <c r="T988" s="51" t="s">
        <v>6119</v>
      </c>
      <c r="U988" s="15">
        <v>848.05</v>
      </c>
      <c r="V988" s="15">
        <v>3921.84</v>
      </c>
      <c r="W988" s="15">
        <v>36.08</v>
      </c>
      <c r="X988" s="15">
        <v>14.9</v>
      </c>
      <c r="Y988" s="15">
        <v>1.662307</v>
      </c>
      <c r="Z988" s="15">
        <v>6</v>
      </c>
      <c r="AA988" s="46">
        <v>46270</v>
      </c>
      <c r="AB988" s="15"/>
      <c r="AC988" s="15"/>
      <c r="AD988" s="15"/>
      <c r="AE988" s="15"/>
      <c r="AF988" s="15"/>
      <c r="AG988" s="15"/>
      <c r="AH988" s="15"/>
      <c r="AI988" s="46"/>
      <c r="AJ988" s="51" t="s">
        <v>6121</v>
      </c>
      <c r="AK988" s="51" t="s">
        <v>6121</v>
      </c>
      <c r="AL988" s="15">
        <v>848.05</v>
      </c>
      <c r="AM988" s="51" t="s">
        <v>67</v>
      </c>
      <c r="AN988" s="51" t="s">
        <v>67</v>
      </c>
      <c r="AO988" s="50" t="s">
        <v>9554</v>
      </c>
    </row>
    <row r="989" spans="1:41" hidden="1" x14ac:dyDescent="0.25">
      <c r="A989" s="51" t="s">
        <v>5538</v>
      </c>
      <c r="B989" s="51" t="s">
        <v>5539</v>
      </c>
      <c r="C989" s="54" t="s">
        <v>5606</v>
      </c>
      <c r="D989" s="51" t="s">
        <v>5540</v>
      </c>
      <c r="E989" s="20">
        <v>9121.57</v>
      </c>
      <c r="F989" s="20">
        <v>5109.8599999999997</v>
      </c>
      <c r="G989" s="20">
        <v>13028.62</v>
      </c>
      <c r="H989" s="20">
        <v>3870.86</v>
      </c>
      <c r="I989" s="20">
        <v>5109.8599999999997</v>
      </c>
      <c r="J989" s="51" t="s">
        <v>6727</v>
      </c>
      <c r="K989" s="15">
        <v>24</v>
      </c>
      <c r="L989" s="51" t="s">
        <v>2369</v>
      </c>
      <c r="M989" s="51" t="s">
        <v>5541</v>
      </c>
      <c r="N989" s="51" t="s">
        <v>1340</v>
      </c>
      <c r="O989" s="51" t="s">
        <v>5542</v>
      </c>
      <c r="P989" s="51" t="s">
        <v>1340</v>
      </c>
      <c r="Q989" s="45">
        <v>46281.608693680559</v>
      </c>
      <c r="R989" s="46">
        <v>46297</v>
      </c>
      <c r="S989" s="46">
        <v>46292</v>
      </c>
      <c r="T989" s="51" t="s">
        <v>6119</v>
      </c>
      <c r="U989" s="15">
        <v>848.05</v>
      </c>
      <c r="V989" s="15">
        <v>3921.84</v>
      </c>
      <c r="W989" s="15">
        <v>36.08</v>
      </c>
      <c r="X989" s="15">
        <v>14.9</v>
      </c>
      <c r="Y989" s="15">
        <v>1.662307</v>
      </c>
      <c r="Z989" s="15">
        <v>6</v>
      </c>
      <c r="AA989" s="46">
        <v>46267</v>
      </c>
      <c r="AB989" s="15"/>
      <c r="AC989" s="15"/>
      <c r="AD989" s="15"/>
      <c r="AE989" s="15"/>
      <c r="AF989" s="15"/>
      <c r="AG989" s="15"/>
      <c r="AH989" s="15"/>
      <c r="AI989" s="46"/>
      <c r="AJ989" s="51" t="s">
        <v>6121</v>
      </c>
      <c r="AK989" s="51" t="s">
        <v>6121</v>
      </c>
      <c r="AL989" s="15">
        <v>848.05</v>
      </c>
      <c r="AM989" s="51" t="s">
        <v>67</v>
      </c>
      <c r="AN989" s="51" t="s">
        <v>67</v>
      </c>
      <c r="AO989" s="50" t="s">
        <v>9554</v>
      </c>
    </row>
    <row r="990" spans="1:41" hidden="1" x14ac:dyDescent="0.25">
      <c r="A990" s="51" t="s">
        <v>5543</v>
      </c>
      <c r="B990" s="51" t="s">
        <v>5544</v>
      </c>
      <c r="C990" s="54" t="s">
        <v>2541</v>
      </c>
      <c r="D990" s="51" t="s">
        <v>5545</v>
      </c>
      <c r="E990" s="20">
        <v>14375.59</v>
      </c>
      <c r="F990" s="20">
        <v>4500.82</v>
      </c>
      <c r="G990" s="20">
        <v>4554.3900000000003</v>
      </c>
      <c r="H990" s="20">
        <v>3870.86</v>
      </c>
      <c r="I990" s="20">
        <v>4177.63</v>
      </c>
      <c r="J990" s="51" t="s">
        <v>6727</v>
      </c>
      <c r="K990" s="15">
        <v>10</v>
      </c>
      <c r="L990" s="51" t="s">
        <v>2369</v>
      </c>
      <c r="M990" s="51" t="s">
        <v>67</v>
      </c>
      <c r="N990" s="51" t="s">
        <v>67</v>
      </c>
      <c r="O990" s="51" t="s">
        <v>5546</v>
      </c>
      <c r="P990" s="51" t="s">
        <v>1340</v>
      </c>
      <c r="Q990" s="45">
        <v>46281.608695833333</v>
      </c>
      <c r="R990" s="46">
        <v>46311</v>
      </c>
      <c r="S990" s="46">
        <v>46306</v>
      </c>
      <c r="T990" s="51" t="s">
        <v>6119</v>
      </c>
      <c r="U990" s="15">
        <v>848.05</v>
      </c>
      <c r="V990" s="15">
        <v>3921.84</v>
      </c>
      <c r="W990" s="15">
        <v>36.08</v>
      </c>
      <c r="X990" s="15">
        <v>14.9</v>
      </c>
      <c r="Y990" s="15">
        <v>1.662307</v>
      </c>
      <c r="Z990" s="15">
        <v>6</v>
      </c>
      <c r="AA990" s="46">
        <v>46281</v>
      </c>
      <c r="AB990" s="15"/>
      <c r="AC990" s="15"/>
      <c r="AD990" s="15"/>
      <c r="AE990" s="15"/>
      <c r="AF990" s="15"/>
      <c r="AG990" s="15"/>
      <c r="AH990" s="15"/>
      <c r="AI990" s="46"/>
      <c r="AJ990" s="51" t="s">
        <v>6121</v>
      </c>
      <c r="AK990" s="51" t="s">
        <v>6121</v>
      </c>
      <c r="AL990" s="15">
        <v>848.05</v>
      </c>
      <c r="AM990" s="51" t="s">
        <v>67</v>
      </c>
      <c r="AN990" s="51" t="s">
        <v>67</v>
      </c>
      <c r="AO990" s="50" t="s">
        <v>9554</v>
      </c>
    </row>
    <row r="991" spans="1:41" hidden="1" x14ac:dyDescent="0.25">
      <c r="A991" s="51" t="s">
        <v>5547</v>
      </c>
      <c r="B991" s="51" t="s">
        <v>5548</v>
      </c>
      <c r="C991" s="54" t="s">
        <v>608</v>
      </c>
      <c r="D991" s="51" t="s">
        <v>5549</v>
      </c>
      <c r="E991" s="20">
        <v>1561.06</v>
      </c>
      <c r="F991" s="20">
        <v>0</v>
      </c>
      <c r="G991" s="20">
        <v>14557.12</v>
      </c>
      <c r="H991" s="20">
        <v>0</v>
      </c>
      <c r="I991" s="20">
        <v>884.99</v>
      </c>
      <c r="J991" s="51" t="s">
        <v>2654</v>
      </c>
      <c r="K991" s="15">
        <v>0</v>
      </c>
      <c r="L991" s="51" t="s">
        <v>2371</v>
      </c>
      <c r="M991" s="51" t="s">
        <v>5550</v>
      </c>
      <c r="N991" s="51" t="s">
        <v>1344</v>
      </c>
      <c r="O991" s="51" t="s">
        <v>5551</v>
      </c>
      <c r="P991" s="51" t="s">
        <v>1344</v>
      </c>
      <c r="Q991" s="45">
        <v>46281.608697777781</v>
      </c>
      <c r="R991" s="46">
        <v>46315</v>
      </c>
      <c r="S991" s="46">
        <v>46310</v>
      </c>
      <c r="T991" s="51" t="s">
        <v>6119</v>
      </c>
      <c r="U991" s="15"/>
      <c r="V991" s="15"/>
      <c r="W991" s="15"/>
      <c r="X991" s="15"/>
      <c r="Y991" s="15"/>
      <c r="Z991" s="15"/>
      <c r="AA991" s="46"/>
      <c r="AB991" s="15"/>
      <c r="AC991" s="15"/>
      <c r="AD991" s="15"/>
      <c r="AE991" s="15"/>
      <c r="AF991" s="15"/>
      <c r="AG991" s="15"/>
      <c r="AH991" s="15"/>
      <c r="AI991" s="46"/>
      <c r="AJ991" s="51" t="s">
        <v>67</v>
      </c>
      <c r="AK991" s="51" t="s">
        <v>67</v>
      </c>
      <c r="AL991" s="15"/>
      <c r="AM991" s="51" t="s">
        <v>67</v>
      </c>
      <c r="AN991" s="51" t="s">
        <v>67</v>
      </c>
      <c r="AO991" s="50" t="s">
        <v>9554</v>
      </c>
    </row>
    <row r="992" spans="1:41" hidden="1" x14ac:dyDescent="0.25">
      <c r="A992" s="51" t="s">
        <v>5552</v>
      </c>
      <c r="B992" s="51" t="s">
        <v>5553</v>
      </c>
      <c r="C992" s="54" t="s">
        <v>2692</v>
      </c>
      <c r="D992" s="51" t="s">
        <v>5554</v>
      </c>
      <c r="E992" s="20">
        <v>3404.38</v>
      </c>
      <c r="F992" s="20">
        <v>5124.99</v>
      </c>
      <c r="G992" s="20">
        <v>8432.6299999999992</v>
      </c>
      <c r="H992" s="20">
        <v>3870.86</v>
      </c>
      <c r="I992" s="20">
        <v>5124.99</v>
      </c>
      <c r="J992" s="51" t="s">
        <v>6727</v>
      </c>
      <c r="K992" s="15">
        <v>25</v>
      </c>
      <c r="L992" s="51" t="s">
        <v>2369</v>
      </c>
      <c r="M992" s="51" t="s">
        <v>5555</v>
      </c>
      <c r="N992" s="51" t="s">
        <v>1340</v>
      </c>
      <c r="O992" s="51" t="s">
        <v>5556</v>
      </c>
      <c r="P992" s="51" t="s">
        <v>1340</v>
      </c>
      <c r="Q992" s="45">
        <v>46281.608699699071</v>
      </c>
      <c r="R992" s="46">
        <v>46296</v>
      </c>
      <c r="S992" s="46">
        <v>46291</v>
      </c>
      <c r="T992" s="51" t="s">
        <v>6119</v>
      </c>
      <c r="U992" s="15">
        <v>848.05</v>
      </c>
      <c r="V992" s="15">
        <v>3921.84</v>
      </c>
      <c r="W992" s="15">
        <v>36.08</v>
      </c>
      <c r="X992" s="15">
        <v>14.9</v>
      </c>
      <c r="Y992" s="15">
        <v>1.662307</v>
      </c>
      <c r="Z992" s="15">
        <v>6</v>
      </c>
      <c r="AA992" s="46">
        <v>46266</v>
      </c>
      <c r="AB992" s="15"/>
      <c r="AC992" s="15"/>
      <c r="AD992" s="15"/>
      <c r="AE992" s="15"/>
      <c r="AF992" s="15"/>
      <c r="AG992" s="15"/>
      <c r="AH992" s="15"/>
      <c r="AI992" s="46"/>
      <c r="AJ992" s="51" t="s">
        <v>6121</v>
      </c>
      <c r="AK992" s="51" t="s">
        <v>6121</v>
      </c>
      <c r="AL992" s="15">
        <v>848.05</v>
      </c>
      <c r="AM992" s="51" t="s">
        <v>67</v>
      </c>
      <c r="AN992" s="51" t="s">
        <v>67</v>
      </c>
      <c r="AO992" s="50" t="s">
        <v>9554</v>
      </c>
    </row>
    <row r="993" spans="1:41" hidden="1" x14ac:dyDescent="0.25">
      <c r="A993" s="51" t="s">
        <v>5557</v>
      </c>
      <c r="B993" s="51" t="s">
        <v>5558</v>
      </c>
      <c r="C993" s="54" t="s">
        <v>2358</v>
      </c>
      <c r="D993" s="51" t="s">
        <v>5559</v>
      </c>
      <c r="E993" s="20">
        <v>1630.76</v>
      </c>
      <c r="F993" s="20">
        <v>671.88</v>
      </c>
      <c r="G993" s="20">
        <v>13872.26</v>
      </c>
      <c r="H993" s="20">
        <v>0</v>
      </c>
      <c r="I993" s="20">
        <v>671.88</v>
      </c>
      <c r="J993" s="51" t="s">
        <v>2654</v>
      </c>
      <c r="K993" s="15">
        <v>0</v>
      </c>
      <c r="L993" s="51" t="s">
        <v>2371</v>
      </c>
      <c r="M993" s="51" t="s">
        <v>5560</v>
      </c>
      <c r="N993" s="51" t="s">
        <v>1340</v>
      </c>
      <c r="O993" s="51" t="s">
        <v>67</v>
      </c>
      <c r="P993" s="51" t="s">
        <v>67</v>
      </c>
      <c r="Q993" s="45">
        <v>46281.608701921294</v>
      </c>
      <c r="R993" s="46">
        <v>46309</v>
      </c>
      <c r="S993" s="46">
        <v>46304</v>
      </c>
      <c r="T993" s="51" t="s">
        <v>6119</v>
      </c>
      <c r="U993" s="15"/>
      <c r="V993" s="15"/>
      <c r="W993" s="15"/>
      <c r="X993" s="15"/>
      <c r="Y993" s="15"/>
      <c r="Z993" s="15"/>
      <c r="AA993" s="46"/>
      <c r="AB993" s="15"/>
      <c r="AC993" s="15"/>
      <c r="AD993" s="15"/>
      <c r="AE993" s="15"/>
      <c r="AF993" s="15"/>
      <c r="AG993" s="15"/>
      <c r="AH993" s="15"/>
      <c r="AI993" s="46"/>
      <c r="AJ993" s="51" t="s">
        <v>67</v>
      </c>
      <c r="AK993" s="51" t="s">
        <v>67</v>
      </c>
      <c r="AL993" s="15"/>
      <c r="AM993" s="51" t="s">
        <v>67</v>
      </c>
      <c r="AN993" s="51" t="s">
        <v>67</v>
      </c>
      <c r="AO993" s="50" t="s">
        <v>9554</v>
      </c>
    </row>
    <row r="994" spans="1:41" hidden="1" x14ac:dyDescent="0.25">
      <c r="A994" s="51" t="s">
        <v>5561</v>
      </c>
      <c r="B994" s="51" t="s">
        <v>5562</v>
      </c>
      <c r="C994" s="54" t="s">
        <v>5598</v>
      </c>
      <c r="D994" s="51" t="s">
        <v>5563</v>
      </c>
      <c r="E994" s="20">
        <v>3807.65</v>
      </c>
      <c r="F994" s="20">
        <v>7324.46</v>
      </c>
      <c r="G994" s="20">
        <v>1015.52</v>
      </c>
      <c r="H994" s="20">
        <v>6502.55</v>
      </c>
      <c r="I994" s="20">
        <v>7324.46</v>
      </c>
      <c r="J994" s="51" t="s">
        <v>6727</v>
      </c>
      <c r="K994" s="15">
        <v>34</v>
      </c>
      <c r="L994" s="51" t="s">
        <v>2369</v>
      </c>
      <c r="M994" s="51" t="s">
        <v>5564</v>
      </c>
      <c r="N994" s="51" t="s">
        <v>1344</v>
      </c>
      <c r="O994" s="51" t="s">
        <v>5565</v>
      </c>
      <c r="P994" s="51" t="s">
        <v>1344</v>
      </c>
      <c r="Q994" s="45">
        <v>46281.608703703707</v>
      </c>
      <c r="R994" s="46">
        <v>46318</v>
      </c>
      <c r="S994" s="46">
        <v>46313</v>
      </c>
      <c r="T994" s="51" t="s">
        <v>6119</v>
      </c>
      <c r="U994" s="15">
        <v>849.8</v>
      </c>
      <c r="V994" s="15">
        <v>3922.15</v>
      </c>
      <c r="W994" s="15">
        <v>36.39</v>
      </c>
      <c r="X994" s="15">
        <v>14.9</v>
      </c>
      <c r="Y994" s="15">
        <v>1.6620440000000001</v>
      </c>
      <c r="Z994" s="15">
        <v>6</v>
      </c>
      <c r="AA994" s="46">
        <v>46257</v>
      </c>
      <c r="AB994" s="15"/>
      <c r="AC994" s="15"/>
      <c r="AD994" s="15"/>
      <c r="AE994" s="15"/>
      <c r="AF994" s="15"/>
      <c r="AG994" s="15"/>
      <c r="AH994" s="15"/>
      <c r="AI994" s="46"/>
      <c r="AJ994" s="51" t="s">
        <v>6121</v>
      </c>
      <c r="AK994" s="51" t="s">
        <v>6121</v>
      </c>
      <c r="AL994" s="15">
        <v>849.8</v>
      </c>
      <c r="AM994" s="51" t="s">
        <v>67</v>
      </c>
      <c r="AN994" s="51" t="s">
        <v>67</v>
      </c>
      <c r="AO994" s="50" t="s">
        <v>9554</v>
      </c>
    </row>
    <row r="995" spans="1:41" hidden="1" x14ac:dyDescent="0.25">
      <c r="A995" s="51" t="s">
        <v>5566</v>
      </c>
      <c r="B995" s="51" t="s">
        <v>5567</v>
      </c>
      <c r="C995" s="54" t="s">
        <v>2358</v>
      </c>
      <c r="D995" s="51" t="s">
        <v>5568</v>
      </c>
      <c r="E995" s="20">
        <v>10018.81</v>
      </c>
      <c r="F995" s="20">
        <v>232.39</v>
      </c>
      <c r="G995" s="20">
        <v>11727.59</v>
      </c>
      <c r="H995" s="20">
        <v>0</v>
      </c>
      <c r="I995" s="20">
        <v>697.18</v>
      </c>
      <c r="J995" s="51" t="s">
        <v>2654</v>
      </c>
      <c r="K995" s="15">
        <v>0</v>
      </c>
      <c r="L995" s="51" t="s">
        <v>2371</v>
      </c>
      <c r="M995" s="51" t="s">
        <v>67</v>
      </c>
      <c r="N995" s="51" t="s">
        <v>67</v>
      </c>
      <c r="O995" s="51" t="s">
        <v>5569</v>
      </c>
      <c r="P995" s="51" t="s">
        <v>1340</v>
      </c>
      <c r="Q995" s="45">
        <v>46281.608705763887</v>
      </c>
      <c r="R995" s="46">
        <v>46309</v>
      </c>
      <c r="S995" s="46">
        <v>46304</v>
      </c>
      <c r="T995" s="51" t="s">
        <v>6119</v>
      </c>
      <c r="U995" s="15"/>
      <c r="V995" s="15"/>
      <c r="W995" s="15"/>
      <c r="X995" s="15"/>
      <c r="Y995" s="15"/>
      <c r="Z995" s="15"/>
      <c r="AA995" s="46"/>
      <c r="AB995" s="15"/>
      <c r="AC995" s="15"/>
      <c r="AD995" s="15"/>
      <c r="AE995" s="15"/>
      <c r="AF995" s="15"/>
      <c r="AG995" s="15"/>
      <c r="AH995" s="15"/>
      <c r="AI995" s="46"/>
      <c r="AJ995" s="51" t="s">
        <v>67</v>
      </c>
      <c r="AK995" s="51" t="s">
        <v>67</v>
      </c>
      <c r="AL995" s="15"/>
      <c r="AM995" s="51" t="s">
        <v>67</v>
      </c>
      <c r="AN995" s="51" t="s">
        <v>67</v>
      </c>
      <c r="AO995" s="50" t="s">
        <v>9554</v>
      </c>
    </row>
    <row r="996" spans="1:41" hidden="1" x14ac:dyDescent="0.25">
      <c r="A996" s="51" t="s">
        <v>5570</v>
      </c>
      <c r="B996" s="51" t="s">
        <v>5571</v>
      </c>
      <c r="C996" s="54" t="s">
        <v>5607</v>
      </c>
      <c r="D996" s="51" t="s">
        <v>5572</v>
      </c>
      <c r="E996" s="20">
        <v>2148.9899999999998</v>
      </c>
      <c r="F996" s="20">
        <v>4770.7700000000004</v>
      </c>
      <c r="G996" s="20">
        <v>13407.79</v>
      </c>
      <c r="H996" s="20">
        <v>3870.86</v>
      </c>
      <c r="I996" s="20">
        <v>4770.7700000000004</v>
      </c>
      <c r="J996" s="51" t="s">
        <v>6727</v>
      </c>
      <c r="K996" s="15">
        <v>22</v>
      </c>
      <c r="L996" s="51" t="s">
        <v>2369</v>
      </c>
      <c r="M996" s="51" t="s">
        <v>5573</v>
      </c>
      <c r="N996" s="51" t="s">
        <v>1340</v>
      </c>
      <c r="O996" s="51" t="s">
        <v>67</v>
      </c>
      <c r="P996" s="51" t="s">
        <v>67</v>
      </c>
      <c r="Q996" s="45">
        <v>46281.608707488427</v>
      </c>
      <c r="R996" s="46">
        <v>46299</v>
      </c>
      <c r="S996" s="46">
        <v>46294</v>
      </c>
      <c r="T996" s="51" t="s">
        <v>6119</v>
      </c>
      <c r="U996" s="15">
        <v>848.05</v>
      </c>
      <c r="V996" s="15">
        <v>3921.84</v>
      </c>
      <c r="W996" s="15">
        <v>36.08</v>
      </c>
      <c r="X996" s="15">
        <v>14.9</v>
      </c>
      <c r="Y996" s="15">
        <v>1.662307</v>
      </c>
      <c r="Z996" s="15">
        <v>6</v>
      </c>
      <c r="AA996" s="46">
        <v>46269</v>
      </c>
      <c r="AB996" s="15"/>
      <c r="AC996" s="15"/>
      <c r="AD996" s="15"/>
      <c r="AE996" s="15"/>
      <c r="AF996" s="15"/>
      <c r="AG996" s="15"/>
      <c r="AH996" s="15"/>
      <c r="AI996" s="46"/>
      <c r="AJ996" s="51" t="s">
        <v>6121</v>
      </c>
      <c r="AK996" s="51" t="s">
        <v>6121</v>
      </c>
      <c r="AL996" s="15">
        <v>848.05</v>
      </c>
      <c r="AM996" s="51" t="s">
        <v>67</v>
      </c>
      <c r="AN996" s="51" t="s">
        <v>67</v>
      </c>
      <c r="AO996" s="50" t="s">
        <v>9554</v>
      </c>
    </row>
    <row r="997" spans="1:41" hidden="1" x14ac:dyDescent="0.25">
      <c r="A997" s="51" t="s">
        <v>5574</v>
      </c>
      <c r="B997" s="51" t="s">
        <v>5575</v>
      </c>
      <c r="C997" s="54" t="s">
        <v>5608</v>
      </c>
      <c r="D997" s="51" t="s">
        <v>3322</v>
      </c>
      <c r="E997" s="20">
        <v>5381.8</v>
      </c>
      <c r="F997" s="20">
        <v>787.54</v>
      </c>
      <c r="G997" s="20">
        <v>19651.580000000002</v>
      </c>
      <c r="H997" s="20">
        <v>760.98</v>
      </c>
      <c r="I997" s="20">
        <v>787.54</v>
      </c>
      <c r="J997" s="51" t="s">
        <v>6727</v>
      </c>
      <c r="K997" s="15">
        <v>2</v>
      </c>
      <c r="L997" s="51" t="s">
        <v>2369</v>
      </c>
      <c r="M997" s="51" t="s">
        <v>67</v>
      </c>
      <c r="N997" s="51" t="s">
        <v>67</v>
      </c>
      <c r="O997" s="51" t="s">
        <v>5576</v>
      </c>
      <c r="P997" s="51" t="s">
        <v>1340</v>
      </c>
      <c r="Q997" s="45">
        <v>46281.608709432869</v>
      </c>
      <c r="R997" s="46">
        <v>46319</v>
      </c>
      <c r="S997" s="46">
        <v>46314</v>
      </c>
      <c r="T997" s="51" t="s">
        <v>6119</v>
      </c>
      <c r="U997" s="15"/>
      <c r="V997" s="15"/>
      <c r="W997" s="15"/>
      <c r="X997" s="15"/>
      <c r="Y997" s="15"/>
      <c r="Z997" s="15"/>
      <c r="AA997" s="46"/>
      <c r="AB997" s="15"/>
      <c r="AC997" s="15"/>
      <c r="AD997" s="15"/>
      <c r="AE997" s="15"/>
      <c r="AF997" s="15"/>
      <c r="AG997" s="15"/>
      <c r="AH997" s="15"/>
      <c r="AI997" s="46"/>
      <c r="AJ997" s="51" t="s">
        <v>67</v>
      </c>
      <c r="AK997" s="51" t="s">
        <v>67</v>
      </c>
      <c r="AL997" s="15"/>
      <c r="AM997" s="51" t="s">
        <v>6705</v>
      </c>
      <c r="AN997" s="51" t="s">
        <v>6716</v>
      </c>
      <c r="AO997" s="50" t="s">
        <v>9554</v>
      </c>
    </row>
    <row r="998" spans="1:41" hidden="1" x14ac:dyDescent="0.25">
      <c r="A998" s="51" t="s">
        <v>5577</v>
      </c>
      <c r="B998" s="51" t="s">
        <v>5578</v>
      </c>
      <c r="C998" s="54" t="s">
        <v>5596</v>
      </c>
      <c r="D998" s="51" t="s">
        <v>5579</v>
      </c>
      <c r="E998" s="20">
        <v>4424.95</v>
      </c>
      <c r="F998" s="20">
        <v>5121.1400000000003</v>
      </c>
      <c r="G998" s="20">
        <v>9186.18</v>
      </c>
      <c r="H998" s="20">
        <v>3870.86</v>
      </c>
      <c r="I998" s="20">
        <v>5121.1400000000003</v>
      </c>
      <c r="J998" s="51" t="s">
        <v>6727</v>
      </c>
      <c r="K998" s="15">
        <v>21</v>
      </c>
      <c r="L998" s="51" t="s">
        <v>2369</v>
      </c>
      <c r="M998" s="51" t="s">
        <v>67</v>
      </c>
      <c r="N998" s="51" t="s">
        <v>67</v>
      </c>
      <c r="O998" s="51" t="s">
        <v>5580</v>
      </c>
      <c r="P998" s="51" t="s">
        <v>1340</v>
      </c>
      <c r="Q998" s="45">
        <v>46281.608710960645</v>
      </c>
      <c r="R998" s="46">
        <v>46300</v>
      </c>
      <c r="S998" s="46">
        <v>46295</v>
      </c>
      <c r="T998" s="51" t="s">
        <v>6119</v>
      </c>
      <c r="U998" s="15">
        <v>848.05</v>
      </c>
      <c r="V998" s="15">
        <v>3921.84</v>
      </c>
      <c r="W998" s="15">
        <v>36.08</v>
      </c>
      <c r="X998" s="15">
        <v>14.9</v>
      </c>
      <c r="Y998" s="15">
        <v>1.662307</v>
      </c>
      <c r="Z998" s="15">
        <v>6</v>
      </c>
      <c r="AA998" s="46">
        <v>46270</v>
      </c>
      <c r="AB998" s="15"/>
      <c r="AC998" s="15"/>
      <c r="AD998" s="15"/>
      <c r="AE998" s="15"/>
      <c r="AF998" s="15"/>
      <c r="AG998" s="15"/>
      <c r="AH998" s="15"/>
      <c r="AI998" s="46"/>
      <c r="AJ998" s="51" t="s">
        <v>6121</v>
      </c>
      <c r="AK998" s="51" t="s">
        <v>6121</v>
      </c>
      <c r="AL998" s="15">
        <v>848.05</v>
      </c>
      <c r="AM998" s="51" t="s">
        <v>67</v>
      </c>
      <c r="AN998" s="51" t="s">
        <v>67</v>
      </c>
      <c r="AO998" s="50" t="s">
        <v>9554</v>
      </c>
    </row>
    <row r="999" spans="1:41" hidden="1" x14ac:dyDescent="0.25">
      <c r="A999" s="51" t="s">
        <v>5581</v>
      </c>
      <c r="B999" s="51" t="s">
        <v>5582</v>
      </c>
      <c r="C999" s="54" t="s">
        <v>5600</v>
      </c>
      <c r="D999" s="51" t="s">
        <v>5583</v>
      </c>
      <c r="E999" s="20">
        <v>4048.8</v>
      </c>
      <c r="F999" s="20">
        <v>773.99</v>
      </c>
      <c r="G999" s="20">
        <v>5560.89</v>
      </c>
      <c r="H999" s="20">
        <v>0</v>
      </c>
      <c r="I999" s="20">
        <v>773.99</v>
      </c>
      <c r="J999" s="51" t="s">
        <v>2654</v>
      </c>
      <c r="K999" s="15">
        <v>0</v>
      </c>
      <c r="L999" s="51" t="s">
        <v>2371</v>
      </c>
      <c r="M999" s="51" t="s">
        <v>67</v>
      </c>
      <c r="N999" s="51" t="s">
        <v>67</v>
      </c>
      <c r="O999" s="51" t="s">
        <v>5584</v>
      </c>
      <c r="P999" s="51" t="s">
        <v>1344</v>
      </c>
      <c r="Q999" s="45">
        <v>46281.608713182868</v>
      </c>
      <c r="R999" s="46">
        <v>46304</v>
      </c>
      <c r="S999" s="46">
        <v>46299</v>
      </c>
      <c r="T999" s="51" t="s">
        <v>6119</v>
      </c>
      <c r="U999" s="15"/>
      <c r="V999" s="15"/>
      <c r="W999" s="15"/>
      <c r="X999" s="15"/>
      <c r="Y999" s="15"/>
      <c r="Z999" s="15"/>
      <c r="AA999" s="46"/>
      <c r="AB999" s="15"/>
      <c r="AC999" s="15"/>
      <c r="AD999" s="15"/>
      <c r="AE999" s="15"/>
      <c r="AF999" s="15"/>
      <c r="AG999" s="15"/>
      <c r="AH999" s="15"/>
      <c r="AI999" s="46"/>
      <c r="AJ999" s="51" t="s">
        <v>67</v>
      </c>
      <c r="AK999" s="51" t="s">
        <v>67</v>
      </c>
      <c r="AL999" s="15"/>
      <c r="AM999" s="51" t="s">
        <v>67</v>
      </c>
      <c r="AN999" s="51" t="s">
        <v>67</v>
      </c>
      <c r="AO999" s="50" t="s">
        <v>9554</v>
      </c>
    </row>
    <row r="1000" spans="1:41" hidden="1" x14ac:dyDescent="0.25">
      <c r="A1000" s="51" t="s">
        <v>5585</v>
      </c>
      <c r="B1000" s="51" t="s">
        <v>5586</v>
      </c>
      <c r="C1000" s="54" t="s">
        <v>5607</v>
      </c>
      <c r="D1000" s="51" t="s">
        <v>5587</v>
      </c>
      <c r="E1000" s="20">
        <v>6460.59</v>
      </c>
      <c r="F1000" s="20">
        <v>5048.26</v>
      </c>
      <c r="G1000" s="20">
        <v>-1981.87</v>
      </c>
      <c r="H1000" s="20">
        <v>3870.86</v>
      </c>
      <c r="I1000" s="20">
        <v>5048.26</v>
      </c>
      <c r="J1000" s="51" t="s">
        <v>6727</v>
      </c>
      <c r="K1000" s="15">
        <v>22</v>
      </c>
      <c r="L1000" s="51" t="s">
        <v>2369</v>
      </c>
      <c r="M1000" s="51" t="s">
        <v>67</v>
      </c>
      <c r="N1000" s="51" t="s">
        <v>67</v>
      </c>
      <c r="O1000" s="51" t="s">
        <v>5588</v>
      </c>
      <c r="P1000" s="51" t="s">
        <v>1340</v>
      </c>
      <c r="Q1000" s="45">
        <v>46281.608714895832</v>
      </c>
      <c r="R1000" s="46">
        <v>46299</v>
      </c>
      <c r="S1000" s="46">
        <v>46294</v>
      </c>
      <c r="T1000" s="51" t="s">
        <v>6119</v>
      </c>
      <c r="U1000" s="15">
        <v>848.05</v>
      </c>
      <c r="V1000" s="15">
        <v>3921.84</v>
      </c>
      <c r="W1000" s="15">
        <v>36.08</v>
      </c>
      <c r="X1000" s="15">
        <v>14.9</v>
      </c>
      <c r="Y1000" s="15">
        <v>1.662307</v>
      </c>
      <c r="Z1000" s="15">
        <v>6</v>
      </c>
      <c r="AA1000" s="46">
        <v>46269</v>
      </c>
      <c r="AB1000" s="15"/>
      <c r="AC1000" s="15"/>
      <c r="AD1000" s="15"/>
      <c r="AE1000" s="15"/>
      <c r="AF1000" s="15"/>
      <c r="AG1000" s="15"/>
      <c r="AH1000" s="15"/>
      <c r="AI1000" s="46"/>
      <c r="AJ1000" s="51" t="s">
        <v>6121</v>
      </c>
      <c r="AK1000" s="51" t="s">
        <v>6121</v>
      </c>
      <c r="AL1000" s="15">
        <v>848.05</v>
      </c>
      <c r="AM1000" s="51" t="s">
        <v>6705</v>
      </c>
      <c r="AN1000" s="51" t="s">
        <v>6713</v>
      </c>
      <c r="AO1000" s="50" t="s">
        <v>9554</v>
      </c>
    </row>
    <row r="1001" spans="1:41" hidden="1" x14ac:dyDescent="0.25">
      <c r="A1001" s="51" t="s">
        <v>5589</v>
      </c>
      <c r="B1001" s="51" t="s">
        <v>5590</v>
      </c>
      <c r="C1001" s="54" t="s">
        <v>5607</v>
      </c>
      <c r="D1001" s="51" t="s">
        <v>5591</v>
      </c>
      <c r="E1001" s="20">
        <v>1050.58</v>
      </c>
      <c r="F1001" s="20">
        <v>4947.13</v>
      </c>
      <c r="G1001" s="20">
        <v>2837.16</v>
      </c>
      <c r="H1001" s="20">
        <v>3870.86</v>
      </c>
      <c r="I1001" s="20">
        <v>4947.13</v>
      </c>
      <c r="J1001" s="51" t="s">
        <v>6727</v>
      </c>
      <c r="K1001" s="15">
        <v>22</v>
      </c>
      <c r="L1001" s="51" t="s">
        <v>2369</v>
      </c>
      <c r="M1001" s="51" t="s">
        <v>5592</v>
      </c>
      <c r="N1001" s="51" t="s">
        <v>1340</v>
      </c>
      <c r="O1001" s="51" t="s">
        <v>5593</v>
      </c>
      <c r="P1001" s="51" t="s">
        <v>1340</v>
      </c>
      <c r="Q1001" s="45">
        <v>46281.608716875002</v>
      </c>
      <c r="R1001" s="46">
        <v>46299</v>
      </c>
      <c r="S1001" s="46">
        <v>46294</v>
      </c>
      <c r="T1001" s="51" t="s">
        <v>6119</v>
      </c>
      <c r="U1001" s="15">
        <v>848.05</v>
      </c>
      <c r="V1001" s="15">
        <v>3921.84</v>
      </c>
      <c r="W1001" s="15">
        <v>36.08</v>
      </c>
      <c r="X1001" s="15">
        <v>14.9</v>
      </c>
      <c r="Y1001" s="15">
        <v>1.662307</v>
      </c>
      <c r="Z1001" s="15">
        <v>6</v>
      </c>
      <c r="AA1001" s="46">
        <v>46269</v>
      </c>
      <c r="AB1001" s="15"/>
      <c r="AC1001" s="15"/>
      <c r="AD1001" s="15"/>
      <c r="AE1001" s="15"/>
      <c r="AF1001" s="15"/>
      <c r="AG1001" s="15"/>
      <c r="AH1001" s="15"/>
      <c r="AI1001" s="46"/>
      <c r="AJ1001" s="51" t="s">
        <v>6121</v>
      </c>
      <c r="AK1001" s="51" t="s">
        <v>6121</v>
      </c>
      <c r="AL1001" s="15">
        <v>848.05</v>
      </c>
      <c r="AM1001" s="51" t="s">
        <v>67</v>
      </c>
      <c r="AN1001" s="51" t="s">
        <v>67</v>
      </c>
      <c r="AO1001" s="50" t="s">
        <v>9554</v>
      </c>
    </row>
    <row r="1002" spans="1:41" hidden="1" x14ac:dyDescent="0.25">
      <c r="A1002" s="51" t="s">
        <v>5609</v>
      </c>
      <c r="B1002" s="51" t="s">
        <v>5610</v>
      </c>
      <c r="C1002" s="54" t="s">
        <v>2689</v>
      </c>
      <c r="D1002" s="51" t="s">
        <v>5611</v>
      </c>
      <c r="E1002" s="20">
        <v>7210.3</v>
      </c>
      <c r="F1002" s="20">
        <v>8936.2099999999991</v>
      </c>
      <c r="G1002" s="20">
        <v>5059.79</v>
      </c>
      <c r="H1002" s="20">
        <v>3870.86</v>
      </c>
      <c r="I1002" s="20">
        <v>7645.9</v>
      </c>
      <c r="J1002" s="51" t="s">
        <v>6727</v>
      </c>
      <c r="K1002" s="15">
        <v>35</v>
      </c>
      <c r="L1002" s="51" t="s">
        <v>2369</v>
      </c>
      <c r="M1002" s="51" t="s">
        <v>5612</v>
      </c>
      <c r="N1002" s="51" t="s">
        <v>1340</v>
      </c>
      <c r="O1002" s="51" t="s">
        <v>67</v>
      </c>
      <c r="P1002" s="51" t="s">
        <v>67</v>
      </c>
      <c r="Q1002" s="45">
        <v>46282.509699421294</v>
      </c>
      <c r="R1002" s="46">
        <v>46317</v>
      </c>
      <c r="S1002" s="46">
        <v>46312</v>
      </c>
      <c r="T1002" s="51" t="s">
        <v>6119</v>
      </c>
      <c r="U1002" s="15">
        <v>849.8</v>
      </c>
      <c r="V1002" s="15">
        <v>3922.15</v>
      </c>
      <c r="W1002" s="15">
        <v>36.39</v>
      </c>
      <c r="X1002" s="15">
        <v>14.9</v>
      </c>
      <c r="Y1002" s="15">
        <v>1.6620440000000001</v>
      </c>
      <c r="Z1002" s="15">
        <v>6</v>
      </c>
      <c r="AA1002" s="46">
        <v>46256</v>
      </c>
      <c r="AB1002" s="15"/>
      <c r="AC1002" s="15"/>
      <c r="AD1002" s="15"/>
      <c r="AE1002" s="15"/>
      <c r="AF1002" s="15"/>
      <c r="AG1002" s="15"/>
      <c r="AH1002" s="15"/>
      <c r="AI1002" s="46"/>
      <c r="AJ1002" s="51" t="s">
        <v>6121</v>
      </c>
      <c r="AK1002" s="51" t="s">
        <v>6121</v>
      </c>
      <c r="AL1002" s="15">
        <v>849.8</v>
      </c>
      <c r="AM1002" s="51" t="s">
        <v>67</v>
      </c>
      <c r="AN1002" s="51" t="s">
        <v>67</v>
      </c>
      <c r="AO1002" s="50" t="s">
        <v>9554</v>
      </c>
    </row>
    <row r="1003" spans="1:41" hidden="1" x14ac:dyDescent="0.25">
      <c r="A1003" s="51" t="s">
        <v>5613</v>
      </c>
      <c r="B1003" s="51" t="s">
        <v>5614</v>
      </c>
      <c r="C1003" s="54" t="s">
        <v>5608</v>
      </c>
      <c r="D1003" s="51" t="s">
        <v>203</v>
      </c>
      <c r="E1003" s="20">
        <v>1550.17</v>
      </c>
      <c r="F1003" s="20">
        <v>92.13</v>
      </c>
      <c r="G1003" s="20">
        <v>8325.7199999999993</v>
      </c>
      <c r="H1003" s="20">
        <v>6813.59</v>
      </c>
      <c r="I1003" s="20">
        <v>92.13</v>
      </c>
      <c r="J1003" s="51" t="s">
        <v>6724</v>
      </c>
      <c r="K1003" s="15">
        <v>0</v>
      </c>
      <c r="L1003" s="51" t="s">
        <v>2371</v>
      </c>
      <c r="M1003" s="51" t="s">
        <v>67</v>
      </c>
      <c r="N1003" s="51" t="s">
        <v>67</v>
      </c>
      <c r="O1003" s="51" t="s">
        <v>5615</v>
      </c>
      <c r="P1003" s="51" t="s">
        <v>1340</v>
      </c>
      <c r="Q1003" s="45">
        <v>46282.509764189817</v>
      </c>
      <c r="R1003" s="46">
        <v>46319</v>
      </c>
      <c r="S1003" s="46">
        <v>46314</v>
      </c>
      <c r="T1003" s="51" t="s">
        <v>6119</v>
      </c>
      <c r="U1003" s="15">
        <v>849.8</v>
      </c>
      <c r="V1003" s="15">
        <v>3922.15</v>
      </c>
      <c r="W1003" s="15">
        <v>36.39</v>
      </c>
      <c r="X1003" s="15">
        <v>14.9</v>
      </c>
      <c r="Y1003" s="15">
        <v>1.6620440000000001</v>
      </c>
      <c r="Z1003" s="15">
        <v>6</v>
      </c>
      <c r="AA1003" s="46">
        <v>46258</v>
      </c>
      <c r="AB1003" s="15"/>
      <c r="AC1003" s="15"/>
      <c r="AD1003" s="15"/>
      <c r="AE1003" s="15"/>
      <c r="AF1003" s="15"/>
      <c r="AG1003" s="15"/>
      <c r="AH1003" s="15"/>
      <c r="AI1003" s="46"/>
      <c r="AJ1003" s="51" t="s">
        <v>67</v>
      </c>
      <c r="AK1003" s="51" t="s">
        <v>6121</v>
      </c>
      <c r="AL1003" s="15">
        <v>849.8</v>
      </c>
      <c r="AM1003" s="51" t="s">
        <v>6705</v>
      </c>
      <c r="AN1003" s="51" t="s">
        <v>6716</v>
      </c>
      <c r="AO1003" s="50" t="s">
        <v>9554</v>
      </c>
    </row>
    <row r="1004" spans="1:41" hidden="1" x14ac:dyDescent="0.25">
      <c r="A1004" s="51" t="s">
        <v>5616</v>
      </c>
      <c r="B1004" s="51" t="s">
        <v>5617</v>
      </c>
      <c r="C1004" s="54" t="s">
        <v>5599</v>
      </c>
      <c r="D1004" s="51" t="s">
        <v>5618</v>
      </c>
      <c r="E1004" s="20">
        <v>11975.42</v>
      </c>
      <c r="F1004" s="20">
        <v>4780.95</v>
      </c>
      <c r="G1004" s="20">
        <v>2830.72</v>
      </c>
      <c r="H1004" s="20">
        <v>3870.86</v>
      </c>
      <c r="I1004" s="20">
        <v>4780.9399999999996</v>
      </c>
      <c r="J1004" s="51" t="s">
        <v>6727</v>
      </c>
      <c r="K1004" s="15">
        <v>19</v>
      </c>
      <c r="L1004" s="51" t="s">
        <v>2369</v>
      </c>
      <c r="M1004" s="51" t="s">
        <v>67</v>
      </c>
      <c r="N1004" s="51" t="s">
        <v>67</v>
      </c>
      <c r="O1004" s="51" t="s">
        <v>5619</v>
      </c>
      <c r="P1004" s="51" t="s">
        <v>1340</v>
      </c>
      <c r="Q1004" s="45">
        <v>46282.509835648147</v>
      </c>
      <c r="R1004" s="46">
        <v>46302</v>
      </c>
      <c r="S1004" s="46">
        <v>46297</v>
      </c>
      <c r="T1004" s="51" t="s">
        <v>6119</v>
      </c>
      <c r="U1004" s="15">
        <v>848.05</v>
      </c>
      <c r="V1004" s="15">
        <v>3921.84</v>
      </c>
      <c r="W1004" s="15">
        <v>36.08</v>
      </c>
      <c r="X1004" s="15">
        <v>14.9</v>
      </c>
      <c r="Y1004" s="15">
        <v>1.662307</v>
      </c>
      <c r="Z1004" s="15">
        <v>6</v>
      </c>
      <c r="AA1004" s="46">
        <v>46272</v>
      </c>
      <c r="AB1004" s="15"/>
      <c r="AC1004" s="15"/>
      <c r="AD1004" s="15"/>
      <c r="AE1004" s="15"/>
      <c r="AF1004" s="15"/>
      <c r="AG1004" s="15"/>
      <c r="AH1004" s="15"/>
      <c r="AI1004" s="46"/>
      <c r="AJ1004" s="51" t="s">
        <v>6121</v>
      </c>
      <c r="AK1004" s="51" t="s">
        <v>6121</v>
      </c>
      <c r="AL1004" s="15">
        <v>848.05</v>
      </c>
      <c r="AM1004" s="51" t="s">
        <v>67</v>
      </c>
      <c r="AN1004" s="51" t="s">
        <v>67</v>
      </c>
      <c r="AO1004" s="50" t="s">
        <v>9554</v>
      </c>
    </row>
    <row r="1005" spans="1:41" hidden="1" x14ac:dyDescent="0.25">
      <c r="A1005" s="51" t="s">
        <v>5620</v>
      </c>
      <c r="B1005" s="51" t="s">
        <v>5621</v>
      </c>
      <c r="C1005" s="54" t="s">
        <v>2693</v>
      </c>
      <c r="D1005" s="51" t="s">
        <v>5622</v>
      </c>
      <c r="E1005" s="20">
        <v>12791.68</v>
      </c>
      <c r="F1005" s="20">
        <v>9091.1</v>
      </c>
      <c r="G1005" s="20">
        <v>11848.24</v>
      </c>
      <c r="H1005" s="20">
        <v>3870.86</v>
      </c>
      <c r="I1005" s="20">
        <v>9091.1</v>
      </c>
      <c r="J1005" s="51" t="s">
        <v>6727</v>
      </c>
      <c r="K1005" s="15">
        <v>38</v>
      </c>
      <c r="L1005" s="51" t="s">
        <v>2369</v>
      </c>
      <c r="M1005" s="51" t="s">
        <v>5623</v>
      </c>
      <c r="N1005" s="51" t="s">
        <v>1344</v>
      </c>
      <c r="O1005" s="51" t="s">
        <v>5624</v>
      </c>
      <c r="P1005" s="51" t="s">
        <v>1344</v>
      </c>
      <c r="Q1005" s="45">
        <v>46282.509926736115</v>
      </c>
      <c r="R1005" s="46">
        <v>46314</v>
      </c>
      <c r="S1005" s="46">
        <v>46309</v>
      </c>
      <c r="T1005" s="51" t="s">
        <v>6119</v>
      </c>
      <c r="U1005" s="15">
        <v>849.8</v>
      </c>
      <c r="V1005" s="15">
        <v>3922.15</v>
      </c>
      <c r="W1005" s="15">
        <v>36.39</v>
      </c>
      <c r="X1005" s="15">
        <v>14.9</v>
      </c>
      <c r="Y1005" s="15">
        <v>1.6620440000000001</v>
      </c>
      <c r="Z1005" s="15">
        <v>6</v>
      </c>
      <c r="AA1005" s="46">
        <v>46253</v>
      </c>
      <c r="AB1005" s="15">
        <v>212.9</v>
      </c>
      <c r="AC1005" s="15">
        <v>387.09</v>
      </c>
      <c r="AD1005" s="15">
        <v>38.71</v>
      </c>
      <c r="AE1005" s="15">
        <v>582.26</v>
      </c>
      <c r="AF1005" s="15">
        <v>3729.62</v>
      </c>
      <c r="AG1005" s="15">
        <v>57.49</v>
      </c>
      <c r="AH1005" s="15">
        <v>1.5861069999999999</v>
      </c>
      <c r="AI1005" s="46">
        <v>46283</v>
      </c>
      <c r="AJ1005" s="51" t="s">
        <v>6121</v>
      </c>
      <c r="AK1005" s="51" t="s">
        <v>6121</v>
      </c>
      <c r="AL1005" s="15">
        <v>849.8</v>
      </c>
      <c r="AM1005" s="51" t="s">
        <v>67</v>
      </c>
      <c r="AN1005" s="51" t="s">
        <v>67</v>
      </c>
      <c r="AO1005" s="50" t="s">
        <v>9554</v>
      </c>
    </row>
    <row r="1006" spans="1:41" hidden="1" x14ac:dyDescent="0.25">
      <c r="A1006" s="51" t="s">
        <v>5625</v>
      </c>
      <c r="B1006" s="51" t="s">
        <v>5626</v>
      </c>
      <c r="C1006" s="54" t="s">
        <v>5596</v>
      </c>
      <c r="D1006" s="51" t="s">
        <v>5627</v>
      </c>
      <c r="E1006" s="20">
        <v>11487.91</v>
      </c>
      <c r="F1006" s="20">
        <v>4961.91</v>
      </c>
      <c r="G1006" s="20">
        <v>11678.83</v>
      </c>
      <c r="H1006" s="20">
        <v>3870.86</v>
      </c>
      <c r="I1006" s="20">
        <v>4961.91</v>
      </c>
      <c r="J1006" s="51" t="s">
        <v>6727</v>
      </c>
      <c r="K1006" s="15">
        <v>21</v>
      </c>
      <c r="L1006" s="51" t="s">
        <v>2369</v>
      </c>
      <c r="M1006" s="51" t="s">
        <v>67</v>
      </c>
      <c r="N1006" s="51" t="s">
        <v>67</v>
      </c>
      <c r="O1006" s="51" t="s">
        <v>5628</v>
      </c>
      <c r="P1006" s="51" t="s">
        <v>1340</v>
      </c>
      <c r="Q1006" s="45">
        <v>46282.509968182872</v>
      </c>
      <c r="R1006" s="46">
        <v>46300</v>
      </c>
      <c r="S1006" s="46">
        <v>46295</v>
      </c>
      <c r="T1006" s="51" t="s">
        <v>6119</v>
      </c>
      <c r="U1006" s="15">
        <v>848.05</v>
      </c>
      <c r="V1006" s="15">
        <v>3921.84</v>
      </c>
      <c r="W1006" s="15">
        <v>36.08</v>
      </c>
      <c r="X1006" s="15">
        <v>14.9</v>
      </c>
      <c r="Y1006" s="15">
        <v>1.662307</v>
      </c>
      <c r="Z1006" s="15">
        <v>6</v>
      </c>
      <c r="AA1006" s="46">
        <v>46270</v>
      </c>
      <c r="AB1006" s="15"/>
      <c r="AC1006" s="15"/>
      <c r="AD1006" s="15"/>
      <c r="AE1006" s="15"/>
      <c r="AF1006" s="15"/>
      <c r="AG1006" s="15"/>
      <c r="AH1006" s="15"/>
      <c r="AI1006" s="46"/>
      <c r="AJ1006" s="51" t="s">
        <v>6121</v>
      </c>
      <c r="AK1006" s="51" t="s">
        <v>6121</v>
      </c>
      <c r="AL1006" s="15">
        <v>848.05</v>
      </c>
      <c r="AM1006" s="51" t="s">
        <v>67</v>
      </c>
      <c r="AN1006" s="51" t="s">
        <v>67</v>
      </c>
      <c r="AO1006" s="50" t="s">
        <v>9554</v>
      </c>
    </row>
    <row r="1007" spans="1:41" hidden="1" x14ac:dyDescent="0.25">
      <c r="A1007" s="51" t="s">
        <v>5629</v>
      </c>
      <c r="B1007" s="51" t="s">
        <v>5630</v>
      </c>
      <c r="C1007" s="54" t="s">
        <v>5602</v>
      </c>
      <c r="D1007" s="51" t="s">
        <v>5631</v>
      </c>
      <c r="E1007" s="20">
        <v>7999.02</v>
      </c>
      <c r="F1007" s="20">
        <v>4847.72</v>
      </c>
      <c r="G1007" s="20">
        <v>-2463.59</v>
      </c>
      <c r="H1007" s="20">
        <v>3870.86</v>
      </c>
      <c r="I1007" s="20">
        <v>4849.33</v>
      </c>
      <c r="J1007" s="51" t="s">
        <v>6726</v>
      </c>
      <c r="K1007" s="15">
        <v>18</v>
      </c>
      <c r="L1007" s="51" t="s">
        <v>2369</v>
      </c>
      <c r="M1007" s="51" t="s">
        <v>5632</v>
      </c>
      <c r="N1007" s="51" t="s">
        <v>1340</v>
      </c>
      <c r="O1007" s="51" t="s">
        <v>67</v>
      </c>
      <c r="P1007" s="51" t="s">
        <v>67</v>
      </c>
      <c r="Q1007" s="45">
        <v>46282.510036111111</v>
      </c>
      <c r="R1007" s="46">
        <v>46303</v>
      </c>
      <c r="S1007" s="46">
        <v>46298</v>
      </c>
      <c r="T1007" s="51" t="s">
        <v>6119</v>
      </c>
      <c r="U1007" s="15">
        <v>848.05</v>
      </c>
      <c r="V1007" s="15">
        <v>3921.84</v>
      </c>
      <c r="W1007" s="15">
        <v>36.08</v>
      </c>
      <c r="X1007" s="15">
        <v>14.9</v>
      </c>
      <c r="Y1007" s="15">
        <v>1.662307</v>
      </c>
      <c r="Z1007" s="15">
        <v>6</v>
      </c>
      <c r="AA1007" s="46">
        <v>46273</v>
      </c>
      <c r="AB1007" s="15"/>
      <c r="AC1007" s="15"/>
      <c r="AD1007" s="15"/>
      <c r="AE1007" s="15"/>
      <c r="AF1007" s="15"/>
      <c r="AG1007" s="15"/>
      <c r="AH1007" s="15"/>
      <c r="AI1007" s="46"/>
      <c r="AJ1007" s="51" t="s">
        <v>6121</v>
      </c>
      <c r="AK1007" s="51" t="s">
        <v>6121</v>
      </c>
      <c r="AL1007" s="15">
        <v>848.05</v>
      </c>
      <c r="AM1007" s="51" t="s">
        <v>6705</v>
      </c>
      <c r="AN1007" s="51" t="s">
        <v>6713</v>
      </c>
      <c r="AO1007" s="50" t="s">
        <v>9554</v>
      </c>
    </row>
    <row r="1008" spans="1:41" hidden="1" x14ac:dyDescent="0.25">
      <c r="A1008" s="51" t="s">
        <v>5633</v>
      </c>
      <c r="B1008" s="51" t="s">
        <v>5634</v>
      </c>
      <c r="C1008" s="54" t="s">
        <v>2358</v>
      </c>
      <c r="D1008" s="51" t="s">
        <v>5635</v>
      </c>
      <c r="E1008" s="20">
        <v>6162.57</v>
      </c>
      <c r="F1008" s="20">
        <v>4591.47</v>
      </c>
      <c r="G1008" s="20">
        <v>14139.43</v>
      </c>
      <c r="H1008" s="20">
        <v>3870.86</v>
      </c>
      <c r="I1008" s="20">
        <v>4385.41</v>
      </c>
      <c r="J1008" s="51" t="s">
        <v>6727</v>
      </c>
      <c r="K1008" s="15">
        <v>12</v>
      </c>
      <c r="L1008" s="51" t="s">
        <v>2369</v>
      </c>
      <c r="M1008" s="51" t="s">
        <v>67</v>
      </c>
      <c r="N1008" s="51" t="s">
        <v>67</v>
      </c>
      <c r="O1008" s="51" t="s">
        <v>5636</v>
      </c>
      <c r="P1008" s="51" t="s">
        <v>1344</v>
      </c>
      <c r="Q1008" s="45">
        <v>46282.510081828703</v>
      </c>
      <c r="R1008" s="46">
        <v>46309</v>
      </c>
      <c r="S1008" s="46">
        <v>46304</v>
      </c>
      <c r="T1008" s="51" t="s">
        <v>6119</v>
      </c>
      <c r="U1008" s="15">
        <v>848.05</v>
      </c>
      <c r="V1008" s="15">
        <v>3921.84</v>
      </c>
      <c r="W1008" s="15">
        <v>36.08</v>
      </c>
      <c r="X1008" s="15">
        <v>14.9</v>
      </c>
      <c r="Y1008" s="15">
        <v>1.662307</v>
      </c>
      <c r="Z1008" s="15">
        <v>6</v>
      </c>
      <c r="AA1008" s="46">
        <v>46279</v>
      </c>
      <c r="AB1008" s="15"/>
      <c r="AC1008" s="15"/>
      <c r="AD1008" s="15"/>
      <c r="AE1008" s="15"/>
      <c r="AF1008" s="15"/>
      <c r="AG1008" s="15"/>
      <c r="AH1008" s="15"/>
      <c r="AI1008" s="46"/>
      <c r="AJ1008" s="51" t="s">
        <v>6121</v>
      </c>
      <c r="AK1008" s="51" t="s">
        <v>6121</v>
      </c>
      <c r="AL1008" s="15">
        <v>848.05</v>
      </c>
      <c r="AM1008" s="51" t="s">
        <v>67</v>
      </c>
      <c r="AN1008" s="51" t="s">
        <v>67</v>
      </c>
      <c r="AO1008" s="50" t="s">
        <v>9554</v>
      </c>
    </row>
    <row r="1009" spans="1:41" hidden="1" x14ac:dyDescent="0.25">
      <c r="A1009" s="51" t="s">
        <v>5637</v>
      </c>
      <c r="B1009" s="51" t="s">
        <v>5638</v>
      </c>
      <c r="C1009" s="54" t="s">
        <v>5607</v>
      </c>
      <c r="D1009" s="51" t="s">
        <v>5639</v>
      </c>
      <c r="E1009" s="20">
        <v>11107.77</v>
      </c>
      <c r="F1009" s="20">
        <v>442.55</v>
      </c>
      <c r="G1009" s="20">
        <v>3085.45</v>
      </c>
      <c r="H1009" s="20">
        <v>3870.86</v>
      </c>
      <c r="I1009" s="20">
        <v>442.55</v>
      </c>
      <c r="J1009" s="51" t="s">
        <v>6724</v>
      </c>
      <c r="K1009" s="15">
        <v>0</v>
      </c>
      <c r="L1009" s="51" t="s">
        <v>2371</v>
      </c>
      <c r="M1009" s="51" t="s">
        <v>67</v>
      </c>
      <c r="N1009" s="51" t="s">
        <v>67</v>
      </c>
      <c r="O1009" s="51" t="s">
        <v>5640</v>
      </c>
      <c r="P1009" s="51" t="s">
        <v>1340</v>
      </c>
      <c r="Q1009" s="45">
        <v>46282.510117187499</v>
      </c>
      <c r="R1009" s="46">
        <v>46299</v>
      </c>
      <c r="S1009" s="46">
        <v>46294</v>
      </c>
      <c r="T1009" s="51" t="s">
        <v>6119</v>
      </c>
      <c r="U1009" s="15">
        <v>848.05</v>
      </c>
      <c r="V1009" s="15">
        <v>3921.84</v>
      </c>
      <c r="W1009" s="15">
        <v>36.08</v>
      </c>
      <c r="X1009" s="15">
        <v>14.9</v>
      </c>
      <c r="Y1009" s="15">
        <v>1.662307</v>
      </c>
      <c r="Z1009" s="15">
        <v>6</v>
      </c>
      <c r="AA1009" s="46">
        <v>46269</v>
      </c>
      <c r="AB1009" s="15"/>
      <c r="AC1009" s="15"/>
      <c r="AD1009" s="15"/>
      <c r="AE1009" s="15"/>
      <c r="AF1009" s="15"/>
      <c r="AG1009" s="15"/>
      <c r="AH1009" s="15"/>
      <c r="AI1009" s="46"/>
      <c r="AJ1009" s="51" t="s">
        <v>67</v>
      </c>
      <c r="AK1009" s="51" t="s">
        <v>6121</v>
      </c>
      <c r="AL1009" s="15">
        <v>848.05</v>
      </c>
      <c r="AM1009" s="51" t="s">
        <v>6705</v>
      </c>
      <c r="AN1009" s="51" t="s">
        <v>6713</v>
      </c>
      <c r="AO1009" s="50" t="s">
        <v>9554</v>
      </c>
    </row>
    <row r="1010" spans="1:41" hidden="1" x14ac:dyDescent="0.25">
      <c r="A1010" s="51" t="s">
        <v>5641</v>
      </c>
      <c r="B1010" s="51" t="s">
        <v>5642</v>
      </c>
      <c r="C1010" s="54" t="s">
        <v>2694</v>
      </c>
      <c r="D1010" s="51" t="s">
        <v>5643</v>
      </c>
      <c r="E1010" s="20">
        <v>7425.62</v>
      </c>
      <c r="F1010" s="20">
        <v>4727.1899999999996</v>
      </c>
      <c r="G1010" s="20">
        <v>4559.0200000000004</v>
      </c>
      <c r="H1010" s="20">
        <v>3870.86</v>
      </c>
      <c r="I1010" s="20">
        <v>4283.0600000000004</v>
      </c>
      <c r="J1010" s="51" t="s">
        <v>6727</v>
      </c>
      <c r="K1010" s="15">
        <v>9</v>
      </c>
      <c r="L1010" s="51" t="s">
        <v>2369</v>
      </c>
      <c r="M1010" s="51" t="s">
        <v>67</v>
      </c>
      <c r="N1010" s="51" t="s">
        <v>67</v>
      </c>
      <c r="O1010" s="51" t="s">
        <v>5644</v>
      </c>
      <c r="P1010" s="51" t="s">
        <v>1340</v>
      </c>
      <c r="Q1010" s="45">
        <v>46282.510150104164</v>
      </c>
      <c r="R1010" s="46">
        <v>46312</v>
      </c>
      <c r="S1010" s="46">
        <v>46307</v>
      </c>
      <c r="T1010" s="51" t="s">
        <v>6119</v>
      </c>
      <c r="U1010" s="15">
        <v>848.05</v>
      </c>
      <c r="V1010" s="15">
        <v>3921.84</v>
      </c>
      <c r="W1010" s="15">
        <v>36.08</v>
      </c>
      <c r="X1010" s="15">
        <v>14.9</v>
      </c>
      <c r="Y1010" s="15">
        <v>1.662307</v>
      </c>
      <c r="Z1010" s="15">
        <v>6</v>
      </c>
      <c r="AA1010" s="46">
        <v>46282</v>
      </c>
      <c r="AB1010" s="15"/>
      <c r="AC1010" s="15"/>
      <c r="AD1010" s="15"/>
      <c r="AE1010" s="15"/>
      <c r="AF1010" s="15"/>
      <c r="AG1010" s="15"/>
      <c r="AH1010" s="15"/>
      <c r="AI1010" s="46"/>
      <c r="AJ1010" s="51" t="s">
        <v>6121</v>
      </c>
      <c r="AK1010" s="51" t="s">
        <v>6121</v>
      </c>
      <c r="AL1010" s="15">
        <v>848.05</v>
      </c>
      <c r="AM1010" s="51" t="s">
        <v>67</v>
      </c>
      <c r="AN1010" s="51" t="s">
        <v>67</v>
      </c>
      <c r="AO1010" s="50" t="s">
        <v>9554</v>
      </c>
    </row>
    <row r="1011" spans="1:41" hidden="1" x14ac:dyDescent="0.25">
      <c r="A1011" s="51" t="s">
        <v>5645</v>
      </c>
      <c r="B1011" s="51" t="s">
        <v>5646</v>
      </c>
      <c r="C1011" s="54" t="s">
        <v>5604</v>
      </c>
      <c r="D1011" s="51" t="s">
        <v>5647</v>
      </c>
      <c r="E1011" s="20">
        <v>14328.95</v>
      </c>
      <c r="F1011" s="20">
        <v>9032.91</v>
      </c>
      <c r="G1011" s="20">
        <v>486.22</v>
      </c>
      <c r="H1011" s="20">
        <v>3870.86</v>
      </c>
      <c r="I1011" s="20">
        <v>6882.43</v>
      </c>
      <c r="J1011" s="51" t="s">
        <v>6727</v>
      </c>
      <c r="K1011" s="15">
        <v>39</v>
      </c>
      <c r="L1011" s="51" t="s">
        <v>2369</v>
      </c>
      <c r="M1011" s="51" t="s">
        <v>5648</v>
      </c>
      <c r="N1011" s="51" t="s">
        <v>1344</v>
      </c>
      <c r="O1011" s="51" t="s">
        <v>67</v>
      </c>
      <c r="P1011" s="51" t="s">
        <v>67</v>
      </c>
      <c r="Q1011" s="45">
        <v>46282.510178819444</v>
      </c>
      <c r="R1011" s="46">
        <v>46313</v>
      </c>
      <c r="S1011" s="46">
        <v>46308</v>
      </c>
      <c r="T1011" s="51" t="s">
        <v>6119</v>
      </c>
      <c r="U1011" s="15">
        <v>849.8</v>
      </c>
      <c r="V1011" s="15">
        <v>3922.15</v>
      </c>
      <c r="W1011" s="15">
        <v>36.39</v>
      </c>
      <c r="X1011" s="15">
        <v>14.9</v>
      </c>
      <c r="Y1011" s="15">
        <v>1.6620440000000001</v>
      </c>
      <c r="Z1011" s="15">
        <v>6</v>
      </c>
      <c r="AA1011" s="46">
        <v>46252</v>
      </c>
      <c r="AB1011" s="15">
        <v>212.9</v>
      </c>
      <c r="AC1011" s="15">
        <v>387.09</v>
      </c>
      <c r="AD1011" s="15">
        <v>38.71</v>
      </c>
      <c r="AE1011" s="15">
        <v>582.26</v>
      </c>
      <c r="AF1011" s="15">
        <v>3729.62</v>
      </c>
      <c r="AG1011" s="15">
        <v>57.49</v>
      </c>
      <c r="AH1011" s="15">
        <v>1.5861069999999999</v>
      </c>
      <c r="AI1011" s="46">
        <v>46283</v>
      </c>
      <c r="AJ1011" s="51" t="s">
        <v>6121</v>
      </c>
      <c r="AK1011" s="51" t="s">
        <v>6121</v>
      </c>
      <c r="AL1011" s="15">
        <v>849.8</v>
      </c>
      <c r="AM1011" s="51" t="s">
        <v>67</v>
      </c>
      <c r="AN1011" s="51" t="s">
        <v>67</v>
      </c>
      <c r="AO1011" s="50" t="s">
        <v>9554</v>
      </c>
    </row>
    <row r="1012" spans="1:41" hidden="1" x14ac:dyDescent="0.25">
      <c r="A1012" s="51" t="s">
        <v>5649</v>
      </c>
      <c r="B1012" s="51" t="s">
        <v>5650</v>
      </c>
      <c r="C1012" s="54" t="s">
        <v>2689</v>
      </c>
      <c r="D1012" s="51" t="s">
        <v>5651</v>
      </c>
      <c r="E1012" s="20">
        <v>3689.24</v>
      </c>
      <c r="F1012" s="20">
        <v>7523.97</v>
      </c>
      <c r="G1012" s="20">
        <v>107.28</v>
      </c>
      <c r="H1012" s="20">
        <v>3870.86</v>
      </c>
      <c r="I1012" s="20">
        <v>5373.49</v>
      </c>
      <c r="J1012" s="51" t="s">
        <v>6727</v>
      </c>
      <c r="K1012" s="15">
        <v>35</v>
      </c>
      <c r="L1012" s="51" t="s">
        <v>2369</v>
      </c>
      <c r="M1012" s="51" t="s">
        <v>5652</v>
      </c>
      <c r="N1012" s="51" t="s">
        <v>1340</v>
      </c>
      <c r="O1012" s="51" t="s">
        <v>5653</v>
      </c>
      <c r="P1012" s="51" t="s">
        <v>1340</v>
      </c>
      <c r="Q1012" s="45">
        <v>46282.510281805553</v>
      </c>
      <c r="R1012" s="46">
        <v>46317</v>
      </c>
      <c r="S1012" s="46">
        <v>46312</v>
      </c>
      <c r="T1012" s="51" t="s">
        <v>6119</v>
      </c>
      <c r="U1012" s="15">
        <v>849.8</v>
      </c>
      <c r="V1012" s="15">
        <v>3922.15</v>
      </c>
      <c r="W1012" s="15">
        <v>36.39</v>
      </c>
      <c r="X1012" s="15">
        <v>14.9</v>
      </c>
      <c r="Y1012" s="15">
        <v>1.6620440000000001</v>
      </c>
      <c r="Z1012" s="15">
        <v>6</v>
      </c>
      <c r="AA1012" s="46">
        <v>46256</v>
      </c>
      <c r="AB1012" s="15"/>
      <c r="AC1012" s="15"/>
      <c r="AD1012" s="15"/>
      <c r="AE1012" s="15"/>
      <c r="AF1012" s="15"/>
      <c r="AG1012" s="15"/>
      <c r="AH1012" s="15"/>
      <c r="AI1012" s="46"/>
      <c r="AJ1012" s="51" t="s">
        <v>6121</v>
      </c>
      <c r="AK1012" s="51" t="s">
        <v>6121</v>
      </c>
      <c r="AL1012" s="15">
        <v>849.8</v>
      </c>
      <c r="AM1012" s="51" t="s">
        <v>67</v>
      </c>
      <c r="AN1012" s="51" t="s">
        <v>67</v>
      </c>
      <c r="AO1012" s="50" t="s">
        <v>9554</v>
      </c>
    </row>
    <row r="1013" spans="1:41" hidden="1" x14ac:dyDescent="0.25">
      <c r="A1013" s="51" t="s">
        <v>5654</v>
      </c>
      <c r="B1013" s="51" t="s">
        <v>5655</v>
      </c>
      <c r="C1013" s="54" t="s">
        <v>5597</v>
      </c>
      <c r="D1013" s="51" t="s">
        <v>5656</v>
      </c>
      <c r="E1013" s="20">
        <v>4366.0200000000004</v>
      </c>
      <c r="F1013" s="20">
        <v>538.48</v>
      </c>
      <c r="G1013" s="20">
        <v>21214.99</v>
      </c>
      <c r="H1013" s="20">
        <v>538.48</v>
      </c>
      <c r="I1013" s="20">
        <v>538.48</v>
      </c>
      <c r="J1013" s="51" t="s">
        <v>6727</v>
      </c>
      <c r="K1013" s="15">
        <v>0</v>
      </c>
      <c r="L1013" s="51" t="s">
        <v>2371</v>
      </c>
      <c r="M1013" s="51" t="s">
        <v>67</v>
      </c>
      <c r="N1013" s="51" t="s">
        <v>67</v>
      </c>
      <c r="O1013" s="51" t="s">
        <v>5657</v>
      </c>
      <c r="P1013" s="51" t="s">
        <v>1340</v>
      </c>
      <c r="Q1013" s="45">
        <v>46282.51033824074</v>
      </c>
      <c r="R1013" s="46">
        <v>46321</v>
      </c>
      <c r="S1013" s="46">
        <v>46316</v>
      </c>
      <c r="T1013" s="51" t="s">
        <v>6119</v>
      </c>
      <c r="U1013" s="15"/>
      <c r="V1013" s="15"/>
      <c r="W1013" s="15"/>
      <c r="X1013" s="15"/>
      <c r="Y1013" s="15"/>
      <c r="Z1013" s="15"/>
      <c r="AA1013" s="46"/>
      <c r="AB1013" s="15"/>
      <c r="AC1013" s="15"/>
      <c r="AD1013" s="15"/>
      <c r="AE1013" s="15"/>
      <c r="AF1013" s="15"/>
      <c r="AG1013" s="15"/>
      <c r="AH1013" s="15"/>
      <c r="AI1013" s="46"/>
      <c r="AJ1013" s="51" t="s">
        <v>67</v>
      </c>
      <c r="AK1013" s="51" t="s">
        <v>67</v>
      </c>
      <c r="AL1013" s="15"/>
      <c r="AM1013" s="51" t="s">
        <v>67</v>
      </c>
      <c r="AN1013" s="51" t="s">
        <v>67</v>
      </c>
      <c r="AO1013" s="50" t="s">
        <v>9554</v>
      </c>
    </row>
    <row r="1014" spans="1:41" hidden="1" x14ac:dyDescent="0.25">
      <c r="A1014" s="51" t="s">
        <v>5658</v>
      </c>
      <c r="B1014" s="51" t="s">
        <v>5659</v>
      </c>
      <c r="C1014" s="54" t="s">
        <v>5596</v>
      </c>
      <c r="D1014" s="51" t="s">
        <v>5660</v>
      </c>
      <c r="E1014" s="20">
        <v>9230.17</v>
      </c>
      <c r="F1014" s="20">
        <v>879.15</v>
      </c>
      <c r="G1014" s="20">
        <v>16427.400000000001</v>
      </c>
      <c r="H1014" s="20">
        <v>0</v>
      </c>
      <c r="I1014" s="20">
        <v>879.15</v>
      </c>
      <c r="J1014" s="51" t="s">
        <v>2654</v>
      </c>
      <c r="K1014" s="15">
        <v>0</v>
      </c>
      <c r="L1014" s="51" t="s">
        <v>2371</v>
      </c>
      <c r="M1014" s="51" t="s">
        <v>5661</v>
      </c>
      <c r="N1014" s="51" t="s">
        <v>1340</v>
      </c>
      <c r="O1014" s="51" t="s">
        <v>5662</v>
      </c>
      <c r="P1014" s="51" t="s">
        <v>1340</v>
      </c>
      <c r="Q1014" s="45">
        <v>46282.510406770831</v>
      </c>
      <c r="R1014" s="46">
        <v>46300</v>
      </c>
      <c r="S1014" s="46">
        <v>46295</v>
      </c>
      <c r="T1014" s="51" t="s">
        <v>6119</v>
      </c>
      <c r="U1014" s="15"/>
      <c r="V1014" s="15"/>
      <c r="W1014" s="15"/>
      <c r="X1014" s="15"/>
      <c r="Y1014" s="15"/>
      <c r="Z1014" s="15"/>
      <c r="AA1014" s="46"/>
      <c r="AB1014" s="15"/>
      <c r="AC1014" s="15"/>
      <c r="AD1014" s="15"/>
      <c r="AE1014" s="15"/>
      <c r="AF1014" s="15"/>
      <c r="AG1014" s="15"/>
      <c r="AH1014" s="15"/>
      <c r="AI1014" s="46"/>
      <c r="AJ1014" s="51" t="s">
        <v>67</v>
      </c>
      <c r="AK1014" s="51" t="s">
        <v>67</v>
      </c>
      <c r="AL1014" s="15"/>
      <c r="AM1014" s="51" t="s">
        <v>67</v>
      </c>
      <c r="AN1014" s="51" t="s">
        <v>67</v>
      </c>
      <c r="AO1014" s="50" t="s">
        <v>9554</v>
      </c>
    </row>
    <row r="1015" spans="1:41" hidden="1" x14ac:dyDescent="0.25">
      <c r="A1015" s="51" t="s">
        <v>5663</v>
      </c>
      <c r="B1015" s="51" t="s">
        <v>5664</v>
      </c>
      <c r="C1015" s="54" t="s">
        <v>2345</v>
      </c>
      <c r="D1015" s="51" t="s">
        <v>5665</v>
      </c>
      <c r="E1015" s="20">
        <v>4887.8</v>
      </c>
      <c r="F1015" s="20">
        <v>4810.63</v>
      </c>
      <c r="G1015" s="20">
        <v>5850.91</v>
      </c>
      <c r="H1015" s="20">
        <v>3870.86</v>
      </c>
      <c r="I1015" s="20">
        <v>4810.63</v>
      </c>
      <c r="J1015" s="51" t="s">
        <v>6727</v>
      </c>
      <c r="K1015" s="15">
        <v>15</v>
      </c>
      <c r="L1015" s="51" t="s">
        <v>2369</v>
      </c>
      <c r="M1015" s="51" t="s">
        <v>5666</v>
      </c>
      <c r="N1015" s="51" t="s">
        <v>1340</v>
      </c>
      <c r="O1015" s="51" t="s">
        <v>67</v>
      </c>
      <c r="P1015" s="51" t="s">
        <v>67</v>
      </c>
      <c r="Q1015" s="45">
        <v>46282.510457303244</v>
      </c>
      <c r="R1015" s="46">
        <v>46306</v>
      </c>
      <c r="S1015" s="46">
        <v>46301</v>
      </c>
      <c r="T1015" s="51" t="s">
        <v>6119</v>
      </c>
      <c r="U1015" s="15">
        <v>848.05</v>
      </c>
      <c r="V1015" s="15">
        <v>3921.84</v>
      </c>
      <c r="W1015" s="15">
        <v>36.08</v>
      </c>
      <c r="X1015" s="15">
        <v>14.9</v>
      </c>
      <c r="Y1015" s="15">
        <v>1.662307</v>
      </c>
      <c r="Z1015" s="15">
        <v>6</v>
      </c>
      <c r="AA1015" s="46">
        <v>46276</v>
      </c>
      <c r="AB1015" s="15"/>
      <c r="AC1015" s="15"/>
      <c r="AD1015" s="15"/>
      <c r="AE1015" s="15"/>
      <c r="AF1015" s="15"/>
      <c r="AG1015" s="15"/>
      <c r="AH1015" s="15"/>
      <c r="AI1015" s="46"/>
      <c r="AJ1015" s="51" t="s">
        <v>6121</v>
      </c>
      <c r="AK1015" s="51" t="s">
        <v>6121</v>
      </c>
      <c r="AL1015" s="15">
        <v>848.05</v>
      </c>
      <c r="AM1015" s="51" t="s">
        <v>67</v>
      </c>
      <c r="AN1015" s="51" t="s">
        <v>67</v>
      </c>
      <c r="AO1015" s="50" t="s">
        <v>9554</v>
      </c>
    </row>
    <row r="1016" spans="1:41" hidden="1" x14ac:dyDescent="0.25">
      <c r="A1016" s="51" t="s">
        <v>5667</v>
      </c>
      <c r="B1016" s="51" t="s">
        <v>5668</v>
      </c>
      <c r="C1016" s="54" t="s">
        <v>2693</v>
      </c>
      <c r="D1016" s="51" t="s">
        <v>5669</v>
      </c>
      <c r="E1016" s="20">
        <v>4291.8100000000004</v>
      </c>
      <c r="F1016" s="20">
        <v>8711.94</v>
      </c>
      <c r="G1016" s="20">
        <v>-5701.07</v>
      </c>
      <c r="H1016" s="20">
        <v>3870.86</v>
      </c>
      <c r="I1016" s="20">
        <v>6991.56</v>
      </c>
      <c r="J1016" s="51" t="s">
        <v>6726</v>
      </c>
      <c r="K1016" s="15">
        <v>38</v>
      </c>
      <c r="L1016" s="51" t="s">
        <v>2369</v>
      </c>
      <c r="M1016" s="51" t="s">
        <v>5670</v>
      </c>
      <c r="N1016" s="51" t="s">
        <v>1340</v>
      </c>
      <c r="O1016" s="51" t="s">
        <v>5671</v>
      </c>
      <c r="P1016" s="51" t="s">
        <v>1340</v>
      </c>
      <c r="Q1016" s="45">
        <v>46282.510779722223</v>
      </c>
      <c r="R1016" s="46">
        <v>46314</v>
      </c>
      <c r="S1016" s="46">
        <v>46309</v>
      </c>
      <c r="T1016" s="51" t="s">
        <v>6119</v>
      </c>
      <c r="U1016" s="15">
        <v>849.8</v>
      </c>
      <c r="V1016" s="15">
        <v>3922.15</v>
      </c>
      <c r="W1016" s="15">
        <v>36.39</v>
      </c>
      <c r="X1016" s="15">
        <v>14.9</v>
      </c>
      <c r="Y1016" s="15">
        <v>1.6620440000000001</v>
      </c>
      <c r="Z1016" s="15">
        <v>6</v>
      </c>
      <c r="AA1016" s="46">
        <v>46253</v>
      </c>
      <c r="AB1016" s="15">
        <v>212.9</v>
      </c>
      <c r="AC1016" s="15">
        <v>387.09</v>
      </c>
      <c r="AD1016" s="15">
        <v>38.71</v>
      </c>
      <c r="AE1016" s="15">
        <v>582.26</v>
      </c>
      <c r="AF1016" s="15">
        <v>3729.62</v>
      </c>
      <c r="AG1016" s="15">
        <v>57.49</v>
      </c>
      <c r="AH1016" s="15">
        <v>1.5861069999999999</v>
      </c>
      <c r="AI1016" s="46">
        <v>46283</v>
      </c>
      <c r="AJ1016" s="51" t="s">
        <v>6121</v>
      </c>
      <c r="AK1016" s="51" t="s">
        <v>6121</v>
      </c>
      <c r="AL1016" s="15">
        <v>849.8</v>
      </c>
      <c r="AM1016" s="51" t="s">
        <v>6705</v>
      </c>
      <c r="AN1016" s="51" t="s">
        <v>6713</v>
      </c>
      <c r="AO1016" s="50" t="s">
        <v>9554</v>
      </c>
    </row>
    <row r="1017" spans="1:41" hidden="1" x14ac:dyDescent="0.25">
      <c r="A1017" s="51" t="s">
        <v>5672</v>
      </c>
      <c r="B1017" s="51" t="s">
        <v>5673</v>
      </c>
      <c r="C1017" s="54" t="s">
        <v>5604</v>
      </c>
      <c r="D1017" s="51" t="s">
        <v>5674</v>
      </c>
      <c r="E1017" s="20">
        <v>5186.5</v>
      </c>
      <c r="F1017" s="20">
        <v>9041.77</v>
      </c>
      <c r="G1017" s="20">
        <v>8531.85</v>
      </c>
      <c r="H1017" s="20">
        <v>3870.86</v>
      </c>
      <c r="I1017" s="20">
        <v>7321.39</v>
      </c>
      <c r="J1017" s="51" t="s">
        <v>6727</v>
      </c>
      <c r="K1017" s="15">
        <v>39</v>
      </c>
      <c r="L1017" s="51" t="s">
        <v>2369</v>
      </c>
      <c r="M1017" s="51" t="s">
        <v>67</v>
      </c>
      <c r="N1017" s="51" t="s">
        <v>67</v>
      </c>
      <c r="O1017" s="51" t="s">
        <v>5675</v>
      </c>
      <c r="P1017" s="51" t="s">
        <v>1340</v>
      </c>
      <c r="Q1017" s="45">
        <v>46282.840720208333</v>
      </c>
      <c r="R1017" s="46">
        <v>46313</v>
      </c>
      <c r="S1017" s="46">
        <v>46308</v>
      </c>
      <c r="T1017" s="51" t="s">
        <v>6119</v>
      </c>
      <c r="U1017" s="15">
        <v>849.8</v>
      </c>
      <c r="V1017" s="15">
        <v>3922.15</v>
      </c>
      <c r="W1017" s="15">
        <v>36.39</v>
      </c>
      <c r="X1017" s="15">
        <v>14.9</v>
      </c>
      <c r="Y1017" s="15">
        <v>1.6620440000000001</v>
      </c>
      <c r="Z1017" s="15">
        <v>6</v>
      </c>
      <c r="AA1017" s="46">
        <v>46252</v>
      </c>
      <c r="AB1017" s="15">
        <v>212.9</v>
      </c>
      <c r="AC1017" s="15">
        <v>387.09</v>
      </c>
      <c r="AD1017" s="15">
        <v>38.71</v>
      </c>
      <c r="AE1017" s="15">
        <v>582.26</v>
      </c>
      <c r="AF1017" s="15">
        <v>3729.62</v>
      </c>
      <c r="AG1017" s="15">
        <v>57.49</v>
      </c>
      <c r="AH1017" s="15">
        <v>1.5861069999999999</v>
      </c>
      <c r="AI1017" s="46">
        <v>46283</v>
      </c>
      <c r="AJ1017" s="51" t="s">
        <v>6121</v>
      </c>
      <c r="AK1017" s="51" t="s">
        <v>6121</v>
      </c>
      <c r="AL1017" s="15">
        <v>849.8</v>
      </c>
      <c r="AM1017" s="51" t="s">
        <v>67</v>
      </c>
      <c r="AN1017" s="51" t="s">
        <v>67</v>
      </c>
      <c r="AO1017" s="50" t="s">
        <v>9554</v>
      </c>
    </row>
    <row r="1018" spans="1:41" hidden="1" x14ac:dyDescent="0.25">
      <c r="A1018" s="51" t="s">
        <v>5676</v>
      </c>
      <c r="B1018" s="51" t="s">
        <v>5677</v>
      </c>
      <c r="C1018" s="54" t="s">
        <v>5600</v>
      </c>
      <c r="D1018" s="51" t="s">
        <v>5678</v>
      </c>
      <c r="E1018" s="20">
        <v>10447.280000000001</v>
      </c>
      <c r="F1018" s="20">
        <v>633.80999999999995</v>
      </c>
      <c r="G1018" s="20">
        <v>1830.42</v>
      </c>
      <c r="H1018" s="20">
        <v>0</v>
      </c>
      <c r="I1018" s="20">
        <v>633.80999999999995</v>
      </c>
      <c r="J1018" s="51" t="s">
        <v>2654</v>
      </c>
      <c r="K1018" s="15">
        <v>0</v>
      </c>
      <c r="L1018" s="51" t="s">
        <v>2371</v>
      </c>
      <c r="M1018" s="51" t="s">
        <v>5679</v>
      </c>
      <c r="N1018" s="51" t="s">
        <v>1344</v>
      </c>
      <c r="O1018" s="51" t="s">
        <v>67</v>
      </c>
      <c r="P1018" s="51" t="s">
        <v>67</v>
      </c>
      <c r="Q1018" s="45">
        <v>46283.003161967594</v>
      </c>
      <c r="R1018" s="46">
        <v>46304</v>
      </c>
      <c r="S1018" s="46">
        <v>46299</v>
      </c>
      <c r="T1018" s="51" t="s">
        <v>6119</v>
      </c>
      <c r="U1018" s="15"/>
      <c r="V1018" s="15"/>
      <c r="W1018" s="15"/>
      <c r="X1018" s="15"/>
      <c r="Y1018" s="15"/>
      <c r="Z1018" s="15"/>
      <c r="AA1018" s="46"/>
      <c r="AB1018" s="15"/>
      <c r="AC1018" s="15"/>
      <c r="AD1018" s="15"/>
      <c r="AE1018" s="15"/>
      <c r="AF1018" s="15"/>
      <c r="AG1018" s="15"/>
      <c r="AH1018" s="15"/>
      <c r="AI1018" s="46"/>
      <c r="AJ1018" s="51" t="s">
        <v>67</v>
      </c>
      <c r="AK1018" s="51" t="s">
        <v>67</v>
      </c>
      <c r="AL1018" s="15"/>
      <c r="AM1018" s="51" t="s">
        <v>67</v>
      </c>
      <c r="AN1018" s="51" t="s">
        <v>67</v>
      </c>
      <c r="AO1018" s="50" t="s">
        <v>9554</v>
      </c>
    </row>
    <row r="1019" spans="1:41" hidden="1" x14ac:dyDescent="0.25">
      <c r="A1019" s="51" t="s">
        <v>5680</v>
      </c>
      <c r="B1019" s="51" t="s">
        <v>5681</v>
      </c>
      <c r="C1019" s="54" t="s">
        <v>2693</v>
      </c>
      <c r="D1019" s="51" t="s">
        <v>5682</v>
      </c>
      <c r="E1019" s="20">
        <v>10019.629999999999</v>
      </c>
      <c r="F1019" s="20">
        <v>9438.34</v>
      </c>
      <c r="G1019" s="20">
        <v>2247.98</v>
      </c>
      <c r="H1019" s="20">
        <v>3870.86</v>
      </c>
      <c r="I1019" s="20">
        <v>8148.05</v>
      </c>
      <c r="J1019" s="51" t="s">
        <v>6727</v>
      </c>
      <c r="K1019" s="15">
        <v>38</v>
      </c>
      <c r="L1019" s="51" t="s">
        <v>2369</v>
      </c>
      <c r="M1019" s="51" t="s">
        <v>5683</v>
      </c>
      <c r="N1019" s="51" t="s">
        <v>1340</v>
      </c>
      <c r="O1019" s="51" t="s">
        <v>5684</v>
      </c>
      <c r="P1019" s="51" t="s">
        <v>1340</v>
      </c>
      <c r="Q1019" s="45">
        <v>46283.003166643517</v>
      </c>
      <c r="R1019" s="46">
        <v>46314</v>
      </c>
      <c r="S1019" s="46">
        <v>46309</v>
      </c>
      <c r="T1019" s="51" t="s">
        <v>6119</v>
      </c>
      <c r="U1019" s="15">
        <v>849.8</v>
      </c>
      <c r="V1019" s="15">
        <v>3922.15</v>
      </c>
      <c r="W1019" s="15">
        <v>36.39</v>
      </c>
      <c r="X1019" s="15">
        <v>14.9</v>
      </c>
      <c r="Y1019" s="15">
        <v>1.6620440000000001</v>
      </c>
      <c r="Z1019" s="15">
        <v>6</v>
      </c>
      <c r="AA1019" s="46">
        <v>46253</v>
      </c>
      <c r="AB1019" s="15">
        <v>212.9</v>
      </c>
      <c r="AC1019" s="15">
        <v>387.09</v>
      </c>
      <c r="AD1019" s="15">
        <v>38.71</v>
      </c>
      <c r="AE1019" s="15">
        <v>582.26</v>
      </c>
      <c r="AF1019" s="15">
        <v>3729.62</v>
      </c>
      <c r="AG1019" s="15">
        <v>57.49</v>
      </c>
      <c r="AH1019" s="15">
        <v>1.5861069999999999</v>
      </c>
      <c r="AI1019" s="46">
        <v>46283</v>
      </c>
      <c r="AJ1019" s="51" t="s">
        <v>6121</v>
      </c>
      <c r="AK1019" s="51" t="s">
        <v>6121</v>
      </c>
      <c r="AL1019" s="15">
        <v>849.8</v>
      </c>
      <c r="AM1019" s="51" t="s">
        <v>67</v>
      </c>
      <c r="AN1019" s="51" t="s">
        <v>67</v>
      </c>
      <c r="AO1019" s="50" t="s">
        <v>9554</v>
      </c>
    </row>
    <row r="1020" spans="1:41" hidden="1" x14ac:dyDescent="0.25">
      <c r="A1020" s="51" t="s">
        <v>5685</v>
      </c>
      <c r="B1020" s="51" t="s">
        <v>5686</v>
      </c>
      <c r="C1020" s="54" t="s">
        <v>5598</v>
      </c>
      <c r="D1020" s="51" t="s">
        <v>5687</v>
      </c>
      <c r="E1020" s="20">
        <v>7419.85</v>
      </c>
      <c r="F1020" s="20">
        <v>7600.3</v>
      </c>
      <c r="G1020" s="20">
        <v>-4864.83</v>
      </c>
      <c r="H1020" s="20">
        <v>8342.41</v>
      </c>
      <c r="I1020" s="20">
        <v>7600.3</v>
      </c>
      <c r="J1020" s="51" t="s">
        <v>6725</v>
      </c>
      <c r="K1020" s="15">
        <v>0</v>
      </c>
      <c r="L1020" s="51" t="s">
        <v>2371</v>
      </c>
      <c r="M1020" s="51" t="s">
        <v>67</v>
      </c>
      <c r="N1020" s="51" t="s">
        <v>67</v>
      </c>
      <c r="O1020" s="51" t="s">
        <v>5688</v>
      </c>
      <c r="P1020" s="51" t="s">
        <v>1340</v>
      </c>
      <c r="Q1020" s="45">
        <v>46283.00317167824</v>
      </c>
      <c r="R1020" s="46">
        <v>46318</v>
      </c>
      <c r="S1020" s="46">
        <v>46313</v>
      </c>
      <c r="T1020" s="51" t="s">
        <v>6119</v>
      </c>
      <c r="U1020" s="15">
        <v>849.8</v>
      </c>
      <c r="V1020" s="15">
        <v>3922.15</v>
      </c>
      <c r="W1020" s="15">
        <v>36.39</v>
      </c>
      <c r="X1020" s="15">
        <v>14.9</v>
      </c>
      <c r="Y1020" s="15">
        <v>1.6620440000000001</v>
      </c>
      <c r="Z1020" s="15">
        <v>6</v>
      </c>
      <c r="AA1020" s="46">
        <v>46257</v>
      </c>
      <c r="AB1020" s="15"/>
      <c r="AC1020" s="15"/>
      <c r="AD1020" s="15"/>
      <c r="AE1020" s="15"/>
      <c r="AF1020" s="15"/>
      <c r="AG1020" s="15"/>
      <c r="AH1020" s="15"/>
      <c r="AI1020" s="46"/>
      <c r="AJ1020" s="51" t="s">
        <v>67</v>
      </c>
      <c r="AK1020" s="51" t="s">
        <v>6121</v>
      </c>
      <c r="AL1020" s="15">
        <v>849.8</v>
      </c>
      <c r="AM1020" s="51" t="s">
        <v>6705</v>
      </c>
      <c r="AN1020" s="51" t="s">
        <v>6713</v>
      </c>
      <c r="AO1020" s="50" t="s">
        <v>9554</v>
      </c>
    </row>
    <row r="1021" spans="1:41" hidden="1" x14ac:dyDescent="0.25">
      <c r="A1021" s="51" t="s">
        <v>5689</v>
      </c>
      <c r="B1021" s="51" t="s">
        <v>5690</v>
      </c>
      <c r="C1021" s="54" t="s">
        <v>5603</v>
      </c>
      <c r="D1021" s="51" t="s">
        <v>5691</v>
      </c>
      <c r="E1021" s="20">
        <v>1349.76</v>
      </c>
      <c r="F1021" s="20">
        <v>4825.2700000000004</v>
      </c>
      <c r="G1021" s="20">
        <v>10757.8</v>
      </c>
      <c r="H1021" s="20">
        <v>3870.86</v>
      </c>
      <c r="I1021" s="20">
        <v>4825.2700000000004</v>
      </c>
      <c r="J1021" s="51" t="s">
        <v>6727</v>
      </c>
      <c r="K1021" s="15">
        <v>23</v>
      </c>
      <c r="L1021" s="51" t="s">
        <v>2369</v>
      </c>
      <c r="M1021" s="51" t="s">
        <v>67</v>
      </c>
      <c r="N1021" s="51" t="s">
        <v>67</v>
      </c>
      <c r="O1021" s="51" t="s">
        <v>5692</v>
      </c>
      <c r="P1021" s="51" t="s">
        <v>1340</v>
      </c>
      <c r="Q1021" s="45">
        <v>46283.003175787038</v>
      </c>
      <c r="R1021" s="46">
        <v>46298</v>
      </c>
      <c r="S1021" s="46">
        <v>46293</v>
      </c>
      <c r="T1021" s="51" t="s">
        <v>6119</v>
      </c>
      <c r="U1021" s="15">
        <v>848.05</v>
      </c>
      <c r="V1021" s="15">
        <v>3921.84</v>
      </c>
      <c r="W1021" s="15">
        <v>36.08</v>
      </c>
      <c r="X1021" s="15">
        <v>14.9</v>
      </c>
      <c r="Y1021" s="15">
        <v>1.662307</v>
      </c>
      <c r="Z1021" s="15">
        <v>6</v>
      </c>
      <c r="AA1021" s="46">
        <v>46268</v>
      </c>
      <c r="AB1021" s="15"/>
      <c r="AC1021" s="15"/>
      <c r="AD1021" s="15"/>
      <c r="AE1021" s="15"/>
      <c r="AF1021" s="15"/>
      <c r="AG1021" s="15"/>
      <c r="AH1021" s="15"/>
      <c r="AI1021" s="46"/>
      <c r="AJ1021" s="51" t="s">
        <v>6121</v>
      </c>
      <c r="AK1021" s="51" t="s">
        <v>6121</v>
      </c>
      <c r="AL1021" s="15">
        <v>848.05</v>
      </c>
      <c r="AM1021" s="51" t="s">
        <v>67</v>
      </c>
      <c r="AN1021" s="51" t="s">
        <v>67</v>
      </c>
      <c r="AO1021" s="50" t="s">
        <v>9554</v>
      </c>
    </row>
    <row r="1022" spans="1:41" hidden="1" x14ac:dyDescent="0.25">
      <c r="A1022" s="51" t="s">
        <v>5693</v>
      </c>
      <c r="B1022" s="51" t="s">
        <v>5694</v>
      </c>
      <c r="C1022" s="54" t="s">
        <v>2691</v>
      </c>
      <c r="D1022" s="51" t="s">
        <v>5695</v>
      </c>
      <c r="E1022" s="20">
        <v>14271</v>
      </c>
      <c r="F1022" s="20">
        <v>907.65</v>
      </c>
      <c r="G1022" s="20">
        <v>9408.66</v>
      </c>
      <c r="H1022" s="20">
        <v>0</v>
      </c>
      <c r="I1022" s="20">
        <v>907.65</v>
      </c>
      <c r="J1022" s="51" t="s">
        <v>2654</v>
      </c>
      <c r="K1022" s="15">
        <v>0</v>
      </c>
      <c r="L1022" s="51" t="s">
        <v>2371</v>
      </c>
      <c r="M1022" s="51" t="s">
        <v>67</v>
      </c>
      <c r="N1022" s="51" t="s">
        <v>67</v>
      </c>
      <c r="O1022" s="51" t="s">
        <v>5696</v>
      </c>
      <c r="P1022" s="51" t="s">
        <v>1340</v>
      </c>
      <c r="Q1022" s="45">
        <v>46283.00317984954</v>
      </c>
      <c r="R1022" s="46">
        <v>46301</v>
      </c>
      <c r="S1022" s="46">
        <v>46296</v>
      </c>
      <c r="T1022" s="51" t="s">
        <v>6119</v>
      </c>
      <c r="U1022" s="15"/>
      <c r="V1022" s="15"/>
      <c r="W1022" s="15"/>
      <c r="X1022" s="15"/>
      <c r="Y1022" s="15"/>
      <c r="Z1022" s="15"/>
      <c r="AA1022" s="46"/>
      <c r="AB1022" s="15"/>
      <c r="AC1022" s="15"/>
      <c r="AD1022" s="15"/>
      <c r="AE1022" s="15"/>
      <c r="AF1022" s="15"/>
      <c r="AG1022" s="15"/>
      <c r="AH1022" s="15"/>
      <c r="AI1022" s="46"/>
      <c r="AJ1022" s="51" t="s">
        <v>67</v>
      </c>
      <c r="AK1022" s="51" t="s">
        <v>67</v>
      </c>
      <c r="AL1022" s="15"/>
      <c r="AM1022" s="51" t="s">
        <v>67</v>
      </c>
      <c r="AN1022" s="51" t="s">
        <v>67</v>
      </c>
      <c r="AO1022" s="50" t="s">
        <v>9554</v>
      </c>
    </row>
    <row r="1023" spans="1:41" hidden="1" x14ac:dyDescent="0.25">
      <c r="A1023" s="51" t="s">
        <v>5697</v>
      </c>
      <c r="B1023" s="51" t="s">
        <v>5698</v>
      </c>
      <c r="C1023" s="54" t="s">
        <v>5605</v>
      </c>
      <c r="D1023" s="51" t="s">
        <v>5699</v>
      </c>
      <c r="E1023" s="20">
        <v>1380.79</v>
      </c>
      <c r="F1023" s="20">
        <v>5114.78</v>
      </c>
      <c r="G1023" s="20">
        <v>14648.66</v>
      </c>
      <c r="H1023" s="20">
        <v>4400.2</v>
      </c>
      <c r="I1023" s="20">
        <v>5114.78</v>
      </c>
      <c r="J1023" s="51" t="s">
        <v>6727</v>
      </c>
      <c r="K1023" s="15">
        <v>29</v>
      </c>
      <c r="L1023" s="51" t="s">
        <v>2369</v>
      </c>
      <c r="M1023" s="51" t="s">
        <v>5700</v>
      </c>
      <c r="N1023" s="51" t="s">
        <v>1344</v>
      </c>
      <c r="O1023" s="51" t="s">
        <v>5701</v>
      </c>
      <c r="P1023" s="51" t="s">
        <v>1344</v>
      </c>
      <c r="Q1023" s="45">
        <v>46283.003183668981</v>
      </c>
      <c r="R1023" s="46">
        <v>46323</v>
      </c>
      <c r="S1023" s="46">
        <v>46318</v>
      </c>
      <c r="T1023" s="51" t="s">
        <v>6119</v>
      </c>
      <c r="U1023" s="15">
        <v>849.8</v>
      </c>
      <c r="V1023" s="15">
        <v>3922.15</v>
      </c>
      <c r="W1023" s="15">
        <v>36.39</v>
      </c>
      <c r="X1023" s="15">
        <v>14.9</v>
      </c>
      <c r="Y1023" s="15">
        <v>1.6620440000000001</v>
      </c>
      <c r="Z1023" s="15">
        <v>6</v>
      </c>
      <c r="AA1023" s="46">
        <v>46262</v>
      </c>
      <c r="AB1023" s="15"/>
      <c r="AC1023" s="15"/>
      <c r="AD1023" s="15"/>
      <c r="AE1023" s="15"/>
      <c r="AF1023" s="15"/>
      <c r="AG1023" s="15"/>
      <c r="AH1023" s="15"/>
      <c r="AI1023" s="46"/>
      <c r="AJ1023" s="51" t="s">
        <v>6121</v>
      </c>
      <c r="AK1023" s="51" t="s">
        <v>6121</v>
      </c>
      <c r="AL1023" s="15">
        <v>849.8</v>
      </c>
      <c r="AM1023" s="51" t="s">
        <v>67</v>
      </c>
      <c r="AN1023" s="51" t="s">
        <v>67</v>
      </c>
      <c r="AO1023" s="50" t="s">
        <v>9554</v>
      </c>
    </row>
    <row r="1024" spans="1:41" hidden="1" x14ac:dyDescent="0.25">
      <c r="A1024" s="51" t="s">
        <v>5702</v>
      </c>
      <c r="B1024" s="51" t="s">
        <v>5703</v>
      </c>
      <c r="C1024" s="54" t="s">
        <v>5599</v>
      </c>
      <c r="D1024" s="51" t="s">
        <v>5704</v>
      </c>
      <c r="E1024" s="20">
        <v>2110.19</v>
      </c>
      <c r="F1024" s="20">
        <v>5058.03</v>
      </c>
      <c r="G1024" s="20">
        <v>11020.87</v>
      </c>
      <c r="H1024" s="20">
        <v>3870.86</v>
      </c>
      <c r="I1024" s="20">
        <v>5058.0200000000004</v>
      </c>
      <c r="J1024" s="51" t="s">
        <v>6727</v>
      </c>
      <c r="K1024" s="15">
        <v>19</v>
      </c>
      <c r="L1024" s="51" t="s">
        <v>2369</v>
      </c>
      <c r="M1024" s="51" t="s">
        <v>5705</v>
      </c>
      <c r="N1024" s="51" t="s">
        <v>1340</v>
      </c>
      <c r="O1024" s="51" t="s">
        <v>5706</v>
      </c>
      <c r="P1024" s="51" t="s">
        <v>1340</v>
      </c>
      <c r="Q1024" s="45">
        <v>46283.003191608797</v>
      </c>
      <c r="R1024" s="46">
        <v>46302</v>
      </c>
      <c r="S1024" s="46">
        <v>46297</v>
      </c>
      <c r="T1024" s="51" t="s">
        <v>6119</v>
      </c>
      <c r="U1024" s="15">
        <v>848.05</v>
      </c>
      <c r="V1024" s="15">
        <v>3921.84</v>
      </c>
      <c r="W1024" s="15">
        <v>36.08</v>
      </c>
      <c r="X1024" s="15">
        <v>14.9</v>
      </c>
      <c r="Y1024" s="15">
        <v>1.662307</v>
      </c>
      <c r="Z1024" s="15">
        <v>6</v>
      </c>
      <c r="AA1024" s="46">
        <v>46272</v>
      </c>
      <c r="AB1024" s="15"/>
      <c r="AC1024" s="15"/>
      <c r="AD1024" s="15"/>
      <c r="AE1024" s="15"/>
      <c r="AF1024" s="15"/>
      <c r="AG1024" s="15"/>
      <c r="AH1024" s="15"/>
      <c r="AI1024" s="46"/>
      <c r="AJ1024" s="51" t="s">
        <v>6121</v>
      </c>
      <c r="AK1024" s="51" t="s">
        <v>6121</v>
      </c>
      <c r="AL1024" s="15">
        <v>848.05</v>
      </c>
      <c r="AM1024" s="51" t="s">
        <v>67</v>
      </c>
      <c r="AN1024" s="51" t="s">
        <v>67</v>
      </c>
      <c r="AO1024" s="50" t="s">
        <v>9554</v>
      </c>
    </row>
    <row r="1025" spans="1:41" hidden="1" x14ac:dyDescent="0.25">
      <c r="A1025" s="51" t="s">
        <v>5707</v>
      </c>
      <c r="B1025" s="51" t="s">
        <v>5708</v>
      </c>
      <c r="C1025" s="54" t="s">
        <v>2358</v>
      </c>
      <c r="D1025" s="51" t="s">
        <v>5709</v>
      </c>
      <c r="E1025" s="20">
        <v>3864.91</v>
      </c>
      <c r="F1025" s="20">
        <v>4937.6400000000003</v>
      </c>
      <c r="G1025" s="20">
        <v>3077.23</v>
      </c>
      <c r="H1025" s="20">
        <v>3870.86</v>
      </c>
      <c r="I1025" s="20">
        <v>4698.62</v>
      </c>
      <c r="J1025" s="51" t="s">
        <v>6727</v>
      </c>
      <c r="K1025" s="15">
        <v>12</v>
      </c>
      <c r="L1025" s="51" t="s">
        <v>2369</v>
      </c>
      <c r="M1025" s="51" t="s">
        <v>5710</v>
      </c>
      <c r="N1025" s="51" t="s">
        <v>1340</v>
      </c>
      <c r="O1025" s="51" t="s">
        <v>67</v>
      </c>
      <c r="P1025" s="51" t="s">
        <v>67</v>
      </c>
      <c r="Q1025" s="45">
        <v>46283.00320042824</v>
      </c>
      <c r="R1025" s="46">
        <v>46309</v>
      </c>
      <c r="S1025" s="46">
        <v>46304</v>
      </c>
      <c r="T1025" s="51" t="s">
        <v>6119</v>
      </c>
      <c r="U1025" s="15">
        <v>848.05</v>
      </c>
      <c r="V1025" s="15">
        <v>3921.84</v>
      </c>
      <c r="W1025" s="15">
        <v>36.08</v>
      </c>
      <c r="X1025" s="15">
        <v>14.9</v>
      </c>
      <c r="Y1025" s="15">
        <v>1.662307</v>
      </c>
      <c r="Z1025" s="15">
        <v>6</v>
      </c>
      <c r="AA1025" s="46">
        <v>46279</v>
      </c>
      <c r="AB1025" s="15"/>
      <c r="AC1025" s="15"/>
      <c r="AD1025" s="15"/>
      <c r="AE1025" s="15"/>
      <c r="AF1025" s="15"/>
      <c r="AG1025" s="15"/>
      <c r="AH1025" s="15"/>
      <c r="AI1025" s="46"/>
      <c r="AJ1025" s="51" t="s">
        <v>6121</v>
      </c>
      <c r="AK1025" s="51" t="s">
        <v>6121</v>
      </c>
      <c r="AL1025" s="15">
        <v>848.05</v>
      </c>
      <c r="AM1025" s="51" t="s">
        <v>67</v>
      </c>
      <c r="AN1025" s="51" t="s">
        <v>67</v>
      </c>
      <c r="AO1025" s="50" t="s">
        <v>9554</v>
      </c>
    </row>
    <row r="1026" spans="1:41" hidden="1" x14ac:dyDescent="0.25">
      <c r="A1026" s="51" t="s">
        <v>5711</v>
      </c>
      <c r="B1026" s="51" t="s">
        <v>5712</v>
      </c>
      <c r="C1026" s="54" t="s">
        <v>5607</v>
      </c>
      <c r="D1026" s="51" t="s">
        <v>5713</v>
      </c>
      <c r="E1026" s="20">
        <v>2115.98</v>
      </c>
      <c r="F1026" s="20">
        <v>4943.51</v>
      </c>
      <c r="G1026" s="20">
        <v>162.16999999999999</v>
      </c>
      <c r="H1026" s="20">
        <v>3870.86</v>
      </c>
      <c r="I1026" s="20">
        <v>4943.51</v>
      </c>
      <c r="J1026" s="51" t="s">
        <v>6727</v>
      </c>
      <c r="K1026" s="15">
        <v>22</v>
      </c>
      <c r="L1026" s="51" t="s">
        <v>2369</v>
      </c>
      <c r="M1026" s="51" t="s">
        <v>5714</v>
      </c>
      <c r="N1026" s="51" t="s">
        <v>1340</v>
      </c>
      <c r="O1026" s="51" t="s">
        <v>5715</v>
      </c>
      <c r="P1026" s="51" t="s">
        <v>1340</v>
      </c>
      <c r="Q1026" s="45">
        <v>46283.003205127316</v>
      </c>
      <c r="R1026" s="46">
        <v>46299</v>
      </c>
      <c r="S1026" s="46">
        <v>46294</v>
      </c>
      <c r="T1026" s="51" t="s">
        <v>6119</v>
      </c>
      <c r="U1026" s="15">
        <v>848.05</v>
      </c>
      <c r="V1026" s="15">
        <v>3921.84</v>
      </c>
      <c r="W1026" s="15">
        <v>36.08</v>
      </c>
      <c r="X1026" s="15">
        <v>14.9</v>
      </c>
      <c r="Y1026" s="15">
        <v>1.662307</v>
      </c>
      <c r="Z1026" s="15">
        <v>6</v>
      </c>
      <c r="AA1026" s="46">
        <v>46269</v>
      </c>
      <c r="AB1026" s="15"/>
      <c r="AC1026" s="15"/>
      <c r="AD1026" s="15"/>
      <c r="AE1026" s="15"/>
      <c r="AF1026" s="15"/>
      <c r="AG1026" s="15"/>
      <c r="AH1026" s="15"/>
      <c r="AI1026" s="46"/>
      <c r="AJ1026" s="51" t="s">
        <v>6121</v>
      </c>
      <c r="AK1026" s="51" t="s">
        <v>6121</v>
      </c>
      <c r="AL1026" s="15">
        <v>848.05</v>
      </c>
      <c r="AM1026" s="51" t="s">
        <v>67</v>
      </c>
      <c r="AN1026" s="51" t="s">
        <v>67</v>
      </c>
      <c r="AO1026" s="50" t="s">
        <v>9554</v>
      </c>
    </row>
    <row r="1027" spans="1:41" hidden="1" x14ac:dyDescent="0.25">
      <c r="A1027" s="51" t="s">
        <v>5716</v>
      </c>
      <c r="B1027" s="51" t="s">
        <v>5717</v>
      </c>
      <c r="C1027" s="54" t="s">
        <v>2694</v>
      </c>
      <c r="D1027" s="51" t="s">
        <v>5718</v>
      </c>
      <c r="E1027" s="20">
        <v>311.85000000000002</v>
      </c>
      <c r="F1027" s="20">
        <v>2370.11</v>
      </c>
      <c r="G1027" s="20">
        <v>19551.88</v>
      </c>
      <c r="H1027" s="20">
        <v>3870.86</v>
      </c>
      <c r="I1027" s="20">
        <v>1834.02</v>
      </c>
      <c r="J1027" s="51" t="s">
        <v>6726</v>
      </c>
      <c r="K1027" s="15">
        <v>0</v>
      </c>
      <c r="L1027" s="51" t="s">
        <v>2371</v>
      </c>
      <c r="M1027" s="51" t="s">
        <v>5719</v>
      </c>
      <c r="N1027" s="51" t="s">
        <v>1340</v>
      </c>
      <c r="O1027" s="51" t="s">
        <v>5720</v>
      </c>
      <c r="P1027" s="51" t="s">
        <v>1340</v>
      </c>
      <c r="Q1027" s="45">
        <v>46283.003222905092</v>
      </c>
      <c r="R1027" s="46">
        <v>46312</v>
      </c>
      <c r="S1027" s="46">
        <v>46307</v>
      </c>
      <c r="T1027" s="51" t="s">
        <v>6119</v>
      </c>
      <c r="U1027" s="15">
        <v>848.05</v>
      </c>
      <c r="V1027" s="15">
        <v>3921.84</v>
      </c>
      <c r="W1027" s="15">
        <v>36.08</v>
      </c>
      <c r="X1027" s="15">
        <v>14.9</v>
      </c>
      <c r="Y1027" s="15">
        <v>1.662307</v>
      </c>
      <c r="Z1027" s="15">
        <v>6</v>
      </c>
      <c r="AA1027" s="46">
        <v>46282</v>
      </c>
      <c r="AB1027" s="15"/>
      <c r="AC1027" s="15"/>
      <c r="AD1027" s="15"/>
      <c r="AE1027" s="15"/>
      <c r="AF1027" s="15"/>
      <c r="AG1027" s="15"/>
      <c r="AH1027" s="15"/>
      <c r="AI1027" s="46"/>
      <c r="AJ1027" s="51" t="s">
        <v>67</v>
      </c>
      <c r="AK1027" s="51" t="s">
        <v>6121</v>
      </c>
      <c r="AL1027" s="15">
        <v>848.05</v>
      </c>
      <c r="AM1027" s="51" t="s">
        <v>67</v>
      </c>
      <c r="AN1027" s="51" t="s">
        <v>67</v>
      </c>
      <c r="AO1027" s="50" t="s">
        <v>9554</v>
      </c>
    </row>
    <row r="1028" spans="1:41" hidden="1" x14ac:dyDescent="0.25">
      <c r="A1028" s="51" t="s">
        <v>5721</v>
      </c>
      <c r="B1028" s="51" t="s">
        <v>5722</v>
      </c>
      <c r="C1028" s="54" t="s">
        <v>2357</v>
      </c>
      <c r="D1028" s="51" t="s">
        <v>5723</v>
      </c>
      <c r="E1028" s="20">
        <v>6689.35</v>
      </c>
      <c r="F1028" s="20">
        <v>4623.12</v>
      </c>
      <c r="G1028" s="20">
        <v>10884.6</v>
      </c>
      <c r="H1028" s="20">
        <v>3870.86</v>
      </c>
      <c r="I1028" s="20">
        <v>4623.12</v>
      </c>
      <c r="J1028" s="51" t="s">
        <v>6727</v>
      </c>
      <c r="K1028" s="15">
        <v>13</v>
      </c>
      <c r="L1028" s="51" t="s">
        <v>2369</v>
      </c>
      <c r="M1028" s="51" t="s">
        <v>67</v>
      </c>
      <c r="N1028" s="51" t="s">
        <v>67</v>
      </c>
      <c r="O1028" s="51" t="s">
        <v>5724</v>
      </c>
      <c r="P1028" s="51" t="s">
        <v>1340</v>
      </c>
      <c r="Q1028" s="45">
        <v>46283.003234537035</v>
      </c>
      <c r="R1028" s="46">
        <v>46308</v>
      </c>
      <c r="S1028" s="46">
        <v>46303</v>
      </c>
      <c r="T1028" s="51" t="s">
        <v>6119</v>
      </c>
      <c r="U1028" s="15">
        <v>848.05</v>
      </c>
      <c r="V1028" s="15">
        <v>3921.84</v>
      </c>
      <c r="W1028" s="15">
        <v>36.08</v>
      </c>
      <c r="X1028" s="15">
        <v>14.9</v>
      </c>
      <c r="Y1028" s="15">
        <v>1.662307</v>
      </c>
      <c r="Z1028" s="15">
        <v>6</v>
      </c>
      <c r="AA1028" s="46">
        <v>46278</v>
      </c>
      <c r="AB1028" s="15"/>
      <c r="AC1028" s="15"/>
      <c r="AD1028" s="15"/>
      <c r="AE1028" s="15"/>
      <c r="AF1028" s="15"/>
      <c r="AG1028" s="15"/>
      <c r="AH1028" s="15"/>
      <c r="AI1028" s="46"/>
      <c r="AJ1028" s="51" t="s">
        <v>6121</v>
      </c>
      <c r="AK1028" s="51" t="s">
        <v>6121</v>
      </c>
      <c r="AL1028" s="15">
        <v>848.05</v>
      </c>
      <c r="AM1028" s="51" t="s">
        <v>67</v>
      </c>
      <c r="AN1028" s="51" t="s">
        <v>67</v>
      </c>
      <c r="AO1028" s="50" t="s">
        <v>9554</v>
      </c>
    </row>
    <row r="1029" spans="1:41" hidden="1" x14ac:dyDescent="0.25">
      <c r="A1029" s="51" t="s">
        <v>5725</v>
      </c>
      <c r="B1029" s="51" t="s">
        <v>5726</v>
      </c>
      <c r="C1029" s="54" t="s">
        <v>2541</v>
      </c>
      <c r="D1029" s="51" t="s">
        <v>5727</v>
      </c>
      <c r="E1029" s="20">
        <v>2795.29</v>
      </c>
      <c r="F1029" s="20">
        <v>597.09</v>
      </c>
      <c r="G1029" s="20">
        <v>4125.6099999999997</v>
      </c>
      <c r="H1029" s="20">
        <v>0</v>
      </c>
      <c r="I1029" s="20">
        <v>597.09</v>
      </c>
      <c r="J1029" s="51" t="s">
        <v>2654</v>
      </c>
      <c r="K1029" s="15">
        <v>0</v>
      </c>
      <c r="L1029" s="51" t="s">
        <v>2371</v>
      </c>
      <c r="M1029" s="51" t="s">
        <v>5728</v>
      </c>
      <c r="N1029" s="51" t="s">
        <v>1340</v>
      </c>
      <c r="O1029" s="51" t="s">
        <v>5729</v>
      </c>
      <c r="P1029" s="51" t="s">
        <v>1340</v>
      </c>
      <c r="Q1029" s="45">
        <v>46283.003243206018</v>
      </c>
      <c r="R1029" s="46">
        <v>46311</v>
      </c>
      <c r="S1029" s="46">
        <v>46306</v>
      </c>
      <c r="T1029" s="51" t="s">
        <v>6119</v>
      </c>
      <c r="U1029" s="15"/>
      <c r="V1029" s="15"/>
      <c r="W1029" s="15"/>
      <c r="X1029" s="15"/>
      <c r="Y1029" s="15"/>
      <c r="Z1029" s="15"/>
      <c r="AA1029" s="46"/>
      <c r="AB1029" s="15"/>
      <c r="AC1029" s="15"/>
      <c r="AD1029" s="15"/>
      <c r="AE1029" s="15"/>
      <c r="AF1029" s="15"/>
      <c r="AG1029" s="15"/>
      <c r="AH1029" s="15"/>
      <c r="AI1029" s="46"/>
      <c r="AJ1029" s="51" t="s">
        <v>67</v>
      </c>
      <c r="AK1029" s="51" t="s">
        <v>67</v>
      </c>
      <c r="AL1029" s="15"/>
      <c r="AM1029" s="51" t="s">
        <v>67</v>
      </c>
      <c r="AN1029" s="51" t="s">
        <v>67</v>
      </c>
      <c r="AO1029" s="50" t="s">
        <v>9554</v>
      </c>
    </row>
    <row r="1030" spans="1:41" hidden="1" x14ac:dyDescent="0.25">
      <c r="A1030" s="51" t="s">
        <v>5730</v>
      </c>
      <c r="B1030" s="51" t="s">
        <v>5731</v>
      </c>
      <c r="C1030" s="54" t="s">
        <v>5600</v>
      </c>
      <c r="D1030" s="51" t="s">
        <v>5732</v>
      </c>
      <c r="E1030" s="20">
        <v>9991.58</v>
      </c>
      <c r="F1030" s="20">
        <v>4948.3599999999997</v>
      </c>
      <c r="G1030" s="20">
        <v>2990.68</v>
      </c>
      <c r="H1030" s="20">
        <v>3870.86</v>
      </c>
      <c r="I1030" s="20">
        <v>4948.3599999999997</v>
      </c>
      <c r="J1030" s="51" t="s">
        <v>6727</v>
      </c>
      <c r="K1030" s="15">
        <v>17</v>
      </c>
      <c r="L1030" s="51" t="s">
        <v>2369</v>
      </c>
      <c r="M1030" s="51" t="s">
        <v>5733</v>
      </c>
      <c r="N1030" s="51" t="s">
        <v>1340</v>
      </c>
      <c r="O1030" s="51" t="s">
        <v>5734</v>
      </c>
      <c r="P1030" s="51" t="s">
        <v>1340</v>
      </c>
      <c r="Q1030" s="45">
        <v>46283.003247824076</v>
      </c>
      <c r="R1030" s="46">
        <v>46304</v>
      </c>
      <c r="S1030" s="46">
        <v>46299</v>
      </c>
      <c r="T1030" s="51" t="s">
        <v>6119</v>
      </c>
      <c r="U1030" s="15">
        <v>848.05</v>
      </c>
      <c r="V1030" s="15">
        <v>3921.84</v>
      </c>
      <c r="W1030" s="15">
        <v>36.08</v>
      </c>
      <c r="X1030" s="15">
        <v>14.9</v>
      </c>
      <c r="Y1030" s="15">
        <v>1.662307</v>
      </c>
      <c r="Z1030" s="15">
        <v>6</v>
      </c>
      <c r="AA1030" s="46">
        <v>46274</v>
      </c>
      <c r="AB1030" s="15"/>
      <c r="AC1030" s="15"/>
      <c r="AD1030" s="15"/>
      <c r="AE1030" s="15"/>
      <c r="AF1030" s="15"/>
      <c r="AG1030" s="15"/>
      <c r="AH1030" s="15"/>
      <c r="AI1030" s="46"/>
      <c r="AJ1030" s="51" t="s">
        <v>6121</v>
      </c>
      <c r="AK1030" s="51" t="s">
        <v>6121</v>
      </c>
      <c r="AL1030" s="15">
        <v>848.05</v>
      </c>
      <c r="AM1030" s="51" t="s">
        <v>67</v>
      </c>
      <c r="AN1030" s="51" t="s">
        <v>67</v>
      </c>
      <c r="AO1030" s="50" t="s">
        <v>9554</v>
      </c>
    </row>
    <row r="1031" spans="1:41" hidden="1" x14ac:dyDescent="0.25">
      <c r="A1031" s="51" t="s">
        <v>5735</v>
      </c>
      <c r="B1031" s="51" t="s">
        <v>5736</v>
      </c>
      <c r="C1031" s="54" t="s">
        <v>2690</v>
      </c>
      <c r="D1031" s="51" t="s">
        <v>5737</v>
      </c>
      <c r="E1031" s="20">
        <v>11306.9</v>
      </c>
      <c r="F1031" s="20">
        <v>2979.28</v>
      </c>
      <c r="G1031" s="20">
        <v>2290.09</v>
      </c>
      <c r="H1031" s="20">
        <v>6758.01</v>
      </c>
      <c r="I1031" s="20">
        <v>2979.28</v>
      </c>
      <c r="J1031" s="51" t="s">
        <v>6726</v>
      </c>
      <c r="K1031" s="15">
        <v>0</v>
      </c>
      <c r="L1031" s="51" t="s">
        <v>2371</v>
      </c>
      <c r="M1031" s="51" t="s">
        <v>5738</v>
      </c>
      <c r="N1031" s="51" t="s">
        <v>1340</v>
      </c>
      <c r="O1031" s="51" t="s">
        <v>67</v>
      </c>
      <c r="P1031" s="51" t="s">
        <v>67</v>
      </c>
      <c r="Q1031" s="45">
        <v>46283.003255081021</v>
      </c>
      <c r="R1031" s="46">
        <v>46322</v>
      </c>
      <c r="S1031" s="46">
        <v>46317</v>
      </c>
      <c r="T1031" s="51" t="s">
        <v>6119</v>
      </c>
      <c r="U1031" s="15">
        <v>849.8</v>
      </c>
      <c r="V1031" s="15">
        <v>3922.15</v>
      </c>
      <c r="W1031" s="15">
        <v>36.39</v>
      </c>
      <c r="X1031" s="15">
        <v>14.9</v>
      </c>
      <c r="Y1031" s="15">
        <v>1.6620440000000001</v>
      </c>
      <c r="Z1031" s="15">
        <v>6</v>
      </c>
      <c r="AA1031" s="46">
        <v>46261</v>
      </c>
      <c r="AB1031" s="15"/>
      <c r="AC1031" s="15"/>
      <c r="AD1031" s="15"/>
      <c r="AE1031" s="15"/>
      <c r="AF1031" s="15"/>
      <c r="AG1031" s="15"/>
      <c r="AH1031" s="15"/>
      <c r="AI1031" s="46"/>
      <c r="AJ1031" s="51" t="s">
        <v>67</v>
      </c>
      <c r="AK1031" s="51" t="s">
        <v>6121</v>
      </c>
      <c r="AL1031" s="15">
        <v>849.8</v>
      </c>
      <c r="AM1031" s="51" t="s">
        <v>6705</v>
      </c>
      <c r="AN1031" s="51" t="s">
        <v>6713</v>
      </c>
      <c r="AO1031" s="50" t="s">
        <v>9554</v>
      </c>
    </row>
    <row r="1032" spans="1:41" hidden="1" x14ac:dyDescent="0.25">
      <c r="A1032" s="51" t="s">
        <v>5739</v>
      </c>
      <c r="B1032" s="51" t="s">
        <v>5740</v>
      </c>
      <c r="C1032" s="54" t="s">
        <v>605</v>
      </c>
      <c r="D1032" s="51" t="s">
        <v>5741</v>
      </c>
      <c r="E1032" s="20">
        <v>13757.16</v>
      </c>
      <c r="F1032" s="20">
        <v>5094.08</v>
      </c>
      <c r="G1032" s="20">
        <v>16653.5</v>
      </c>
      <c r="H1032" s="20">
        <v>3870.86</v>
      </c>
      <c r="I1032" s="20">
        <v>5094.08</v>
      </c>
      <c r="J1032" s="51" t="s">
        <v>6727</v>
      </c>
      <c r="K1032" s="15">
        <v>16</v>
      </c>
      <c r="L1032" s="51" t="s">
        <v>2369</v>
      </c>
      <c r="M1032" s="51" t="s">
        <v>67</v>
      </c>
      <c r="N1032" s="51" t="s">
        <v>67</v>
      </c>
      <c r="O1032" s="51" t="s">
        <v>5742</v>
      </c>
      <c r="P1032" s="51" t="s">
        <v>1340</v>
      </c>
      <c r="Q1032" s="45">
        <v>46283.00325976852</v>
      </c>
      <c r="R1032" s="46">
        <v>46305</v>
      </c>
      <c r="S1032" s="46">
        <v>46300</v>
      </c>
      <c r="T1032" s="51" t="s">
        <v>6119</v>
      </c>
      <c r="U1032" s="15">
        <v>848.05</v>
      </c>
      <c r="V1032" s="15">
        <v>3921.84</v>
      </c>
      <c r="W1032" s="15">
        <v>36.08</v>
      </c>
      <c r="X1032" s="15">
        <v>14.9</v>
      </c>
      <c r="Y1032" s="15">
        <v>1.662307</v>
      </c>
      <c r="Z1032" s="15">
        <v>6</v>
      </c>
      <c r="AA1032" s="46">
        <v>46275</v>
      </c>
      <c r="AB1032" s="15"/>
      <c r="AC1032" s="15"/>
      <c r="AD1032" s="15"/>
      <c r="AE1032" s="15"/>
      <c r="AF1032" s="15"/>
      <c r="AG1032" s="15"/>
      <c r="AH1032" s="15"/>
      <c r="AI1032" s="46"/>
      <c r="AJ1032" s="51" t="s">
        <v>6121</v>
      </c>
      <c r="AK1032" s="51" t="s">
        <v>6121</v>
      </c>
      <c r="AL1032" s="15">
        <v>848.05</v>
      </c>
      <c r="AM1032" s="51" t="s">
        <v>67</v>
      </c>
      <c r="AN1032" s="51" t="s">
        <v>67</v>
      </c>
      <c r="AO1032" s="50" t="s">
        <v>9554</v>
      </c>
    </row>
    <row r="1033" spans="1:41" hidden="1" x14ac:dyDescent="0.25">
      <c r="A1033" s="51" t="s">
        <v>5743</v>
      </c>
      <c r="B1033" s="51" t="s">
        <v>5744</v>
      </c>
      <c r="C1033" s="54" t="s">
        <v>2357</v>
      </c>
      <c r="D1033" s="51" t="s">
        <v>5745</v>
      </c>
      <c r="E1033" s="20">
        <v>14048.84</v>
      </c>
      <c r="F1033" s="20">
        <v>4571.7700000000004</v>
      </c>
      <c r="G1033" s="20">
        <v>5840.94</v>
      </c>
      <c r="H1033" s="20">
        <v>3870.86</v>
      </c>
      <c r="I1033" s="20">
        <v>4461.8599999999997</v>
      </c>
      <c r="J1033" s="51" t="s">
        <v>6727</v>
      </c>
      <c r="K1033" s="15">
        <v>13</v>
      </c>
      <c r="L1033" s="51" t="s">
        <v>2369</v>
      </c>
      <c r="M1033" s="51" t="s">
        <v>67</v>
      </c>
      <c r="N1033" s="51" t="s">
        <v>67</v>
      </c>
      <c r="O1033" s="51" t="s">
        <v>5746</v>
      </c>
      <c r="P1033" s="51" t="s">
        <v>1344</v>
      </c>
      <c r="Q1033" s="45">
        <v>46283.003265833337</v>
      </c>
      <c r="R1033" s="46">
        <v>46308</v>
      </c>
      <c r="S1033" s="46">
        <v>46303</v>
      </c>
      <c r="T1033" s="51" t="s">
        <v>6119</v>
      </c>
      <c r="U1033" s="15">
        <v>848.05</v>
      </c>
      <c r="V1033" s="15">
        <v>3921.84</v>
      </c>
      <c r="W1033" s="15">
        <v>36.08</v>
      </c>
      <c r="X1033" s="15">
        <v>14.9</v>
      </c>
      <c r="Y1033" s="15">
        <v>1.662307</v>
      </c>
      <c r="Z1033" s="15">
        <v>6</v>
      </c>
      <c r="AA1033" s="46">
        <v>46278</v>
      </c>
      <c r="AB1033" s="15"/>
      <c r="AC1033" s="15"/>
      <c r="AD1033" s="15"/>
      <c r="AE1033" s="15"/>
      <c r="AF1033" s="15"/>
      <c r="AG1033" s="15"/>
      <c r="AH1033" s="15"/>
      <c r="AI1033" s="46"/>
      <c r="AJ1033" s="51" t="s">
        <v>6121</v>
      </c>
      <c r="AK1033" s="51" t="s">
        <v>6121</v>
      </c>
      <c r="AL1033" s="15">
        <v>848.05</v>
      </c>
      <c r="AM1033" s="51" t="s">
        <v>67</v>
      </c>
      <c r="AN1033" s="51" t="s">
        <v>67</v>
      </c>
      <c r="AO1033" s="50" t="s">
        <v>9554</v>
      </c>
    </row>
    <row r="1034" spans="1:41" hidden="1" x14ac:dyDescent="0.25">
      <c r="A1034" s="51" t="s">
        <v>5747</v>
      </c>
      <c r="B1034" s="51" t="s">
        <v>5748</v>
      </c>
      <c r="C1034" s="54" t="s">
        <v>2694</v>
      </c>
      <c r="D1034" s="51" t="s">
        <v>5749</v>
      </c>
      <c r="E1034" s="20">
        <v>1215.48</v>
      </c>
      <c r="F1034" s="20">
        <v>4509.25</v>
      </c>
      <c r="G1034" s="20">
        <v>5085.9799999999996</v>
      </c>
      <c r="H1034" s="20">
        <v>3870.86</v>
      </c>
      <c r="I1034" s="20">
        <v>4156.17</v>
      </c>
      <c r="J1034" s="51" t="s">
        <v>6727</v>
      </c>
      <c r="K1034" s="15">
        <v>9</v>
      </c>
      <c r="L1034" s="51" t="s">
        <v>2369</v>
      </c>
      <c r="M1034" s="51" t="s">
        <v>5750</v>
      </c>
      <c r="N1034" s="51" t="s">
        <v>1340</v>
      </c>
      <c r="O1034" s="51" t="s">
        <v>5751</v>
      </c>
      <c r="P1034" s="51" t="s">
        <v>1340</v>
      </c>
      <c r="Q1034" s="45">
        <v>46283.00327105324</v>
      </c>
      <c r="R1034" s="46">
        <v>46312</v>
      </c>
      <c r="S1034" s="46">
        <v>46307</v>
      </c>
      <c r="T1034" s="51" t="s">
        <v>6119</v>
      </c>
      <c r="U1034" s="15">
        <v>848.05</v>
      </c>
      <c r="V1034" s="15">
        <v>3921.84</v>
      </c>
      <c r="W1034" s="15">
        <v>36.08</v>
      </c>
      <c r="X1034" s="15">
        <v>14.9</v>
      </c>
      <c r="Y1034" s="15">
        <v>1.662307</v>
      </c>
      <c r="Z1034" s="15">
        <v>6</v>
      </c>
      <c r="AA1034" s="46">
        <v>46282</v>
      </c>
      <c r="AB1034" s="15"/>
      <c r="AC1034" s="15"/>
      <c r="AD1034" s="15"/>
      <c r="AE1034" s="15"/>
      <c r="AF1034" s="15"/>
      <c r="AG1034" s="15"/>
      <c r="AH1034" s="15"/>
      <c r="AI1034" s="46"/>
      <c r="AJ1034" s="51" t="s">
        <v>6121</v>
      </c>
      <c r="AK1034" s="51" t="s">
        <v>6121</v>
      </c>
      <c r="AL1034" s="15">
        <v>848.05</v>
      </c>
      <c r="AM1034" s="51" t="s">
        <v>67</v>
      </c>
      <c r="AN1034" s="51" t="s">
        <v>67</v>
      </c>
      <c r="AO1034" s="50" t="s">
        <v>9554</v>
      </c>
    </row>
    <row r="1035" spans="1:41" hidden="1" x14ac:dyDescent="0.25">
      <c r="A1035" s="51" t="s">
        <v>5752</v>
      </c>
      <c r="B1035" s="51" t="s">
        <v>5753</v>
      </c>
      <c r="C1035" s="54" t="s">
        <v>605</v>
      </c>
      <c r="D1035" s="51" t="s">
        <v>5754</v>
      </c>
      <c r="E1035" s="20">
        <v>8936.82</v>
      </c>
      <c r="F1035" s="20">
        <v>4657.3999999999996</v>
      </c>
      <c r="G1035" s="20">
        <v>4000.4</v>
      </c>
      <c r="H1035" s="20">
        <v>3870.86</v>
      </c>
      <c r="I1035" s="20">
        <v>4657.3999999999996</v>
      </c>
      <c r="J1035" s="51" t="s">
        <v>6727</v>
      </c>
      <c r="K1035" s="15">
        <v>16</v>
      </c>
      <c r="L1035" s="51" t="s">
        <v>2369</v>
      </c>
      <c r="M1035" s="51" t="s">
        <v>5755</v>
      </c>
      <c r="N1035" s="51" t="s">
        <v>1340</v>
      </c>
      <c r="O1035" s="51" t="s">
        <v>67</v>
      </c>
      <c r="P1035" s="51" t="s">
        <v>67</v>
      </c>
      <c r="Q1035" s="45">
        <v>46283.003275173614</v>
      </c>
      <c r="R1035" s="46">
        <v>46305</v>
      </c>
      <c r="S1035" s="46">
        <v>46300</v>
      </c>
      <c r="T1035" s="51" t="s">
        <v>6119</v>
      </c>
      <c r="U1035" s="15">
        <v>848.05</v>
      </c>
      <c r="V1035" s="15">
        <v>3921.84</v>
      </c>
      <c r="W1035" s="15">
        <v>36.08</v>
      </c>
      <c r="X1035" s="15">
        <v>14.9</v>
      </c>
      <c r="Y1035" s="15">
        <v>1.662307</v>
      </c>
      <c r="Z1035" s="15">
        <v>6</v>
      </c>
      <c r="AA1035" s="46">
        <v>46275</v>
      </c>
      <c r="AB1035" s="15"/>
      <c r="AC1035" s="15"/>
      <c r="AD1035" s="15"/>
      <c r="AE1035" s="15"/>
      <c r="AF1035" s="15"/>
      <c r="AG1035" s="15"/>
      <c r="AH1035" s="15"/>
      <c r="AI1035" s="46"/>
      <c r="AJ1035" s="51" t="s">
        <v>6121</v>
      </c>
      <c r="AK1035" s="51" t="s">
        <v>6121</v>
      </c>
      <c r="AL1035" s="15">
        <v>848.05</v>
      </c>
      <c r="AM1035" s="51" t="s">
        <v>67</v>
      </c>
      <c r="AN1035" s="51" t="s">
        <v>67</v>
      </c>
      <c r="AO1035" s="50" t="s">
        <v>9554</v>
      </c>
    </row>
    <row r="1036" spans="1:41" hidden="1" x14ac:dyDescent="0.25">
      <c r="A1036" s="51" t="s">
        <v>5756</v>
      </c>
      <c r="B1036" s="51" t="s">
        <v>5757</v>
      </c>
      <c r="C1036" s="54" t="s">
        <v>607</v>
      </c>
      <c r="D1036" s="51" t="s">
        <v>5758</v>
      </c>
      <c r="E1036" s="20">
        <v>1457.85</v>
      </c>
      <c r="F1036" s="20">
        <v>4982.16</v>
      </c>
      <c r="G1036" s="20">
        <v>338.31</v>
      </c>
      <c r="H1036" s="20">
        <v>3870.86</v>
      </c>
      <c r="I1036" s="20">
        <v>4634.12</v>
      </c>
      <c r="J1036" s="51" t="s">
        <v>6727</v>
      </c>
      <c r="K1036" s="15">
        <v>11</v>
      </c>
      <c r="L1036" s="51" t="s">
        <v>2369</v>
      </c>
      <c r="M1036" s="51" t="s">
        <v>5759</v>
      </c>
      <c r="N1036" s="51" t="s">
        <v>1340</v>
      </c>
      <c r="O1036" s="51" t="s">
        <v>5760</v>
      </c>
      <c r="P1036" s="51" t="s">
        <v>1340</v>
      </c>
      <c r="Q1036" s="45">
        <v>46283.003278553238</v>
      </c>
      <c r="R1036" s="46">
        <v>46310</v>
      </c>
      <c r="S1036" s="46">
        <v>46305</v>
      </c>
      <c r="T1036" s="51" t="s">
        <v>6119</v>
      </c>
      <c r="U1036" s="15">
        <v>848.05</v>
      </c>
      <c r="V1036" s="15">
        <v>3921.84</v>
      </c>
      <c r="W1036" s="15">
        <v>36.08</v>
      </c>
      <c r="X1036" s="15">
        <v>14.9</v>
      </c>
      <c r="Y1036" s="15">
        <v>1.662307</v>
      </c>
      <c r="Z1036" s="15">
        <v>6</v>
      </c>
      <c r="AA1036" s="46">
        <v>46280</v>
      </c>
      <c r="AB1036" s="15"/>
      <c r="AC1036" s="15"/>
      <c r="AD1036" s="15"/>
      <c r="AE1036" s="15"/>
      <c r="AF1036" s="15"/>
      <c r="AG1036" s="15"/>
      <c r="AH1036" s="15"/>
      <c r="AI1036" s="46"/>
      <c r="AJ1036" s="51" t="s">
        <v>6121</v>
      </c>
      <c r="AK1036" s="51" t="s">
        <v>6121</v>
      </c>
      <c r="AL1036" s="15">
        <v>848.05</v>
      </c>
      <c r="AM1036" s="51" t="s">
        <v>67</v>
      </c>
      <c r="AN1036" s="51" t="s">
        <v>67</v>
      </c>
      <c r="AO1036" s="50" t="s">
        <v>9554</v>
      </c>
    </row>
    <row r="1037" spans="1:41" hidden="1" x14ac:dyDescent="0.25">
      <c r="A1037" s="51" t="s">
        <v>5761</v>
      </c>
      <c r="B1037" s="51" t="s">
        <v>5762</v>
      </c>
      <c r="C1037" s="54" t="s">
        <v>5607</v>
      </c>
      <c r="D1037" s="51" t="s">
        <v>5763</v>
      </c>
      <c r="E1037" s="20">
        <v>6733.67</v>
      </c>
      <c r="F1037" s="20">
        <v>5108.01</v>
      </c>
      <c r="G1037" s="20">
        <v>7271.24</v>
      </c>
      <c r="H1037" s="20">
        <v>3870.86</v>
      </c>
      <c r="I1037" s="20">
        <v>5108.01</v>
      </c>
      <c r="J1037" s="51" t="s">
        <v>6727</v>
      </c>
      <c r="K1037" s="15">
        <v>22</v>
      </c>
      <c r="L1037" s="51" t="s">
        <v>2369</v>
      </c>
      <c r="M1037" s="51" t="s">
        <v>5764</v>
      </c>
      <c r="N1037" s="51" t="s">
        <v>1340</v>
      </c>
      <c r="O1037" s="51" t="s">
        <v>67</v>
      </c>
      <c r="P1037" s="51" t="s">
        <v>67</v>
      </c>
      <c r="Q1037" s="45">
        <v>46283.003282106481</v>
      </c>
      <c r="R1037" s="46">
        <v>46299</v>
      </c>
      <c r="S1037" s="46">
        <v>46294</v>
      </c>
      <c r="T1037" s="51" t="s">
        <v>6119</v>
      </c>
      <c r="U1037" s="15">
        <v>848.05</v>
      </c>
      <c r="V1037" s="15">
        <v>3921.84</v>
      </c>
      <c r="W1037" s="15">
        <v>36.08</v>
      </c>
      <c r="X1037" s="15">
        <v>14.9</v>
      </c>
      <c r="Y1037" s="15">
        <v>1.662307</v>
      </c>
      <c r="Z1037" s="15">
        <v>6</v>
      </c>
      <c r="AA1037" s="46">
        <v>46269</v>
      </c>
      <c r="AB1037" s="15"/>
      <c r="AC1037" s="15"/>
      <c r="AD1037" s="15"/>
      <c r="AE1037" s="15"/>
      <c r="AF1037" s="15"/>
      <c r="AG1037" s="15"/>
      <c r="AH1037" s="15"/>
      <c r="AI1037" s="46"/>
      <c r="AJ1037" s="51" t="s">
        <v>6121</v>
      </c>
      <c r="AK1037" s="51" t="s">
        <v>6121</v>
      </c>
      <c r="AL1037" s="15">
        <v>848.05</v>
      </c>
      <c r="AM1037" s="51" t="s">
        <v>67</v>
      </c>
      <c r="AN1037" s="51" t="s">
        <v>67</v>
      </c>
      <c r="AO1037" s="50" t="s">
        <v>9554</v>
      </c>
    </row>
    <row r="1038" spans="1:41" hidden="1" x14ac:dyDescent="0.25">
      <c r="A1038" s="51" t="s">
        <v>5765</v>
      </c>
      <c r="B1038" s="51" t="s">
        <v>5766</v>
      </c>
      <c r="C1038" s="54" t="s">
        <v>5605</v>
      </c>
      <c r="D1038" s="51" t="s">
        <v>5767</v>
      </c>
      <c r="E1038" s="20">
        <v>1010.64</v>
      </c>
      <c r="F1038" s="20">
        <v>741.71</v>
      </c>
      <c r="G1038" s="20">
        <v>7807.77</v>
      </c>
      <c r="H1038" s="20">
        <v>741.71</v>
      </c>
      <c r="I1038" s="20">
        <v>741.71</v>
      </c>
      <c r="J1038" s="51" t="s">
        <v>6727</v>
      </c>
      <c r="K1038" s="15">
        <v>0</v>
      </c>
      <c r="L1038" s="51" t="s">
        <v>2371</v>
      </c>
      <c r="M1038" s="51" t="s">
        <v>67</v>
      </c>
      <c r="N1038" s="51" t="s">
        <v>67</v>
      </c>
      <c r="O1038" s="51" t="s">
        <v>5768</v>
      </c>
      <c r="P1038" s="51" t="s">
        <v>1340</v>
      </c>
      <c r="Q1038" s="45">
        <v>46283.003286400461</v>
      </c>
      <c r="R1038" s="46">
        <v>46323</v>
      </c>
      <c r="S1038" s="46">
        <v>46318</v>
      </c>
      <c r="T1038" s="51" t="s">
        <v>6119</v>
      </c>
      <c r="U1038" s="15"/>
      <c r="V1038" s="15"/>
      <c r="W1038" s="15"/>
      <c r="X1038" s="15"/>
      <c r="Y1038" s="15"/>
      <c r="Z1038" s="15"/>
      <c r="AA1038" s="46"/>
      <c r="AB1038" s="15"/>
      <c r="AC1038" s="15"/>
      <c r="AD1038" s="15"/>
      <c r="AE1038" s="15"/>
      <c r="AF1038" s="15"/>
      <c r="AG1038" s="15"/>
      <c r="AH1038" s="15"/>
      <c r="AI1038" s="46"/>
      <c r="AJ1038" s="51" t="s">
        <v>67</v>
      </c>
      <c r="AK1038" s="51" t="s">
        <v>67</v>
      </c>
      <c r="AL1038" s="15"/>
      <c r="AM1038" s="51" t="s">
        <v>67</v>
      </c>
      <c r="AN1038" s="51" t="s">
        <v>67</v>
      </c>
      <c r="AO1038" s="50" t="s">
        <v>9554</v>
      </c>
    </row>
    <row r="1039" spans="1:41" hidden="1" x14ac:dyDescent="0.25">
      <c r="A1039" s="51" t="s">
        <v>5769</v>
      </c>
      <c r="B1039" s="51" t="s">
        <v>5770</v>
      </c>
      <c r="C1039" s="54" t="s">
        <v>2691</v>
      </c>
      <c r="D1039" s="51" t="s">
        <v>5771</v>
      </c>
      <c r="E1039" s="20">
        <v>939.74</v>
      </c>
      <c r="F1039" s="20">
        <v>4906.6400000000003</v>
      </c>
      <c r="G1039" s="20">
        <v>10756.46</v>
      </c>
      <c r="H1039" s="20">
        <v>3870.86</v>
      </c>
      <c r="I1039" s="20">
        <v>4906.6400000000003</v>
      </c>
      <c r="J1039" s="51" t="s">
        <v>6727</v>
      </c>
      <c r="K1039" s="15">
        <v>20</v>
      </c>
      <c r="L1039" s="51" t="s">
        <v>2369</v>
      </c>
      <c r="M1039" s="51" t="s">
        <v>5772</v>
      </c>
      <c r="N1039" s="51" t="s">
        <v>1340</v>
      </c>
      <c r="O1039" s="51" t="s">
        <v>67</v>
      </c>
      <c r="P1039" s="51" t="s">
        <v>67</v>
      </c>
      <c r="Q1039" s="45">
        <v>46283.003289409724</v>
      </c>
      <c r="R1039" s="46">
        <v>46301</v>
      </c>
      <c r="S1039" s="46">
        <v>46296</v>
      </c>
      <c r="T1039" s="51" t="s">
        <v>6119</v>
      </c>
      <c r="U1039" s="15">
        <v>848.05</v>
      </c>
      <c r="V1039" s="15">
        <v>3921.84</v>
      </c>
      <c r="W1039" s="15">
        <v>36.08</v>
      </c>
      <c r="X1039" s="15">
        <v>14.9</v>
      </c>
      <c r="Y1039" s="15">
        <v>1.662307</v>
      </c>
      <c r="Z1039" s="15">
        <v>6</v>
      </c>
      <c r="AA1039" s="46">
        <v>46271</v>
      </c>
      <c r="AB1039" s="15"/>
      <c r="AC1039" s="15"/>
      <c r="AD1039" s="15"/>
      <c r="AE1039" s="15"/>
      <c r="AF1039" s="15"/>
      <c r="AG1039" s="15"/>
      <c r="AH1039" s="15"/>
      <c r="AI1039" s="46"/>
      <c r="AJ1039" s="51" t="s">
        <v>6121</v>
      </c>
      <c r="AK1039" s="51" t="s">
        <v>6121</v>
      </c>
      <c r="AL1039" s="15">
        <v>848.05</v>
      </c>
      <c r="AM1039" s="51" t="s">
        <v>67</v>
      </c>
      <c r="AN1039" s="51" t="s">
        <v>67</v>
      </c>
      <c r="AO1039" s="50" t="s">
        <v>9554</v>
      </c>
    </row>
    <row r="1040" spans="1:41" hidden="1" x14ac:dyDescent="0.25">
      <c r="A1040" s="51" t="s">
        <v>5773</v>
      </c>
      <c r="B1040" s="51" t="s">
        <v>5774</v>
      </c>
      <c r="C1040" s="54" t="s">
        <v>611</v>
      </c>
      <c r="D1040" s="51" t="s">
        <v>5775</v>
      </c>
      <c r="E1040" s="20">
        <v>9638.44</v>
      </c>
      <c r="F1040" s="20">
        <v>873.45</v>
      </c>
      <c r="G1040" s="20">
        <v>16733.95</v>
      </c>
      <c r="H1040" s="20">
        <v>848.56</v>
      </c>
      <c r="I1040" s="20">
        <v>873.45</v>
      </c>
      <c r="J1040" s="51" t="s">
        <v>6727</v>
      </c>
      <c r="K1040" s="15">
        <v>1</v>
      </c>
      <c r="L1040" s="51" t="s">
        <v>2369</v>
      </c>
      <c r="M1040" s="51" t="s">
        <v>5776</v>
      </c>
      <c r="N1040" s="51" t="s">
        <v>1340</v>
      </c>
      <c r="O1040" s="51" t="s">
        <v>5777</v>
      </c>
      <c r="P1040" s="51" t="s">
        <v>1340</v>
      </c>
      <c r="Q1040" s="45">
        <v>46283.003294282411</v>
      </c>
      <c r="R1040" s="46">
        <v>46320</v>
      </c>
      <c r="S1040" s="46">
        <v>46315</v>
      </c>
      <c r="T1040" s="51" t="s">
        <v>6119</v>
      </c>
      <c r="U1040" s="15"/>
      <c r="V1040" s="15"/>
      <c r="W1040" s="15"/>
      <c r="X1040" s="15"/>
      <c r="Y1040" s="15"/>
      <c r="Z1040" s="15"/>
      <c r="AA1040" s="46"/>
      <c r="AB1040" s="15"/>
      <c r="AC1040" s="15"/>
      <c r="AD1040" s="15"/>
      <c r="AE1040" s="15"/>
      <c r="AF1040" s="15"/>
      <c r="AG1040" s="15"/>
      <c r="AH1040" s="15"/>
      <c r="AI1040" s="46"/>
      <c r="AJ1040" s="51" t="s">
        <v>67</v>
      </c>
      <c r="AK1040" s="51" t="s">
        <v>67</v>
      </c>
      <c r="AL1040" s="15"/>
      <c r="AM1040" s="51" t="s">
        <v>67</v>
      </c>
      <c r="AN1040" s="51" t="s">
        <v>67</v>
      </c>
      <c r="AO1040" s="50" t="s">
        <v>9554</v>
      </c>
    </row>
    <row r="1041" spans="1:41" hidden="1" x14ac:dyDescent="0.25">
      <c r="A1041" s="51" t="s">
        <v>5778</v>
      </c>
      <c r="B1041" s="51" t="s">
        <v>5779</v>
      </c>
      <c r="C1041" s="54" t="s">
        <v>2345</v>
      </c>
      <c r="D1041" s="51" t="s">
        <v>3804</v>
      </c>
      <c r="E1041" s="20">
        <v>691.67</v>
      </c>
      <c r="F1041" s="20">
        <v>965.01</v>
      </c>
      <c r="G1041" s="20">
        <v>12871.81</v>
      </c>
      <c r="H1041" s="20">
        <v>0</v>
      </c>
      <c r="I1041" s="20">
        <v>965.01</v>
      </c>
      <c r="J1041" s="51" t="s">
        <v>2654</v>
      </c>
      <c r="K1041" s="15">
        <v>0</v>
      </c>
      <c r="L1041" s="51" t="s">
        <v>2371</v>
      </c>
      <c r="M1041" s="51" t="s">
        <v>67</v>
      </c>
      <c r="N1041" s="51" t="s">
        <v>67</v>
      </c>
      <c r="O1041" s="51" t="s">
        <v>5780</v>
      </c>
      <c r="P1041" s="51" t="s">
        <v>1340</v>
      </c>
      <c r="Q1041" s="45">
        <v>46283.003298148149</v>
      </c>
      <c r="R1041" s="46">
        <v>46306</v>
      </c>
      <c r="S1041" s="46">
        <v>46301</v>
      </c>
      <c r="T1041" s="51" t="s">
        <v>6119</v>
      </c>
      <c r="U1041" s="15"/>
      <c r="V1041" s="15"/>
      <c r="W1041" s="15"/>
      <c r="X1041" s="15"/>
      <c r="Y1041" s="15"/>
      <c r="Z1041" s="15"/>
      <c r="AA1041" s="46"/>
      <c r="AB1041" s="15"/>
      <c r="AC1041" s="15"/>
      <c r="AD1041" s="15"/>
      <c r="AE1041" s="15"/>
      <c r="AF1041" s="15"/>
      <c r="AG1041" s="15"/>
      <c r="AH1041" s="15"/>
      <c r="AI1041" s="46"/>
      <c r="AJ1041" s="51" t="s">
        <v>67</v>
      </c>
      <c r="AK1041" s="51" t="s">
        <v>67</v>
      </c>
      <c r="AL1041" s="15"/>
      <c r="AM1041" s="51" t="s">
        <v>67</v>
      </c>
      <c r="AN1041" s="51" t="s">
        <v>67</v>
      </c>
      <c r="AO1041" s="50" t="s">
        <v>9554</v>
      </c>
    </row>
    <row r="1042" spans="1:41" hidden="1" x14ac:dyDescent="0.25">
      <c r="A1042" s="51" t="s">
        <v>5781</v>
      </c>
      <c r="B1042" s="51" t="s">
        <v>5782</v>
      </c>
      <c r="C1042" s="54" t="s">
        <v>5607</v>
      </c>
      <c r="D1042" s="51" t="s">
        <v>5783</v>
      </c>
      <c r="E1042" s="20">
        <v>3380.44</v>
      </c>
      <c r="F1042" s="20">
        <v>880.24</v>
      </c>
      <c r="G1042" s="20">
        <v>16945.57</v>
      </c>
      <c r="H1042" s="20">
        <v>0</v>
      </c>
      <c r="I1042" s="20">
        <v>880.24</v>
      </c>
      <c r="J1042" s="51" t="s">
        <v>2654</v>
      </c>
      <c r="K1042" s="15">
        <v>0</v>
      </c>
      <c r="L1042" s="51" t="s">
        <v>2371</v>
      </c>
      <c r="M1042" s="51" t="s">
        <v>5784</v>
      </c>
      <c r="N1042" s="51" t="s">
        <v>1340</v>
      </c>
      <c r="O1042" s="51" t="s">
        <v>5785</v>
      </c>
      <c r="P1042" s="51" t="s">
        <v>1340</v>
      </c>
      <c r="Q1042" s="45">
        <v>46283.00330138889</v>
      </c>
      <c r="R1042" s="46">
        <v>46299</v>
      </c>
      <c r="S1042" s="46">
        <v>46294</v>
      </c>
      <c r="T1042" s="51" t="s">
        <v>6119</v>
      </c>
      <c r="U1042" s="15"/>
      <c r="V1042" s="15"/>
      <c r="W1042" s="15"/>
      <c r="X1042" s="15"/>
      <c r="Y1042" s="15"/>
      <c r="Z1042" s="15"/>
      <c r="AA1042" s="46"/>
      <c r="AB1042" s="15"/>
      <c r="AC1042" s="15"/>
      <c r="AD1042" s="15"/>
      <c r="AE1042" s="15"/>
      <c r="AF1042" s="15"/>
      <c r="AG1042" s="15"/>
      <c r="AH1042" s="15"/>
      <c r="AI1042" s="46"/>
      <c r="AJ1042" s="51" t="s">
        <v>67</v>
      </c>
      <c r="AK1042" s="51" t="s">
        <v>67</v>
      </c>
      <c r="AL1042" s="15"/>
      <c r="AM1042" s="51" t="s">
        <v>67</v>
      </c>
      <c r="AN1042" s="51" t="s">
        <v>67</v>
      </c>
      <c r="AO1042" s="50" t="s">
        <v>9554</v>
      </c>
    </row>
    <row r="1043" spans="1:41" hidden="1" x14ac:dyDescent="0.25">
      <c r="A1043" s="51" t="s">
        <v>5786</v>
      </c>
      <c r="B1043" s="51" t="s">
        <v>5787</v>
      </c>
      <c r="C1043" s="54" t="s">
        <v>5607</v>
      </c>
      <c r="D1043" s="51" t="s">
        <v>5788</v>
      </c>
      <c r="E1043" s="20">
        <v>9782.06</v>
      </c>
      <c r="F1043" s="20">
        <v>534.54999999999995</v>
      </c>
      <c r="G1043" s="20">
        <v>6548.1</v>
      </c>
      <c r="H1043" s="20">
        <v>3870.86</v>
      </c>
      <c r="I1043" s="20">
        <v>534.54999999999995</v>
      </c>
      <c r="J1043" s="51" t="s">
        <v>6724</v>
      </c>
      <c r="K1043" s="15">
        <v>0</v>
      </c>
      <c r="L1043" s="51" t="s">
        <v>2371</v>
      </c>
      <c r="M1043" s="51" t="s">
        <v>67</v>
      </c>
      <c r="N1043" s="51" t="s">
        <v>67</v>
      </c>
      <c r="O1043" s="51" t="s">
        <v>5789</v>
      </c>
      <c r="P1043" s="51" t="s">
        <v>1340</v>
      </c>
      <c r="Q1043" s="45">
        <v>46283.003305162034</v>
      </c>
      <c r="R1043" s="46">
        <v>46299</v>
      </c>
      <c r="S1043" s="46">
        <v>46294</v>
      </c>
      <c r="T1043" s="51" t="s">
        <v>6119</v>
      </c>
      <c r="U1043" s="15">
        <v>848.05</v>
      </c>
      <c r="V1043" s="15">
        <v>3921.84</v>
      </c>
      <c r="W1043" s="15">
        <v>36.08</v>
      </c>
      <c r="X1043" s="15">
        <v>14.9</v>
      </c>
      <c r="Y1043" s="15">
        <v>1.662307</v>
      </c>
      <c r="Z1043" s="15">
        <v>6</v>
      </c>
      <c r="AA1043" s="46">
        <v>46269</v>
      </c>
      <c r="AB1043" s="15"/>
      <c r="AC1043" s="15"/>
      <c r="AD1043" s="15"/>
      <c r="AE1043" s="15"/>
      <c r="AF1043" s="15"/>
      <c r="AG1043" s="15"/>
      <c r="AH1043" s="15"/>
      <c r="AI1043" s="46"/>
      <c r="AJ1043" s="51" t="s">
        <v>67</v>
      </c>
      <c r="AK1043" s="51" t="s">
        <v>6121</v>
      </c>
      <c r="AL1043" s="15">
        <v>848.05</v>
      </c>
      <c r="AM1043" s="51" t="s">
        <v>67</v>
      </c>
      <c r="AN1043" s="51" t="s">
        <v>67</v>
      </c>
      <c r="AO1043" s="50" t="s">
        <v>9554</v>
      </c>
    </row>
    <row r="1044" spans="1:41" hidden="1" x14ac:dyDescent="0.25">
      <c r="A1044" s="51" t="s">
        <v>5790</v>
      </c>
      <c r="B1044" s="51" t="s">
        <v>5791</v>
      </c>
      <c r="C1044" s="54" t="s">
        <v>5606</v>
      </c>
      <c r="D1044" s="51" t="s">
        <v>5792</v>
      </c>
      <c r="E1044" s="20">
        <v>13488.22</v>
      </c>
      <c r="F1044" s="20">
        <v>3980.24</v>
      </c>
      <c r="G1044" s="20">
        <v>1597.11</v>
      </c>
      <c r="H1044" s="20">
        <v>3870.86</v>
      </c>
      <c r="I1044" s="20">
        <v>3980.24</v>
      </c>
      <c r="J1044" s="51" t="s">
        <v>6725</v>
      </c>
      <c r="K1044" s="15">
        <v>0</v>
      </c>
      <c r="L1044" s="51" t="s">
        <v>2371</v>
      </c>
      <c r="M1044" s="51" t="s">
        <v>67</v>
      </c>
      <c r="N1044" s="51" t="s">
        <v>67</v>
      </c>
      <c r="O1044" s="51" t="s">
        <v>5793</v>
      </c>
      <c r="P1044" s="51" t="s">
        <v>1340</v>
      </c>
      <c r="Q1044" s="45">
        <v>46283.003308472224</v>
      </c>
      <c r="R1044" s="46">
        <v>46297</v>
      </c>
      <c r="S1044" s="46">
        <v>46292</v>
      </c>
      <c r="T1044" s="51" t="s">
        <v>6119</v>
      </c>
      <c r="U1044" s="15">
        <v>848.05</v>
      </c>
      <c r="V1044" s="15">
        <v>3921.84</v>
      </c>
      <c r="W1044" s="15">
        <v>36.08</v>
      </c>
      <c r="X1044" s="15">
        <v>14.9</v>
      </c>
      <c r="Y1044" s="15">
        <v>1.662307</v>
      </c>
      <c r="Z1044" s="15">
        <v>6</v>
      </c>
      <c r="AA1044" s="46">
        <v>46267</v>
      </c>
      <c r="AB1044" s="15"/>
      <c r="AC1044" s="15"/>
      <c r="AD1044" s="15"/>
      <c r="AE1044" s="15"/>
      <c r="AF1044" s="15"/>
      <c r="AG1044" s="15"/>
      <c r="AH1044" s="15"/>
      <c r="AI1044" s="46"/>
      <c r="AJ1044" s="51" t="s">
        <v>67</v>
      </c>
      <c r="AK1044" s="51" t="s">
        <v>6121</v>
      </c>
      <c r="AL1044" s="15">
        <v>848.05</v>
      </c>
      <c r="AM1044" s="51" t="s">
        <v>67</v>
      </c>
      <c r="AN1044" s="51" t="s">
        <v>67</v>
      </c>
      <c r="AO1044" s="50" t="s">
        <v>9554</v>
      </c>
    </row>
    <row r="1045" spans="1:41" hidden="1" x14ac:dyDescent="0.25">
      <c r="A1045" s="51" t="s">
        <v>5794</v>
      </c>
      <c r="B1045" s="51" t="s">
        <v>5795</v>
      </c>
      <c r="C1045" s="54" t="s">
        <v>2358</v>
      </c>
      <c r="D1045" s="51" t="s">
        <v>5796</v>
      </c>
      <c r="E1045" s="20">
        <v>5834.91</v>
      </c>
      <c r="F1045" s="20">
        <v>2515.39</v>
      </c>
      <c r="G1045" s="20">
        <v>19426.72</v>
      </c>
      <c r="H1045" s="20">
        <v>3870.86</v>
      </c>
      <c r="I1045" s="20">
        <v>2292.73</v>
      </c>
      <c r="J1045" s="51" t="s">
        <v>6726</v>
      </c>
      <c r="K1045" s="15">
        <v>0</v>
      </c>
      <c r="L1045" s="51" t="s">
        <v>2371</v>
      </c>
      <c r="M1045" s="51" t="s">
        <v>5797</v>
      </c>
      <c r="N1045" s="51" t="s">
        <v>1344</v>
      </c>
      <c r="O1045" s="51" t="s">
        <v>5798</v>
      </c>
      <c r="P1045" s="51" t="s">
        <v>1344</v>
      </c>
      <c r="Q1045" s="45">
        <v>46283.003311851855</v>
      </c>
      <c r="R1045" s="46">
        <v>46309</v>
      </c>
      <c r="S1045" s="46">
        <v>46304</v>
      </c>
      <c r="T1045" s="51" t="s">
        <v>6119</v>
      </c>
      <c r="U1045" s="15">
        <v>848.05</v>
      </c>
      <c r="V1045" s="15">
        <v>3921.84</v>
      </c>
      <c r="W1045" s="15">
        <v>36.08</v>
      </c>
      <c r="X1045" s="15">
        <v>14.9</v>
      </c>
      <c r="Y1045" s="15">
        <v>1.662307</v>
      </c>
      <c r="Z1045" s="15">
        <v>6</v>
      </c>
      <c r="AA1045" s="46">
        <v>46279</v>
      </c>
      <c r="AB1045" s="15"/>
      <c r="AC1045" s="15"/>
      <c r="AD1045" s="15"/>
      <c r="AE1045" s="15"/>
      <c r="AF1045" s="15"/>
      <c r="AG1045" s="15"/>
      <c r="AH1045" s="15"/>
      <c r="AI1045" s="46"/>
      <c r="AJ1045" s="51" t="s">
        <v>67</v>
      </c>
      <c r="AK1045" s="51" t="s">
        <v>6121</v>
      </c>
      <c r="AL1045" s="15">
        <v>848.05</v>
      </c>
      <c r="AM1045" s="51" t="s">
        <v>67</v>
      </c>
      <c r="AN1045" s="51" t="s">
        <v>67</v>
      </c>
      <c r="AO1045" s="50" t="s">
        <v>9554</v>
      </c>
    </row>
    <row r="1046" spans="1:41" hidden="1" x14ac:dyDescent="0.25">
      <c r="A1046" s="51" t="s">
        <v>5799</v>
      </c>
      <c r="B1046" s="51" t="s">
        <v>5800</v>
      </c>
      <c r="C1046" s="54" t="s">
        <v>2357</v>
      </c>
      <c r="D1046" s="51" t="s">
        <v>5801</v>
      </c>
      <c r="E1046" s="20">
        <v>13536.87</v>
      </c>
      <c r="F1046" s="20">
        <v>4319.63</v>
      </c>
      <c r="G1046" s="20">
        <v>-631.76</v>
      </c>
      <c r="H1046" s="20">
        <v>3870.86</v>
      </c>
      <c r="I1046" s="20">
        <v>4196.99</v>
      </c>
      <c r="J1046" s="51" t="s">
        <v>6726</v>
      </c>
      <c r="K1046" s="15">
        <v>13</v>
      </c>
      <c r="L1046" s="51" t="s">
        <v>2369</v>
      </c>
      <c r="M1046" s="51" t="s">
        <v>5802</v>
      </c>
      <c r="N1046" s="51" t="s">
        <v>1340</v>
      </c>
      <c r="O1046" s="51" t="s">
        <v>5803</v>
      </c>
      <c r="P1046" s="51" t="s">
        <v>1340</v>
      </c>
      <c r="Q1046" s="45">
        <v>46283.003315821756</v>
      </c>
      <c r="R1046" s="46">
        <v>46308</v>
      </c>
      <c r="S1046" s="46">
        <v>46303</v>
      </c>
      <c r="T1046" s="51" t="s">
        <v>6119</v>
      </c>
      <c r="U1046" s="15">
        <v>848.05</v>
      </c>
      <c r="V1046" s="15">
        <v>3921.84</v>
      </c>
      <c r="W1046" s="15">
        <v>36.08</v>
      </c>
      <c r="X1046" s="15">
        <v>14.9</v>
      </c>
      <c r="Y1046" s="15">
        <v>1.662307</v>
      </c>
      <c r="Z1046" s="15">
        <v>6</v>
      </c>
      <c r="AA1046" s="46">
        <v>46278</v>
      </c>
      <c r="AB1046" s="15"/>
      <c r="AC1046" s="15"/>
      <c r="AD1046" s="15"/>
      <c r="AE1046" s="15"/>
      <c r="AF1046" s="15"/>
      <c r="AG1046" s="15"/>
      <c r="AH1046" s="15"/>
      <c r="AI1046" s="46"/>
      <c r="AJ1046" s="51" t="s">
        <v>6121</v>
      </c>
      <c r="AK1046" s="51" t="s">
        <v>6121</v>
      </c>
      <c r="AL1046" s="15">
        <v>848.05</v>
      </c>
      <c r="AM1046" s="51" t="s">
        <v>6705</v>
      </c>
      <c r="AN1046" s="51" t="s">
        <v>6713</v>
      </c>
      <c r="AO1046" s="50" t="s">
        <v>9554</v>
      </c>
    </row>
    <row r="1047" spans="1:41" hidden="1" x14ac:dyDescent="0.25">
      <c r="A1047" s="51" t="s">
        <v>5804</v>
      </c>
      <c r="B1047" s="51" t="s">
        <v>5805</v>
      </c>
      <c r="C1047" s="54" t="s">
        <v>5606</v>
      </c>
      <c r="D1047" s="51" t="s">
        <v>5806</v>
      </c>
      <c r="E1047" s="20">
        <v>12680.49</v>
      </c>
      <c r="F1047" s="20">
        <v>4524.47</v>
      </c>
      <c r="G1047" s="20">
        <v>4555.07</v>
      </c>
      <c r="H1047" s="20">
        <v>3870.86</v>
      </c>
      <c r="I1047" s="20">
        <v>4524.47</v>
      </c>
      <c r="J1047" s="51" t="s">
        <v>6726</v>
      </c>
      <c r="K1047" s="15">
        <v>24</v>
      </c>
      <c r="L1047" s="51" t="s">
        <v>2369</v>
      </c>
      <c r="M1047" s="51" t="s">
        <v>5807</v>
      </c>
      <c r="N1047" s="51" t="s">
        <v>1344</v>
      </c>
      <c r="O1047" s="51" t="s">
        <v>5808</v>
      </c>
      <c r="P1047" s="51" t="s">
        <v>1344</v>
      </c>
      <c r="Q1047" s="45">
        <v>46283.003319479169</v>
      </c>
      <c r="R1047" s="46">
        <v>46297</v>
      </c>
      <c r="S1047" s="46">
        <v>46292</v>
      </c>
      <c r="T1047" s="51" t="s">
        <v>6119</v>
      </c>
      <c r="U1047" s="15">
        <v>848.05</v>
      </c>
      <c r="V1047" s="15">
        <v>3921.84</v>
      </c>
      <c r="W1047" s="15">
        <v>36.08</v>
      </c>
      <c r="X1047" s="15">
        <v>14.9</v>
      </c>
      <c r="Y1047" s="15">
        <v>1.662307</v>
      </c>
      <c r="Z1047" s="15">
        <v>6</v>
      </c>
      <c r="AA1047" s="46">
        <v>46267</v>
      </c>
      <c r="AB1047" s="15"/>
      <c r="AC1047" s="15"/>
      <c r="AD1047" s="15"/>
      <c r="AE1047" s="15"/>
      <c r="AF1047" s="15"/>
      <c r="AG1047" s="15"/>
      <c r="AH1047" s="15"/>
      <c r="AI1047" s="46"/>
      <c r="AJ1047" s="51" t="s">
        <v>6121</v>
      </c>
      <c r="AK1047" s="51" t="s">
        <v>6121</v>
      </c>
      <c r="AL1047" s="15">
        <v>848.05</v>
      </c>
      <c r="AM1047" s="51" t="s">
        <v>67</v>
      </c>
      <c r="AN1047" s="51" t="s">
        <v>67</v>
      </c>
      <c r="AO1047" s="50" t="s">
        <v>9554</v>
      </c>
    </row>
    <row r="1048" spans="1:41" hidden="1" x14ac:dyDescent="0.25">
      <c r="A1048" s="51" t="s">
        <v>5809</v>
      </c>
      <c r="B1048" s="51" t="s">
        <v>5810</v>
      </c>
      <c r="C1048" s="54" t="s">
        <v>5602</v>
      </c>
      <c r="D1048" s="51" t="s">
        <v>5811</v>
      </c>
      <c r="E1048" s="20">
        <v>5834.53</v>
      </c>
      <c r="F1048" s="20">
        <v>2135.08</v>
      </c>
      <c r="G1048" s="20">
        <v>3440.29</v>
      </c>
      <c r="H1048" s="20">
        <v>3870.86</v>
      </c>
      <c r="I1048" s="20">
        <v>2135.08</v>
      </c>
      <c r="J1048" s="51" t="s">
        <v>6726</v>
      </c>
      <c r="K1048" s="15">
        <v>0</v>
      </c>
      <c r="L1048" s="51" t="s">
        <v>2371</v>
      </c>
      <c r="M1048" s="51" t="s">
        <v>67</v>
      </c>
      <c r="N1048" s="51" t="s">
        <v>67</v>
      </c>
      <c r="O1048" s="51" t="s">
        <v>5812</v>
      </c>
      <c r="P1048" s="51" t="s">
        <v>1340</v>
      </c>
      <c r="Q1048" s="45">
        <v>46283.003322349534</v>
      </c>
      <c r="R1048" s="46">
        <v>46303</v>
      </c>
      <c r="S1048" s="46">
        <v>46298</v>
      </c>
      <c r="T1048" s="51" t="s">
        <v>6119</v>
      </c>
      <c r="U1048" s="15">
        <v>848.05</v>
      </c>
      <c r="V1048" s="15">
        <v>3921.84</v>
      </c>
      <c r="W1048" s="15">
        <v>36.08</v>
      </c>
      <c r="X1048" s="15">
        <v>14.9</v>
      </c>
      <c r="Y1048" s="15">
        <v>1.662307</v>
      </c>
      <c r="Z1048" s="15">
        <v>6</v>
      </c>
      <c r="AA1048" s="46">
        <v>46273</v>
      </c>
      <c r="AB1048" s="15"/>
      <c r="AC1048" s="15"/>
      <c r="AD1048" s="15"/>
      <c r="AE1048" s="15"/>
      <c r="AF1048" s="15"/>
      <c r="AG1048" s="15"/>
      <c r="AH1048" s="15"/>
      <c r="AI1048" s="46"/>
      <c r="AJ1048" s="51" t="s">
        <v>67</v>
      </c>
      <c r="AK1048" s="51" t="s">
        <v>6121</v>
      </c>
      <c r="AL1048" s="15">
        <v>848.05</v>
      </c>
      <c r="AM1048" s="51" t="s">
        <v>67</v>
      </c>
      <c r="AN1048" s="51" t="s">
        <v>67</v>
      </c>
      <c r="AO1048" s="50" t="s">
        <v>9554</v>
      </c>
    </row>
    <row r="1049" spans="1:41" hidden="1" x14ac:dyDescent="0.25">
      <c r="A1049" s="51" t="s">
        <v>5813</v>
      </c>
      <c r="B1049" s="51" t="s">
        <v>5814</v>
      </c>
      <c r="C1049" s="54" t="s">
        <v>611</v>
      </c>
      <c r="D1049" s="51" t="s">
        <v>5815</v>
      </c>
      <c r="E1049" s="20">
        <v>3639.61</v>
      </c>
      <c r="F1049" s="20">
        <v>680.88</v>
      </c>
      <c r="G1049" s="20">
        <v>11943.14</v>
      </c>
      <c r="H1049" s="20">
        <v>661.48</v>
      </c>
      <c r="I1049" s="20">
        <v>680.88</v>
      </c>
      <c r="J1049" s="51" t="s">
        <v>6727</v>
      </c>
      <c r="K1049" s="15">
        <v>1</v>
      </c>
      <c r="L1049" s="51" t="s">
        <v>2369</v>
      </c>
      <c r="M1049" s="51" t="s">
        <v>67</v>
      </c>
      <c r="N1049" s="51" t="s">
        <v>67</v>
      </c>
      <c r="O1049" s="51" t="s">
        <v>5816</v>
      </c>
      <c r="P1049" s="51" t="s">
        <v>1340</v>
      </c>
      <c r="Q1049" s="45">
        <v>46283.00332502315</v>
      </c>
      <c r="R1049" s="46">
        <v>46320</v>
      </c>
      <c r="S1049" s="46">
        <v>46315</v>
      </c>
      <c r="T1049" s="51" t="s">
        <v>6119</v>
      </c>
      <c r="U1049" s="15"/>
      <c r="V1049" s="15"/>
      <c r="W1049" s="15"/>
      <c r="X1049" s="15"/>
      <c r="Y1049" s="15"/>
      <c r="Z1049" s="15"/>
      <c r="AA1049" s="46"/>
      <c r="AB1049" s="15"/>
      <c r="AC1049" s="15"/>
      <c r="AD1049" s="15"/>
      <c r="AE1049" s="15"/>
      <c r="AF1049" s="15"/>
      <c r="AG1049" s="15"/>
      <c r="AH1049" s="15"/>
      <c r="AI1049" s="46"/>
      <c r="AJ1049" s="51" t="s">
        <v>67</v>
      </c>
      <c r="AK1049" s="51" t="s">
        <v>67</v>
      </c>
      <c r="AL1049" s="15"/>
      <c r="AM1049" s="51" t="s">
        <v>67</v>
      </c>
      <c r="AN1049" s="51" t="s">
        <v>67</v>
      </c>
      <c r="AO1049" s="50" t="s">
        <v>9554</v>
      </c>
    </row>
    <row r="1050" spans="1:41" hidden="1" x14ac:dyDescent="0.25">
      <c r="A1050" s="51" t="s">
        <v>5817</v>
      </c>
      <c r="B1050" s="51" t="s">
        <v>5818</v>
      </c>
      <c r="C1050" s="54" t="s">
        <v>2691</v>
      </c>
      <c r="D1050" s="51" t="s">
        <v>5819</v>
      </c>
      <c r="E1050" s="20">
        <v>10655.33</v>
      </c>
      <c r="F1050" s="20">
        <v>4707.2299999999996</v>
      </c>
      <c r="G1050" s="20">
        <v>12070.76</v>
      </c>
      <c r="H1050" s="20">
        <v>3870.86</v>
      </c>
      <c r="I1050" s="20">
        <v>4707.2299999999996</v>
      </c>
      <c r="J1050" s="51" t="s">
        <v>6727</v>
      </c>
      <c r="K1050" s="15">
        <v>20</v>
      </c>
      <c r="L1050" s="51" t="s">
        <v>2369</v>
      </c>
      <c r="M1050" s="51" t="s">
        <v>5820</v>
      </c>
      <c r="N1050" s="51" t="s">
        <v>1340</v>
      </c>
      <c r="O1050" s="51" t="s">
        <v>5821</v>
      </c>
      <c r="P1050" s="51" t="s">
        <v>1340</v>
      </c>
      <c r="Q1050" s="45">
        <v>46283.003327337959</v>
      </c>
      <c r="R1050" s="46">
        <v>46301</v>
      </c>
      <c r="S1050" s="46">
        <v>46296</v>
      </c>
      <c r="T1050" s="51" t="s">
        <v>6119</v>
      </c>
      <c r="U1050" s="15">
        <v>848.05</v>
      </c>
      <c r="V1050" s="15">
        <v>3921.84</v>
      </c>
      <c r="W1050" s="15">
        <v>36.08</v>
      </c>
      <c r="X1050" s="15">
        <v>14.9</v>
      </c>
      <c r="Y1050" s="15">
        <v>1.662307</v>
      </c>
      <c r="Z1050" s="15">
        <v>6</v>
      </c>
      <c r="AA1050" s="46">
        <v>46271</v>
      </c>
      <c r="AB1050" s="15"/>
      <c r="AC1050" s="15"/>
      <c r="AD1050" s="15"/>
      <c r="AE1050" s="15"/>
      <c r="AF1050" s="15"/>
      <c r="AG1050" s="15"/>
      <c r="AH1050" s="15"/>
      <c r="AI1050" s="46"/>
      <c r="AJ1050" s="51" t="s">
        <v>6121</v>
      </c>
      <c r="AK1050" s="51" t="s">
        <v>6121</v>
      </c>
      <c r="AL1050" s="15">
        <v>848.05</v>
      </c>
      <c r="AM1050" s="51" t="s">
        <v>67</v>
      </c>
      <c r="AN1050" s="51" t="s">
        <v>67</v>
      </c>
      <c r="AO1050" s="50" t="s">
        <v>9554</v>
      </c>
    </row>
    <row r="1051" spans="1:41" hidden="1" x14ac:dyDescent="0.25">
      <c r="A1051" s="51" t="s">
        <v>5822</v>
      </c>
      <c r="B1051" s="51" t="s">
        <v>5823</v>
      </c>
      <c r="C1051" s="54" t="s">
        <v>5600</v>
      </c>
      <c r="D1051" s="51" t="s">
        <v>5824</v>
      </c>
      <c r="E1051" s="20">
        <v>13555.88</v>
      </c>
      <c r="F1051" s="20">
        <v>4776.7700000000004</v>
      </c>
      <c r="G1051" s="20">
        <v>11180.49</v>
      </c>
      <c r="H1051" s="20">
        <v>3870.86</v>
      </c>
      <c r="I1051" s="20">
        <v>4776.7700000000004</v>
      </c>
      <c r="J1051" s="51" t="s">
        <v>6727</v>
      </c>
      <c r="K1051" s="15">
        <v>17</v>
      </c>
      <c r="L1051" s="51" t="s">
        <v>2369</v>
      </c>
      <c r="M1051" s="51" t="s">
        <v>67</v>
      </c>
      <c r="N1051" s="51" t="s">
        <v>67</v>
      </c>
      <c r="O1051" s="51" t="s">
        <v>5825</v>
      </c>
      <c r="P1051" s="51" t="s">
        <v>1340</v>
      </c>
      <c r="Q1051" s="45">
        <v>46283.00333</v>
      </c>
      <c r="R1051" s="46">
        <v>46304</v>
      </c>
      <c r="S1051" s="46">
        <v>46299</v>
      </c>
      <c r="T1051" s="51" t="s">
        <v>6119</v>
      </c>
      <c r="U1051" s="15">
        <v>848.05</v>
      </c>
      <c r="V1051" s="15">
        <v>3921.84</v>
      </c>
      <c r="W1051" s="15">
        <v>36.08</v>
      </c>
      <c r="X1051" s="15">
        <v>14.9</v>
      </c>
      <c r="Y1051" s="15">
        <v>1.662307</v>
      </c>
      <c r="Z1051" s="15">
        <v>6</v>
      </c>
      <c r="AA1051" s="46">
        <v>46274</v>
      </c>
      <c r="AB1051" s="15"/>
      <c r="AC1051" s="15"/>
      <c r="AD1051" s="15"/>
      <c r="AE1051" s="15"/>
      <c r="AF1051" s="15"/>
      <c r="AG1051" s="15"/>
      <c r="AH1051" s="15"/>
      <c r="AI1051" s="46"/>
      <c r="AJ1051" s="51" t="s">
        <v>6121</v>
      </c>
      <c r="AK1051" s="51" t="s">
        <v>6121</v>
      </c>
      <c r="AL1051" s="15">
        <v>848.05</v>
      </c>
      <c r="AM1051" s="51" t="s">
        <v>67</v>
      </c>
      <c r="AN1051" s="51" t="s">
        <v>67</v>
      </c>
      <c r="AO1051" s="50" t="s">
        <v>9554</v>
      </c>
    </row>
    <row r="1052" spans="1:41" hidden="1" x14ac:dyDescent="0.25">
      <c r="A1052" s="51" t="s">
        <v>5826</v>
      </c>
      <c r="B1052" s="51" t="s">
        <v>5827</v>
      </c>
      <c r="C1052" s="54" t="s">
        <v>2692</v>
      </c>
      <c r="D1052" s="51" t="s">
        <v>5828</v>
      </c>
      <c r="E1052" s="20">
        <v>15328.48</v>
      </c>
      <c r="F1052" s="20">
        <v>432.58</v>
      </c>
      <c r="G1052" s="20">
        <v>4837.25</v>
      </c>
      <c r="H1052" s="20">
        <v>0</v>
      </c>
      <c r="I1052" s="20">
        <v>432.58</v>
      </c>
      <c r="J1052" s="51" t="s">
        <v>2654</v>
      </c>
      <c r="K1052" s="15">
        <v>0</v>
      </c>
      <c r="L1052" s="51" t="s">
        <v>2371</v>
      </c>
      <c r="M1052" s="51" t="s">
        <v>5829</v>
      </c>
      <c r="N1052" s="51" t="s">
        <v>1340</v>
      </c>
      <c r="O1052" s="51" t="s">
        <v>67</v>
      </c>
      <c r="P1052" s="51" t="s">
        <v>67</v>
      </c>
      <c r="Q1052" s="45">
        <v>46283.003332569446</v>
      </c>
      <c r="R1052" s="46">
        <v>46296</v>
      </c>
      <c r="S1052" s="46">
        <v>46291</v>
      </c>
      <c r="T1052" s="51" t="s">
        <v>6119</v>
      </c>
      <c r="U1052" s="15"/>
      <c r="V1052" s="15"/>
      <c r="W1052" s="15"/>
      <c r="X1052" s="15"/>
      <c r="Y1052" s="15"/>
      <c r="Z1052" s="15"/>
      <c r="AA1052" s="46"/>
      <c r="AB1052" s="15"/>
      <c r="AC1052" s="15"/>
      <c r="AD1052" s="15"/>
      <c r="AE1052" s="15"/>
      <c r="AF1052" s="15"/>
      <c r="AG1052" s="15"/>
      <c r="AH1052" s="15"/>
      <c r="AI1052" s="46"/>
      <c r="AJ1052" s="51" t="s">
        <v>67</v>
      </c>
      <c r="AK1052" s="51" t="s">
        <v>67</v>
      </c>
      <c r="AL1052" s="15"/>
      <c r="AM1052" s="51" t="s">
        <v>67</v>
      </c>
      <c r="AN1052" s="51" t="s">
        <v>67</v>
      </c>
      <c r="AO1052" s="50" t="s">
        <v>9554</v>
      </c>
    </row>
    <row r="1053" spans="1:41" hidden="1" x14ac:dyDescent="0.25">
      <c r="A1053" s="51" t="s">
        <v>5830</v>
      </c>
      <c r="B1053" s="51" t="s">
        <v>5831</v>
      </c>
      <c r="C1053" s="54" t="s">
        <v>5596</v>
      </c>
      <c r="D1053" s="51" t="s">
        <v>5832</v>
      </c>
      <c r="E1053" s="20">
        <v>4128.74</v>
      </c>
      <c r="F1053" s="20">
        <v>5147.0200000000004</v>
      </c>
      <c r="G1053" s="20">
        <v>13409.43</v>
      </c>
      <c r="H1053" s="20">
        <v>3870.86</v>
      </c>
      <c r="I1053" s="20">
        <v>5147.0200000000004</v>
      </c>
      <c r="J1053" s="51" t="s">
        <v>6727</v>
      </c>
      <c r="K1053" s="15">
        <v>21</v>
      </c>
      <c r="L1053" s="51" t="s">
        <v>2369</v>
      </c>
      <c r="M1053" s="51" t="s">
        <v>67</v>
      </c>
      <c r="N1053" s="51" t="s">
        <v>67</v>
      </c>
      <c r="O1053" s="51" t="s">
        <v>5833</v>
      </c>
      <c r="P1053" s="51" t="s">
        <v>1340</v>
      </c>
      <c r="Q1053" s="45">
        <v>46283.003334421293</v>
      </c>
      <c r="R1053" s="46">
        <v>46300</v>
      </c>
      <c r="S1053" s="46">
        <v>46295</v>
      </c>
      <c r="T1053" s="51" t="s">
        <v>6119</v>
      </c>
      <c r="U1053" s="15">
        <v>848.05</v>
      </c>
      <c r="V1053" s="15">
        <v>3921.84</v>
      </c>
      <c r="W1053" s="15">
        <v>36.08</v>
      </c>
      <c r="X1053" s="15">
        <v>14.9</v>
      </c>
      <c r="Y1053" s="15">
        <v>1.662307</v>
      </c>
      <c r="Z1053" s="15">
        <v>6</v>
      </c>
      <c r="AA1053" s="46">
        <v>46270</v>
      </c>
      <c r="AB1053" s="15"/>
      <c r="AC1053" s="15"/>
      <c r="AD1053" s="15"/>
      <c r="AE1053" s="15"/>
      <c r="AF1053" s="15"/>
      <c r="AG1053" s="15"/>
      <c r="AH1053" s="15"/>
      <c r="AI1053" s="46"/>
      <c r="AJ1053" s="51" t="s">
        <v>6121</v>
      </c>
      <c r="AK1053" s="51" t="s">
        <v>6121</v>
      </c>
      <c r="AL1053" s="15">
        <v>848.05</v>
      </c>
      <c r="AM1053" s="51" t="s">
        <v>67</v>
      </c>
      <c r="AN1053" s="51" t="s">
        <v>67</v>
      </c>
      <c r="AO1053" s="50" t="s">
        <v>9554</v>
      </c>
    </row>
    <row r="1054" spans="1:41" hidden="1" x14ac:dyDescent="0.25">
      <c r="A1054" s="51" t="s">
        <v>5834</v>
      </c>
      <c r="B1054" s="51" t="s">
        <v>5835</v>
      </c>
      <c r="C1054" s="54" t="s">
        <v>2690</v>
      </c>
      <c r="D1054" s="51" t="s">
        <v>5836</v>
      </c>
      <c r="E1054" s="20">
        <v>6514.61</v>
      </c>
      <c r="F1054" s="20">
        <v>2611.69</v>
      </c>
      <c r="G1054" s="20">
        <v>4171.18</v>
      </c>
      <c r="H1054" s="20">
        <v>6390.42</v>
      </c>
      <c r="I1054" s="20">
        <v>2611.69</v>
      </c>
      <c r="J1054" s="51" t="s">
        <v>6726</v>
      </c>
      <c r="K1054" s="15">
        <v>0</v>
      </c>
      <c r="L1054" s="51" t="s">
        <v>2371</v>
      </c>
      <c r="M1054" s="51" t="s">
        <v>5837</v>
      </c>
      <c r="N1054" s="51" t="s">
        <v>1344</v>
      </c>
      <c r="O1054" s="51" t="s">
        <v>5838</v>
      </c>
      <c r="P1054" s="51" t="s">
        <v>1344</v>
      </c>
      <c r="Q1054" s="45">
        <v>46283.003336898146</v>
      </c>
      <c r="R1054" s="46">
        <v>46322</v>
      </c>
      <c r="S1054" s="46">
        <v>46317</v>
      </c>
      <c r="T1054" s="51" t="s">
        <v>6119</v>
      </c>
      <c r="U1054" s="15">
        <v>849.8</v>
      </c>
      <c r="V1054" s="15">
        <v>3922.15</v>
      </c>
      <c r="W1054" s="15">
        <v>36.39</v>
      </c>
      <c r="X1054" s="15">
        <v>14.9</v>
      </c>
      <c r="Y1054" s="15">
        <v>1.6620440000000001</v>
      </c>
      <c r="Z1054" s="15">
        <v>6</v>
      </c>
      <c r="AA1054" s="46">
        <v>46261</v>
      </c>
      <c r="AB1054" s="15"/>
      <c r="AC1054" s="15"/>
      <c r="AD1054" s="15"/>
      <c r="AE1054" s="15"/>
      <c r="AF1054" s="15"/>
      <c r="AG1054" s="15"/>
      <c r="AH1054" s="15"/>
      <c r="AI1054" s="46"/>
      <c r="AJ1054" s="51" t="s">
        <v>67</v>
      </c>
      <c r="AK1054" s="51" t="s">
        <v>6121</v>
      </c>
      <c r="AL1054" s="15">
        <v>849.8</v>
      </c>
      <c r="AM1054" s="51" t="s">
        <v>6705</v>
      </c>
      <c r="AN1054" s="51" t="s">
        <v>6713</v>
      </c>
      <c r="AO1054" s="50" t="s">
        <v>9554</v>
      </c>
    </row>
    <row r="1055" spans="1:41" hidden="1" x14ac:dyDescent="0.25">
      <c r="A1055" s="51" t="s">
        <v>5839</v>
      </c>
      <c r="B1055" s="51" t="s">
        <v>5840</v>
      </c>
      <c r="C1055" s="54" t="s">
        <v>5597</v>
      </c>
      <c r="D1055" s="51" t="s">
        <v>5475</v>
      </c>
      <c r="E1055" s="20">
        <v>5115.07</v>
      </c>
      <c r="F1055" s="20">
        <v>4282.67</v>
      </c>
      <c r="G1055" s="20">
        <v>5988.03</v>
      </c>
      <c r="H1055" s="20">
        <v>8061.4</v>
      </c>
      <c r="I1055" s="20">
        <v>4282.67</v>
      </c>
      <c r="J1055" s="51" t="s">
        <v>6726</v>
      </c>
      <c r="K1055" s="15">
        <v>0</v>
      </c>
      <c r="L1055" s="51" t="s">
        <v>2371</v>
      </c>
      <c r="M1055" s="51" t="s">
        <v>5841</v>
      </c>
      <c r="N1055" s="51" t="s">
        <v>1340</v>
      </c>
      <c r="O1055" s="51" t="s">
        <v>67</v>
      </c>
      <c r="P1055" s="51" t="s">
        <v>67</v>
      </c>
      <c r="Q1055" s="45">
        <v>46283.003339421295</v>
      </c>
      <c r="R1055" s="46">
        <v>46321</v>
      </c>
      <c r="S1055" s="46">
        <v>46316</v>
      </c>
      <c r="T1055" s="51" t="s">
        <v>6119</v>
      </c>
      <c r="U1055" s="15">
        <v>849.8</v>
      </c>
      <c r="V1055" s="15">
        <v>3922.15</v>
      </c>
      <c r="W1055" s="15">
        <v>36.39</v>
      </c>
      <c r="X1055" s="15">
        <v>14.9</v>
      </c>
      <c r="Y1055" s="15">
        <v>1.6620440000000001</v>
      </c>
      <c r="Z1055" s="15">
        <v>6</v>
      </c>
      <c r="AA1055" s="46">
        <v>46260</v>
      </c>
      <c r="AB1055" s="15"/>
      <c r="AC1055" s="15"/>
      <c r="AD1055" s="15"/>
      <c r="AE1055" s="15"/>
      <c r="AF1055" s="15"/>
      <c r="AG1055" s="15"/>
      <c r="AH1055" s="15"/>
      <c r="AI1055" s="46"/>
      <c r="AJ1055" s="51" t="s">
        <v>67</v>
      </c>
      <c r="AK1055" s="51" t="s">
        <v>6121</v>
      </c>
      <c r="AL1055" s="15">
        <v>849.8</v>
      </c>
      <c r="AM1055" s="51" t="s">
        <v>67</v>
      </c>
      <c r="AN1055" s="51" t="s">
        <v>67</v>
      </c>
      <c r="AO1055" s="50" t="s">
        <v>9554</v>
      </c>
    </row>
    <row r="1056" spans="1:41" hidden="1" x14ac:dyDescent="0.25">
      <c r="A1056" s="51" t="s">
        <v>5842</v>
      </c>
      <c r="B1056" s="51" t="s">
        <v>5843</v>
      </c>
      <c r="C1056" s="54" t="s">
        <v>2541</v>
      </c>
      <c r="D1056" s="51" t="s">
        <v>5844</v>
      </c>
      <c r="E1056" s="20">
        <v>2534.75</v>
      </c>
      <c r="F1056" s="20">
        <v>435.79</v>
      </c>
      <c r="G1056" s="20">
        <v>1961.7</v>
      </c>
      <c r="H1056" s="20">
        <v>0</v>
      </c>
      <c r="I1056" s="20">
        <v>653.67999999999995</v>
      </c>
      <c r="J1056" s="51" t="s">
        <v>2654</v>
      </c>
      <c r="K1056" s="15">
        <v>0</v>
      </c>
      <c r="L1056" s="51" t="s">
        <v>2371</v>
      </c>
      <c r="M1056" s="51" t="s">
        <v>5845</v>
      </c>
      <c r="N1056" s="51" t="s">
        <v>1340</v>
      </c>
      <c r="O1056" s="51" t="s">
        <v>5846</v>
      </c>
      <c r="P1056" s="51" t="s">
        <v>1340</v>
      </c>
      <c r="Q1056" s="45">
        <v>46283.003341631942</v>
      </c>
      <c r="R1056" s="46">
        <v>46311</v>
      </c>
      <c r="S1056" s="46">
        <v>46306</v>
      </c>
      <c r="T1056" s="51" t="s">
        <v>6119</v>
      </c>
      <c r="U1056" s="15"/>
      <c r="V1056" s="15"/>
      <c r="W1056" s="15"/>
      <c r="X1056" s="15"/>
      <c r="Y1056" s="15"/>
      <c r="Z1056" s="15"/>
      <c r="AA1056" s="46"/>
      <c r="AB1056" s="15"/>
      <c r="AC1056" s="15"/>
      <c r="AD1056" s="15"/>
      <c r="AE1056" s="15"/>
      <c r="AF1056" s="15"/>
      <c r="AG1056" s="15"/>
      <c r="AH1056" s="15"/>
      <c r="AI1056" s="46"/>
      <c r="AJ1056" s="51" t="s">
        <v>67</v>
      </c>
      <c r="AK1056" s="51" t="s">
        <v>67</v>
      </c>
      <c r="AL1056" s="15"/>
      <c r="AM1056" s="51" t="s">
        <v>67</v>
      </c>
      <c r="AN1056" s="51" t="s">
        <v>67</v>
      </c>
      <c r="AO1056" s="50" t="s">
        <v>9554</v>
      </c>
    </row>
    <row r="1057" spans="1:41" hidden="1" x14ac:dyDescent="0.25">
      <c r="A1057" s="51" t="s">
        <v>5847</v>
      </c>
      <c r="B1057" s="51" t="s">
        <v>5848</v>
      </c>
      <c r="C1057" s="54" t="s">
        <v>5599</v>
      </c>
      <c r="D1057" s="51" t="s">
        <v>5849</v>
      </c>
      <c r="E1057" s="20">
        <v>9776.01</v>
      </c>
      <c r="F1057" s="20">
        <v>4907.01</v>
      </c>
      <c r="G1057" s="20">
        <v>3153.15</v>
      </c>
      <c r="H1057" s="20">
        <v>3870.86</v>
      </c>
      <c r="I1057" s="20">
        <v>4907.01</v>
      </c>
      <c r="J1057" s="51" t="s">
        <v>6727</v>
      </c>
      <c r="K1057" s="15">
        <v>19</v>
      </c>
      <c r="L1057" s="51" t="s">
        <v>2369</v>
      </c>
      <c r="M1057" s="51" t="s">
        <v>5850</v>
      </c>
      <c r="N1057" s="51" t="s">
        <v>1340</v>
      </c>
      <c r="O1057" s="51" t="s">
        <v>5851</v>
      </c>
      <c r="P1057" s="51" t="s">
        <v>1340</v>
      </c>
      <c r="Q1057" s="45">
        <v>46283.003343761571</v>
      </c>
      <c r="R1057" s="46">
        <v>46302</v>
      </c>
      <c r="S1057" s="46">
        <v>46297</v>
      </c>
      <c r="T1057" s="51" t="s">
        <v>6119</v>
      </c>
      <c r="U1057" s="15">
        <v>848.05</v>
      </c>
      <c r="V1057" s="15">
        <v>3921.84</v>
      </c>
      <c r="W1057" s="15">
        <v>36.08</v>
      </c>
      <c r="X1057" s="15">
        <v>14.9</v>
      </c>
      <c r="Y1057" s="15">
        <v>1.662307</v>
      </c>
      <c r="Z1057" s="15">
        <v>6</v>
      </c>
      <c r="AA1057" s="46">
        <v>46272</v>
      </c>
      <c r="AB1057" s="15"/>
      <c r="AC1057" s="15"/>
      <c r="AD1057" s="15"/>
      <c r="AE1057" s="15"/>
      <c r="AF1057" s="15"/>
      <c r="AG1057" s="15"/>
      <c r="AH1057" s="15"/>
      <c r="AI1057" s="46"/>
      <c r="AJ1057" s="51" t="s">
        <v>6121</v>
      </c>
      <c r="AK1057" s="51" t="s">
        <v>6121</v>
      </c>
      <c r="AL1057" s="15">
        <v>848.05</v>
      </c>
      <c r="AM1057" s="51" t="s">
        <v>67</v>
      </c>
      <c r="AN1057" s="51" t="s">
        <v>67</v>
      </c>
      <c r="AO1057" s="50" t="s">
        <v>9554</v>
      </c>
    </row>
    <row r="1058" spans="1:41" hidden="1" x14ac:dyDescent="0.25">
      <c r="A1058" s="51" t="s">
        <v>5852</v>
      </c>
      <c r="B1058" s="51" t="s">
        <v>5853</v>
      </c>
      <c r="C1058" s="54" t="s">
        <v>5604</v>
      </c>
      <c r="D1058" s="51" t="s">
        <v>5554</v>
      </c>
      <c r="E1058" s="20">
        <v>1035.1300000000001</v>
      </c>
      <c r="F1058" s="20">
        <v>691.47</v>
      </c>
      <c r="G1058" s="20">
        <v>9341.23</v>
      </c>
      <c r="H1058" s="20">
        <v>0</v>
      </c>
      <c r="I1058" s="20">
        <v>691.47</v>
      </c>
      <c r="J1058" s="51" t="s">
        <v>2654</v>
      </c>
      <c r="K1058" s="15">
        <v>0</v>
      </c>
      <c r="L1058" s="51" t="s">
        <v>2371</v>
      </c>
      <c r="M1058" s="51" t="s">
        <v>67</v>
      </c>
      <c r="N1058" s="51" t="s">
        <v>67</v>
      </c>
      <c r="O1058" s="51" t="s">
        <v>5854</v>
      </c>
      <c r="P1058" s="51" t="s">
        <v>1340</v>
      </c>
      <c r="Q1058" s="45">
        <v>46283.003345972225</v>
      </c>
      <c r="R1058" s="46">
        <v>46313</v>
      </c>
      <c r="S1058" s="46">
        <v>46308</v>
      </c>
      <c r="T1058" s="51" t="s">
        <v>6119</v>
      </c>
      <c r="U1058" s="15"/>
      <c r="V1058" s="15"/>
      <c r="W1058" s="15"/>
      <c r="X1058" s="15"/>
      <c r="Y1058" s="15"/>
      <c r="Z1058" s="15"/>
      <c r="AA1058" s="46"/>
      <c r="AB1058" s="15"/>
      <c r="AC1058" s="15"/>
      <c r="AD1058" s="15"/>
      <c r="AE1058" s="15"/>
      <c r="AF1058" s="15"/>
      <c r="AG1058" s="15"/>
      <c r="AH1058" s="15"/>
      <c r="AI1058" s="46"/>
      <c r="AJ1058" s="51" t="s">
        <v>67</v>
      </c>
      <c r="AK1058" s="51" t="s">
        <v>67</v>
      </c>
      <c r="AL1058" s="15"/>
      <c r="AM1058" s="51" t="s">
        <v>67</v>
      </c>
      <c r="AN1058" s="51" t="s">
        <v>67</v>
      </c>
      <c r="AO1058" s="50" t="s">
        <v>9554</v>
      </c>
    </row>
    <row r="1059" spans="1:41" hidden="1" x14ac:dyDescent="0.25">
      <c r="A1059" s="51" t="s">
        <v>5855</v>
      </c>
      <c r="B1059" s="51" t="s">
        <v>5856</v>
      </c>
      <c r="C1059" s="54" t="s">
        <v>2356</v>
      </c>
      <c r="D1059" s="51" t="s">
        <v>5857</v>
      </c>
      <c r="E1059" s="20">
        <v>708.97</v>
      </c>
      <c r="F1059" s="20">
        <v>561.64</v>
      </c>
      <c r="G1059" s="20">
        <v>16629.02</v>
      </c>
      <c r="H1059" s="20">
        <v>0</v>
      </c>
      <c r="I1059" s="20">
        <v>561.64</v>
      </c>
      <c r="J1059" s="51" t="s">
        <v>2654</v>
      </c>
      <c r="K1059" s="15">
        <v>0</v>
      </c>
      <c r="L1059" s="51" t="s">
        <v>2371</v>
      </c>
      <c r="M1059" s="51" t="s">
        <v>67</v>
      </c>
      <c r="N1059" s="51" t="s">
        <v>67</v>
      </c>
      <c r="O1059" s="51" t="s">
        <v>5858</v>
      </c>
      <c r="P1059" s="51" t="s">
        <v>1340</v>
      </c>
      <c r="Q1059" s="45">
        <v>46283.003347835649</v>
      </c>
      <c r="R1059" s="46">
        <v>46307</v>
      </c>
      <c r="S1059" s="46">
        <v>46302</v>
      </c>
      <c r="T1059" s="51" t="s">
        <v>6119</v>
      </c>
      <c r="U1059" s="15"/>
      <c r="V1059" s="15"/>
      <c r="W1059" s="15"/>
      <c r="X1059" s="15"/>
      <c r="Y1059" s="15"/>
      <c r="Z1059" s="15"/>
      <c r="AA1059" s="46"/>
      <c r="AB1059" s="15"/>
      <c r="AC1059" s="15"/>
      <c r="AD1059" s="15"/>
      <c r="AE1059" s="15"/>
      <c r="AF1059" s="15"/>
      <c r="AG1059" s="15"/>
      <c r="AH1059" s="15"/>
      <c r="AI1059" s="46"/>
      <c r="AJ1059" s="51" t="s">
        <v>67</v>
      </c>
      <c r="AK1059" s="51" t="s">
        <v>67</v>
      </c>
      <c r="AL1059" s="15"/>
      <c r="AM1059" s="51" t="s">
        <v>67</v>
      </c>
      <c r="AN1059" s="51" t="s">
        <v>67</v>
      </c>
      <c r="AO1059" s="50" t="s">
        <v>9554</v>
      </c>
    </row>
    <row r="1060" spans="1:41" hidden="1" x14ac:dyDescent="0.25">
      <c r="A1060" s="51" t="s">
        <v>5859</v>
      </c>
      <c r="B1060" s="51" t="s">
        <v>5860</v>
      </c>
      <c r="C1060" s="54" t="s">
        <v>5596</v>
      </c>
      <c r="D1060" s="51" t="s">
        <v>5861</v>
      </c>
      <c r="E1060" s="20">
        <v>759.84</v>
      </c>
      <c r="F1060" s="20">
        <v>496.86</v>
      </c>
      <c r="G1060" s="20">
        <v>7482.96</v>
      </c>
      <c r="H1060" s="20">
        <v>0</v>
      </c>
      <c r="I1060" s="20">
        <v>496.86</v>
      </c>
      <c r="J1060" s="51" t="s">
        <v>2654</v>
      </c>
      <c r="K1060" s="15">
        <v>0</v>
      </c>
      <c r="L1060" s="51" t="s">
        <v>2371</v>
      </c>
      <c r="M1060" s="51" t="s">
        <v>5862</v>
      </c>
      <c r="N1060" s="51" t="s">
        <v>1340</v>
      </c>
      <c r="O1060" s="51" t="s">
        <v>67</v>
      </c>
      <c r="P1060" s="51" t="s">
        <v>67</v>
      </c>
      <c r="Q1060" s="45">
        <v>46283.00334974537</v>
      </c>
      <c r="R1060" s="46">
        <v>46300</v>
      </c>
      <c r="S1060" s="46">
        <v>46295</v>
      </c>
      <c r="T1060" s="51" t="s">
        <v>6119</v>
      </c>
      <c r="U1060" s="15"/>
      <c r="V1060" s="15"/>
      <c r="W1060" s="15"/>
      <c r="X1060" s="15"/>
      <c r="Y1060" s="15"/>
      <c r="Z1060" s="15"/>
      <c r="AA1060" s="46"/>
      <c r="AB1060" s="15"/>
      <c r="AC1060" s="15"/>
      <c r="AD1060" s="15"/>
      <c r="AE1060" s="15"/>
      <c r="AF1060" s="15"/>
      <c r="AG1060" s="15"/>
      <c r="AH1060" s="15"/>
      <c r="AI1060" s="46"/>
      <c r="AJ1060" s="51" t="s">
        <v>67</v>
      </c>
      <c r="AK1060" s="51" t="s">
        <v>67</v>
      </c>
      <c r="AL1060" s="15"/>
      <c r="AM1060" s="51" t="s">
        <v>67</v>
      </c>
      <c r="AN1060" s="51" t="s">
        <v>67</v>
      </c>
      <c r="AO1060" s="50" t="s">
        <v>9554</v>
      </c>
    </row>
    <row r="1061" spans="1:41" hidden="1" x14ac:dyDescent="0.25">
      <c r="A1061" s="51" t="s">
        <v>5863</v>
      </c>
      <c r="B1061" s="51" t="s">
        <v>5864</v>
      </c>
      <c r="C1061" s="54" t="s">
        <v>5608</v>
      </c>
      <c r="D1061" s="51" t="s">
        <v>5865</v>
      </c>
      <c r="E1061" s="20">
        <v>5674.8</v>
      </c>
      <c r="F1061" s="20">
        <v>631.62</v>
      </c>
      <c r="G1061" s="20">
        <v>21298.37</v>
      </c>
      <c r="H1061" s="20">
        <v>610.32000000000005</v>
      </c>
      <c r="I1061" s="20">
        <v>631.62</v>
      </c>
      <c r="J1061" s="51" t="s">
        <v>6727</v>
      </c>
      <c r="K1061" s="15">
        <v>2</v>
      </c>
      <c r="L1061" s="51" t="s">
        <v>2369</v>
      </c>
      <c r="M1061" s="51" t="s">
        <v>5866</v>
      </c>
      <c r="N1061" s="51" t="s">
        <v>1340</v>
      </c>
      <c r="O1061" s="51" t="s">
        <v>67</v>
      </c>
      <c r="P1061" s="51" t="s">
        <v>67</v>
      </c>
      <c r="Q1061" s="45">
        <v>46283.003351504631</v>
      </c>
      <c r="R1061" s="46">
        <v>46319</v>
      </c>
      <c r="S1061" s="46">
        <v>46314</v>
      </c>
      <c r="T1061" s="51" t="s">
        <v>6119</v>
      </c>
      <c r="U1061" s="15"/>
      <c r="V1061" s="15"/>
      <c r="W1061" s="15"/>
      <c r="X1061" s="15"/>
      <c r="Y1061" s="15"/>
      <c r="Z1061" s="15"/>
      <c r="AA1061" s="46"/>
      <c r="AB1061" s="15"/>
      <c r="AC1061" s="15"/>
      <c r="AD1061" s="15"/>
      <c r="AE1061" s="15"/>
      <c r="AF1061" s="15"/>
      <c r="AG1061" s="15"/>
      <c r="AH1061" s="15"/>
      <c r="AI1061" s="46"/>
      <c r="AJ1061" s="51" t="s">
        <v>67</v>
      </c>
      <c r="AK1061" s="51" t="s">
        <v>67</v>
      </c>
      <c r="AL1061" s="15"/>
      <c r="AM1061" s="51" t="s">
        <v>6705</v>
      </c>
      <c r="AN1061" s="51" t="s">
        <v>6716</v>
      </c>
      <c r="AO1061" s="50" t="s">
        <v>9554</v>
      </c>
    </row>
    <row r="1062" spans="1:41" hidden="1" x14ac:dyDescent="0.25">
      <c r="A1062" s="51" t="s">
        <v>5867</v>
      </c>
      <c r="B1062" s="51" t="s">
        <v>5868</v>
      </c>
      <c r="C1062" s="54" t="s">
        <v>5599</v>
      </c>
      <c r="D1062" s="51" t="s">
        <v>5869</v>
      </c>
      <c r="E1062" s="20">
        <v>13539.57</v>
      </c>
      <c r="F1062" s="20">
        <v>5124.01</v>
      </c>
      <c r="G1062" s="20">
        <v>8437.9699999999993</v>
      </c>
      <c r="H1062" s="20">
        <v>3870.86</v>
      </c>
      <c r="I1062" s="20">
        <v>5124.01</v>
      </c>
      <c r="J1062" s="51" t="s">
        <v>6727</v>
      </c>
      <c r="K1062" s="15">
        <v>19</v>
      </c>
      <c r="L1062" s="51" t="s">
        <v>2369</v>
      </c>
      <c r="M1062" s="51" t="s">
        <v>5870</v>
      </c>
      <c r="N1062" s="51" t="s">
        <v>1340</v>
      </c>
      <c r="O1062" s="51" t="s">
        <v>67</v>
      </c>
      <c r="P1062" s="51" t="s">
        <v>67</v>
      </c>
      <c r="Q1062" s="45">
        <v>46283.003353298613</v>
      </c>
      <c r="R1062" s="46">
        <v>46302</v>
      </c>
      <c r="S1062" s="46">
        <v>46297</v>
      </c>
      <c r="T1062" s="51" t="s">
        <v>6119</v>
      </c>
      <c r="U1062" s="15">
        <v>848.05</v>
      </c>
      <c r="V1062" s="15">
        <v>3921.84</v>
      </c>
      <c r="W1062" s="15">
        <v>36.08</v>
      </c>
      <c r="X1062" s="15">
        <v>14.9</v>
      </c>
      <c r="Y1062" s="15">
        <v>1.662307</v>
      </c>
      <c r="Z1062" s="15">
        <v>6</v>
      </c>
      <c r="AA1062" s="46">
        <v>46272</v>
      </c>
      <c r="AB1062" s="15"/>
      <c r="AC1062" s="15"/>
      <c r="AD1062" s="15"/>
      <c r="AE1062" s="15"/>
      <c r="AF1062" s="15"/>
      <c r="AG1062" s="15"/>
      <c r="AH1062" s="15"/>
      <c r="AI1062" s="46"/>
      <c r="AJ1062" s="51" t="s">
        <v>6121</v>
      </c>
      <c r="AK1062" s="51" t="s">
        <v>6121</v>
      </c>
      <c r="AL1062" s="15">
        <v>848.05</v>
      </c>
      <c r="AM1062" s="51" t="s">
        <v>67</v>
      </c>
      <c r="AN1062" s="51" t="s">
        <v>67</v>
      </c>
      <c r="AO1062" s="50" t="s">
        <v>9554</v>
      </c>
    </row>
    <row r="1063" spans="1:41" hidden="1" x14ac:dyDescent="0.25">
      <c r="A1063" s="51" t="s">
        <v>5871</v>
      </c>
      <c r="B1063" s="51" t="s">
        <v>5872</v>
      </c>
      <c r="C1063" s="54" t="s">
        <v>605</v>
      </c>
      <c r="D1063" s="51" t="s">
        <v>5873</v>
      </c>
      <c r="E1063" s="20">
        <v>12867.37</v>
      </c>
      <c r="F1063" s="20">
        <v>4798.24</v>
      </c>
      <c r="G1063" s="20">
        <v>10409.200000000001</v>
      </c>
      <c r="H1063" s="20">
        <v>3870.86</v>
      </c>
      <c r="I1063" s="20">
        <v>4798.24</v>
      </c>
      <c r="J1063" s="51" t="s">
        <v>6727</v>
      </c>
      <c r="K1063" s="15">
        <v>16</v>
      </c>
      <c r="L1063" s="51" t="s">
        <v>2369</v>
      </c>
      <c r="M1063" s="51" t="s">
        <v>5874</v>
      </c>
      <c r="N1063" s="51" t="s">
        <v>1340</v>
      </c>
      <c r="O1063" s="51" t="s">
        <v>67</v>
      </c>
      <c r="P1063" s="51" t="s">
        <v>67</v>
      </c>
      <c r="Q1063" s="45">
        <v>46283.003355636574</v>
      </c>
      <c r="R1063" s="46">
        <v>46305</v>
      </c>
      <c r="S1063" s="46">
        <v>46300</v>
      </c>
      <c r="T1063" s="51" t="s">
        <v>6119</v>
      </c>
      <c r="U1063" s="15">
        <v>848.05</v>
      </c>
      <c r="V1063" s="15">
        <v>3921.84</v>
      </c>
      <c r="W1063" s="15">
        <v>36.08</v>
      </c>
      <c r="X1063" s="15">
        <v>14.9</v>
      </c>
      <c r="Y1063" s="15">
        <v>1.662307</v>
      </c>
      <c r="Z1063" s="15">
        <v>6</v>
      </c>
      <c r="AA1063" s="46">
        <v>46275</v>
      </c>
      <c r="AB1063" s="15"/>
      <c r="AC1063" s="15"/>
      <c r="AD1063" s="15"/>
      <c r="AE1063" s="15"/>
      <c r="AF1063" s="15"/>
      <c r="AG1063" s="15"/>
      <c r="AH1063" s="15"/>
      <c r="AI1063" s="46"/>
      <c r="AJ1063" s="51" t="s">
        <v>6121</v>
      </c>
      <c r="AK1063" s="51" t="s">
        <v>6121</v>
      </c>
      <c r="AL1063" s="15">
        <v>848.05</v>
      </c>
      <c r="AM1063" s="51" t="s">
        <v>67</v>
      </c>
      <c r="AN1063" s="51" t="s">
        <v>67</v>
      </c>
      <c r="AO1063" s="50" t="s">
        <v>9554</v>
      </c>
    </row>
    <row r="1064" spans="1:41" hidden="1" x14ac:dyDescent="0.25">
      <c r="A1064" s="51" t="s">
        <v>5875</v>
      </c>
      <c r="B1064" s="51" t="s">
        <v>5876</v>
      </c>
      <c r="C1064" s="54" t="s">
        <v>607</v>
      </c>
      <c r="D1064" s="51" t="s">
        <v>5877</v>
      </c>
      <c r="E1064" s="20">
        <v>6426.77</v>
      </c>
      <c r="F1064" s="20">
        <v>866.51</v>
      </c>
      <c r="G1064" s="20">
        <v>13419.23</v>
      </c>
      <c r="H1064" s="20">
        <v>0</v>
      </c>
      <c r="I1064" s="20">
        <v>866.51</v>
      </c>
      <c r="J1064" s="51" t="s">
        <v>2654</v>
      </c>
      <c r="K1064" s="15">
        <v>0</v>
      </c>
      <c r="L1064" s="51" t="s">
        <v>2371</v>
      </c>
      <c r="M1064" s="51" t="s">
        <v>67</v>
      </c>
      <c r="N1064" s="51" t="s">
        <v>67</v>
      </c>
      <c r="O1064" s="51" t="s">
        <v>5878</v>
      </c>
      <c r="P1064" s="51" t="s">
        <v>1340</v>
      </c>
      <c r="Q1064" s="45">
        <v>46283.003357743059</v>
      </c>
      <c r="R1064" s="46">
        <v>46310</v>
      </c>
      <c r="S1064" s="46">
        <v>46305</v>
      </c>
      <c r="T1064" s="51" t="s">
        <v>6119</v>
      </c>
      <c r="U1064" s="15"/>
      <c r="V1064" s="15"/>
      <c r="W1064" s="15"/>
      <c r="X1064" s="15"/>
      <c r="Y1064" s="15"/>
      <c r="Z1064" s="15"/>
      <c r="AA1064" s="46"/>
      <c r="AB1064" s="15"/>
      <c r="AC1064" s="15"/>
      <c r="AD1064" s="15"/>
      <c r="AE1064" s="15"/>
      <c r="AF1064" s="15"/>
      <c r="AG1064" s="15"/>
      <c r="AH1064" s="15"/>
      <c r="AI1064" s="46"/>
      <c r="AJ1064" s="51" t="s">
        <v>67</v>
      </c>
      <c r="AK1064" s="51" t="s">
        <v>67</v>
      </c>
      <c r="AL1064" s="15"/>
      <c r="AM1064" s="51" t="s">
        <v>67</v>
      </c>
      <c r="AN1064" s="51" t="s">
        <v>67</v>
      </c>
      <c r="AO1064" s="50" t="s">
        <v>9554</v>
      </c>
    </row>
    <row r="1065" spans="1:41" hidden="1" x14ac:dyDescent="0.25">
      <c r="A1065" s="51" t="s">
        <v>5879</v>
      </c>
      <c r="B1065" s="51" t="s">
        <v>5880</v>
      </c>
      <c r="C1065" s="54" t="s">
        <v>5604</v>
      </c>
      <c r="D1065" s="51" t="s">
        <v>5881</v>
      </c>
      <c r="E1065" s="20">
        <v>4349.01</v>
      </c>
      <c r="F1065" s="20">
        <v>332.3</v>
      </c>
      <c r="G1065" s="20">
        <v>1776.02</v>
      </c>
      <c r="H1065" s="20">
        <v>0</v>
      </c>
      <c r="I1065" s="20">
        <v>598.14</v>
      </c>
      <c r="J1065" s="51" t="s">
        <v>2654</v>
      </c>
      <c r="K1065" s="15">
        <v>0</v>
      </c>
      <c r="L1065" s="51" t="s">
        <v>2371</v>
      </c>
      <c r="M1065" s="51" t="s">
        <v>5882</v>
      </c>
      <c r="N1065" s="51" t="s">
        <v>1344</v>
      </c>
      <c r="O1065" s="51" t="s">
        <v>67</v>
      </c>
      <c r="P1065" s="51" t="s">
        <v>67</v>
      </c>
      <c r="Q1065" s="45">
        <v>46283.003359664355</v>
      </c>
      <c r="R1065" s="46">
        <v>46313</v>
      </c>
      <c r="S1065" s="46">
        <v>46308</v>
      </c>
      <c r="T1065" s="51" t="s">
        <v>6119</v>
      </c>
      <c r="U1065" s="15"/>
      <c r="V1065" s="15"/>
      <c r="W1065" s="15"/>
      <c r="X1065" s="15"/>
      <c r="Y1065" s="15"/>
      <c r="Z1065" s="15"/>
      <c r="AA1065" s="46"/>
      <c r="AB1065" s="15"/>
      <c r="AC1065" s="15"/>
      <c r="AD1065" s="15"/>
      <c r="AE1065" s="15"/>
      <c r="AF1065" s="15"/>
      <c r="AG1065" s="15"/>
      <c r="AH1065" s="15"/>
      <c r="AI1065" s="46"/>
      <c r="AJ1065" s="51" t="s">
        <v>67</v>
      </c>
      <c r="AK1065" s="51" t="s">
        <v>67</v>
      </c>
      <c r="AL1065" s="15"/>
      <c r="AM1065" s="51" t="s">
        <v>67</v>
      </c>
      <c r="AN1065" s="51" t="s">
        <v>67</v>
      </c>
      <c r="AO1065" s="50" t="s">
        <v>9554</v>
      </c>
    </row>
    <row r="1066" spans="1:41" hidden="1" x14ac:dyDescent="0.25">
      <c r="A1066" s="51" t="s">
        <v>5883</v>
      </c>
      <c r="B1066" s="51" t="s">
        <v>5884</v>
      </c>
      <c r="C1066" s="54" t="s">
        <v>5602</v>
      </c>
      <c r="D1066" s="51" t="s">
        <v>5885</v>
      </c>
      <c r="E1066" s="20">
        <v>9325.7000000000007</v>
      </c>
      <c r="F1066" s="20">
        <v>4894.8900000000003</v>
      </c>
      <c r="G1066" s="20">
        <v>4472.5600000000004</v>
      </c>
      <c r="H1066" s="20">
        <v>3870.86</v>
      </c>
      <c r="I1066" s="20">
        <v>4894.88</v>
      </c>
      <c r="J1066" s="51" t="s">
        <v>6727</v>
      </c>
      <c r="K1066" s="15">
        <v>18</v>
      </c>
      <c r="L1066" s="51" t="s">
        <v>2369</v>
      </c>
      <c r="M1066" s="51" t="s">
        <v>5886</v>
      </c>
      <c r="N1066" s="51" t="s">
        <v>1340</v>
      </c>
      <c r="O1066" s="51" t="s">
        <v>5887</v>
      </c>
      <c r="P1066" s="51" t="s">
        <v>1340</v>
      </c>
      <c r="Q1066" s="45">
        <v>46283.003361689814</v>
      </c>
      <c r="R1066" s="46">
        <v>46303</v>
      </c>
      <c r="S1066" s="46">
        <v>46298</v>
      </c>
      <c r="T1066" s="51" t="s">
        <v>6119</v>
      </c>
      <c r="U1066" s="15">
        <v>848.05</v>
      </c>
      <c r="V1066" s="15">
        <v>3921.84</v>
      </c>
      <c r="W1066" s="15">
        <v>36.08</v>
      </c>
      <c r="X1066" s="15">
        <v>14.9</v>
      </c>
      <c r="Y1066" s="15">
        <v>1.662307</v>
      </c>
      <c r="Z1066" s="15">
        <v>6</v>
      </c>
      <c r="AA1066" s="46">
        <v>46273</v>
      </c>
      <c r="AB1066" s="15"/>
      <c r="AC1066" s="15"/>
      <c r="AD1066" s="15"/>
      <c r="AE1066" s="15"/>
      <c r="AF1066" s="15"/>
      <c r="AG1066" s="15"/>
      <c r="AH1066" s="15"/>
      <c r="AI1066" s="46"/>
      <c r="AJ1066" s="51" t="s">
        <v>6121</v>
      </c>
      <c r="AK1066" s="51" t="s">
        <v>6121</v>
      </c>
      <c r="AL1066" s="15">
        <v>848.05</v>
      </c>
      <c r="AM1066" s="51" t="s">
        <v>67</v>
      </c>
      <c r="AN1066" s="51" t="s">
        <v>67</v>
      </c>
      <c r="AO1066" s="50" t="s">
        <v>9554</v>
      </c>
    </row>
    <row r="1067" spans="1:41" hidden="1" x14ac:dyDescent="0.25">
      <c r="A1067" s="51" t="s">
        <v>5888</v>
      </c>
      <c r="B1067" s="51" t="s">
        <v>5889</v>
      </c>
      <c r="C1067" s="54" t="s">
        <v>611</v>
      </c>
      <c r="D1067" s="51" t="s">
        <v>5890</v>
      </c>
      <c r="E1067" s="20">
        <v>11866.44</v>
      </c>
      <c r="F1067" s="20">
        <v>419.95</v>
      </c>
      <c r="G1067" s="20">
        <v>13639.49</v>
      </c>
      <c r="H1067" s="20">
        <v>407.98</v>
      </c>
      <c r="I1067" s="20">
        <v>419.95</v>
      </c>
      <c r="J1067" s="51" t="s">
        <v>6727</v>
      </c>
      <c r="K1067" s="15">
        <v>1</v>
      </c>
      <c r="L1067" s="51" t="s">
        <v>2369</v>
      </c>
      <c r="M1067" s="51" t="s">
        <v>5891</v>
      </c>
      <c r="N1067" s="51" t="s">
        <v>1340</v>
      </c>
      <c r="O1067" s="51" t="s">
        <v>5892</v>
      </c>
      <c r="P1067" s="51" t="s">
        <v>1340</v>
      </c>
      <c r="Q1067" s="45">
        <v>46283.00336383102</v>
      </c>
      <c r="R1067" s="46">
        <v>46320</v>
      </c>
      <c r="S1067" s="46">
        <v>46315</v>
      </c>
      <c r="T1067" s="51" t="s">
        <v>6119</v>
      </c>
      <c r="U1067" s="15"/>
      <c r="V1067" s="15"/>
      <c r="W1067" s="15"/>
      <c r="X1067" s="15"/>
      <c r="Y1067" s="15"/>
      <c r="Z1067" s="15"/>
      <c r="AA1067" s="46"/>
      <c r="AB1067" s="15"/>
      <c r="AC1067" s="15"/>
      <c r="AD1067" s="15"/>
      <c r="AE1067" s="15"/>
      <c r="AF1067" s="15"/>
      <c r="AG1067" s="15"/>
      <c r="AH1067" s="15"/>
      <c r="AI1067" s="46"/>
      <c r="AJ1067" s="51" t="s">
        <v>67</v>
      </c>
      <c r="AK1067" s="51" t="s">
        <v>67</v>
      </c>
      <c r="AL1067" s="15"/>
      <c r="AM1067" s="51" t="s">
        <v>67</v>
      </c>
      <c r="AN1067" s="51" t="s">
        <v>67</v>
      </c>
      <c r="AO1067" s="50" t="s">
        <v>9554</v>
      </c>
    </row>
    <row r="1068" spans="1:41" hidden="1" x14ac:dyDescent="0.25">
      <c r="A1068" s="51" t="s">
        <v>5893</v>
      </c>
      <c r="B1068" s="51" t="s">
        <v>5894</v>
      </c>
      <c r="C1068" s="54" t="s">
        <v>2693</v>
      </c>
      <c r="D1068" s="51" t="s">
        <v>5895</v>
      </c>
      <c r="E1068" s="20">
        <v>2895.8</v>
      </c>
      <c r="F1068" s="20">
        <v>396.49</v>
      </c>
      <c r="G1068" s="20">
        <v>6449.42</v>
      </c>
      <c r="H1068" s="20">
        <v>0</v>
      </c>
      <c r="I1068" s="20">
        <v>594.73</v>
      </c>
      <c r="J1068" s="51" t="s">
        <v>2654</v>
      </c>
      <c r="K1068" s="15">
        <v>0</v>
      </c>
      <c r="L1068" s="51" t="s">
        <v>2371</v>
      </c>
      <c r="M1068" s="51" t="s">
        <v>67</v>
      </c>
      <c r="N1068" s="51" t="s">
        <v>67</v>
      </c>
      <c r="O1068" s="51" t="s">
        <v>5896</v>
      </c>
      <c r="P1068" s="51" t="s">
        <v>1340</v>
      </c>
      <c r="Q1068" s="45">
        <v>46283.020225671295</v>
      </c>
      <c r="R1068" s="46">
        <v>46314</v>
      </c>
      <c r="S1068" s="46">
        <v>46309</v>
      </c>
      <c r="T1068" s="51" t="s">
        <v>6119</v>
      </c>
      <c r="U1068" s="15"/>
      <c r="V1068" s="15"/>
      <c r="W1068" s="15"/>
      <c r="X1068" s="15"/>
      <c r="Y1068" s="15"/>
      <c r="Z1068" s="15"/>
      <c r="AA1068" s="46"/>
      <c r="AB1068" s="15"/>
      <c r="AC1068" s="15"/>
      <c r="AD1068" s="15"/>
      <c r="AE1068" s="15"/>
      <c r="AF1068" s="15"/>
      <c r="AG1068" s="15"/>
      <c r="AH1068" s="15"/>
      <c r="AI1068" s="46"/>
      <c r="AJ1068" s="51" t="s">
        <v>67</v>
      </c>
      <c r="AK1068" s="51" t="s">
        <v>67</v>
      </c>
      <c r="AL1068" s="15"/>
      <c r="AM1068" s="51" t="s">
        <v>67</v>
      </c>
      <c r="AN1068" s="51" t="s">
        <v>67</v>
      </c>
      <c r="AO1068" s="50" t="s">
        <v>9554</v>
      </c>
    </row>
    <row r="1069" spans="1:41" hidden="1" x14ac:dyDescent="0.25">
      <c r="A1069" s="51" t="s">
        <v>5897</v>
      </c>
      <c r="B1069" s="51" t="s">
        <v>5898</v>
      </c>
      <c r="C1069" s="54" t="s">
        <v>2691</v>
      </c>
      <c r="D1069" s="51" t="s">
        <v>5899</v>
      </c>
      <c r="E1069" s="20">
        <v>7146.4</v>
      </c>
      <c r="F1069" s="20">
        <v>414.53</v>
      </c>
      <c r="G1069" s="20">
        <v>14900.5</v>
      </c>
      <c r="H1069" s="20">
        <v>0</v>
      </c>
      <c r="I1069" s="20">
        <v>414.53</v>
      </c>
      <c r="J1069" s="51" t="s">
        <v>2654</v>
      </c>
      <c r="K1069" s="15">
        <v>0</v>
      </c>
      <c r="L1069" s="51" t="s">
        <v>2371</v>
      </c>
      <c r="M1069" s="51" t="s">
        <v>67</v>
      </c>
      <c r="N1069" s="51" t="s">
        <v>67</v>
      </c>
      <c r="O1069" s="51" t="s">
        <v>5900</v>
      </c>
      <c r="P1069" s="51" t="s">
        <v>1340</v>
      </c>
      <c r="Q1069" s="45">
        <v>46283.02022914352</v>
      </c>
      <c r="R1069" s="46">
        <v>46301</v>
      </c>
      <c r="S1069" s="46">
        <v>46296</v>
      </c>
      <c r="T1069" s="51" t="s">
        <v>6119</v>
      </c>
      <c r="U1069" s="15"/>
      <c r="V1069" s="15"/>
      <c r="W1069" s="15"/>
      <c r="X1069" s="15"/>
      <c r="Y1069" s="15"/>
      <c r="Z1069" s="15"/>
      <c r="AA1069" s="46"/>
      <c r="AB1069" s="15"/>
      <c r="AC1069" s="15"/>
      <c r="AD1069" s="15"/>
      <c r="AE1069" s="15"/>
      <c r="AF1069" s="15"/>
      <c r="AG1069" s="15"/>
      <c r="AH1069" s="15"/>
      <c r="AI1069" s="46"/>
      <c r="AJ1069" s="51" t="s">
        <v>67</v>
      </c>
      <c r="AK1069" s="51" t="s">
        <v>67</v>
      </c>
      <c r="AL1069" s="15"/>
      <c r="AM1069" s="51" t="s">
        <v>67</v>
      </c>
      <c r="AN1069" s="51" t="s">
        <v>67</v>
      </c>
      <c r="AO1069" s="50" t="s">
        <v>9554</v>
      </c>
    </row>
    <row r="1070" spans="1:41" hidden="1" x14ac:dyDescent="0.25">
      <c r="A1070" s="51" t="s">
        <v>5901</v>
      </c>
      <c r="B1070" s="51" t="s">
        <v>5902</v>
      </c>
      <c r="C1070" s="54" t="s">
        <v>2693</v>
      </c>
      <c r="D1070" s="51" t="s">
        <v>5903</v>
      </c>
      <c r="E1070" s="20">
        <v>9594.59</v>
      </c>
      <c r="F1070" s="20">
        <v>6244.19</v>
      </c>
      <c r="G1070" s="20">
        <v>-2128.3200000000002</v>
      </c>
      <c r="H1070" s="20">
        <v>3870.86</v>
      </c>
      <c r="I1070" s="20">
        <v>5384</v>
      </c>
      <c r="J1070" s="51" t="s">
        <v>6726</v>
      </c>
      <c r="K1070" s="15">
        <v>0</v>
      </c>
      <c r="L1070" s="51" t="s">
        <v>2371</v>
      </c>
      <c r="M1070" s="51" t="s">
        <v>5904</v>
      </c>
      <c r="N1070" s="51" t="s">
        <v>1344</v>
      </c>
      <c r="O1070" s="51" t="s">
        <v>67</v>
      </c>
      <c r="P1070" s="51" t="s">
        <v>67</v>
      </c>
      <c r="Q1070" s="45">
        <v>46283.020232048613</v>
      </c>
      <c r="R1070" s="46">
        <v>46314</v>
      </c>
      <c r="S1070" s="46">
        <v>46309</v>
      </c>
      <c r="T1070" s="51" t="s">
        <v>6119</v>
      </c>
      <c r="U1070" s="15">
        <v>849.8</v>
      </c>
      <c r="V1070" s="15">
        <v>3922.15</v>
      </c>
      <c r="W1070" s="15">
        <v>36.39</v>
      </c>
      <c r="X1070" s="15">
        <v>14.9</v>
      </c>
      <c r="Y1070" s="15">
        <v>1.6620440000000001</v>
      </c>
      <c r="Z1070" s="15">
        <v>6</v>
      </c>
      <c r="AA1070" s="46">
        <v>46253</v>
      </c>
      <c r="AB1070" s="15">
        <v>212.9</v>
      </c>
      <c r="AC1070" s="15">
        <v>387.09</v>
      </c>
      <c r="AD1070" s="15">
        <v>38.71</v>
      </c>
      <c r="AE1070" s="15">
        <v>582.26</v>
      </c>
      <c r="AF1070" s="15">
        <v>3729.62</v>
      </c>
      <c r="AG1070" s="15">
        <v>57.49</v>
      </c>
      <c r="AH1070" s="15">
        <v>1.5861069999999999</v>
      </c>
      <c r="AI1070" s="46">
        <v>46283</v>
      </c>
      <c r="AJ1070" s="51" t="s">
        <v>67</v>
      </c>
      <c r="AK1070" s="51" t="s">
        <v>6121</v>
      </c>
      <c r="AL1070" s="15">
        <v>849.8</v>
      </c>
      <c r="AM1070" s="51" t="s">
        <v>6705</v>
      </c>
      <c r="AN1070" s="51" t="s">
        <v>6713</v>
      </c>
      <c r="AO1070" s="50" t="s">
        <v>9554</v>
      </c>
    </row>
    <row r="1071" spans="1:41" hidden="1" x14ac:dyDescent="0.25">
      <c r="A1071" s="51" t="s">
        <v>5905</v>
      </c>
      <c r="B1071" s="51" t="s">
        <v>5906</v>
      </c>
      <c r="C1071" s="54" t="s">
        <v>5607</v>
      </c>
      <c r="D1071" s="51" t="s">
        <v>5907</v>
      </c>
      <c r="E1071" s="20">
        <v>3452.66</v>
      </c>
      <c r="F1071" s="20">
        <v>4797.4399999999996</v>
      </c>
      <c r="G1071" s="20">
        <v>8114.42</v>
      </c>
      <c r="H1071" s="20">
        <v>3870.86</v>
      </c>
      <c r="I1071" s="20">
        <v>4797.4399999999996</v>
      </c>
      <c r="J1071" s="51" t="s">
        <v>6727</v>
      </c>
      <c r="K1071" s="15">
        <v>22</v>
      </c>
      <c r="L1071" s="51" t="s">
        <v>2369</v>
      </c>
      <c r="M1071" s="51" t="s">
        <v>5908</v>
      </c>
      <c r="N1071" s="51" t="s">
        <v>1340</v>
      </c>
      <c r="O1071" s="51" t="s">
        <v>5909</v>
      </c>
      <c r="P1071" s="51" t="s">
        <v>1340</v>
      </c>
      <c r="Q1071" s="45">
        <v>46283.020235787037</v>
      </c>
      <c r="R1071" s="46">
        <v>46299</v>
      </c>
      <c r="S1071" s="46">
        <v>46294</v>
      </c>
      <c r="T1071" s="51" t="s">
        <v>6119</v>
      </c>
      <c r="U1071" s="15">
        <v>848.05</v>
      </c>
      <c r="V1071" s="15">
        <v>3921.84</v>
      </c>
      <c r="W1071" s="15">
        <v>36.08</v>
      </c>
      <c r="X1071" s="15">
        <v>14.9</v>
      </c>
      <c r="Y1071" s="15">
        <v>1.662307</v>
      </c>
      <c r="Z1071" s="15">
        <v>6</v>
      </c>
      <c r="AA1071" s="46">
        <v>46269</v>
      </c>
      <c r="AB1071" s="15"/>
      <c r="AC1071" s="15"/>
      <c r="AD1071" s="15"/>
      <c r="AE1071" s="15"/>
      <c r="AF1071" s="15"/>
      <c r="AG1071" s="15"/>
      <c r="AH1071" s="15"/>
      <c r="AI1071" s="46"/>
      <c r="AJ1071" s="51" t="s">
        <v>6121</v>
      </c>
      <c r="AK1071" s="51" t="s">
        <v>6121</v>
      </c>
      <c r="AL1071" s="15">
        <v>848.05</v>
      </c>
      <c r="AM1071" s="51" t="s">
        <v>67</v>
      </c>
      <c r="AN1071" s="51" t="s">
        <v>67</v>
      </c>
      <c r="AO1071" s="50" t="s">
        <v>9554</v>
      </c>
    </row>
    <row r="1072" spans="1:41" hidden="1" x14ac:dyDescent="0.25">
      <c r="A1072" s="51" t="s">
        <v>5910</v>
      </c>
      <c r="B1072" s="51" t="s">
        <v>5911</v>
      </c>
      <c r="C1072" s="54" t="s">
        <v>5599</v>
      </c>
      <c r="D1072" s="51" t="s">
        <v>5912</v>
      </c>
      <c r="E1072" s="20">
        <v>8479.35</v>
      </c>
      <c r="F1072" s="20">
        <v>618.55999999999995</v>
      </c>
      <c r="G1072" s="20">
        <v>7574.1</v>
      </c>
      <c r="H1072" s="20">
        <v>0</v>
      </c>
      <c r="I1072" s="20">
        <v>618.55999999999995</v>
      </c>
      <c r="J1072" s="51" t="s">
        <v>2654</v>
      </c>
      <c r="K1072" s="15">
        <v>0</v>
      </c>
      <c r="L1072" s="51" t="s">
        <v>2371</v>
      </c>
      <c r="M1072" s="51" t="s">
        <v>5913</v>
      </c>
      <c r="N1072" s="51" t="s">
        <v>1340</v>
      </c>
      <c r="O1072" s="51" t="s">
        <v>67</v>
      </c>
      <c r="P1072" s="51" t="s">
        <v>67</v>
      </c>
      <c r="Q1072" s="45">
        <v>46283.02023923611</v>
      </c>
      <c r="R1072" s="46">
        <v>46302</v>
      </c>
      <c r="S1072" s="46">
        <v>46297</v>
      </c>
      <c r="T1072" s="51" t="s">
        <v>6119</v>
      </c>
      <c r="U1072" s="15"/>
      <c r="V1072" s="15"/>
      <c r="W1072" s="15"/>
      <c r="X1072" s="15"/>
      <c r="Y1072" s="15"/>
      <c r="Z1072" s="15"/>
      <c r="AA1072" s="46"/>
      <c r="AB1072" s="15"/>
      <c r="AC1072" s="15"/>
      <c r="AD1072" s="15"/>
      <c r="AE1072" s="15"/>
      <c r="AF1072" s="15"/>
      <c r="AG1072" s="15"/>
      <c r="AH1072" s="15"/>
      <c r="AI1072" s="46"/>
      <c r="AJ1072" s="51" t="s">
        <v>67</v>
      </c>
      <c r="AK1072" s="51" t="s">
        <v>67</v>
      </c>
      <c r="AL1072" s="15"/>
      <c r="AM1072" s="51" t="s">
        <v>67</v>
      </c>
      <c r="AN1072" s="51" t="s">
        <v>67</v>
      </c>
      <c r="AO1072" s="50" t="s">
        <v>9554</v>
      </c>
    </row>
    <row r="1073" spans="1:41" hidden="1" x14ac:dyDescent="0.25">
      <c r="A1073" s="51" t="s">
        <v>5914</v>
      </c>
      <c r="B1073" s="51" t="s">
        <v>5915</v>
      </c>
      <c r="C1073" s="54" t="s">
        <v>5607</v>
      </c>
      <c r="D1073" s="51" t="s">
        <v>5916</v>
      </c>
      <c r="E1073" s="20">
        <v>569.28</v>
      </c>
      <c r="F1073" s="20">
        <v>601.46</v>
      </c>
      <c r="G1073" s="20">
        <v>8375.7000000000007</v>
      </c>
      <c r="H1073" s="20">
        <v>0</v>
      </c>
      <c r="I1073" s="20">
        <v>601.46</v>
      </c>
      <c r="J1073" s="51" t="s">
        <v>2654</v>
      </c>
      <c r="K1073" s="15">
        <v>0</v>
      </c>
      <c r="L1073" s="51" t="s">
        <v>2371</v>
      </c>
      <c r="M1073" s="51" t="s">
        <v>67</v>
      </c>
      <c r="N1073" s="51" t="s">
        <v>67</v>
      </c>
      <c r="O1073" s="51" t="s">
        <v>5917</v>
      </c>
      <c r="P1073" s="51" t="s">
        <v>1344</v>
      </c>
      <c r="Q1073" s="45">
        <v>46283.020242569444</v>
      </c>
      <c r="R1073" s="46">
        <v>46299</v>
      </c>
      <c r="S1073" s="46">
        <v>46294</v>
      </c>
      <c r="T1073" s="51" t="s">
        <v>6119</v>
      </c>
      <c r="U1073" s="15"/>
      <c r="V1073" s="15"/>
      <c r="W1073" s="15"/>
      <c r="X1073" s="15"/>
      <c r="Y1073" s="15"/>
      <c r="Z1073" s="15"/>
      <c r="AA1073" s="46"/>
      <c r="AB1073" s="15"/>
      <c r="AC1073" s="15"/>
      <c r="AD1073" s="15"/>
      <c r="AE1073" s="15"/>
      <c r="AF1073" s="15"/>
      <c r="AG1073" s="15"/>
      <c r="AH1073" s="15"/>
      <c r="AI1073" s="46"/>
      <c r="AJ1073" s="51" t="s">
        <v>67</v>
      </c>
      <c r="AK1073" s="51" t="s">
        <v>67</v>
      </c>
      <c r="AL1073" s="15"/>
      <c r="AM1073" s="51" t="s">
        <v>67</v>
      </c>
      <c r="AN1073" s="51" t="s">
        <v>67</v>
      </c>
      <c r="AO1073" s="50" t="s">
        <v>9554</v>
      </c>
    </row>
    <row r="1074" spans="1:41" hidden="1" x14ac:dyDescent="0.25">
      <c r="A1074" s="51" t="s">
        <v>5918</v>
      </c>
      <c r="B1074" s="51" t="s">
        <v>5919</v>
      </c>
      <c r="C1074" s="54" t="s">
        <v>5603</v>
      </c>
      <c r="D1074" s="51" t="s">
        <v>5920</v>
      </c>
      <c r="E1074" s="20">
        <v>7706.94</v>
      </c>
      <c r="F1074" s="20">
        <v>554.39</v>
      </c>
      <c r="G1074" s="20">
        <v>16494.12</v>
      </c>
      <c r="H1074" s="20">
        <v>0</v>
      </c>
      <c r="I1074" s="20">
        <v>554.39</v>
      </c>
      <c r="J1074" s="51" t="s">
        <v>2654</v>
      </c>
      <c r="K1074" s="15">
        <v>0</v>
      </c>
      <c r="L1074" s="51" t="s">
        <v>2371</v>
      </c>
      <c r="M1074" s="51" t="s">
        <v>67</v>
      </c>
      <c r="N1074" s="51" t="s">
        <v>67</v>
      </c>
      <c r="O1074" s="51" t="s">
        <v>5921</v>
      </c>
      <c r="P1074" s="51" t="s">
        <v>1340</v>
      </c>
      <c r="Q1074" s="45">
        <v>46283.020245358799</v>
      </c>
      <c r="R1074" s="46">
        <v>46298</v>
      </c>
      <c r="S1074" s="46">
        <v>46293</v>
      </c>
      <c r="T1074" s="51" t="s">
        <v>6119</v>
      </c>
      <c r="U1074" s="15"/>
      <c r="V1074" s="15"/>
      <c r="W1074" s="15"/>
      <c r="X1074" s="15"/>
      <c r="Y1074" s="15"/>
      <c r="Z1074" s="15"/>
      <c r="AA1074" s="46"/>
      <c r="AB1074" s="15"/>
      <c r="AC1074" s="15"/>
      <c r="AD1074" s="15"/>
      <c r="AE1074" s="15"/>
      <c r="AF1074" s="15"/>
      <c r="AG1074" s="15"/>
      <c r="AH1074" s="15"/>
      <c r="AI1074" s="46"/>
      <c r="AJ1074" s="51" t="s">
        <v>67</v>
      </c>
      <c r="AK1074" s="51" t="s">
        <v>67</v>
      </c>
      <c r="AL1074" s="15"/>
      <c r="AM1074" s="51" t="s">
        <v>67</v>
      </c>
      <c r="AN1074" s="51" t="s">
        <v>67</v>
      </c>
      <c r="AO1074" s="50" t="s">
        <v>9554</v>
      </c>
    </row>
    <row r="1075" spans="1:41" hidden="1" x14ac:dyDescent="0.25">
      <c r="A1075" s="51" t="s">
        <v>5922</v>
      </c>
      <c r="B1075" s="51" t="s">
        <v>5923</v>
      </c>
      <c r="C1075" s="54" t="s">
        <v>605</v>
      </c>
      <c r="D1075" s="51" t="s">
        <v>5924</v>
      </c>
      <c r="E1075" s="20">
        <v>888.27</v>
      </c>
      <c r="F1075" s="20">
        <v>797.42</v>
      </c>
      <c r="G1075" s="20">
        <v>15099.59</v>
      </c>
      <c r="H1075" s="20">
        <v>0</v>
      </c>
      <c r="I1075" s="20">
        <v>797.42</v>
      </c>
      <c r="J1075" s="51" t="s">
        <v>2654</v>
      </c>
      <c r="K1075" s="15">
        <v>0</v>
      </c>
      <c r="L1075" s="51" t="s">
        <v>2371</v>
      </c>
      <c r="M1075" s="51" t="s">
        <v>5925</v>
      </c>
      <c r="N1075" s="51" t="s">
        <v>1340</v>
      </c>
      <c r="O1075" s="51" t="s">
        <v>5926</v>
      </c>
      <c r="P1075" s="51" t="s">
        <v>1340</v>
      </c>
      <c r="Q1075" s="45">
        <v>46283.020247986111</v>
      </c>
      <c r="R1075" s="46">
        <v>46305</v>
      </c>
      <c r="S1075" s="46">
        <v>46300</v>
      </c>
      <c r="T1075" s="51" t="s">
        <v>6119</v>
      </c>
      <c r="U1075" s="15"/>
      <c r="V1075" s="15"/>
      <c r="W1075" s="15"/>
      <c r="X1075" s="15"/>
      <c r="Y1075" s="15"/>
      <c r="Z1075" s="15"/>
      <c r="AA1075" s="46"/>
      <c r="AB1075" s="15"/>
      <c r="AC1075" s="15"/>
      <c r="AD1075" s="15"/>
      <c r="AE1075" s="15"/>
      <c r="AF1075" s="15"/>
      <c r="AG1075" s="15"/>
      <c r="AH1075" s="15"/>
      <c r="AI1075" s="46"/>
      <c r="AJ1075" s="51" t="s">
        <v>67</v>
      </c>
      <c r="AK1075" s="51" t="s">
        <v>67</v>
      </c>
      <c r="AL1075" s="15"/>
      <c r="AM1075" s="51" t="s">
        <v>67</v>
      </c>
      <c r="AN1075" s="51" t="s">
        <v>67</v>
      </c>
      <c r="AO1075" s="50" t="s">
        <v>9554</v>
      </c>
    </row>
    <row r="1076" spans="1:41" hidden="1" x14ac:dyDescent="0.25">
      <c r="A1076" s="51" t="s">
        <v>5927</v>
      </c>
      <c r="B1076" s="51" t="s">
        <v>5928</v>
      </c>
      <c r="C1076" s="54" t="s">
        <v>2358</v>
      </c>
      <c r="D1076" s="51" t="s">
        <v>5929</v>
      </c>
      <c r="E1076" s="20">
        <v>13221.23</v>
      </c>
      <c r="F1076" s="20">
        <v>640.14</v>
      </c>
      <c r="G1076" s="20">
        <v>13672.94</v>
      </c>
      <c r="H1076" s="20">
        <v>0</v>
      </c>
      <c r="I1076" s="20">
        <v>640.14</v>
      </c>
      <c r="J1076" s="51" t="s">
        <v>2654</v>
      </c>
      <c r="K1076" s="15">
        <v>0</v>
      </c>
      <c r="L1076" s="51" t="s">
        <v>2371</v>
      </c>
      <c r="M1076" s="51" t="s">
        <v>67</v>
      </c>
      <c r="N1076" s="51" t="s">
        <v>67</v>
      </c>
      <c r="O1076" s="51" t="s">
        <v>5930</v>
      </c>
      <c r="P1076" s="51" t="s">
        <v>1340</v>
      </c>
      <c r="Q1076" s="45">
        <v>46283.020250613423</v>
      </c>
      <c r="R1076" s="46">
        <v>46309</v>
      </c>
      <c r="S1076" s="46">
        <v>46304</v>
      </c>
      <c r="T1076" s="51" t="s">
        <v>6119</v>
      </c>
      <c r="U1076" s="15"/>
      <c r="V1076" s="15"/>
      <c r="W1076" s="15"/>
      <c r="X1076" s="15"/>
      <c r="Y1076" s="15"/>
      <c r="Z1076" s="15"/>
      <c r="AA1076" s="46"/>
      <c r="AB1076" s="15"/>
      <c r="AC1076" s="15"/>
      <c r="AD1076" s="15"/>
      <c r="AE1076" s="15"/>
      <c r="AF1076" s="15"/>
      <c r="AG1076" s="15"/>
      <c r="AH1076" s="15"/>
      <c r="AI1076" s="46"/>
      <c r="AJ1076" s="51" t="s">
        <v>67</v>
      </c>
      <c r="AK1076" s="51" t="s">
        <v>67</v>
      </c>
      <c r="AL1076" s="15"/>
      <c r="AM1076" s="51" t="s">
        <v>67</v>
      </c>
      <c r="AN1076" s="51" t="s">
        <v>67</v>
      </c>
      <c r="AO1076" s="50" t="s">
        <v>9554</v>
      </c>
    </row>
    <row r="1077" spans="1:41" hidden="1" x14ac:dyDescent="0.25">
      <c r="A1077" s="51" t="s">
        <v>5931</v>
      </c>
      <c r="B1077" s="51" t="s">
        <v>5932</v>
      </c>
      <c r="C1077" s="54" t="s">
        <v>2358</v>
      </c>
      <c r="D1077" s="51" t="s">
        <v>5933</v>
      </c>
      <c r="E1077" s="20">
        <v>2664.09</v>
      </c>
      <c r="F1077" s="20">
        <v>4914.45</v>
      </c>
      <c r="G1077" s="20">
        <v>6313.92</v>
      </c>
      <c r="H1077" s="20">
        <v>3870.86</v>
      </c>
      <c r="I1077" s="20">
        <v>4760.26</v>
      </c>
      <c r="J1077" s="51" t="s">
        <v>6727</v>
      </c>
      <c r="K1077" s="15">
        <v>12</v>
      </c>
      <c r="L1077" s="51" t="s">
        <v>2369</v>
      </c>
      <c r="M1077" s="51" t="s">
        <v>5934</v>
      </c>
      <c r="N1077" s="51" t="s">
        <v>1340</v>
      </c>
      <c r="O1077" s="51" t="s">
        <v>67</v>
      </c>
      <c r="P1077" s="51" t="s">
        <v>67</v>
      </c>
      <c r="Q1077" s="45">
        <v>46283.020253043978</v>
      </c>
      <c r="R1077" s="46">
        <v>46309</v>
      </c>
      <c r="S1077" s="46">
        <v>46304</v>
      </c>
      <c r="T1077" s="51" t="s">
        <v>6119</v>
      </c>
      <c r="U1077" s="15">
        <v>848.05</v>
      </c>
      <c r="V1077" s="15">
        <v>3921.84</v>
      </c>
      <c r="W1077" s="15">
        <v>36.08</v>
      </c>
      <c r="X1077" s="15">
        <v>14.9</v>
      </c>
      <c r="Y1077" s="15">
        <v>1.662307</v>
      </c>
      <c r="Z1077" s="15">
        <v>6</v>
      </c>
      <c r="AA1077" s="46">
        <v>46279</v>
      </c>
      <c r="AB1077" s="15"/>
      <c r="AC1077" s="15"/>
      <c r="AD1077" s="15"/>
      <c r="AE1077" s="15"/>
      <c r="AF1077" s="15"/>
      <c r="AG1077" s="15"/>
      <c r="AH1077" s="15"/>
      <c r="AI1077" s="46"/>
      <c r="AJ1077" s="51" t="s">
        <v>6121</v>
      </c>
      <c r="AK1077" s="51" t="s">
        <v>6121</v>
      </c>
      <c r="AL1077" s="15">
        <v>848.05</v>
      </c>
      <c r="AM1077" s="51" t="s">
        <v>67</v>
      </c>
      <c r="AN1077" s="51" t="s">
        <v>67</v>
      </c>
      <c r="AO1077" s="50" t="s">
        <v>9554</v>
      </c>
    </row>
    <row r="1078" spans="1:41" hidden="1" x14ac:dyDescent="0.25">
      <c r="A1078" s="51" t="s">
        <v>5935</v>
      </c>
      <c r="B1078" s="51" t="s">
        <v>5936</v>
      </c>
      <c r="C1078" s="54" t="s">
        <v>2689</v>
      </c>
      <c r="D1078" s="51" t="s">
        <v>5937</v>
      </c>
      <c r="E1078" s="20">
        <v>5279.76</v>
      </c>
      <c r="F1078" s="20">
        <v>0</v>
      </c>
      <c r="G1078" s="20">
        <v>12313.6</v>
      </c>
      <c r="H1078" s="20">
        <v>0</v>
      </c>
      <c r="I1078" s="20">
        <v>651.41</v>
      </c>
      <c r="J1078" s="51" t="s">
        <v>2654</v>
      </c>
      <c r="K1078" s="15">
        <v>0</v>
      </c>
      <c r="L1078" s="51" t="s">
        <v>2371</v>
      </c>
      <c r="M1078" s="51" t="s">
        <v>67</v>
      </c>
      <c r="N1078" s="51" t="s">
        <v>67</v>
      </c>
      <c r="O1078" s="51" t="s">
        <v>5938</v>
      </c>
      <c r="P1078" s="51" t="s">
        <v>1340</v>
      </c>
      <c r="Q1078" s="45">
        <v>46283.0202559838</v>
      </c>
      <c r="R1078" s="46">
        <v>46317</v>
      </c>
      <c r="S1078" s="46">
        <v>46312</v>
      </c>
      <c r="T1078" s="51" t="s">
        <v>6119</v>
      </c>
      <c r="U1078" s="15"/>
      <c r="V1078" s="15"/>
      <c r="W1078" s="15"/>
      <c r="X1078" s="15"/>
      <c r="Y1078" s="15"/>
      <c r="Z1078" s="15"/>
      <c r="AA1078" s="46"/>
      <c r="AB1078" s="15"/>
      <c r="AC1078" s="15"/>
      <c r="AD1078" s="15"/>
      <c r="AE1078" s="15"/>
      <c r="AF1078" s="15"/>
      <c r="AG1078" s="15"/>
      <c r="AH1078" s="15"/>
      <c r="AI1078" s="46"/>
      <c r="AJ1078" s="51" t="s">
        <v>67</v>
      </c>
      <c r="AK1078" s="51" t="s">
        <v>67</v>
      </c>
      <c r="AL1078" s="15"/>
      <c r="AM1078" s="51" t="s">
        <v>67</v>
      </c>
      <c r="AN1078" s="51" t="s">
        <v>67</v>
      </c>
      <c r="AO1078" s="50" t="s">
        <v>9554</v>
      </c>
    </row>
    <row r="1079" spans="1:41" hidden="1" x14ac:dyDescent="0.25">
      <c r="A1079" s="51" t="s">
        <v>5939</v>
      </c>
      <c r="B1079" s="51" t="s">
        <v>5940</v>
      </c>
      <c r="C1079" s="54" t="s">
        <v>2358</v>
      </c>
      <c r="D1079" s="51" t="s">
        <v>5941</v>
      </c>
      <c r="E1079" s="20">
        <v>9258.39</v>
      </c>
      <c r="F1079" s="20">
        <v>716.05</v>
      </c>
      <c r="G1079" s="20">
        <v>14946.89</v>
      </c>
      <c r="H1079" s="20">
        <v>0</v>
      </c>
      <c r="I1079" s="20">
        <v>716.05</v>
      </c>
      <c r="J1079" s="51" t="s">
        <v>2654</v>
      </c>
      <c r="K1079" s="15">
        <v>0</v>
      </c>
      <c r="L1079" s="51" t="s">
        <v>2371</v>
      </c>
      <c r="M1079" s="51" t="s">
        <v>5942</v>
      </c>
      <c r="N1079" s="51" t="s">
        <v>1340</v>
      </c>
      <c r="O1079" s="51" t="s">
        <v>67</v>
      </c>
      <c r="P1079" s="51" t="s">
        <v>67</v>
      </c>
      <c r="Q1079" s="45">
        <v>46283.020258483797</v>
      </c>
      <c r="R1079" s="46">
        <v>46309</v>
      </c>
      <c r="S1079" s="46">
        <v>46304</v>
      </c>
      <c r="T1079" s="51" t="s">
        <v>6119</v>
      </c>
      <c r="U1079" s="15"/>
      <c r="V1079" s="15"/>
      <c r="W1079" s="15"/>
      <c r="X1079" s="15"/>
      <c r="Y1079" s="15"/>
      <c r="Z1079" s="15"/>
      <c r="AA1079" s="46"/>
      <c r="AB1079" s="15"/>
      <c r="AC1079" s="15"/>
      <c r="AD1079" s="15"/>
      <c r="AE1079" s="15"/>
      <c r="AF1079" s="15"/>
      <c r="AG1079" s="15"/>
      <c r="AH1079" s="15"/>
      <c r="AI1079" s="46"/>
      <c r="AJ1079" s="51" t="s">
        <v>67</v>
      </c>
      <c r="AK1079" s="51" t="s">
        <v>67</v>
      </c>
      <c r="AL1079" s="15"/>
      <c r="AM1079" s="51" t="s">
        <v>67</v>
      </c>
      <c r="AN1079" s="51" t="s">
        <v>67</v>
      </c>
      <c r="AO1079" s="50" t="s">
        <v>9554</v>
      </c>
    </row>
    <row r="1080" spans="1:41" hidden="1" x14ac:dyDescent="0.25">
      <c r="A1080" s="51" t="s">
        <v>5943</v>
      </c>
      <c r="B1080" s="51" t="s">
        <v>5944</v>
      </c>
      <c r="C1080" s="54" t="s">
        <v>2541</v>
      </c>
      <c r="D1080" s="51" t="s">
        <v>5945</v>
      </c>
      <c r="E1080" s="20">
        <v>2136.65</v>
      </c>
      <c r="F1080" s="20">
        <v>4813.71</v>
      </c>
      <c r="G1080" s="20">
        <v>14914.03</v>
      </c>
      <c r="H1080" s="20">
        <v>3870.86</v>
      </c>
      <c r="I1080" s="20">
        <v>4389.68</v>
      </c>
      <c r="J1080" s="51" t="s">
        <v>6727</v>
      </c>
      <c r="K1080" s="15">
        <v>10</v>
      </c>
      <c r="L1080" s="51" t="s">
        <v>2369</v>
      </c>
      <c r="M1080" s="51" t="s">
        <v>67</v>
      </c>
      <c r="N1080" s="51" t="s">
        <v>67</v>
      </c>
      <c r="O1080" s="51" t="s">
        <v>5946</v>
      </c>
      <c r="P1080" s="51" t="s">
        <v>1340</v>
      </c>
      <c r="Q1080" s="45">
        <v>46283.020260717596</v>
      </c>
      <c r="R1080" s="46">
        <v>46311</v>
      </c>
      <c r="S1080" s="46">
        <v>46306</v>
      </c>
      <c r="T1080" s="51" t="s">
        <v>6119</v>
      </c>
      <c r="U1080" s="15">
        <v>848.05</v>
      </c>
      <c r="V1080" s="15">
        <v>3921.84</v>
      </c>
      <c r="W1080" s="15">
        <v>36.08</v>
      </c>
      <c r="X1080" s="15">
        <v>14.9</v>
      </c>
      <c r="Y1080" s="15">
        <v>1.662307</v>
      </c>
      <c r="Z1080" s="15">
        <v>6</v>
      </c>
      <c r="AA1080" s="46">
        <v>46281</v>
      </c>
      <c r="AB1080" s="15"/>
      <c r="AC1080" s="15"/>
      <c r="AD1080" s="15"/>
      <c r="AE1080" s="15"/>
      <c r="AF1080" s="15"/>
      <c r="AG1080" s="15"/>
      <c r="AH1080" s="15"/>
      <c r="AI1080" s="46"/>
      <c r="AJ1080" s="51" t="s">
        <v>6121</v>
      </c>
      <c r="AK1080" s="51" t="s">
        <v>6121</v>
      </c>
      <c r="AL1080" s="15">
        <v>848.05</v>
      </c>
      <c r="AM1080" s="51" t="s">
        <v>67</v>
      </c>
      <c r="AN1080" s="51" t="s">
        <v>67</v>
      </c>
      <c r="AO1080" s="50" t="s">
        <v>9554</v>
      </c>
    </row>
    <row r="1081" spans="1:41" hidden="1" x14ac:dyDescent="0.25">
      <c r="A1081" s="51" t="s">
        <v>5947</v>
      </c>
      <c r="B1081" s="51" t="s">
        <v>5948</v>
      </c>
      <c r="C1081" s="54" t="s">
        <v>608</v>
      </c>
      <c r="D1081" s="51" t="s">
        <v>5949</v>
      </c>
      <c r="E1081" s="20">
        <v>6341.93</v>
      </c>
      <c r="F1081" s="20">
        <v>769.93</v>
      </c>
      <c r="G1081" s="20">
        <v>4070.51</v>
      </c>
      <c r="H1081" s="20">
        <v>0</v>
      </c>
      <c r="I1081" s="20">
        <v>769.93</v>
      </c>
      <c r="J1081" s="51" t="s">
        <v>2654</v>
      </c>
      <c r="K1081" s="15">
        <v>0</v>
      </c>
      <c r="L1081" s="51" t="s">
        <v>2371</v>
      </c>
      <c r="M1081" s="51" t="s">
        <v>67</v>
      </c>
      <c r="N1081" s="51" t="s">
        <v>67</v>
      </c>
      <c r="O1081" s="51" t="s">
        <v>5950</v>
      </c>
      <c r="P1081" s="51" t="s">
        <v>1340</v>
      </c>
      <c r="Q1081" s="45">
        <v>46283.020263344908</v>
      </c>
      <c r="R1081" s="46">
        <v>46315</v>
      </c>
      <c r="S1081" s="46">
        <v>46310</v>
      </c>
      <c r="T1081" s="51" t="s">
        <v>6119</v>
      </c>
      <c r="U1081" s="15"/>
      <c r="V1081" s="15"/>
      <c r="W1081" s="15"/>
      <c r="X1081" s="15"/>
      <c r="Y1081" s="15"/>
      <c r="Z1081" s="15"/>
      <c r="AA1081" s="46"/>
      <c r="AB1081" s="15"/>
      <c r="AC1081" s="15"/>
      <c r="AD1081" s="15"/>
      <c r="AE1081" s="15"/>
      <c r="AF1081" s="15"/>
      <c r="AG1081" s="15"/>
      <c r="AH1081" s="15"/>
      <c r="AI1081" s="46"/>
      <c r="AJ1081" s="51" t="s">
        <v>67</v>
      </c>
      <c r="AK1081" s="51" t="s">
        <v>67</v>
      </c>
      <c r="AL1081" s="15"/>
      <c r="AM1081" s="51" t="s">
        <v>67</v>
      </c>
      <c r="AN1081" s="51" t="s">
        <v>67</v>
      </c>
      <c r="AO1081" s="50" t="s">
        <v>9554</v>
      </c>
    </row>
    <row r="1082" spans="1:41" hidden="1" x14ac:dyDescent="0.25">
      <c r="A1082" s="51" t="s">
        <v>5951</v>
      </c>
      <c r="B1082" s="51" t="s">
        <v>5952</v>
      </c>
      <c r="C1082" s="54" t="s">
        <v>5597</v>
      </c>
      <c r="D1082" s="51" t="s">
        <v>5953</v>
      </c>
      <c r="E1082" s="20">
        <v>6629.58</v>
      </c>
      <c r="F1082" s="20">
        <v>893.61</v>
      </c>
      <c r="G1082" s="20">
        <v>13732.7</v>
      </c>
      <c r="H1082" s="20">
        <v>893.61</v>
      </c>
      <c r="I1082" s="20">
        <v>893.61</v>
      </c>
      <c r="J1082" s="51" t="s">
        <v>6727</v>
      </c>
      <c r="K1082" s="15">
        <v>0</v>
      </c>
      <c r="L1082" s="51" t="s">
        <v>2371</v>
      </c>
      <c r="M1082" s="51" t="s">
        <v>5954</v>
      </c>
      <c r="N1082" s="51" t="s">
        <v>1340</v>
      </c>
      <c r="O1082" s="51" t="s">
        <v>5955</v>
      </c>
      <c r="P1082" s="51" t="s">
        <v>1340</v>
      </c>
      <c r="Q1082" s="45">
        <v>46283.020265613428</v>
      </c>
      <c r="R1082" s="46">
        <v>46321</v>
      </c>
      <c r="S1082" s="46">
        <v>46316</v>
      </c>
      <c r="T1082" s="51" t="s">
        <v>6119</v>
      </c>
      <c r="U1082" s="15"/>
      <c r="V1082" s="15"/>
      <c r="W1082" s="15"/>
      <c r="X1082" s="15"/>
      <c r="Y1082" s="15"/>
      <c r="Z1082" s="15"/>
      <c r="AA1082" s="46"/>
      <c r="AB1082" s="15"/>
      <c r="AC1082" s="15"/>
      <c r="AD1082" s="15"/>
      <c r="AE1082" s="15"/>
      <c r="AF1082" s="15"/>
      <c r="AG1082" s="15"/>
      <c r="AH1082" s="15"/>
      <c r="AI1082" s="46"/>
      <c r="AJ1082" s="51" t="s">
        <v>67</v>
      </c>
      <c r="AK1082" s="51" t="s">
        <v>67</v>
      </c>
      <c r="AL1082" s="15"/>
      <c r="AM1082" s="51" t="s">
        <v>67</v>
      </c>
      <c r="AN1082" s="51" t="s">
        <v>67</v>
      </c>
      <c r="AO1082" s="50" t="s">
        <v>9554</v>
      </c>
    </row>
    <row r="1083" spans="1:41" hidden="1" x14ac:dyDescent="0.25">
      <c r="A1083" s="51" t="s">
        <v>5956</v>
      </c>
      <c r="B1083" s="51" t="s">
        <v>5957</v>
      </c>
      <c r="C1083" s="54" t="s">
        <v>5601</v>
      </c>
      <c r="D1083" s="51" t="s">
        <v>5958</v>
      </c>
      <c r="E1083" s="20">
        <v>11770.58</v>
      </c>
      <c r="F1083" s="20">
        <v>0</v>
      </c>
      <c r="G1083" s="20">
        <v>3601.44</v>
      </c>
      <c r="H1083" s="20">
        <v>0</v>
      </c>
      <c r="I1083" s="20">
        <v>560.4</v>
      </c>
      <c r="J1083" s="51" t="s">
        <v>2654</v>
      </c>
      <c r="K1083" s="15">
        <v>0</v>
      </c>
      <c r="L1083" s="51" t="s">
        <v>2371</v>
      </c>
      <c r="M1083" s="51" t="s">
        <v>5959</v>
      </c>
      <c r="N1083" s="51" t="s">
        <v>1340</v>
      </c>
      <c r="O1083" s="51" t="s">
        <v>67</v>
      </c>
      <c r="P1083" s="51" t="s">
        <v>67</v>
      </c>
      <c r="Q1083" s="45">
        <v>46283.020267743057</v>
      </c>
      <c r="R1083" s="46">
        <v>46316</v>
      </c>
      <c r="S1083" s="46">
        <v>46311</v>
      </c>
      <c r="T1083" s="51" t="s">
        <v>6119</v>
      </c>
      <c r="U1083" s="15"/>
      <c r="V1083" s="15"/>
      <c r="W1083" s="15"/>
      <c r="X1083" s="15"/>
      <c r="Y1083" s="15"/>
      <c r="Z1083" s="15"/>
      <c r="AA1083" s="46"/>
      <c r="AB1083" s="15"/>
      <c r="AC1083" s="15"/>
      <c r="AD1083" s="15"/>
      <c r="AE1083" s="15"/>
      <c r="AF1083" s="15"/>
      <c r="AG1083" s="15"/>
      <c r="AH1083" s="15"/>
      <c r="AI1083" s="46"/>
      <c r="AJ1083" s="51" t="s">
        <v>67</v>
      </c>
      <c r="AK1083" s="51" t="s">
        <v>67</v>
      </c>
      <c r="AL1083" s="15"/>
      <c r="AM1083" s="51" t="s">
        <v>67</v>
      </c>
      <c r="AN1083" s="51" t="s">
        <v>67</v>
      </c>
      <c r="AO1083" s="50" t="s">
        <v>9554</v>
      </c>
    </row>
    <row r="1084" spans="1:41" hidden="1" x14ac:dyDescent="0.25">
      <c r="A1084" s="51" t="s">
        <v>5960</v>
      </c>
      <c r="B1084" s="51" t="s">
        <v>5961</v>
      </c>
      <c r="C1084" s="54" t="s">
        <v>2357</v>
      </c>
      <c r="D1084" s="51" t="s">
        <v>5962</v>
      </c>
      <c r="E1084" s="20">
        <v>15432.15</v>
      </c>
      <c r="F1084" s="20">
        <v>894.17</v>
      </c>
      <c r="G1084" s="20">
        <v>5771.63</v>
      </c>
      <c r="H1084" s="20">
        <v>0</v>
      </c>
      <c r="I1084" s="20">
        <v>894.17</v>
      </c>
      <c r="J1084" s="51" t="s">
        <v>2654</v>
      </c>
      <c r="K1084" s="15">
        <v>0</v>
      </c>
      <c r="L1084" s="51" t="s">
        <v>2371</v>
      </c>
      <c r="M1084" s="51" t="s">
        <v>5963</v>
      </c>
      <c r="N1084" s="51" t="s">
        <v>1340</v>
      </c>
      <c r="O1084" s="51" t="s">
        <v>67</v>
      </c>
      <c r="P1084" s="51" t="s">
        <v>67</v>
      </c>
      <c r="Q1084" s="45">
        <v>46283.020270138892</v>
      </c>
      <c r="R1084" s="46">
        <v>46308</v>
      </c>
      <c r="S1084" s="46">
        <v>46303</v>
      </c>
      <c r="T1084" s="51" t="s">
        <v>6119</v>
      </c>
      <c r="U1084" s="15"/>
      <c r="V1084" s="15"/>
      <c r="W1084" s="15"/>
      <c r="X1084" s="15"/>
      <c r="Y1084" s="15"/>
      <c r="Z1084" s="15"/>
      <c r="AA1084" s="46"/>
      <c r="AB1084" s="15"/>
      <c r="AC1084" s="15"/>
      <c r="AD1084" s="15"/>
      <c r="AE1084" s="15"/>
      <c r="AF1084" s="15"/>
      <c r="AG1084" s="15"/>
      <c r="AH1084" s="15"/>
      <c r="AI1084" s="46"/>
      <c r="AJ1084" s="51" t="s">
        <v>67</v>
      </c>
      <c r="AK1084" s="51" t="s">
        <v>67</v>
      </c>
      <c r="AL1084" s="15"/>
      <c r="AM1084" s="51" t="s">
        <v>67</v>
      </c>
      <c r="AN1084" s="51" t="s">
        <v>67</v>
      </c>
      <c r="AO1084" s="50" t="s">
        <v>9554</v>
      </c>
    </row>
    <row r="1085" spans="1:41" hidden="1" x14ac:dyDescent="0.25">
      <c r="A1085" s="51" t="s">
        <v>5964</v>
      </c>
      <c r="B1085" s="51" t="s">
        <v>5965</v>
      </c>
      <c r="C1085" s="54" t="s">
        <v>5605</v>
      </c>
      <c r="D1085" s="51" t="s">
        <v>5966</v>
      </c>
      <c r="E1085" s="20">
        <v>2524.4</v>
      </c>
      <c r="F1085" s="20">
        <v>658.5</v>
      </c>
      <c r="G1085" s="20">
        <v>8066.04</v>
      </c>
      <c r="H1085" s="20">
        <v>658.5</v>
      </c>
      <c r="I1085" s="20">
        <v>658.5</v>
      </c>
      <c r="J1085" s="51" t="s">
        <v>6727</v>
      </c>
      <c r="K1085" s="15">
        <v>0</v>
      </c>
      <c r="L1085" s="51" t="s">
        <v>2371</v>
      </c>
      <c r="M1085" s="51" t="s">
        <v>67</v>
      </c>
      <c r="N1085" s="51" t="s">
        <v>67</v>
      </c>
      <c r="O1085" s="51" t="s">
        <v>5967</v>
      </c>
      <c r="P1085" s="51" t="s">
        <v>1340</v>
      </c>
      <c r="Q1085" s="45">
        <v>46283.020272407404</v>
      </c>
      <c r="R1085" s="46">
        <v>46323</v>
      </c>
      <c r="S1085" s="46">
        <v>46318</v>
      </c>
      <c r="T1085" s="51" t="s">
        <v>6119</v>
      </c>
      <c r="U1085" s="15"/>
      <c r="V1085" s="15"/>
      <c r="W1085" s="15"/>
      <c r="X1085" s="15"/>
      <c r="Y1085" s="15"/>
      <c r="Z1085" s="15"/>
      <c r="AA1085" s="46"/>
      <c r="AB1085" s="15"/>
      <c r="AC1085" s="15"/>
      <c r="AD1085" s="15"/>
      <c r="AE1085" s="15"/>
      <c r="AF1085" s="15"/>
      <c r="AG1085" s="15"/>
      <c r="AH1085" s="15"/>
      <c r="AI1085" s="46"/>
      <c r="AJ1085" s="51" t="s">
        <v>67</v>
      </c>
      <c r="AK1085" s="51" t="s">
        <v>67</v>
      </c>
      <c r="AL1085" s="15"/>
      <c r="AM1085" s="51" t="s">
        <v>67</v>
      </c>
      <c r="AN1085" s="51" t="s">
        <v>67</v>
      </c>
      <c r="AO1085" s="50" t="s">
        <v>9554</v>
      </c>
    </row>
    <row r="1086" spans="1:41" hidden="1" x14ac:dyDescent="0.25">
      <c r="A1086" s="51" t="s">
        <v>5968</v>
      </c>
      <c r="B1086" s="51" t="s">
        <v>5969</v>
      </c>
      <c r="C1086" s="54" t="s">
        <v>5605</v>
      </c>
      <c r="D1086" s="51" t="s">
        <v>5970</v>
      </c>
      <c r="E1086" s="20">
        <v>13011.01</v>
      </c>
      <c r="F1086" s="20">
        <v>900.62</v>
      </c>
      <c r="G1086" s="20">
        <v>9146.74</v>
      </c>
      <c r="H1086" s="20">
        <v>900.62</v>
      </c>
      <c r="I1086" s="20">
        <v>900.62</v>
      </c>
      <c r="J1086" s="51" t="s">
        <v>6727</v>
      </c>
      <c r="K1086" s="15">
        <v>0</v>
      </c>
      <c r="L1086" s="51" t="s">
        <v>2371</v>
      </c>
      <c r="M1086" s="51" t="s">
        <v>5971</v>
      </c>
      <c r="N1086" s="51" t="s">
        <v>1344</v>
      </c>
      <c r="O1086" s="51" t="s">
        <v>67</v>
      </c>
      <c r="P1086" s="51" t="s">
        <v>67</v>
      </c>
      <c r="Q1086" s="45">
        <v>46283.0202746875</v>
      </c>
      <c r="R1086" s="46">
        <v>46323</v>
      </c>
      <c r="S1086" s="46">
        <v>46318</v>
      </c>
      <c r="T1086" s="51" t="s">
        <v>6119</v>
      </c>
      <c r="U1086" s="15"/>
      <c r="V1086" s="15"/>
      <c r="W1086" s="15"/>
      <c r="X1086" s="15"/>
      <c r="Y1086" s="15"/>
      <c r="Z1086" s="15"/>
      <c r="AA1086" s="46"/>
      <c r="AB1086" s="15"/>
      <c r="AC1086" s="15"/>
      <c r="AD1086" s="15"/>
      <c r="AE1086" s="15"/>
      <c r="AF1086" s="15"/>
      <c r="AG1086" s="15"/>
      <c r="AH1086" s="15"/>
      <c r="AI1086" s="46"/>
      <c r="AJ1086" s="51" t="s">
        <v>67</v>
      </c>
      <c r="AK1086" s="51" t="s">
        <v>67</v>
      </c>
      <c r="AL1086" s="15"/>
      <c r="AM1086" s="51" t="s">
        <v>67</v>
      </c>
      <c r="AN1086" s="51" t="s">
        <v>67</v>
      </c>
      <c r="AO1086" s="50" t="s">
        <v>9554</v>
      </c>
    </row>
    <row r="1087" spans="1:41" hidden="1" x14ac:dyDescent="0.25">
      <c r="A1087" s="51" t="s">
        <v>5972</v>
      </c>
      <c r="B1087" s="51" t="s">
        <v>5973</v>
      </c>
      <c r="C1087" s="54" t="s">
        <v>5603</v>
      </c>
      <c r="D1087" s="51" t="s">
        <v>5974</v>
      </c>
      <c r="E1087" s="20">
        <v>1674.16</v>
      </c>
      <c r="F1087" s="20">
        <v>4901.78</v>
      </c>
      <c r="G1087" s="20">
        <v>9324.3799999999992</v>
      </c>
      <c r="H1087" s="20">
        <v>3870.86</v>
      </c>
      <c r="I1087" s="20">
        <v>4901.78</v>
      </c>
      <c r="J1087" s="51" t="s">
        <v>6727</v>
      </c>
      <c r="K1087" s="15">
        <v>23</v>
      </c>
      <c r="L1087" s="51" t="s">
        <v>2369</v>
      </c>
      <c r="M1087" s="51" t="s">
        <v>5975</v>
      </c>
      <c r="N1087" s="51" t="s">
        <v>1340</v>
      </c>
      <c r="O1087" s="51" t="s">
        <v>67</v>
      </c>
      <c r="P1087" s="51" t="s">
        <v>67</v>
      </c>
      <c r="Q1087" s="45">
        <v>46283.020276817129</v>
      </c>
      <c r="R1087" s="46">
        <v>46298</v>
      </c>
      <c r="S1087" s="46">
        <v>46293</v>
      </c>
      <c r="T1087" s="51" t="s">
        <v>6119</v>
      </c>
      <c r="U1087" s="15">
        <v>848.05</v>
      </c>
      <c r="V1087" s="15">
        <v>3921.84</v>
      </c>
      <c r="W1087" s="15">
        <v>36.08</v>
      </c>
      <c r="X1087" s="15">
        <v>14.9</v>
      </c>
      <c r="Y1087" s="15">
        <v>1.662307</v>
      </c>
      <c r="Z1087" s="15">
        <v>6</v>
      </c>
      <c r="AA1087" s="46">
        <v>46268</v>
      </c>
      <c r="AB1087" s="15"/>
      <c r="AC1087" s="15"/>
      <c r="AD1087" s="15"/>
      <c r="AE1087" s="15"/>
      <c r="AF1087" s="15"/>
      <c r="AG1087" s="15"/>
      <c r="AH1087" s="15"/>
      <c r="AI1087" s="46"/>
      <c r="AJ1087" s="51" t="s">
        <v>6121</v>
      </c>
      <c r="AK1087" s="51" t="s">
        <v>6121</v>
      </c>
      <c r="AL1087" s="15">
        <v>848.05</v>
      </c>
      <c r="AM1087" s="51" t="s">
        <v>67</v>
      </c>
      <c r="AN1087" s="51" t="s">
        <v>67</v>
      </c>
      <c r="AO1087" s="50" t="s">
        <v>9554</v>
      </c>
    </row>
    <row r="1088" spans="1:41" hidden="1" x14ac:dyDescent="0.25">
      <c r="A1088" s="51" t="s">
        <v>5976</v>
      </c>
      <c r="B1088" s="51" t="s">
        <v>5977</v>
      </c>
      <c r="C1088" s="54" t="s">
        <v>5599</v>
      </c>
      <c r="D1088" s="51" t="s">
        <v>5978</v>
      </c>
      <c r="E1088" s="20">
        <v>14445.1</v>
      </c>
      <c r="F1088" s="20">
        <v>4862.8999999999996</v>
      </c>
      <c r="G1088" s="20">
        <v>8027.19</v>
      </c>
      <c r="H1088" s="20">
        <v>3870.86</v>
      </c>
      <c r="I1088" s="20">
        <v>4862.8999999999996</v>
      </c>
      <c r="J1088" s="51" t="s">
        <v>6727</v>
      </c>
      <c r="K1088" s="15">
        <v>19</v>
      </c>
      <c r="L1088" s="51" t="s">
        <v>2369</v>
      </c>
      <c r="M1088" s="51" t="s">
        <v>5979</v>
      </c>
      <c r="N1088" s="51" t="s">
        <v>1340</v>
      </c>
      <c r="O1088" s="51" t="s">
        <v>67</v>
      </c>
      <c r="P1088" s="51" t="s">
        <v>67</v>
      </c>
      <c r="Q1088" s="45">
        <v>46283.020279212964</v>
      </c>
      <c r="R1088" s="46">
        <v>46302</v>
      </c>
      <c r="S1088" s="46">
        <v>46297</v>
      </c>
      <c r="T1088" s="51" t="s">
        <v>6119</v>
      </c>
      <c r="U1088" s="15">
        <v>848.05</v>
      </c>
      <c r="V1088" s="15">
        <v>3921.84</v>
      </c>
      <c r="W1088" s="15">
        <v>36.08</v>
      </c>
      <c r="X1088" s="15">
        <v>14.9</v>
      </c>
      <c r="Y1088" s="15">
        <v>1.662307</v>
      </c>
      <c r="Z1088" s="15">
        <v>6</v>
      </c>
      <c r="AA1088" s="46">
        <v>46272</v>
      </c>
      <c r="AB1088" s="15"/>
      <c r="AC1088" s="15"/>
      <c r="AD1088" s="15"/>
      <c r="AE1088" s="15"/>
      <c r="AF1088" s="15"/>
      <c r="AG1088" s="15"/>
      <c r="AH1088" s="15"/>
      <c r="AI1088" s="46"/>
      <c r="AJ1088" s="51" t="s">
        <v>6121</v>
      </c>
      <c r="AK1088" s="51" t="s">
        <v>6121</v>
      </c>
      <c r="AL1088" s="15">
        <v>848.05</v>
      </c>
      <c r="AM1088" s="51" t="s">
        <v>67</v>
      </c>
      <c r="AN1088" s="51" t="s">
        <v>67</v>
      </c>
      <c r="AO1088" s="50" t="s">
        <v>9554</v>
      </c>
    </row>
    <row r="1089" spans="1:41" hidden="1" x14ac:dyDescent="0.25">
      <c r="A1089" s="51" t="s">
        <v>5980</v>
      </c>
      <c r="B1089" s="51" t="s">
        <v>5981</v>
      </c>
      <c r="C1089" s="54" t="s">
        <v>2357</v>
      </c>
      <c r="D1089" s="51" t="s">
        <v>5982</v>
      </c>
      <c r="E1089" s="20">
        <v>1493.01</v>
      </c>
      <c r="F1089" s="20">
        <v>414.18</v>
      </c>
      <c r="G1089" s="20">
        <v>2714.92</v>
      </c>
      <c r="H1089" s="20">
        <v>0</v>
      </c>
      <c r="I1089" s="20">
        <v>414.18</v>
      </c>
      <c r="J1089" s="51" t="s">
        <v>2654</v>
      </c>
      <c r="K1089" s="15">
        <v>0</v>
      </c>
      <c r="L1089" s="51" t="s">
        <v>2371</v>
      </c>
      <c r="M1089" s="51" t="s">
        <v>5983</v>
      </c>
      <c r="N1089" s="51" t="s">
        <v>1344</v>
      </c>
      <c r="O1089" s="51" t="s">
        <v>5984</v>
      </c>
      <c r="P1089" s="51" t="s">
        <v>1344</v>
      </c>
      <c r="Q1089" s="45">
        <v>46283.020281793979</v>
      </c>
      <c r="R1089" s="46">
        <v>46308</v>
      </c>
      <c r="S1089" s="46">
        <v>46303</v>
      </c>
      <c r="T1089" s="51" t="s">
        <v>6119</v>
      </c>
      <c r="U1089" s="15"/>
      <c r="V1089" s="15"/>
      <c r="W1089" s="15"/>
      <c r="X1089" s="15"/>
      <c r="Y1089" s="15"/>
      <c r="Z1089" s="15"/>
      <c r="AA1089" s="46"/>
      <c r="AB1089" s="15"/>
      <c r="AC1089" s="15"/>
      <c r="AD1089" s="15"/>
      <c r="AE1089" s="15"/>
      <c r="AF1089" s="15"/>
      <c r="AG1089" s="15"/>
      <c r="AH1089" s="15"/>
      <c r="AI1089" s="46"/>
      <c r="AJ1089" s="51" t="s">
        <v>67</v>
      </c>
      <c r="AK1089" s="51" t="s">
        <v>67</v>
      </c>
      <c r="AL1089" s="15"/>
      <c r="AM1089" s="51" t="s">
        <v>67</v>
      </c>
      <c r="AN1089" s="51" t="s">
        <v>67</v>
      </c>
      <c r="AO1089" s="50" t="s">
        <v>9554</v>
      </c>
    </row>
    <row r="1090" spans="1:41" hidden="1" x14ac:dyDescent="0.25">
      <c r="A1090" s="51" t="s">
        <v>5985</v>
      </c>
      <c r="B1090" s="51" t="s">
        <v>5986</v>
      </c>
      <c r="C1090" s="54" t="s">
        <v>611</v>
      </c>
      <c r="D1090" s="51" t="s">
        <v>3719</v>
      </c>
      <c r="E1090" s="20">
        <v>8636.91</v>
      </c>
      <c r="F1090" s="20">
        <v>1787.42</v>
      </c>
      <c r="G1090" s="20">
        <v>5745.8</v>
      </c>
      <c r="H1090" s="20">
        <v>6864.61</v>
      </c>
      <c r="I1090" s="20">
        <v>1787.42</v>
      </c>
      <c r="J1090" s="51" t="s">
        <v>6726</v>
      </c>
      <c r="K1090" s="15">
        <v>0</v>
      </c>
      <c r="L1090" s="51" t="s">
        <v>2371</v>
      </c>
      <c r="M1090" s="51" t="s">
        <v>5987</v>
      </c>
      <c r="N1090" s="51" t="s">
        <v>1340</v>
      </c>
      <c r="O1090" s="51" t="s">
        <v>5988</v>
      </c>
      <c r="P1090" s="51" t="s">
        <v>1340</v>
      </c>
      <c r="Q1090" s="45">
        <v>46283.020284074075</v>
      </c>
      <c r="R1090" s="46">
        <v>46320</v>
      </c>
      <c r="S1090" s="46">
        <v>46315</v>
      </c>
      <c r="T1090" s="51" t="s">
        <v>6119</v>
      </c>
      <c r="U1090" s="15">
        <v>849.8</v>
      </c>
      <c r="V1090" s="15">
        <v>3922.15</v>
      </c>
      <c r="W1090" s="15">
        <v>36.39</v>
      </c>
      <c r="X1090" s="15">
        <v>14.9</v>
      </c>
      <c r="Y1090" s="15">
        <v>1.6620440000000001</v>
      </c>
      <c r="Z1090" s="15">
        <v>6</v>
      </c>
      <c r="AA1090" s="46">
        <v>46259</v>
      </c>
      <c r="AB1090" s="15"/>
      <c r="AC1090" s="15"/>
      <c r="AD1090" s="15"/>
      <c r="AE1090" s="15"/>
      <c r="AF1090" s="15"/>
      <c r="AG1090" s="15"/>
      <c r="AH1090" s="15"/>
      <c r="AI1090" s="46"/>
      <c r="AJ1090" s="51" t="s">
        <v>67</v>
      </c>
      <c r="AK1090" s="51" t="s">
        <v>6121</v>
      </c>
      <c r="AL1090" s="15">
        <v>849.8</v>
      </c>
      <c r="AM1090" s="51" t="s">
        <v>67</v>
      </c>
      <c r="AN1090" s="51" t="s">
        <v>67</v>
      </c>
      <c r="AO1090" s="50" t="s">
        <v>9554</v>
      </c>
    </row>
    <row r="1091" spans="1:41" hidden="1" x14ac:dyDescent="0.25">
      <c r="A1091" s="51" t="s">
        <v>5989</v>
      </c>
      <c r="B1091" s="51" t="s">
        <v>5990</v>
      </c>
      <c r="C1091" s="54" t="s">
        <v>2694</v>
      </c>
      <c r="D1091" s="51" t="s">
        <v>5991</v>
      </c>
      <c r="E1091" s="20">
        <v>3007.3</v>
      </c>
      <c r="F1091" s="20">
        <v>4680.7299999999996</v>
      </c>
      <c r="G1091" s="20">
        <v>9771.23</v>
      </c>
      <c r="H1091" s="20">
        <v>3870.86</v>
      </c>
      <c r="I1091" s="20">
        <v>4272.74</v>
      </c>
      <c r="J1091" s="51" t="s">
        <v>6727</v>
      </c>
      <c r="K1091" s="15">
        <v>9</v>
      </c>
      <c r="L1091" s="51" t="s">
        <v>2369</v>
      </c>
      <c r="M1091" s="51" t="s">
        <v>5992</v>
      </c>
      <c r="N1091" s="51" t="s">
        <v>1340</v>
      </c>
      <c r="O1091" s="51" t="s">
        <v>5993</v>
      </c>
      <c r="P1091" s="51" t="s">
        <v>1340</v>
      </c>
      <c r="Q1091" s="45">
        <v>46283.020286979168</v>
      </c>
      <c r="R1091" s="46">
        <v>46312</v>
      </c>
      <c r="S1091" s="46">
        <v>46307</v>
      </c>
      <c r="T1091" s="51" t="s">
        <v>6119</v>
      </c>
      <c r="U1091" s="15">
        <v>848.05</v>
      </c>
      <c r="V1091" s="15">
        <v>3921.84</v>
      </c>
      <c r="W1091" s="15">
        <v>36.08</v>
      </c>
      <c r="X1091" s="15">
        <v>14.9</v>
      </c>
      <c r="Y1091" s="15">
        <v>1.662307</v>
      </c>
      <c r="Z1091" s="15">
        <v>6</v>
      </c>
      <c r="AA1091" s="46">
        <v>46282</v>
      </c>
      <c r="AB1091" s="15"/>
      <c r="AC1091" s="15"/>
      <c r="AD1091" s="15"/>
      <c r="AE1091" s="15"/>
      <c r="AF1091" s="15"/>
      <c r="AG1091" s="15"/>
      <c r="AH1091" s="15"/>
      <c r="AI1091" s="46"/>
      <c r="AJ1091" s="51" t="s">
        <v>6121</v>
      </c>
      <c r="AK1091" s="51" t="s">
        <v>6121</v>
      </c>
      <c r="AL1091" s="15">
        <v>848.05</v>
      </c>
      <c r="AM1091" s="51" t="s">
        <v>67</v>
      </c>
      <c r="AN1091" s="51" t="s">
        <v>67</v>
      </c>
      <c r="AO1091" s="50" t="s">
        <v>9554</v>
      </c>
    </row>
    <row r="1092" spans="1:41" hidden="1" x14ac:dyDescent="0.25">
      <c r="A1092" s="51" t="s">
        <v>5994</v>
      </c>
      <c r="B1092" s="51" t="s">
        <v>5995</v>
      </c>
      <c r="C1092" s="54" t="s">
        <v>5606</v>
      </c>
      <c r="D1092" s="51" t="s">
        <v>5996</v>
      </c>
      <c r="E1092" s="20">
        <v>5003.21</v>
      </c>
      <c r="F1092" s="20">
        <v>754.2</v>
      </c>
      <c r="G1092" s="20">
        <v>10762.78</v>
      </c>
      <c r="H1092" s="20">
        <v>0</v>
      </c>
      <c r="I1092" s="20">
        <v>754.2</v>
      </c>
      <c r="J1092" s="51" t="s">
        <v>2654</v>
      </c>
      <c r="K1092" s="15">
        <v>0</v>
      </c>
      <c r="L1092" s="51" t="s">
        <v>2371</v>
      </c>
      <c r="M1092" s="51" t="s">
        <v>5997</v>
      </c>
      <c r="N1092" s="51" t="s">
        <v>1344</v>
      </c>
      <c r="O1092" s="51" t="s">
        <v>5998</v>
      </c>
      <c r="P1092" s="51" t="s">
        <v>1344</v>
      </c>
      <c r="Q1092" s="45">
        <v>46283.020289537038</v>
      </c>
      <c r="R1092" s="46">
        <v>46297</v>
      </c>
      <c r="S1092" s="46">
        <v>46292</v>
      </c>
      <c r="T1092" s="51" t="s">
        <v>6119</v>
      </c>
      <c r="U1092" s="15"/>
      <c r="V1092" s="15"/>
      <c r="W1092" s="15"/>
      <c r="X1092" s="15"/>
      <c r="Y1092" s="15"/>
      <c r="Z1092" s="15"/>
      <c r="AA1092" s="46"/>
      <c r="AB1092" s="15"/>
      <c r="AC1092" s="15"/>
      <c r="AD1092" s="15"/>
      <c r="AE1092" s="15"/>
      <c r="AF1092" s="15"/>
      <c r="AG1092" s="15"/>
      <c r="AH1092" s="15"/>
      <c r="AI1092" s="46"/>
      <c r="AJ1092" s="51" t="s">
        <v>67</v>
      </c>
      <c r="AK1092" s="51" t="s">
        <v>67</v>
      </c>
      <c r="AL1092" s="15"/>
      <c r="AM1092" s="51" t="s">
        <v>67</v>
      </c>
      <c r="AN1092" s="51" t="s">
        <v>67</v>
      </c>
      <c r="AO1092" s="50" t="s">
        <v>9554</v>
      </c>
    </row>
    <row r="1093" spans="1:41" hidden="1" x14ac:dyDescent="0.25">
      <c r="A1093" s="51" t="s">
        <v>5999</v>
      </c>
      <c r="B1093" s="51" t="s">
        <v>6000</v>
      </c>
      <c r="C1093" s="54" t="s">
        <v>2692</v>
      </c>
      <c r="D1093" s="51" t="s">
        <v>6001</v>
      </c>
      <c r="E1093" s="20">
        <v>10848.91</v>
      </c>
      <c r="F1093" s="20">
        <v>480.11</v>
      </c>
      <c r="G1093" s="20">
        <v>9153.58</v>
      </c>
      <c r="H1093" s="20">
        <v>0</v>
      </c>
      <c r="I1093" s="20">
        <v>480.11</v>
      </c>
      <c r="J1093" s="51" t="s">
        <v>2654</v>
      </c>
      <c r="K1093" s="15">
        <v>0</v>
      </c>
      <c r="L1093" s="51" t="s">
        <v>2371</v>
      </c>
      <c r="M1093" s="51" t="s">
        <v>6002</v>
      </c>
      <c r="N1093" s="51" t="s">
        <v>1340</v>
      </c>
      <c r="O1093" s="51" t="s">
        <v>6003</v>
      </c>
      <c r="P1093" s="51" t="s">
        <v>1340</v>
      </c>
      <c r="Q1093" s="45">
        <v>46283.020291631947</v>
      </c>
      <c r="R1093" s="46">
        <v>46296</v>
      </c>
      <c r="S1093" s="46">
        <v>46291</v>
      </c>
      <c r="T1093" s="51" t="s">
        <v>6119</v>
      </c>
      <c r="U1093" s="15"/>
      <c r="V1093" s="15"/>
      <c r="W1093" s="15"/>
      <c r="X1093" s="15"/>
      <c r="Y1093" s="15"/>
      <c r="Z1093" s="15"/>
      <c r="AA1093" s="46"/>
      <c r="AB1093" s="15"/>
      <c r="AC1093" s="15"/>
      <c r="AD1093" s="15"/>
      <c r="AE1093" s="15"/>
      <c r="AF1093" s="15"/>
      <c r="AG1093" s="15"/>
      <c r="AH1093" s="15"/>
      <c r="AI1093" s="46"/>
      <c r="AJ1093" s="51" t="s">
        <v>67</v>
      </c>
      <c r="AK1093" s="51" t="s">
        <v>67</v>
      </c>
      <c r="AL1093" s="15"/>
      <c r="AM1093" s="51" t="s">
        <v>67</v>
      </c>
      <c r="AN1093" s="51" t="s">
        <v>67</v>
      </c>
      <c r="AO1093" s="50" t="s">
        <v>9554</v>
      </c>
    </row>
    <row r="1094" spans="1:41" hidden="1" x14ac:dyDescent="0.25">
      <c r="A1094" s="51" t="s">
        <v>6004</v>
      </c>
      <c r="B1094" s="51" t="s">
        <v>6005</v>
      </c>
      <c r="C1094" s="54" t="s">
        <v>5598</v>
      </c>
      <c r="D1094" s="51" t="s">
        <v>3340</v>
      </c>
      <c r="E1094" s="20">
        <v>11066.92</v>
      </c>
      <c r="F1094" s="20">
        <v>7604.99</v>
      </c>
      <c r="G1094" s="20">
        <v>7123.15</v>
      </c>
      <c r="H1094" s="20">
        <v>8328.91</v>
      </c>
      <c r="I1094" s="20">
        <v>7604.99</v>
      </c>
      <c r="J1094" s="51" t="s">
        <v>6725</v>
      </c>
      <c r="K1094" s="15">
        <v>0</v>
      </c>
      <c r="L1094" s="51" t="s">
        <v>2371</v>
      </c>
      <c r="M1094" s="51" t="s">
        <v>6006</v>
      </c>
      <c r="N1094" s="51" t="s">
        <v>1340</v>
      </c>
      <c r="O1094" s="51" t="s">
        <v>67</v>
      </c>
      <c r="P1094" s="51" t="s">
        <v>67</v>
      </c>
      <c r="Q1094" s="45">
        <v>46283.020293842594</v>
      </c>
      <c r="R1094" s="46">
        <v>46318</v>
      </c>
      <c r="S1094" s="46">
        <v>46313</v>
      </c>
      <c r="T1094" s="51" t="s">
        <v>6119</v>
      </c>
      <c r="U1094" s="15">
        <v>849.8</v>
      </c>
      <c r="V1094" s="15">
        <v>3922.15</v>
      </c>
      <c r="W1094" s="15">
        <v>36.39</v>
      </c>
      <c r="X1094" s="15">
        <v>14.9</v>
      </c>
      <c r="Y1094" s="15">
        <v>1.6620440000000001</v>
      </c>
      <c r="Z1094" s="15">
        <v>6</v>
      </c>
      <c r="AA1094" s="46">
        <v>46257</v>
      </c>
      <c r="AB1094" s="15"/>
      <c r="AC1094" s="15"/>
      <c r="AD1094" s="15"/>
      <c r="AE1094" s="15"/>
      <c r="AF1094" s="15"/>
      <c r="AG1094" s="15"/>
      <c r="AH1094" s="15"/>
      <c r="AI1094" s="46"/>
      <c r="AJ1094" s="51" t="s">
        <v>67</v>
      </c>
      <c r="AK1094" s="51" t="s">
        <v>6121</v>
      </c>
      <c r="AL1094" s="15">
        <v>849.8</v>
      </c>
      <c r="AM1094" s="51" t="s">
        <v>67</v>
      </c>
      <c r="AN1094" s="51" t="s">
        <v>67</v>
      </c>
      <c r="AO1094" s="50" t="s">
        <v>9554</v>
      </c>
    </row>
    <row r="1095" spans="1:41" hidden="1" x14ac:dyDescent="0.25">
      <c r="A1095" s="51" t="s">
        <v>6007</v>
      </c>
      <c r="B1095" s="51" t="s">
        <v>6008</v>
      </c>
      <c r="C1095" s="54" t="s">
        <v>5597</v>
      </c>
      <c r="D1095" s="51" t="s">
        <v>6009</v>
      </c>
      <c r="E1095" s="20">
        <v>15306.25</v>
      </c>
      <c r="F1095" s="20">
        <v>913.28</v>
      </c>
      <c r="G1095" s="20">
        <v>3825.02</v>
      </c>
      <c r="H1095" s="20">
        <v>913.28</v>
      </c>
      <c r="I1095" s="20">
        <v>913.28</v>
      </c>
      <c r="J1095" s="51" t="s">
        <v>6727</v>
      </c>
      <c r="K1095" s="15">
        <v>0</v>
      </c>
      <c r="L1095" s="51" t="s">
        <v>2371</v>
      </c>
      <c r="M1095" s="51" t="s">
        <v>6010</v>
      </c>
      <c r="N1095" s="51" t="s">
        <v>1340</v>
      </c>
      <c r="O1095" s="51" t="s">
        <v>6011</v>
      </c>
      <c r="P1095" s="51" t="s">
        <v>1340</v>
      </c>
      <c r="Q1095" s="45">
        <v>46283.020296377312</v>
      </c>
      <c r="R1095" s="46">
        <v>46321</v>
      </c>
      <c r="S1095" s="46">
        <v>46316</v>
      </c>
      <c r="T1095" s="51" t="s">
        <v>6119</v>
      </c>
      <c r="U1095" s="15"/>
      <c r="V1095" s="15"/>
      <c r="W1095" s="15"/>
      <c r="X1095" s="15"/>
      <c r="Y1095" s="15"/>
      <c r="Z1095" s="15"/>
      <c r="AA1095" s="46"/>
      <c r="AB1095" s="15"/>
      <c r="AC1095" s="15"/>
      <c r="AD1095" s="15"/>
      <c r="AE1095" s="15"/>
      <c r="AF1095" s="15"/>
      <c r="AG1095" s="15"/>
      <c r="AH1095" s="15"/>
      <c r="AI1095" s="46"/>
      <c r="AJ1095" s="51" t="s">
        <v>67</v>
      </c>
      <c r="AK1095" s="51" t="s">
        <v>67</v>
      </c>
      <c r="AL1095" s="15"/>
      <c r="AM1095" s="51" t="s">
        <v>67</v>
      </c>
      <c r="AN1095" s="51" t="s">
        <v>67</v>
      </c>
      <c r="AO1095" s="50" t="s">
        <v>9554</v>
      </c>
    </row>
    <row r="1096" spans="1:41" hidden="1" x14ac:dyDescent="0.25">
      <c r="A1096" s="51" t="s">
        <v>6012</v>
      </c>
      <c r="B1096" s="51" t="s">
        <v>6013</v>
      </c>
      <c r="C1096" s="54" t="s">
        <v>5606</v>
      </c>
      <c r="D1096" s="51" t="s">
        <v>6014</v>
      </c>
      <c r="E1096" s="20">
        <v>11310.84</v>
      </c>
      <c r="F1096" s="20">
        <v>4985.76</v>
      </c>
      <c r="G1096" s="20">
        <v>8104.42</v>
      </c>
      <c r="H1096" s="20">
        <v>3870.86</v>
      </c>
      <c r="I1096" s="20">
        <v>4985.76</v>
      </c>
      <c r="J1096" s="51" t="s">
        <v>6727</v>
      </c>
      <c r="K1096" s="15">
        <v>24</v>
      </c>
      <c r="L1096" s="51" t="s">
        <v>2369</v>
      </c>
      <c r="M1096" s="51" t="s">
        <v>6015</v>
      </c>
      <c r="N1096" s="51" t="s">
        <v>1340</v>
      </c>
      <c r="O1096" s="51" t="s">
        <v>67</v>
      </c>
      <c r="P1096" s="51" t="s">
        <v>67</v>
      </c>
      <c r="Q1096" s="45">
        <v>46283.020298645832</v>
      </c>
      <c r="R1096" s="46">
        <v>46297</v>
      </c>
      <c r="S1096" s="46">
        <v>46292</v>
      </c>
      <c r="T1096" s="51" t="s">
        <v>6119</v>
      </c>
      <c r="U1096" s="15">
        <v>848.05</v>
      </c>
      <c r="V1096" s="15">
        <v>3921.84</v>
      </c>
      <c r="W1096" s="15">
        <v>36.08</v>
      </c>
      <c r="X1096" s="15">
        <v>14.9</v>
      </c>
      <c r="Y1096" s="15">
        <v>1.662307</v>
      </c>
      <c r="Z1096" s="15">
        <v>6</v>
      </c>
      <c r="AA1096" s="46">
        <v>46267</v>
      </c>
      <c r="AB1096" s="15"/>
      <c r="AC1096" s="15"/>
      <c r="AD1096" s="15"/>
      <c r="AE1096" s="15"/>
      <c r="AF1096" s="15"/>
      <c r="AG1096" s="15"/>
      <c r="AH1096" s="15"/>
      <c r="AI1096" s="46"/>
      <c r="AJ1096" s="51" t="s">
        <v>6121</v>
      </c>
      <c r="AK1096" s="51" t="s">
        <v>6121</v>
      </c>
      <c r="AL1096" s="15">
        <v>848.05</v>
      </c>
      <c r="AM1096" s="51" t="s">
        <v>67</v>
      </c>
      <c r="AN1096" s="51" t="s">
        <v>67</v>
      </c>
      <c r="AO1096" s="50" t="s">
        <v>9554</v>
      </c>
    </row>
    <row r="1097" spans="1:41" hidden="1" x14ac:dyDescent="0.25">
      <c r="A1097" s="51" t="s">
        <v>6016</v>
      </c>
      <c r="B1097" s="51" t="s">
        <v>6017</v>
      </c>
      <c r="C1097" s="54" t="s">
        <v>2541</v>
      </c>
      <c r="D1097" s="51" t="s">
        <v>6018</v>
      </c>
      <c r="E1097" s="20">
        <v>1927.61</v>
      </c>
      <c r="F1097" s="20">
        <v>275.14</v>
      </c>
      <c r="G1097" s="20">
        <v>21257.37</v>
      </c>
      <c r="H1097" s="20">
        <v>0</v>
      </c>
      <c r="I1097" s="20">
        <v>495.26</v>
      </c>
      <c r="J1097" s="51" t="s">
        <v>2654</v>
      </c>
      <c r="K1097" s="15">
        <v>0</v>
      </c>
      <c r="L1097" s="51" t="s">
        <v>2371</v>
      </c>
      <c r="M1097" s="51" t="s">
        <v>6019</v>
      </c>
      <c r="N1097" s="51" t="s">
        <v>1344</v>
      </c>
      <c r="O1097" s="51" t="s">
        <v>67</v>
      </c>
      <c r="P1097" s="51" t="s">
        <v>67</v>
      </c>
      <c r="Q1097" s="45">
        <v>46283.020301249999</v>
      </c>
      <c r="R1097" s="46">
        <v>46311</v>
      </c>
      <c r="S1097" s="46">
        <v>46306</v>
      </c>
      <c r="T1097" s="51" t="s">
        <v>6119</v>
      </c>
      <c r="U1097" s="15"/>
      <c r="V1097" s="15"/>
      <c r="W1097" s="15"/>
      <c r="X1097" s="15"/>
      <c r="Y1097" s="15"/>
      <c r="Z1097" s="15"/>
      <c r="AA1097" s="46"/>
      <c r="AB1097" s="15"/>
      <c r="AC1097" s="15"/>
      <c r="AD1097" s="15"/>
      <c r="AE1097" s="15"/>
      <c r="AF1097" s="15"/>
      <c r="AG1097" s="15"/>
      <c r="AH1097" s="15"/>
      <c r="AI1097" s="46"/>
      <c r="AJ1097" s="51" t="s">
        <v>67</v>
      </c>
      <c r="AK1097" s="51" t="s">
        <v>67</v>
      </c>
      <c r="AL1097" s="15"/>
      <c r="AM1097" s="51" t="s">
        <v>67</v>
      </c>
      <c r="AN1097" s="51" t="s">
        <v>67</v>
      </c>
      <c r="AO1097" s="50" t="s">
        <v>9554</v>
      </c>
    </row>
    <row r="1098" spans="1:41" hidden="1" x14ac:dyDescent="0.25">
      <c r="A1098" s="51" t="s">
        <v>6020</v>
      </c>
      <c r="B1098" s="51" t="s">
        <v>6021</v>
      </c>
      <c r="C1098" s="54" t="s">
        <v>2356</v>
      </c>
      <c r="D1098" s="51" t="s">
        <v>6022</v>
      </c>
      <c r="E1098" s="20">
        <v>1322.4</v>
      </c>
      <c r="F1098" s="20">
        <v>851.13</v>
      </c>
      <c r="G1098" s="20">
        <v>9084.8799999999992</v>
      </c>
      <c r="H1098" s="20">
        <v>0</v>
      </c>
      <c r="I1098" s="20">
        <v>851.13</v>
      </c>
      <c r="J1098" s="51" t="s">
        <v>2654</v>
      </c>
      <c r="K1098" s="15">
        <v>0</v>
      </c>
      <c r="L1098" s="51" t="s">
        <v>2371</v>
      </c>
      <c r="M1098" s="51" t="s">
        <v>6023</v>
      </c>
      <c r="N1098" s="51" t="s">
        <v>1344</v>
      </c>
      <c r="O1098" s="51" t="s">
        <v>67</v>
      </c>
      <c r="P1098" s="51" t="s">
        <v>67</v>
      </c>
      <c r="Q1098" s="45">
        <v>46283.020305289348</v>
      </c>
      <c r="R1098" s="46">
        <v>46307</v>
      </c>
      <c r="S1098" s="46">
        <v>46302</v>
      </c>
      <c r="T1098" s="51" t="s">
        <v>6119</v>
      </c>
      <c r="U1098" s="15"/>
      <c r="V1098" s="15"/>
      <c r="W1098" s="15"/>
      <c r="X1098" s="15"/>
      <c r="Y1098" s="15"/>
      <c r="Z1098" s="15"/>
      <c r="AA1098" s="46"/>
      <c r="AB1098" s="15"/>
      <c r="AC1098" s="15"/>
      <c r="AD1098" s="15"/>
      <c r="AE1098" s="15"/>
      <c r="AF1098" s="15"/>
      <c r="AG1098" s="15"/>
      <c r="AH1098" s="15"/>
      <c r="AI1098" s="46"/>
      <c r="AJ1098" s="51" t="s">
        <v>67</v>
      </c>
      <c r="AK1098" s="51" t="s">
        <v>67</v>
      </c>
      <c r="AL1098" s="15"/>
      <c r="AM1098" s="51" t="s">
        <v>67</v>
      </c>
      <c r="AN1098" s="51" t="s">
        <v>67</v>
      </c>
      <c r="AO1098" s="50" t="s">
        <v>9554</v>
      </c>
    </row>
    <row r="1099" spans="1:41" hidden="1" x14ac:dyDescent="0.25">
      <c r="A1099" s="51" t="s">
        <v>6024</v>
      </c>
      <c r="B1099" s="51" t="s">
        <v>6025</v>
      </c>
      <c r="C1099" s="54" t="s">
        <v>5597</v>
      </c>
      <c r="D1099" s="51" t="s">
        <v>6026</v>
      </c>
      <c r="E1099" s="20">
        <v>2162.35</v>
      </c>
      <c r="F1099" s="20">
        <v>588.58000000000004</v>
      </c>
      <c r="G1099" s="20">
        <v>13561.71</v>
      </c>
      <c r="H1099" s="20">
        <v>588.58000000000004</v>
      </c>
      <c r="I1099" s="20">
        <v>588.58000000000004</v>
      </c>
      <c r="J1099" s="51" t="s">
        <v>6727</v>
      </c>
      <c r="K1099" s="15">
        <v>0</v>
      </c>
      <c r="L1099" s="51" t="s">
        <v>2371</v>
      </c>
      <c r="M1099" s="51" t="s">
        <v>6027</v>
      </c>
      <c r="N1099" s="51" t="s">
        <v>1340</v>
      </c>
      <c r="O1099" s="51" t="s">
        <v>67</v>
      </c>
      <c r="P1099" s="51" t="s">
        <v>67</v>
      </c>
      <c r="Q1099" s="45">
        <v>46283.020307245373</v>
      </c>
      <c r="R1099" s="46">
        <v>46321</v>
      </c>
      <c r="S1099" s="46">
        <v>46316</v>
      </c>
      <c r="T1099" s="51" t="s">
        <v>6119</v>
      </c>
      <c r="U1099" s="15"/>
      <c r="V1099" s="15"/>
      <c r="W1099" s="15"/>
      <c r="X1099" s="15"/>
      <c r="Y1099" s="15"/>
      <c r="Z1099" s="15"/>
      <c r="AA1099" s="46"/>
      <c r="AB1099" s="15"/>
      <c r="AC1099" s="15"/>
      <c r="AD1099" s="15"/>
      <c r="AE1099" s="15"/>
      <c r="AF1099" s="15"/>
      <c r="AG1099" s="15"/>
      <c r="AH1099" s="15"/>
      <c r="AI1099" s="46"/>
      <c r="AJ1099" s="51" t="s">
        <v>67</v>
      </c>
      <c r="AK1099" s="51" t="s">
        <v>67</v>
      </c>
      <c r="AL1099" s="15"/>
      <c r="AM1099" s="51" t="s">
        <v>67</v>
      </c>
      <c r="AN1099" s="51" t="s">
        <v>67</v>
      </c>
      <c r="AO1099" s="50" t="s">
        <v>9554</v>
      </c>
    </row>
    <row r="1100" spans="1:41" hidden="1" x14ac:dyDescent="0.25">
      <c r="A1100" s="51" t="s">
        <v>6028</v>
      </c>
      <c r="B1100" s="51" t="s">
        <v>6029</v>
      </c>
      <c r="C1100" s="54" t="s">
        <v>2541</v>
      </c>
      <c r="D1100" s="51" t="s">
        <v>6030</v>
      </c>
      <c r="E1100" s="20">
        <v>6198.29</v>
      </c>
      <c r="F1100" s="20">
        <v>877.59</v>
      </c>
      <c r="G1100" s="20">
        <v>14639.38</v>
      </c>
      <c r="H1100" s="20">
        <v>0</v>
      </c>
      <c r="I1100" s="20">
        <v>877.59</v>
      </c>
      <c r="J1100" s="51" t="s">
        <v>2654</v>
      </c>
      <c r="K1100" s="15">
        <v>0</v>
      </c>
      <c r="L1100" s="51" t="s">
        <v>2371</v>
      </c>
      <c r="M1100" s="51" t="s">
        <v>6031</v>
      </c>
      <c r="N1100" s="51" t="s">
        <v>1344</v>
      </c>
      <c r="O1100" s="51" t="s">
        <v>6032</v>
      </c>
      <c r="P1100" s="51" t="s">
        <v>1344</v>
      </c>
      <c r="Q1100" s="45">
        <v>46283.020309363426</v>
      </c>
      <c r="R1100" s="46">
        <v>46311</v>
      </c>
      <c r="S1100" s="46">
        <v>46306</v>
      </c>
      <c r="T1100" s="51" t="s">
        <v>6119</v>
      </c>
      <c r="U1100" s="15"/>
      <c r="V1100" s="15"/>
      <c r="W1100" s="15"/>
      <c r="X1100" s="15"/>
      <c r="Y1100" s="15"/>
      <c r="Z1100" s="15"/>
      <c r="AA1100" s="46"/>
      <c r="AB1100" s="15"/>
      <c r="AC1100" s="15"/>
      <c r="AD1100" s="15"/>
      <c r="AE1100" s="15"/>
      <c r="AF1100" s="15"/>
      <c r="AG1100" s="15"/>
      <c r="AH1100" s="15"/>
      <c r="AI1100" s="46"/>
      <c r="AJ1100" s="51" t="s">
        <v>67</v>
      </c>
      <c r="AK1100" s="51" t="s">
        <v>67</v>
      </c>
      <c r="AL1100" s="15"/>
      <c r="AM1100" s="51" t="s">
        <v>67</v>
      </c>
      <c r="AN1100" s="51" t="s">
        <v>67</v>
      </c>
      <c r="AO1100" s="50" t="s">
        <v>9554</v>
      </c>
    </row>
    <row r="1101" spans="1:41" hidden="1" x14ac:dyDescent="0.25">
      <c r="A1101" s="51" t="s">
        <v>6033</v>
      </c>
      <c r="B1101" s="51" t="s">
        <v>6034</v>
      </c>
      <c r="C1101" s="54" t="s">
        <v>5596</v>
      </c>
      <c r="D1101" s="51" t="s">
        <v>6035</v>
      </c>
      <c r="E1101" s="20">
        <v>14603.81</v>
      </c>
      <c r="F1101" s="20">
        <v>3912.53</v>
      </c>
      <c r="G1101" s="20">
        <v>10093.469999999999</v>
      </c>
      <c r="H1101" s="20">
        <v>3870.86</v>
      </c>
      <c r="I1101" s="20">
        <v>3912.53</v>
      </c>
      <c r="J1101" s="51" t="s">
        <v>6725</v>
      </c>
      <c r="K1101" s="15">
        <v>0</v>
      </c>
      <c r="L1101" s="51" t="s">
        <v>2371</v>
      </c>
      <c r="M1101" s="51" t="s">
        <v>67</v>
      </c>
      <c r="N1101" s="51" t="s">
        <v>67</v>
      </c>
      <c r="O1101" s="51" t="s">
        <v>6036</v>
      </c>
      <c r="P1101" s="51" t="s">
        <v>1344</v>
      </c>
      <c r="Q1101" s="45">
        <v>46283.020311678243</v>
      </c>
      <c r="R1101" s="46">
        <v>46300</v>
      </c>
      <c r="S1101" s="46">
        <v>46295</v>
      </c>
      <c r="T1101" s="51" t="s">
        <v>6119</v>
      </c>
      <c r="U1101" s="15">
        <v>848.05</v>
      </c>
      <c r="V1101" s="15">
        <v>3921.84</v>
      </c>
      <c r="W1101" s="15">
        <v>36.08</v>
      </c>
      <c r="X1101" s="15">
        <v>14.9</v>
      </c>
      <c r="Y1101" s="15">
        <v>1.662307</v>
      </c>
      <c r="Z1101" s="15">
        <v>6</v>
      </c>
      <c r="AA1101" s="46">
        <v>46270</v>
      </c>
      <c r="AB1101" s="15"/>
      <c r="AC1101" s="15"/>
      <c r="AD1101" s="15"/>
      <c r="AE1101" s="15"/>
      <c r="AF1101" s="15"/>
      <c r="AG1101" s="15"/>
      <c r="AH1101" s="15"/>
      <c r="AI1101" s="46"/>
      <c r="AJ1101" s="51" t="s">
        <v>67</v>
      </c>
      <c r="AK1101" s="51" t="s">
        <v>6121</v>
      </c>
      <c r="AL1101" s="15">
        <v>848.05</v>
      </c>
      <c r="AM1101" s="51" t="s">
        <v>67</v>
      </c>
      <c r="AN1101" s="51" t="s">
        <v>67</v>
      </c>
      <c r="AO1101" s="50" t="s">
        <v>9554</v>
      </c>
    </row>
    <row r="1102" spans="1:41" hidden="1" x14ac:dyDescent="0.25">
      <c r="A1102" s="51" t="s">
        <v>6037</v>
      </c>
      <c r="B1102" s="51" t="s">
        <v>6038</v>
      </c>
      <c r="C1102" s="54" t="s">
        <v>2691</v>
      </c>
      <c r="D1102" s="51" t="s">
        <v>6039</v>
      </c>
      <c r="E1102" s="20">
        <v>5044.41</v>
      </c>
      <c r="F1102" s="20">
        <v>499.12</v>
      </c>
      <c r="G1102" s="20">
        <v>12647.48</v>
      </c>
      <c r="H1102" s="20">
        <v>0</v>
      </c>
      <c r="I1102" s="20">
        <v>499.12</v>
      </c>
      <c r="J1102" s="51" t="s">
        <v>2654</v>
      </c>
      <c r="K1102" s="15">
        <v>0</v>
      </c>
      <c r="L1102" s="51" t="s">
        <v>2371</v>
      </c>
      <c r="M1102" s="51" t="s">
        <v>67</v>
      </c>
      <c r="N1102" s="51" t="s">
        <v>67</v>
      </c>
      <c r="O1102" s="51" t="s">
        <v>6040</v>
      </c>
      <c r="P1102" s="51" t="s">
        <v>1340</v>
      </c>
      <c r="Q1102" s="45">
        <v>46283.020314386573</v>
      </c>
      <c r="R1102" s="46">
        <v>46301</v>
      </c>
      <c r="S1102" s="46">
        <v>46296</v>
      </c>
      <c r="T1102" s="51" t="s">
        <v>6119</v>
      </c>
      <c r="U1102" s="15"/>
      <c r="V1102" s="15"/>
      <c r="W1102" s="15"/>
      <c r="X1102" s="15"/>
      <c r="Y1102" s="15"/>
      <c r="Z1102" s="15"/>
      <c r="AA1102" s="46"/>
      <c r="AB1102" s="15"/>
      <c r="AC1102" s="15"/>
      <c r="AD1102" s="15"/>
      <c r="AE1102" s="15"/>
      <c r="AF1102" s="15"/>
      <c r="AG1102" s="15"/>
      <c r="AH1102" s="15"/>
      <c r="AI1102" s="46"/>
      <c r="AJ1102" s="51" t="s">
        <v>67</v>
      </c>
      <c r="AK1102" s="51" t="s">
        <v>67</v>
      </c>
      <c r="AL1102" s="15"/>
      <c r="AM1102" s="51" t="s">
        <v>67</v>
      </c>
      <c r="AN1102" s="51" t="s">
        <v>67</v>
      </c>
      <c r="AO1102" s="50" t="s">
        <v>9554</v>
      </c>
    </row>
    <row r="1103" spans="1:41" hidden="1" x14ac:dyDescent="0.25">
      <c r="A1103" s="51" t="s">
        <v>6041</v>
      </c>
      <c r="B1103" s="51" t="s">
        <v>6042</v>
      </c>
      <c r="C1103" s="54" t="s">
        <v>5598</v>
      </c>
      <c r="D1103" s="51" t="s">
        <v>6043</v>
      </c>
      <c r="E1103" s="20">
        <v>13324.88</v>
      </c>
      <c r="F1103" s="20">
        <v>424.84</v>
      </c>
      <c r="G1103" s="20">
        <v>3636.23</v>
      </c>
      <c r="H1103" s="20">
        <v>446.99</v>
      </c>
      <c r="I1103" s="20">
        <v>424.84</v>
      </c>
      <c r="J1103" s="51" t="s">
        <v>6726</v>
      </c>
      <c r="K1103" s="15">
        <v>3</v>
      </c>
      <c r="L1103" s="51" t="s">
        <v>2369</v>
      </c>
      <c r="M1103" s="51" t="s">
        <v>67</v>
      </c>
      <c r="N1103" s="51" t="s">
        <v>67</v>
      </c>
      <c r="O1103" s="51" t="s">
        <v>6044</v>
      </c>
      <c r="P1103" s="51" t="s">
        <v>1340</v>
      </c>
      <c r="Q1103" s="45">
        <v>46283.020316979164</v>
      </c>
      <c r="R1103" s="46">
        <v>46318</v>
      </c>
      <c r="S1103" s="46">
        <v>46313</v>
      </c>
      <c r="T1103" s="51" t="s">
        <v>6119</v>
      </c>
      <c r="U1103" s="15"/>
      <c r="V1103" s="15"/>
      <c r="W1103" s="15"/>
      <c r="X1103" s="15"/>
      <c r="Y1103" s="15"/>
      <c r="Z1103" s="15"/>
      <c r="AA1103" s="46"/>
      <c r="AB1103" s="15"/>
      <c r="AC1103" s="15"/>
      <c r="AD1103" s="15"/>
      <c r="AE1103" s="15"/>
      <c r="AF1103" s="15"/>
      <c r="AG1103" s="15"/>
      <c r="AH1103" s="15"/>
      <c r="AI1103" s="46"/>
      <c r="AJ1103" s="51" t="s">
        <v>67</v>
      </c>
      <c r="AK1103" s="51" t="s">
        <v>67</v>
      </c>
      <c r="AL1103" s="15"/>
      <c r="AM1103" s="51" t="s">
        <v>67</v>
      </c>
      <c r="AN1103" s="51" t="s">
        <v>67</v>
      </c>
      <c r="AO1103" s="50" t="s">
        <v>9554</v>
      </c>
    </row>
    <row r="1104" spans="1:41" hidden="1" x14ac:dyDescent="0.25">
      <c r="A1104" s="51" t="s">
        <v>6045</v>
      </c>
      <c r="B1104" s="51" t="s">
        <v>6046</v>
      </c>
      <c r="C1104" s="54" t="s">
        <v>2358</v>
      </c>
      <c r="D1104" s="51" t="s">
        <v>6047</v>
      </c>
      <c r="E1104" s="20">
        <v>8647.86</v>
      </c>
      <c r="F1104" s="20">
        <v>820.72</v>
      </c>
      <c r="G1104" s="20">
        <v>18994.34</v>
      </c>
      <c r="H1104" s="20">
        <v>0</v>
      </c>
      <c r="I1104" s="20">
        <v>820.72</v>
      </c>
      <c r="J1104" s="51" t="s">
        <v>2654</v>
      </c>
      <c r="K1104" s="15">
        <v>0</v>
      </c>
      <c r="L1104" s="51" t="s">
        <v>2371</v>
      </c>
      <c r="M1104" s="51" t="s">
        <v>6048</v>
      </c>
      <c r="N1104" s="51" t="s">
        <v>1340</v>
      </c>
      <c r="O1104" s="51" t="s">
        <v>6049</v>
      </c>
      <c r="P1104" s="51" t="s">
        <v>1340</v>
      </c>
      <c r="Q1104" s="45">
        <v>46283.020319282405</v>
      </c>
      <c r="R1104" s="46">
        <v>46309</v>
      </c>
      <c r="S1104" s="46">
        <v>46304</v>
      </c>
      <c r="T1104" s="51" t="s">
        <v>6119</v>
      </c>
      <c r="U1104" s="15"/>
      <c r="V1104" s="15"/>
      <c r="W1104" s="15"/>
      <c r="X1104" s="15"/>
      <c r="Y1104" s="15"/>
      <c r="Z1104" s="15"/>
      <c r="AA1104" s="46"/>
      <c r="AB1104" s="15"/>
      <c r="AC1104" s="15"/>
      <c r="AD1104" s="15"/>
      <c r="AE1104" s="15"/>
      <c r="AF1104" s="15"/>
      <c r="AG1104" s="15"/>
      <c r="AH1104" s="15"/>
      <c r="AI1104" s="46"/>
      <c r="AJ1104" s="51" t="s">
        <v>67</v>
      </c>
      <c r="AK1104" s="51" t="s">
        <v>67</v>
      </c>
      <c r="AL1104" s="15"/>
      <c r="AM1104" s="51" t="s">
        <v>67</v>
      </c>
      <c r="AN1104" s="51" t="s">
        <v>67</v>
      </c>
      <c r="AO1104" s="50" t="s">
        <v>9554</v>
      </c>
    </row>
    <row r="1105" spans="1:41" hidden="1" x14ac:dyDescent="0.25">
      <c r="A1105" s="51" t="s">
        <v>6050</v>
      </c>
      <c r="B1105" s="51" t="s">
        <v>6051</v>
      </c>
      <c r="C1105" s="54" t="s">
        <v>5605</v>
      </c>
      <c r="D1105" s="51" t="s">
        <v>6052</v>
      </c>
      <c r="E1105" s="20">
        <v>8106.55</v>
      </c>
      <c r="F1105" s="20">
        <v>9128.02</v>
      </c>
      <c r="G1105" s="20">
        <v>12463.05</v>
      </c>
      <c r="H1105" s="20">
        <v>8413.4</v>
      </c>
      <c r="I1105" s="20">
        <v>9128.02</v>
      </c>
      <c r="J1105" s="51" t="s">
        <v>6727</v>
      </c>
      <c r="K1105" s="15">
        <v>29</v>
      </c>
      <c r="L1105" s="51" t="s">
        <v>2369</v>
      </c>
      <c r="M1105" s="51" t="s">
        <v>6053</v>
      </c>
      <c r="N1105" s="51" t="s">
        <v>1340</v>
      </c>
      <c r="O1105" s="51" t="s">
        <v>6054</v>
      </c>
      <c r="P1105" s="51" t="s">
        <v>1340</v>
      </c>
      <c r="Q1105" s="45">
        <v>46283.020321655094</v>
      </c>
      <c r="R1105" s="46">
        <v>46323</v>
      </c>
      <c r="S1105" s="46">
        <v>46318</v>
      </c>
      <c r="T1105" s="51" t="s">
        <v>6119</v>
      </c>
      <c r="U1105" s="15">
        <v>849.8</v>
      </c>
      <c r="V1105" s="15">
        <v>3922.15</v>
      </c>
      <c r="W1105" s="15">
        <v>36.39</v>
      </c>
      <c r="X1105" s="15">
        <v>14.9</v>
      </c>
      <c r="Y1105" s="15">
        <v>1.6620440000000001</v>
      </c>
      <c r="Z1105" s="15">
        <v>6</v>
      </c>
      <c r="AA1105" s="46">
        <v>46262</v>
      </c>
      <c r="AB1105" s="15"/>
      <c r="AC1105" s="15"/>
      <c r="AD1105" s="15"/>
      <c r="AE1105" s="15"/>
      <c r="AF1105" s="15"/>
      <c r="AG1105" s="15"/>
      <c r="AH1105" s="15"/>
      <c r="AI1105" s="46"/>
      <c r="AJ1105" s="51" t="s">
        <v>6121</v>
      </c>
      <c r="AK1105" s="51" t="s">
        <v>6121</v>
      </c>
      <c r="AL1105" s="15">
        <v>849.8</v>
      </c>
      <c r="AM1105" s="51" t="s">
        <v>67</v>
      </c>
      <c r="AN1105" s="51" t="s">
        <v>67</v>
      </c>
      <c r="AO1105" s="50" t="s">
        <v>9554</v>
      </c>
    </row>
    <row r="1106" spans="1:41" hidden="1" x14ac:dyDescent="0.25">
      <c r="A1106" s="51" t="s">
        <v>6055</v>
      </c>
      <c r="B1106" s="51" t="s">
        <v>6056</v>
      </c>
      <c r="C1106" s="54" t="s">
        <v>5602</v>
      </c>
      <c r="D1106" s="51" t="s">
        <v>6057</v>
      </c>
      <c r="E1106" s="20">
        <v>3303.72</v>
      </c>
      <c r="F1106" s="20">
        <v>792.9</v>
      </c>
      <c r="G1106" s="20">
        <v>20577</v>
      </c>
      <c r="H1106" s="20">
        <v>0</v>
      </c>
      <c r="I1106" s="20">
        <v>792.9</v>
      </c>
      <c r="J1106" s="51" t="s">
        <v>2654</v>
      </c>
      <c r="K1106" s="15">
        <v>0</v>
      </c>
      <c r="L1106" s="51" t="s">
        <v>2371</v>
      </c>
      <c r="M1106" s="51" t="s">
        <v>6058</v>
      </c>
      <c r="N1106" s="51" t="s">
        <v>1340</v>
      </c>
      <c r="O1106" s="51" t="s">
        <v>67</v>
      </c>
      <c r="P1106" s="51" t="s">
        <v>67</v>
      </c>
      <c r="Q1106" s="45">
        <v>46283.020324108795</v>
      </c>
      <c r="R1106" s="46">
        <v>46303</v>
      </c>
      <c r="S1106" s="46">
        <v>46298</v>
      </c>
      <c r="T1106" s="51" t="s">
        <v>6119</v>
      </c>
      <c r="U1106" s="15"/>
      <c r="V1106" s="15"/>
      <c r="W1106" s="15"/>
      <c r="X1106" s="15"/>
      <c r="Y1106" s="15"/>
      <c r="Z1106" s="15"/>
      <c r="AA1106" s="46"/>
      <c r="AB1106" s="15"/>
      <c r="AC1106" s="15"/>
      <c r="AD1106" s="15"/>
      <c r="AE1106" s="15"/>
      <c r="AF1106" s="15"/>
      <c r="AG1106" s="15"/>
      <c r="AH1106" s="15"/>
      <c r="AI1106" s="46"/>
      <c r="AJ1106" s="51" t="s">
        <v>67</v>
      </c>
      <c r="AK1106" s="51" t="s">
        <v>67</v>
      </c>
      <c r="AL1106" s="15"/>
      <c r="AM1106" s="51" t="s">
        <v>67</v>
      </c>
      <c r="AN1106" s="51" t="s">
        <v>67</v>
      </c>
      <c r="AO1106" s="50" t="s">
        <v>9554</v>
      </c>
    </row>
    <row r="1107" spans="1:41" hidden="1" x14ac:dyDescent="0.25">
      <c r="A1107" s="51" t="s">
        <v>6059</v>
      </c>
      <c r="B1107" s="51" t="s">
        <v>6060</v>
      </c>
      <c r="C1107" s="54" t="s">
        <v>5598</v>
      </c>
      <c r="D1107" s="51" t="s">
        <v>6061</v>
      </c>
      <c r="E1107" s="20">
        <v>3121.48</v>
      </c>
      <c r="F1107" s="20">
        <v>0</v>
      </c>
      <c r="G1107" s="20">
        <v>12659.77</v>
      </c>
      <c r="H1107" s="20">
        <v>488.82</v>
      </c>
      <c r="I1107" s="20">
        <v>0</v>
      </c>
      <c r="J1107" s="51" t="s">
        <v>6724</v>
      </c>
      <c r="K1107" s="15">
        <v>0</v>
      </c>
      <c r="L1107" s="51" t="s">
        <v>2371</v>
      </c>
      <c r="M1107" s="51" t="s">
        <v>6062</v>
      </c>
      <c r="N1107" s="51" t="s">
        <v>1344</v>
      </c>
      <c r="O1107" s="51" t="s">
        <v>67</v>
      </c>
      <c r="P1107" s="51" t="s">
        <v>67</v>
      </c>
      <c r="Q1107" s="45">
        <v>46283.020326226855</v>
      </c>
      <c r="R1107" s="46">
        <v>46318</v>
      </c>
      <c r="S1107" s="46">
        <v>46313</v>
      </c>
      <c r="T1107" s="51" t="s">
        <v>6119</v>
      </c>
      <c r="U1107" s="15"/>
      <c r="V1107" s="15"/>
      <c r="W1107" s="15"/>
      <c r="X1107" s="15"/>
      <c r="Y1107" s="15"/>
      <c r="Z1107" s="15"/>
      <c r="AA1107" s="46"/>
      <c r="AB1107" s="15"/>
      <c r="AC1107" s="15"/>
      <c r="AD1107" s="15"/>
      <c r="AE1107" s="15"/>
      <c r="AF1107" s="15"/>
      <c r="AG1107" s="15"/>
      <c r="AH1107" s="15"/>
      <c r="AI1107" s="46"/>
      <c r="AJ1107" s="51" t="s">
        <v>67</v>
      </c>
      <c r="AK1107" s="51" t="s">
        <v>67</v>
      </c>
      <c r="AL1107" s="15"/>
      <c r="AM1107" s="51" t="s">
        <v>67</v>
      </c>
      <c r="AN1107" s="51" t="s">
        <v>67</v>
      </c>
      <c r="AO1107" s="50" t="s">
        <v>9554</v>
      </c>
    </row>
    <row r="1108" spans="1:41" hidden="1" x14ac:dyDescent="0.25">
      <c r="A1108" s="51" t="s">
        <v>6063</v>
      </c>
      <c r="B1108" s="51" t="s">
        <v>6064</v>
      </c>
      <c r="C1108" s="54" t="s">
        <v>2356</v>
      </c>
      <c r="D1108" s="51" t="s">
        <v>6065</v>
      </c>
      <c r="E1108" s="20">
        <v>539.04</v>
      </c>
      <c r="F1108" s="20">
        <v>4730.99</v>
      </c>
      <c r="G1108" s="20">
        <v>13968.51</v>
      </c>
      <c r="H1108" s="20">
        <v>3870.86</v>
      </c>
      <c r="I1108" s="20">
        <v>4730.99</v>
      </c>
      <c r="J1108" s="51" t="s">
        <v>6727</v>
      </c>
      <c r="K1108" s="15">
        <v>14</v>
      </c>
      <c r="L1108" s="51" t="s">
        <v>2369</v>
      </c>
      <c r="M1108" s="51" t="s">
        <v>6066</v>
      </c>
      <c r="N1108" s="51" t="s">
        <v>1340</v>
      </c>
      <c r="O1108" s="51" t="s">
        <v>6067</v>
      </c>
      <c r="P1108" s="51" t="s">
        <v>1340</v>
      </c>
      <c r="Q1108" s="45">
        <v>46283.020328541665</v>
      </c>
      <c r="R1108" s="46">
        <v>46307</v>
      </c>
      <c r="S1108" s="46">
        <v>46302</v>
      </c>
      <c r="T1108" s="51" t="s">
        <v>6119</v>
      </c>
      <c r="U1108" s="15">
        <v>848.05</v>
      </c>
      <c r="V1108" s="15">
        <v>3921.84</v>
      </c>
      <c r="W1108" s="15">
        <v>36.08</v>
      </c>
      <c r="X1108" s="15">
        <v>14.9</v>
      </c>
      <c r="Y1108" s="15">
        <v>1.662307</v>
      </c>
      <c r="Z1108" s="15">
        <v>6</v>
      </c>
      <c r="AA1108" s="46">
        <v>46277</v>
      </c>
      <c r="AB1108" s="15"/>
      <c r="AC1108" s="15"/>
      <c r="AD1108" s="15"/>
      <c r="AE1108" s="15"/>
      <c r="AF1108" s="15"/>
      <c r="AG1108" s="15"/>
      <c r="AH1108" s="15"/>
      <c r="AI1108" s="46"/>
      <c r="AJ1108" s="51" t="s">
        <v>6121</v>
      </c>
      <c r="AK1108" s="51" t="s">
        <v>6121</v>
      </c>
      <c r="AL1108" s="15">
        <v>848.05</v>
      </c>
      <c r="AM1108" s="51" t="s">
        <v>67</v>
      </c>
      <c r="AN1108" s="51" t="s">
        <v>67</v>
      </c>
      <c r="AO1108" s="50" t="s">
        <v>9554</v>
      </c>
    </row>
    <row r="1109" spans="1:41" hidden="1" x14ac:dyDescent="0.25">
      <c r="A1109" s="51" t="s">
        <v>6068</v>
      </c>
      <c r="B1109" s="51" t="s">
        <v>6069</v>
      </c>
      <c r="C1109" s="54" t="s">
        <v>2691</v>
      </c>
      <c r="D1109" s="51" t="s">
        <v>6070</v>
      </c>
      <c r="E1109" s="20">
        <v>9417.3799999999992</v>
      </c>
      <c r="F1109" s="20">
        <v>506.99</v>
      </c>
      <c r="G1109" s="20">
        <v>7125.75</v>
      </c>
      <c r="H1109" s="20">
        <v>0</v>
      </c>
      <c r="I1109" s="20">
        <v>506.99</v>
      </c>
      <c r="J1109" s="51" t="s">
        <v>2654</v>
      </c>
      <c r="K1109" s="15">
        <v>0</v>
      </c>
      <c r="L1109" s="51" t="s">
        <v>2371</v>
      </c>
      <c r="M1109" s="51" t="s">
        <v>6071</v>
      </c>
      <c r="N1109" s="51" t="s">
        <v>1340</v>
      </c>
      <c r="O1109" s="51" t="s">
        <v>6072</v>
      </c>
      <c r="P1109" s="51" t="s">
        <v>1340</v>
      </c>
      <c r="Q1109" s="45">
        <v>46283.020331053238</v>
      </c>
      <c r="R1109" s="46">
        <v>46301</v>
      </c>
      <c r="S1109" s="46">
        <v>46296</v>
      </c>
      <c r="T1109" s="51" t="s">
        <v>6119</v>
      </c>
      <c r="U1109" s="15"/>
      <c r="V1109" s="15"/>
      <c r="W1109" s="15"/>
      <c r="X1109" s="15"/>
      <c r="Y1109" s="15"/>
      <c r="Z1109" s="15"/>
      <c r="AA1109" s="46"/>
      <c r="AB1109" s="15"/>
      <c r="AC1109" s="15"/>
      <c r="AD1109" s="15"/>
      <c r="AE1109" s="15"/>
      <c r="AF1109" s="15"/>
      <c r="AG1109" s="15"/>
      <c r="AH1109" s="15"/>
      <c r="AI1109" s="46"/>
      <c r="AJ1109" s="51" t="s">
        <v>67</v>
      </c>
      <c r="AK1109" s="51" t="s">
        <v>67</v>
      </c>
      <c r="AL1109" s="15"/>
      <c r="AM1109" s="51" t="s">
        <v>67</v>
      </c>
      <c r="AN1109" s="51" t="s">
        <v>67</v>
      </c>
      <c r="AO1109" s="50" t="s">
        <v>9554</v>
      </c>
    </row>
    <row r="1110" spans="1:41" hidden="1" x14ac:dyDescent="0.25">
      <c r="A1110" s="51" t="s">
        <v>6073</v>
      </c>
      <c r="B1110" s="51" t="s">
        <v>6074</v>
      </c>
      <c r="C1110" s="54" t="s">
        <v>2357</v>
      </c>
      <c r="D1110" s="51" t="s">
        <v>6075</v>
      </c>
      <c r="E1110" s="20">
        <v>2005.82</v>
      </c>
      <c r="F1110" s="20">
        <v>612.16</v>
      </c>
      <c r="G1110" s="20">
        <v>16747</v>
      </c>
      <c r="H1110" s="20">
        <v>0</v>
      </c>
      <c r="I1110" s="20">
        <v>612.16</v>
      </c>
      <c r="J1110" s="51" t="s">
        <v>2654</v>
      </c>
      <c r="K1110" s="15">
        <v>0</v>
      </c>
      <c r="L1110" s="51" t="s">
        <v>2371</v>
      </c>
      <c r="M1110" s="51" t="s">
        <v>6076</v>
      </c>
      <c r="N1110" s="51" t="s">
        <v>1340</v>
      </c>
      <c r="O1110" s="51" t="s">
        <v>67</v>
      </c>
      <c r="P1110" s="51" t="s">
        <v>67</v>
      </c>
      <c r="Q1110" s="45">
        <v>46283.020333611108</v>
      </c>
      <c r="R1110" s="46">
        <v>46308</v>
      </c>
      <c r="S1110" s="46">
        <v>46303</v>
      </c>
      <c r="T1110" s="51" t="s">
        <v>6119</v>
      </c>
      <c r="U1110" s="15"/>
      <c r="V1110" s="15"/>
      <c r="W1110" s="15"/>
      <c r="X1110" s="15"/>
      <c r="Y1110" s="15"/>
      <c r="Z1110" s="15"/>
      <c r="AA1110" s="46"/>
      <c r="AB1110" s="15"/>
      <c r="AC1110" s="15"/>
      <c r="AD1110" s="15"/>
      <c r="AE1110" s="15"/>
      <c r="AF1110" s="15"/>
      <c r="AG1110" s="15"/>
      <c r="AH1110" s="15"/>
      <c r="AI1110" s="46"/>
      <c r="AJ1110" s="51" t="s">
        <v>67</v>
      </c>
      <c r="AK1110" s="51" t="s">
        <v>67</v>
      </c>
      <c r="AL1110" s="15"/>
      <c r="AM1110" s="51" t="s">
        <v>67</v>
      </c>
      <c r="AN1110" s="51" t="s">
        <v>67</v>
      </c>
      <c r="AO1110" s="50" t="s">
        <v>9554</v>
      </c>
    </row>
    <row r="1111" spans="1:41" hidden="1" x14ac:dyDescent="0.25">
      <c r="A1111" s="51" t="s">
        <v>6077</v>
      </c>
      <c r="B1111" s="51" t="s">
        <v>6078</v>
      </c>
      <c r="C1111" s="54" t="s">
        <v>2690</v>
      </c>
      <c r="D1111" s="51" t="s">
        <v>6079</v>
      </c>
      <c r="E1111" s="20">
        <v>8458.19</v>
      </c>
      <c r="F1111" s="20">
        <v>413.29</v>
      </c>
      <c r="G1111" s="20">
        <v>15162.86</v>
      </c>
      <c r="H1111" s="20">
        <v>413.29</v>
      </c>
      <c r="I1111" s="20">
        <v>413.29</v>
      </c>
      <c r="J1111" s="51" t="s">
        <v>6727</v>
      </c>
      <c r="K1111" s="15">
        <v>0</v>
      </c>
      <c r="L1111" s="51" t="s">
        <v>2371</v>
      </c>
      <c r="M1111" s="51" t="s">
        <v>6080</v>
      </c>
      <c r="N1111" s="51" t="s">
        <v>1340</v>
      </c>
      <c r="O1111" s="51" t="s">
        <v>6081</v>
      </c>
      <c r="P1111" s="51" t="s">
        <v>1340</v>
      </c>
      <c r="Q1111" s="45">
        <v>46283.020335729168</v>
      </c>
      <c r="R1111" s="46">
        <v>46322</v>
      </c>
      <c r="S1111" s="46">
        <v>46317</v>
      </c>
      <c r="T1111" s="51" t="s">
        <v>6119</v>
      </c>
      <c r="U1111" s="15"/>
      <c r="V1111" s="15"/>
      <c r="W1111" s="15"/>
      <c r="X1111" s="15"/>
      <c r="Y1111" s="15"/>
      <c r="Z1111" s="15"/>
      <c r="AA1111" s="46"/>
      <c r="AB1111" s="15"/>
      <c r="AC1111" s="15"/>
      <c r="AD1111" s="15"/>
      <c r="AE1111" s="15"/>
      <c r="AF1111" s="15"/>
      <c r="AG1111" s="15"/>
      <c r="AH1111" s="15"/>
      <c r="AI1111" s="46"/>
      <c r="AJ1111" s="51" t="s">
        <v>67</v>
      </c>
      <c r="AK1111" s="51" t="s">
        <v>67</v>
      </c>
      <c r="AL1111" s="15"/>
      <c r="AM1111" s="51" t="s">
        <v>67</v>
      </c>
      <c r="AN1111" s="51" t="s">
        <v>67</v>
      </c>
      <c r="AO1111" s="50" t="s">
        <v>9554</v>
      </c>
    </row>
    <row r="1112" spans="1:41" hidden="1" x14ac:dyDescent="0.25">
      <c r="A1112" s="51" t="s">
        <v>6096</v>
      </c>
      <c r="B1112" s="51" t="s">
        <v>6122</v>
      </c>
      <c r="C1112" s="54" t="s">
        <v>611</v>
      </c>
      <c r="D1112" s="51" t="s">
        <v>6091</v>
      </c>
      <c r="E1112" s="20">
        <v>7685.59</v>
      </c>
      <c r="F1112" s="20">
        <v>92.13</v>
      </c>
      <c r="G1112" s="20">
        <v>11339.2</v>
      </c>
      <c r="H1112" s="20">
        <v>6070.66</v>
      </c>
      <c r="I1112" s="20">
        <v>0</v>
      </c>
      <c r="J1112" s="51" t="s">
        <v>6726</v>
      </c>
      <c r="K1112" s="15">
        <v>0</v>
      </c>
      <c r="L1112" s="51" t="s">
        <v>2371</v>
      </c>
      <c r="M1112" s="51" t="s">
        <v>6092</v>
      </c>
      <c r="N1112" s="51" t="s">
        <v>1340</v>
      </c>
      <c r="O1112" s="51" t="s">
        <v>6093</v>
      </c>
      <c r="P1112" s="51" t="s">
        <v>1340</v>
      </c>
      <c r="Q1112" s="45">
        <v>46283.03856173611</v>
      </c>
      <c r="R1112" s="46">
        <v>46320</v>
      </c>
      <c r="S1112" s="46">
        <v>46315</v>
      </c>
      <c r="T1112" s="51" t="s">
        <v>6119</v>
      </c>
      <c r="U1112" s="15">
        <v>849.8</v>
      </c>
      <c r="V1112" s="15">
        <v>3922.15</v>
      </c>
      <c r="W1112" s="15">
        <v>36.39</v>
      </c>
      <c r="X1112" s="15">
        <v>14.9</v>
      </c>
      <c r="Y1112" s="15">
        <v>1.6620440000000001</v>
      </c>
      <c r="Z1112" s="15">
        <v>6</v>
      </c>
      <c r="AA1112" s="46">
        <v>46259</v>
      </c>
      <c r="AB1112" s="15"/>
      <c r="AC1112" s="15"/>
      <c r="AD1112" s="15"/>
      <c r="AE1112" s="15"/>
      <c r="AF1112" s="15"/>
      <c r="AG1112" s="15"/>
      <c r="AH1112" s="15"/>
      <c r="AI1112" s="46"/>
      <c r="AJ1112" s="51" t="s">
        <v>67</v>
      </c>
      <c r="AK1112" s="51" t="s">
        <v>6121</v>
      </c>
      <c r="AL1112" s="15">
        <v>849.8</v>
      </c>
      <c r="AM1112" s="51" t="s">
        <v>67</v>
      </c>
      <c r="AN1112" s="51" t="s">
        <v>67</v>
      </c>
      <c r="AO1112" s="50" t="s">
        <v>9556</v>
      </c>
    </row>
    <row r="1113" spans="1:41" hidden="1" x14ac:dyDescent="0.25">
      <c r="A1113" s="51" t="s">
        <v>6097</v>
      </c>
      <c r="B1113" s="51" t="s">
        <v>6123</v>
      </c>
      <c r="C1113" s="54" t="s">
        <v>611</v>
      </c>
      <c r="D1113" s="51" t="s">
        <v>6094</v>
      </c>
      <c r="E1113" s="20">
        <v>13163.75</v>
      </c>
      <c r="F1113" s="20">
        <v>5986.35</v>
      </c>
      <c r="G1113" s="20">
        <v>3775.06</v>
      </c>
      <c r="H1113" s="20">
        <v>8344.32</v>
      </c>
      <c r="I1113" s="20">
        <v>5986.35</v>
      </c>
      <c r="J1113" s="51" t="s">
        <v>6726</v>
      </c>
      <c r="K1113" s="15">
        <v>0</v>
      </c>
      <c r="L1113" s="51" t="s">
        <v>2371</v>
      </c>
      <c r="M1113" s="51" t="s">
        <v>67</v>
      </c>
      <c r="N1113" s="51" t="s">
        <v>67</v>
      </c>
      <c r="O1113" s="51" t="s">
        <v>6095</v>
      </c>
      <c r="P1113" s="51" t="s">
        <v>1340</v>
      </c>
      <c r="Q1113" s="45">
        <v>46283.038668229165</v>
      </c>
      <c r="R1113" s="46">
        <v>46320</v>
      </c>
      <c r="S1113" s="46">
        <v>46315</v>
      </c>
      <c r="T1113" s="51" t="s">
        <v>6119</v>
      </c>
      <c r="U1113" s="15">
        <v>849.8</v>
      </c>
      <c r="V1113" s="15">
        <v>3922.15</v>
      </c>
      <c r="W1113" s="15">
        <v>36.39</v>
      </c>
      <c r="X1113" s="15">
        <v>14.9</v>
      </c>
      <c r="Y1113" s="15">
        <v>1.6620440000000001</v>
      </c>
      <c r="Z1113" s="15">
        <v>6</v>
      </c>
      <c r="AA1113" s="46">
        <v>46259</v>
      </c>
      <c r="AB1113" s="15"/>
      <c r="AC1113" s="15"/>
      <c r="AD1113" s="15"/>
      <c r="AE1113" s="15"/>
      <c r="AF1113" s="15"/>
      <c r="AG1113" s="15"/>
      <c r="AH1113" s="15"/>
      <c r="AI1113" s="46"/>
      <c r="AJ1113" s="51" t="s">
        <v>67</v>
      </c>
      <c r="AK1113" s="51" t="s">
        <v>6121</v>
      </c>
      <c r="AL1113" s="15">
        <v>849.8</v>
      </c>
      <c r="AM1113" s="51" t="s">
        <v>67</v>
      </c>
      <c r="AN1113" s="51" t="s">
        <v>67</v>
      </c>
      <c r="AO1113" s="50" t="s">
        <v>9554</v>
      </c>
    </row>
    <row r="1114" spans="1:41" hidden="1" x14ac:dyDescent="0.25">
      <c r="A1114" s="51" t="s">
        <v>6124</v>
      </c>
      <c r="B1114" s="51" t="s">
        <v>6125</v>
      </c>
      <c r="C1114" s="54" t="s">
        <v>5599</v>
      </c>
      <c r="D1114" s="51" t="s">
        <v>6126</v>
      </c>
      <c r="E1114" s="20">
        <v>9208.44</v>
      </c>
      <c r="F1114" s="20">
        <v>0</v>
      </c>
      <c r="G1114" s="20">
        <v>2470.2399999999998</v>
      </c>
      <c r="H1114" s="20">
        <v>4087.69</v>
      </c>
      <c r="I1114" s="20">
        <v>396.3</v>
      </c>
      <c r="J1114" s="51" t="s">
        <v>6726</v>
      </c>
      <c r="K1114" s="15">
        <v>0</v>
      </c>
      <c r="L1114" s="51" t="s">
        <v>2371</v>
      </c>
      <c r="M1114" s="51" t="s">
        <v>6127</v>
      </c>
      <c r="N1114" s="51" t="s">
        <v>1340</v>
      </c>
      <c r="O1114" s="51" t="s">
        <v>67</v>
      </c>
      <c r="P1114" s="51" t="s">
        <v>67</v>
      </c>
      <c r="Q1114" s="45">
        <v>46283.940498113428</v>
      </c>
      <c r="R1114" s="46">
        <v>46302</v>
      </c>
      <c r="S1114" s="46">
        <v>46297</v>
      </c>
      <c r="T1114" s="51" t="s">
        <v>6119</v>
      </c>
      <c r="U1114" s="15"/>
      <c r="V1114" s="15"/>
      <c r="W1114" s="15"/>
      <c r="X1114" s="15"/>
      <c r="Y1114" s="15"/>
      <c r="Z1114" s="15"/>
      <c r="AA1114" s="46"/>
      <c r="AB1114" s="15"/>
      <c r="AC1114" s="15"/>
      <c r="AD1114" s="15"/>
      <c r="AE1114" s="15"/>
      <c r="AF1114" s="15"/>
      <c r="AG1114" s="15"/>
      <c r="AH1114" s="15"/>
      <c r="AI1114" s="46"/>
      <c r="AJ1114" s="51" t="s">
        <v>67</v>
      </c>
      <c r="AK1114" s="51" t="s">
        <v>67</v>
      </c>
      <c r="AL1114" s="15"/>
      <c r="AM1114" s="51" t="s">
        <v>6705</v>
      </c>
      <c r="AN1114" s="51" t="s">
        <v>6712</v>
      </c>
      <c r="AO1114" s="50" t="s">
        <v>9554</v>
      </c>
    </row>
    <row r="1115" spans="1:41" hidden="1" x14ac:dyDescent="0.25">
      <c r="A1115" s="51" t="s">
        <v>6128</v>
      </c>
      <c r="B1115" s="51" t="s">
        <v>6129</v>
      </c>
      <c r="C1115" s="54" t="s">
        <v>607</v>
      </c>
      <c r="D1115" s="51" t="s">
        <v>6130</v>
      </c>
      <c r="E1115" s="20">
        <v>12331.27</v>
      </c>
      <c r="F1115" s="20">
        <v>0</v>
      </c>
      <c r="G1115" s="20">
        <v>14887.1</v>
      </c>
      <c r="H1115" s="20">
        <v>3464.18</v>
      </c>
      <c r="I1115" s="20">
        <v>1056.79</v>
      </c>
      <c r="J1115" s="51" t="s">
        <v>6726</v>
      </c>
      <c r="K1115" s="15">
        <v>0</v>
      </c>
      <c r="L1115" s="51" t="s">
        <v>2371</v>
      </c>
      <c r="M1115" s="51" t="s">
        <v>67</v>
      </c>
      <c r="N1115" s="51" t="s">
        <v>67</v>
      </c>
      <c r="O1115" s="51" t="s">
        <v>6131</v>
      </c>
      <c r="P1115" s="51" t="s">
        <v>1340</v>
      </c>
      <c r="Q1115" s="45">
        <v>46283.940822488425</v>
      </c>
      <c r="R1115" s="46">
        <v>46310</v>
      </c>
      <c r="S1115" s="46">
        <v>46305</v>
      </c>
      <c r="T1115" s="51" t="s">
        <v>6119</v>
      </c>
      <c r="U1115" s="15"/>
      <c r="V1115" s="15"/>
      <c r="W1115" s="15"/>
      <c r="X1115" s="15"/>
      <c r="Y1115" s="15"/>
      <c r="Z1115" s="15"/>
      <c r="AA1115" s="46"/>
      <c r="AB1115" s="15"/>
      <c r="AC1115" s="15"/>
      <c r="AD1115" s="15"/>
      <c r="AE1115" s="15"/>
      <c r="AF1115" s="15"/>
      <c r="AG1115" s="15"/>
      <c r="AH1115" s="15"/>
      <c r="AI1115" s="46"/>
      <c r="AJ1115" s="51" t="s">
        <v>67</v>
      </c>
      <c r="AK1115" s="51" t="s">
        <v>67</v>
      </c>
      <c r="AL1115" s="15"/>
      <c r="AM1115" s="51" t="s">
        <v>6705</v>
      </c>
      <c r="AN1115" s="51" t="s">
        <v>6120</v>
      </c>
      <c r="AO1115" s="50" t="s">
        <v>9554</v>
      </c>
    </row>
    <row r="1116" spans="1:41" hidden="1" x14ac:dyDescent="0.25">
      <c r="A1116" s="51" t="s">
        <v>6132</v>
      </c>
      <c r="B1116" s="51" t="s">
        <v>6133</v>
      </c>
      <c r="C1116" s="54" t="s">
        <v>5606</v>
      </c>
      <c r="D1116" s="51" t="s">
        <v>6134</v>
      </c>
      <c r="E1116" s="20">
        <v>14541.85</v>
      </c>
      <c r="F1116" s="20">
        <v>6</v>
      </c>
      <c r="G1116" s="20">
        <v>7616.56</v>
      </c>
      <c r="H1116" s="20">
        <v>351.9</v>
      </c>
      <c r="I1116" s="20">
        <v>8.3800000000000008</v>
      </c>
      <c r="J1116" s="51" t="s">
        <v>6726</v>
      </c>
      <c r="K1116" s="15">
        <v>0</v>
      </c>
      <c r="L1116" s="51" t="s">
        <v>2371</v>
      </c>
      <c r="M1116" s="51" t="s">
        <v>6135</v>
      </c>
      <c r="N1116" s="51" t="s">
        <v>1344</v>
      </c>
      <c r="O1116" s="51" t="s">
        <v>6136</v>
      </c>
      <c r="P1116" s="51" t="s">
        <v>1344</v>
      </c>
      <c r="Q1116" s="45">
        <v>46283.947323333334</v>
      </c>
      <c r="R1116" s="46">
        <v>46297</v>
      </c>
      <c r="S1116" s="46">
        <v>46292</v>
      </c>
      <c r="T1116" s="51" t="s">
        <v>6119</v>
      </c>
      <c r="U1116" s="15"/>
      <c r="V1116" s="15"/>
      <c r="W1116" s="15"/>
      <c r="X1116" s="15"/>
      <c r="Y1116" s="15"/>
      <c r="Z1116" s="15"/>
      <c r="AA1116" s="46"/>
      <c r="AB1116" s="15"/>
      <c r="AC1116" s="15"/>
      <c r="AD1116" s="15"/>
      <c r="AE1116" s="15"/>
      <c r="AF1116" s="15"/>
      <c r="AG1116" s="15"/>
      <c r="AH1116" s="15"/>
      <c r="AI1116" s="46"/>
      <c r="AJ1116" s="51" t="s">
        <v>67</v>
      </c>
      <c r="AK1116" s="51" t="s">
        <v>67</v>
      </c>
      <c r="AL1116" s="15"/>
      <c r="AM1116" s="51" t="s">
        <v>6705</v>
      </c>
      <c r="AN1116" s="51" t="s">
        <v>6712</v>
      </c>
      <c r="AO1116" s="50" t="s">
        <v>9554</v>
      </c>
    </row>
    <row r="1117" spans="1:41" hidden="1" x14ac:dyDescent="0.25">
      <c r="A1117" s="51" t="s">
        <v>6137</v>
      </c>
      <c r="B1117" s="51" t="s">
        <v>6138</v>
      </c>
      <c r="C1117" s="54" t="s">
        <v>2541</v>
      </c>
      <c r="D1117" s="51" t="s">
        <v>6139</v>
      </c>
      <c r="E1117" s="20">
        <v>12960.14</v>
      </c>
      <c r="F1117" s="20">
        <v>166.74</v>
      </c>
      <c r="G1117" s="20">
        <v>2723.75</v>
      </c>
      <c r="H1117" s="20">
        <v>351.9</v>
      </c>
      <c r="I1117" s="20">
        <v>166.74</v>
      </c>
      <c r="J1117" s="51" t="s">
        <v>6726</v>
      </c>
      <c r="K1117" s="15">
        <v>0</v>
      </c>
      <c r="L1117" s="51" t="s">
        <v>2371</v>
      </c>
      <c r="M1117" s="51" t="s">
        <v>6140</v>
      </c>
      <c r="N1117" s="51" t="s">
        <v>1344</v>
      </c>
      <c r="O1117" s="51" t="s">
        <v>67</v>
      </c>
      <c r="P1117" s="51" t="s">
        <v>67</v>
      </c>
      <c r="Q1117" s="45">
        <v>46283.950193275465</v>
      </c>
      <c r="R1117" s="46">
        <v>46311</v>
      </c>
      <c r="S1117" s="46">
        <v>46306</v>
      </c>
      <c r="T1117" s="51" t="s">
        <v>6119</v>
      </c>
      <c r="U1117" s="15"/>
      <c r="V1117" s="15"/>
      <c r="W1117" s="15"/>
      <c r="X1117" s="15"/>
      <c r="Y1117" s="15"/>
      <c r="Z1117" s="15"/>
      <c r="AA1117" s="46"/>
      <c r="AB1117" s="15"/>
      <c r="AC1117" s="15"/>
      <c r="AD1117" s="15"/>
      <c r="AE1117" s="15"/>
      <c r="AF1117" s="15"/>
      <c r="AG1117" s="15"/>
      <c r="AH1117" s="15"/>
      <c r="AI1117" s="46"/>
      <c r="AJ1117" s="51" t="s">
        <v>67</v>
      </c>
      <c r="AK1117" s="51" t="s">
        <v>67</v>
      </c>
      <c r="AL1117" s="15"/>
      <c r="AM1117" s="51" t="s">
        <v>6705</v>
      </c>
      <c r="AN1117" s="51" t="s">
        <v>6712</v>
      </c>
      <c r="AO1117" s="50" t="s">
        <v>9554</v>
      </c>
    </row>
    <row r="1118" spans="1:41" hidden="1" x14ac:dyDescent="0.25">
      <c r="A1118" s="51" t="s">
        <v>6141</v>
      </c>
      <c r="B1118" s="51" t="s">
        <v>6142</v>
      </c>
      <c r="C1118" s="54" t="s">
        <v>2357</v>
      </c>
      <c r="D1118" s="51" t="s">
        <v>6143</v>
      </c>
      <c r="E1118" s="20">
        <v>10837.91</v>
      </c>
      <c r="F1118" s="20">
        <v>1086.24</v>
      </c>
      <c r="G1118" s="20">
        <v>15674.48</v>
      </c>
      <c r="H1118" s="20">
        <v>1206.8599999999999</v>
      </c>
      <c r="I1118" s="20">
        <v>1086.24</v>
      </c>
      <c r="J1118" s="51" t="s">
        <v>6726</v>
      </c>
      <c r="K1118" s="15">
        <v>0</v>
      </c>
      <c r="L1118" s="51" t="s">
        <v>2371</v>
      </c>
      <c r="M1118" s="51" t="s">
        <v>67</v>
      </c>
      <c r="N1118" s="51" t="s">
        <v>67</v>
      </c>
      <c r="O1118" s="51" t="s">
        <v>6144</v>
      </c>
      <c r="P1118" s="51" t="s">
        <v>1340</v>
      </c>
      <c r="Q1118" s="45">
        <v>46283.955490497683</v>
      </c>
      <c r="R1118" s="46">
        <v>46308</v>
      </c>
      <c r="S1118" s="46">
        <v>46303</v>
      </c>
      <c r="T1118" s="51" t="s">
        <v>6119</v>
      </c>
      <c r="U1118" s="15"/>
      <c r="V1118" s="15"/>
      <c r="W1118" s="15"/>
      <c r="X1118" s="15"/>
      <c r="Y1118" s="15"/>
      <c r="Z1118" s="15"/>
      <c r="AA1118" s="46"/>
      <c r="AB1118" s="15"/>
      <c r="AC1118" s="15"/>
      <c r="AD1118" s="15"/>
      <c r="AE1118" s="15"/>
      <c r="AF1118" s="15"/>
      <c r="AG1118" s="15"/>
      <c r="AH1118" s="15"/>
      <c r="AI1118" s="46"/>
      <c r="AJ1118" s="51" t="s">
        <v>67</v>
      </c>
      <c r="AK1118" s="51" t="s">
        <v>67</v>
      </c>
      <c r="AL1118" s="15"/>
      <c r="AM1118" s="51" t="s">
        <v>6705</v>
      </c>
      <c r="AN1118" s="51" t="s">
        <v>6712</v>
      </c>
      <c r="AO1118" s="50" t="s">
        <v>9554</v>
      </c>
    </row>
    <row r="1119" spans="1:41" hidden="1" x14ac:dyDescent="0.25">
      <c r="A1119" s="51" t="s">
        <v>6145</v>
      </c>
      <c r="B1119" s="51" t="s">
        <v>6146</v>
      </c>
      <c r="C1119" s="54" t="s">
        <v>5597</v>
      </c>
      <c r="D1119" s="51" t="s">
        <v>6147</v>
      </c>
      <c r="E1119" s="20">
        <v>12563.25</v>
      </c>
      <c r="F1119" s="20">
        <v>0</v>
      </c>
      <c r="G1119" s="20">
        <v>7044.19</v>
      </c>
      <c r="H1119" s="20">
        <v>2444.2199999999998</v>
      </c>
      <c r="I1119" s="20">
        <v>1003.96</v>
      </c>
      <c r="J1119" s="51" t="s">
        <v>6726</v>
      </c>
      <c r="K1119" s="15">
        <v>0</v>
      </c>
      <c r="L1119" s="51" t="s">
        <v>2371</v>
      </c>
      <c r="M1119" s="51" t="s">
        <v>6148</v>
      </c>
      <c r="N1119" s="51" t="s">
        <v>1340</v>
      </c>
      <c r="O1119" s="51" t="s">
        <v>67</v>
      </c>
      <c r="P1119" s="51" t="s">
        <v>67</v>
      </c>
      <c r="Q1119" s="45">
        <v>46283.957929131946</v>
      </c>
      <c r="R1119" s="46">
        <v>46321</v>
      </c>
      <c r="S1119" s="46">
        <v>46316</v>
      </c>
      <c r="T1119" s="51" t="s">
        <v>6119</v>
      </c>
      <c r="U1119" s="15"/>
      <c r="V1119" s="15"/>
      <c r="W1119" s="15"/>
      <c r="X1119" s="15"/>
      <c r="Y1119" s="15"/>
      <c r="Z1119" s="15"/>
      <c r="AA1119" s="46"/>
      <c r="AB1119" s="15"/>
      <c r="AC1119" s="15"/>
      <c r="AD1119" s="15"/>
      <c r="AE1119" s="15"/>
      <c r="AF1119" s="15"/>
      <c r="AG1119" s="15"/>
      <c r="AH1119" s="15"/>
      <c r="AI1119" s="46"/>
      <c r="AJ1119" s="51" t="s">
        <v>67</v>
      </c>
      <c r="AK1119" s="51" t="s">
        <v>67</v>
      </c>
      <c r="AL1119" s="15"/>
      <c r="AM1119" s="51" t="s">
        <v>6705</v>
      </c>
      <c r="AN1119" s="51" t="s">
        <v>6712</v>
      </c>
      <c r="AO1119" s="50" t="s">
        <v>9554</v>
      </c>
    </row>
    <row r="1120" spans="1:41" hidden="1" x14ac:dyDescent="0.25">
      <c r="A1120" s="51" t="s">
        <v>6149</v>
      </c>
      <c r="B1120" s="51" t="s">
        <v>6150</v>
      </c>
      <c r="C1120" s="54" t="s">
        <v>5599</v>
      </c>
      <c r="D1120" s="51" t="s">
        <v>6151</v>
      </c>
      <c r="E1120" s="20">
        <v>3492.24</v>
      </c>
      <c r="F1120" s="20">
        <v>0</v>
      </c>
      <c r="G1120" s="20">
        <v>2272.5300000000002</v>
      </c>
      <c r="H1120" s="20">
        <v>2593.7800000000002</v>
      </c>
      <c r="I1120" s="20">
        <v>1170.48</v>
      </c>
      <c r="J1120" s="51" t="s">
        <v>6726</v>
      </c>
      <c r="K1120" s="15">
        <v>0</v>
      </c>
      <c r="L1120" s="51" t="s">
        <v>2371</v>
      </c>
      <c r="M1120" s="51" t="s">
        <v>67</v>
      </c>
      <c r="N1120" s="51" t="s">
        <v>67</v>
      </c>
      <c r="O1120" s="51" t="s">
        <v>6152</v>
      </c>
      <c r="P1120" s="51" t="s">
        <v>1340</v>
      </c>
      <c r="Q1120" s="45">
        <v>46283.958131006948</v>
      </c>
      <c r="R1120" s="46">
        <v>46302</v>
      </c>
      <c r="S1120" s="46">
        <v>46297</v>
      </c>
      <c r="T1120" s="51" t="s">
        <v>6119</v>
      </c>
      <c r="U1120" s="15"/>
      <c r="V1120" s="15"/>
      <c r="W1120" s="15"/>
      <c r="X1120" s="15"/>
      <c r="Y1120" s="15"/>
      <c r="Z1120" s="15"/>
      <c r="AA1120" s="46"/>
      <c r="AB1120" s="15"/>
      <c r="AC1120" s="15"/>
      <c r="AD1120" s="15"/>
      <c r="AE1120" s="15"/>
      <c r="AF1120" s="15"/>
      <c r="AG1120" s="15"/>
      <c r="AH1120" s="15"/>
      <c r="AI1120" s="46"/>
      <c r="AJ1120" s="51" t="s">
        <v>67</v>
      </c>
      <c r="AK1120" s="51" t="s">
        <v>67</v>
      </c>
      <c r="AL1120" s="15"/>
      <c r="AM1120" s="51" t="s">
        <v>6705</v>
      </c>
      <c r="AN1120" s="51" t="s">
        <v>6718</v>
      </c>
      <c r="AO1120" s="50" t="s">
        <v>9554</v>
      </c>
    </row>
    <row r="1121" spans="1:41" hidden="1" x14ac:dyDescent="0.25">
      <c r="A1121" s="51" t="s">
        <v>6153</v>
      </c>
      <c r="B1121" s="51" t="s">
        <v>6154</v>
      </c>
      <c r="C1121" s="54" t="s">
        <v>5599</v>
      </c>
      <c r="D1121" s="51" t="s">
        <v>6155</v>
      </c>
      <c r="E1121" s="20">
        <v>10443.11</v>
      </c>
      <c r="F1121" s="20">
        <v>2025.61</v>
      </c>
      <c r="G1121" s="20">
        <v>667.42</v>
      </c>
      <c r="H1121" s="20">
        <v>4237.21</v>
      </c>
      <c r="I1121" s="20">
        <v>3024.18</v>
      </c>
      <c r="J1121" s="51" t="s">
        <v>6726</v>
      </c>
      <c r="K1121" s="15">
        <v>0</v>
      </c>
      <c r="L1121" s="51" t="s">
        <v>2371</v>
      </c>
      <c r="M1121" s="51" t="s">
        <v>6156</v>
      </c>
      <c r="N1121" s="51" t="s">
        <v>1340</v>
      </c>
      <c r="O1121" s="51" t="s">
        <v>67</v>
      </c>
      <c r="P1121" s="51" t="s">
        <v>67</v>
      </c>
      <c r="Q1121" s="45">
        <v>46283.966236863424</v>
      </c>
      <c r="R1121" s="46">
        <v>46302</v>
      </c>
      <c r="S1121" s="46">
        <v>46297</v>
      </c>
      <c r="T1121" s="51" t="s">
        <v>6119</v>
      </c>
      <c r="U1121" s="15"/>
      <c r="V1121" s="15"/>
      <c r="W1121" s="15"/>
      <c r="X1121" s="15"/>
      <c r="Y1121" s="15"/>
      <c r="Z1121" s="15"/>
      <c r="AA1121" s="46"/>
      <c r="AB1121" s="15"/>
      <c r="AC1121" s="15"/>
      <c r="AD1121" s="15"/>
      <c r="AE1121" s="15"/>
      <c r="AF1121" s="15"/>
      <c r="AG1121" s="15"/>
      <c r="AH1121" s="15"/>
      <c r="AI1121" s="46"/>
      <c r="AJ1121" s="51" t="s">
        <v>67</v>
      </c>
      <c r="AK1121" s="51" t="s">
        <v>67</v>
      </c>
      <c r="AL1121" s="15"/>
      <c r="AM1121" s="51" t="s">
        <v>6705</v>
      </c>
      <c r="AN1121" s="51" t="s">
        <v>6120</v>
      </c>
      <c r="AO1121" s="50" t="s">
        <v>9554</v>
      </c>
    </row>
    <row r="1122" spans="1:41" hidden="1" x14ac:dyDescent="0.25">
      <c r="A1122" s="51" t="s">
        <v>6157</v>
      </c>
      <c r="B1122" s="51" t="s">
        <v>6158</v>
      </c>
      <c r="C1122" s="54" t="s">
        <v>611</v>
      </c>
      <c r="D1122" s="51" t="s">
        <v>6159</v>
      </c>
      <c r="E1122" s="20">
        <v>14850.17</v>
      </c>
      <c r="F1122" s="20">
        <v>107.1</v>
      </c>
      <c r="G1122" s="20">
        <v>12998.51</v>
      </c>
      <c r="H1122" s="20">
        <v>4500</v>
      </c>
      <c r="I1122" s="20">
        <v>107.1</v>
      </c>
      <c r="J1122" s="51" t="s">
        <v>6724</v>
      </c>
      <c r="K1122" s="15">
        <v>0</v>
      </c>
      <c r="L1122" s="51" t="s">
        <v>2371</v>
      </c>
      <c r="M1122" s="51" t="s">
        <v>6160</v>
      </c>
      <c r="N1122" s="51" t="s">
        <v>1340</v>
      </c>
      <c r="O1122" s="51" t="s">
        <v>67</v>
      </c>
      <c r="P1122" s="51" t="s">
        <v>67</v>
      </c>
      <c r="Q1122" s="45">
        <v>46283.966544201387</v>
      </c>
      <c r="R1122" s="46">
        <v>46320</v>
      </c>
      <c r="S1122" s="46">
        <v>46315</v>
      </c>
      <c r="T1122" s="51" t="s">
        <v>6119</v>
      </c>
      <c r="U1122" s="15"/>
      <c r="V1122" s="15"/>
      <c r="W1122" s="15"/>
      <c r="X1122" s="15"/>
      <c r="Y1122" s="15"/>
      <c r="Z1122" s="15"/>
      <c r="AA1122" s="46"/>
      <c r="AB1122" s="15"/>
      <c r="AC1122" s="15"/>
      <c r="AD1122" s="15"/>
      <c r="AE1122" s="15"/>
      <c r="AF1122" s="15"/>
      <c r="AG1122" s="15"/>
      <c r="AH1122" s="15"/>
      <c r="AI1122" s="46"/>
      <c r="AJ1122" s="51" t="s">
        <v>67</v>
      </c>
      <c r="AK1122" s="51" t="s">
        <v>67</v>
      </c>
      <c r="AL1122" s="15"/>
      <c r="AM1122" s="51" t="s">
        <v>6705</v>
      </c>
      <c r="AN1122" s="51" t="s">
        <v>6120</v>
      </c>
      <c r="AO1122" s="50" t="s">
        <v>9554</v>
      </c>
    </row>
    <row r="1123" spans="1:41" hidden="1" x14ac:dyDescent="0.25">
      <c r="A1123" s="51" t="s">
        <v>6161</v>
      </c>
      <c r="B1123" s="51" t="s">
        <v>6162</v>
      </c>
      <c r="C1123" s="54" t="s">
        <v>2357</v>
      </c>
      <c r="D1123" s="51" t="s">
        <v>6163</v>
      </c>
      <c r="E1123" s="20">
        <v>5251.21</v>
      </c>
      <c r="F1123" s="20">
        <v>841.06</v>
      </c>
      <c r="G1123" s="20">
        <v>13699.18</v>
      </c>
      <c r="H1123" s="20">
        <v>2657.71</v>
      </c>
      <c r="I1123" s="20">
        <v>841.06</v>
      </c>
      <c r="J1123" s="51" t="s">
        <v>6726</v>
      </c>
      <c r="K1123" s="15">
        <v>0</v>
      </c>
      <c r="L1123" s="51" t="s">
        <v>2371</v>
      </c>
      <c r="M1123" s="51" t="s">
        <v>6164</v>
      </c>
      <c r="N1123" s="51" t="s">
        <v>1344</v>
      </c>
      <c r="O1123" s="51" t="s">
        <v>6165</v>
      </c>
      <c r="P1123" s="51" t="s">
        <v>1344</v>
      </c>
      <c r="Q1123" s="45">
        <v>46283.966759780094</v>
      </c>
      <c r="R1123" s="46">
        <v>46308</v>
      </c>
      <c r="S1123" s="46">
        <v>46303</v>
      </c>
      <c r="T1123" s="51" t="s">
        <v>6119</v>
      </c>
      <c r="U1123" s="15"/>
      <c r="V1123" s="15"/>
      <c r="W1123" s="15"/>
      <c r="X1123" s="15"/>
      <c r="Y1123" s="15"/>
      <c r="Z1123" s="15"/>
      <c r="AA1123" s="46"/>
      <c r="AB1123" s="15"/>
      <c r="AC1123" s="15"/>
      <c r="AD1123" s="15"/>
      <c r="AE1123" s="15"/>
      <c r="AF1123" s="15"/>
      <c r="AG1123" s="15"/>
      <c r="AH1123" s="15"/>
      <c r="AI1123" s="46"/>
      <c r="AJ1123" s="51" t="s">
        <v>67</v>
      </c>
      <c r="AK1123" s="51" t="s">
        <v>67</v>
      </c>
      <c r="AL1123" s="15"/>
      <c r="AM1123" s="51" t="s">
        <v>6705</v>
      </c>
      <c r="AN1123" s="51" t="s">
        <v>6712</v>
      </c>
      <c r="AO1123" s="50" t="s">
        <v>9554</v>
      </c>
    </row>
    <row r="1124" spans="1:41" hidden="1" x14ac:dyDescent="0.25">
      <c r="A1124" s="51" t="s">
        <v>6166</v>
      </c>
      <c r="B1124" s="51" t="s">
        <v>6167</v>
      </c>
      <c r="C1124" s="54" t="s">
        <v>5605</v>
      </c>
      <c r="D1124" s="51" t="s">
        <v>6168</v>
      </c>
      <c r="E1124" s="20">
        <v>11896.91</v>
      </c>
      <c r="F1124" s="20">
        <v>1075.4000000000001</v>
      </c>
      <c r="G1124" s="20">
        <v>2191.39</v>
      </c>
      <c r="H1124" s="20">
        <v>3705.61</v>
      </c>
      <c r="I1124" s="20">
        <v>1075.4000000000001</v>
      </c>
      <c r="J1124" s="51" t="s">
        <v>6726</v>
      </c>
      <c r="K1124" s="15">
        <v>0</v>
      </c>
      <c r="L1124" s="51" t="s">
        <v>2371</v>
      </c>
      <c r="M1124" s="51" t="s">
        <v>67</v>
      </c>
      <c r="N1124" s="51" t="s">
        <v>67</v>
      </c>
      <c r="O1124" s="51" t="s">
        <v>6169</v>
      </c>
      <c r="P1124" s="51" t="s">
        <v>1340</v>
      </c>
      <c r="Q1124" s="45">
        <v>46283.966762060183</v>
      </c>
      <c r="R1124" s="46">
        <v>46323</v>
      </c>
      <c r="S1124" s="46">
        <v>46318</v>
      </c>
      <c r="T1124" s="51" t="s">
        <v>6119</v>
      </c>
      <c r="U1124" s="15"/>
      <c r="V1124" s="15"/>
      <c r="W1124" s="15"/>
      <c r="X1124" s="15"/>
      <c r="Y1124" s="15"/>
      <c r="Z1124" s="15"/>
      <c r="AA1124" s="46"/>
      <c r="AB1124" s="15"/>
      <c r="AC1124" s="15"/>
      <c r="AD1124" s="15"/>
      <c r="AE1124" s="15"/>
      <c r="AF1124" s="15"/>
      <c r="AG1124" s="15"/>
      <c r="AH1124" s="15"/>
      <c r="AI1124" s="46"/>
      <c r="AJ1124" s="51" t="s">
        <v>67</v>
      </c>
      <c r="AK1124" s="51" t="s">
        <v>67</v>
      </c>
      <c r="AL1124" s="15"/>
      <c r="AM1124" s="51" t="s">
        <v>6705</v>
      </c>
      <c r="AN1124" s="51" t="s">
        <v>6712</v>
      </c>
      <c r="AO1124" s="50" t="s">
        <v>9554</v>
      </c>
    </row>
    <row r="1125" spans="1:41" hidden="1" x14ac:dyDescent="0.25">
      <c r="A1125" s="51" t="s">
        <v>6170</v>
      </c>
      <c r="B1125" s="51" t="s">
        <v>6171</v>
      </c>
      <c r="C1125" s="54" t="s">
        <v>2689</v>
      </c>
      <c r="D1125" s="51" t="s">
        <v>6172</v>
      </c>
      <c r="E1125" s="20">
        <v>6598.66</v>
      </c>
      <c r="F1125" s="20">
        <v>1136.3800000000001</v>
      </c>
      <c r="G1125" s="20">
        <v>4964.66</v>
      </c>
      <c r="H1125" s="20">
        <v>2687.09</v>
      </c>
      <c r="I1125" s="20">
        <v>1136.3800000000001</v>
      </c>
      <c r="J1125" s="51" t="s">
        <v>6726</v>
      </c>
      <c r="K1125" s="15">
        <v>0</v>
      </c>
      <c r="L1125" s="51" t="s">
        <v>2371</v>
      </c>
      <c r="M1125" s="51" t="s">
        <v>6173</v>
      </c>
      <c r="N1125" s="51" t="s">
        <v>1340</v>
      </c>
      <c r="O1125" s="51" t="s">
        <v>6174</v>
      </c>
      <c r="P1125" s="51" t="s">
        <v>1340</v>
      </c>
      <c r="Q1125" s="45">
        <v>46283.966764583332</v>
      </c>
      <c r="R1125" s="46">
        <v>46317</v>
      </c>
      <c r="S1125" s="46">
        <v>46312</v>
      </c>
      <c r="T1125" s="51" t="s">
        <v>6119</v>
      </c>
      <c r="U1125" s="15"/>
      <c r="V1125" s="15"/>
      <c r="W1125" s="15"/>
      <c r="X1125" s="15"/>
      <c r="Y1125" s="15"/>
      <c r="Z1125" s="15"/>
      <c r="AA1125" s="46"/>
      <c r="AB1125" s="15"/>
      <c r="AC1125" s="15"/>
      <c r="AD1125" s="15"/>
      <c r="AE1125" s="15"/>
      <c r="AF1125" s="15"/>
      <c r="AG1125" s="15"/>
      <c r="AH1125" s="15"/>
      <c r="AI1125" s="46"/>
      <c r="AJ1125" s="51" t="s">
        <v>67</v>
      </c>
      <c r="AK1125" s="51" t="s">
        <v>67</v>
      </c>
      <c r="AL1125" s="15"/>
      <c r="AM1125" s="51" t="s">
        <v>6705</v>
      </c>
      <c r="AN1125" s="51" t="s">
        <v>6712</v>
      </c>
      <c r="AO1125" s="50" t="s">
        <v>9554</v>
      </c>
    </row>
    <row r="1126" spans="1:41" hidden="1" x14ac:dyDescent="0.25">
      <c r="A1126" s="51" t="s">
        <v>6175</v>
      </c>
      <c r="B1126" s="51" t="s">
        <v>6176</v>
      </c>
      <c r="C1126" s="54" t="s">
        <v>607</v>
      </c>
      <c r="D1126" s="51" t="s">
        <v>6177</v>
      </c>
      <c r="E1126" s="20">
        <v>11464.71</v>
      </c>
      <c r="F1126" s="20">
        <v>639.80999999999995</v>
      </c>
      <c r="G1126" s="20">
        <v>3962.18</v>
      </c>
      <c r="H1126" s="20">
        <v>3662.92</v>
      </c>
      <c r="I1126" s="20">
        <v>399.04</v>
      </c>
      <c r="J1126" s="51" t="s">
        <v>6726</v>
      </c>
      <c r="K1126" s="15">
        <v>0</v>
      </c>
      <c r="L1126" s="51" t="s">
        <v>2371</v>
      </c>
      <c r="M1126" s="51" t="s">
        <v>67</v>
      </c>
      <c r="N1126" s="51" t="s">
        <v>67</v>
      </c>
      <c r="O1126" s="51" t="s">
        <v>6178</v>
      </c>
      <c r="P1126" s="51" t="s">
        <v>1340</v>
      </c>
      <c r="Q1126" s="45">
        <v>46283.966767592596</v>
      </c>
      <c r="R1126" s="46">
        <v>46310</v>
      </c>
      <c r="S1126" s="46">
        <v>46305</v>
      </c>
      <c r="T1126" s="51" t="s">
        <v>6119</v>
      </c>
      <c r="U1126" s="15"/>
      <c r="V1126" s="15"/>
      <c r="W1126" s="15"/>
      <c r="X1126" s="15"/>
      <c r="Y1126" s="15"/>
      <c r="Z1126" s="15"/>
      <c r="AA1126" s="46"/>
      <c r="AB1126" s="15"/>
      <c r="AC1126" s="15"/>
      <c r="AD1126" s="15"/>
      <c r="AE1126" s="15"/>
      <c r="AF1126" s="15"/>
      <c r="AG1126" s="15"/>
      <c r="AH1126" s="15"/>
      <c r="AI1126" s="46"/>
      <c r="AJ1126" s="51" t="s">
        <v>67</v>
      </c>
      <c r="AK1126" s="51" t="s">
        <v>67</v>
      </c>
      <c r="AL1126" s="15"/>
      <c r="AM1126" s="51" t="s">
        <v>6705</v>
      </c>
      <c r="AN1126" s="51" t="s">
        <v>6712</v>
      </c>
      <c r="AO1126" s="50" t="s">
        <v>9554</v>
      </c>
    </row>
    <row r="1127" spans="1:41" hidden="1" x14ac:dyDescent="0.25">
      <c r="A1127" s="51" t="s">
        <v>6179</v>
      </c>
      <c r="B1127" s="51" t="s">
        <v>6180</v>
      </c>
      <c r="C1127" s="54" t="s">
        <v>2541</v>
      </c>
      <c r="D1127" s="51" t="s">
        <v>6181</v>
      </c>
      <c r="E1127" s="20">
        <v>5705.95</v>
      </c>
      <c r="F1127" s="20">
        <v>989.64</v>
      </c>
      <c r="G1127" s="20">
        <v>1584.89</v>
      </c>
      <c r="H1127" s="20">
        <v>3319.94</v>
      </c>
      <c r="I1127" s="20">
        <v>849.79</v>
      </c>
      <c r="J1127" s="51" t="s">
        <v>6726</v>
      </c>
      <c r="K1127" s="15">
        <v>0</v>
      </c>
      <c r="L1127" s="51" t="s">
        <v>2371</v>
      </c>
      <c r="M1127" s="51" t="s">
        <v>6182</v>
      </c>
      <c r="N1127" s="51" t="s">
        <v>1340</v>
      </c>
      <c r="O1127" s="51" t="s">
        <v>67</v>
      </c>
      <c r="P1127" s="51" t="s">
        <v>67</v>
      </c>
      <c r="Q1127" s="45">
        <v>46283.966770127314</v>
      </c>
      <c r="R1127" s="46">
        <v>46311</v>
      </c>
      <c r="S1127" s="46">
        <v>46306</v>
      </c>
      <c r="T1127" s="51" t="s">
        <v>6119</v>
      </c>
      <c r="U1127" s="15"/>
      <c r="V1127" s="15"/>
      <c r="W1127" s="15"/>
      <c r="X1127" s="15"/>
      <c r="Y1127" s="15"/>
      <c r="Z1127" s="15"/>
      <c r="AA1127" s="46"/>
      <c r="AB1127" s="15"/>
      <c r="AC1127" s="15"/>
      <c r="AD1127" s="15"/>
      <c r="AE1127" s="15"/>
      <c r="AF1127" s="15"/>
      <c r="AG1127" s="15"/>
      <c r="AH1127" s="15"/>
      <c r="AI1127" s="46"/>
      <c r="AJ1127" s="51" t="s">
        <v>67</v>
      </c>
      <c r="AK1127" s="51" t="s">
        <v>67</v>
      </c>
      <c r="AL1127" s="15"/>
      <c r="AM1127" s="51" t="s">
        <v>6705</v>
      </c>
      <c r="AN1127" s="51" t="s">
        <v>6712</v>
      </c>
      <c r="AO1127" s="50" t="s">
        <v>9554</v>
      </c>
    </row>
    <row r="1128" spans="1:41" hidden="1" x14ac:dyDescent="0.25">
      <c r="A1128" s="51" t="s">
        <v>6183</v>
      </c>
      <c r="B1128" s="51" t="s">
        <v>6184</v>
      </c>
      <c r="C1128" s="54" t="s">
        <v>607</v>
      </c>
      <c r="D1128" s="51" t="s">
        <v>6185</v>
      </c>
      <c r="E1128" s="20">
        <v>1639.73</v>
      </c>
      <c r="F1128" s="20">
        <v>1022.81</v>
      </c>
      <c r="G1128" s="20">
        <v>9645.25</v>
      </c>
      <c r="H1128" s="20">
        <v>3287.95</v>
      </c>
      <c r="I1128" s="20">
        <v>1022.81</v>
      </c>
      <c r="J1128" s="51" t="s">
        <v>6726</v>
      </c>
      <c r="K1128" s="15">
        <v>0</v>
      </c>
      <c r="L1128" s="51" t="s">
        <v>2371</v>
      </c>
      <c r="M1128" s="51" t="s">
        <v>6186</v>
      </c>
      <c r="N1128" s="51" t="s">
        <v>1344</v>
      </c>
      <c r="O1128" s="51" t="s">
        <v>67</v>
      </c>
      <c r="P1128" s="51" t="s">
        <v>67</v>
      </c>
      <c r="Q1128" s="45">
        <v>46283.966773101849</v>
      </c>
      <c r="R1128" s="46">
        <v>46310</v>
      </c>
      <c r="S1128" s="46">
        <v>46305</v>
      </c>
      <c r="T1128" s="51" t="s">
        <v>6119</v>
      </c>
      <c r="U1128" s="15"/>
      <c r="V1128" s="15"/>
      <c r="W1128" s="15"/>
      <c r="X1128" s="15"/>
      <c r="Y1128" s="15"/>
      <c r="Z1128" s="15"/>
      <c r="AA1128" s="46"/>
      <c r="AB1128" s="15"/>
      <c r="AC1128" s="15"/>
      <c r="AD1128" s="15"/>
      <c r="AE1128" s="15"/>
      <c r="AF1128" s="15"/>
      <c r="AG1128" s="15"/>
      <c r="AH1128" s="15"/>
      <c r="AI1128" s="46"/>
      <c r="AJ1128" s="51" t="s">
        <v>67</v>
      </c>
      <c r="AK1128" s="51" t="s">
        <v>67</v>
      </c>
      <c r="AL1128" s="15"/>
      <c r="AM1128" s="51" t="s">
        <v>6705</v>
      </c>
      <c r="AN1128" s="51" t="s">
        <v>6712</v>
      </c>
      <c r="AO1128" s="50" t="s">
        <v>9554</v>
      </c>
    </row>
    <row r="1129" spans="1:41" hidden="1" x14ac:dyDescent="0.25">
      <c r="A1129" s="51" t="s">
        <v>6187</v>
      </c>
      <c r="B1129" s="51" t="s">
        <v>6188</v>
      </c>
      <c r="C1129" s="54" t="s">
        <v>5607</v>
      </c>
      <c r="D1129" s="51" t="s">
        <v>6189</v>
      </c>
      <c r="E1129" s="20">
        <v>10372.290000000001</v>
      </c>
      <c r="F1129" s="20">
        <v>684.48</v>
      </c>
      <c r="G1129" s="20">
        <v>16184.05</v>
      </c>
      <c r="H1129" s="20">
        <v>3019.09</v>
      </c>
      <c r="I1129" s="20">
        <v>684.48</v>
      </c>
      <c r="J1129" s="51" t="s">
        <v>6726</v>
      </c>
      <c r="K1129" s="15">
        <v>0</v>
      </c>
      <c r="L1129" s="51" t="s">
        <v>2371</v>
      </c>
      <c r="M1129" s="51" t="s">
        <v>6190</v>
      </c>
      <c r="N1129" s="51" t="s">
        <v>1340</v>
      </c>
      <c r="O1129" s="51" t="s">
        <v>6191</v>
      </c>
      <c r="P1129" s="51" t="s">
        <v>1340</v>
      </c>
      <c r="Q1129" s="45">
        <v>46283.966775428242</v>
      </c>
      <c r="R1129" s="46">
        <v>46299</v>
      </c>
      <c r="S1129" s="46">
        <v>46294</v>
      </c>
      <c r="T1129" s="51" t="s">
        <v>6119</v>
      </c>
      <c r="U1129" s="15"/>
      <c r="V1129" s="15"/>
      <c r="W1129" s="15"/>
      <c r="X1129" s="15"/>
      <c r="Y1129" s="15"/>
      <c r="Z1129" s="15"/>
      <c r="AA1129" s="46"/>
      <c r="AB1129" s="15"/>
      <c r="AC1129" s="15"/>
      <c r="AD1129" s="15"/>
      <c r="AE1129" s="15"/>
      <c r="AF1129" s="15"/>
      <c r="AG1129" s="15"/>
      <c r="AH1129" s="15"/>
      <c r="AI1129" s="46"/>
      <c r="AJ1129" s="51" t="s">
        <v>67</v>
      </c>
      <c r="AK1129" s="51" t="s">
        <v>67</v>
      </c>
      <c r="AL1129" s="15"/>
      <c r="AM1129" s="51" t="s">
        <v>6705</v>
      </c>
      <c r="AN1129" s="51" t="s">
        <v>6712</v>
      </c>
      <c r="AO1129" s="50" t="s">
        <v>9554</v>
      </c>
    </row>
    <row r="1130" spans="1:41" hidden="1" x14ac:dyDescent="0.25">
      <c r="A1130" s="51" t="s">
        <v>6192</v>
      </c>
      <c r="B1130" s="51" t="s">
        <v>6193</v>
      </c>
      <c r="C1130" s="54" t="s">
        <v>5596</v>
      </c>
      <c r="D1130" s="51" t="s">
        <v>6194</v>
      </c>
      <c r="E1130" s="20">
        <v>6601.81</v>
      </c>
      <c r="F1130" s="20">
        <v>735.67</v>
      </c>
      <c r="G1130" s="20">
        <v>17191.11</v>
      </c>
      <c r="H1130" s="20">
        <v>3143.6</v>
      </c>
      <c r="I1130" s="20">
        <v>735.67</v>
      </c>
      <c r="J1130" s="51" t="s">
        <v>6726</v>
      </c>
      <c r="K1130" s="15">
        <v>0</v>
      </c>
      <c r="L1130" s="51" t="s">
        <v>2371</v>
      </c>
      <c r="M1130" s="51" t="s">
        <v>6195</v>
      </c>
      <c r="N1130" s="51" t="s">
        <v>1340</v>
      </c>
      <c r="O1130" s="51" t="s">
        <v>67</v>
      </c>
      <c r="P1130" s="51" t="s">
        <v>67</v>
      </c>
      <c r="Q1130" s="45">
        <v>46283.9667781713</v>
      </c>
      <c r="R1130" s="46">
        <v>46300</v>
      </c>
      <c r="S1130" s="46">
        <v>46295</v>
      </c>
      <c r="T1130" s="51" t="s">
        <v>6119</v>
      </c>
      <c r="U1130" s="15"/>
      <c r="V1130" s="15"/>
      <c r="W1130" s="15"/>
      <c r="X1130" s="15"/>
      <c r="Y1130" s="15"/>
      <c r="Z1130" s="15"/>
      <c r="AA1130" s="46"/>
      <c r="AB1130" s="15"/>
      <c r="AC1130" s="15"/>
      <c r="AD1130" s="15"/>
      <c r="AE1130" s="15"/>
      <c r="AF1130" s="15"/>
      <c r="AG1130" s="15"/>
      <c r="AH1130" s="15"/>
      <c r="AI1130" s="46"/>
      <c r="AJ1130" s="51" t="s">
        <v>67</v>
      </c>
      <c r="AK1130" s="51" t="s">
        <v>67</v>
      </c>
      <c r="AL1130" s="15"/>
      <c r="AM1130" s="51" t="s">
        <v>6705</v>
      </c>
      <c r="AN1130" s="51" t="s">
        <v>6712</v>
      </c>
      <c r="AO1130" s="50" t="s">
        <v>9554</v>
      </c>
    </row>
    <row r="1131" spans="1:41" hidden="1" x14ac:dyDescent="0.25">
      <c r="A1131" s="51" t="s">
        <v>6196</v>
      </c>
      <c r="B1131" s="51" t="s">
        <v>6197</v>
      </c>
      <c r="C1131" s="54" t="s">
        <v>608</v>
      </c>
      <c r="D1131" s="51" t="s">
        <v>6198</v>
      </c>
      <c r="E1131" s="20">
        <v>10660.59</v>
      </c>
      <c r="F1131" s="20">
        <v>782.05</v>
      </c>
      <c r="G1131" s="20">
        <v>16060.27</v>
      </c>
      <c r="H1131" s="20">
        <v>2382.1</v>
      </c>
      <c r="I1131" s="20">
        <v>782.05</v>
      </c>
      <c r="J1131" s="51" t="s">
        <v>6726</v>
      </c>
      <c r="K1131" s="15">
        <v>0</v>
      </c>
      <c r="L1131" s="51" t="s">
        <v>2371</v>
      </c>
      <c r="M1131" s="51" t="s">
        <v>67</v>
      </c>
      <c r="N1131" s="51" t="s">
        <v>67</v>
      </c>
      <c r="O1131" s="51" t="s">
        <v>6199</v>
      </c>
      <c r="P1131" s="51" t="s">
        <v>1340</v>
      </c>
      <c r="Q1131" s="45">
        <v>46283.966780416667</v>
      </c>
      <c r="R1131" s="46">
        <v>46315</v>
      </c>
      <c r="S1131" s="46">
        <v>46310</v>
      </c>
      <c r="T1131" s="51" t="s">
        <v>6119</v>
      </c>
      <c r="U1131" s="15"/>
      <c r="V1131" s="15"/>
      <c r="W1131" s="15"/>
      <c r="X1131" s="15"/>
      <c r="Y1131" s="15"/>
      <c r="Z1131" s="15"/>
      <c r="AA1131" s="46"/>
      <c r="AB1131" s="15"/>
      <c r="AC1131" s="15"/>
      <c r="AD1131" s="15"/>
      <c r="AE1131" s="15"/>
      <c r="AF1131" s="15"/>
      <c r="AG1131" s="15"/>
      <c r="AH1131" s="15"/>
      <c r="AI1131" s="46"/>
      <c r="AJ1131" s="51" t="s">
        <v>67</v>
      </c>
      <c r="AK1131" s="51" t="s">
        <v>67</v>
      </c>
      <c r="AL1131" s="15"/>
      <c r="AM1131" s="51" t="s">
        <v>6705</v>
      </c>
      <c r="AN1131" s="51" t="s">
        <v>6712</v>
      </c>
      <c r="AO1131" s="50" t="s">
        <v>9554</v>
      </c>
    </row>
    <row r="1132" spans="1:41" hidden="1" x14ac:dyDescent="0.25">
      <c r="A1132" s="51" t="s">
        <v>6200</v>
      </c>
      <c r="B1132" s="51" t="s">
        <v>6201</v>
      </c>
      <c r="C1132" s="54" t="s">
        <v>2357</v>
      </c>
      <c r="D1132" s="51" t="s">
        <v>6202</v>
      </c>
      <c r="E1132" s="20">
        <v>8684.9500000000007</v>
      </c>
      <c r="F1132" s="20">
        <v>705.15</v>
      </c>
      <c r="G1132" s="20">
        <v>17459.43</v>
      </c>
      <c r="H1132" s="20">
        <v>3338.31</v>
      </c>
      <c r="I1132" s="20">
        <v>705.15</v>
      </c>
      <c r="J1132" s="51" t="s">
        <v>6726</v>
      </c>
      <c r="K1132" s="15">
        <v>0</v>
      </c>
      <c r="L1132" s="51" t="s">
        <v>2371</v>
      </c>
      <c r="M1132" s="51" t="s">
        <v>6203</v>
      </c>
      <c r="N1132" s="51" t="s">
        <v>1344</v>
      </c>
      <c r="O1132" s="51" t="s">
        <v>6204</v>
      </c>
      <c r="P1132" s="51" t="s">
        <v>1344</v>
      </c>
      <c r="Q1132" s="45">
        <v>46283.966782974538</v>
      </c>
      <c r="R1132" s="46">
        <v>46308</v>
      </c>
      <c r="S1132" s="46">
        <v>46303</v>
      </c>
      <c r="T1132" s="51" t="s">
        <v>6119</v>
      </c>
      <c r="U1132" s="15"/>
      <c r="V1132" s="15"/>
      <c r="W1132" s="15"/>
      <c r="X1132" s="15"/>
      <c r="Y1132" s="15"/>
      <c r="Z1132" s="15"/>
      <c r="AA1132" s="46"/>
      <c r="AB1132" s="15"/>
      <c r="AC1132" s="15"/>
      <c r="AD1132" s="15"/>
      <c r="AE1132" s="15"/>
      <c r="AF1132" s="15"/>
      <c r="AG1132" s="15"/>
      <c r="AH1132" s="15"/>
      <c r="AI1132" s="46"/>
      <c r="AJ1132" s="51" t="s">
        <v>67</v>
      </c>
      <c r="AK1132" s="51" t="s">
        <v>67</v>
      </c>
      <c r="AL1132" s="15"/>
      <c r="AM1132" s="51" t="s">
        <v>6705</v>
      </c>
      <c r="AN1132" s="51" t="s">
        <v>6712</v>
      </c>
      <c r="AO1132" s="50" t="s">
        <v>9554</v>
      </c>
    </row>
    <row r="1133" spans="1:41" hidden="1" x14ac:dyDescent="0.25">
      <c r="A1133" s="51" t="s">
        <v>6205</v>
      </c>
      <c r="B1133" s="51" t="s">
        <v>6206</v>
      </c>
      <c r="C1133" s="54" t="s">
        <v>5608</v>
      </c>
      <c r="D1133" s="51" t="s">
        <v>6207</v>
      </c>
      <c r="E1133" s="20">
        <v>10442.26</v>
      </c>
      <c r="F1133" s="20">
        <v>849.53</v>
      </c>
      <c r="G1133" s="20">
        <v>17316.2</v>
      </c>
      <c r="H1133" s="20">
        <v>2939.51</v>
      </c>
      <c r="I1133" s="20">
        <v>849.53</v>
      </c>
      <c r="J1133" s="51" t="s">
        <v>6726</v>
      </c>
      <c r="K1133" s="15">
        <v>0</v>
      </c>
      <c r="L1133" s="51" t="s">
        <v>2371</v>
      </c>
      <c r="M1133" s="51" t="s">
        <v>67</v>
      </c>
      <c r="N1133" s="51" t="s">
        <v>67</v>
      </c>
      <c r="O1133" s="51" t="s">
        <v>6208</v>
      </c>
      <c r="P1133" s="51" t="s">
        <v>1340</v>
      </c>
      <c r="Q1133" s="45">
        <v>46283.966787638892</v>
      </c>
      <c r="R1133" s="46">
        <v>46319</v>
      </c>
      <c r="S1133" s="46">
        <v>46314</v>
      </c>
      <c r="T1133" s="51" t="s">
        <v>6119</v>
      </c>
      <c r="U1133" s="15"/>
      <c r="V1133" s="15"/>
      <c r="W1133" s="15"/>
      <c r="X1133" s="15"/>
      <c r="Y1133" s="15"/>
      <c r="Z1133" s="15"/>
      <c r="AA1133" s="46"/>
      <c r="AB1133" s="15"/>
      <c r="AC1133" s="15"/>
      <c r="AD1133" s="15"/>
      <c r="AE1133" s="15"/>
      <c r="AF1133" s="15"/>
      <c r="AG1133" s="15"/>
      <c r="AH1133" s="15"/>
      <c r="AI1133" s="46"/>
      <c r="AJ1133" s="51" t="s">
        <v>67</v>
      </c>
      <c r="AK1133" s="51" t="s">
        <v>67</v>
      </c>
      <c r="AL1133" s="15"/>
      <c r="AM1133" s="51" t="s">
        <v>6705</v>
      </c>
      <c r="AN1133" s="51" t="s">
        <v>6712</v>
      </c>
      <c r="AO1133" s="50" t="s">
        <v>9554</v>
      </c>
    </row>
    <row r="1134" spans="1:41" hidden="1" x14ac:dyDescent="0.25">
      <c r="A1134" s="51" t="s">
        <v>6209</v>
      </c>
      <c r="B1134" s="51" t="s">
        <v>6210</v>
      </c>
      <c r="C1134" s="54" t="s">
        <v>5600</v>
      </c>
      <c r="D1134" s="51" t="s">
        <v>6211</v>
      </c>
      <c r="E1134" s="20">
        <v>15384.94</v>
      </c>
      <c r="F1134" s="20">
        <v>719.76</v>
      </c>
      <c r="G1134" s="20">
        <v>16953.939999999999</v>
      </c>
      <c r="H1134" s="20">
        <v>2793.17</v>
      </c>
      <c r="I1134" s="20">
        <v>719.76</v>
      </c>
      <c r="J1134" s="51" t="s">
        <v>6726</v>
      </c>
      <c r="K1134" s="15">
        <v>0</v>
      </c>
      <c r="L1134" s="51" t="s">
        <v>2371</v>
      </c>
      <c r="M1134" s="51" t="s">
        <v>6212</v>
      </c>
      <c r="N1134" s="51" t="s">
        <v>1340</v>
      </c>
      <c r="O1134" s="51" t="s">
        <v>6213</v>
      </c>
      <c r="P1134" s="51" t="s">
        <v>1340</v>
      </c>
      <c r="Q1134" s="45">
        <v>46283.966790983795</v>
      </c>
      <c r="R1134" s="46">
        <v>46304</v>
      </c>
      <c r="S1134" s="46">
        <v>46299</v>
      </c>
      <c r="T1134" s="51" t="s">
        <v>6119</v>
      </c>
      <c r="U1134" s="15"/>
      <c r="V1134" s="15"/>
      <c r="W1134" s="15"/>
      <c r="X1134" s="15"/>
      <c r="Y1134" s="15"/>
      <c r="Z1134" s="15"/>
      <c r="AA1134" s="46"/>
      <c r="AB1134" s="15"/>
      <c r="AC1134" s="15"/>
      <c r="AD1134" s="15"/>
      <c r="AE1134" s="15"/>
      <c r="AF1134" s="15"/>
      <c r="AG1134" s="15"/>
      <c r="AH1134" s="15"/>
      <c r="AI1134" s="46"/>
      <c r="AJ1134" s="51" t="s">
        <v>67</v>
      </c>
      <c r="AK1134" s="51" t="s">
        <v>67</v>
      </c>
      <c r="AL1134" s="15"/>
      <c r="AM1134" s="51" t="s">
        <v>6705</v>
      </c>
      <c r="AN1134" s="51" t="s">
        <v>6712</v>
      </c>
      <c r="AO1134" s="50" t="s">
        <v>9554</v>
      </c>
    </row>
    <row r="1135" spans="1:41" hidden="1" x14ac:dyDescent="0.25">
      <c r="A1135" s="51" t="s">
        <v>6214</v>
      </c>
      <c r="B1135" s="51" t="s">
        <v>6215</v>
      </c>
      <c r="C1135" s="54" t="s">
        <v>607</v>
      </c>
      <c r="D1135" s="51" t="s">
        <v>6216</v>
      </c>
      <c r="E1135" s="20">
        <v>11539.83</v>
      </c>
      <c r="F1135" s="20">
        <v>685.17</v>
      </c>
      <c r="G1135" s="20">
        <v>10215.030000000001</v>
      </c>
      <c r="H1135" s="20">
        <v>3244.95</v>
      </c>
      <c r="I1135" s="20">
        <v>540.77</v>
      </c>
      <c r="J1135" s="51" t="s">
        <v>6726</v>
      </c>
      <c r="K1135" s="15">
        <v>0</v>
      </c>
      <c r="L1135" s="51" t="s">
        <v>2371</v>
      </c>
      <c r="M1135" s="51" t="s">
        <v>6217</v>
      </c>
      <c r="N1135" s="51" t="s">
        <v>1340</v>
      </c>
      <c r="O1135" s="51" t="s">
        <v>67</v>
      </c>
      <c r="P1135" s="51" t="s">
        <v>67</v>
      </c>
      <c r="Q1135" s="45">
        <v>46283.966795173612</v>
      </c>
      <c r="R1135" s="46">
        <v>46310</v>
      </c>
      <c r="S1135" s="46">
        <v>46305</v>
      </c>
      <c r="T1135" s="51" t="s">
        <v>6119</v>
      </c>
      <c r="U1135" s="15"/>
      <c r="V1135" s="15"/>
      <c r="W1135" s="15"/>
      <c r="X1135" s="15"/>
      <c r="Y1135" s="15"/>
      <c r="Z1135" s="15"/>
      <c r="AA1135" s="46"/>
      <c r="AB1135" s="15"/>
      <c r="AC1135" s="15"/>
      <c r="AD1135" s="15"/>
      <c r="AE1135" s="15"/>
      <c r="AF1135" s="15"/>
      <c r="AG1135" s="15"/>
      <c r="AH1135" s="15"/>
      <c r="AI1135" s="46"/>
      <c r="AJ1135" s="51" t="s">
        <v>67</v>
      </c>
      <c r="AK1135" s="51" t="s">
        <v>67</v>
      </c>
      <c r="AL1135" s="15"/>
      <c r="AM1135" s="51" t="s">
        <v>6705</v>
      </c>
      <c r="AN1135" s="51" t="s">
        <v>6712</v>
      </c>
      <c r="AO1135" s="50" t="s">
        <v>9554</v>
      </c>
    </row>
    <row r="1136" spans="1:41" hidden="1" x14ac:dyDescent="0.25">
      <c r="A1136" s="51" t="s">
        <v>6218</v>
      </c>
      <c r="B1136" s="51" t="s">
        <v>6219</v>
      </c>
      <c r="C1136" s="54" t="s">
        <v>608</v>
      </c>
      <c r="D1136" s="51" t="s">
        <v>6220</v>
      </c>
      <c r="E1136" s="20">
        <v>11685.17</v>
      </c>
      <c r="F1136" s="20">
        <v>711.94</v>
      </c>
      <c r="G1136" s="20">
        <v>5929.94</v>
      </c>
      <c r="H1136" s="20">
        <v>3299.02</v>
      </c>
      <c r="I1136" s="20">
        <v>711.94</v>
      </c>
      <c r="J1136" s="51" t="s">
        <v>6726</v>
      </c>
      <c r="K1136" s="15">
        <v>0</v>
      </c>
      <c r="L1136" s="51" t="s">
        <v>2371</v>
      </c>
      <c r="M1136" s="51" t="s">
        <v>6221</v>
      </c>
      <c r="N1136" s="51" t="s">
        <v>1340</v>
      </c>
      <c r="O1136" s="51" t="s">
        <v>67</v>
      </c>
      <c r="P1136" s="51" t="s">
        <v>67</v>
      </c>
      <c r="Q1136" s="45">
        <v>46283.96679903935</v>
      </c>
      <c r="R1136" s="46">
        <v>46315</v>
      </c>
      <c r="S1136" s="46">
        <v>46310</v>
      </c>
      <c r="T1136" s="51" t="s">
        <v>6119</v>
      </c>
      <c r="U1136" s="15"/>
      <c r="V1136" s="15"/>
      <c r="W1136" s="15"/>
      <c r="X1136" s="15"/>
      <c r="Y1136" s="15"/>
      <c r="Z1136" s="15"/>
      <c r="AA1136" s="46"/>
      <c r="AB1136" s="15"/>
      <c r="AC1136" s="15"/>
      <c r="AD1136" s="15"/>
      <c r="AE1136" s="15"/>
      <c r="AF1136" s="15"/>
      <c r="AG1136" s="15"/>
      <c r="AH1136" s="15"/>
      <c r="AI1136" s="46"/>
      <c r="AJ1136" s="51" t="s">
        <v>67</v>
      </c>
      <c r="AK1136" s="51" t="s">
        <v>67</v>
      </c>
      <c r="AL1136" s="15"/>
      <c r="AM1136" s="51" t="s">
        <v>6705</v>
      </c>
      <c r="AN1136" s="51" t="s">
        <v>6712</v>
      </c>
      <c r="AO1136" s="50" t="s">
        <v>9554</v>
      </c>
    </row>
    <row r="1137" spans="1:41" hidden="1" x14ac:dyDescent="0.25">
      <c r="A1137" s="51" t="s">
        <v>6222</v>
      </c>
      <c r="B1137" s="51" t="s">
        <v>6223</v>
      </c>
      <c r="C1137" s="54" t="s">
        <v>5603</v>
      </c>
      <c r="D1137" s="51" t="s">
        <v>6224</v>
      </c>
      <c r="E1137" s="20">
        <v>1958.58</v>
      </c>
      <c r="F1137" s="20">
        <v>1100.92</v>
      </c>
      <c r="G1137" s="20">
        <v>12147.43</v>
      </c>
      <c r="H1137" s="20">
        <v>2932.1</v>
      </c>
      <c r="I1137" s="20">
        <v>1100.92</v>
      </c>
      <c r="J1137" s="51" t="s">
        <v>6726</v>
      </c>
      <c r="K1137" s="15">
        <v>0</v>
      </c>
      <c r="L1137" s="51" t="s">
        <v>2371</v>
      </c>
      <c r="M1137" s="51" t="s">
        <v>6225</v>
      </c>
      <c r="N1137" s="51" t="s">
        <v>1340</v>
      </c>
      <c r="O1137" s="51" t="s">
        <v>6226</v>
      </c>
      <c r="P1137" s="51" t="s">
        <v>1340</v>
      </c>
      <c r="Q1137" s="45">
        <v>46283.966803067131</v>
      </c>
      <c r="R1137" s="46">
        <v>46298</v>
      </c>
      <c r="S1137" s="46">
        <v>46293</v>
      </c>
      <c r="T1137" s="51" t="s">
        <v>6119</v>
      </c>
      <c r="U1137" s="15"/>
      <c r="V1137" s="15"/>
      <c r="W1137" s="15"/>
      <c r="X1137" s="15"/>
      <c r="Y1137" s="15"/>
      <c r="Z1137" s="15"/>
      <c r="AA1137" s="46"/>
      <c r="AB1137" s="15"/>
      <c r="AC1137" s="15"/>
      <c r="AD1137" s="15"/>
      <c r="AE1137" s="15"/>
      <c r="AF1137" s="15"/>
      <c r="AG1137" s="15"/>
      <c r="AH1137" s="15"/>
      <c r="AI1137" s="46"/>
      <c r="AJ1137" s="51" t="s">
        <v>67</v>
      </c>
      <c r="AK1137" s="51" t="s">
        <v>67</v>
      </c>
      <c r="AL1137" s="15"/>
      <c r="AM1137" s="51" t="s">
        <v>6705</v>
      </c>
      <c r="AN1137" s="51" t="s">
        <v>6712</v>
      </c>
      <c r="AO1137" s="50" t="s">
        <v>9554</v>
      </c>
    </row>
    <row r="1138" spans="1:41" hidden="1" x14ac:dyDescent="0.25">
      <c r="A1138" s="51" t="s">
        <v>6227</v>
      </c>
      <c r="B1138" s="51" t="s">
        <v>6228</v>
      </c>
      <c r="C1138" s="54" t="s">
        <v>608</v>
      </c>
      <c r="D1138" s="51" t="s">
        <v>6229</v>
      </c>
      <c r="E1138" s="20">
        <v>5731.91</v>
      </c>
      <c r="F1138" s="20">
        <v>1191.71</v>
      </c>
      <c r="G1138" s="20">
        <v>18012.189999999999</v>
      </c>
      <c r="H1138" s="20">
        <v>3140.07</v>
      </c>
      <c r="I1138" s="20">
        <v>1191.71</v>
      </c>
      <c r="J1138" s="51" t="s">
        <v>6726</v>
      </c>
      <c r="K1138" s="15">
        <v>0</v>
      </c>
      <c r="L1138" s="51" t="s">
        <v>2371</v>
      </c>
      <c r="M1138" s="51" t="s">
        <v>6230</v>
      </c>
      <c r="N1138" s="51" t="s">
        <v>1344</v>
      </c>
      <c r="O1138" s="51" t="s">
        <v>6231</v>
      </c>
      <c r="P1138" s="51" t="s">
        <v>1344</v>
      </c>
      <c r="Q1138" s="45">
        <v>46283.966807199075</v>
      </c>
      <c r="R1138" s="46">
        <v>46315</v>
      </c>
      <c r="S1138" s="46">
        <v>46310</v>
      </c>
      <c r="T1138" s="51" t="s">
        <v>6119</v>
      </c>
      <c r="U1138" s="15"/>
      <c r="V1138" s="15"/>
      <c r="W1138" s="15"/>
      <c r="X1138" s="15"/>
      <c r="Y1138" s="15"/>
      <c r="Z1138" s="15"/>
      <c r="AA1138" s="46"/>
      <c r="AB1138" s="15"/>
      <c r="AC1138" s="15"/>
      <c r="AD1138" s="15"/>
      <c r="AE1138" s="15"/>
      <c r="AF1138" s="15"/>
      <c r="AG1138" s="15"/>
      <c r="AH1138" s="15"/>
      <c r="AI1138" s="46"/>
      <c r="AJ1138" s="51" t="s">
        <v>67</v>
      </c>
      <c r="AK1138" s="51" t="s">
        <v>67</v>
      </c>
      <c r="AL1138" s="15"/>
      <c r="AM1138" s="51" t="s">
        <v>6705</v>
      </c>
      <c r="AN1138" s="51" t="s">
        <v>6712</v>
      </c>
      <c r="AO1138" s="50" t="s">
        <v>9554</v>
      </c>
    </row>
    <row r="1139" spans="1:41" hidden="1" x14ac:dyDescent="0.25">
      <c r="A1139" s="51" t="s">
        <v>6232</v>
      </c>
      <c r="B1139" s="51" t="s">
        <v>6233</v>
      </c>
      <c r="C1139" s="54" t="s">
        <v>2345</v>
      </c>
      <c r="D1139" s="51" t="s">
        <v>6234</v>
      </c>
      <c r="E1139" s="20">
        <v>15203.88</v>
      </c>
      <c r="F1139" s="20">
        <v>910.01</v>
      </c>
      <c r="G1139" s="20">
        <v>5592.27</v>
      </c>
      <c r="H1139" s="20">
        <v>3033.47</v>
      </c>
      <c r="I1139" s="20">
        <v>910.01</v>
      </c>
      <c r="J1139" s="51" t="s">
        <v>6726</v>
      </c>
      <c r="K1139" s="15">
        <v>0</v>
      </c>
      <c r="L1139" s="51" t="s">
        <v>2371</v>
      </c>
      <c r="M1139" s="51" t="s">
        <v>67</v>
      </c>
      <c r="N1139" s="51" t="s">
        <v>67</v>
      </c>
      <c r="O1139" s="51" t="s">
        <v>6235</v>
      </c>
      <c r="P1139" s="51" t="s">
        <v>1340</v>
      </c>
      <c r="Q1139" s="45">
        <v>46283.96681111111</v>
      </c>
      <c r="R1139" s="46">
        <v>46306</v>
      </c>
      <c r="S1139" s="46">
        <v>46301</v>
      </c>
      <c r="T1139" s="51" t="s">
        <v>6119</v>
      </c>
      <c r="U1139" s="15"/>
      <c r="V1139" s="15"/>
      <c r="W1139" s="15"/>
      <c r="X1139" s="15"/>
      <c r="Y1139" s="15"/>
      <c r="Z1139" s="15"/>
      <c r="AA1139" s="46"/>
      <c r="AB1139" s="15"/>
      <c r="AC1139" s="15"/>
      <c r="AD1139" s="15"/>
      <c r="AE1139" s="15"/>
      <c r="AF1139" s="15"/>
      <c r="AG1139" s="15"/>
      <c r="AH1139" s="15"/>
      <c r="AI1139" s="46"/>
      <c r="AJ1139" s="51" t="s">
        <v>67</v>
      </c>
      <c r="AK1139" s="51" t="s">
        <v>67</v>
      </c>
      <c r="AL1139" s="15"/>
      <c r="AM1139" s="51" t="s">
        <v>6705</v>
      </c>
      <c r="AN1139" s="51" t="s">
        <v>6712</v>
      </c>
      <c r="AO1139" s="50" t="s">
        <v>9554</v>
      </c>
    </row>
    <row r="1140" spans="1:41" hidden="1" x14ac:dyDescent="0.25">
      <c r="A1140" s="51" t="s">
        <v>6236</v>
      </c>
      <c r="B1140" s="51" t="s">
        <v>6237</v>
      </c>
      <c r="C1140" s="54" t="s">
        <v>5606</v>
      </c>
      <c r="D1140" s="51" t="s">
        <v>6238</v>
      </c>
      <c r="E1140" s="20">
        <v>10176.040000000001</v>
      </c>
      <c r="F1140" s="20">
        <v>792.12</v>
      </c>
      <c r="G1140" s="20">
        <v>17958.25</v>
      </c>
      <c r="H1140" s="20">
        <v>3397.03</v>
      </c>
      <c r="I1140" s="20">
        <v>792.12</v>
      </c>
      <c r="J1140" s="51" t="s">
        <v>6726</v>
      </c>
      <c r="K1140" s="15">
        <v>0</v>
      </c>
      <c r="L1140" s="51" t="s">
        <v>2371</v>
      </c>
      <c r="M1140" s="51" t="s">
        <v>6239</v>
      </c>
      <c r="N1140" s="51" t="s">
        <v>1340</v>
      </c>
      <c r="O1140" s="51" t="s">
        <v>6240</v>
      </c>
      <c r="P1140" s="51" t="s">
        <v>1340</v>
      </c>
      <c r="Q1140" s="45">
        <v>46283.966815034721</v>
      </c>
      <c r="R1140" s="46">
        <v>46297</v>
      </c>
      <c r="S1140" s="46">
        <v>46292</v>
      </c>
      <c r="T1140" s="51" t="s">
        <v>6119</v>
      </c>
      <c r="U1140" s="15"/>
      <c r="V1140" s="15"/>
      <c r="W1140" s="15"/>
      <c r="X1140" s="15"/>
      <c r="Y1140" s="15"/>
      <c r="Z1140" s="15"/>
      <c r="AA1140" s="46"/>
      <c r="AB1140" s="15"/>
      <c r="AC1140" s="15"/>
      <c r="AD1140" s="15"/>
      <c r="AE1140" s="15"/>
      <c r="AF1140" s="15"/>
      <c r="AG1140" s="15"/>
      <c r="AH1140" s="15"/>
      <c r="AI1140" s="46"/>
      <c r="AJ1140" s="51" t="s">
        <v>67</v>
      </c>
      <c r="AK1140" s="51" t="s">
        <v>67</v>
      </c>
      <c r="AL1140" s="15"/>
      <c r="AM1140" s="51" t="s">
        <v>6705</v>
      </c>
      <c r="AN1140" s="51" t="s">
        <v>6712</v>
      </c>
      <c r="AO1140" s="50" t="s">
        <v>9554</v>
      </c>
    </row>
    <row r="1141" spans="1:41" hidden="1" x14ac:dyDescent="0.25">
      <c r="A1141" s="51" t="s">
        <v>6241</v>
      </c>
      <c r="B1141" s="51" t="s">
        <v>6242</v>
      </c>
      <c r="C1141" s="54" t="s">
        <v>5603</v>
      </c>
      <c r="D1141" s="51" t="s">
        <v>6243</v>
      </c>
      <c r="E1141" s="20">
        <v>2364.13</v>
      </c>
      <c r="F1141" s="20">
        <v>909.76</v>
      </c>
      <c r="G1141" s="20">
        <v>14591.86</v>
      </c>
      <c r="H1141" s="20">
        <v>3267.31</v>
      </c>
      <c r="I1141" s="20">
        <v>909.76</v>
      </c>
      <c r="J1141" s="51" t="s">
        <v>6726</v>
      </c>
      <c r="K1141" s="15">
        <v>0</v>
      </c>
      <c r="L1141" s="51" t="s">
        <v>2371</v>
      </c>
      <c r="M1141" s="51" t="s">
        <v>6244</v>
      </c>
      <c r="N1141" s="51" t="s">
        <v>1340</v>
      </c>
      <c r="O1141" s="51" t="s">
        <v>67</v>
      </c>
      <c r="P1141" s="51" t="s">
        <v>67</v>
      </c>
      <c r="Q1141" s="45">
        <v>46283.966819212961</v>
      </c>
      <c r="R1141" s="46">
        <v>46298</v>
      </c>
      <c r="S1141" s="46">
        <v>46293</v>
      </c>
      <c r="T1141" s="51" t="s">
        <v>6119</v>
      </c>
      <c r="U1141" s="15"/>
      <c r="V1141" s="15"/>
      <c r="W1141" s="15"/>
      <c r="X1141" s="15"/>
      <c r="Y1141" s="15"/>
      <c r="Z1141" s="15"/>
      <c r="AA1141" s="46"/>
      <c r="AB1141" s="15"/>
      <c r="AC1141" s="15"/>
      <c r="AD1141" s="15"/>
      <c r="AE1141" s="15"/>
      <c r="AF1141" s="15"/>
      <c r="AG1141" s="15"/>
      <c r="AH1141" s="15"/>
      <c r="AI1141" s="46"/>
      <c r="AJ1141" s="51" t="s">
        <v>67</v>
      </c>
      <c r="AK1141" s="51" t="s">
        <v>67</v>
      </c>
      <c r="AL1141" s="15"/>
      <c r="AM1141" s="51" t="s">
        <v>6705</v>
      </c>
      <c r="AN1141" s="51" t="s">
        <v>6712</v>
      </c>
      <c r="AO1141" s="50" t="s">
        <v>9554</v>
      </c>
    </row>
    <row r="1142" spans="1:41" hidden="1" x14ac:dyDescent="0.25">
      <c r="A1142" s="51" t="s">
        <v>6245</v>
      </c>
      <c r="B1142" s="51" t="s">
        <v>6246</v>
      </c>
      <c r="C1142" s="54" t="s">
        <v>5604</v>
      </c>
      <c r="D1142" s="51" t="s">
        <v>6247</v>
      </c>
      <c r="E1142" s="20">
        <v>4920.67</v>
      </c>
      <c r="F1142" s="20">
        <v>879.52</v>
      </c>
      <c r="G1142" s="20">
        <v>8687.44</v>
      </c>
      <c r="H1142" s="20">
        <v>2813.02</v>
      </c>
      <c r="I1142" s="20">
        <v>360.28</v>
      </c>
      <c r="J1142" s="51" t="s">
        <v>6726</v>
      </c>
      <c r="K1142" s="15">
        <v>0</v>
      </c>
      <c r="L1142" s="51" t="s">
        <v>2371</v>
      </c>
      <c r="M1142" s="51" t="s">
        <v>6248</v>
      </c>
      <c r="N1142" s="51" t="s">
        <v>1340</v>
      </c>
      <c r="O1142" s="51" t="s">
        <v>67</v>
      </c>
      <c r="P1142" s="51" t="s">
        <v>67</v>
      </c>
      <c r="Q1142" s="45">
        <v>46283.966823437499</v>
      </c>
      <c r="R1142" s="46">
        <v>46313</v>
      </c>
      <c r="S1142" s="46">
        <v>46308</v>
      </c>
      <c r="T1142" s="51" t="s">
        <v>6119</v>
      </c>
      <c r="U1142" s="15"/>
      <c r="V1142" s="15"/>
      <c r="W1142" s="15"/>
      <c r="X1142" s="15"/>
      <c r="Y1142" s="15"/>
      <c r="Z1142" s="15"/>
      <c r="AA1142" s="46"/>
      <c r="AB1142" s="15"/>
      <c r="AC1142" s="15"/>
      <c r="AD1142" s="15"/>
      <c r="AE1142" s="15"/>
      <c r="AF1142" s="15"/>
      <c r="AG1142" s="15"/>
      <c r="AH1142" s="15"/>
      <c r="AI1142" s="46"/>
      <c r="AJ1142" s="51" t="s">
        <v>67</v>
      </c>
      <c r="AK1142" s="51" t="s">
        <v>67</v>
      </c>
      <c r="AL1142" s="15"/>
      <c r="AM1142" s="51" t="s">
        <v>6705</v>
      </c>
      <c r="AN1142" s="51" t="s">
        <v>6719</v>
      </c>
      <c r="AO1142" s="50" t="s">
        <v>9554</v>
      </c>
    </row>
    <row r="1143" spans="1:41" hidden="1" x14ac:dyDescent="0.25">
      <c r="A1143" s="51" t="s">
        <v>6249</v>
      </c>
      <c r="B1143" s="51" t="s">
        <v>6250</v>
      </c>
      <c r="C1143" s="54" t="s">
        <v>605</v>
      </c>
      <c r="D1143" s="51" t="s">
        <v>6251</v>
      </c>
      <c r="E1143" s="20">
        <v>13468.86</v>
      </c>
      <c r="F1143" s="20">
        <v>1134.4000000000001</v>
      </c>
      <c r="G1143" s="20">
        <v>8291.16</v>
      </c>
      <c r="H1143" s="20">
        <v>2746.86</v>
      </c>
      <c r="I1143" s="20">
        <v>1134.4000000000001</v>
      </c>
      <c r="J1143" s="51" t="s">
        <v>6726</v>
      </c>
      <c r="K1143" s="15">
        <v>0</v>
      </c>
      <c r="L1143" s="51" t="s">
        <v>2371</v>
      </c>
      <c r="M1143" s="51" t="s">
        <v>6252</v>
      </c>
      <c r="N1143" s="51" t="s">
        <v>1340</v>
      </c>
      <c r="O1143" s="51" t="s">
        <v>67</v>
      </c>
      <c r="P1143" s="51" t="s">
        <v>67</v>
      </c>
      <c r="Q1143" s="45">
        <v>46283.966826296295</v>
      </c>
      <c r="R1143" s="46">
        <v>46305</v>
      </c>
      <c r="S1143" s="46">
        <v>46300</v>
      </c>
      <c r="T1143" s="51" t="s">
        <v>6119</v>
      </c>
      <c r="U1143" s="15"/>
      <c r="V1143" s="15"/>
      <c r="W1143" s="15"/>
      <c r="X1143" s="15"/>
      <c r="Y1143" s="15"/>
      <c r="Z1143" s="15"/>
      <c r="AA1143" s="46"/>
      <c r="AB1143" s="15"/>
      <c r="AC1143" s="15"/>
      <c r="AD1143" s="15"/>
      <c r="AE1143" s="15"/>
      <c r="AF1143" s="15"/>
      <c r="AG1143" s="15"/>
      <c r="AH1143" s="15"/>
      <c r="AI1143" s="46"/>
      <c r="AJ1143" s="51" t="s">
        <v>67</v>
      </c>
      <c r="AK1143" s="51" t="s">
        <v>67</v>
      </c>
      <c r="AL1143" s="15"/>
      <c r="AM1143" s="51" t="s">
        <v>6705</v>
      </c>
      <c r="AN1143" s="51" t="s">
        <v>6712</v>
      </c>
      <c r="AO1143" s="50" t="s">
        <v>9554</v>
      </c>
    </row>
    <row r="1144" spans="1:41" hidden="1" x14ac:dyDescent="0.25">
      <c r="A1144" s="51" t="s">
        <v>6253</v>
      </c>
      <c r="B1144" s="51" t="s">
        <v>6254</v>
      </c>
      <c r="C1144" s="54" t="s">
        <v>2693</v>
      </c>
      <c r="D1144" s="51" t="s">
        <v>6255</v>
      </c>
      <c r="E1144" s="20">
        <v>1693.98</v>
      </c>
      <c r="F1144" s="20">
        <v>1023.38</v>
      </c>
      <c r="G1144" s="20">
        <v>13871.15</v>
      </c>
      <c r="H1144" s="20">
        <v>3449.85</v>
      </c>
      <c r="I1144" s="20">
        <v>1023.38</v>
      </c>
      <c r="J1144" s="51" t="s">
        <v>6726</v>
      </c>
      <c r="K1144" s="15">
        <v>0</v>
      </c>
      <c r="L1144" s="51" t="s">
        <v>2371</v>
      </c>
      <c r="M1144" s="51" t="s">
        <v>6256</v>
      </c>
      <c r="N1144" s="51" t="s">
        <v>1340</v>
      </c>
      <c r="O1144" s="51" t="s">
        <v>67</v>
      </c>
      <c r="P1144" s="51" t="s">
        <v>67</v>
      </c>
      <c r="Q1144" s="45">
        <v>46283.966828564815</v>
      </c>
      <c r="R1144" s="46">
        <v>46314</v>
      </c>
      <c r="S1144" s="46">
        <v>46309</v>
      </c>
      <c r="T1144" s="51" t="s">
        <v>6119</v>
      </c>
      <c r="U1144" s="15"/>
      <c r="V1144" s="15"/>
      <c r="W1144" s="15"/>
      <c r="X1144" s="15"/>
      <c r="Y1144" s="15"/>
      <c r="Z1144" s="15"/>
      <c r="AA1144" s="46"/>
      <c r="AB1144" s="15"/>
      <c r="AC1144" s="15"/>
      <c r="AD1144" s="15"/>
      <c r="AE1144" s="15"/>
      <c r="AF1144" s="15"/>
      <c r="AG1144" s="15"/>
      <c r="AH1144" s="15"/>
      <c r="AI1144" s="46"/>
      <c r="AJ1144" s="51" t="s">
        <v>67</v>
      </c>
      <c r="AK1144" s="51" t="s">
        <v>67</v>
      </c>
      <c r="AL1144" s="15"/>
      <c r="AM1144" s="51" t="s">
        <v>6705</v>
      </c>
      <c r="AN1144" s="51" t="s">
        <v>6712</v>
      </c>
      <c r="AO1144" s="50" t="s">
        <v>9554</v>
      </c>
    </row>
    <row r="1145" spans="1:41" hidden="1" x14ac:dyDescent="0.25">
      <c r="A1145" s="51" t="s">
        <v>6257</v>
      </c>
      <c r="B1145" s="51" t="s">
        <v>6258</v>
      </c>
      <c r="C1145" s="54" t="s">
        <v>5608</v>
      </c>
      <c r="D1145" s="51" t="s">
        <v>6259</v>
      </c>
      <c r="E1145" s="20">
        <v>2489.21</v>
      </c>
      <c r="F1145" s="20">
        <v>701.22</v>
      </c>
      <c r="G1145" s="20">
        <v>14351.91</v>
      </c>
      <c r="H1145" s="20">
        <v>2664.11</v>
      </c>
      <c r="I1145" s="20">
        <v>701.22</v>
      </c>
      <c r="J1145" s="51" t="s">
        <v>6726</v>
      </c>
      <c r="K1145" s="15">
        <v>0</v>
      </c>
      <c r="L1145" s="51" t="s">
        <v>2371</v>
      </c>
      <c r="M1145" s="51" t="s">
        <v>67</v>
      </c>
      <c r="N1145" s="51" t="s">
        <v>67</v>
      </c>
      <c r="O1145" s="51" t="s">
        <v>6260</v>
      </c>
      <c r="P1145" s="51" t="s">
        <v>1340</v>
      </c>
      <c r="Q1145" s="45">
        <v>46283.966830949073</v>
      </c>
      <c r="R1145" s="46">
        <v>46319</v>
      </c>
      <c r="S1145" s="46">
        <v>46314</v>
      </c>
      <c r="T1145" s="51" t="s">
        <v>6119</v>
      </c>
      <c r="U1145" s="15"/>
      <c r="V1145" s="15"/>
      <c r="W1145" s="15"/>
      <c r="X1145" s="15"/>
      <c r="Y1145" s="15"/>
      <c r="Z1145" s="15"/>
      <c r="AA1145" s="46"/>
      <c r="AB1145" s="15"/>
      <c r="AC1145" s="15"/>
      <c r="AD1145" s="15"/>
      <c r="AE1145" s="15"/>
      <c r="AF1145" s="15"/>
      <c r="AG1145" s="15"/>
      <c r="AH1145" s="15"/>
      <c r="AI1145" s="46"/>
      <c r="AJ1145" s="51" t="s">
        <v>67</v>
      </c>
      <c r="AK1145" s="51" t="s">
        <v>67</v>
      </c>
      <c r="AL1145" s="15"/>
      <c r="AM1145" s="51" t="s">
        <v>6705</v>
      </c>
      <c r="AN1145" s="51" t="s">
        <v>6712</v>
      </c>
      <c r="AO1145" s="50" t="s">
        <v>9554</v>
      </c>
    </row>
    <row r="1146" spans="1:41" hidden="1" x14ac:dyDescent="0.25">
      <c r="A1146" s="51" t="s">
        <v>6261</v>
      </c>
      <c r="B1146" s="51" t="s">
        <v>6262</v>
      </c>
      <c r="C1146" s="54" t="s">
        <v>5605</v>
      </c>
      <c r="D1146" s="51" t="s">
        <v>6263</v>
      </c>
      <c r="E1146" s="20">
        <v>14939.48</v>
      </c>
      <c r="F1146" s="20">
        <v>858.97</v>
      </c>
      <c r="G1146" s="20">
        <v>13285.98</v>
      </c>
      <c r="H1146" s="20">
        <v>3536.31</v>
      </c>
      <c r="I1146" s="20">
        <v>858.97</v>
      </c>
      <c r="J1146" s="51" t="s">
        <v>6726</v>
      </c>
      <c r="K1146" s="15">
        <v>0</v>
      </c>
      <c r="L1146" s="51" t="s">
        <v>2371</v>
      </c>
      <c r="M1146" s="51" t="s">
        <v>6264</v>
      </c>
      <c r="N1146" s="51" t="s">
        <v>1340</v>
      </c>
      <c r="O1146" s="51" t="s">
        <v>6265</v>
      </c>
      <c r="P1146" s="51" t="s">
        <v>1340</v>
      </c>
      <c r="Q1146" s="45">
        <v>46283.966832951388</v>
      </c>
      <c r="R1146" s="46">
        <v>46323</v>
      </c>
      <c r="S1146" s="46">
        <v>46318</v>
      </c>
      <c r="T1146" s="51" t="s">
        <v>6119</v>
      </c>
      <c r="U1146" s="15"/>
      <c r="V1146" s="15"/>
      <c r="W1146" s="15"/>
      <c r="X1146" s="15"/>
      <c r="Y1146" s="15"/>
      <c r="Z1146" s="15"/>
      <c r="AA1146" s="46"/>
      <c r="AB1146" s="15"/>
      <c r="AC1146" s="15"/>
      <c r="AD1146" s="15"/>
      <c r="AE1146" s="15"/>
      <c r="AF1146" s="15"/>
      <c r="AG1146" s="15"/>
      <c r="AH1146" s="15"/>
      <c r="AI1146" s="46"/>
      <c r="AJ1146" s="51" t="s">
        <v>67</v>
      </c>
      <c r="AK1146" s="51" t="s">
        <v>67</v>
      </c>
      <c r="AL1146" s="15"/>
      <c r="AM1146" s="51" t="s">
        <v>6705</v>
      </c>
      <c r="AN1146" s="51" t="s">
        <v>6712</v>
      </c>
      <c r="AO1146" s="50" t="s">
        <v>9554</v>
      </c>
    </row>
    <row r="1147" spans="1:41" hidden="1" x14ac:dyDescent="0.25">
      <c r="A1147" s="51" t="s">
        <v>6266</v>
      </c>
      <c r="B1147" s="51" t="s">
        <v>6267</v>
      </c>
      <c r="C1147" s="54" t="s">
        <v>5599</v>
      </c>
      <c r="D1147" s="51" t="s">
        <v>6268</v>
      </c>
      <c r="E1147" s="20">
        <v>10816.01</v>
      </c>
      <c r="F1147" s="20">
        <v>663.94</v>
      </c>
      <c r="G1147" s="20">
        <v>21124.959999999999</v>
      </c>
      <c r="H1147" s="20">
        <v>3016.71</v>
      </c>
      <c r="I1147" s="20">
        <v>663.94</v>
      </c>
      <c r="J1147" s="51" t="s">
        <v>6726</v>
      </c>
      <c r="K1147" s="15">
        <v>0</v>
      </c>
      <c r="L1147" s="51" t="s">
        <v>2371</v>
      </c>
      <c r="M1147" s="51" t="s">
        <v>6269</v>
      </c>
      <c r="N1147" s="51" t="s">
        <v>1340</v>
      </c>
      <c r="O1147" s="51" t="s">
        <v>6270</v>
      </c>
      <c r="P1147" s="51" t="s">
        <v>1340</v>
      </c>
      <c r="Q1147" s="45">
        <v>46283.966835636573</v>
      </c>
      <c r="R1147" s="46">
        <v>46302</v>
      </c>
      <c r="S1147" s="46">
        <v>46297</v>
      </c>
      <c r="T1147" s="51" t="s">
        <v>6119</v>
      </c>
      <c r="U1147" s="15"/>
      <c r="V1147" s="15"/>
      <c r="W1147" s="15"/>
      <c r="X1147" s="15"/>
      <c r="Y1147" s="15"/>
      <c r="Z1147" s="15"/>
      <c r="AA1147" s="46"/>
      <c r="AB1147" s="15"/>
      <c r="AC1147" s="15"/>
      <c r="AD1147" s="15"/>
      <c r="AE1147" s="15"/>
      <c r="AF1147" s="15"/>
      <c r="AG1147" s="15"/>
      <c r="AH1147" s="15"/>
      <c r="AI1147" s="46"/>
      <c r="AJ1147" s="51" t="s">
        <v>67</v>
      </c>
      <c r="AK1147" s="51" t="s">
        <v>67</v>
      </c>
      <c r="AL1147" s="15"/>
      <c r="AM1147" s="51" t="s">
        <v>6705</v>
      </c>
      <c r="AN1147" s="51" t="s">
        <v>6712</v>
      </c>
      <c r="AO1147" s="50" t="s">
        <v>9554</v>
      </c>
    </row>
    <row r="1148" spans="1:41" hidden="1" x14ac:dyDescent="0.25">
      <c r="A1148" s="51" t="s">
        <v>6271</v>
      </c>
      <c r="B1148" s="51" t="s">
        <v>6272</v>
      </c>
      <c r="C1148" s="54" t="s">
        <v>2356</v>
      </c>
      <c r="D1148" s="51" t="s">
        <v>6273</v>
      </c>
      <c r="E1148" s="20">
        <v>11175.73</v>
      </c>
      <c r="F1148" s="20">
        <v>824.49</v>
      </c>
      <c r="G1148" s="20">
        <v>11752.32</v>
      </c>
      <c r="H1148" s="20">
        <v>3560.73</v>
      </c>
      <c r="I1148" s="20">
        <v>824.49</v>
      </c>
      <c r="J1148" s="51" t="s">
        <v>6726</v>
      </c>
      <c r="K1148" s="15">
        <v>0</v>
      </c>
      <c r="L1148" s="51" t="s">
        <v>2371</v>
      </c>
      <c r="M1148" s="51" t="s">
        <v>6274</v>
      </c>
      <c r="N1148" s="51" t="s">
        <v>1340</v>
      </c>
      <c r="O1148" s="51" t="s">
        <v>6275</v>
      </c>
      <c r="P1148" s="51" t="s">
        <v>1340</v>
      </c>
      <c r="Q1148" s="45">
        <v>46283.966838437504</v>
      </c>
      <c r="R1148" s="46">
        <v>46307</v>
      </c>
      <c r="S1148" s="46">
        <v>46302</v>
      </c>
      <c r="T1148" s="51" t="s">
        <v>6119</v>
      </c>
      <c r="U1148" s="15"/>
      <c r="V1148" s="15"/>
      <c r="W1148" s="15"/>
      <c r="X1148" s="15"/>
      <c r="Y1148" s="15"/>
      <c r="Z1148" s="15"/>
      <c r="AA1148" s="46"/>
      <c r="AB1148" s="15"/>
      <c r="AC1148" s="15"/>
      <c r="AD1148" s="15"/>
      <c r="AE1148" s="15"/>
      <c r="AF1148" s="15"/>
      <c r="AG1148" s="15"/>
      <c r="AH1148" s="15"/>
      <c r="AI1148" s="46"/>
      <c r="AJ1148" s="51" t="s">
        <v>67</v>
      </c>
      <c r="AK1148" s="51" t="s">
        <v>67</v>
      </c>
      <c r="AL1148" s="15"/>
      <c r="AM1148" s="51" t="s">
        <v>6705</v>
      </c>
      <c r="AN1148" s="51" t="s">
        <v>6712</v>
      </c>
      <c r="AO1148" s="50" t="s">
        <v>9554</v>
      </c>
    </row>
    <row r="1149" spans="1:41" hidden="1" x14ac:dyDescent="0.25">
      <c r="A1149" s="51" t="s">
        <v>6276</v>
      </c>
      <c r="B1149" s="51" t="s">
        <v>6277</v>
      </c>
      <c r="C1149" s="54" t="s">
        <v>2693</v>
      </c>
      <c r="D1149" s="51" t="s">
        <v>6278</v>
      </c>
      <c r="E1149" s="20">
        <v>8428.26</v>
      </c>
      <c r="F1149" s="20">
        <v>1026.23</v>
      </c>
      <c r="G1149" s="20">
        <v>12483.08</v>
      </c>
      <c r="H1149" s="20">
        <v>3306.6</v>
      </c>
      <c r="I1149" s="20">
        <v>1026.23</v>
      </c>
      <c r="J1149" s="51" t="s">
        <v>6726</v>
      </c>
      <c r="K1149" s="15">
        <v>0</v>
      </c>
      <c r="L1149" s="51" t="s">
        <v>2371</v>
      </c>
      <c r="M1149" s="51" t="s">
        <v>6279</v>
      </c>
      <c r="N1149" s="51" t="s">
        <v>1344</v>
      </c>
      <c r="O1149" s="51" t="s">
        <v>67</v>
      </c>
      <c r="P1149" s="51" t="s">
        <v>67</v>
      </c>
      <c r="Q1149" s="45">
        <v>46283.966841099536</v>
      </c>
      <c r="R1149" s="46">
        <v>46314</v>
      </c>
      <c r="S1149" s="46">
        <v>46309</v>
      </c>
      <c r="T1149" s="51" t="s">
        <v>6119</v>
      </c>
      <c r="U1149" s="15"/>
      <c r="V1149" s="15"/>
      <c r="W1149" s="15"/>
      <c r="X1149" s="15"/>
      <c r="Y1149" s="15"/>
      <c r="Z1149" s="15"/>
      <c r="AA1149" s="46"/>
      <c r="AB1149" s="15"/>
      <c r="AC1149" s="15"/>
      <c r="AD1149" s="15"/>
      <c r="AE1149" s="15"/>
      <c r="AF1149" s="15"/>
      <c r="AG1149" s="15"/>
      <c r="AH1149" s="15"/>
      <c r="AI1149" s="46"/>
      <c r="AJ1149" s="51" t="s">
        <v>67</v>
      </c>
      <c r="AK1149" s="51" t="s">
        <v>67</v>
      </c>
      <c r="AL1149" s="15"/>
      <c r="AM1149" s="51" t="s">
        <v>6705</v>
      </c>
      <c r="AN1149" s="51" t="s">
        <v>6712</v>
      </c>
      <c r="AO1149" s="50" t="s">
        <v>9554</v>
      </c>
    </row>
    <row r="1150" spans="1:41" hidden="1" x14ac:dyDescent="0.25">
      <c r="A1150" s="51" t="s">
        <v>6280</v>
      </c>
      <c r="B1150" s="51" t="s">
        <v>6281</v>
      </c>
      <c r="C1150" s="54" t="s">
        <v>2694</v>
      </c>
      <c r="D1150" s="51" t="s">
        <v>6282</v>
      </c>
      <c r="E1150" s="20">
        <v>4481.25</v>
      </c>
      <c r="F1150" s="20">
        <v>1006.81</v>
      </c>
      <c r="G1150" s="20">
        <v>13115.72</v>
      </c>
      <c r="H1150" s="20">
        <v>3044.43</v>
      </c>
      <c r="I1150" s="20">
        <v>555.77</v>
      </c>
      <c r="J1150" s="51" t="s">
        <v>6726</v>
      </c>
      <c r="K1150" s="15">
        <v>0</v>
      </c>
      <c r="L1150" s="51" t="s">
        <v>2371</v>
      </c>
      <c r="M1150" s="51" t="s">
        <v>6283</v>
      </c>
      <c r="N1150" s="51" t="s">
        <v>1344</v>
      </c>
      <c r="O1150" s="51" t="s">
        <v>67</v>
      </c>
      <c r="P1150" s="51" t="s">
        <v>67</v>
      </c>
      <c r="Q1150" s="45">
        <v>46283.966845196759</v>
      </c>
      <c r="R1150" s="46">
        <v>46312</v>
      </c>
      <c r="S1150" s="46">
        <v>46307</v>
      </c>
      <c r="T1150" s="51" t="s">
        <v>6119</v>
      </c>
      <c r="U1150" s="15"/>
      <c r="V1150" s="15"/>
      <c r="W1150" s="15"/>
      <c r="X1150" s="15"/>
      <c r="Y1150" s="15"/>
      <c r="Z1150" s="15"/>
      <c r="AA1150" s="46"/>
      <c r="AB1150" s="15"/>
      <c r="AC1150" s="15"/>
      <c r="AD1150" s="15"/>
      <c r="AE1150" s="15"/>
      <c r="AF1150" s="15"/>
      <c r="AG1150" s="15"/>
      <c r="AH1150" s="15"/>
      <c r="AI1150" s="46"/>
      <c r="AJ1150" s="51" t="s">
        <v>67</v>
      </c>
      <c r="AK1150" s="51" t="s">
        <v>67</v>
      </c>
      <c r="AL1150" s="15"/>
      <c r="AM1150" s="51" t="s">
        <v>6705</v>
      </c>
      <c r="AN1150" s="51" t="s">
        <v>6712</v>
      </c>
      <c r="AO1150" s="50" t="s">
        <v>9554</v>
      </c>
    </row>
    <row r="1151" spans="1:41" hidden="1" x14ac:dyDescent="0.25">
      <c r="A1151" s="51" t="s">
        <v>6284</v>
      </c>
      <c r="B1151" s="51" t="s">
        <v>6285</v>
      </c>
      <c r="C1151" s="54" t="s">
        <v>607</v>
      </c>
      <c r="D1151" s="51" t="s">
        <v>6286</v>
      </c>
      <c r="E1151" s="20">
        <v>6465.47</v>
      </c>
      <c r="F1151" s="20">
        <v>820.08</v>
      </c>
      <c r="G1151" s="20">
        <v>19355.41</v>
      </c>
      <c r="H1151" s="20">
        <v>3621.23</v>
      </c>
      <c r="I1151" s="20">
        <v>820.08</v>
      </c>
      <c r="J1151" s="51" t="s">
        <v>6726</v>
      </c>
      <c r="K1151" s="15">
        <v>0</v>
      </c>
      <c r="L1151" s="51" t="s">
        <v>2371</v>
      </c>
      <c r="M1151" s="51" t="s">
        <v>6287</v>
      </c>
      <c r="N1151" s="51" t="s">
        <v>1340</v>
      </c>
      <c r="O1151" s="51" t="s">
        <v>67</v>
      </c>
      <c r="P1151" s="51" t="s">
        <v>67</v>
      </c>
      <c r="Q1151" s="45">
        <v>46283.966849456017</v>
      </c>
      <c r="R1151" s="46">
        <v>46310</v>
      </c>
      <c r="S1151" s="46">
        <v>46305</v>
      </c>
      <c r="T1151" s="51" t="s">
        <v>6119</v>
      </c>
      <c r="U1151" s="15"/>
      <c r="V1151" s="15"/>
      <c r="W1151" s="15"/>
      <c r="X1151" s="15"/>
      <c r="Y1151" s="15"/>
      <c r="Z1151" s="15"/>
      <c r="AA1151" s="46"/>
      <c r="AB1151" s="15"/>
      <c r="AC1151" s="15"/>
      <c r="AD1151" s="15"/>
      <c r="AE1151" s="15"/>
      <c r="AF1151" s="15"/>
      <c r="AG1151" s="15"/>
      <c r="AH1151" s="15"/>
      <c r="AI1151" s="46"/>
      <c r="AJ1151" s="51" t="s">
        <v>67</v>
      </c>
      <c r="AK1151" s="51" t="s">
        <v>67</v>
      </c>
      <c r="AL1151" s="15"/>
      <c r="AM1151" s="51" t="s">
        <v>6705</v>
      </c>
      <c r="AN1151" s="51" t="s">
        <v>6712</v>
      </c>
      <c r="AO1151" s="50" t="s">
        <v>9554</v>
      </c>
    </row>
    <row r="1152" spans="1:41" hidden="1" x14ac:dyDescent="0.25">
      <c r="A1152" s="51" t="s">
        <v>6288</v>
      </c>
      <c r="B1152" s="51" t="s">
        <v>6289</v>
      </c>
      <c r="C1152" s="54" t="s">
        <v>5598</v>
      </c>
      <c r="D1152" s="51" t="s">
        <v>6290</v>
      </c>
      <c r="E1152" s="20">
        <v>9896.73</v>
      </c>
      <c r="F1152" s="20">
        <v>0</v>
      </c>
      <c r="G1152" s="20">
        <v>21011.05</v>
      </c>
      <c r="H1152" s="20">
        <v>4022.52</v>
      </c>
      <c r="I1152" s="20">
        <v>510.15</v>
      </c>
      <c r="J1152" s="51" t="s">
        <v>6726</v>
      </c>
      <c r="K1152" s="15">
        <v>0</v>
      </c>
      <c r="L1152" s="51" t="s">
        <v>2371</v>
      </c>
      <c r="M1152" s="51" t="s">
        <v>67</v>
      </c>
      <c r="N1152" s="51" t="s">
        <v>67</v>
      </c>
      <c r="O1152" s="51" t="s">
        <v>6291</v>
      </c>
      <c r="P1152" s="51" t="s">
        <v>1340</v>
      </c>
      <c r="Q1152" s="45">
        <v>46283.966853518519</v>
      </c>
      <c r="R1152" s="46">
        <v>46318</v>
      </c>
      <c r="S1152" s="46">
        <v>46313</v>
      </c>
      <c r="T1152" s="51" t="s">
        <v>6119</v>
      </c>
      <c r="U1152" s="15"/>
      <c r="V1152" s="15"/>
      <c r="W1152" s="15"/>
      <c r="X1152" s="15"/>
      <c r="Y1152" s="15"/>
      <c r="Z1152" s="15"/>
      <c r="AA1152" s="46"/>
      <c r="AB1152" s="15"/>
      <c r="AC1152" s="15"/>
      <c r="AD1152" s="15"/>
      <c r="AE1152" s="15"/>
      <c r="AF1152" s="15"/>
      <c r="AG1152" s="15"/>
      <c r="AH1152" s="15"/>
      <c r="AI1152" s="46"/>
      <c r="AJ1152" s="51" t="s">
        <v>67</v>
      </c>
      <c r="AK1152" s="51" t="s">
        <v>67</v>
      </c>
      <c r="AL1152" s="15"/>
      <c r="AM1152" s="51" t="s">
        <v>6705</v>
      </c>
      <c r="AN1152" s="51" t="s">
        <v>6120</v>
      </c>
      <c r="AO1152" s="50" t="s">
        <v>9554</v>
      </c>
    </row>
    <row r="1153" spans="1:41" hidden="1" x14ac:dyDescent="0.25">
      <c r="A1153" s="51" t="s">
        <v>6292</v>
      </c>
      <c r="B1153" s="51" t="s">
        <v>6293</v>
      </c>
      <c r="C1153" s="54" t="s">
        <v>2694</v>
      </c>
      <c r="D1153" s="51" t="s">
        <v>6294</v>
      </c>
      <c r="E1153" s="20">
        <v>2108.23</v>
      </c>
      <c r="F1153" s="20">
        <v>1157.52</v>
      </c>
      <c r="G1153" s="20">
        <v>15047.02</v>
      </c>
      <c r="H1153" s="20">
        <v>3117.4</v>
      </c>
      <c r="I1153" s="20">
        <v>1157.52</v>
      </c>
      <c r="J1153" s="51" t="s">
        <v>6726</v>
      </c>
      <c r="K1153" s="15">
        <v>0</v>
      </c>
      <c r="L1153" s="51" t="s">
        <v>2371</v>
      </c>
      <c r="M1153" s="51" t="s">
        <v>6295</v>
      </c>
      <c r="N1153" s="51" t="s">
        <v>1340</v>
      </c>
      <c r="O1153" s="51" t="s">
        <v>6296</v>
      </c>
      <c r="P1153" s="51" t="s">
        <v>1340</v>
      </c>
      <c r="Q1153" s="45">
        <v>46283.966857361112</v>
      </c>
      <c r="R1153" s="46">
        <v>46312</v>
      </c>
      <c r="S1153" s="46">
        <v>46307</v>
      </c>
      <c r="T1153" s="51" t="s">
        <v>6119</v>
      </c>
      <c r="U1153" s="15"/>
      <c r="V1153" s="15"/>
      <c r="W1153" s="15"/>
      <c r="X1153" s="15"/>
      <c r="Y1153" s="15"/>
      <c r="Z1153" s="15"/>
      <c r="AA1153" s="46"/>
      <c r="AB1153" s="15"/>
      <c r="AC1153" s="15"/>
      <c r="AD1153" s="15"/>
      <c r="AE1153" s="15"/>
      <c r="AF1153" s="15"/>
      <c r="AG1153" s="15"/>
      <c r="AH1153" s="15"/>
      <c r="AI1153" s="46"/>
      <c r="AJ1153" s="51" t="s">
        <v>67</v>
      </c>
      <c r="AK1153" s="51" t="s">
        <v>67</v>
      </c>
      <c r="AL1153" s="15"/>
      <c r="AM1153" s="51" t="s">
        <v>6705</v>
      </c>
      <c r="AN1153" s="51" t="s">
        <v>6712</v>
      </c>
      <c r="AO1153" s="50" t="s">
        <v>9554</v>
      </c>
    </row>
    <row r="1154" spans="1:41" hidden="1" x14ac:dyDescent="0.25">
      <c r="A1154" s="51" t="s">
        <v>6297</v>
      </c>
      <c r="B1154" s="51" t="s">
        <v>6298</v>
      </c>
      <c r="C1154" s="54" t="s">
        <v>5598</v>
      </c>
      <c r="D1154" s="51" t="s">
        <v>6299</v>
      </c>
      <c r="E1154" s="20">
        <v>10126.89</v>
      </c>
      <c r="F1154" s="20">
        <v>0</v>
      </c>
      <c r="G1154" s="20">
        <v>12145.99</v>
      </c>
      <c r="H1154" s="20">
        <v>3901.21</v>
      </c>
      <c r="I1154" s="20">
        <v>729.69</v>
      </c>
      <c r="J1154" s="51" t="s">
        <v>6726</v>
      </c>
      <c r="K1154" s="15">
        <v>0</v>
      </c>
      <c r="L1154" s="51" t="s">
        <v>2371</v>
      </c>
      <c r="M1154" s="51" t="s">
        <v>6300</v>
      </c>
      <c r="N1154" s="51" t="s">
        <v>1340</v>
      </c>
      <c r="O1154" s="51" t="s">
        <v>67</v>
      </c>
      <c r="P1154" s="51" t="s">
        <v>67</v>
      </c>
      <c r="Q1154" s="45">
        <v>46283.966860439818</v>
      </c>
      <c r="R1154" s="46">
        <v>46318</v>
      </c>
      <c r="S1154" s="46">
        <v>46313</v>
      </c>
      <c r="T1154" s="51" t="s">
        <v>6119</v>
      </c>
      <c r="U1154" s="15"/>
      <c r="V1154" s="15"/>
      <c r="W1154" s="15"/>
      <c r="X1154" s="15"/>
      <c r="Y1154" s="15"/>
      <c r="Z1154" s="15"/>
      <c r="AA1154" s="46"/>
      <c r="AB1154" s="15"/>
      <c r="AC1154" s="15"/>
      <c r="AD1154" s="15"/>
      <c r="AE1154" s="15"/>
      <c r="AF1154" s="15"/>
      <c r="AG1154" s="15"/>
      <c r="AH1154" s="15"/>
      <c r="AI1154" s="46"/>
      <c r="AJ1154" s="51" t="s">
        <v>67</v>
      </c>
      <c r="AK1154" s="51" t="s">
        <v>67</v>
      </c>
      <c r="AL1154" s="15"/>
      <c r="AM1154" s="51" t="s">
        <v>6705</v>
      </c>
      <c r="AN1154" s="51" t="s">
        <v>6120</v>
      </c>
      <c r="AO1154" s="50" t="s">
        <v>9554</v>
      </c>
    </row>
    <row r="1155" spans="1:41" hidden="1" x14ac:dyDescent="0.25">
      <c r="A1155" s="51" t="s">
        <v>6301</v>
      </c>
      <c r="B1155" s="51" t="s">
        <v>6302</v>
      </c>
      <c r="C1155" s="54" t="s">
        <v>5600</v>
      </c>
      <c r="D1155" s="51" t="s">
        <v>6303</v>
      </c>
      <c r="E1155" s="20">
        <v>11319.89</v>
      </c>
      <c r="F1155" s="20">
        <v>1105.78</v>
      </c>
      <c r="G1155" s="20">
        <v>8389.2099999999991</v>
      </c>
      <c r="H1155" s="20">
        <v>4189.6400000000003</v>
      </c>
      <c r="I1155" s="20">
        <v>1105.78</v>
      </c>
      <c r="J1155" s="51" t="s">
        <v>6726</v>
      </c>
      <c r="K1155" s="15">
        <v>0</v>
      </c>
      <c r="L1155" s="51" t="s">
        <v>2371</v>
      </c>
      <c r="M1155" s="51" t="s">
        <v>6304</v>
      </c>
      <c r="N1155" s="51" t="s">
        <v>1340</v>
      </c>
      <c r="O1155" s="51" t="s">
        <v>6305</v>
      </c>
      <c r="P1155" s="51" t="s">
        <v>1340</v>
      </c>
      <c r="Q1155" s="45">
        <v>46283.96686270833</v>
      </c>
      <c r="R1155" s="46">
        <v>46304</v>
      </c>
      <c r="S1155" s="46">
        <v>46299</v>
      </c>
      <c r="T1155" s="51" t="s">
        <v>6119</v>
      </c>
      <c r="U1155" s="15"/>
      <c r="V1155" s="15"/>
      <c r="W1155" s="15"/>
      <c r="X1155" s="15"/>
      <c r="Y1155" s="15"/>
      <c r="Z1155" s="15"/>
      <c r="AA1155" s="46"/>
      <c r="AB1155" s="15"/>
      <c r="AC1155" s="15"/>
      <c r="AD1155" s="15"/>
      <c r="AE1155" s="15"/>
      <c r="AF1155" s="15"/>
      <c r="AG1155" s="15"/>
      <c r="AH1155" s="15"/>
      <c r="AI1155" s="46"/>
      <c r="AJ1155" s="51" t="s">
        <v>67</v>
      </c>
      <c r="AK1155" s="51" t="s">
        <v>67</v>
      </c>
      <c r="AL1155" s="15"/>
      <c r="AM1155" s="51" t="s">
        <v>6705</v>
      </c>
      <c r="AN1155" s="51" t="s">
        <v>6712</v>
      </c>
      <c r="AO1155" s="50" t="s">
        <v>9554</v>
      </c>
    </row>
    <row r="1156" spans="1:41" hidden="1" x14ac:dyDescent="0.25">
      <c r="A1156" s="51" t="s">
        <v>6306</v>
      </c>
      <c r="B1156" s="51" t="s">
        <v>6307</v>
      </c>
      <c r="C1156" s="54" t="s">
        <v>5607</v>
      </c>
      <c r="D1156" s="51" t="s">
        <v>6308</v>
      </c>
      <c r="E1156" s="20">
        <v>14314.59</v>
      </c>
      <c r="F1156" s="20">
        <v>1099.69</v>
      </c>
      <c r="G1156" s="20">
        <v>1654.79</v>
      </c>
      <c r="H1156" s="20">
        <v>2819.9</v>
      </c>
      <c r="I1156" s="20">
        <v>1099.69</v>
      </c>
      <c r="J1156" s="51" t="s">
        <v>6726</v>
      </c>
      <c r="K1156" s="15">
        <v>0</v>
      </c>
      <c r="L1156" s="51" t="s">
        <v>2371</v>
      </c>
      <c r="M1156" s="51" t="s">
        <v>6309</v>
      </c>
      <c r="N1156" s="51" t="s">
        <v>1340</v>
      </c>
      <c r="O1156" s="51" t="s">
        <v>67</v>
      </c>
      <c r="P1156" s="51" t="s">
        <v>67</v>
      </c>
      <c r="Q1156" s="45">
        <v>46283.966865208335</v>
      </c>
      <c r="R1156" s="46">
        <v>46299</v>
      </c>
      <c r="S1156" s="46">
        <v>46294</v>
      </c>
      <c r="T1156" s="51" t="s">
        <v>6119</v>
      </c>
      <c r="U1156" s="15"/>
      <c r="V1156" s="15"/>
      <c r="W1156" s="15"/>
      <c r="X1156" s="15"/>
      <c r="Y1156" s="15"/>
      <c r="Z1156" s="15"/>
      <c r="AA1156" s="46"/>
      <c r="AB1156" s="15"/>
      <c r="AC1156" s="15"/>
      <c r="AD1156" s="15"/>
      <c r="AE1156" s="15"/>
      <c r="AF1156" s="15"/>
      <c r="AG1156" s="15"/>
      <c r="AH1156" s="15"/>
      <c r="AI1156" s="46"/>
      <c r="AJ1156" s="51" t="s">
        <v>67</v>
      </c>
      <c r="AK1156" s="51" t="s">
        <v>67</v>
      </c>
      <c r="AL1156" s="15"/>
      <c r="AM1156" s="51" t="s">
        <v>6705</v>
      </c>
      <c r="AN1156" s="51" t="s">
        <v>6712</v>
      </c>
      <c r="AO1156" s="50" t="s">
        <v>9554</v>
      </c>
    </row>
    <row r="1157" spans="1:41" hidden="1" x14ac:dyDescent="0.25">
      <c r="A1157" s="51" t="s">
        <v>6310</v>
      </c>
      <c r="B1157" s="51" t="s">
        <v>6311</v>
      </c>
      <c r="C1157" s="54" t="s">
        <v>5607</v>
      </c>
      <c r="D1157" s="51" t="s">
        <v>6247</v>
      </c>
      <c r="E1157" s="20">
        <v>12351.1</v>
      </c>
      <c r="F1157" s="20">
        <v>1140.93</v>
      </c>
      <c r="G1157" s="20">
        <v>8114.09</v>
      </c>
      <c r="H1157" s="20">
        <v>3091.32</v>
      </c>
      <c r="I1157" s="20">
        <v>1140.93</v>
      </c>
      <c r="J1157" s="51" t="s">
        <v>6726</v>
      </c>
      <c r="K1157" s="15">
        <v>0</v>
      </c>
      <c r="L1157" s="51" t="s">
        <v>2371</v>
      </c>
      <c r="M1157" s="51" t="s">
        <v>67</v>
      </c>
      <c r="N1157" s="51" t="s">
        <v>67</v>
      </c>
      <c r="O1157" s="51" t="s">
        <v>6312</v>
      </c>
      <c r="P1157" s="51" t="s">
        <v>1340</v>
      </c>
      <c r="Q1157" s="45">
        <v>46283.966867916664</v>
      </c>
      <c r="R1157" s="46">
        <v>46299</v>
      </c>
      <c r="S1157" s="46">
        <v>46294</v>
      </c>
      <c r="T1157" s="51" t="s">
        <v>6119</v>
      </c>
      <c r="U1157" s="15"/>
      <c r="V1157" s="15"/>
      <c r="W1157" s="15"/>
      <c r="X1157" s="15"/>
      <c r="Y1157" s="15"/>
      <c r="Z1157" s="15"/>
      <c r="AA1157" s="46"/>
      <c r="AB1157" s="15"/>
      <c r="AC1157" s="15"/>
      <c r="AD1157" s="15"/>
      <c r="AE1157" s="15"/>
      <c r="AF1157" s="15"/>
      <c r="AG1157" s="15"/>
      <c r="AH1157" s="15"/>
      <c r="AI1157" s="46"/>
      <c r="AJ1157" s="51" t="s">
        <v>67</v>
      </c>
      <c r="AK1157" s="51" t="s">
        <v>67</v>
      </c>
      <c r="AL1157" s="15"/>
      <c r="AM1157" s="51" t="s">
        <v>6705</v>
      </c>
      <c r="AN1157" s="51" t="s">
        <v>6712</v>
      </c>
      <c r="AO1157" s="50" t="s">
        <v>9554</v>
      </c>
    </row>
    <row r="1158" spans="1:41" hidden="1" x14ac:dyDescent="0.25">
      <c r="A1158" s="51" t="s">
        <v>6313</v>
      </c>
      <c r="B1158" s="51" t="s">
        <v>6314</v>
      </c>
      <c r="C1158" s="54" t="s">
        <v>2689</v>
      </c>
      <c r="D1158" s="51" t="s">
        <v>6315</v>
      </c>
      <c r="E1158" s="20">
        <v>3283.63</v>
      </c>
      <c r="F1158" s="20">
        <v>1116.19</v>
      </c>
      <c r="G1158" s="20">
        <v>14166.26</v>
      </c>
      <c r="H1158" s="20">
        <v>3280.79</v>
      </c>
      <c r="I1158" s="20">
        <v>1116.19</v>
      </c>
      <c r="J1158" s="51" t="s">
        <v>6726</v>
      </c>
      <c r="K1158" s="15">
        <v>0</v>
      </c>
      <c r="L1158" s="51" t="s">
        <v>2371</v>
      </c>
      <c r="M1158" s="51" t="s">
        <v>6316</v>
      </c>
      <c r="N1158" s="51" t="s">
        <v>1340</v>
      </c>
      <c r="O1158" s="51" t="s">
        <v>6317</v>
      </c>
      <c r="P1158" s="51" t="s">
        <v>1340</v>
      </c>
      <c r="Q1158" s="45">
        <v>46283.966870312499</v>
      </c>
      <c r="R1158" s="46">
        <v>46317</v>
      </c>
      <c r="S1158" s="46">
        <v>46312</v>
      </c>
      <c r="T1158" s="51" t="s">
        <v>6119</v>
      </c>
      <c r="U1158" s="15"/>
      <c r="V1158" s="15"/>
      <c r="W1158" s="15"/>
      <c r="X1158" s="15"/>
      <c r="Y1158" s="15"/>
      <c r="Z1158" s="15"/>
      <c r="AA1158" s="46"/>
      <c r="AB1158" s="15"/>
      <c r="AC1158" s="15"/>
      <c r="AD1158" s="15"/>
      <c r="AE1158" s="15"/>
      <c r="AF1158" s="15"/>
      <c r="AG1158" s="15"/>
      <c r="AH1158" s="15"/>
      <c r="AI1158" s="46"/>
      <c r="AJ1158" s="51" t="s">
        <v>67</v>
      </c>
      <c r="AK1158" s="51" t="s">
        <v>67</v>
      </c>
      <c r="AL1158" s="15"/>
      <c r="AM1158" s="51" t="s">
        <v>6705</v>
      </c>
      <c r="AN1158" s="51" t="s">
        <v>6712</v>
      </c>
      <c r="AO1158" s="50" t="s">
        <v>9554</v>
      </c>
    </row>
    <row r="1159" spans="1:41" hidden="1" x14ac:dyDescent="0.25">
      <c r="A1159" s="51" t="s">
        <v>6318</v>
      </c>
      <c r="B1159" s="51" t="s">
        <v>6319</v>
      </c>
      <c r="C1159" s="54" t="s">
        <v>608</v>
      </c>
      <c r="D1159" s="51" t="s">
        <v>6320</v>
      </c>
      <c r="E1159" s="20">
        <v>11362.7</v>
      </c>
      <c r="F1159" s="20">
        <v>1056.1600000000001</v>
      </c>
      <c r="G1159" s="20">
        <v>5267.15</v>
      </c>
      <c r="H1159" s="20">
        <v>3393.81</v>
      </c>
      <c r="I1159" s="20">
        <v>1056.1600000000001</v>
      </c>
      <c r="J1159" s="51" t="s">
        <v>6726</v>
      </c>
      <c r="K1159" s="15">
        <v>0</v>
      </c>
      <c r="L1159" s="51" t="s">
        <v>2371</v>
      </c>
      <c r="M1159" s="51" t="s">
        <v>6321</v>
      </c>
      <c r="N1159" s="51" t="s">
        <v>1344</v>
      </c>
      <c r="O1159" s="51" t="s">
        <v>6322</v>
      </c>
      <c r="P1159" s="51" t="s">
        <v>1344</v>
      </c>
      <c r="Q1159" s="45">
        <v>46283.966872453704</v>
      </c>
      <c r="R1159" s="46">
        <v>46315</v>
      </c>
      <c r="S1159" s="46">
        <v>46310</v>
      </c>
      <c r="T1159" s="51" t="s">
        <v>6119</v>
      </c>
      <c r="U1159" s="15"/>
      <c r="V1159" s="15"/>
      <c r="W1159" s="15"/>
      <c r="X1159" s="15"/>
      <c r="Y1159" s="15"/>
      <c r="Z1159" s="15"/>
      <c r="AA1159" s="46"/>
      <c r="AB1159" s="15"/>
      <c r="AC1159" s="15"/>
      <c r="AD1159" s="15"/>
      <c r="AE1159" s="15"/>
      <c r="AF1159" s="15"/>
      <c r="AG1159" s="15"/>
      <c r="AH1159" s="15"/>
      <c r="AI1159" s="46"/>
      <c r="AJ1159" s="51" t="s">
        <v>67</v>
      </c>
      <c r="AK1159" s="51" t="s">
        <v>67</v>
      </c>
      <c r="AL1159" s="15"/>
      <c r="AM1159" s="51" t="s">
        <v>6705</v>
      </c>
      <c r="AN1159" s="51" t="s">
        <v>6712</v>
      </c>
      <c r="AO1159" s="50" t="s">
        <v>9554</v>
      </c>
    </row>
    <row r="1160" spans="1:41" hidden="1" x14ac:dyDescent="0.25">
      <c r="A1160" s="51" t="s">
        <v>6323</v>
      </c>
      <c r="B1160" s="51" t="s">
        <v>6324</v>
      </c>
      <c r="C1160" s="54" t="s">
        <v>5600</v>
      </c>
      <c r="D1160" s="51" t="s">
        <v>6325</v>
      </c>
      <c r="E1160" s="20">
        <v>3266.73</v>
      </c>
      <c r="F1160" s="20">
        <v>706.48</v>
      </c>
      <c r="G1160" s="20">
        <v>21234.53</v>
      </c>
      <c r="H1160" s="20">
        <v>2785.51</v>
      </c>
      <c r="I1160" s="20">
        <v>706.48</v>
      </c>
      <c r="J1160" s="51" t="s">
        <v>6726</v>
      </c>
      <c r="K1160" s="15">
        <v>0</v>
      </c>
      <c r="L1160" s="51" t="s">
        <v>2371</v>
      </c>
      <c r="M1160" s="51" t="s">
        <v>6326</v>
      </c>
      <c r="N1160" s="51" t="s">
        <v>1344</v>
      </c>
      <c r="O1160" s="51" t="s">
        <v>67</v>
      </c>
      <c r="P1160" s="51" t="s">
        <v>67</v>
      </c>
      <c r="Q1160" s="45">
        <v>46283.966874699072</v>
      </c>
      <c r="R1160" s="46">
        <v>46304</v>
      </c>
      <c r="S1160" s="46">
        <v>46299</v>
      </c>
      <c r="T1160" s="51" t="s">
        <v>6119</v>
      </c>
      <c r="U1160" s="15"/>
      <c r="V1160" s="15"/>
      <c r="W1160" s="15"/>
      <c r="X1160" s="15"/>
      <c r="Y1160" s="15"/>
      <c r="Z1160" s="15"/>
      <c r="AA1160" s="46"/>
      <c r="AB1160" s="15"/>
      <c r="AC1160" s="15"/>
      <c r="AD1160" s="15"/>
      <c r="AE1160" s="15"/>
      <c r="AF1160" s="15"/>
      <c r="AG1160" s="15"/>
      <c r="AH1160" s="15"/>
      <c r="AI1160" s="46"/>
      <c r="AJ1160" s="51" t="s">
        <v>67</v>
      </c>
      <c r="AK1160" s="51" t="s">
        <v>67</v>
      </c>
      <c r="AL1160" s="15"/>
      <c r="AM1160" s="51" t="s">
        <v>6705</v>
      </c>
      <c r="AN1160" s="51" t="s">
        <v>6712</v>
      </c>
      <c r="AO1160" s="50" t="s">
        <v>9554</v>
      </c>
    </row>
    <row r="1161" spans="1:41" hidden="1" x14ac:dyDescent="0.25">
      <c r="A1161" s="51" t="s">
        <v>6327</v>
      </c>
      <c r="B1161" s="51" t="s">
        <v>6328</v>
      </c>
      <c r="C1161" s="54" t="s">
        <v>5600</v>
      </c>
      <c r="D1161" s="51" t="s">
        <v>6329</v>
      </c>
      <c r="E1161" s="20">
        <v>10193.68</v>
      </c>
      <c r="F1161" s="20">
        <v>696.43</v>
      </c>
      <c r="G1161" s="20">
        <v>16630.38</v>
      </c>
      <c r="H1161" s="20">
        <v>3262.33</v>
      </c>
      <c r="I1161" s="20">
        <v>696.43</v>
      </c>
      <c r="J1161" s="51" t="s">
        <v>6726</v>
      </c>
      <c r="K1161" s="15">
        <v>0</v>
      </c>
      <c r="L1161" s="51" t="s">
        <v>2371</v>
      </c>
      <c r="M1161" s="51" t="s">
        <v>67</v>
      </c>
      <c r="N1161" s="51" t="s">
        <v>67</v>
      </c>
      <c r="O1161" s="51" t="s">
        <v>6330</v>
      </c>
      <c r="P1161" s="51" t="s">
        <v>1340</v>
      </c>
      <c r="Q1161" s="45">
        <v>46283.966877280094</v>
      </c>
      <c r="R1161" s="46">
        <v>46304</v>
      </c>
      <c r="S1161" s="46">
        <v>46299</v>
      </c>
      <c r="T1161" s="51" t="s">
        <v>6119</v>
      </c>
      <c r="U1161" s="15"/>
      <c r="V1161" s="15"/>
      <c r="W1161" s="15"/>
      <c r="X1161" s="15"/>
      <c r="Y1161" s="15"/>
      <c r="Z1161" s="15"/>
      <c r="AA1161" s="46"/>
      <c r="AB1161" s="15"/>
      <c r="AC1161" s="15"/>
      <c r="AD1161" s="15"/>
      <c r="AE1161" s="15"/>
      <c r="AF1161" s="15"/>
      <c r="AG1161" s="15"/>
      <c r="AH1161" s="15"/>
      <c r="AI1161" s="46"/>
      <c r="AJ1161" s="51" t="s">
        <v>67</v>
      </c>
      <c r="AK1161" s="51" t="s">
        <v>67</v>
      </c>
      <c r="AL1161" s="15"/>
      <c r="AM1161" s="51" t="s">
        <v>6705</v>
      </c>
      <c r="AN1161" s="51" t="s">
        <v>6712</v>
      </c>
      <c r="AO1161" s="50" t="s">
        <v>9554</v>
      </c>
    </row>
    <row r="1162" spans="1:41" hidden="1" x14ac:dyDescent="0.25">
      <c r="A1162" s="51" t="s">
        <v>6331</v>
      </c>
      <c r="B1162" s="51" t="s">
        <v>6332</v>
      </c>
      <c r="C1162" s="54" t="s">
        <v>2689</v>
      </c>
      <c r="D1162" s="51" t="s">
        <v>6333</v>
      </c>
      <c r="E1162" s="20">
        <v>2032.41</v>
      </c>
      <c r="F1162" s="20">
        <v>904.51</v>
      </c>
      <c r="G1162" s="20">
        <v>11091.83</v>
      </c>
      <c r="H1162" s="20">
        <v>2875.15</v>
      </c>
      <c r="I1162" s="20">
        <v>904.51</v>
      </c>
      <c r="J1162" s="51" t="s">
        <v>6726</v>
      </c>
      <c r="K1162" s="15">
        <v>0</v>
      </c>
      <c r="L1162" s="51" t="s">
        <v>2371</v>
      </c>
      <c r="M1162" s="51" t="s">
        <v>6334</v>
      </c>
      <c r="N1162" s="51" t="s">
        <v>1340</v>
      </c>
      <c r="O1162" s="51" t="s">
        <v>6335</v>
      </c>
      <c r="P1162" s="51" t="s">
        <v>1340</v>
      </c>
      <c r="Q1162" s="45">
        <v>46283.966879363426</v>
      </c>
      <c r="R1162" s="46">
        <v>46317</v>
      </c>
      <c r="S1162" s="46">
        <v>46312</v>
      </c>
      <c r="T1162" s="51" t="s">
        <v>6119</v>
      </c>
      <c r="U1162" s="15"/>
      <c r="V1162" s="15"/>
      <c r="W1162" s="15"/>
      <c r="X1162" s="15"/>
      <c r="Y1162" s="15"/>
      <c r="Z1162" s="15"/>
      <c r="AA1162" s="46"/>
      <c r="AB1162" s="15"/>
      <c r="AC1162" s="15"/>
      <c r="AD1162" s="15"/>
      <c r="AE1162" s="15"/>
      <c r="AF1162" s="15"/>
      <c r="AG1162" s="15"/>
      <c r="AH1162" s="15"/>
      <c r="AI1162" s="46"/>
      <c r="AJ1162" s="51" t="s">
        <v>67</v>
      </c>
      <c r="AK1162" s="51" t="s">
        <v>67</v>
      </c>
      <c r="AL1162" s="15"/>
      <c r="AM1162" s="51" t="s">
        <v>6705</v>
      </c>
      <c r="AN1162" s="51" t="s">
        <v>6712</v>
      </c>
      <c r="AO1162" s="50" t="s">
        <v>9554</v>
      </c>
    </row>
    <row r="1163" spans="1:41" hidden="1" x14ac:dyDescent="0.25">
      <c r="A1163" s="51" t="s">
        <v>6336</v>
      </c>
      <c r="B1163" s="51" t="s">
        <v>6337</v>
      </c>
      <c r="C1163" s="54" t="s">
        <v>5600</v>
      </c>
      <c r="D1163" s="51" t="s">
        <v>6338</v>
      </c>
      <c r="E1163" s="20">
        <v>3359.7</v>
      </c>
      <c r="F1163" s="20">
        <v>809.07</v>
      </c>
      <c r="G1163" s="20">
        <v>5217.6000000000004</v>
      </c>
      <c r="H1163" s="20">
        <v>2871.61</v>
      </c>
      <c r="I1163" s="20">
        <v>809.07</v>
      </c>
      <c r="J1163" s="51" t="s">
        <v>6726</v>
      </c>
      <c r="K1163" s="15">
        <v>0</v>
      </c>
      <c r="L1163" s="51" t="s">
        <v>2371</v>
      </c>
      <c r="M1163" s="51" t="s">
        <v>67</v>
      </c>
      <c r="N1163" s="51" t="s">
        <v>67</v>
      </c>
      <c r="O1163" s="51" t="s">
        <v>6339</v>
      </c>
      <c r="P1163" s="51" t="s">
        <v>1340</v>
      </c>
      <c r="Q1163" s="45">
        <v>46283.966881643515</v>
      </c>
      <c r="R1163" s="46">
        <v>46304</v>
      </c>
      <c r="S1163" s="46">
        <v>46299</v>
      </c>
      <c r="T1163" s="51" t="s">
        <v>6119</v>
      </c>
      <c r="U1163" s="15"/>
      <c r="V1163" s="15"/>
      <c r="W1163" s="15"/>
      <c r="X1163" s="15"/>
      <c r="Y1163" s="15"/>
      <c r="Z1163" s="15"/>
      <c r="AA1163" s="46"/>
      <c r="AB1163" s="15"/>
      <c r="AC1163" s="15"/>
      <c r="AD1163" s="15"/>
      <c r="AE1163" s="15"/>
      <c r="AF1163" s="15"/>
      <c r="AG1163" s="15"/>
      <c r="AH1163" s="15"/>
      <c r="AI1163" s="46"/>
      <c r="AJ1163" s="51" t="s">
        <v>67</v>
      </c>
      <c r="AK1163" s="51" t="s">
        <v>67</v>
      </c>
      <c r="AL1163" s="15"/>
      <c r="AM1163" s="51" t="s">
        <v>6705</v>
      </c>
      <c r="AN1163" s="51" t="s">
        <v>6712</v>
      </c>
      <c r="AO1163" s="50" t="s">
        <v>9554</v>
      </c>
    </row>
    <row r="1164" spans="1:41" hidden="1" x14ac:dyDescent="0.25">
      <c r="A1164" s="51" t="s">
        <v>6340</v>
      </c>
      <c r="B1164" s="51" t="s">
        <v>6341</v>
      </c>
      <c r="C1164" s="54" t="s">
        <v>2358</v>
      </c>
      <c r="D1164" s="51" t="s">
        <v>6342</v>
      </c>
      <c r="E1164" s="20">
        <v>7412.91</v>
      </c>
      <c r="F1164" s="20">
        <v>1016.4</v>
      </c>
      <c r="G1164" s="20">
        <v>6838.76</v>
      </c>
      <c r="H1164" s="20">
        <v>2861.57</v>
      </c>
      <c r="I1164" s="20">
        <v>711.44</v>
      </c>
      <c r="J1164" s="51" t="s">
        <v>6726</v>
      </c>
      <c r="K1164" s="15">
        <v>0</v>
      </c>
      <c r="L1164" s="51" t="s">
        <v>2371</v>
      </c>
      <c r="M1164" s="51" t="s">
        <v>6343</v>
      </c>
      <c r="N1164" s="51" t="s">
        <v>1340</v>
      </c>
      <c r="O1164" s="51" t="s">
        <v>67</v>
      </c>
      <c r="P1164" s="51" t="s">
        <v>67</v>
      </c>
      <c r="Q1164" s="45">
        <v>46283.96688403935</v>
      </c>
      <c r="R1164" s="46">
        <v>46309</v>
      </c>
      <c r="S1164" s="46">
        <v>46304</v>
      </c>
      <c r="T1164" s="51" t="s">
        <v>6119</v>
      </c>
      <c r="U1164" s="15"/>
      <c r="V1164" s="15"/>
      <c r="W1164" s="15"/>
      <c r="X1164" s="15"/>
      <c r="Y1164" s="15"/>
      <c r="Z1164" s="15"/>
      <c r="AA1164" s="46"/>
      <c r="AB1164" s="15"/>
      <c r="AC1164" s="15"/>
      <c r="AD1164" s="15"/>
      <c r="AE1164" s="15"/>
      <c r="AF1164" s="15"/>
      <c r="AG1164" s="15"/>
      <c r="AH1164" s="15"/>
      <c r="AI1164" s="46"/>
      <c r="AJ1164" s="51" t="s">
        <v>67</v>
      </c>
      <c r="AK1164" s="51" t="s">
        <v>67</v>
      </c>
      <c r="AL1164" s="15"/>
      <c r="AM1164" s="51" t="s">
        <v>6705</v>
      </c>
      <c r="AN1164" s="51" t="s">
        <v>6712</v>
      </c>
      <c r="AO1164" s="50" t="s">
        <v>9554</v>
      </c>
    </row>
    <row r="1165" spans="1:41" hidden="1" x14ac:dyDescent="0.25">
      <c r="A1165" s="51" t="s">
        <v>6344</v>
      </c>
      <c r="B1165" s="51" t="s">
        <v>6345</v>
      </c>
      <c r="C1165" s="54" t="s">
        <v>611</v>
      </c>
      <c r="D1165" s="51" t="s">
        <v>6346</v>
      </c>
      <c r="E1165" s="20">
        <v>15317.84</v>
      </c>
      <c r="F1165" s="20">
        <v>723.94</v>
      </c>
      <c r="G1165" s="20">
        <v>12062.15</v>
      </c>
      <c r="H1165" s="20">
        <v>3699.08</v>
      </c>
      <c r="I1165" s="20">
        <v>723.94</v>
      </c>
      <c r="J1165" s="51" t="s">
        <v>6726</v>
      </c>
      <c r="K1165" s="15">
        <v>0</v>
      </c>
      <c r="L1165" s="51" t="s">
        <v>2371</v>
      </c>
      <c r="M1165" s="51" t="s">
        <v>6347</v>
      </c>
      <c r="N1165" s="51" t="s">
        <v>1340</v>
      </c>
      <c r="O1165" s="51" t="s">
        <v>6348</v>
      </c>
      <c r="P1165" s="51" t="s">
        <v>1340</v>
      </c>
      <c r="Q1165" s="45">
        <v>46283.966886296294</v>
      </c>
      <c r="R1165" s="46">
        <v>46320</v>
      </c>
      <c r="S1165" s="46">
        <v>46315</v>
      </c>
      <c r="T1165" s="51" t="s">
        <v>6119</v>
      </c>
      <c r="U1165" s="15"/>
      <c r="V1165" s="15"/>
      <c r="W1165" s="15"/>
      <c r="X1165" s="15"/>
      <c r="Y1165" s="15"/>
      <c r="Z1165" s="15"/>
      <c r="AA1165" s="46"/>
      <c r="AB1165" s="15"/>
      <c r="AC1165" s="15"/>
      <c r="AD1165" s="15"/>
      <c r="AE1165" s="15"/>
      <c r="AF1165" s="15"/>
      <c r="AG1165" s="15"/>
      <c r="AH1165" s="15"/>
      <c r="AI1165" s="46"/>
      <c r="AJ1165" s="51" t="s">
        <v>67</v>
      </c>
      <c r="AK1165" s="51" t="s">
        <v>67</v>
      </c>
      <c r="AL1165" s="15"/>
      <c r="AM1165" s="51" t="s">
        <v>6705</v>
      </c>
      <c r="AN1165" s="51" t="s">
        <v>6712</v>
      </c>
      <c r="AO1165" s="50" t="s">
        <v>9554</v>
      </c>
    </row>
    <row r="1166" spans="1:41" hidden="1" x14ac:dyDescent="0.25">
      <c r="A1166" s="51" t="s">
        <v>6349</v>
      </c>
      <c r="B1166" s="51" t="s">
        <v>6350</v>
      </c>
      <c r="C1166" s="54" t="s">
        <v>5602</v>
      </c>
      <c r="D1166" s="51" t="s">
        <v>6351</v>
      </c>
      <c r="E1166" s="20">
        <v>8213.2800000000007</v>
      </c>
      <c r="F1166" s="20">
        <v>794.29</v>
      </c>
      <c r="G1166" s="20">
        <v>16248.14</v>
      </c>
      <c r="H1166" s="20">
        <v>2987.56</v>
      </c>
      <c r="I1166" s="20">
        <v>794.29</v>
      </c>
      <c r="J1166" s="51" t="s">
        <v>6726</v>
      </c>
      <c r="K1166" s="15">
        <v>0</v>
      </c>
      <c r="L1166" s="51" t="s">
        <v>2371</v>
      </c>
      <c r="M1166" s="51" t="s">
        <v>6352</v>
      </c>
      <c r="N1166" s="51" t="s">
        <v>1340</v>
      </c>
      <c r="O1166" s="51" t="s">
        <v>67</v>
      </c>
      <c r="P1166" s="51" t="s">
        <v>67</v>
      </c>
      <c r="Q1166" s="45">
        <v>46283.966888726849</v>
      </c>
      <c r="R1166" s="46">
        <v>46303</v>
      </c>
      <c r="S1166" s="46">
        <v>46298</v>
      </c>
      <c r="T1166" s="51" t="s">
        <v>6119</v>
      </c>
      <c r="U1166" s="15"/>
      <c r="V1166" s="15"/>
      <c r="W1166" s="15"/>
      <c r="X1166" s="15"/>
      <c r="Y1166" s="15"/>
      <c r="Z1166" s="15"/>
      <c r="AA1166" s="46"/>
      <c r="AB1166" s="15"/>
      <c r="AC1166" s="15"/>
      <c r="AD1166" s="15"/>
      <c r="AE1166" s="15"/>
      <c r="AF1166" s="15"/>
      <c r="AG1166" s="15"/>
      <c r="AH1166" s="15"/>
      <c r="AI1166" s="46"/>
      <c r="AJ1166" s="51" t="s">
        <v>67</v>
      </c>
      <c r="AK1166" s="51" t="s">
        <v>67</v>
      </c>
      <c r="AL1166" s="15"/>
      <c r="AM1166" s="51" t="s">
        <v>6705</v>
      </c>
      <c r="AN1166" s="51" t="s">
        <v>6712</v>
      </c>
      <c r="AO1166" s="50" t="s">
        <v>9554</v>
      </c>
    </row>
    <row r="1167" spans="1:41" hidden="1" x14ac:dyDescent="0.25">
      <c r="A1167" s="51" t="s">
        <v>6353</v>
      </c>
      <c r="B1167" s="51" t="s">
        <v>6354</v>
      </c>
      <c r="C1167" s="54" t="s">
        <v>2693</v>
      </c>
      <c r="D1167" s="51" t="s">
        <v>6355</v>
      </c>
      <c r="E1167" s="20">
        <v>14233.15</v>
      </c>
      <c r="F1167" s="20">
        <v>750.7</v>
      </c>
      <c r="G1167" s="20">
        <v>12238.31</v>
      </c>
      <c r="H1167" s="20">
        <v>3310.27</v>
      </c>
      <c r="I1167" s="20">
        <v>750.7</v>
      </c>
      <c r="J1167" s="51" t="s">
        <v>6726</v>
      </c>
      <c r="K1167" s="15">
        <v>0</v>
      </c>
      <c r="L1167" s="51" t="s">
        <v>2371</v>
      </c>
      <c r="M1167" s="51" t="s">
        <v>67</v>
      </c>
      <c r="N1167" s="51" t="s">
        <v>67</v>
      </c>
      <c r="O1167" s="51" t="s">
        <v>6356</v>
      </c>
      <c r="P1167" s="51" t="s">
        <v>1340</v>
      </c>
      <c r="Q1167" s="45">
        <v>46283.966890925927</v>
      </c>
      <c r="R1167" s="46">
        <v>46314</v>
      </c>
      <c r="S1167" s="46">
        <v>46309</v>
      </c>
      <c r="T1167" s="51" t="s">
        <v>6119</v>
      </c>
      <c r="U1167" s="15"/>
      <c r="V1167" s="15"/>
      <c r="W1167" s="15"/>
      <c r="X1167" s="15"/>
      <c r="Y1167" s="15"/>
      <c r="Z1167" s="15"/>
      <c r="AA1167" s="46"/>
      <c r="AB1167" s="15"/>
      <c r="AC1167" s="15"/>
      <c r="AD1167" s="15"/>
      <c r="AE1167" s="15"/>
      <c r="AF1167" s="15"/>
      <c r="AG1167" s="15"/>
      <c r="AH1167" s="15"/>
      <c r="AI1167" s="46"/>
      <c r="AJ1167" s="51" t="s">
        <v>67</v>
      </c>
      <c r="AK1167" s="51" t="s">
        <v>67</v>
      </c>
      <c r="AL1167" s="15"/>
      <c r="AM1167" s="51" t="s">
        <v>6705</v>
      </c>
      <c r="AN1167" s="51" t="s">
        <v>6712</v>
      </c>
      <c r="AO1167" s="50" t="s">
        <v>9554</v>
      </c>
    </row>
    <row r="1168" spans="1:41" hidden="1" x14ac:dyDescent="0.25">
      <c r="A1168" s="51" t="s">
        <v>6357</v>
      </c>
      <c r="B1168" s="51" t="s">
        <v>6358</v>
      </c>
      <c r="C1168" s="54" t="s">
        <v>2356</v>
      </c>
      <c r="D1168" s="51" t="s">
        <v>6359</v>
      </c>
      <c r="E1168" s="20">
        <v>2267.48</v>
      </c>
      <c r="F1168" s="20">
        <v>981.76</v>
      </c>
      <c r="G1168" s="20">
        <v>6412.22</v>
      </c>
      <c r="H1168" s="20">
        <v>3081.05</v>
      </c>
      <c r="I1168" s="20">
        <v>981.76</v>
      </c>
      <c r="J1168" s="51" t="s">
        <v>6726</v>
      </c>
      <c r="K1168" s="15">
        <v>0</v>
      </c>
      <c r="L1168" s="51" t="s">
        <v>2371</v>
      </c>
      <c r="M1168" s="51" t="s">
        <v>6360</v>
      </c>
      <c r="N1168" s="51" t="s">
        <v>1340</v>
      </c>
      <c r="O1168" s="51" t="s">
        <v>6361</v>
      </c>
      <c r="P1168" s="51" t="s">
        <v>1340</v>
      </c>
      <c r="Q1168" s="45">
        <v>46283.966893067132</v>
      </c>
      <c r="R1168" s="46">
        <v>46307</v>
      </c>
      <c r="S1168" s="46">
        <v>46302</v>
      </c>
      <c r="T1168" s="51" t="s">
        <v>6119</v>
      </c>
      <c r="U1168" s="15"/>
      <c r="V1168" s="15"/>
      <c r="W1168" s="15"/>
      <c r="X1168" s="15"/>
      <c r="Y1168" s="15"/>
      <c r="Z1168" s="15"/>
      <c r="AA1168" s="46"/>
      <c r="AB1168" s="15"/>
      <c r="AC1168" s="15"/>
      <c r="AD1168" s="15"/>
      <c r="AE1168" s="15"/>
      <c r="AF1168" s="15"/>
      <c r="AG1168" s="15"/>
      <c r="AH1168" s="15"/>
      <c r="AI1168" s="46"/>
      <c r="AJ1168" s="51" t="s">
        <v>67</v>
      </c>
      <c r="AK1168" s="51" t="s">
        <v>67</v>
      </c>
      <c r="AL1168" s="15"/>
      <c r="AM1168" s="51" t="s">
        <v>6705</v>
      </c>
      <c r="AN1168" s="51" t="s">
        <v>6712</v>
      </c>
      <c r="AO1168" s="50" t="s">
        <v>9554</v>
      </c>
    </row>
    <row r="1169" spans="1:41" hidden="1" x14ac:dyDescent="0.25">
      <c r="A1169" s="51" t="s">
        <v>6362</v>
      </c>
      <c r="B1169" s="51" t="s">
        <v>6363</v>
      </c>
      <c r="C1169" s="54" t="s">
        <v>611</v>
      </c>
      <c r="D1169" s="51" t="s">
        <v>6364</v>
      </c>
      <c r="E1169" s="20">
        <v>10359.58</v>
      </c>
      <c r="F1169" s="20">
        <v>1100.72</v>
      </c>
      <c r="G1169" s="20">
        <v>18565.72</v>
      </c>
      <c r="H1169" s="20">
        <v>3198.1</v>
      </c>
      <c r="I1169" s="20">
        <v>1100.72</v>
      </c>
      <c r="J1169" s="51" t="s">
        <v>6726</v>
      </c>
      <c r="K1169" s="15">
        <v>0</v>
      </c>
      <c r="L1169" s="51" t="s">
        <v>2371</v>
      </c>
      <c r="M1169" s="51" t="s">
        <v>6365</v>
      </c>
      <c r="N1169" s="51" t="s">
        <v>1340</v>
      </c>
      <c r="O1169" s="51" t="s">
        <v>6366</v>
      </c>
      <c r="P1169" s="51" t="s">
        <v>1340</v>
      </c>
      <c r="Q1169" s="45">
        <v>46283.966895231482</v>
      </c>
      <c r="R1169" s="46">
        <v>46320</v>
      </c>
      <c r="S1169" s="46">
        <v>46315</v>
      </c>
      <c r="T1169" s="51" t="s">
        <v>6119</v>
      </c>
      <c r="U1169" s="15"/>
      <c r="V1169" s="15"/>
      <c r="W1169" s="15"/>
      <c r="X1169" s="15"/>
      <c r="Y1169" s="15"/>
      <c r="Z1169" s="15"/>
      <c r="AA1169" s="46"/>
      <c r="AB1169" s="15"/>
      <c r="AC1169" s="15"/>
      <c r="AD1169" s="15"/>
      <c r="AE1169" s="15"/>
      <c r="AF1169" s="15"/>
      <c r="AG1169" s="15"/>
      <c r="AH1169" s="15"/>
      <c r="AI1169" s="46"/>
      <c r="AJ1169" s="51" t="s">
        <v>67</v>
      </c>
      <c r="AK1169" s="51" t="s">
        <v>67</v>
      </c>
      <c r="AL1169" s="15"/>
      <c r="AM1169" s="51" t="s">
        <v>6705</v>
      </c>
      <c r="AN1169" s="51" t="s">
        <v>6712</v>
      </c>
      <c r="AO1169" s="50" t="s">
        <v>9554</v>
      </c>
    </row>
    <row r="1170" spans="1:41" hidden="1" x14ac:dyDescent="0.25">
      <c r="A1170" s="51" t="s">
        <v>6367</v>
      </c>
      <c r="B1170" s="51" t="s">
        <v>6368</v>
      </c>
      <c r="C1170" s="54" t="s">
        <v>2689</v>
      </c>
      <c r="D1170" s="51" t="s">
        <v>6369</v>
      </c>
      <c r="E1170" s="20">
        <v>10431.77</v>
      </c>
      <c r="F1170" s="20">
        <v>932.87</v>
      </c>
      <c r="G1170" s="20">
        <v>13598.18</v>
      </c>
      <c r="H1170" s="20">
        <v>3517.64</v>
      </c>
      <c r="I1170" s="20">
        <v>932.87</v>
      </c>
      <c r="J1170" s="51" t="s">
        <v>6726</v>
      </c>
      <c r="K1170" s="15">
        <v>0</v>
      </c>
      <c r="L1170" s="51" t="s">
        <v>2371</v>
      </c>
      <c r="M1170" s="51" t="s">
        <v>6370</v>
      </c>
      <c r="N1170" s="51" t="s">
        <v>1340</v>
      </c>
      <c r="O1170" s="51" t="s">
        <v>67</v>
      </c>
      <c r="P1170" s="51" t="s">
        <v>67</v>
      </c>
      <c r="Q1170" s="45">
        <v>46283.966897303239</v>
      </c>
      <c r="R1170" s="46">
        <v>46317</v>
      </c>
      <c r="S1170" s="46">
        <v>46312</v>
      </c>
      <c r="T1170" s="51" t="s">
        <v>6119</v>
      </c>
      <c r="U1170" s="15"/>
      <c r="V1170" s="15"/>
      <c r="W1170" s="15"/>
      <c r="X1170" s="15"/>
      <c r="Y1170" s="15"/>
      <c r="Z1170" s="15"/>
      <c r="AA1170" s="46"/>
      <c r="AB1170" s="15"/>
      <c r="AC1170" s="15"/>
      <c r="AD1170" s="15"/>
      <c r="AE1170" s="15"/>
      <c r="AF1170" s="15"/>
      <c r="AG1170" s="15"/>
      <c r="AH1170" s="15"/>
      <c r="AI1170" s="46"/>
      <c r="AJ1170" s="51" t="s">
        <v>67</v>
      </c>
      <c r="AK1170" s="51" t="s">
        <v>67</v>
      </c>
      <c r="AL1170" s="15"/>
      <c r="AM1170" s="51" t="s">
        <v>6705</v>
      </c>
      <c r="AN1170" s="51" t="s">
        <v>6712</v>
      </c>
      <c r="AO1170" s="50" t="s">
        <v>9554</v>
      </c>
    </row>
    <row r="1171" spans="1:41" hidden="1" x14ac:dyDescent="0.25">
      <c r="A1171" s="51" t="s">
        <v>6371</v>
      </c>
      <c r="B1171" s="51" t="s">
        <v>6372</v>
      </c>
      <c r="C1171" s="54" t="s">
        <v>607</v>
      </c>
      <c r="D1171" s="51" t="s">
        <v>6373</v>
      </c>
      <c r="E1171" s="20">
        <v>6479.6</v>
      </c>
      <c r="F1171" s="20">
        <v>1098.6099999999999</v>
      </c>
      <c r="G1171" s="20">
        <v>14648.21</v>
      </c>
      <c r="H1171" s="20">
        <v>2869.03</v>
      </c>
      <c r="I1171" s="20">
        <v>770.46</v>
      </c>
      <c r="J1171" s="51" t="s">
        <v>6726</v>
      </c>
      <c r="K1171" s="15">
        <v>0</v>
      </c>
      <c r="L1171" s="51" t="s">
        <v>2371</v>
      </c>
      <c r="M1171" s="51" t="s">
        <v>67</v>
      </c>
      <c r="N1171" s="51" t="s">
        <v>67</v>
      </c>
      <c r="O1171" s="51" t="s">
        <v>6374</v>
      </c>
      <c r="P1171" s="51" t="s">
        <v>1340</v>
      </c>
      <c r="Q1171" s="45">
        <v>46283.966899432868</v>
      </c>
      <c r="R1171" s="46">
        <v>46310</v>
      </c>
      <c r="S1171" s="46">
        <v>46305</v>
      </c>
      <c r="T1171" s="51" t="s">
        <v>6119</v>
      </c>
      <c r="U1171" s="15"/>
      <c r="V1171" s="15"/>
      <c r="W1171" s="15"/>
      <c r="X1171" s="15"/>
      <c r="Y1171" s="15"/>
      <c r="Z1171" s="15"/>
      <c r="AA1171" s="46"/>
      <c r="AB1171" s="15"/>
      <c r="AC1171" s="15"/>
      <c r="AD1171" s="15"/>
      <c r="AE1171" s="15"/>
      <c r="AF1171" s="15"/>
      <c r="AG1171" s="15"/>
      <c r="AH1171" s="15"/>
      <c r="AI1171" s="46"/>
      <c r="AJ1171" s="51" t="s">
        <v>67</v>
      </c>
      <c r="AK1171" s="51" t="s">
        <v>67</v>
      </c>
      <c r="AL1171" s="15"/>
      <c r="AM1171" s="51" t="s">
        <v>6705</v>
      </c>
      <c r="AN1171" s="51" t="s">
        <v>6712</v>
      </c>
      <c r="AO1171" s="50" t="s">
        <v>9554</v>
      </c>
    </row>
    <row r="1172" spans="1:41" hidden="1" x14ac:dyDescent="0.25">
      <c r="A1172" s="51" t="s">
        <v>6375</v>
      </c>
      <c r="B1172" s="51" t="s">
        <v>6376</v>
      </c>
      <c r="C1172" s="54" t="s">
        <v>608</v>
      </c>
      <c r="D1172" s="51" t="s">
        <v>6377</v>
      </c>
      <c r="E1172" s="20">
        <v>9193.2199999999993</v>
      </c>
      <c r="F1172" s="20">
        <v>1119.3900000000001</v>
      </c>
      <c r="G1172" s="20">
        <v>1519.22</v>
      </c>
      <c r="H1172" s="20">
        <v>3136.83</v>
      </c>
      <c r="I1172" s="20">
        <v>1119.3900000000001</v>
      </c>
      <c r="J1172" s="51" t="s">
        <v>6726</v>
      </c>
      <c r="K1172" s="15">
        <v>0</v>
      </c>
      <c r="L1172" s="51" t="s">
        <v>2371</v>
      </c>
      <c r="M1172" s="51" t="s">
        <v>6378</v>
      </c>
      <c r="N1172" s="51" t="s">
        <v>1340</v>
      </c>
      <c r="O1172" s="51" t="s">
        <v>6379</v>
      </c>
      <c r="P1172" s="51" t="s">
        <v>1340</v>
      </c>
      <c r="Q1172" s="45">
        <v>46283.966901643522</v>
      </c>
      <c r="R1172" s="46">
        <v>46315</v>
      </c>
      <c r="S1172" s="46">
        <v>46310</v>
      </c>
      <c r="T1172" s="51" t="s">
        <v>6119</v>
      </c>
      <c r="U1172" s="15"/>
      <c r="V1172" s="15"/>
      <c r="W1172" s="15"/>
      <c r="X1172" s="15"/>
      <c r="Y1172" s="15"/>
      <c r="Z1172" s="15"/>
      <c r="AA1172" s="46"/>
      <c r="AB1172" s="15"/>
      <c r="AC1172" s="15"/>
      <c r="AD1172" s="15"/>
      <c r="AE1172" s="15"/>
      <c r="AF1172" s="15"/>
      <c r="AG1172" s="15"/>
      <c r="AH1172" s="15"/>
      <c r="AI1172" s="46"/>
      <c r="AJ1172" s="51" t="s">
        <v>67</v>
      </c>
      <c r="AK1172" s="51" t="s">
        <v>67</v>
      </c>
      <c r="AL1172" s="15"/>
      <c r="AM1172" s="51" t="s">
        <v>6705</v>
      </c>
      <c r="AN1172" s="51" t="s">
        <v>6712</v>
      </c>
      <c r="AO1172" s="50" t="s">
        <v>9554</v>
      </c>
    </row>
    <row r="1173" spans="1:41" hidden="1" x14ac:dyDescent="0.25">
      <c r="A1173" s="51" t="s">
        <v>6380</v>
      </c>
      <c r="B1173" s="51" t="s">
        <v>6381</v>
      </c>
      <c r="C1173" s="54" t="s">
        <v>2689</v>
      </c>
      <c r="D1173" s="51" t="s">
        <v>6382</v>
      </c>
      <c r="E1173" s="20">
        <v>11927.91</v>
      </c>
      <c r="F1173" s="20">
        <v>1571.41</v>
      </c>
      <c r="G1173" s="20">
        <v>922.83</v>
      </c>
      <c r="H1173" s="20">
        <v>1290.28</v>
      </c>
      <c r="I1173" s="20">
        <v>1571.41</v>
      </c>
      <c r="J1173" s="51" t="s">
        <v>6727</v>
      </c>
      <c r="K1173" s="15">
        <v>35</v>
      </c>
      <c r="L1173" s="51" t="s">
        <v>2369</v>
      </c>
      <c r="M1173" s="51" t="s">
        <v>6383</v>
      </c>
      <c r="N1173" s="51" t="s">
        <v>1340</v>
      </c>
      <c r="O1173" s="51" t="s">
        <v>67</v>
      </c>
      <c r="P1173" s="51" t="s">
        <v>67</v>
      </c>
      <c r="Q1173" s="45">
        <v>46283.967387986107</v>
      </c>
      <c r="R1173" s="46">
        <v>46317</v>
      </c>
      <c r="S1173" s="46">
        <v>46312</v>
      </c>
      <c r="T1173" s="51" t="s">
        <v>6119</v>
      </c>
      <c r="U1173" s="15"/>
      <c r="V1173" s="15"/>
      <c r="W1173" s="15"/>
      <c r="X1173" s="15"/>
      <c r="Y1173" s="15"/>
      <c r="Z1173" s="15"/>
      <c r="AA1173" s="46"/>
      <c r="AB1173" s="15"/>
      <c r="AC1173" s="15"/>
      <c r="AD1173" s="15"/>
      <c r="AE1173" s="15"/>
      <c r="AF1173" s="15"/>
      <c r="AG1173" s="15"/>
      <c r="AH1173" s="15"/>
      <c r="AI1173" s="46"/>
      <c r="AJ1173" s="51" t="s">
        <v>6121</v>
      </c>
      <c r="AK1173" s="51" t="s">
        <v>67</v>
      </c>
      <c r="AL1173" s="15"/>
      <c r="AM1173" s="51" t="s">
        <v>6705</v>
      </c>
      <c r="AN1173" s="51" t="s">
        <v>6120</v>
      </c>
      <c r="AO1173" s="50" t="s">
        <v>9554</v>
      </c>
    </row>
    <row r="1174" spans="1:41" hidden="1" x14ac:dyDescent="0.25">
      <c r="A1174" s="52" t="s">
        <v>6384</v>
      </c>
      <c r="B1174" s="51" t="s">
        <v>6385</v>
      </c>
      <c r="C1174" s="54" t="s">
        <v>5602</v>
      </c>
      <c r="D1174" s="51" t="s">
        <v>6386</v>
      </c>
      <c r="E1174" s="20">
        <v>12533.84</v>
      </c>
      <c r="F1174" s="20">
        <v>1300.3399999999999</v>
      </c>
      <c r="G1174" s="20">
        <v>6361.56</v>
      </c>
      <c r="H1174" s="20">
        <v>1407.6</v>
      </c>
      <c r="I1174" s="20">
        <v>1300.3399999999999</v>
      </c>
      <c r="J1174" s="51" t="s">
        <v>6725</v>
      </c>
      <c r="K1174" s="15">
        <v>0</v>
      </c>
      <c r="L1174" s="51" t="s">
        <v>2371</v>
      </c>
      <c r="M1174" s="51" t="s">
        <v>67</v>
      </c>
      <c r="N1174" s="51" t="s">
        <v>67</v>
      </c>
      <c r="O1174" s="51" t="s">
        <v>6387</v>
      </c>
      <c r="P1174" s="51" t="s">
        <v>1340</v>
      </c>
      <c r="Q1174" s="45">
        <v>46283.967390659724</v>
      </c>
      <c r="R1174" s="46">
        <v>46303</v>
      </c>
      <c r="S1174" s="46">
        <v>46298</v>
      </c>
      <c r="T1174" s="51" t="s">
        <v>6119</v>
      </c>
      <c r="U1174" s="15"/>
      <c r="V1174" s="15"/>
      <c r="W1174" s="15"/>
      <c r="X1174" s="15"/>
      <c r="Y1174" s="15"/>
      <c r="Z1174" s="15"/>
      <c r="AA1174" s="46"/>
      <c r="AB1174" s="15"/>
      <c r="AC1174" s="15"/>
      <c r="AD1174" s="15"/>
      <c r="AE1174" s="15"/>
      <c r="AF1174" s="15"/>
      <c r="AG1174" s="15"/>
      <c r="AH1174" s="15"/>
      <c r="AI1174" s="46"/>
      <c r="AJ1174" s="51" t="s">
        <v>67</v>
      </c>
      <c r="AK1174" s="51" t="s">
        <v>67</v>
      </c>
      <c r="AL1174" s="15"/>
      <c r="AM1174" s="51" t="s">
        <v>6705</v>
      </c>
      <c r="AN1174" s="51" t="s">
        <v>6120</v>
      </c>
      <c r="AO1174" s="50" t="s">
        <v>9554</v>
      </c>
    </row>
    <row r="1175" spans="1:41" hidden="1" x14ac:dyDescent="0.25">
      <c r="A1175" s="51" t="s">
        <v>6388</v>
      </c>
      <c r="B1175" s="51" t="s">
        <v>6389</v>
      </c>
      <c r="C1175" s="54" t="s">
        <v>607</v>
      </c>
      <c r="D1175" s="51" t="s">
        <v>6390</v>
      </c>
      <c r="E1175" s="20">
        <v>5346.83</v>
      </c>
      <c r="F1175" s="20">
        <v>1768.92</v>
      </c>
      <c r="G1175" s="20">
        <v>5450.31</v>
      </c>
      <c r="H1175" s="20">
        <v>1407.6</v>
      </c>
      <c r="I1175" s="20">
        <v>1768.92</v>
      </c>
      <c r="J1175" s="51" t="s">
        <v>6727</v>
      </c>
      <c r="K1175" s="15">
        <v>42</v>
      </c>
      <c r="L1175" s="51" t="s">
        <v>2369</v>
      </c>
      <c r="M1175" s="51" t="s">
        <v>6391</v>
      </c>
      <c r="N1175" s="51" t="s">
        <v>1340</v>
      </c>
      <c r="O1175" s="51" t="s">
        <v>67</v>
      </c>
      <c r="P1175" s="51" t="s">
        <v>67</v>
      </c>
      <c r="Q1175" s="45">
        <v>46283.967392997685</v>
      </c>
      <c r="R1175" s="46">
        <v>46310</v>
      </c>
      <c r="S1175" s="46">
        <v>46305</v>
      </c>
      <c r="T1175" s="51" t="s">
        <v>6119</v>
      </c>
      <c r="U1175" s="15"/>
      <c r="V1175" s="15"/>
      <c r="W1175" s="15"/>
      <c r="X1175" s="15"/>
      <c r="Y1175" s="15"/>
      <c r="Z1175" s="15"/>
      <c r="AA1175" s="46"/>
      <c r="AB1175" s="15"/>
      <c r="AC1175" s="15"/>
      <c r="AD1175" s="15"/>
      <c r="AE1175" s="15"/>
      <c r="AF1175" s="15"/>
      <c r="AG1175" s="15"/>
      <c r="AH1175" s="15"/>
      <c r="AI1175" s="46"/>
      <c r="AJ1175" s="51" t="s">
        <v>6121</v>
      </c>
      <c r="AK1175" s="51" t="s">
        <v>67</v>
      </c>
      <c r="AL1175" s="15"/>
      <c r="AM1175" s="51" t="s">
        <v>6705</v>
      </c>
      <c r="AN1175" s="51" t="s">
        <v>6120</v>
      </c>
      <c r="AO1175" s="50" t="s">
        <v>9554</v>
      </c>
    </row>
    <row r="1176" spans="1:41" hidden="1" x14ac:dyDescent="0.25">
      <c r="A1176" s="51" t="s">
        <v>6392</v>
      </c>
      <c r="B1176" s="51" t="s">
        <v>6393</v>
      </c>
      <c r="C1176" s="54" t="s">
        <v>611</v>
      </c>
      <c r="D1176" s="51" t="s">
        <v>6394</v>
      </c>
      <c r="E1176" s="20">
        <v>8394.19</v>
      </c>
      <c r="F1176" s="20">
        <v>1859.96</v>
      </c>
      <c r="G1176" s="20">
        <v>14037.13</v>
      </c>
      <c r="H1176" s="20">
        <v>1548.36</v>
      </c>
      <c r="I1176" s="20">
        <v>1859.96</v>
      </c>
      <c r="J1176" s="51" t="s">
        <v>6727</v>
      </c>
      <c r="K1176" s="15">
        <v>32</v>
      </c>
      <c r="L1176" s="51" t="s">
        <v>2369</v>
      </c>
      <c r="M1176" s="51" t="s">
        <v>67</v>
      </c>
      <c r="N1176" s="51" t="s">
        <v>67</v>
      </c>
      <c r="O1176" s="51" t="s">
        <v>6395</v>
      </c>
      <c r="P1176" s="51" t="s">
        <v>1344</v>
      </c>
      <c r="Q1176" s="45">
        <v>46283.967395532411</v>
      </c>
      <c r="R1176" s="46">
        <v>46320</v>
      </c>
      <c r="S1176" s="46">
        <v>46315</v>
      </c>
      <c r="T1176" s="51" t="s">
        <v>6119</v>
      </c>
      <c r="U1176" s="15"/>
      <c r="V1176" s="15"/>
      <c r="W1176" s="15"/>
      <c r="X1176" s="15"/>
      <c r="Y1176" s="15"/>
      <c r="Z1176" s="15"/>
      <c r="AA1176" s="46"/>
      <c r="AB1176" s="15"/>
      <c r="AC1176" s="15"/>
      <c r="AD1176" s="15"/>
      <c r="AE1176" s="15"/>
      <c r="AF1176" s="15"/>
      <c r="AG1176" s="15"/>
      <c r="AH1176" s="15"/>
      <c r="AI1176" s="46"/>
      <c r="AJ1176" s="51" t="s">
        <v>6121</v>
      </c>
      <c r="AK1176" s="51" t="s">
        <v>67</v>
      </c>
      <c r="AL1176" s="15"/>
      <c r="AM1176" s="51" t="s">
        <v>6705</v>
      </c>
      <c r="AN1176" s="51" t="s">
        <v>6120</v>
      </c>
      <c r="AO1176" s="50" t="s">
        <v>9554</v>
      </c>
    </row>
    <row r="1177" spans="1:41" hidden="1" x14ac:dyDescent="0.25">
      <c r="A1177" s="51" t="s">
        <v>6396</v>
      </c>
      <c r="B1177" s="51" t="s">
        <v>6397</v>
      </c>
      <c r="C1177" s="54" t="s">
        <v>5601</v>
      </c>
      <c r="D1177" s="51" t="s">
        <v>6398</v>
      </c>
      <c r="E1177" s="20">
        <v>7054.23</v>
      </c>
      <c r="F1177" s="20">
        <v>805.77</v>
      </c>
      <c r="G1177" s="20">
        <v>19067.25</v>
      </c>
      <c r="H1177" s="20">
        <v>1548.36</v>
      </c>
      <c r="I1177" s="20">
        <v>805.77</v>
      </c>
      <c r="J1177" s="51" t="s">
        <v>6726</v>
      </c>
      <c r="K1177" s="15">
        <v>0</v>
      </c>
      <c r="L1177" s="51" t="s">
        <v>2371</v>
      </c>
      <c r="M1177" s="51" t="s">
        <v>6399</v>
      </c>
      <c r="N1177" s="51" t="s">
        <v>1344</v>
      </c>
      <c r="O1177" s="51" t="s">
        <v>6400</v>
      </c>
      <c r="P1177" s="51" t="s">
        <v>1344</v>
      </c>
      <c r="Q1177" s="45">
        <v>46283.967397754626</v>
      </c>
      <c r="R1177" s="46">
        <v>46316</v>
      </c>
      <c r="S1177" s="46">
        <v>46311</v>
      </c>
      <c r="T1177" s="51" t="s">
        <v>6119</v>
      </c>
      <c r="U1177" s="15"/>
      <c r="V1177" s="15"/>
      <c r="W1177" s="15"/>
      <c r="X1177" s="15"/>
      <c r="Y1177" s="15"/>
      <c r="Z1177" s="15"/>
      <c r="AA1177" s="46"/>
      <c r="AB1177" s="15"/>
      <c r="AC1177" s="15"/>
      <c r="AD1177" s="15"/>
      <c r="AE1177" s="15"/>
      <c r="AF1177" s="15"/>
      <c r="AG1177" s="15"/>
      <c r="AH1177" s="15"/>
      <c r="AI1177" s="46"/>
      <c r="AJ1177" s="51" t="s">
        <v>67</v>
      </c>
      <c r="AK1177" s="51" t="s">
        <v>67</v>
      </c>
      <c r="AL1177" s="15"/>
      <c r="AM1177" s="51" t="s">
        <v>6705</v>
      </c>
      <c r="AN1177" s="51" t="s">
        <v>6120</v>
      </c>
      <c r="AO1177" s="50" t="s">
        <v>9554</v>
      </c>
    </row>
    <row r="1178" spans="1:41" hidden="1" x14ac:dyDescent="0.25">
      <c r="A1178" s="51" t="s">
        <v>6401</v>
      </c>
      <c r="B1178" s="51" t="s">
        <v>6402</v>
      </c>
      <c r="C1178" s="54" t="s">
        <v>5607</v>
      </c>
      <c r="D1178" s="51" t="s">
        <v>6403</v>
      </c>
      <c r="E1178" s="20">
        <v>9684</v>
      </c>
      <c r="F1178" s="20">
        <v>1314.38</v>
      </c>
      <c r="G1178" s="20">
        <v>6618.34</v>
      </c>
      <c r="H1178" s="20">
        <v>1407.6</v>
      </c>
      <c r="I1178" s="20">
        <v>1314.38</v>
      </c>
      <c r="J1178" s="51" t="s">
        <v>6725</v>
      </c>
      <c r="K1178" s="15">
        <v>0</v>
      </c>
      <c r="L1178" s="51" t="s">
        <v>2371</v>
      </c>
      <c r="M1178" s="51" t="s">
        <v>6404</v>
      </c>
      <c r="N1178" s="51" t="s">
        <v>1344</v>
      </c>
      <c r="O1178" s="51" t="s">
        <v>67</v>
      </c>
      <c r="P1178" s="51" t="s">
        <v>67</v>
      </c>
      <c r="Q1178" s="45">
        <v>46283.967400393522</v>
      </c>
      <c r="R1178" s="46">
        <v>46299</v>
      </c>
      <c r="S1178" s="46">
        <v>46294</v>
      </c>
      <c r="T1178" s="51" t="s">
        <v>6119</v>
      </c>
      <c r="U1178" s="15"/>
      <c r="V1178" s="15"/>
      <c r="W1178" s="15"/>
      <c r="X1178" s="15"/>
      <c r="Y1178" s="15"/>
      <c r="Z1178" s="15"/>
      <c r="AA1178" s="46"/>
      <c r="AB1178" s="15"/>
      <c r="AC1178" s="15"/>
      <c r="AD1178" s="15"/>
      <c r="AE1178" s="15"/>
      <c r="AF1178" s="15"/>
      <c r="AG1178" s="15"/>
      <c r="AH1178" s="15"/>
      <c r="AI1178" s="46"/>
      <c r="AJ1178" s="51" t="s">
        <v>67</v>
      </c>
      <c r="AK1178" s="51" t="s">
        <v>67</v>
      </c>
      <c r="AL1178" s="15"/>
      <c r="AM1178" s="51" t="s">
        <v>6705</v>
      </c>
      <c r="AN1178" s="51" t="s">
        <v>6120</v>
      </c>
      <c r="AO1178" s="50" t="s">
        <v>9554</v>
      </c>
    </row>
    <row r="1179" spans="1:41" hidden="1" x14ac:dyDescent="0.25">
      <c r="A1179" s="51" t="s">
        <v>6405</v>
      </c>
      <c r="B1179" s="51" t="s">
        <v>6406</v>
      </c>
      <c r="C1179" s="54" t="s">
        <v>607</v>
      </c>
      <c r="D1179" s="51" t="s">
        <v>6407</v>
      </c>
      <c r="E1179" s="20">
        <v>6973.62</v>
      </c>
      <c r="F1179" s="20">
        <v>1621.49</v>
      </c>
      <c r="G1179" s="20">
        <v>412.79</v>
      </c>
      <c r="H1179" s="20">
        <v>1290.28</v>
      </c>
      <c r="I1179" s="20">
        <v>1621.49</v>
      </c>
      <c r="J1179" s="51" t="s">
        <v>6727</v>
      </c>
      <c r="K1179" s="15">
        <v>42</v>
      </c>
      <c r="L1179" s="51" t="s">
        <v>2369</v>
      </c>
      <c r="M1179" s="51" t="s">
        <v>67</v>
      </c>
      <c r="N1179" s="51" t="s">
        <v>67</v>
      </c>
      <c r="O1179" s="51" t="s">
        <v>6408</v>
      </c>
      <c r="P1179" s="51" t="s">
        <v>1340</v>
      </c>
      <c r="Q1179" s="45">
        <v>46283.967402569448</v>
      </c>
      <c r="R1179" s="46">
        <v>46310</v>
      </c>
      <c r="S1179" s="46">
        <v>46305</v>
      </c>
      <c r="T1179" s="51" t="s">
        <v>6119</v>
      </c>
      <c r="U1179" s="15"/>
      <c r="V1179" s="15"/>
      <c r="W1179" s="15"/>
      <c r="X1179" s="15"/>
      <c r="Y1179" s="15"/>
      <c r="Z1179" s="15"/>
      <c r="AA1179" s="46"/>
      <c r="AB1179" s="15"/>
      <c r="AC1179" s="15"/>
      <c r="AD1179" s="15"/>
      <c r="AE1179" s="15"/>
      <c r="AF1179" s="15"/>
      <c r="AG1179" s="15"/>
      <c r="AH1179" s="15"/>
      <c r="AI1179" s="46"/>
      <c r="AJ1179" s="51" t="s">
        <v>6121</v>
      </c>
      <c r="AK1179" s="51" t="s">
        <v>67</v>
      </c>
      <c r="AL1179" s="15"/>
      <c r="AM1179" s="51" t="s">
        <v>6705</v>
      </c>
      <c r="AN1179" s="51" t="s">
        <v>6120</v>
      </c>
      <c r="AO1179" s="50" t="s">
        <v>9554</v>
      </c>
    </row>
    <row r="1180" spans="1:41" hidden="1" x14ac:dyDescent="0.25">
      <c r="A1180" s="51" t="s">
        <v>6409</v>
      </c>
      <c r="B1180" s="51" t="s">
        <v>6410</v>
      </c>
      <c r="C1180" s="54" t="s">
        <v>5603</v>
      </c>
      <c r="D1180" s="51" t="s">
        <v>6411</v>
      </c>
      <c r="E1180" s="20">
        <v>3823.57</v>
      </c>
      <c r="F1180" s="20">
        <v>1620.65</v>
      </c>
      <c r="G1180" s="20">
        <v>13424.3</v>
      </c>
      <c r="H1180" s="20">
        <v>1407.6</v>
      </c>
      <c r="I1180" s="20">
        <v>1620.65</v>
      </c>
      <c r="J1180" s="51" t="s">
        <v>6727</v>
      </c>
      <c r="K1180" s="15">
        <v>23</v>
      </c>
      <c r="L1180" s="51" t="s">
        <v>2369</v>
      </c>
      <c r="M1180" s="51" t="s">
        <v>6412</v>
      </c>
      <c r="N1180" s="51" t="s">
        <v>1340</v>
      </c>
      <c r="O1180" s="51" t="s">
        <v>6413</v>
      </c>
      <c r="P1180" s="51" t="s">
        <v>1340</v>
      </c>
      <c r="Q1180" s="45">
        <v>46283.967404918978</v>
      </c>
      <c r="R1180" s="46">
        <v>46298</v>
      </c>
      <c r="S1180" s="46">
        <v>46293</v>
      </c>
      <c r="T1180" s="51" t="s">
        <v>6119</v>
      </c>
      <c r="U1180" s="15"/>
      <c r="V1180" s="15"/>
      <c r="W1180" s="15"/>
      <c r="X1180" s="15"/>
      <c r="Y1180" s="15"/>
      <c r="Z1180" s="15"/>
      <c r="AA1180" s="46"/>
      <c r="AB1180" s="15"/>
      <c r="AC1180" s="15"/>
      <c r="AD1180" s="15"/>
      <c r="AE1180" s="15"/>
      <c r="AF1180" s="15"/>
      <c r="AG1180" s="15"/>
      <c r="AH1180" s="15"/>
      <c r="AI1180" s="46"/>
      <c r="AJ1180" s="51" t="s">
        <v>6121</v>
      </c>
      <c r="AK1180" s="51" t="s">
        <v>67</v>
      </c>
      <c r="AL1180" s="15"/>
      <c r="AM1180" s="51" t="s">
        <v>6705</v>
      </c>
      <c r="AN1180" s="51" t="s">
        <v>6120</v>
      </c>
      <c r="AO1180" s="50" t="s">
        <v>9554</v>
      </c>
    </row>
    <row r="1181" spans="1:41" hidden="1" x14ac:dyDescent="0.25">
      <c r="A1181" s="51" t="s">
        <v>6414</v>
      </c>
      <c r="B1181" s="51" t="s">
        <v>6415</v>
      </c>
      <c r="C1181" s="54" t="s">
        <v>5607</v>
      </c>
      <c r="D1181" s="51" t="s">
        <v>6416</v>
      </c>
      <c r="E1181" s="20">
        <v>11802.54</v>
      </c>
      <c r="F1181" s="20">
        <v>36.85</v>
      </c>
      <c r="G1181" s="20">
        <v>2492.67</v>
      </c>
      <c r="H1181" s="20">
        <v>1548.36</v>
      </c>
      <c r="I1181" s="20">
        <v>36.85</v>
      </c>
      <c r="J1181" s="51" t="s">
        <v>6724</v>
      </c>
      <c r="K1181" s="15">
        <v>0</v>
      </c>
      <c r="L1181" s="51" t="s">
        <v>2371</v>
      </c>
      <c r="M1181" s="51" t="s">
        <v>6417</v>
      </c>
      <c r="N1181" s="51" t="s">
        <v>1344</v>
      </c>
      <c r="O1181" s="51" t="s">
        <v>6418</v>
      </c>
      <c r="P1181" s="51" t="s">
        <v>1344</v>
      </c>
      <c r="Q1181" s="45">
        <v>46283.967407303244</v>
      </c>
      <c r="R1181" s="46">
        <v>46299</v>
      </c>
      <c r="S1181" s="46">
        <v>46294</v>
      </c>
      <c r="T1181" s="51" t="s">
        <v>6119</v>
      </c>
      <c r="U1181" s="15"/>
      <c r="V1181" s="15"/>
      <c r="W1181" s="15"/>
      <c r="X1181" s="15"/>
      <c r="Y1181" s="15"/>
      <c r="Z1181" s="15"/>
      <c r="AA1181" s="46"/>
      <c r="AB1181" s="15"/>
      <c r="AC1181" s="15"/>
      <c r="AD1181" s="15"/>
      <c r="AE1181" s="15"/>
      <c r="AF1181" s="15"/>
      <c r="AG1181" s="15"/>
      <c r="AH1181" s="15"/>
      <c r="AI1181" s="46"/>
      <c r="AJ1181" s="51" t="s">
        <v>67</v>
      </c>
      <c r="AK1181" s="51" t="s">
        <v>67</v>
      </c>
      <c r="AL1181" s="15"/>
      <c r="AM1181" s="51" t="s">
        <v>6705</v>
      </c>
      <c r="AN1181" s="51" t="s">
        <v>6120</v>
      </c>
      <c r="AO1181" s="50" t="s">
        <v>9554</v>
      </c>
    </row>
    <row r="1182" spans="1:41" hidden="1" x14ac:dyDescent="0.25">
      <c r="A1182" s="51" t="s">
        <v>6419</v>
      </c>
      <c r="B1182" s="51" t="s">
        <v>6420</v>
      </c>
      <c r="C1182" s="54" t="s">
        <v>5598</v>
      </c>
      <c r="D1182" s="51" t="s">
        <v>6421</v>
      </c>
      <c r="E1182" s="20">
        <v>7103.58</v>
      </c>
      <c r="F1182" s="20">
        <v>2632.68</v>
      </c>
      <c r="G1182" s="20">
        <v>622.85</v>
      </c>
      <c r="H1182" s="20">
        <v>1548.36</v>
      </c>
      <c r="I1182" s="20">
        <v>2632.68</v>
      </c>
      <c r="J1182" s="51" t="s">
        <v>6727</v>
      </c>
      <c r="K1182" s="15">
        <v>3</v>
      </c>
      <c r="L1182" s="51" t="s">
        <v>2369</v>
      </c>
      <c r="M1182" s="51" t="s">
        <v>6422</v>
      </c>
      <c r="N1182" s="51" t="s">
        <v>1340</v>
      </c>
      <c r="O1182" s="51" t="s">
        <v>6423</v>
      </c>
      <c r="P1182" s="51" t="s">
        <v>1340</v>
      </c>
      <c r="Q1182" s="45">
        <v>46283.967409675926</v>
      </c>
      <c r="R1182" s="46">
        <v>46318</v>
      </c>
      <c r="S1182" s="46">
        <v>46313</v>
      </c>
      <c r="T1182" s="51" t="s">
        <v>6119</v>
      </c>
      <c r="U1182" s="15"/>
      <c r="V1182" s="15"/>
      <c r="W1182" s="15"/>
      <c r="X1182" s="15"/>
      <c r="Y1182" s="15"/>
      <c r="Z1182" s="15"/>
      <c r="AA1182" s="46"/>
      <c r="AB1182" s="15"/>
      <c r="AC1182" s="15"/>
      <c r="AD1182" s="15"/>
      <c r="AE1182" s="15"/>
      <c r="AF1182" s="15"/>
      <c r="AG1182" s="15"/>
      <c r="AH1182" s="15"/>
      <c r="AI1182" s="46"/>
      <c r="AJ1182" s="51" t="s">
        <v>67</v>
      </c>
      <c r="AK1182" s="51" t="s">
        <v>67</v>
      </c>
      <c r="AL1182" s="15"/>
      <c r="AM1182" s="51" t="s">
        <v>6705</v>
      </c>
      <c r="AN1182" s="51" t="s">
        <v>6120</v>
      </c>
      <c r="AO1182" s="50" t="s">
        <v>9554</v>
      </c>
    </row>
    <row r="1183" spans="1:41" hidden="1" x14ac:dyDescent="0.25">
      <c r="A1183" s="51" t="s">
        <v>6424</v>
      </c>
      <c r="B1183" s="51" t="s">
        <v>6425</v>
      </c>
      <c r="C1183" s="54" t="s">
        <v>2693</v>
      </c>
      <c r="D1183" s="51" t="s">
        <v>6426</v>
      </c>
      <c r="E1183" s="20">
        <v>2895.32</v>
      </c>
      <c r="F1183" s="20">
        <v>1737.71</v>
      </c>
      <c r="G1183" s="20">
        <v>7423.31</v>
      </c>
      <c r="H1183" s="20">
        <v>1407.6</v>
      </c>
      <c r="I1183" s="20">
        <v>1737.71</v>
      </c>
      <c r="J1183" s="51" t="s">
        <v>6727</v>
      </c>
      <c r="K1183" s="15">
        <v>38</v>
      </c>
      <c r="L1183" s="51" t="s">
        <v>2369</v>
      </c>
      <c r="M1183" s="51" t="s">
        <v>6427</v>
      </c>
      <c r="N1183" s="51" t="s">
        <v>1340</v>
      </c>
      <c r="O1183" s="51" t="s">
        <v>67</v>
      </c>
      <c r="P1183" s="51" t="s">
        <v>67</v>
      </c>
      <c r="Q1183" s="45">
        <v>46283.967412129627</v>
      </c>
      <c r="R1183" s="46">
        <v>46314</v>
      </c>
      <c r="S1183" s="46">
        <v>46309</v>
      </c>
      <c r="T1183" s="51" t="s">
        <v>6119</v>
      </c>
      <c r="U1183" s="15"/>
      <c r="V1183" s="15"/>
      <c r="W1183" s="15"/>
      <c r="X1183" s="15"/>
      <c r="Y1183" s="15"/>
      <c r="Z1183" s="15"/>
      <c r="AA1183" s="46"/>
      <c r="AB1183" s="15"/>
      <c r="AC1183" s="15"/>
      <c r="AD1183" s="15"/>
      <c r="AE1183" s="15"/>
      <c r="AF1183" s="15"/>
      <c r="AG1183" s="15"/>
      <c r="AH1183" s="15"/>
      <c r="AI1183" s="46"/>
      <c r="AJ1183" s="51" t="s">
        <v>6121</v>
      </c>
      <c r="AK1183" s="51" t="s">
        <v>67</v>
      </c>
      <c r="AL1183" s="15"/>
      <c r="AM1183" s="51" t="s">
        <v>6705</v>
      </c>
      <c r="AN1183" s="51" t="s">
        <v>6120</v>
      </c>
      <c r="AO1183" s="50" t="s">
        <v>9554</v>
      </c>
    </row>
    <row r="1184" spans="1:41" hidden="1" x14ac:dyDescent="0.25">
      <c r="A1184" s="51" t="s">
        <v>6428</v>
      </c>
      <c r="B1184" s="51" t="s">
        <v>6429</v>
      </c>
      <c r="C1184" s="54" t="s">
        <v>2541</v>
      </c>
      <c r="D1184" s="51" t="s">
        <v>6430</v>
      </c>
      <c r="E1184" s="20">
        <v>13431.65</v>
      </c>
      <c r="F1184" s="20">
        <v>33.5</v>
      </c>
      <c r="G1184" s="20">
        <v>17645.36</v>
      </c>
      <c r="H1184" s="20">
        <v>1407.6</v>
      </c>
      <c r="I1184" s="20">
        <v>33.5</v>
      </c>
      <c r="J1184" s="51" t="s">
        <v>6724</v>
      </c>
      <c r="K1184" s="15">
        <v>0</v>
      </c>
      <c r="L1184" s="51" t="s">
        <v>2371</v>
      </c>
      <c r="M1184" s="51" t="s">
        <v>67</v>
      </c>
      <c r="N1184" s="51" t="s">
        <v>67</v>
      </c>
      <c r="O1184" s="51" t="s">
        <v>6431</v>
      </c>
      <c r="P1184" s="51" t="s">
        <v>1340</v>
      </c>
      <c r="Q1184" s="45">
        <v>46283.96741438657</v>
      </c>
      <c r="R1184" s="46">
        <v>46311</v>
      </c>
      <c r="S1184" s="46">
        <v>46306</v>
      </c>
      <c r="T1184" s="51" t="s">
        <v>6119</v>
      </c>
      <c r="U1184" s="15"/>
      <c r="V1184" s="15"/>
      <c r="W1184" s="15"/>
      <c r="X1184" s="15"/>
      <c r="Y1184" s="15"/>
      <c r="Z1184" s="15"/>
      <c r="AA1184" s="46"/>
      <c r="AB1184" s="15"/>
      <c r="AC1184" s="15"/>
      <c r="AD1184" s="15"/>
      <c r="AE1184" s="15"/>
      <c r="AF1184" s="15"/>
      <c r="AG1184" s="15"/>
      <c r="AH1184" s="15"/>
      <c r="AI1184" s="46"/>
      <c r="AJ1184" s="51" t="s">
        <v>67</v>
      </c>
      <c r="AK1184" s="51" t="s">
        <v>67</v>
      </c>
      <c r="AL1184" s="15"/>
      <c r="AM1184" s="51" t="s">
        <v>6705</v>
      </c>
      <c r="AN1184" s="51" t="s">
        <v>6120</v>
      </c>
      <c r="AO1184" s="50" t="s">
        <v>9554</v>
      </c>
    </row>
    <row r="1185" spans="1:41" hidden="1" x14ac:dyDescent="0.25">
      <c r="A1185" s="51" t="s">
        <v>6432</v>
      </c>
      <c r="B1185" s="51" t="s">
        <v>6433</v>
      </c>
      <c r="C1185" s="54" t="s">
        <v>2691</v>
      </c>
      <c r="D1185" s="51" t="s">
        <v>6434</v>
      </c>
      <c r="E1185" s="20">
        <v>10882.67</v>
      </c>
      <c r="F1185" s="20">
        <v>500.35</v>
      </c>
      <c r="G1185" s="20">
        <v>6337.24</v>
      </c>
      <c r="H1185" s="20">
        <v>1290.28</v>
      </c>
      <c r="I1185" s="20">
        <v>500.35</v>
      </c>
      <c r="J1185" s="51" t="s">
        <v>6726</v>
      </c>
      <c r="K1185" s="15">
        <v>0</v>
      </c>
      <c r="L1185" s="51" t="s">
        <v>2371</v>
      </c>
      <c r="M1185" s="51" t="s">
        <v>6435</v>
      </c>
      <c r="N1185" s="51" t="s">
        <v>1340</v>
      </c>
      <c r="O1185" s="51" t="s">
        <v>67</v>
      </c>
      <c r="P1185" s="51" t="s">
        <v>67</v>
      </c>
      <c r="Q1185" s="45">
        <v>46283.967416828702</v>
      </c>
      <c r="R1185" s="46">
        <v>46301</v>
      </c>
      <c r="S1185" s="46">
        <v>46296</v>
      </c>
      <c r="T1185" s="51" t="s">
        <v>6119</v>
      </c>
      <c r="U1185" s="15"/>
      <c r="V1185" s="15"/>
      <c r="W1185" s="15"/>
      <c r="X1185" s="15"/>
      <c r="Y1185" s="15"/>
      <c r="Z1185" s="15"/>
      <c r="AA1185" s="46"/>
      <c r="AB1185" s="15"/>
      <c r="AC1185" s="15"/>
      <c r="AD1185" s="15"/>
      <c r="AE1185" s="15"/>
      <c r="AF1185" s="15"/>
      <c r="AG1185" s="15"/>
      <c r="AH1185" s="15"/>
      <c r="AI1185" s="46"/>
      <c r="AJ1185" s="51" t="s">
        <v>67</v>
      </c>
      <c r="AK1185" s="51" t="s">
        <v>67</v>
      </c>
      <c r="AL1185" s="15"/>
      <c r="AM1185" s="51" t="s">
        <v>6705</v>
      </c>
      <c r="AN1185" s="51" t="s">
        <v>6120</v>
      </c>
      <c r="AO1185" s="50" t="s">
        <v>9554</v>
      </c>
    </row>
    <row r="1186" spans="1:41" hidden="1" x14ac:dyDescent="0.25">
      <c r="A1186" s="51" t="s">
        <v>6436</v>
      </c>
      <c r="B1186" s="51" t="s">
        <v>6437</v>
      </c>
      <c r="C1186" s="54" t="s">
        <v>2690</v>
      </c>
      <c r="D1186" s="51" t="s">
        <v>6438</v>
      </c>
      <c r="E1186" s="20">
        <v>3581.67</v>
      </c>
      <c r="F1186" s="20">
        <v>1842.79</v>
      </c>
      <c r="G1186" s="20">
        <v>14206.55</v>
      </c>
      <c r="H1186" s="20">
        <v>1548.36</v>
      </c>
      <c r="I1186" s="20">
        <v>1842.78</v>
      </c>
      <c r="J1186" s="51" t="s">
        <v>6727</v>
      </c>
      <c r="K1186" s="15">
        <v>30</v>
      </c>
      <c r="L1186" s="51" t="s">
        <v>2369</v>
      </c>
      <c r="M1186" s="51" t="s">
        <v>6439</v>
      </c>
      <c r="N1186" s="51" t="s">
        <v>1340</v>
      </c>
      <c r="O1186" s="51" t="s">
        <v>6440</v>
      </c>
      <c r="P1186" s="51" t="s">
        <v>1340</v>
      </c>
      <c r="Q1186" s="45">
        <v>46283.96741917824</v>
      </c>
      <c r="R1186" s="46">
        <v>46322</v>
      </c>
      <c r="S1186" s="46">
        <v>46317</v>
      </c>
      <c r="T1186" s="51" t="s">
        <v>6119</v>
      </c>
      <c r="U1186" s="15"/>
      <c r="V1186" s="15"/>
      <c r="W1186" s="15"/>
      <c r="X1186" s="15"/>
      <c r="Y1186" s="15"/>
      <c r="Z1186" s="15"/>
      <c r="AA1186" s="46"/>
      <c r="AB1186" s="15"/>
      <c r="AC1186" s="15"/>
      <c r="AD1186" s="15"/>
      <c r="AE1186" s="15"/>
      <c r="AF1186" s="15"/>
      <c r="AG1186" s="15"/>
      <c r="AH1186" s="15"/>
      <c r="AI1186" s="46"/>
      <c r="AJ1186" s="51" t="s">
        <v>6121</v>
      </c>
      <c r="AK1186" s="51" t="s">
        <v>67</v>
      </c>
      <c r="AL1186" s="15"/>
      <c r="AM1186" s="51" t="s">
        <v>6705</v>
      </c>
      <c r="AN1186" s="51" t="s">
        <v>6120</v>
      </c>
      <c r="AO1186" s="50" t="s">
        <v>9554</v>
      </c>
    </row>
    <row r="1187" spans="1:41" hidden="1" x14ac:dyDescent="0.25">
      <c r="A1187" s="51" t="s">
        <v>6441</v>
      </c>
      <c r="B1187" s="51" t="s">
        <v>6442</v>
      </c>
      <c r="C1187" s="54" t="s">
        <v>5605</v>
      </c>
      <c r="D1187" s="51" t="s">
        <v>6443</v>
      </c>
      <c r="E1187" s="20">
        <v>9119.41</v>
      </c>
      <c r="F1187" s="20">
        <v>1834.21</v>
      </c>
      <c r="G1187" s="20">
        <v>10215.36</v>
      </c>
      <c r="H1187" s="20">
        <v>1548.36</v>
      </c>
      <c r="I1187" s="20">
        <v>1834.21</v>
      </c>
      <c r="J1187" s="51" t="s">
        <v>6727</v>
      </c>
      <c r="K1187" s="15">
        <v>29</v>
      </c>
      <c r="L1187" s="51" t="s">
        <v>2369</v>
      </c>
      <c r="M1187" s="51" t="s">
        <v>6444</v>
      </c>
      <c r="N1187" s="51" t="s">
        <v>1340</v>
      </c>
      <c r="O1187" s="51" t="s">
        <v>6445</v>
      </c>
      <c r="P1187" s="51" t="s">
        <v>1340</v>
      </c>
      <c r="Q1187" s="45">
        <v>46283.967421747686</v>
      </c>
      <c r="R1187" s="46">
        <v>46323</v>
      </c>
      <c r="S1187" s="46">
        <v>46318</v>
      </c>
      <c r="T1187" s="51" t="s">
        <v>6119</v>
      </c>
      <c r="U1187" s="15"/>
      <c r="V1187" s="15"/>
      <c r="W1187" s="15"/>
      <c r="X1187" s="15"/>
      <c r="Y1187" s="15"/>
      <c r="Z1187" s="15"/>
      <c r="AA1187" s="46"/>
      <c r="AB1187" s="15"/>
      <c r="AC1187" s="15"/>
      <c r="AD1187" s="15"/>
      <c r="AE1187" s="15"/>
      <c r="AF1187" s="15"/>
      <c r="AG1187" s="15"/>
      <c r="AH1187" s="15"/>
      <c r="AI1187" s="46"/>
      <c r="AJ1187" s="51" t="s">
        <v>6121</v>
      </c>
      <c r="AK1187" s="51" t="s">
        <v>67</v>
      </c>
      <c r="AL1187" s="15"/>
      <c r="AM1187" s="51" t="s">
        <v>6705</v>
      </c>
      <c r="AN1187" s="51" t="s">
        <v>6120</v>
      </c>
      <c r="AO1187" s="50" t="s">
        <v>9554</v>
      </c>
    </row>
    <row r="1188" spans="1:41" hidden="1" x14ac:dyDescent="0.25">
      <c r="A1188" s="51" t="s">
        <v>6446</v>
      </c>
      <c r="B1188" s="51" t="s">
        <v>6447</v>
      </c>
      <c r="C1188" s="54" t="s">
        <v>5602</v>
      </c>
      <c r="D1188" s="51" t="s">
        <v>6448</v>
      </c>
      <c r="E1188" s="20">
        <v>1450.74</v>
      </c>
      <c r="F1188" s="20">
        <v>2005.91</v>
      </c>
      <c r="G1188" s="20">
        <v>9958.1200000000008</v>
      </c>
      <c r="H1188" s="20">
        <v>1548.36</v>
      </c>
      <c r="I1188" s="20">
        <v>2005.91</v>
      </c>
      <c r="J1188" s="51" t="s">
        <v>6727</v>
      </c>
      <c r="K1188" s="15">
        <v>49</v>
      </c>
      <c r="L1188" s="51" t="s">
        <v>2369</v>
      </c>
      <c r="M1188" s="51" t="s">
        <v>67</v>
      </c>
      <c r="N1188" s="51" t="s">
        <v>67</v>
      </c>
      <c r="O1188" s="51" t="s">
        <v>6449</v>
      </c>
      <c r="P1188" s="51" t="s">
        <v>1340</v>
      </c>
      <c r="Q1188" s="45">
        <v>46283.967424120368</v>
      </c>
      <c r="R1188" s="46">
        <v>46303</v>
      </c>
      <c r="S1188" s="46">
        <v>46298</v>
      </c>
      <c r="T1188" s="51" t="s">
        <v>6119</v>
      </c>
      <c r="U1188" s="15">
        <v>339.93</v>
      </c>
      <c r="V1188" s="15">
        <v>1568.88</v>
      </c>
      <c r="W1188" s="15">
        <v>14.56</v>
      </c>
      <c r="X1188" s="15">
        <v>5.96</v>
      </c>
      <c r="Y1188" s="15">
        <v>1.662231</v>
      </c>
      <c r="Z1188" s="15">
        <v>6</v>
      </c>
      <c r="AA1188" s="46">
        <v>46242</v>
      </c>
      <c r="AB1188" s="15"/>
      <c r="AC1188" s="15"/>
      <c r="AD1188" s="15"/>
      <c r="AE1188" s="15"/>
      <c r="AF1188" s="15"/>
      <c r="AG1188" s="15"/>
      <c r="AH1188" s="15"/>
      <c r="AI1188" s="46"/>
      <c r="AJ1188" s="51" t="s">
        <v>6121</v>
      </c>
      <c r="AK1188" s="51" t="s">
        <v>67</v>
      </c>
      <c r="AL1188" s="15"/>
      <c r="AM1188" s="51" t="s">
        <v>6705</v>
      </c>
      <c r="AN1188" s="51" t="s">
        <v>6120</v>
      </c>
      <c r="AO1188" s="50" t="s">
        <v>9554</v>
      </c>
    </row>
    <row r="1189" spans="1:41" hidden="1" x14ac:dyDescent="0.25">
      <c r="A1189" s="51" t="s">
        <v>6450</v>
      </c>
      <c r="B1189" s="51" t="s">
        <v>6451</v>
      </c>
      <c r="C1189" s="54" t="s">
        <v>2689</v>
      </c>
      <c r="D1189" s="51" t="s">
        <v>6452</v>
      </c>
      <c r="E1189" s="20">
        <v>11954.86</v>
      </c>
      <c r="F1189" s="20">
        <v>732.52</v>
      </c>
      <c r="G1189" s="20">
        <v>3274.4</v>
      </c>
      <c r="H1189" s="20">
        <v>1407.6</v>
      </c>
      <c r="I1189" s="20">
        <v>732.52</v>
      </c>
      <c r="J1189" s="51" t="s">
        <v>6726</v>
      </c>
      <c r="K1189" s="15">
        <v>0</v>
      </c>
      <c r="L1189" s="51" t="s">
        <v>2371</v>
      </c>
      <c r="M1189" s="51" t="s">
        <v>67</v>
      </c>
      <c r="N1189" s="51" t="s">
        <v>67</v>
      </c>
      <c r="O1189" s="51" t="s">
        <v>6453</v>
      </c>
      <c r="P1189" s="51" t="s">
        <v>1340</v>
      </c>
      <c r="Q1189" s="45">
        <v>46283.967426284726</v>
      </c>
      <c r="R1189" s="46">
        <v>46317</v>
      </c>
      <c r="S1189" s="46">
        <v>46312</v>
      </c>
      <c r="T1189" s="51" t="s">
        <v>6119</v>
      </c>
      <c r="U1189" s="15"/>
      <c r="V1189" s="15"/>
      <c r="W1189" s="15"/>
      <c r="X1189" s="15"/>
      <c r="Y1189" s="15"/>
      <c r="Z1189" s="15"/>
      <c r="AA1189" s="46"/>
      <c r="AB1189" s="15"/>
      <c r="AC1189" s="15"/>
      <c r="AD1189" s="15"/>
      <c r="AE1189" s="15"/>
      <c r="AF1189" s="15"/>
      <c r="AG1189" s="15"/>
      <c r="AH1189" s="15"/>
      <c r="AI1189" s="46"/>
      <c r="AJ1189" s="51" t="s">
        <v>67</v>
      </c>
      <c r="AK1189" s="51" t="s">
        <v>67</v>
      </c>
      <c r="AL1189" s="15"/>
      <c r="AM1189" s="51" t="s">
        <v>6705</v>
      </c>
      <c r="AN1189" s="51" t="s">
        <v>6120</v>
      </c>
      <c r="AO1189" s="50" t="s">
        <v>9554</v>
      </c>
    </row>
    <row r="1190" spans="1:41" hidden="1" x14ac:dyDescent="0.25">
      <c r="A1190" s="51" t="s">
        <v>6454</v>
      </c>
      <c r="B1190" s="51" t="s">
        <v>6455</v>
      </c>
      <c r="C1190" s="54" t="s">
        <v>5602</v>
      </c>
      <c r="D1190" s="51" t="s">
        <v>6456</v>
      </c>
      <c r="E1190" s="20">
        <v>9872.56</v>
      </c>
      <c r="F1190" s="20">
        <v>1823.56</v>
      </c>
      <c r="G1190" s="20">
        <v>14940.25</v>
      </c>
      <c r="H1190" s="20">
        <v>1407.6</v>
      </c>
      <c r="I1190" s="20">
        <v>1823.55</v>
      </c>
      <c r="J1190" s="51" t="s">
        <v>6727</v>
      </c>
      <c r="K1190" s="15">
        <v>49</v>
      </c>
      <c r="L1190" s="51" t="s">
        <v>2369</v>
      </c>
      <c r="M1190" s="51" t="s">
        <v>67</v>
      </c>
      <c r="N1190" s="51" t="s">
        <v>67</v>
      </c>
      <c r="O1190" s="51" t="s">
        <v>6457</v>
      </c>
      <c r="P1190" s="51" t="s">
        <v>1340</v>
      </c>
      <c r="Q1190" s="45">
        <v>46283.967428784723</v>
      </c>
      <c r="R1190" s="46">
        <v>46303</v>
      </c>
      <c r="S1190" s="46">
        <v>46298</v>
      </c>
      <c r="T1190" s="51" t="s">
        <v>6119</v>
      </c>
      <c r="U1190" s="15"/>
      <c r="V1190" s="15"/>
      <c r="W1190" s="15"/>
      <c r="X1190" s="15"/>
      <c r="Y1190" s="15"/>
      <c r="Z1190" s="15"/>
      <c r="AA1190" s="46"/>
      <c r="AB1190" s="15"/>
      <c r="AC1190" s="15"/>
      <c r="AD1190" s="15"/>
      <c r="AE1190" s="15"/>
      <c r="AF1190" s="15"/>
      <c r="AG1190" s="15"/>
      <c r="AH1190" s="15"/>
      <c r="AI1190" s="46"/>
      <c r="AJ1190" s="51" t="s">
        <v>6121</v>
      </c>
      <c r="AK1190" s="51" t="s">
        <v>67</v>
      </c>
      <c r="AL1190" s="15"/>
      <c r="AM1190" s="51" t="s">
        <v>6705</v>
      </c>
      <c r="AN1190" s="51" t="s">
        <v>6120</v>
      </c>
      <c r="AO1190" s="50" t="s">
        <v>9554</v>
      </c>
    </row>
    <row r="1191" spans="1:41" hidden="1" x14ac:dyDescent="0.25">
      <c r="A1191" s="51" t="s">
        <v>6458</v>
      </c>
      <c r="B1191" s="51" t="s">
        <v>6459</v>
      </c>
      <c r="C1191" s="54" t="s">
        <v>5606</v>
      </c>
      <c r="D1191" s="51" t="s">
        <v>6460</v>
      </c>
      <c r="E1191" s="20">
        <v>11632.58</v>
      </c>
      <c r="F1191" s="20">
        <v>611.34</v>
      </c>
      <c r="G1191" s="20">
        <v>19427.14</v>
      </c>
      <c r="H1191" s="20">
        <v>1290.28</v>
      </c>
      <c r="I1191" s="20">
        <v>611.34</v>
      </c>
      <c r="J1191" s="51" t="s">
        <v>6726</v>
      </c>
      <c r="K1191" s="15">
        <v>0</v>
      </c>
      <c r="L1191" s="51" t="s">
        <v>2371</v>
      </c>
      <c r="M1191" s="51" t="s">
        <v>6461</v>
      </c>
      <c r="N1191" s="51" t="s">
        <v>1340</v>
      </c>
      <c r="O1191" s="51" t="s">
        <v>6462</v>
      </c>
      <c r="P1191" s="51" t="s">
        <v>1340</v>
      </c>
      <c r="Q1191" s="45">
        <v>46283.96743099537</v>
      </c>
      <c r="R1191" s="46">
        <v>46297</v>
      </c>
      <c r="S1191" s="46">
        <v>46292</v>
      </c>
      <c r="T1191" s="51" t="s">
        <v>6119</v>
      </c>
      <c r="U1191" s="15"/>
      <c r="V1191" s="15"/>
      <c r="W1191" s="15"/>
      <c r="X1191" s="15"/>
      <c r="Y1191" s="15"/>
      <c r="Z1191" s="15"/>
      <c r="AA1191" s="46"/>
      <c r="AB1191" s="15"/>
      <c r="AC1191" s="15"/>
      <c r="AD1191" s="15"/>
      <c r="AE1191" s="15"/>
      <c r="AF1191" s="15"/>
      <c r="AG1191" s="15"/>
      <c r="AH1191" s="15"/>
      <c r="AI1191" s="46"/>
      <c r="AJ1191" s="51" t="s">
        <v>67</v>
      </c>
      <c r="AK1191" s="51" t="s">
        <v>67</v>
      </c>
      <c r="AL1191" s="15"/>
      <c r="AM1191" s="51" t="s">
        <v>6705</v>
      </c>
      <c r="AN1191" s="51" t="s">
        <v>6120</v>
      </c>
      <c r="AO1191" s="50" t="s">
        <v>9554</v>
      </c>
    </row>
    <row r="1192" spans="1:41" hidden="1" x14ac:dyDescent="0.25">
      <c r="A1192" s="51" t="s">
        <v>6463</v>
      </c>
      <c r="B1192" s="51" t="s">
        <v>6464</v>
      </c>
      <c r="C1192" s="54" t="s">
        <v>5598</v>
      </c>
      <c r="D1192" s="51" t="s">
        <v>6465</v>
      </c>
      <c r="E1192" s="20">
        <v>8138.42</v>
      </c>
      <c r="F1192" s="20">
        <v>1464.52</v>
      </c>
      <c r="G1192" s="20">
        <v>15663.02</v>
      </c>
      <c r="H1192" s="20">
        <v>1407.6</v>
      </c>
      <c r="I1192" s="20">
        <v>1464.52</v>
      </c>
      <c r="J1192" s="51" t="s">
        <v>6727</v>
      </c>
      <c r="K1192" s="15">
        <v>3</v>
      </c>
      <c r="L1192" s="51" t="s">
        <v>2369</v>
      </c>
      <c r="M1192" s="51" t="s">
        <v>6466</v>
      </c>
      <c r="N1192" s="51" t="s">
        <v>1340</v>
      </c>
      <c r="O1192" s="51" t="s">
        <v>67</v>
      </c>
      <c r="P1192" s="51" t="s">
        <v>67</v>
      </c>
      <c r="Q1192" s="45">
        <v>46283.967433379628</v>
      </c>
      <c r="R1192" s="46">
        <v>46318</v>
      </c>
      <c r="S1192" s="46">
        <v>46313</v>
      </c>
      <c r="T1192" s="51" t="s">
        <v>6119</v>
      </c>
      <c r="U1192" s="15"/>
      <c r="V1192" s="15"/>
      <c r="W1192" s="15"/>
      <c r="X1192" s="15"/>
      <c r="Y1192" s="15"/>
      <c r="Z1192" s="15"/>
      <c r="AA1192" s="46"/>
      <c r="AB1192" s="15"/>
      <c r="AC1192" s="15"/>
      <c r="AD1192" s="15"/>
      <c r="AE1192" s="15"/>
      <c r="AF1192" s="15"/>
      <c r="AG1192" s="15"/>
      <c r="AH1192" s="15"/>
      <c r="AI1192" s="46"/>
      <c r="AJ1192" s="51" t="s">
        <v>67</v>
      </c>
      <c r="AK1192" s="51" t="s">
        <v>67</v>
      </c>
      <c r="AL1192" s="15"/>
      <c r="AM1192" s="51" t="s">
        <v>6705</v>
      </c>
      <c r="AN1192" s="51" t="s">
        <v>6120</v>
      </c>
      <c r="AO1192" s="50" t="s">
        <v>9554</v>
      </c>
    </row>
    <row r="1193" spans="1:41" hidden="1" x14ac:dyDescent="0.25">
      <c r="A1193" s="51" t="s">
        <v>6467</v>
      </c>
      <c r="B1193" s="51" t="s">
        <v>6468</v>
      </c>
      <c r="C1193" s="54" t="s">
        <v>5598</v>
      </c>
      <c r="D1193" s="51" t="s">
        <v>2115</v>
      </c>
      <c r="E1193" s="20">
        <v>10372.85</v>
      </c>
      <c r="F1193" s="20">
        <v>2193.87</v>
      </c>
      <c r="G1193" s="20">
        <v>13018.81</v>
      </c>
      <c r="H1193" s="20">
        <v>1290.28</v>
      </c>
      <c r="I1193" s="20">
        <v>2193.87</v>
      </c>
      <c r="J1193" s="51" t="s">
        <v>6727</v>
      </c>
      <c r="K1193" s="15">
        <v>3</v>
      </c>
      <c r="L1193" s="51" t="s">
        <v>2369</v>
      </c>
      <c r="M1193" s="51" t="s">
        <v>67</v>
      </c>
      <c r="N1193" s="51" t="s">
        <v>67</v>
      </c>
      <c r="O1193" s="51" t="s">
        <v>6469</v>
      </c>
      <c r="P1193" s="51" t="s">
        <v>1340</v>
      </c>
      <c r="Q1193" s="45">
        <v>46283.967435868057</v>
      </c>
      <c r="R1193" s="46">
        <v>46318</v>
      </c>
      <c r="S1193" s="46">
        <v>46313</v>
      </c>
      <c r="T1193" s="51" t="s">
        <v>6119</v>
      </c>
      <c r="U1193" s="15"/>
      <c r="V1193" s="15"/>
      <c r="W1193" s="15"/>
      <c r="X1193" s="15"/>
      <c r="Y1193" s="15"/>
      <c r="Z1193" s="15"/>
      <c r="AA1193" s="46"/>
      <c r="AB1193" s="15"/>
      <c r="AC1193" s="15"/>
      <c r="AD1193" s="15"/>
      <c r="AE1193" s="15"/>
      <c r="AF1193" s="15"/>
      <c r="AG1193" s="15"/>
      <c r="AH1193" s="15"/>
      <c r="AI1193" s="46"/>
      <c r="AJ1193" s="51" t="s">
        <v>67</v>
      </c>
      <c r="AK1193" s="51" t="s">
        <v>67</v>
      </c>
      <c r="AL1193" s="15"/>
      <c r="AM1193" s="51" t="s">
        <v>6705</v>
      </c>
      <c r="AN1193" s="51" t="s">
        <v>6120</v>
      </c>
      <c r="AO1193" s="50" t="s">
        <v>9554</v>
      </c>
    </row>
    <row r="1194" spans="1:41" hidden="1" x14ac:dyDescent="0.25">
      <c r="A1194" s="51" t="s">
        <v>6470</v>
      </c>
      <c r="B1194" s="51" t="s">
        <v>6471</v>
      </c>
      <c r="C1194" s="54" t="s">
        <v>5598</v>
      </c>
      <c r="D1194" s="51" t="s">
        <v>6472</v>
      </c>
      <c r="E1194" s="20">
        <v>1431.12</v>
      </c>
      <c r="F1194" s="20">
        <v>1464.52</v>
      </c>
      <c r="G1194" s="20">
        <v>13855.81</v>
      </c>
      <c r="H1194" s="20">
        <v>1407.6</v>
      </c>
      <c r="I1194" s="20">
        <v>1464.52</v>
      </c>
      <c r="J1194" s="51" t="s">
        <v>6727</v>
      </c>
      <c r="K1194" s="15">
        <v>3</v>
      </c>
      <c r="L1194" s="51" t="s">
        <v>2369</v>
      </c>
      <c r="M1194" s="51" t="s">
        <v>6473</v>
      </c>
      <c r="N1194" s="51" t="s">
        <v>1340</v>
      </c>
      <c r="O1194" s="51" t="s">
        <v>67</v>
      </c>
      <c r="P1194" s="51" t="s">
        <v>67</v>
      </c>
      <c r="Q1194" s="45">
        <v>46283.967438043983</v>
      </c>
      <c r="R1194" s="46">
        <v>46318</v>
      </c>
      <c r="S1194" s="46">
        <v>46313</v>
      </c>
      <c r="T1194" s="51" t="s">
        <v>6119</v>
      </c>
      <c r="U1194" s="15"/>
      <c r="V1194" s="15"/>
      <c r="W1194" s="15"/>
      <c r="X1194" s="15"/>
      <c r="Y1194" s="15"/>
      <c r="Z1194" s="15"/>
      <c r="AA1194" s="46"/>
      <c r="AB1194" s="15"/>
      <c r="AC1194" s="15"/>
      <c r="AD1194" s="15"/>
      <c r="AE1194" s="15"/>
      <c r="AF1194" s="15"/>
      <c r="AG1194" s="15"/>
      <c r="AH1194" s="15"/>
      <c r="AI1194" s="46"/>
      <c r="AJ1194" s="51" t="s">
        <v>67</v>
      </c>
      <c r="AK1194" s="51" t="s">
        <v>67</v>
      </c>
      <c r="AL1194" s="15"/>
      <c r="AM1194" s="51" t="s">
        <v>6705</v>
      </c>
      <c r="AN1194" s="51" t="s">
        <v>6120</v>
      </c>
      <c r="AO1194" s="50" t="s">
        <v>9554</v>
      </c>
    </row>
    <row r="1195" spans="1:41" hidden="1" x14ac:dyDescent="0.25">
      <c r="A1195" s="51" t="s">
        <v>6474</v>
      </c>
      <c r="B1195" s="51" t="s">
        <v>6475</v>
      </c>
      <c r="C1195" s="54" t="s">
        <v>2345</v>
      </c>
      <c r="D1195" s="51" t="s">
        <v>6476</v>
      </c>
      <c r="E1195" s="20">
        <v>3796.01</v>
      </c>
      <c r="F1195" s="20">
        <v>1800.13</v>
      </c>
      <c r="G1195" s="20">
        <v>3885.84</v>
      </c>
      <c r="H1195" s="20">
        <v>1407.6</v>
      </c>
      <c r="I1195" s="20">
        <v>1800.14</v>
      </c>
      <c r="J1195" s="51" t="s">
        <v>6727</v>
      </c>
      <c r="K1195" s="15">
        <v>46</v>
      </c>
      <c r="L1195" s="51" t="s">
        <v>2369</v>
      </c>
      <c r="M1195" s="51" t="s">
        <v>6477</v>
      </c>
      <c r="N1195" s="51" t="s">
        <v>1340</v>
      </c>
      <c r="O1195" s="51" t="s">
        <v>6478</v>
      </c>
      <c r="P1195" s="51" t="s">
        <v>1340</v>
      </c>
      <c r="Q1195" s="45">
        <v>46283.967440613429</v>
      </c>
      <c r="R1195" s="46">
        <v>46306</v>
      </c>
      <c r="S1195" s="46">
        <v>46301</v>
      </c>
      <c r="T1195" s="51" t="s">
        <v>6119</v>
      </c>
      <c r="U1195" s="15"/>
      <c r="V1195" s="15"/>
      <c r="W1195" s="15"/>
      <c r="X1195" s="15"/>
      <c r="Y1195" s="15"/>
      <c r="Z1195" s="15"/>
      <c r="AA1195" s="46"/>
      <c r="AB1195" s="15"/>
      <c r="AC1195" s="15"/>
      <c r="AD1195" s="15"/>
      <c r="AE1195" s="15"/>
      <c r="AF1195" s="15"/>
      <c r="AG1195" s="15"/>
      <c r="AH1195" s="15"/>
      <c r="AI1195" s="46"/>
      <c r="AJ1195" s="51" t="s">
        <v>6121</v>
      </c>
      <c r="AK1195" s="51" t="s">
        <v>67</v>
      </c>
      <c r="AL1195" s="15"/>
      <c r="AM1195" s="51" t="s">
        <v>6705</v>
      </c>
      <c r="AN1195" s="51" t="s">
        <v>6120</v>
      </c>
      <c r="AO1195" s="50" t="s">
        <v>9554</v>
      </c>
    </row>
    <row r="1196" spans="1:41" hidden="1" x14ac:dyDescent="0.25">
      <c r="A1196" s="51" t="s">
        <v>6479</v>
      </c>
      <c r="B1196" s="51" t="s">
        <v>6480</v>
      </c>
      <c r="C1196" s="54" t="s">
        <v>2693</v>
      </c>
      <c r="D1196" s="51" t="s">
        <v>6481</v>
      </c>
      <c r="E1196" s="20">
        <v>14454.05</v>
      </c>
      <c r="F1196" s="20">
        <v>281.14999999999998</v>
      </c>
      <c r="G1196" s="20">
        <v>12039.15</v>
      </c>
      <c r="H1196" s="20">
        <v>1407.6</v>
      </c>
      <c r="I1196" s="20">
        <v>281.14999999999998</v>
      </c>
      <c r="J1196" s="51" t="s">
        <v>6726</v>
      </c>
      <c r="K1196" s="15">
        <v>0</v>
      </c>
      <c r="L1196" s="51" t="s">
        <v>2371</v>
      </c>
      <c r="M1196" s="51" t="s">
        <v>6482</v>
      </c>
      <c r="N1196" s="51" t="s">
        <v>1340</v>
      </c>
      <c r="O1196" s="51" t="s">
        <v>6483</v>
      </c>
      <c r="P1196" s="51" t="s">
        <v>1340</v>
      </c>
      <c r="Q1196" s="45">
        <v>46283.967442789355</v>
      </c>
      <c r="R1196" s="46">
        <v>46314</v>
      </c>
      <c r="S1196" s="46">
        <v>46309</v>
      </c>
      <c r="T1196" s="51" t="s">
        <v>6119</v>
      </c>
      <c r="U1196" s="15"/>
      <c r="V1196" s="15"/>
      <c r="W1196" s="15"/>
      <c r="X1196" s="15"/>
      <c r="Y1196" s="15"/>
      <c r="Z1196" s="15"/>
      <c r="AA1196" s="46"/>
      <c r="AB1196" s="15"/>
      <c r="AC1196" s="15"/>
      <c r="AD1196" s="15"/>
      <c r="AE1196" s="15"/>
      <c r="AF1196" s="15"/>
      <c r="AG1196" s="15"/>
      <c r="AH1196" s="15"/>
      <c r="AI1196" s="46"/>
      <c r="AJ1196" s="51" t="s">
        <v>67</v>
      </c>
      <c r="AK1196" s="51" t="s">
        <v>67</v>
      </c>
      <c r="AL1196" s="15"/>
      <c r="AM1196" s="51" t="s">
        <v>6705</v>
      </c>
      <c r="AN1196" s="51" t="s">
        <v>6120</v>
      </c>
      <c r="AO1196" s="50" t="s">
        <v>9554</v>
      </c>
    </row>
    <row r="1197" spans="1:41" hidden="1" x14ac:dyDescent="0.25">
      <c r="A1197" s="51" t="s">
        <v>6484</v>
      </c>
      <c r="B1197" s="51" t="s">
        <v>6485</v>
      </c>
      <c r="C1197" s="54" t="s">
        <v>2694</v>
      </c>
      <c r="D1197" s="51" t="s">
        <v>6486</v>
      </c>
      <c r="E1197" s="20">
        <v>11346.44</v>
      </c>
      <c r="F1197" s="20">
        <v>1928.63</v>
      </c>
      <c r="G1197" s="20">
        <v>10083.68</v>
      </c>
      <c r="H1197" s="20">
        <v>1548.36</v>
      </c>
      <c r="I1197" s="20">
        <v>1928.63</v>
      </c>
      <c r="J1197" s="51" t="s">
        <v>6727</v>
      </c>
      <c r="K1197" s="15">
        <v>40</v>
      </c>
      <c r="L1197" s="51" t="s">
        <v>2369</v>
      </c>
      <c r="M1197" s="51" t="s">
        <v>6487</v>
      </c>
      <c r="N1197" s="51" t="s">
        <v>1344</v>
      </c>
      <c r="O1197" s="51" t="s">
        <v>6488</v>
      </c>
      <c r="P1197" s="51" t="s">
        <v>1344</v>
      </c>
      <c r="Q1197" s="45">
        <v>46283.967445509261</v>
      </c>
      <c r="R1197" s="46">
        <v>46312</v>
      </c>
      <c r="S1197" s="46">
        <v>46307</v>
      </c>
      <c r="T1197" s="51" t="s">
        <v>6119</v>
      </c>
      <c r="U1197" s="15"/>
      <c r="V1197" s="15"/>
      <c r="W1197" s="15"/>
      <c r="X1197" s="15"/>
      <c r="Y1197" s="15"/>
      <c r="Z1197" s="15"/>
      <c r="AA1197" s="46"/>
      <c r="AB1197" s="15"/>
      <c r="AC1197" s="15"/>
      <c r="AD1197" s="15"/>
      <c r="AE1197" s="15"/>
      <c r="AF1197" s="15"/>
      <c r="AG1197" s="15"/>
      <c r="AH1197" s="15"/>
      <c r="AI1197" s="46"/>
      <c r="AJ1197" s="51" t="s">
        <v>6121</v>
      </c>
      <c r="AK1197" s="51" t="s">
        <v>67</v>
      </c>
      <c r="AL1197" s="15"/>
      <c r="AM1197" s="51" t="s">
        <v>6705</v>
      </c>
      <c r="AN1197" s="51" t="s">
        <v>6120</v>
      </c>
      <c r="AO1197" s="50" t="s">
        <v>9554</v>
      </c>
    </row>
    <row r="1198" spans="1:41" hidden="1" x14ac:dyDescent="0.25">
      <c r="A1198" s="51" t="s">
        <v>6489</v>
      </c>
      <c r="B1198" s="51" t="s">
        <v>6490</v>
      </c>
      <c r="C1198" s="54" t="s">
        <v>5598</v>
      </c>
      <c r="D1198" s="51" t="s">
        <v>6491</v>
      </c>
      <c r="E1198" s="20">
        <v>14294.4</v>
      </c>
      <c r="F1198" s="20">
        <v>2193.87</v>
      </c>
      <c r="G1198" s="20">
        <v>17164.62</v>
      </c>
      <c r="H1198" s="20">
        <v>1290.28</v>
      </c>
      <c r="I1198" s="20">
        <v>2193.87</v>
      </c>
      <c r="J1198" s="51" t="s">
        <v>6727</v>
      </c>
      <c r="K1198" s="15">
        <v>3</v>
      </c>
      <c r="L1198" s="51" t="s">
        <v>2369</v>
      </c>
      <c r="M1198" s="51" t="s">
        <v>67</v>
      </c>
      <c r="N1198" s="51" t="s">
        <v>67</v>
      </c>
      <c r="O1198" s="51" t="s">
        <v>6492</v>
      </c>
      <c r="P1198" s="51" t="s">
        <v>1340</v>
      </c>
      <c r="Q1198" s="45">
        <v>46283.967448240743</v>
      </c>
      <c r="R1198" s="46">
        <v>46318</v>
      </c>
      <c r="S1198" s="46">
        <v>46313</v>
      </c>
      <c r="T1198" s="51" t="s">
        <v>6119</v>
      </c>
      <c r="U1198" s="15"/>
      <c r="V1198" s="15"/>
      <c r="W1198" s="15"/>
      <c r="X1198" s="15"/>
      <c r="Y1198" s="15"/>
      <c r="Z1198" s="15"/>
      <c r="AA1198" s="46"/>
      <c r="AB1198" s="15"/>
      <c r="AC1198" s="15"/>
      <c r="AD1198" s="15"/>
      <c r="AE1198" s="15"/>
      <c r="AF1198" s="15"/>
      <c r="AG1198" s="15"/>
      <c r="AH1198" s="15"/>
      <c r="AI1198" s="46"/>
      <c r="AJ1198" s="51" t="s">
        <v>67</v>
      </c>
      <c r="AK1198" s="51" t="s">
        <v>67</v>
      </c>
      <c r="AL1198" s="15"/>
      <c r="AM1198" s="51" t="s">
        <v>6705</v>
      </c>
      <c r="AN1198" s="51" t="s">
        <v>6120</v>
      </c>
      <c r="AO1198" s="50" t="s">
        <v>9554</v>
      </c>
    </row>
    <row r="1199" spans="1:41" hidden="1" x14ac:dyDescent="0.25">
      <c r="A1199" s="51" t="s">
        <v>6493</v>
      </c>
      <c r="B1199" s="51" t="s">
        <v>6494</v>
      </c>
      <c r="C1199" s="54" t="s">
        <v>2357</v>
      </c>
      <c r="D1199" s="51" t="s">
        <v>6495</v>
      </c>
      <c r="E1199" s="20">
        <v>13729.78</v>
      </c>
      <c r="F1199" s="20">
        <v>1820.56</v>
      </c>
      <c r="G1199" s="20">
        <v>11447.1</v>
      </c>
      <c r="H1199" s="20">
        <v>1548.36</v>
      </c>
      <c r="I1199" s="20">
        <v>1823.64</v>
      </c>
      <c r="J1199" s="51" t="s">
        <v>6726</v>
      </c>
      <c r="K1199" s="15">
        <v>44</v>
      </c>
      <c r="L1199" s="51" t="s">
        <v>2369</v>
      </c>
      <c r="M1199" s="51" t="s">
        <v>67</v>
      </c>
      <c r="N1199" s="51" t="s">
        <v>67</v>
      </c>
      <c r="O1199" s="51" t="s">
        <v>6496</v>
      </c>
      <c r="P1199" s="51" t="s">
        <v>1340</v>
      </c>
      <c r="Q1199" s="45">
        <v>46283.967450243057</v>
      </c>
      <c r="R1199" s="46">
        <v>46308</v>
      </c>
      <c r="S1199" s="46">
        <v>46303</v>
      </c>
      <c r="T1199" s="51" t="s">
        <v>6119</v>
      </c>
      <c r="U1199" s="15"/>
      <c r="V1199" s="15"/>
      <c r="W1199" s="15"/>
      <c r="X1199" s="15"/>
      <c r="Y1199" s="15"/>
      <c r="Z1199" s="15"/>
      <c r="AA1199" s="46"/>
      <c r="AB1199" s="15"/>
      <c r="AC1199" s="15"/>
      <c r="AD1199" s="15"/>
      <c r="AE1199" s="15"/>
      <c r="AF1199" s="15"/>
      <c r="AG1199" s="15"/>
      <c r="AH1199" s="15"/>
      <c r="AI1199" s="46"/>
      <c r="AJ1199" s="51" t="s">
        <v>6121</v>
      </c>
      <c r="AK1199" s="51" t="s">
        <v>67</v>
      </c>
      <c r="AL1199" s="15"/>
      <c r="AM1199" s="51" t="s">
        <v>6705</v>
      </c>
      <c r="AN1199" s="51" t="s">
        <v>6120</v>
      </c>
      <c r="AO1199" s="50" t="s">
        <v>9554</v>
      </c>
    </row>
    <row r="1200" spans="1:41" hidden="1" x14ac:dyDescent="0.25">
      <c r="A1200" s="51" t="s">
        <v>6497</v>
      </c>
      <c r="B1200" s="51" t="s">
        <v>6498</v>
      </c>
      <c r="C1200" s="54" t="s">
        <v>2691</v>
      </c>
      <c r="D1200" s="51" t="s">
        <v>6499</v>
      </c>
      <c r="E1200" s="20">
        <v>2187.75</v>
      </c>
      <c r="F1200" s="20">
        <v>33.5</v>
      </c>
      <c r="G1200" s="20">
        <v>21336.91</v>
      </c>
      <c r="H1200" s="20">
        <v>1407.6</v>
      </c>
      <c r="I1200" s="20">
        <v>33.5</v>
      </c>
      <c r="J1200" s="51" t="s">
        <v>6724</v>
      </c>
      <c r="K1200" s="15">
        <v>0</v>
      </c>
      <c r="L1200" s="51" t="s">
        <v>2371</v>
      </c>
      <c r="M1200" s="51" t="s">
        <v>6500</v>
      </c>
      <c r="N1200" s="51" t="s">
        <v>1340</v>
      </c>
      <c r="O1200" s="51" t="s">
        <v>6501</v>
      </c>
      <c r="P1200" s="51" t="s">
        <v>1340</v>
      </c>
      <c r="Q1200" s="45">
        <v>46283.967452916666</v>
      </c>
      <c r="R1200" s="46">
        <v>46301</v>
      </c>
      <c r="S1200" s="46">
        <v>46296</v>
      </c>
      <c r="T1200" s="51" t="s">
        <v>6119</v>
      </c>
      <c r="U1200" s="15"/>
      <c r="V1200" s="15"/>
      <c r="W1200" s="15"/>
      <c r="X1200" s="15"/>
      <c r="Y1200" s="15"/>
      <c r="Z1200" s="15"/>
      <c r="AA1200" s="46"/>
      <c r="AB1200" s="15"/>
      <c r="AC1200" s="15"/>
      <c r="AD1200" s="15"/>
      <c r="AE1200" s="15"/>
      <c r="AF1200" s="15"/>
      <c r="AG1200" s="15"/>
      <c r="AH1200" s="15"/>
      <c r="AI1200" s="46"/>
      <c r="AJ1200" s="51" t="s">
        <v>67</v>
      </c>
      <c r="AK1200" s="51" t="s">
        <v>67</v>
      </c>
      <c r="AL1200" s="15"/>
      <c r="AM1200" s="51" t="s">
        <v>6705</v>
      </c>
      <c r="AN1200" s="51" t="s">
        <v>6120</v>
      </c>
      <c r="AO1200" s="50" t="s">
        <v>9554</v>
      </c>
    </row>
    <row r="1201" spans="1:41" hidden="1" x14ac:dyDescent="0.25">
      <c r="A1201" s="51" t="s">
        <v>6502</v>
      </c>
      <c r="B1201" s="51" t="s">
        <v>6503</v>
      </c>
      <c r="C1201" s="54" t="s">
        <v>2356</v>
      </c>
      <c r="D1201" s="51" t="s">
        <v>6504</v>
      </c>
      <c r="E1201" s="20">
        <v>7377.77</v>
      </c>
      <c r="F1201" s="20">
        <v>1642.94</v>
      </c>
      <c r="G1201" s="20">
        <v>8900.39</v>
      </c>
      <c r="H1201" s="20">
        <v>1290.28</v>
      </c>
      <c r="I1201" s="20">
        <v>1642.94</v>
      </c>
      <c r="J1201" s="51" t="s">
        <v>6727</v>
      </c>
      <c r="K1201" s="15">
        <v>45</v>
      </c>
      <c r="L1201" s="51" t="s">
        <v>2369</v>
      </c>
      <c r="M1201" s="51" t="s">
        <v>6505</v>
      </c>
      <c r="N1201" s="51" t="s">
        <v>1340</v>
      </c>
      <c r="O1201" s="51" t="s">
        <v>67</v>
      </c>
      <c r="P1201" s="51" t="s">
        <v>67</v>
      </c>
      <c r="Q1201" s="45">
        <v>46283.967455844904</v>
      </c>
      <c r="R1201" s="46">
        <v>46307</v>
      </c>
      <c r="S1201" s="46">
        <v>46302</v>
      </c>
      <c r="T1201" s="51" t="s">
        <v>6119</v>
      </c>
      <c r="U1201" s="15"/>
      <c r="V1201" s="15"/>
      <c r="W1201" s="15"/>
      <c r="X1201" s="15"/>
      <c r="Y1201" s="15"/>
      <c r="Z1201" s="15"/>
      <c r="AA1201" s="46"/>
      <c r="AB1201" s="15"/>
      <c r="AC1201" s="15"/>
      <c r="AD1201" s="15"/>
      <c r="AE1201" s="15"/>
      <c r="AF1201" s="15"/>
      <c r="AG1201" s="15"/>
      <c r="AH1201" s="15"/>
      <c r="AI1201" s="46"/>
      <c r="AJ1201" s="51" t="s">
        <v>6121</v>
      </c>
      <c r="AK1201" s="51" t="s">
        <v>67</v>
      </c>
      <c r="AL1201" s="15"/>
      <c r="AM1201" s="51" t="s">
        <v>6705</v>
      </c>
      <c r="AN1201" s="51" t="s">
        <v>6120</v>
      </c>
      <c r="AO1201" s="50" t="s">
        <v>9554</v>
      </c>
    </row>
    <row r="1202" spans="1:41" hidden="1" x14ac:dyDescent="0.25">
      <c r="A1202" s="51" t="s">
        <v>6506</v>
      </c>
      <c r="B1202" s="51" t="s">
        <v>6507</v>
      </c>
      <c r="C1202" s="54" t="s">
        <v>2357</v>
      </c>
      <c r="D1202" s="51" t="s">
        <v>6508</v>
      </c>
      <c r="E1202" s="20">
        <v>10433.23</v>
      </c>
      <c r="F1202" s="20">
        <v>1963</v>
      </c>
      <c r="G1202" s="20">
        <v>12558.73</v>
      </c>
      <c r="H1202" s="20">
        <v>1548.36</v>
      </c>
      <c r="I1202" s="20">
        <v>1963</v>
      </c>
      <c r="J1202" s="51" t="s">
        <v>6727</v>
      </c>
      <c r="K1202" s="15">
        <v>44</v>
      </c>
      <c r="L1202" s="51" t="s">
        <v>2369</v>
      </c>
      <c r="M1202" s="51" t="s">
        <v>67</v>
      </c>
      <c r="N1202" s="51" t="s">
        <v>67</v>
      </c>
      <c r="O1202" s="51" t="s">
        <v>6509</v>
      </c>
      <c r="P1202" s="51" t="s">
        <v>1344</v>
      </c>
      <c r="Q1202" s="45">
        <v>46283.967459976855</v>
      </c>
      <c r="R1202" s="46">
        <v>46308</v>
      </c>
      <c r="S1202" s="46">
        <v>46303</v>
      </c>
      <c r="T1202" s="51" t="s">
        <v>6119</v>
      </c>
      <c r="U1202" s="15"/>
      <c r="V1202" s="15"/>
      <c r="W1202" s="15"/>
      <c r="X1202" s="15"/>
      <c r="Y1202" s="15"/>
      <c r="Z1202" s="15"/>
      <c r="AA1202" s="46"/>
      <c r="AB1202" s="15"/>
      <c r="AC1202" s="15"/>
      <c r="AD1202" s="15"/>
      <c r="AE1202" s="15"/>
      <c r="AF1202" s="15"/>
      <c r="AG1202" s="15"/>
      <c r="AH1202" s="15"/>
      <c r="AI1202" s="46"/>
      <c r="AJ1202" s="51" t="s">
        <v>6121</v>
      </c>
      <c r="AK1202" s="51" t="s">
        <v>67</v>
      </c>
      <c r="AL1202" s="15"/>
      <c r="AM1202" s="51" t="s">
        <v>6705</v>
      </c>
      <c r="AN1202" s="51" t="s">
        <v>6120</v>
      </c>
      <c r="AO1202" s="50" t="s">
        <v>9554</v>
      </c>
    </row>
    <row r="1203" spans="1:41" hidden="1" x14ac:dyDescent="0.25">
      <c r="A1203" s="51" t="s">
        <v>6510</v>
      </c>
      <c r="B1203" s="51" t="s">
        <v>6511</v>
      </c>
      <c r="C1203" s="54" t="s">
        <v>5608</v>
      </c>
      <c r="D1203" s="51" t="s">
        <v>6465</v>
      </c>
      <c r="E1203" s="20">
        <v>10460.67</v>
      </c>
      <c r="F1203" s="20">
        <v>1557.09</v>
      </c>
      <c r="G1203" s="20">
        <v>4183.63</v>
      </c>
      <c r="H1203" s="20">
        <v>1290.28</v>
      </c>
      <c r="I1203" s="20">
        <v>1557.09</v>
      </c>
      <c r="J1203" s="51" t="s">
        <v>6727</v>
      </c>
      <c r="K1203" s="15">
        <v>33</v>
      </c>
      <c r="L1203" s="51" t="s">
        <v>2369</v>
      </c>
      <c r="M1203" s="51" t="s">
        <v>6512</v>
      </c>
      <c r="N1203" s="51" t="s">
        <v>1340</v>
      </c>
      <c r="O1203" s="51" t="s">
        <v>67</v>
      </c>
      <c r="P1203" s="51" t="s">
        <v>67</v>
      </c>
      <c r="Q1203" s="45">
        <v>46283.967463946756</v>
      </c>
      <c r="R1203" s="46">
        <v>46319</v>
      </c>
      <c r="S1203" s="46">
        <v>46314</v>
      </c>
      <c r="T1203" s="51" t="s">
        <v>6119</v>
      </c>
      <c r="U1203" s="15"/>
      <c r="V1203" s="15"/>
      <c r="W1203" s="15"/>
      <c r="X1203" s="15"/>
      <c r="Y1203" s="15"/>
      <c r="Z1203" s="15"/>
      <c r="AA1203" s="46"/>
      <c r="AB1203" s="15"/>
      <c r="AC1203" s="15"/>
      <c r="AD1203" s="15"/>
      <c r="AE1203" s="15"/>
      <c r="AF1203" s="15"/>
      <c r="AG1203" s="15"/>
      <c r="AH1203" s="15"/>
      <c r="AI1203" s="46"/>
      <c r="AJ1203" s="51" t="s">
        <v>6121</v>
      </c>
      <c r="AK1203" s="51" t="s">
        <v>67</v>
      </c>
      <c r="AL1203" s="15"/>
      <c r="AM1203" s="51" t="s">
        <v>6705</v>
      </c>
      <c r="AN1203" s="51" t="s">
        <v>6120</v>
      </c>
      <c r="AO1203" s="50" t="s">
        <v>9554</v>
      </c>
    </row>
    <row r="1204" spans="1:41" hidden="1" x14ac:dyDescent="0.25">
      <c r="A1204" s="51" t="s">
        <v>6513</v>
      </c>
      <c r="B1204" s="51" t="s">
        <v>6514</v>
      </c>
      <c r="C1204" s="54" t="s">
        <v>5598</v>
      </c>
      <c r="D1204" s="51" t="s">
        <v>6515</v>
      </c>
      <c r="E1204" s="20">
        <v>8108.13</v>
      </c>
      <c r="F1204" s="20">
        <v>1342.46</v>
      </c>
      <c r="G1204" s="20">
        <v>10500.59</v>
      </c>
      <c r="H1204" s="20">
        <v>1290.28</v>
      </c>
      <c r="I1204" s="20">
        <v>1342.46</v>
      </c>
      <c r="J1204" s="51" t="s">
        <v>6727</v>
      </c>
      <c r="K1204" s="15">
        <v>3</v>
      </c>
      <c r="L1204" s="51" t="s">
        <v>2369</v>
      </c>
      <c r="M1204" s="51" t="s">
        <v>6516</v>
      </c>
      <c r="N1204" s="51" t="s">
        <v>1340</v>
      </c>
      <c r="O1204" s="51" t="s">
        <v>67</v>
      </c>
      <c r="P1204" s="51" t="s">
        <v>67</v>
      </c>
      <c r="Q1204" s="45">
        <v>46283.967467974537</v>
      </c>
      <c r="R1204" s="46">
        <v>46318</v>
      </c>
      <c r="S1204" s="46">
        <v>46313</v>
      </c>
      <c r="T1204" s="51" t="s">
        <v>6119</v>
      </c>
      <c r="U1204" s="15"/>
      <c r="V1204" s="15"/>
      <c r="W1204" s="15"/>
      <c r="X1204" s="15"/>
      <c r="Y1204" s="15"/>
      <c r="Z1204" s="15"/>
      <c r="AA1204" s="46"/>
      <c r="AB1204" s="15"/>
      <c r="AC1204" s="15"/>
      <c r="AD1204" s="15"/>
      <c r="AE1204" s="15"/>
      <c r="AF1204" s="15"/>
      <c r="AG1204" s="15"/>
      <c r="AH1204" s="15"/>
      <c r="AI1204" s="46"/>
      <c r="AJ1204" s="51" t="s">
        <v>67</v>
      </c>
      <c r="AK1204" s="51" t="s">
        <v>67</v>
      </c>
      <c r="AL1204" s="15"/>
      <c r="AM1204" s="51" t="s">
        <v>6705</v>
      </c>
      <c r="AN1204" s="51" t="s">
        <v>6120</v>
      </c>
      <c r="AO1204" s="50" t="s">
        <v>9554</v>
      </c>
    </row>
    <row r="1205" spans="1:41" hidden="1" x14ac:dyDescent="0.25">
      <c r="A1205" s="51" t="s">
        <v>6517</v>
      </c>
      <c r="B1205" s="51" t="s">
        <v>6518</v>
      </c>
      <c r="C1205" s="54" t="s">
        <v>5600</v>
      </c>
      <c r="D1205" s="51" t="s">
        <v>6519</v>
      </c>
      <c r="E1205" s="20">
        <v>13571.72</v>
      </c>
      <c r="F1205" s="20">
        <v>671.47</v>
      </c>
      <c r="G1205" s="20">
        <v>12542.28</v>
      </c>
      <c r="H1205" s="20">
        <v>1290.28</v>
      </c>
      <c r="I1205" s="20">
        <v>671.47</v>
      </c>
      <c r="J1205" s="51" t="s">
        <v>6726</v>
      </c>
      <c r="K1205" s="15">
        <v>0</v>
      </c>
      <c r="L1205" s="51" t="s">
        <v>2371</v>
      </c>
      <c r="M1205" s="51" t="s">
        <v>67</v>
      </c>
      <c r="N1205" s="51" t="s">
        <v>67</v>
      </c>
      <c r="O1205" s="51" t="s">
        <v>6520</v>
      </c>
      <c r="P1205" s="51" t="s">
        <v>1340</v>
      </c>
      <c r="Q1205" s="45">
        <v>46283.967472662036</v>
      </c>
      <c r="R1205" s="46">
        <v>46304</v>
      </c>
      <c r="S1205" s="46">
        <v>46299</v>
      </c>
      <c r="T1205" s="51" t="s">
        <v>6119</v>
      </c>
      <c r="U1205" s="15"/>
      <c r="V1205" s="15"/>
      <c r="W1205" s="15"/>
      <c r="X1205" s="15"/>
      <c r="Y1205" s="15"/>
      <c r="Z1205" s="15"/>
      <c r="AA1205" s="46"/>
      <c r="AB1205" s="15"/>
      <c r="AC1205" s="15"/>
      <c r="AD1205" s="15"/>
      <c r="AE1205" s="15"/>
      <c r="AF1205" s="15"/>
      <c r="AG1205" s="15"/>
      <c r="AH1205" s="15"/>
      <c r="AI1205" s="46"/>
      <c r="AJ1205" s="51" t="s">
        <v>67</v>
      </c>
      <c r="AK1205" s="51" t="s">
        <v>67</v>
      </c>
      <c r="AL1205" s="15"/>
      <c r="AM1205" s="51" t="s">
        <v>6705</v>
      </c>
      <c r="AN1205" s="51" t="s">
        <v>6120</v>
      </c>
      <c r="AO1205" s="50" t="s">
        <v>9554</v>
      </c>
    </row>
    <row r="1206" spans="1:41" hidden="1" x14ac:dyDescent="0.25">
      <c r="A1206" s="51" t="s">
        <v>6521</v>
      </c>
      <c r="B1206" s="51" t="s">
        <v>6522</v>
      </c>
      <c r="C1206" s="54" t="s">
        <v>608</v>
      </c>
      <c r="D1206" s="51" t="s">
        <v>6523</v>
      </c>
      <c r="E1206" s="20">
        <v>10803.09</v>
      </c>
      <c r="F1206" s="20">
        <v>0</v>
      </c>
      <c r="G1206" s="20">
        <v>10278.61</v>
      </c>
      <c r="H1206" s="20">
        <v>1290.28</v>
      </c>
      <c r="I1206" s="20">
        <v>30.71</v>
      </c>
      <c r="J1206" s="51" t="s">
        <v>6726</v>
      </c>
      <c r="K1206" s="15">
        <v>0</v>
      </c>
      <c r="L1206" s="51" t="s">
        <v>2371</v>
      </c>
      <c r="M1206" s="51" t="s">
        <v>67</v>
      </c>
      <c r="N1206" s="51" t="s">
        <v>67</v>
      </c>
      <c r="O1206" s="51" t="s">
        <v>6524</v>
      </c>
      <c r="P1206" s="51" t="s">
        <v>1340</v>
      </c>
      <c r="Q1206" s="45">
        <v>46283.967477719911</v>
      </c>
      <c r="R1206" s="46">
        <v>46315</v>
      </c>
      <c r="S1206" s="46">
        <v>46310</v>
      </c>
      <c r="T1206" s="51" t="s">
        <v>6119</v>
      </c>
      <c r="U1206" s="15"/>
      <c r="V1206" s="15"/>
      <c r="W1206" s="15"/>
      <c r="X1206" s="15"/>
      <c r="Y1206" s="15"/>
      <c r="Z1206" s="15"/>
      <c r="AA1206" s="46"/>
      <c r="AB1206" s="15"/>
      <c r="AC1206" s="15"/>
      <c r="AD1206" s="15"/>
      <c r="AE1206" s="15"/>
      <c r="AF1206" s="15"/>
      <c r="AG1206" s="15"/>
      <c r="AH1206" s="15"/>
      <c r="AI1206" s="46"/>
      <c r="AJ1206" s="51" t="s">
        <v>67</v>
      </c>
      <c r="AK1206" s="51" t="s">
        <v>67</v>
      </c>
      <c r="AL1206" s="15"/>
      <c r="AM1206" s="51" t="s">
        <v>6705</v>
      </c>
      <c r="AN1206" s="51" t="s">
        <v>6120</v>
      </c>
      <c r="AO1206" s="50" t="s">
        <v>9554</v>
      </c>
    </row>
    <row r="1207" spans="1:41" hidden="1" x14ac:dyDescent="0.25">
      <c r="A1207" s="51" t="s">
        <v>6525</v>
      </c>
      <c r="B1207" s="51" t="s">
        <v>6526</v>
      </c>
      <c r="C1207" s="54" t="s">
        <v>5604</v>
      </c>
      <c r="D1207" s="51" t="s">
        <v>6452</v>
      </c>
      <c r="E1207" s="20">
        <v>2034.52</v>
      </c>
      <c r="F1207" s="20">
        <v>1600.03</v>
      </c>
      <c r="G1207" s="20">
        <v>4901.71</v>
      </c>
      <c r="H1207" s="20">
        <v>1290.28</v>
      </c>
      <c r="I1207" s="20">
        <v>1600.03</v>
      </c>
      <c r="J1207" s="51" t="s">
        <v>6727</v>
      </c>
      <c r="K1207" s="15">
        <v>39</v>
      </c>
      <c r="L1207" s="51" t="s">
        <v>2369</v>
      </c>
      <c r="M1207" s="51" t="s">
        <v>67</v>
      </c>
      <c r="N1207" s="51" t="s">
        <v>67</v>
      </c>
      <c r="O1207" s="51" t="s">
        <v>6527</v>
      </c>
      <c r="P1207" s="51" t="s">
        <v>1344</v>
      </c>
      <c r="Q1207" s="45">
        <v>46283.967482118052</v>
      </c>
      <c r="R1207" s="46">
        <v>46313</v>
      </c>
      <c r="S1207" s="46">
        <v>46308</v>
      </c>
      <c r="T1207" s="51" t="s">
        <v>6119</v>
      </c>
      <c r="U1207" s="15"/>
      <c r="V1207" s="15"/>
      <c r="W1207" s="15"/>
      <c r="X1207" s="15"/>
      <c r="Y1207" s="15"/>
      <c r="Z1207" s="15"/>
      <c r="AA1207" s="46"/>
      <c r="AB1207" s="15"/>
      <c r="AC1207" s="15"/>
      <c r="AD1207" s="15"/>
      <c r="AE1207" s="15"/>
      <c r="AF1207" s="15"/>
      <c r="AG1207" s="15"/>
      <c r="AH1207" s="15"/>
      <c r="AI1207" s="46"/>
      <c r="AJ1207" s="51" t="s">
        <v>6121</v>
      </c>
      <c r="AK1207" s="51" t="s">
        <v>67</v>
      </c>
      <c r="AL1207" s="15"/>
      <c r="AM1207" s="51" t="s">
        <v>6705</v>
      </c>
      <c r="AN1207" s="51" t="s">
        <v>6120</v>
      </c>
      <c r="AO1207" s="50" t="s">
        <v>9554</v>
      </c>
    </row>
    <row r="1208" spans="1:41" hidden="1" x14ac:dyDescent="0.25">
      <c r="A1208" s="51" t="s">
        <v>6528</v>
      </c>
      <c r="B1208" s="51" t="s">
        <v>6529</v>
      </c>
      <c r="C1208" s="54" t="s">
        <v>2690</v>
      </c>
      <c r="D1208" s="51" t="s">
        <v>6530</v>
      </c>
      <c r="E1208" s="20">
        <v>3576.29</v>
      </c>
      <c r="F1208" s="20">
        <v>733.61</v>
      </c>
      <c r="G1208" s="20">
        <v>19410.830000000002</v>
      </c>
      <c r="H1208" s="20">
        <v>1548.36</v>
      </c>
      <c r="I1208" s="20">
        <v>733.61</v>
      </c>
      <c r="J1208" s="51" t="s">
        <v>6726</v>
      </c>
      <c r="K1208" s="15">
        <v>0</v>
      </c>
      <c r="L1208" s="51" t="s">
        <v>2371</v>
      </c>
      <c r="M1208" s="51" t="s">
        <v>67</v>
      </c>
      <c r="N1208" s="51" t="s">
        <v>67</v>
      </c>
      <c r="O1208" s="51" t="s">
        <v>6531</v>
      </c>
      <c r="P1208" s="51" t="s">
        <v>1340</v>
      </c>
      <c r="Q1208" s="45">
        <v>46283.967486666668</v>
      </c>
      <c r="R1208" s="46">
        <v>46322</v>
      </c>
      <c r="S1208" s="46">
        <v>46317</v>
      </c>
      <c r="T1208" s="51" t="s">
        <v>6119</v>
      </c>
      <c r="U1208" s="15"/>
      <c r="V1208" s="15"/>
      <c r="W1208" s="15"/>
      <c r="X1208" s="15"/>
      <c r="Y1208" s="15"/>
      <c r="Z1208" s="15"/>
      <c r="AA1208" s="46"/>
      <c r="AB1208" s="15"/>
      <c r="AC1208" s="15"/>
      <c r="AD1208" s="15"/>
      <c r="AE1208" s="15"/>
      <c r="AF1208" s="15"/>
      <c r="AG1208" s="15"/>
      <c r="AH1208" s="15"/>
      <c r="AI1208" s="46"/>
      <c r="AJ1208" s="51" t="s">
        <v>67</v>
      </c>
      <c r="AK1208" s="51" t="s">
        <v>67</v>
      </c>
      <c r="AL1208" s="15"/>
      <c r="AM1208" s="51" t="s">
        <v>6705</v>
      </c>
      <c r="AN1208" s="51" t="s">
        <v>6120</v>
      </c>
      <c r="AO1208" s="50" t="s">
        <v>9554</v>
      </c>
    </row>
    <row r="1209" spans="1:41" hidden="1" x14ac:dyDescent="0.25">
      <c r="A1209" s="51" t="s">
        <v>6532</v>
      </c>
      <c r="B1209" s="51" t="s">
        <v>6533</v>
      </c>
      <c r="C1209" s="54" t="s">
        <v>608</v>
      </c>
      <c r="D1209" s="51" t="s">
        <v>6534</v>
      </c>
      <c r="E1209" s="20">
        <v>6131.5</v>
      </c>
      <c r="F1209" s="20">
        <v>1585.72</v>
      </c>
      <c r="G1209" s="20">
        <v>6515.45</v>
      </c>
      <c r="H1209" s="20">
        <v>1290.28</v>
      </c>
      <c r="I1209" s="20">
        <v>1585.72</v>
      </c>
      <c r="J1209" s="51" t="s">
        <v>6727</v>
      </c>
      <c r="K1209" s="15">
        <v>37</v>
      </c>
      <c r="L1209" s="51" t="s">
        <v>2369</v>
      </c>
      <c r="M1209" s="51" t="s">
        <v>6535</v>
      </c>
      <c r="N1209" s="51" t="s">
        <v>1340</v>
      </c>
      <c r="O1209" s="51" t="s">
        <v>6536</v>
      </c>
      <c r="P1209" s="51" t="s">
        <v>1340</v>
      </c>
      <c r="Q1209" s="45">
        <v>46283.96749077546</v>
      </c>
      <c r="R1209" s="46">
        <v>46315</v>
      </c>
      <c r="S1209" s="46">
        <v>46310</v>
      </c>
      <c r="T1209" s="51" t="s">
        <v>6119</v>
      </c>
      <c r="U1209" s="15"/>
      <c r="V1209" s="15"/>
      <c r="W1209" s="15"/>
      <c r="X1209" s="15"/>
      <c r="Y1209" s="15"/>
      <c r="Z1209" s="15"/>
      <c r="AA1209" s="46"/>
      <c r="AB1209" s="15"/>
      <c r="AC1209" s="15"/>
      <c r="AD1209" s="15"/>
      <c r="AE1209" s="15"/>
      <c r="AF1209" s="15"/>
      <c r="AG1209" s="15"/>
      <c r="AH1209" s="15"/>
      <c r="AI1209" s="46"/>
      <c r="AJ1209" s="51" t="s">
        <v>6121</v>
      </c>
      <c r="AK1209" s="51" t="s">
        <v>67</v>
      </c>
      <c r="AL1209" s="15"/>
      <c r="AM1209" s="51" t="s">
        <v>6705</v>
      </c>
      <c r="AN1209" s="51" t="s">
        <v>6120</v>
      </c>
      <c r="AO1209" s="50" t="s">
        <v>9554</v>
      </c>
    </row>
    <row r="1210" spans="1:41" hidden="1" x14ac:dyDescent="0.25">
      <c r="A1210" s="51" t="s">
        <v>6537</v>
      </c>
      <c r="B1210" s="51" t="s">
        <v>6538</v>
      </c>
      <c r="C1210" s="54" t="s">
        <v>2358</v>
      </c>
      <c r="D1210" s="51" t="s">
        <v>6539</v>
      </c>
      <c r="E1210" s="20">
        <v>15286.88</v>
      </c>
      <c r="F1210" s="20">
        <v>36.85</v>
      </c>
      <c r="G1210" s="20">
        <v>21254.16</v>
      </c>
      <c r="H1210" s="20">
        <v>1548.36</v>
      </c>
      <c r="I1210" s="20">
        <v>36.85</v>
      </c>
      <c r="J1210" s="51" t="s">
        <v>6724</v>
      </c>
      <c r="K1210" s="15">
        <v>0</v>
      </c>
      <c r="L1210" s="51" t="s">
        <v>2371</v>
      </c>
      <c r="M1210" s="51" t="s">
        <v>6540</v>
      </c>
      <c r="N1210" s="51" t="s">
        <v>1344</v>
      </c>
      <c r="O1210" s="51" t="s">
        <v>6541</v>
      </c>
      <c r="P1210" s="51" t="s">
        <v>1344</v>
      </c>
      <c r="Q1210" s="45">
        <v>46283.967493657408</v>
      </c>
      <c r="R1210" s="46">
        <v>46309</v>
      </c>
      <c r="S1210" s="46">
        <v>46304</v>
      </c>
      <c r="T1210" s="51" t="s">
        <v>6119</v>
      </c>
      <c r="U1210" s="15"/>
      <c r="V1210" s="15"/>
      <c r="W1210" s="15"/>
      <c r="X1210" s="15"/>
      <c r="Y1210" s="15"/>
      <c r="Z1210" s="15"/>
      <c r="AA1210" s="46"/>
      <c r="AB1210" s="15"/>
      <c r="AC1210" s="15"/>
      <c r="AD1210" s="15"/>
      <c r="AE1210" s="15"/>
      <c r="AF1210" s="15"/>
      <c r="AG1210" s="15"/>
      <c r="AH1210" s="15"/>
      <c r="AI1210" s="46"/>
      <c r="AJ1210" s="51" t="s">
        <v>67</v>
      </c>
      <c r="AK1210" s="51" t="s">
        <v>67</v>
      </c>
      <c r="AL1210" s="15"/>
      <c r="AM1210" s="51" t="s">
        <v>6705</v>
      </c>
      <c r="AN1210" s="51" t="s">
        <v>6120</v>
      </c>
      <c r="AO1210" s="50" t="s">
        <v>9554</v>
      </c>
    </row>
    <row r="1211" spans="1:41" hidden="1" x14ac:dyDescent="0.25">
      <c r="A1211" s="51" t="s">
        <v>6542</v>
      </c>
      <c r="B1211" s="51" t="s">
        <v>6543</v>
      </c>
      <c r="C1211" s="54" t="s">
        <v>2689</v>
      </c>
      <c r="D1211" s="51" t="s">
        <v>6544</v>
      </c>
      <c r="E1211" s="20">
        <v>9950.2800000000007</v>
      </c>
      <c r="F1211" s="20">
        <v>1885.72</v>
      </c>
      <c r="G1211" s="20">
        <v>9661.83</v>
      </c>
      <c r="H1211" s="20">
        <v>1548.36</v>
      </c>
      <c r="I1211" s="20">
        <v>1885.72</v>
      </c>
      <c r="J1211" s="51" t="s">
        <v>6727</v>
      </c>
      <c r="K1211" s="15">
        <v>35</v>
      </c>
      <c r="L1211" s="51" t="s">
        <v>2369</v>
      </c>
      <c r="M1211" s="51" t="s">
        <v>6545</v>
      </c>
      <c r="N1211" s="51" t="s">
        <v>1340</v>
      </c>
      <c r="O1211" s="51" t="s">
        <v>67</v>
      </c>
      <c r="P1211" s="51" t="s">
        <v>67</v>
      </c>
      <c r="Q1211" s="45">
        <v>46283.967496053243</v>
      </c>
      <c r="R1211" s="46">
        <v>46317</v>
      </c>
      <c r="S1211" s="46">
        <v>46312</v>
      </c>
      <c r="T1211" s="51" t="s">
        <v>6119</v>
      </c>
      <c r="U1211" s="15"/>
      <c r="V1211" s="15"/>
      <c r="W1211" s="15"/>
      <c r="X1211" s="15"/>
      <c r="Y1211" s="15"/>
      <c r="Z1211" s="15"/>
      <c r="AA1211" s="46"/>
      <c r="AB1211" s="15"/>
      <c r="AC1211" s="15"/>
      <c r="AD1211" s="15"/>
      <c r="AE1211" s="15"/>
      <c r="AF1211" s="15"/>
      <c r="AG1211" s="15"/>
      <c r="AH1211" s="15"/>
      <c r="AI1211" s="46"/>
      <c r="AJ1211" s="51" t="s">
        <v>6121</v>
      </c>
      <c r="AK1211" s="51" t="s">
        <v>67</v>
      </c>
      <c r="AL1211" s="15"/>
      <c r="AM1211" s="51" t="s">
        <v>6705</v>
      </c>
      <c r="AN1211" s="51" t="s">
        <v>6120</v>
      </c>
      <c r="AO1211" s="50" t="s">
        <v>9554</v>
      </c>
    </row>
    <row r="1212" spans="1:41" hidden="1" x14ac:dyDescent="0.25">
      <c r="A1212" s="51" t="s">
        <v>6546</v>
      </c>
      <c r="B1212" s="51" t="s">
        <v>6547</v>
      </c>
      <c r="C1212" s="54" t="s">
        <v>5603</v>
      </c>
      <c r="D1212" s="51" t="s">
        <v>6548</v>
      </c>
      <c r="E1212" s="20">
        <v>1776.26</v>
      </c>
      <c r="F1212" s="20">
        <v>1485.56</v>
      </c>
      <c r="G1212" s="20">
        <v>12299.59</v>
      </c>
      <c r="H1212" s="20">
        <v>1290.28</v>
      </c>
      <c r="I1212" s="20">
        <v>1485.56</v>
      </c>
      <c r="J1212" s="51" t="s">
        <v>6727</v>
      </c>
      <c r="K1212" s="15">
        <v>23</v>
      </c>
      <c r="L1212" s="51" t="s">
        <v>2369</v>
      </c>
      <c r="M1212" s="51" t="s">
        <v>67</v>
      </c>
      <c r="N1212" s="51" t="s">
        <v>67</v>
      </c>
      <c r="O1212" s="51" t="s">
        <v>6549</v>
      </c>
      <c r="P1212" s="51" t="s">
        <v>1340</v>
      </c>
      <c r="Q1212" s="45">
        <v>46283.967499212966</v>
      </c>
      <c r="R1212" s="46">
        <v>46298</v>
      </c>
      <c r="S1212" s="46">
        <v>46293</v>
      </c>
      <c r="T1212" s="51" t="s">
        <v>6119</v>
      </c>
      <c r="U1212" s="15"/>
      <c r="V1212" s="15"/>
      <c r="W1212" s="15"/>
      <c r="X1212" s="15"/>
      <c r="Y1212" s="15"/>
      <c r="Z1212" s="15"/>
      <c r="AA1212" s="46"/>
      <c r="AB1212" s="15"/>
      <c r="AC1212" s="15"/>
      <c r="AD1212" s="15"/>
      <c r="AE1212" s="15"/>
      <c r="AF1212" s="15"/>
      <c r="AG1212" s="15"/>
      <c r="AH1212" s="15"/>
      <c r="AI1212" s="46"/>
      <c r="AJ1212" s="51" t="s">
        <v>6121</v>
      </c>
      <c r="AK1212" s="51" t="s">
        <v>67</v>
      </c>
      <c r="AL1212" s="15"/>
      <c r="AM1212" s="51" t="s">
        <v>6705</v>
      </c>
      <c r="AN1212" s="51" t="s">
        <v>6120</v>
      </c>
      <c r="AO1212" s="50" t="s">
        <v>9554</v>
      </c>
    </row>
    <row r="1213" spans="1:41" hidden="1" x14ac:dyDescent="0.25">
      <c r="A1213" s="51" t="s">
        <v>6550</v>
      </c>
      <c r="B1213" s="51" t="s">
        <v>6551</v>
      </c>
      <c r="C1213" s="54" t="s">
        <v>5597</v>
      </c>
      <c r="D1213" s="51" t="s">
        <v>6552</v>
      </c>
      <c r="E1213" s="20">
        <v>13930.64</v>
      </c>
      <c r="F1213" s="20">
        <v>2125.29</v>
      </c>
      <c r="G1213" s="20">
        <v>3408.8</v>
      </c>
      <c r="H1213" s="20">
        <v>1290.28</v>
      </c>
      <c r="I1213" s="20">
        <v>4766.67</v>
      </c>
      <c r="J1213" s="51" t="s">
        <v>6726</v>
      </c>
      <c r="K1213" s="15">
        <v>0</v>
      </c>
      <c r="L1213" s="51" t="s">
        <v>2371</v>
      </c>
      <c r="M1213" s="51" t="s">
        <v>67</v>
      </c>
      <c r="N1213" s="51" t="s">
        <v>67</v>
      </c>
      <c r="O1213" s="51" t="s">
        <v>6553</v>
      </c>
      <c r="P1213" s="51" t="s">
        <v>1340</v>
      </c>
      <c r="Q1213" s="45">
        <v>46283.967501562503</v>
      </c>
      <c r="R1213" s="46">
        <v>46321</v>
      </c>
      <c r="S1213" s="46">
        <v>46316</v>
      </c>
      <c r="T1213" s="51" t="s">
        <v>6119</v>
      </c>
      <c r="U1213" s="15"/>
      <c r="V1213" s="15"/>
      <c r="W1213" s="15"/>
      <c r="X1213" s="15"/>
      <c r="Y1213" s="15"/>
      <c r="Z1213" s="15"/>
      <c r="AA1213" s="46"/>
      <c r="AB1213" s="15"/>
      <c r="AC1213" s="15"/>
      <c r="AD1213" s="15"/>
      <c r="AE1213" s="15"/>
      <c r="AF1213" s="15"/>
      <c r="AG1213" s="15"/>
      <c r="AH1213" s="15"/>
      <c r="AI1213" s="46"/>
      <c r="AJ1213" s="51" t="s">
        <v>67</v>
      </c>
      <c r="AK1213" s="51" t="s">
        <v>67</v>
      </c>
      <c r="AL1213" s="15"/>
      <c r="AM1213" s="51" t="s">
        <v>6705</v>
      </c>
      <c r="AN1213" s="51" t="s">
        <v>6120</v>
      </c>
      <c r="AO1213" s="50" t="s">
        <v>9554</v>
      </c>
    </row>
    <row r="1214" spans="1:41" hidden="1" x14ac:dyDescent="0.25">
      <c r="A1214" s="51" t="s">
        <v>6554</v>
      </c>
      <c r="B1214" s="51" t="s">
        <v>6555</v>
      </c>
      <c r="C1214" s="54" t="s">
        <v>611</v>
      </c>
      <c r="D1214" s="51" t="s">
        <v>6556</v>
      </c>
      <c r="E1214" s="20">
        <v>4096.47</v>
      </c>
      <c r="F1214" s="20">
        <v>1564.18</v>
      </c>
      <c r="G1214" s="20">
        <v>17076.96</v>
      </c>
      <c r="H1214" s="20">
        <v>1407.6</v>
      </c>
      <c r="I1214" s="20">
        <v>1564.18</v>
      </c>
      <c r="J1214" s="51" t="s">
        <v>6726</v>
      </c>
      <c r="K1214" s="15">
        <v>32</v>
      </c>
      <c r="L1214" s="51" t="s">
        <v>2369</v>
      </c>
      <c r="M1214" s="51" t="s">
        <v>6557</v>
      </c>
      <c r="N1214" s="51" t="s">
        <v>1340</v>
      </c>
      <c r="O1214" s="51" t="s">
        <v>6558</v>
      </c>
      <c r="P1214" s="51" t="s">
        <v>1340</v>
      </c>
      <c r="Q1214" s="45">
        <v>46283.967504050925</v>
      </c>
      <c r="R1214" s="46">
        <v>46320</v>
      </c>
      <c r="S1214" s="46">
        <v>46315</v>
      </c>
      <c r="T1214" s="51" t="s">
        <v>6119</v>
      </c>
      <c r="U1214" s="15"/>
      <c r="V1214" s="15"/>
      <c r="W1214" s="15"/>
      <c r="X1214" s="15"/>
      <c r="Y1214" s="15"/>
      <c r="Z1214" s="15"/>
      <c r="AA1214" s="46"/>
      <c r="AB1214" s="15"/>
      <c r="AC1214" s="15"/>
      <c r="AD1214" s="15"/>
      <c r="AE1214" s="15"/>
      <c r="AF1214" s="15"/>
      <c r="AG1214" s="15"/>
      <c r="AH1214" s="15"/>
      <c r="AI1214" s="46"/>
      <c r="AJ1214" s="51" t="s">
        <v>6121</v>
      </c>
      <c r="AK1214" s="51" t="s">
        <v>67</v>
      </c>
      <c r="AL1214" s="15"/>
      <c r="AM1214" s="51" t="s">
        <v>6705</v>
      </c>
      <c r="AN1214" s="51" t="s">
        <v>6120</v>
      </c>
      <c r="AO1214" s="50" t="s">
        <v>9554</v>
      </c>
    </row>
    <row r="1215" spans="1:41" hidden="1" x14ac:dyDescent="0.25">
      <c r="A1215" s="51" t="s">
        <v>6559</v>
      </c>
      <c r="B1215" s="51" t="s">
        <v>6560</v>
      </c>
      <c r="C1215" s="54" t="s">
        <v>2357</v>
      </c>
      <c r="D1215" s="51" t="s">
        <v>6561</v>
      </c>
      <c r="E1215" s="20">
        <v>9557.6</v>
      </c>
      <c r="F1215" s="20">
        <v>1784.53</v>
      </c>
      <c r="G1215" s="20">
        <v>6704.6</v>
      </c>
      <c r="H1215" s="20">
        <v>1407.6</v>
      </c>
      <c r="I1215" s="20">
        <v>1784.52</v>
      </c>
      <c r="J1215" s="51" t="s">
        <v>6727</v>
      </c>
      <c r="K1215" s="15">
        <v>44</v>
      </c>
      <c r="L1215" s="51" t="s">
        <v>2369</v>
      </c>
      <c r="M1215" s="51" t="s">
        <v>67</v>
      </c>
      <c r="N1215" s="51" t="s">
        <v>67</v>
      </c>
      <c r="O1215" s="51" t="s">
        <v>6562</v>
      </c>
      <c r="P1215" s="51" t="s">
        <v>1340</v>
      </c>
      <c r="Q1215" s="45">
        <v>46283.967507488429</v>
      </c>
      <c r="R1215" s="46">
        <v>46308</v>
      </c>
      <c r="S1215" s="46">
        <v>46303</v>
      </c>
      <c r="T1215" s="51" t="s">
        <v>6119</v>
      </c>
      <c r="U1215" s="15"/>
      <c r="V1215" s="15"/>
      <c r="W1215" s="15"/>
      <c r="X1215" s="15"/>
      <c r="Y1215" s="15"/>
      <c r="Z1215" s="15"/>
      <c r="AA1215" s="46"/>
      <c r="AB1215" s="15"/>
      <c r="AC1215" s="15"/>
      <c r="AD1215" s="15"/>
      <c r="AE1215" s="15"/>
      <c r="AF1215" s="15"/>
      <c r="AG1215" s="15"/>
      <c r="AH1215" s="15"/>
      <c r="AI1215" s="46"/>
      <c r="AJ1215" s="51" t="s">
        <v>6121</v>
      </c>
      <c r="AK1215" s="51" t="s">
        <v>67</v>
      </c>
      <c r="AL1215" s="15"/>
      <c r="AM1215" s="51" t="s">
        <v>6705</v>
      </c>
      <c r="AN1215" s="51" t="s">
        <v>6120</v>
      </c>
      <c r="AO1215" s="50" t="s">
        <v>9554</v>
      </c>
    </row>
    <row r="1216" spans="1:41" hidden="1" x14ac:dyDescent="0.25">
      <c r="A1216" s="51" t="s">
        <v>6563</v>
      </c>
      <c r="B1216" s="51" t="s">
        <v>6564</v>
      </c>
      <c r="C1216" s="54" t="s">
        <v>2694</v>
      </c>
      <c r="D1216" s="51" t="s">
        <v>6565</v>
      </c>
      <c r="E1216" s="20">
        <v>1694.11</v>
      </c>
      <c r="F1216" s="20">
        <v>1753.31</v>
      </c>
      <c r="G1216" s="20">
        <v>1778.77</v>
      </c>
      <c r="H1216" s="20">
        <v>1407.6</v>
      </c>
      <c r="I1216" s="20">
        <v>1753.31</v>
      </c>
      <c r="J1216" s="51" t="s">
        <v>6727</v>
      </c>
      <c r="K1216" s="15">
        <v>40</v>
      </c>
      <c r="L1216" s="51" t="s">
        <v>2369</v>
      </c>
      <c r="M1216" s="51" t="s">
        <v>6566</v>
      </c>
      <c r="N1216" s="51" t="s">
        <v>1340</v>
      </c>
      <c r="O1216" s="51" t="s">
        <v>67</v>
      </c>
      <c r="P1216" s="51" t="s">
        <v>67</v>
      </c>
      <c r="Q1216" s="45">
        <v>46283.967510648145</v>
      </c>
      <c r="R1216" s="46">
        <v>46312</v>
      </c>
      <c r="S1216" s="46">
        <v>46307</v>
      </c>
      <c r="T1216" s="51" t="s">
        <v>6119</v>
      </c>
      <c r="U1216" s="15"/>
      <c r="V1216" s="15"/>
      <c r="W1216" s="15"/>
      <c r="X1216" s="15"/>
      <c r="Y1216" s="15"/>
      <c r="Z1216" s="15"/>
      <c r="AA1216" s="46"/>
      <c r="AB1216" s="15"/>
      <c r="AC1216" s="15"/>
      <c r="AD1216" s="15"/>
      <c r="AE1216" s="15"/>
      <c r="AF1216" s="15"/>
      <c r="AG1216" s="15"/>
      <c r="AH1216" s="15"/>
      <c r="AI1216" s="46"/>
      <c r="AJ1216" s="51" t="s">
        <v>6121</v>
      </c>
      <c r="AK1216" s="51" t="s">
        <v>67</v>
      </c>
      <c r="AL1216" s="15"/>
      <c r="AM1216" s="51" t="s">
        <v>6705</v>
      </c>
      <c r="AN1216" s="51" t="s">
        <v>6120</v>
      </c>
      <c r="AO1216" s="50" t="s">
        <v>9554</v>
      </c>
    </row>
    <row r="1217" spans="1:41" hidden="1" x14ac:dyDescent="0.25">
      <c r="A1217" s="51" t="s">
        <v>6567</v>
      </c>
      <c r="B1217" s="51" t="s">
        <v>6568</v>
      </c>
      <c r="C1217" s="54" t="s">
        <v>5600</v>
      </c>
      <c r="D1217" s="51" t="s">
        <v>6569</v>
      </c>
      <c r="E1217" s="20">
        <v>7947.72</v>
      </c>
      <c r="F1217" s="20">
        <v>1815.75</v>
      </c>
      <c r="G1217" s="20">
        <v>7072.73</v>
      </c>
      <c r="H1217" s="20">
        <v>1407.6</v>
      </c>
      <c r="I1217" s="20">
        <v>1815.75</v>
      </c>
      <c r="J1217" s="51" t="s">
        <v>6727</v>
      </c>
      <c r="K1217" s="15">
        <v>48</v>
      </c>
      <c r="L1217" s="51" t="s">
        <v>2369</v>
      </c>
      <c r="M1217" s="51" t="s">
        <v>6570</v>
      </c>
      <c r="N1217" s="51" t="s">
        <v>1344</v>
      </c>
      <c r="O1217" s="51" t="s">
        <v>6571</v>
      </c>
      <c r="P1217" s="51" t="s">
        <v>1344</v>
      </c>
      <c r="Q1217" s="45">
        <v>46283.967513229167</v>
      </c>
      <c r="R1217" s="46">
        <v>46304</v>
      </c>
      <c r="S1217" s="46">
        <v>46299</v>
      </c>
      <c r="T1217" s="51" t="s">
        <v>6119</v>
      </c>
      <c r="U1217" s="15"/>
      <c r="V1217" s="15"/>
      <c r="W1217" s="15"/>
      <c r="X1217" s="15"/>
      <c r="Y1217" s="15"/>
      <c r="Z1217" s="15"/>
      <c r="AA1217" s="46"/>
      <c r="AB1217" s="15"/>
      <c r="AC1217" s="15"/>
      <c r="AD1217" s="15"/>
      <c r="AE1217" s="15"/>
      <c r="AF1217" s="15"/>
      <c r="AG1217" s="15"/>
      <c r="AH1217" s="15"/>
      <c r="AI1217" s="46"/>
      <c r="AJ1217" s="51" t="s">
        <v>6121</v>
      </c>
      <c r="AK1217" s="51" t="s">
        <v>67</v>
      </c>
      <c r="AL1217" s="15"/>
      <c r="AM1217" s="51" t="s">
        <v>6705</v>
      </c>
      <c r="AN1217" s="51" t="s">
        <v>6120</v>
      </c>
      <c r="AO1217" s="50" t="s">
        <v>9554</v>
      </c>
    </row>
    <row r="1218" spans="1:41" hidden="1" x14ac:dyDescent="0.25">
      <c r="A1218" s="51" t="s">
        <v>6572</v>
      </c>
      <c r="B1218" s="51" t="s">
        <v>6573</v>
      </c>
      <c r="C1218" s="54" t="s">
        <v>2345</v>
      </c>
      <c r="D1218" s="51" t="s">
        <v>6574</v>
      </c>
      <c r="E1218" s="20">
        <v>11336.28</v>
      </c>
      <c r="F1218" s="20">
        <v>805.77</v>
      </c>
      <c r="G1218" s="20">
        <v>20494.099999999999</v>
      </c>
      <c r="H1218" s="20">
        <v>1548.36</v>
      </c>
      <c r="I1218" s="20">
        <v>805.77</v>
      </c>
      <c r="J1218" s="51" t="s">
        <v>6726</v>
      </c>
      <c r="K1218" s="15">
        <v>0</v>
      </c>
      <c r="L1218" s="51" t="s">
        <v>2371</v>
      </c>
      <c r="M1218" s="51" t="s">
        <v>6575</v>
      </c>
      <c r="N1218" s="51" t="s">
        <v>1340</v>
      </c>
      <c r="O1218" s="51" t="s">
        <v>6576</v>
      </c>
      <c r="P1218" s="51" t="s">
        <v>1340</v>
      </c>
      <c r="Q1218" s="45">
        <v>46283.967515902776</v>
      </c>
      <c r="R1218" s="46">
        <v>46306</v>
      </c>
      <c r="S1218" s="46">
        <v>46301</v>
      </c>
      <c r="T1218" s="51" t="s">
        <v>6119</v>
      </c>
      <c r="U1218" s="15"/>
      <c r="V1218" s="15"/>
      <c r="W1218" s="15"/>
      <c r="X1218" s="15"/>
      <c r="Y1218" s="15"/>
      <c r="Z1218" s="15"/>
      <c r="AA1218" s="46"/>
      <c r="AB1218" s="15"/>
      <c r="AC1218" s="15"/>
      <c r="AD1218" s="15"/>
      <c r="AE1218" s="15"/>
      <c r="AF1218" s="15"/>
      <c r="AG1218" s="15"/>
      <c r="AH1218" s="15"/>
      <c r="AI1218" s="46"/>
      <c r="AJ1218" s="51" t="s">
        <v>67</v>
      </c>
      <c r="AK1218" s="51" t="s">
        <v>67</v>
      </c>
      <c r="AL1218" s="15"/>
      <c r="AM1218" s="51" t="s">
        <v>6705</v>
      </c>
      <c r="AN1218" s="51" t="s">
        <v>6120</v>
      </c>
      <c r="AO1218" s="50" t="s">
        <v>9554</v>
      </c>
    </row>
    <row r="1219" spans="1:41" hidden="1" x14ac:dyDescent="0.25">
      <c r="A1219" s="51" t="s">
        <v>6577</v>
      </c>
      <c r="B1219" s="51" t="s">
        <v>6578</v>
      </c>
      <c r="C1219" s="54" t="s">
        <v>5599</v>
      </c>
      <c r="D1219" s="51" t="s">
        <v>6579</v>
      </c>
      <c r="E1219" s="20">
        <v>14987.12</v>
      </c>
      <c r="F1219" s="20">
        <v>33.5</v>
      </c>
      <c r="G1219" s="20">
        <v>15160.41</v>
      </c>
      <c r="H1219" s="20">
        <v>1407.6</v>
      </c>
      <c r="I1219" s="20">
        <v>33.5</v>
      </c>
      <c r="J1219" s="51" t="s">
        <v>6724</v>
      </c>
      <c r="K1219" s="15">
        <v>0</v>
      </c>
      <c r="L1219" s="51" t="s">
        <v>2371</v>
      </c>
      <c r="M1219" s="51" t="s">
        <v>6580</v>
      </c>
      <c r="N1219" s="51" t="s">
        <v>1340</v>
      </c>
      <c r="O1219" s="51" t="s">
        <v>6581</v>
      </c>
      <c r="P1219" s="51" t="s">
        <v>1340</v>
      </c>
      <c r="Q1219" s="45">
        <v>46283.967518483798</v>
      </c>
      <c r="R1219" s="46">
        <v>46302</v>
      </c>
      <c r="S1219" s="46">
        <v>46297</v>
      </c>
      <c r="T1219" s="51" t="s">
        <v>6119</v>
      </c>
      <c r="U1219" s="15"/>
      <c r="V1219" s="15"/>
      <c r="W1219" s="15"/>
      <c r="X1219" s="15"/>
      <c r="Y1219" s="15"/>
      <c r="Z1219" s="15"/>
      <c r="AA1219" s="46"/>
      <c r="AB1219" s="15"/>
      <c r="AC1219" s="15"/>
      <c r="AD1219" s="15"/>
      <c r="AE1219" s="15"/>
      <c r="AF1219" s="15"/>
      <c r="AG1219" s="15"/>
      <c r="AH1219" s="15"/>
      <c r="AI1219" s="46"/>
      <c r="AJ1219" s="51" t="s">
        <v>67</v>
      </c>
      <c r="AK1219" s="51" t="s">
        <v>67</v>
      </c>
      <c r="AL1219" s="15"/>
      <c r="AM1219" s="51" t="s">
        <v>6705</v>
      </c>
      <c r="AN1219" s="51" t="s">
        <v>6120</v>
      </c>
      <c r="AO1219" s="50" t="s">
        <v>9554</v>
      </c>
    </row>
    <row r="1220" spans="1:41" hidden="1" x14ac:dyDescent="0.25">
      <c r="A1220" s="51" t="s">
        <v>6582</v>
      </c>
      <c r="B1220" s="51" t="s">
        <v>6583</v>
      </c>
      <c r="C1220" s="54" t="s">
        <v>605</v>
      </c>
      <c r="D1220" s="51" t="s">
        <v>6584</v>
      </c>
      <c r="E1220" s="20">
        <v>3738.91</v>
      </c>
      <c r="F1220" s="20">
        <v>1191.96</v>
      </c>
      <c r="G1220" s="20">
        <v>18850.41</v>
      </c>
      <c r="H1220" s="20">
        <v>1290.28</v>
      </c>
      <c r="I1220" s="20">
        <v>1191.96</v>
      </c>
      <c r="J1220" s="51" t="s">
        <v>6725</v>
      </c>
      <c r="K1220" s="15">
        <v>0</v>
      </c>
      <c r="L1220" s="51" t="s">
        <v>2371</v>
      </c>
      <c r="M1220" s="51" t="s">
        <v>6585</v>
      </c>
      <c r="N1220" s="51" t="s">
        <v>1340</v>
      </c>
      <c r="O1220" s="51" t="s">
        <v>67</v>
      </c>
      <c r="P1220" s="51" t="s">
        <v>67</v>
      </c>
      <c r="Q1220" s="45">
        <v>46283.967521006947</v>
      </c>
      <c r="R1220" s="46">
        <v>46305</v>
      </c>
      <c r="S1220" s="46">
        <v>46300</v>
      </c>
      <c r="T1220" s="51" t="s">
        <v>6119</v>
      </c>
      <c r="U1220" s="15"/>
      <c r="V1220" s="15"/>
      <c r="W1220" s="15"/>
      <c r="X1220" s="15"/>
      <c r="Y1220" s="15"/>
      <c r="Z1220" s="15"/>
      <c r="AA1220" s="46"/>
      <c r="AB1220" s="15"/>
      <c r="AC1220" s="15"/>
      <c r="AD1220" s="15"/>
      <c r="AE1220" s="15"/>
      <c r="AF1220" s="15"/>
      <c r="AG1220" s="15"/>
      <c r="AH1220" s="15"/>
      <c r="AI1220" s="46"/>
      <c r="AJ1220" s="51" t="s">
        <v>67</v>
      </c>
      <c r="AK1220" s="51" t="s">
        <v>67</v>
      </c>
      <c r="AL1220" s="15"/>
      <c r="AM1220" s="51" t="s">
        <v>6705</v>
      </c>
      <c r="AN1220" s="51" t="s">
        <v>6120</v>
      </c>
      <c r="AO1220" s="50" t="s">
        <v>9554</v>
      </c>
    </row>
    <row r="1221" spans="1:41" hidden="1" x14ac:dyDescent="0.25">
      <c r="A1221" s="51" t="s">
        <v>6586</v>
      </c>
      <c r="B1221" s="51" t="s">
        <v>6587</v>
      </c>
      <c r="C1221" s="54" t="s">
        <v>2690</v>
      </c>
      <c r="D1221" s="51" t="s">
        <v>6588</v>
      </c>
      <c r="E1221" s="20">
        <v>12060.58</v>
      </c>
      <c r="F1221" s="20">
        <v>30.71</v>
      </c>
      <c r="G1221" s="20">
        <v>12356.62</v>
      </c>
      <c r="H1221" s="20">
        <v>1290.28</v>
      </c>
      <c r="I1221" s="20">
        <v>30.71</v>
      </c>
      <c r="J1221" s="51" t="s">
        <v>6724</v>
      </c>
      <c r="K1221" s="15">
        <v>0</v>
      </c>
      <c r="L1221" s="51" t="s">
        <v>2371</v>
      </c>
      <c r="M1221" s="51" t="s">
        <v>6589</v>
      </c>
      <c r="N1221" s="51" t="s">
        <v>1340</v>
      </c>
      <c r="O1221" s="51" t="s">
        <v>67</v>
      </c>
      <c r="P1221" s="51" t="s">
        <v>67</v>
      </c>
      <c r="Q1221" s="45">
        <v>46283.967523703701</v>
      </c>
      <c r="R1221" s="46">
        <v>46322</v>
      </c>
      <c r="S1221" s="46">
        <v>46317</v>
      </c>
      <c r="T1221" s="51" t="s">
        <v>6119</v>
      </c>
      <c r="U1221" s="15"/>
      <c r="V1221" s="15"/>
      <c r="W1221" s="15"/>
      <c r="X1221" s="15"/>
      <c r="Y1221" s="15"/>
      <c r="Z1221" s="15"/>
      <c r="AA1221" s="46"/>
      <c r="AB1221" s="15"/>
      <c r="AC1221" s="15"/>
      <c r="AD1221" s="15"/>
      <c r="AE1221" s="15"/>
      <c r="AF1221" s="15"/>
      <c r="AG1221" s="15"/>
      <c r="AH1221" s="15"/>
      <c r="AI1221" s="46"/>
      <c r="AJ1221" s="51" t="s">
        <v>67</v>
      </c>
      <c r="AK1221" s="51" t="s">
        <v>67</v>
      </c>
      <c r="AL1221" s="15"/>
      <c r="AM1221" s="51" t="s">
        <v>6705</v>
      </c>
      <c r="AN1221" s="51" t="s">
        <v>6120</v>
      </c>
      <c r="AO1221" s="50" t="s">
        <v>9554</v>
      </c>
    </row>
    <row r="1222" spans="1:41" hidden="1" x14ac:dyDescent="0.25">
      <c r="A1222" s="51" t="s">
        <v>6590</v>
      </c>
      <c r="B1222" s="51" t="s">
        <v>6591</v>
      </c>
      <c r="C1222" s="54" t="s">
        <v>5596</v>
      </c>
      <c r="D1222" s="51" t="s">
        <v>6592</v>
      </c>
      <c r="E1222" s="20">
        <v>2629.15</v>
      </c>
      <c r="F1222" s="20">
        <v>0</v>
      </c>
      <c r="G1222" s="20">
        <v>6626.07</v>
      </c>
      <c r="H1222" s="20">
        <v>1407.6</v>
      </c>
      <c r="I1222" s="20">
        <v>33.5</v>
      </c>
      <c r="J1222" s="51" t="s">
        <v>6726</v>
      </c>
      <c r="K1222" s="15">
        <v>0</v>
      </c>
      <c r="L1222" s="51" t="s">
        <v>2371</v>
      </c>
      <c r="M1222" s="51" t="s">
        <v>67</v>
      </c>
      <c r="N1222" s="51" t="s">
        <v>67</v>
      </c>
      <c r="O1222" s="51" t="s">
        <v>6593</v>
      </c>
      <c r="P1222" s="51" t="s">
        <v>1340</v>
      </c>
      <c r="Q1222" s="45">
        <v>46283.967527569446</v>
      </c>
      <c r="R1222" s="46">
        <v>46300</v>
      </c>
      <c r="S1222" s="46">
        <v>46295</v>
      </c>
      <c r="T1222" s="51" t="s">
        <v>6119</v>
      </c>
      <c r="U1222" s="15"/>
      <c r="V1222" s="15"/>
      <c r="W1222" s="15"/>
      <c r="X1222" s="15"/>
      <c r="Y1222" s="15"/>
      <c r="Z1222" s="15"/>
      <c r="AA1222" s="46"/>
      <c r="AB1222" s="15"/>
      <c r="AC1222" s="15"/>
      <c r="AD1222" s="15"/>
      <c r="AE1222" s="15"/>
      <c r="AF1222" s="15"/>
      <c r="AG1222" s="15"/>
      <c r="AH1222" s="15"/>
      <c r="AI1222" s="46"/>
      <c r="AJ1222" s="51" t="s">
        <v>67</v>
      </c>
      <c r="AK1222" s="51" t="s">
        <v>67</v>
      </c>
      <c r="AL1222" s="15"/>
      <c r="AM1222" s="51" t="s">
        <v>6705</v>
      </c>
      <c r="AN1222" s="51" t="s">
        <v>6120</v>
      </c>
      <c r="AO1222" s="50" t="s">
        <v>9554</v>
      </c>
    </row>
    <row r="1223" spans="1:41" hidden="1" x14ac:dyDescent="0.25">
      <c r="A1223" s="51" t="s">
        <v>6594</v>
      </c>
      <c r="B1223" s="51" t="s">
        <v>6595</v>
      </c>
      <c r="C1223" s="54" t="s">
        <v>608</v>
      </c>
      <c r="D1223" s="51" t="s">
        <v>6596</v>
      </c>
      <c r="E1223" s="20">
        <v>12902.15</v>
      </c>
      <c r="F1223" s="20">
        <v>1020.3</v>
      </c>
      <c r="G1223" s="20">
        <v>1074.5999999999999</v>
      </c>
      <c r="H1223" s="20">
        <v>947.72</v>
      </c>
      <c r="I1223" s="20">
        <v>1020.3</v>
      </c>
      <c r="J1223" s="51" t="s">
        <v>6726</v>
      </c>
      <c r="K1223" s="15">
        <v>0</v>
      </c>
      <c r="L1223" s="51" t="s">
        <v>2371</v>
      </c>
      <c r="M1223" s="51" t="s">
        <v>6597</v>
      </c>
      <c r="N1223" s="51" t="s">
        <v>1340</v>
      </c>
      <c r="O1223" s="51" t="s">
        <v>67</v>
      </c>
      <c r="P1223" s="51" t="s">
        <v>67</v>
      </c>
      <c r="Q1223" s="45">
        <v>46283.987181053242</v>
      </c>
      <c r="R1223" s="46">
        <v>46315</v>
      </c>
      <c r="S1223" s="46">
        <v>46310</v>
      </c>
      <c r="T1223" s="51" t="s">
        <v>6119</v>
      </c>
      <c r="U1223" s="15"/>
      <c r="V1223" s="15"/>
      <c r="W1223" s="15"/>
      <c r="X1223" s="15"/>
      <c r="Y1223" s="15"/>
      <c r="Z1223" s="15"/>
      <c r="AA1223" s="46"/>
      <c r="AB1223" s="15"/>
      <c r="AC1223" s="15"/>
      <c r="AD1223" s="15"/>
      <c r="AE1223" s="15"/>
      <c r="AF1223" s="15"/>
      <c r="AG1223" s="15"/>
      <c r="AH1223" s="15"/>
      <c r="AI1223" s="46"/>
      <c r="AJ1223" s="51" t="s">
        <v>67</v>
      </c>
      <c r="AK1223" s="51" t="s">
        <v>67</v>
      </c>
      <c r="AL1223" s="15"/>
      <c r="AM1223" s="51" t="s">
        <v>6705</v>
      </c>
      <c r="AN1223" s="51" t="s">
        <v>6712</v>
      </c>
      <c r="AO1223" s="50" t="s">
        <v>9554</v>
      </c>
    </row>
    <row r="1224" spans="1:41" hidden="1" x14ac:dyDescent="0.25">
      <c r="A1224" s="51" t="s">
        <v>6598</v>
      </c>
      <c r="B1224" s="51" t="s">
        <v>6599</v>
      </c>
      <c r="C1224" s="54" t="s">
        <v>607</v>
      </c>
      <c r="D1224" s="51" t="s">
        <v>6600</v>
      </c>
      <c r="E1224" s="20">
        <v>5408.31</v>
      </c>
      <c r="F1224" s="20">
        <v>982.21</v>
      </c>
      <c r="G1224" s="20">
        <v>8726.6</v>
      </c>
      <c r="H1224" s="20">
        <v>1054.3800000000001</v>
      </c>
      <c r="I1224" s="20">
        <v>837.33</v>
      </c>
      <c r="J1224" s="51" t="s">
        <v>6726</v>
      </c>
      <c r="K1224" s="15">
        <v>0</v>
      </c>
      <c r="L1224" s="51" t="s">
        <v>2371</v>
      </c>
      <c r="M1224" s="51" t="s">
        <v>6601</v>
      </c>
      <c r="N1224" s="51" t="s">
        <v>1340</v>
      </c>
      <c r="O1224" s="51" t="s">
        <v>6602</v>
      </c>
      <c r="P1224" s="51" t="s">
        <v>1340</v>
      </c>
      <c r="Q1224" s="45">
        <v>46283.987203726851</v>
      </c>
      <c r="R1224" s="46">
        <v>46310</v>
      </c>
      <c r="S1224" s="46">
        <v>46305</v>
      </c>
      <c r="T1224" s="51" t="s">
        <v>6119</v>
      </c>
      <c r="U1224" s="15"/>
      <c r="V1224" s="15"/>
      <c r="W1224" s="15"/>
      <c r="X1224" s="15"/>
      <c r="Y1224" s="15"/>
      <c r="Z1224" s="15"/>
      <c r="AA1224" s="46"/>
      <c r="AB1224" s="15"/>
      <c r="AC1224" s="15"/>
      <c r="AD1224" s="15"/>
      <c r="AE1224" s="15"/>
      <c r="AF1224" s="15"/>
      <c r="AG1224" s="15"/>
      <c r="AH1224" s="15"/>
      <c r="AI1224" s="46"/>
      <c r="AJ1224" s="51" t="s">
        <v>67</v>
      </c>
      <c r="AK1224" s="51" t="s">
        <v>67</v>
      </c>
      <c r="AL1224" s="15"/>
      <c r="AM1224" s="51" t="s">
        <v>6705</v>
      </c>
      <c r="AN1224" s="51" t="s">
        <v>6712</v>
      </c>
      <c r="AO1224" s="50" t="s">
        <v>9554</v>
      </c>
    </row>
    <row r="1225" spans="1:41" hidden="1" x14ac:dyDescent="0.25">
      <c r="A1225" s="51" t="s">
        <v>6603</v>
      </c>
      <c r="B1225" s="51" t="s">
        <v>6604</v>
      </c>
      <c r="C1225" s="54" t="s">
        <v>5596</v>
      </c>
      <c r="D1225" s="51" t="s">
        <v>6605</v>
      </c>
      <c r="E1225" s="20">
        <v>960.57</v>
      </c>
      <c r="F1225" s="20">
        <v>857.82</v>
      </c>
      <c r="G1225" s="20">
        <v>12001.84</v>
      </c>
      <c r="H1225" s="20">
        <v>1001.89</v>
      </c>
      <c r="I1225" s="20">
        <v>857.82</v>
      </c>
      <c r="J1225" s="51" t="s">
        <v>6726</v>
      </c>
      <c r="K1225" s="15">
        <v>0</v>
      </c>
      <c r="L1225" s="51" t="s">
        <v>2371</v>
      </c>
      <c r="M1225" s="51" t="s">
        <v>67</v>
      </c>
      <c r="N1225" s="51" t="s">
        <v>67</v>
      </c>
      <c r="O1225" s="51" t="s">
        <v>6606</v>
      </c>
      <c r="P1225" s="51" t="s">
        <v>1340</v>
      </c>
      <c r="Q1225" s="45">
        <v>46283.987218136572</v>
      </c>
      <c r="R1225" s="46">
        <v>46300</v>
      </c>
      <c r="S1225" s="46">
        <v>46295</v>
      </c>
      <c r="T1225" s="51" t="s">
        <v>6119</v>
      </c>
      <c r="U1225" s="15"/>
      <c r="V1225" s="15"/>
      <c r="W1225" s="15"/>
      <c r="X1225" s="15"/>
      <c r="Y1225" s="15"/>
      <c r="Z1225" s="15"/>
      <c r="AA1225" s="46"/>
      <c r="AB1225" s="15"/>
      <c r="AC1225" s="15"/>
      <c r="AD1225" s="15"/>
      <c r="AE1225" s="15"/>
      <c r="AF1225" s="15"/>
      <c r="AG1225" s="15"/>
      <c r="AH1225" s="15"/>
      <c r="AI1225" s="46"/>
      <c r="AJ1225" s="51" t="s">
        <v>67</v>
      </c>
      <c r="AK1225" s="51" t="s">
        <v>67</v>
      </c>
      <c r="AL1225" s="15"/>
      <c r="AM1225" s="51" t="s">
        <v>6705</v>
      </c>
      <c r="AN1225" s="51" t="s">
        <v>6712</v>
      </c>
      <c r="AO1225" s="50" t="s">
        <v>9554</v>
      </c>
    </row>
    <row r="1226" spans="1:41" hidden="1" x14ac:dyDescent="0.25">
      <c r="A1226" s="51" t="s">
        <v>6607</v>
      </c>
      <c r="B1226" s="51" t="s">
        <v>6608</v>
      </c>
      <c r="C1226" s="54" t="s">
        <v>2694</v>
      </c>
      <c r="D1226" s="51" t="s">
        <v>6609</v>
      </c>
      <c r="E1226" s="20">
        <v>6079.19</v>
      </c>
      <c r="F1226" s="20">
        <v>957.33</v>
      </c>
      <c r="G1226" s="20">
        <v>14396.45</v>
      </c>
      <c r="H1226" s="20">
        <v>1197.8399999999999</v>
      </c>
      <c r="I1226" s="20">
        <v>748.3</v>
      </c>
      <c r="J1226" s="51" t="s">
        <v>6726</v>
      </c>
      <c r="K1226" s="15">
        <v>0</v>
      </c>
      <c r="L1226" s="51" t="s">
        <v>2371</v>
      </c>
      <c r="M1226" s="51" t="s">
        <v>6610</v>
      </c>
      <c r="N1226" s="51" t="s">
        <v>1340</v>
      </c>
      <c r="O1226" s="51" t="s">
        <v>67</v>
      </c>
      <c r="P1226" s="51" t="s">
        <v>67</v>
      </c>
      <c r="Q1226" s="45">
        <v>46283.987229212966</v>
      </c>
      <c r="R1226" s="46">
        <v>46312</v>
      </c>
      <c r="S1226" s="46">
        <v>46307</v>
      </c>
      <c r="T1226" s="51" t="s">
        <v>6119</v>
      </c>
      <c r="U1226" s="15"/>
      <c r="V1226" s="15"/>
      <c r="W1226" s="15"/>
      <c r="X1226" s="15"/>
      <c r="Y1226" s="15"/>
      <c r="Z1226" s="15"/>
      <c r="AA1226" s="46"/>
      <c r="AB1226" s="15"/>
      <c r="AC1226" s="15"/>
      <c r="AD1226" s="15"/>
      <c r="AE1226" s="15"/>
      <c r="AF1226" s="15"/>
      <c r="AG1226" s="15"/>
      <c r="AH1226" s="15"/>
      <c r="AI1226" s="46"/>
      <c r="AJ1226" s="51" t="s">
        <v>67</v>
      </c>
      <c r="AK1226" s="51" t="s">
        <v>67</v>
      </c>
      <c r="AL1226" s="15"/>
      <c r="AM1226" s="51" t="s">
        <v>6705</v>
      </c>
      <c r="AN1226" s="51" t="s">
        <v>6712</v>
      </c>
      <c r="AO1226" s="50" t="s">
        <v>9554</v>
      </c>
    </row>
    <row r="1227" spans="1:41" hidden="1" x14ac:dyDescent="0.25">
      <c r="A1227" s="51" t="s">
        <v>6611</v>
      </c>
      <c r="B1227" s="51" t="s">
        <v>6612</v>
      </c>
      <c r="C1227" s="54" t="s">
        <v>5596</v>
      </c>
      <c r="D1227" s="51" t="s">
        <v>6613</v>
      </c>
      <c r="E1227" s="20">
        <v>13507.51</v>
      </c>
      <c r="F1227" s="20">
        <v>1059.8</v>
      </c>
      <c r="G1227" s="20">
        <v>19553.34</v>
      </c>
      <c r="H1227" s="20">
        <v>843</v>
      </c>
      <c r="I1227" s="20">
        <v>1059.8</v>
      </c>
      <c r="J1227" s="51" t="s">
        <v>6726</v>
      </c>
      <c r="K1227" s="15">
        <v>0</v>
      </c>
      <c r="L1227" s="51" t="s">
        <v>2371</v>
      </c>
      <c r="M1227" s="51" t="s">
        <v>67</v>
      </c>
      <c r="N1227" s="51" t="s">
        <v>67</v>
      </c>
      <c r="O1227" s="51" t="s">
        <v>6614</v>
      </c>
      <c r="P1227" s="51" t="s">
        <v>1340</v>
      </c>
      <c r="Q1227" s="45">
        <v>46283.987241539355</v>
      </c>
      <c r="R1227" s="46">
        <v>46300</v>
      </c>
      <c r="S1227" s="46">
        <v>46295</v>
      </c>
      <c r="T1227" s="51" t="s">
        <v>6119</v>
      </c>
      <c r="U1227" s="15"/>
      <c r="V1227" s="15"/>
      <c r="W1227" s="15"/>
      <c r="X1227" s="15"/>
      <c r="Y1227" s="15"/>
      <c r="Z1227" s="15"/>
      <c r="AA1227" s="46"/>
      <c r="AB1227" s="15"/>
      <c r="AC1227" s="15"/>
      <c r="AD1227" s="15"/>
      <c r="AE1227" s="15"/>
      <c r="AF1227" s="15"/>
      <c r="AG1227" s="15"/>
      <c r="AH1227" s="15"/>
      <c r="AI1227" s="46"/>
      <c r="AJ1227" s="51" t="s">
        <v>67</v>
      </c>
      <c r="AK1227" s="51" t="s">
        <v>67</v>
      </c>
      <c r="AL1227" s="15"/>
      <c r="AM1227" s="51" t="s">
        <v>6705</v>
      </c>
      <c r="AN1227" s="51" t="s">
        <v>6712</v>
      </c>
      <c r="AO1227" s="50" t="s">
        <v>9554</v>
      </c>
    </row>
    <row r="1228" spans="1:41" hidden="1" x14ac:dyDescent="0.25">
      <c r="A1228" s="51" t="s">
        <v>6615</v>
      </c>
      <c r="B1228" s="51" t="s">
        <v>6616</v>
      </c>
      <c r="C1228" s="54" t="s">
        <v>2345</v>
      </c>
      <c r="D1228" s="51" t="s">
        <v>6617</v>
      </c>
      <c r="E1228" s="20">
        <v>7936.13</v>
      </c>
      <c r="F1228" s="20">
        <v>1155.67</v>
      </c>
      <c r="G1228" s="20">
        <v>6128.93</v>
      </c>
      <c r="H1228" s="20">
        <v>1121.17</v>
      </c>
      <c r="I1228" s="20">
        <v>1155.67</v>
      </c>
      <c r="J1228" s="51" t="s">
        <v>6726</v>
      </c>
      <c r="K1228" s="15">
        <v>0</v>
      </c>
      <c r="L1228" s="51" t="s">
        <v>2371</v>
      </c>
      <c r="M1228" s="51" t="s">
        <v>6618</v>
      </c>
      <c r="N1228" s="51" t="s">
        <v>1340</v>
      </c>
      <c r="O1228" s="51" t="s">
        <v>6619</v>
      </c>
      <c r="P1228" s="51" t="s">
        <v>1340</v>
      </c>
      <c r="Q1228" s="45">
        <v>46283.987252141203</v>
      </c>
      <c r="R1228" s="46">
        <v>46306</v>
      </c>
      <c r="S1228" s="46">
        <v>46301</v>
      </c>
      <c r="T1228" s="51" t="s">
        <v>6119</v>
      </c>
      <c r="U1228" s="15"/>
      <c r="V1228" s="15"/>
      <c r="W1228" s="15"/>
      <c r="X1228" s="15"/>
      <c r="Y1228" s="15"/>
      <c r="Z1228" s="15"/>
      <c r="AA1228" s="46"/>
      <c r="AB1228" s="15"/>
      <c r="AC1228" s="15"/>
      <c r="AD1228" s="15"/>
      <c r="AE1228" s="15"/>
      <c r="AF1228" s="15"/>
      <c r="AG1228" s="15"/>
      <c r="AH1228" s="15"/>
      <c r="AI1228" s="46"/>
      <c r="AJ1228" s="51" t="s">
        <v>67</v>
      </c>
      <c r="AK1228" s="51" t="s">
        <v>67</v>
      </c>
      <c r="AL1228" s="15"/>
      <c r="AM1228" s="51" t="s">
        <v>6705</v>
      </c>
      <c r="AN1228" s="51" t="s">
        <v>6712</v>
      </c>
      <c r="AO1228" s="50" t="s">
        <v>9554</v>
      </c>
    </row>
    <row r="1229" spans="1:41" hidden="1" x14ac:dyDescent="0.25">
      <c r="A1229" s="51" t="s">
        <v>6620</v>
      </c>
      <c r="B1229" s="51" t="s">
        <v>6621</v>
      </c>
      <c r="C1229" s="54" t="s">
        <v>611</v>
      </c>
      <c r="D1229" s="51" t="s">
        <v>6622</v>
      </c>
      <c r="E1229" s="20">
        <v>6966.19</v>
      </c>
      <c r="F1229" s="20">
        <v>388.79</v>
      </c>
      <c r="G1229" s="20">
        <v>12141.34</v>
      </c>
      <c r="H1229" s="20">
        <v>1290.27</v>
      </c>
      <c r="I1229" s="20">
        <v>845.61</v>
      </c>
      <c r="J1229" s="51" t="s">
        <v>6726</v>
      </c>
      <c r="K1229" s="15">
        <v>0</v>
      </c>
      <c r="L1229" s="51" t="s">
        <v>2371</v>
      </c>
      <c r="M1229" s="51" t="s">
        <v>6623</v>
      </c>
      <c r="N1229" s="51" t="s">
        <v>1340</v>
      </c>
      <c r="O1229" s="51" t="s">
        <v>6624</v>
      </c>
      <c r="P1229" s="51" t="s">
        <v>1340</v>
      </c>
      <c r="Q1229" s="45">
        <v>46283.987258333334</v>
      </c>
      <c r="R1229" s="46">
        <v>46320</v>
      </c>
      <c r="S1229" s="46">
        <v>46315</v>
      </c>
      <c r="T1229" s="51" t="s">
        <v>6119</v>
      </c>
      <c r="U1229" s="15"/>
      <c r="V1229" s="15"/>
      <c r="W1229" s="15"/>
      <c r="X1229" s="15"/>
      <c r="Y1229" s="15"/>
      <c r="Z1229" s="15"/>
      <c r="AA1229" s="46"/>
      <c r="AB1229" s="15"/>
      <c r="AC1229" s="15"/>
      <c r="AD1229" s="15"/>
      <c r="AE1229" s="15"/>
      <c r="AF1229" s="15"/>
      <c r="AG1229" s="15"/>
      <c r="AH1229" s="15"/>
      <c r="AI1229" s="46"/>
      <c r="AJ1229" s="51" t="s">
        <v>67</v>
      </c>
      <c r="AK1229" s="51" t="s">
        <v>67</v>
      </c>
      <c r="AL1229" s="15"/>
      <c r="AM1229" s="51" t="s">
        <v>6705</v>
      </c>
      <c r="AN1229" s="51" t="s">
        <v>6712</v>
      </c>
      <c r="AO1229" s="50" t="s">
        <v>9554</v>
      </c>
    </row>
    <row r="1230" spans="1:41" hidden="1" x14ac:dyDescent="0.25">
      <c r="A1230" s="51" t="s">
        <v>6625</v>
      </c>
      <c r="B1230" s="51" t="s">
        <v>6626</v>
      </c>
      <c r="C1230" s="54" t="s">
        <v>5596</v>
      </c>
      <c r="D1230" s="51" t="s">
        <v>6627</v>
      </c>
      <c r="E1230" s="20">
        <v>15153.83</v>
      </c>
      <c r="F1230" s="20">
        <v>1115.9100000000001</v>
      </c>
      <c r="G1230" s="20">
        <v>1497.64</v>
      </c>
      <c r="H1230" s="20">
        <v>1169.04</v>
      </c>
      <c r="I1230" s="20">
        <v>1115.9100000000001</v>
      </c>
      <c r="J1230" s="51" t="s">
        <v>6726</v>
      </c>
      <c r="K1230" s="15">
        <v>0</v>
      </c>
      <c r="L1230" s="51" t="s">
        <v>2371</v>
      </c>
      <c r="M1230" s="51" t="s">
        <v>6628</v>
      </c>
      <c r="N1230" s="51" t="s">
        <v>1340</v>
      </c>
      <c r="O1230" s="51" t="s">
        <v>6629</v>
      </c>
      <c r="P1230" s="51" t="s">
        <v>1340</v>
      </c>
      <c r="Q1230" s="45">
        <v>46283.987266192133</v>
      </c>
      <c r="R1230" s="46">
        <v>46300</v>
      </c>
      <c r="S1230" s="46">
        <v>46295</v>
      </c>
      <c r="T1230" s="51" t="s">
        <v>6119</v>
      </c>
      <c r="U1230" s="15"/>
      <c r="V1230" s="15"/>
      <c r="W1230" s="15"/>
      <c r="X1230" s="15"/>
      <c r="Y1230" s="15"/>
      <c r="Z1230" s="15"/>
      <c r="AA1230" s="46"/>
      <c r="AB1230" s="15"/>
      <c r="AC1230" s="15"/>
      <c r="AD1230" s="15"/>
      <c r="AE1230" s="15"/>
      <c r="AF1230" s="15"/>
      <c r="AG1230" s="15"/>
      <c r="AH1230" s="15"/>
      <c r="AI1230" s="46"/>
      <c r="AJ1230" s="51" t="s">
        <v>67</v>
      </c>
      <c r="AK1230" s="51" t="s">
        <v>67</v>
      </c>
      <c r="AL1230" s="15"/>
      <c r="AM1230" s="51" t="s">
        <v>6705</v>
      </c>
      <c r="AN1230" s="51" t="s">
        <v>6712</v>
      </c>
      <c r="AO1230" s="50" t="s">
        <v>9554</v>
      </c>
    </row>
    <row r="1231" spans="1:41" hidden="1" x14ac:dyDescent="0.25">
      <c r="A1231" s="51" t="s">
        <v>6630</v>
      </c>
      <c r="B1231" s="51" t="s">
        <v>6631</v>
      </c>
      <c r="C1231" s="54" t="s">
        <v>611</v>
      </c>
      <c r="D1231" s="51" t="s">
        <v>6632</v>
      </c>
      <c r="E1231" s="20">
        <v>8830.8799999999992</v>
      </c>
      <c r="F1231" s="20">
        <v>86.81</v>
      </c>
      <c r="G1231" s="20">
        <v>14235.57</v>
      </c>
      <c r="H1231" s="20">
        <v>1658.7</v>
      </c>
      <c r="I1231" s="20">
        <v>878.88</v>
      </c>
      <c r="J1231" s="51" t="s">
        <v>6726</v>
      </c>
      <c r="K1231" s="15">
        <v>0</v>
      </c>
      <c r="L1231" s="51" t="s">
        <v>2371</v>
      </c>
      <c r="M1231" s="51" t="s">
        <v>6633</v>
      </c>
      <c r="N1231" s="51" t="s">
        <v>1340</v>
      </c>
      <c r="O1231" s="51" t="s">
        <v>67</v>
      </c>
      <c r="P1231" s="51" t="s">
        <v>67</v>
      </c>
      <c r="Q1231" s="45">
        <v>46283.987273993058</v>
      </c>
      <c r="R1231" s="46">
        <v>46320</v>
      </c>
      <c r="S1231" s="46">
        <v>46315</v>
      </c>
      <c r="T1231" s="51" t="s">
        <v>6119</v>
      </c>
      <c r="U1231" s="15"/>
      <c r="V1231" s="15"/>
      <c r="W1231" s="15"/>
      <c r="X1231" s="15"/>
      <c r="Y1231" s="15"/>
      <c r="Z1231" s="15"/>
      <c r="AA1231" s="46"/>
      <c r="AB1231" s="15"/>
      <c r="AC1231" s="15"/>
      <c r="AD1231" s="15"/>
      <c r="AE1231" s="15"/>
      <c r="AF1231" s="15"/>
      <c r="AG1231" s="15"/>
      <c r="AH1231" s="15"/>
      <c r="AI1231" s="46"/>
      <c r="AJ1231" s="51" t="s">
        <v>67</v>
      </c>
      <c r="AK1231" s="51" t="s">
        <v>67</v>
      </c>
      <c r="AL1231" s="15"/>
      <c r="AM1231" s="51" t="s">
        <v>6705</v>
      </c>
      <c r="AN1231" s="51" t="s">
        <v>6712</v>
      </c>
      <c r="AO1231" s="50" t="s">
        <v>9554</v>
      </c>
    </row>
    <row r="1232" spans="1:41" hidden="1" x14ac:dyDescent="0.25">
      <c r="A1232" s="51" t="s">
        <v>6634</v>
      </c>
      <c r="B1232" s="51" t="s">
        <v>6635</v>
      </c>
      <c r="C1232" s="54" t="s">
        <v>605</v>
      </c>
      <c r="D1232" s="51" t="s">
        <v>6636</v>
      </c>
      <c r="E1232" s="20">
        <v>12910.63</v>
      </c>
      <c r="F1232" s="20">
        <v>867.4</v>
      </c>
      <c r="G1232" s="20">
        <v>12674.5</v>
      </c>
      <c r="H1232" s="20">
        <v>1112.44</v>
      </c>
      <c r="I1232" s="20">
        <v>867.4</v>
      </c>
      <c r="J1232" s="51" t="s">
        <v>6726</v>
      </c>
      <c r="K1232" s="15">
        <v>0</v>
      </c>
      <c r="L1232" s="51" t="s">
        <v>2371</v>
      </c>
      <c r="M1232" s="51" t="s">
        <v>6637</v>
      </c>
      <c r="N1232" s="51" t="s">
        <v>1340</v>
      </c>
      <c r="O1232" s="51" t="s">
        <v>67</v>
      </c>
      <c r="P1232" s="51" t="s">
        <v>67</v>
      </c>
      <c r="Q1232" s="45">
        <v>46283.987281180554</v>
      </c>
      <c r="R1232" s="46">
        <v>46305</v>
      </c>
      <c r="S1232" s="46">
        <v>46300</v>
      </c>
      <c r="T1232" s="51" t="s">
        <v>6119</v>
      </c>
      <c r="U1232" s="15"/>
      <c r="V1232" s="15"/>
      <c r="W1232" s="15"/>
      <c r="X1232" s="15"/>
      <c r="Y1232" s="15"/>
      <c r="Z1232" s="15"/>
      <c r="AA1232" s="46"/>
      <c r="AB1232" s="15"/>
      <c r="AC1232" s="15"/>
      <c r="AD1232" s="15"/>
      <c r="AE1232" s="15"/>
      <c r="AF1232" s="15"/>
      <c r="AG1232" s="15"/>
      <c r="AH1232" s="15"/>
      <c r="AI1232" s="46"/>
      <c r="AJ1232" s="51" t="s">
        <v>67</v>
      </c>
      <c r="AK1232" s="51" t="s">
        <v>67</v>
      </c>
      <c r="AL1232" s="15"/>
      <c r="AM1232" s="51" t="s">
        <v>6705</v>
      </c>
      <c r="AN1232" s="51" t="s">
        <v>6712</v>
      </c>
      <c r="AO1232" s="50" t="s">
        <v>9554</v>
      </c>
    </row>
    <row r="1233" spans="1:41" hidden="1" x14ac:dyDescent="0.25">
      <c r="A1233" s="51" t="s">
        <v>6638</v>
      </c>
      <c r="B1233" s="51" t="s">
        <v>6639</v>
      </c>
      <c r="C1233" s="54" t="s">
        <v>5603</v>
      </c>
      <c r="D1233" s="51" t="s">
        <v>6640</v>
      </c>
      <c r="E1233" s="20">
        <v>11974.16</v>
      </c>
      <c r="F1233" s="20">
        <v>977.86</v>
      </c>
      <c r="G1233" s="20">
        <v>13406.29</v>
      </c>
      <c r="H1233" s="20">
        <v>744.98</v>
      </c>
      <c r="I1233" s="20">
        <v>977.86</v>
      </c>
      <c r="J1233" s="51" t="s">
        <v>6726</v>
      </c>
      <c r="K1233" s="15">
        <v>0</v>
      </c>
      <c r="L1233" s="51" t="s">
        <v>2371</v>
      </c>
      <c r="M1233" s="51" t="s">
        <v>67</v>
      </c>
      <c r="N1233" s="51" t="s">
        <v>67</v>
      </c>
      <c r="O1233" s="51" t="s">
        <v>6641</v>
      </c>
      <c r="P1233" s="51" t="s">
        <v>1344</v>
      </c>
      <c r="Q1233" s="45">
        <v>46283.987288611112</v>
      </c>
      <c r="R1233" s="46">
        <v>46298</v>
      </c>
      <c r="S1233" s="46">
        <v>46293</v>
      </c>
      <c r="T1233" s="51" t="s">
        <v>6119</v>
      </c>
      <c r="U1233" s="15"/>
      <c r="V1233" s="15"/>
      <c r="W1233" s="15"/>
      <c r="X1233" s="15"/>
      <c r="Y1233" s="15"/>
      <c r="Z1233" s="15"/>
      <c r="AA1233" s="46"/>
      <c r="AB1233" s="15"/>
      <c r="AC1233" s="15"/>
      <c r="AD1233" s="15"/>
      <c r="AE1233" s="15"/>
      <c r="AF1233" s="15"/>
      <c r="AG1233" s="15"/>
      <c r="AH1233" s="15"/>
      <c r="AI1233" s="46"/>
      <c r="AJ1233" s="51" t="s">
        <v>67</v>
      </c>
      <c r="AK1233" s="51" t="s">
        <v>67</v>
      </c>
      <c r="AL1233" s="15"/>
      <c r="AM1233" s="51" t="s">
        <v>6705</v>
      </c>
      <c r="AN1233" s="51" t="s">
        <v>6712</v>
      </c>
      <c r="AO1233" s="50" t="s">
        <v>9554</v>
      </c>
    </row>
    <row r="1234" spans="1:41" hidden="1" x14ac:dyDescent="0.25">
      <c r="A1234" s="51" t="s">
        <v>6642</v>
      </c>
      <c r="B1234" s="51" t="s">
        <v>6643</v>
      </c>
      <c r="C1234" s="54" t="s">
        <v>5608</v>
      </c>
      <c r="D1234" s="51" t="s">
        <v>6644</v>
      </c>
      <c r="E1234" s="20">
        <v>2901.44</v>
      </c>
      <c r="F1234" s="20">
        <v>282.02</v>
      </c>
      <c r="G1234" s="20">
        <v>20846.72</v>
      </c>
      <c r="H1234" s="20">
        <v>1888.16</v>
      </c>
      <c r="I1234" s="20">
        <v>1093.71</v>
      </c>
      <c r="J1234" s="51" t="s">
        <v>6726</v>
      </c>
      <c r="K1234" s="15">
        <v>0</v>
      </c>
      <c r="L1234" s="51" t="s">
        <v>2371</v>
      </c>
      <c r="M1234" s="51" t="s">
        <v>6645</v>
      </c>
      <c r="N1234" s="51" t="s">
        <v>1344</v>
      </c>
      <c r="O1234" s="51" t="s">
        <v>6646</v>
      </c>
      <c r="P1234" s="51" t="s">
        <v>1344</v>
      </c>
      <c r="Q1234" s="45">
        <v>46283.987293819446</v>
      </c>
      <c r="R1234" s="46">
        <v>46319</v>
      </c>
      <c r="S1234" s="46">
        <v>46314</v>
      </c>
      <c r="T1234" s="51" t="s">
        <v>6119</v>
      </c>
      <c r="U1234" s="15"/>
      <c r="V1234" s="15"/>
      <c r="W1234" s="15"/>
      <c r="X1234" s="15"/>
      <c r="Y1234" s="15"/>
      <c r="Z1234" s="15"/>
      <c r="AA1234" s="46"/>
      <c r="AB1234" s="15"/>
      <c r="AC1234" s="15"/>
      <c r="AD1234" s="15"/>
      <c r="AE1234" s="15"/>
      <c r="AF1234" s="15"/>
      <c r="AG1234" s="15"/>
      <c r="AH1234" s="15"/>
      <c r="AI1234" s="46"/>
      <c r="AJ1234" s="51" t="s">
        <v>67</v>
      </c>
      <c r="AK1234" s="51" t="s">
        <v>67</v>
      </c>
      <c r="AL1234" s="15"/>
      <c r="AM1234" s="51" t="s">
        <v>6705</v>
      </c>
      <c r="AN1234" s="51" t="s">
        <v>6720</v>
      </c>
      <c r="AO1234" s="50" t="s">
        <v>9554</v>
      </c>
    </row>
    <row r="1235" spans="1:41" hidden="1" x14ac:dyDescent="0.25">
      <c r="A1235" s="51" t="s">
        <v>6647</v>
      </c>
      <c r="B1235" s="51" t="s">
        <v>6648</v>
      </c>
      <c r="C1235" s="54" t="s">
        <v>5605</v>
      </c>
      <c r="D1235" s="51" t="s">
        <v>6649</v>
      </c>
      <c r="E1235" s="20">
        <v>10165.629999999999</v>
      </c>
      <c r="F1235" s="20">
        <v>241.33</v>
      </c>
      <c r="G1235" s="20">
        <v>6497.87</v>
      </c>
      <c r="H1235" s="20">
        <v>1501.07</v>
      </c>
      <c r="I1235" s="20">
        <v>877.65</v>
      </c>
      <c r="J1235" s="51" t="s">
        <v>6726</v>
      </c>
      <c r="K1235" s="15">
        <v>0</v>
      </c>
      <c r="L1235" s="51" t="s">
        <v>2371</v>
      </c>
      <c r="M1235" s="51" t="s">
        <v>67</v>
      </c>
      <c r="N1235" s="51" t="s">
        <v>67</v>
      </c>
      <c r="O1235" s="51" t="s">
        <v>6650</v>
      </c>
      <c r="P1235" s="51" t="s">
        <v>1340</v>
      </c>
      <c r="Q1235" s="45">
        <v>46283.987299340275</v>
      </c>
      <c r="R1235" s="46">
        <v>46323</v>
      </c>
      <c r="S1235" s="46">
        <v>46318</v>
      </c>
      <c r="T1235" s="51" t="s">
        <v>6119</v>
      </c>
      <c r="U1235" s="15"/>
      <c r="V1235" s="15"/>
      <c r="W1235" s="15"/>
      <c r="X1235" s="15"/>
      <c r="Y1235" s="15"/>
      <c r="Z1235" s="15"/>
      <c r="AA1235" s="46"/>
      <c r="AB1235" s="15"/>
      <c r="AC1235" s="15"/>
      <c r="AD1235" s="15"/>
      <c r="AE1235" s="15"/>
      <c r="AF1235" s="15"/>
      <c r="AG1235" s="15"/>
      <c r="AH1235" s="15"/>
      <c r="AI1235" s="46"/>
      <c r="AJ1235" s="51" t="s">
        <v>67</v>
      </c>
      <c r="AK1235" s="51" t="s">
        <v>67</v>
      </c>
      <c r="AL1235" s="15"/>
      <c r="AM1235" s="51" t="s">
        <v>6705</v>
      </c>
      <c r="AN1235" s="51" t="s">
        <v>6712</v>
      </c>
      <c r="AO1235" s="50" t="s">
        <v>9554</v>
      </c>
    </row>
    <row r="1236" spans="1:41" hidden="1" x14ac:dyDescent="0.25">
      <c r="A1236" s="51" t="s">
        <v>6651</v>
      </c>
      <c r="B1236" s="51" t="s">
        <v>6652</v>
      </c>
      <c r="C1236" s="54" t="s">
        <v>5598</v>
      </c>
      <c r="D1236" s="51" t="s">
        <v>6653</v>
      </c>
      <c r="E1236" s="20">
        <v>1389.22</v>
      </c>
      <c r="F1236" s="20">
        <v>200.67</v>
      </c>
      <c r="G1236" s="20">
        <v>1884.75</v>
      </c>
      <c r="H1236" s="20">
        <v>1754.28</v>
      </c>
      <c r="I1236" s="20">
        <v>984.42</v>
      </c>
      <c r="J1236" s="51" t="s">
        <v>6726</v>
      </c>
      <c r="K1236" s="15">
        <v>0</v>
      </c>
      <c r="L1236" s="51" t="s">
        <v>2371</v>
      </c>
      <c r="M1236" s="51" t="s">
        <v>6654</v>
      </c>
      <c r="N1236" s="51" t="s">
        <v>1340</v>
      </c>
      <c r="O1236" s="51" t="s">
        <v>6655</v>
      </c>
      <c r="P1236" s="51" t="s">
        <v>1340</v>
      </c>
      <c r="Q1236" s="45">
        <v>46283.987304259259</v>
      </c>
      <c r="R1236" s="46">
        <v>46318</v>
      </c>
      <c r="S1236" s="46">
        <v>46313</v>
      </c>
      <c r="T1236" s="51" t="s">
        <v>6119</v>
      </c>
      <c r="U1236" s="15"/>
      <c r="V1236" s="15"/>
      <c r="W1236" s="15"/>
      <c r="X1236" s="15"/>
      <c r="Y1236" s="15"/>
      <c r="Z1236" s="15"/>
      <c r="AA1236" s="46"/>
      <c r="AB1236" s="15"/>
      <c r="AC1236" s="15"/>
      <c r="AD1236" s="15"/>
      <c r="AE1236" s="15"/>
      <c r="AF1236" s="15"/>
      <c r="AG1236" s="15"/>
      <c r="AH1236" s="15"/>
      <c r="AI1236" s="46"/>
      <c r="AJ1236" s="51" t="s">
        <v>67</v>
      </c>
      <c r="AK1236" s="51" t="s">
        <v>67</v>
      </c>
      <c r="AL1236" s="15"/>
      <c r="AM1236" s="51" t="s">
        <v>6705</v>
      </c>
      <c r="AN1236" s="51" t="s">
        <v>6712</v>
      </c>
      <c r="AO1236" s="50" t="s">
        <v>9554</v>
      </c>
    </row>
    <row r="1237" spans="1:41" hidden="1" x14ac:dyDescent="0.25">
      <c r="A1237" s="51" t="s">
        <v>6656</v>
      </c>
      <c r="B1237" s="51" t="s">
        <v>6657</v>
      </c>
      <c r="C1237" s="54" t="s">
        <v>5603</v>
      </c>
      <c r="D1237" s="51" t="s">
        <v>6658</v>
      </c>
      <c r="E1237" s="20">
        <v>12756.55</v>
      </c>
      <c r="F1237" s="20">
        <v>1033.31</v>
      </c>
      <c r="G1237" s="20">
        <v>12766.39</v>
      </c>
      <c r="H1237" s="20">
        <v>1930.59</v>
      </c>
      <c r="I1237" s="20">
        <v>1600.26</v>
      </c>
      <c r="J1237" s="51" t="s">
        <v>6726</v>
      </c>
      <c r="K1237" s="15">
        <v>0</v>
      </c>
      <c r="L1237" s="51" t="s">
        <v>2371</v>
      </c>
      <c r="M1237" s="51" t="s">
        <v>6659</v>
      </c>
      <c r="N1237" s="51" t="s">
        <v>1340</v>
      </c>
      <c r="O1237" s="51" t="s">
        <v>6660</v>
      </c>
      <c r="P1237" s="51" t="s">
        <v>1340</v>
      </c>
      <c r="Q1237" s="45">
        <v>46284.006570995371</v>
      </c>
      <c r="R1237" s="46">
        <v>46298</v>
      </c>
      <c r="S1237" s="46">
        <v>46293</v>
      </c>
      <c r="T1237" s="51" t="s">
        <v>6119</v>
      </c>
      <c r="U1237" s="15"/>
      <c r="V1237" s="15"/>
      <c r="W1237" s="15"/>
      <c r="X1237" s="15"/>
      <c r="Y1237" s="15"/>
      <c r="Z1237" s="15"/>
      <c r="AA1237" s="46"/>
      <c r="AB1237" s="15"/>
      <c r="AC1237" s="15"/>
      <c r="AD1237" s="15"/>
      <c r="AE1237" s="15"/>
      <c r="AF1237" s="15"/>
      <c r="AG1237" s="15"/>
      <c r="AH1237" s="15"/>
      <c r="AI1237" s="46"/>
      <c r="AJ1237" s="51" t="s">
        <v>67</v>
      </c>
      <c r="AK1237" s="51" t="s">
        <v>67</v>
      </c>
      <c r="AL1237" s="15"/>
      <c r="AM1237" s="51" t="s">
        <v>6705</v>
      </c>
      <c r="AN1237" s="51" t="s">
        <v>6721</v>
      </c>
      <c r="AO1237" s="50" t="s">
        <v>9554</v>
      </c>
    </row>
    <row r="1238" spans="1:41" hidden="1" x14ac:dyDescent="0.25">
      <c r="A1238" s="51" t="s">
        <v>6661</v>
      </c>
      <c r="B1238" s="51" t="s">
        <v>6662</v>
      </c>
      <c r="C1238" s="54" t="s">
        <v>2356</v>
      </c>
      <c r="D1238" s="51" t="s">
        <v>6663</v>
      </c>
      <c r="E1238" s="20">
        <v>14285.04</v>
      </c>
      <c r="F1238" s="20">
        <v>676.48</v>
      </c>
      <c r="G1238" s="20">
        <v>9543.4</v>
      </c>
      <c r="H1238" s="20">
        <v>645.14</v>
      </c>
      <c r="I1238" s="20">
        <v>676.48</v>
      </c>
      <c r="J1238" s="51" t="s">
        <v>6725</v>
      </c>
      <c r="K1238" s="15">
        <v>0</v>
      </c>
      <c r="L1238" s="51" t="s">
        <v>2371</v>
      </c>
      <c r="M1238" s="51" t="s">
        <v>6664</v>
      </c>
      <c r="N1238" s="51" t="s">
        <v>1344</v>
      </c>
      <c r="O1238" s="51" t="s">
        <v>6665</v>
      </c>
      <c r="P1238" s="51" t="s">
        <v>1344</v>
      </c>
      <c r="Q1238" s="45">
        <v>46284.026040532408</v>
      </c>
      <c r="R1238" s="46">
        <v>46307</v>
      </c>
      <c r="S1238" s="46">
        <v>46302</v>
      </c>
      <c r="T1238" s="51" t="s">
        <v>6119</v>
      </c>
      <c r="U1238" s="15"/>
      <c r="V1238" s="15"/>
      <c r="W1238" s="15"/>
      <c r="X1238" s="15"/>
      <c r="Y1238" s="15"/>
      <c r="Z1238" s="15"/>
      <c r="AA1238" s="46"/>
      <c r="AB1238" s="15"/>
      <c r="AC1238" s="15"/>
      <c r="AD1238" s="15"/>
      <c r="AE1238" s="15"/>
      <c r="AF1238" s="15"/>
      <c r="AG1238" s="15"/>
      <c r="AH1238" s="15"/>
      <c r="AI1238" s="46"/>
      <c r="AJ1238" s="51" t="s">
        <v>67</v>
      </c>
      <c r="AK1238" s="51" t="s">
        <v>67</v>
      </c>
      <c r="AL1238" s="15"/>
      <c r="AM1238" s="51" t="s">
        <v>6705</v>
      </c>
      <c r="AN1238" s="51" t="s">
        <v>6721</v>
      </c>
      <c r="AO1238" s="50" t="s">
        <v>9554</v>
      </c>
    </row>
    <row r="1239" spans="1:41" hidden="1" x14ac:dyDescent="0.25">
      <c r="A1239" s="51" t="s">
        <v>6666</v>
      </c>
      <c r="B1239" s="51" t="s">
        <v>6667</v>
      </c>
      <c r="C1239" s="54" t="s">
        <v>2345</v>
      </c>
      <c r="D1239" s="51" t="s">
        <v>6668</v>
      </c>
      <c r="E1239" s="20">
        <v>12575.63</v>
      </c>
      <c r="F1239" s="20">
        <v>68.44</v>
      </c>
      <c r="G1239" s="20">
        <v>17922.23</v>
      </c>
      <c r="H1239" s="20">
        <v>2122.5500000000002</v>
      </c>
      <c r="I1239" s="20">
        <v>1100.0999999999999</v>
      </c>
      <c r="J1239" s="51" t="s">
        <v>6726</v>
      </c>
      <c r="K1239" s="15">
        <v>0</v>
      </c>
      <c r="L1239" s="51" t="s">
        <v>2371</v>
      </c>
      <c r="M1239" s="51" t="s">
        <v>6669</v>
      </c>
      <c r="N1239" s="51" t="s">
        <v>1340</v>
      </c>
      <c r="O1239" s="51" t="s">
        <v>6670</v>
      </c>
      <c r="P1239" s="51" t="s">
        <v>1340</v>
      </c>
      <c r="Q1239" s="45">
        <v>46284.026107094905</v>
      </c>
      <c r="R1239" s="46">
        <v>46306</v>
      </c>
      <c r="S1239" s="46">
        <v>46301</v>
      </c>
      <c r="T1239" s="51" t="s">
        <v>6119</v>
      </c>
      <c r="U1239" s="15"/>
      <c r="V1239" s="15"/>
      <c r="W1239" s="15"/>
      <c r="X1239" s="15"/>
      <c r="Y1239" s="15"/>
      <c r="Z1239" s="15"/>
      <c r="AA1239" s="46"/>
      <c r="AB1239" s="15"/>
      <c r="AC1239" s="15"/>
      <c r="AD1239" s="15"/>
      <c r="AE1239" s="15"/>
      <c r="AF1239" s="15"/>
      <c r="AG1239" s="15"/>
      <c r="AH1239" s="15"/>
      <c r="AI1239" s="46"/>
      <c r="AJ1239" s="51" t="s">
        <v>67</v>
      </c>
      <c r="AK1239" s="51" t="s">
        <v>67</v>
      </c>
      <c r="AL1239" s="15"/>
      <c r="AM1239" s="51" t="s">
        <v>6705</v>
      </c>
      <c r="AN1239" s="51" t="s">
        <v>6722</v>
      </c>
      <c r="AO1239" s="50" t="s">
        <v>9554</v>
      </c>
    </row>
    <row r="1240" spans="1:41" hidden="1" x14ac:dyDescent="0.25">
      <c r="A1240" s="51" t="s">
        <v>6671</v>
      </c>
      <c r="B1240" s="51" t="s">
        <v>6672</v>
      </c>
      <c r="C1240" s="54" t="s">
        <v>5603</v>
      </c>
      <c r="D1240" s="51" t="s">
        <v>6673</v>
      </c>
      <c r="E1240" s="20">
        <v>11819.43</v>
      </c>
      <c r="F1240" s="20">
        <v>17.95</v>
      </c>
      <c r="G1240" s="20">
        <v>18653.82</v>
      </c>
      <c r="H1240" s="20">
        <v>3042.46</v>
      </c>
      <c r="I1240" s="20">
        <v>1404.36</v>
      </c>
      <c r="J1240" s="51" t="s">
        <v>6726</v>
      </c>
      <c r="K1240" s="15">
        <v>0</v>
      </c>
      <c r="L1240" s="51" t="s">
        <v>2371</v>
      </c>
      <c r="M1240" s="51" t="s">
        <v>6674</v>
      </c>
      <c r="N1240" s="51" t="s">
        <v>1340</v>
      </c>
      <c r="O1240" s="51" t="s">
        <v>6675</v>
      </c>
      <c r="P1240" s="51" t="s">
        <v>1340</v>
      </c>
      <c r="Q1240" s="45">
        <v>46284.026192395831</v>
      </c>
      <c r="R1240" s="46">
        <v>46298</v>
      </c>
      <c r="S1240" s="46">
        <v>46293</v>
      </c>
      <c r="T1240" s="51" t="s">
        <v>6119</v>
      </c>
      <c r="U1240" s="15"/>
      <c r="V1240" s="15"/>
      <c r="W1240" s="15"/>
      <c r="X1240" s="15"/>
      <c r="Y1240" s="15"/>
      <c r="Z1240" s="15"/>
      <c r="AA1240" s="46"/>
      <c r="AB1240" s="15"/>
      <c r="AC1240" s="15"/>
      <c r="AD1240" s="15"/>
      <c r="AE1240" s="15"/>
      <c r="AF1240" s="15"/>
      <c r="AG1240" s="15"/>
      <c r="AH1240" s="15"/>
      <c r="AI1240" s="46"/>
      <c r="AJ1240" s="51" t="s">
        <v>67</v>
      </c>
      <c r="AK1240" s="51" t="s">
        <v>67</v>
      </c>
      <c r="AL1240" s="15"/>
      <c r="AM1240" s="51" t="s">
        <v>6705</v>
      </c>
      <c r="AN1240" s="51" t="s">
        <v>6718</v>
      </c>
      <c r="AO1240" s="50" t="s">
        <v>9554</v>
      </c>
    </row>
    <row r="1241" spans="1:41" hidden="1" x14ac:dyDescent="0.25">
      <c r="A1241" s="51" t="s">
        <v>6676</v>
      </c>
      <c r="B1241" s="51" t="s">
        <v>6677</v>
      </c>
      <c r="C1241" s="54" t="s">
        <v>2541</v>
      </c>
      <c r="D1241" s="51" t="s">
        <v>6678</v>
      </c>
      <c r="E1241" s="20">
        <v>13576.62</v>
      </c>
      <c r="F1241" s="20">
        <v>187.79</v>
      </c>
      <c r="G1241" s="20">
        <v>16725.169999999998</v>
      </c>
      <c r="H1241" s="20">
        <v>2992.01</v>
      </c>
      <c r="I1241" s="20">
        <v>1177.27</v>
      </c>
      <c r="J1241" s="51" t="s">
        <v>6726</v>
      </c>
      <c r="K1241" s="15">
        <v>0</v>
      </c>
      <c r="L1241" s="51" t="s">
        <v>2371</v>
      </c>
      <c r="M1241" s="51" t="s">
        <v>67</v>
      </c>
      <c r="N1241" s="51" t="s">
        <v>67</v>
      </c>
      <c r="O1241" s="51" t="s">
        <v>6679</v>
      </c>
      <c r="P1241" s="51" t="s">
        <v>1340</v>
      </c>
      <c r="Q1241" s="45">
        <v>46284.026310439818</v>
      </c>
      <c r="R1241" s="46">
        <v>46311</v>
      </c>
      <c r="S1241" s="46">
        <v>46306</v>
      </c>
      <c r="T1241" s="51" t="s">
        <v>6119</v>
      </c>
      <c r="U1241" s="15"/>
      <c r="V1241" s="15"/>
      <c r="W1241" s="15"/>
      <c r="X1241" s="15"/>
      <c r="Y1241" s="15"/>
      <c r="Z1241" s="15"/>
      <c r="AA1241" s="46"/>
      <c r="AB1241" s="15"/>
      <c r="AC1241" s="15"/>
      <c r="AD1241" s="15"/>
      <c r="AE1241" s="15"/>
      <c r="AF1241" s="15"/>
      <c r="AG1241" s="15"/>
      <c r="AH1241" s="15"/>
      <c r="AI1241" s="46"/>
      <c r="AJ1241" s="51" t="s">
        <v>67</v>
      </c>
      <c r="AK1241" s="51" t="s">
        <v>67</v>
      </c>
      <c r="AL1241" s="15"/>
      <c r="AM1241" s="51" t="s">
        <v>6705</v>
      </c>
      <c r="AN1241" s="51" t="s">
        <v>6718</v>
      </c>
      <c r="AO1241" s="50" t="s">
        <v>9554</v>
      </c>
    </row>
    <row r="1242" spans="1:41" hidden="1" x14ac:dyDescent="0.25">
      <c r="A1242" s="51" t="s">
        <v>6680</v>
      </c>
      <c r="B1242" s="51" t="s">
        <v>6681</v>
      </c>
      <c r="C1242" s="54" t="s">
        <v>608</v>
      </c>
      <c r="D1242" s="51" t="s">
        <v>6682</v>
      </c>
      <c r="E1242" s="20">
        <v>8198.4</v>
      </c>
      <c r="F1242" s="20">
        <v>589.6</v>
      </c>
      <c r="G1242" s="20">
        <v>3774.7</v>
      </c>
      <c r="H1242" s="20">
        <v>709.06</v>
      </c>
      <c r="I1242" s="20">
        <v>589.6</v>
      </c>
      <c r="J1242" s="51" t="s">
        <v>6724</v>
      </c>
      <c r="K1242" s="15">
        <v>0</v>
      </c>
      <c r="L1242" s="51" t="s">
        <v>2371</v>
      </c>
      <c r="M1242" s="51" t="s">
        <v>6683</v>
      </c>
      <c r="N1242" s="51" t="s">
        <v>1340</v>
      </c>
      <c r="O1242" s="51" t="s">
        <v>6684</v>
      </c>
      <c r="P1242" s="51" t="s">
        <v>1340</v>
      </c>
      <c r="Q1242" s="45">
        <v>46284.693757349538</v>
      </c>
      <c r="R1242" s="46">
        <v>46315</v>
      </c>
      <c r="S1242" s="46">
        <v>46310</v>
      </c>
      <c r="T1242" s="51" t="s">
        <v>6119</v>
      </c>
      <c r="U1242" s="15"/>
      <c r="V1242" s="15"/>
      <c r="W1242" s="15"/>
      <c r="X1242" s="15"/>
      <c r="Y1242" s="15"/>
      <c r="Z1242" s="15"/>
      <c r="AA1242" s="46"/>
      <c r="AB1242" s="15"/>
      <c r="AC1242" s="15"/>
      <c r="AD1242" s="15"/>
      <c r="AE1242" s="15"/>
      <c r="AF1242" s="15"/>
      <c r="AG1242" s="15"/>
      <c r="AH1242" s="15"/>
      <c r="AI1242" s="46"/>
      <c r="AJ1242" s="51" t="s">
        <v>67</v>
      </c>
      <c r="AK1242" s="51" t="s">
        <v>67</v>
      </c>
      <c r="AL1242" s="15"/>
      <c r="AM1242" s="51" t="s">
        <v>67</v>
      </c>
      <c r="AN1242" s="51" t="s">
        <v>67</v>
      </c>
      <c r="AO1242" s="50" t="s">
        <v>9554</v>
      </c>
    </row>
    <row r="1243" spans="1:41" hidden="1" x14ac:dyDescent="0.25">
      <c r="A1243" s="51" t="s">
        <v>6685</v>
      </c>
      <c r="B1243" s="51" t="s">
        <v>6686</v>
      </c>
      <c r="C1243" s="54" t="s">
        <v>2345</v>
      </c>
      <c r="D1243" s="51" t="s">
        <v>6687</v>
      </c>
      <c r="E1243" s="20">
        <v>13117.94</v>
      </c>
      <c r="F1243" s="20">
        <v>0</v>
      </c>
      <c r="G1243" s="20">
        <v>16911.27</v>
      </c>
      <c r="H1243" s="20">
        <v>1354.85</v>
      </c>
      <c r="I1243" s="20">
        <v>639.88</v>
      </c>
      <c r="J1243" s="51" t="s">
        <v>6726</v>
      </c>
      <c r="K1243" s="15">
        <v>0</v>
      </c>
      <c r="L1243" s="51" t="s">
        <v>2371</v>
      </c>
      <c r="M1243" s="51" t="s">
        <v>67</v>
      </c>
      <c r="N1243" s="51" t="s">
        <v>67</v>
      </c>
      <c r="O1243" s="51" t="s">
        <v>6688</v>
      </c>
      <c r="P1243" s="51" t="s">
        <v>1344</v>
      </c>
      <c r="Q1243" s="45">
        <v>46284.693850312498</v>
      </c>
      <c r="R1243" s="46">
        <v>46306</v>
      </c>
      <c r="S1243" s="46">
        <v>46301</v>
      </c>
      <c r="T1243" s="51" t="s">
        <v>6119</v>
      </c>
      <c r="U1243" s="15"/>
      <c r="V1243" s="15"/>
      <c r="W1243" s="15"/>
      <c r="X1243" s="15"/>
      <c r="Y1243" s="15"/>
      <c r="Z1243" s="15"/>
      <c r="AA1243" s="46"/>
      <c r="AB1243" s="15"/>
      <c r="AC1243" s="15"/>
      <c r="AD1243" s="15"/>
      <c r="AE1243" s="15"/>
      <c r="AF1243" s="15"/>
      <c r="AG1243" s="15"/>
      <c r="AH1243" s="15"/>
      <c r="AI1243" s="46"/>
      <c r="AJ1243" s="51" t="s">
        <v>67</v>
      </c>
      <c r="AK1243" s="51" t="s">
        <v>67</v>
      </c>
      <c r="AL1243" s="15"/>
      <c r="AM1243" s="51" t="s">
        <v>6705</v>
      </c>
      <c r="AN1243" s="51" t="s">
        <v>6712</v>
      </c>
      <c r="AO1243" s="50" t="s">
        <v>9554</v>
      </c>
    </row>
    <row r="1244" spans="1:41" hidden="1" x14ac:dyDescent="0.25">
      <c r="A1244" s="51" t="s">
        <v>6689</v>
      </c>
      <c r="B1244" s="51" t="s">
        <v>6690</v>
      </c>
      <c r="C1244" s="54" t="s">
        <v>5608</v>
      </c>
      <c r="D1244" s="51" t="s">
        <v>6691</v>
      </c>
      <c r="E1244" s="20">
        <v>3464.62</v>
      </c>
      <c r="F1244" s="20">
        <v>323.17</v>
      </c>
      <c r="G1244" s="20">
        <v>14018.13</v>
      </c>
      <c r="H1244" s="20">
        <v>250</v>
      </c>
      <c r="I1244" s="20">
        <v>323.17</v>
      </c>
      <c r="J1244" s="51" t="s">
        <v>6727</v>
      </c>
      <c r="K1244" s="15">
        <v>64</v>
      </c>
      <c r="L1244" s="51" t="s">
        <v>2369</v>
      </c>
      <c r="M1244" s="51" t="s">
        <v>67</v>
      </c>
      <c r="N1244" s="51" t="s">
        <v>67</v>
      </c>
      <c r="O1244" s="51" t="s">
        <v>6692</v>
      </c>
      <c r="P1244" s="51" t="s">
        <v>1340</v>
      </c>
      <c r="Q1244" s="45">
        <v>46284.777126597219</v>
      </c>
      <c r="R1244" s="46">
        <v>46319</v>
      </c>
      <c r="S1244" s="46">
        <v>46314</v>
      </c>
      <c r="T1244" s="51" t="s">
        <v>6119</v>
      </c>
      <c r="U1244" s="15"/>
      <c r="V1244" s="15"/>
      <c r="W1244" s="15"/>
      <c r="X1244" s="15"/>
      <c r="Y1244" s="15"/>
      <c r="Z1244" s="15"/>
      <c r="AA1244" s="46"/>
      <c r="AB1244" s="15"/>
      <c r="AC1244" s="15"/>
      <c r="AD1244" s="15"/>
      <c r="AE1244" s="15"/>
      <c r="AF1244" s="15"/>
      <c r="AG1244" s="15"/>
      <c r="AH1244" s="15"/>
      <c r="AI1244" s="46"/>
      <c r="AJ1244" s="51" t="s">
        <v>6121</v>
      </c>
      <c r="AK1244" s="51" t="s">
        <v>67</v>
      </c>
      <c r="AL1244" s="15"/>
      <c r="AM1244" s="51" t="s">
        <v>6705</v>
      </c>
      <c r="AN1244" s="51" t="s">
        <v>6723</v>
      </c>
      <c r="AO1244" s="50" t="s">
        <v>9554</v>
      </c>
    </row>
    <row r="1245" spans="1:41" hidden="1" x14ac:dyDescent="0.25">
      <c r="A1245" s="51" t="s">
        <v>6693</v>
      </c>
      <c r="B1245" s="51" t="s">
        <v>6694</v>
      </c>
      <c r="C1245" s="54" t="s">
        <v>5597</v>
      </c>
      <c r="D1245" s="51" t="s">
        <v>6695</v>
      </c>
      <c r="E1245" s="20">
        <v>586.48</v>
      </c>
      <c r="F1245" s="20">
        <v>126.3</v>
      </c>
      <c r="G1245" s="20">
        <v>14498.4</v>
      </c>
      <c r="H1245" s="20">
        <v>208.34</v>
      </c>
      <c r="I1245" s="20">
        <v>126.3</v>
      </c>
      <c r="J1245" s="51" t="s">
        <v>6726</v>
      </c>
      <c r="K1245" s="15">
        <v>31</v>
      </c>
      <c r="L1245" s="51" t="s">
        <v>2369</v>
      </c>
      <c r="M1245" s="51" t="s">
        <v>6696</v>
      </c>
      <c r="N1245" s="51" t="s">
        <v>1340</v>
      </c>
      <c r="O1245" s="51" t="s">
        <v>67</v>
      </c>
      <c r="P1245" s="51" t="s">
        <v>67</v>
      </c>
      <c r="Q1245" s="45">
        <v>46284.777208298612</v>
      </c>
      <c r="R1245" s="46">
        <v>46321</v>
      </c>
      <c r="S1245" s="46">
        <v>46316</v>
      </c>
      <c r="T1245" s="51" t="s">
        <v>6119</v>
      </c>
      <c r="U1245" s="15"/>
      <c r="V1245" s="15"/>
      <c r="W1245" s="15"/>
      <c r="X1245" s="15"/>
      <c r="Y1245" s="15"/>
      <c r="Z1245" s="15"/>
      <c r="AA1245" s="46"/>
      <c r="AB1245" s="15"/>
      <c r="AC1245" s="15"/>
      <c r="AD1245" s="15"/>
      <c r="AE1245" s="15"/>
      <c r="AF1245" s="15"/>
      <c r="AG1245" s="15"/>
      <c r="AH1245" s="15"/>
      <c r="AI1245" s="46"/>
      <c r="AJ1245" s="51" t="s">
        <v>6121</v>
      </c>
      <c r="AK1245" s="51" t="s">
        <v>67</v>
      </c>
      <c r="AL1245" s="15"/>
      <c r="AM1245" s="51" t="s">
        <v>6705</v>
      </c>
      <c r="AN1245" s="51" t="s">
        <v>6721</v>
      </c>
      <c r="AO1245" s="50" t="s">
        <v>9554</v>
      </c>
    </row>
    <row r="1246" spans="1:41" hidden="1" x14ac:dyDescent="0.25">
      <c r="A1246" s="51" t="s">
        <v>6697</v>
      </c>
      <c r="B1246" s="51" t="s">
        <v>6698</v>
      </c>
      <c r="C1246" s="54" t="s">
        <v>608</v>
      </c>
      <c r="D1246" s="51" t="s">
        <v>6699</v>
      </c>
      <c r="E1246" s="20">
        <v>15056.43</v>
      </c>
      <c r="F1246" s="20">
        <v>2.48</v>
      </c>
      <c r="G1246" s="20">
        <v>4118.91</v>
      </c>
      <c r="H1246" s="20">
        <v>208.34</v>
      </c>
      <c r="I1246" s="20">
        <v>2.48</v>
      </c>
      <c r="J1246" s="51" t="s">
        <v>6724</v>
      </c>
      <c r="K1246" s="15">
        <v>0</v>
      </c>
      <c r="L1246" s="51" t="s">
        <v>2371</v>
      </c>
      <c r="M1246" s="51" t="s">
        <v>67</v>
      </c>
      <c r="N1246" s="51" t="s">
        <v>67</v>
      </c>
      <c r="O1246" s="51" t="s">
        <v>6700</v>
      </c>
      <c r="P1246" s="51" t="s">
        <v>1340</v>
      </c>
      <c r="Q1246" s="45">
        <v>46284.777276134257</v>
      </c>
      <c r="R1246" s="46">
        <v>46315</v>
      </c>
      <c r="S1246" s="46">
        <v>46310</v>
      </c>
      <c r="T1246" s="51" t="s">
        <v>6119</v>
      </c>
      <c r="U1246" s="15"/>
      <c r="V1246" s="15"/>
      <c r="W1246" s="15"/>
      <c r="X1246" s="15"/>
      <c r="Y1246" s="15"/>
      <c r="Z1246" s="15"/>
      <c r="AA1246" s="46"/>
      <c r="AB1246" s="15"/>
      <c r="AC1246" s="15"/>
      <c r="AD1246" s="15"/>
      <c r="AE1246" s="15"/>
      <c r="AF1246" s="15"/>
      <c r="AG1246" s="15"/>
      <c r="AH1246" s="15"/>
      <c r="AI1246" s="46"/>
      <c r="AJ1246" s="51" t="s">
        <v>67</v>
      </c>
      <c r="AK1246" s="51" t="s">
        <v>67</v>
      </c>
      <c r="AL1246" s="15"/>
      <c r="AM1246" s="51" t="s">
        <v>6705</v>
      </c>
      <c r="AN1246" s="51" t="s">
        <v>6721</v>
      </c>
      <c r="AO1246" s="50" t="s">
        <v>9554</v>
      </c>
    </row>
    <row r="1247" spans="1:41" hidden="1" x14ac:dyDescent="0.25">
      <c r="A1247" s="51" t="s">
        <v>6728</v>
      </c>
      <c r="B1247" s="51" t="s">
        <v>6729</v>
      </c>
      <c r="C1247" s="54" t="s">
        <v>2690</v>
      </c>
      <c r="D1247" s="51" t="s">
        <v>6730</v>
      </c>
      <c r="E1247" s="20">
        <v>10000</v>
      </c>
      <c r="F1247" s="20">
        <v>0</v>
      </c>
      <c r="G1247" s="20">
        <v>3784.38</v>
      </c>
      <c r="H1247" s="20">
        <v>4311.29</v>
      </c>
      <c r="I1247" s="20">
        <v>823.97</v>
      </c>
      <c r="J1247" s="51" t="s">
        <v>6726</v>
      </c>
      <c r="K1247" s="15">
        <v>0</v>
      </c>
      <c r="L1247" s="51" t="s">
        <v>2371</v>
      </c>
      <c r="M1247" s="51" t="s">
        <v>6731</v>
      </c>
      <c r="N1247" s="51" t="s">
        <v>1340</v>
      </c>
      <c r="O1247" s="51" t="s">
        <v>6732</v>
      </c>
      <c r="P1247" s="51" t="s">
        <v>1340</v>
      </c>
      <c r="Q1247" s="45">
        <v>46286.580865393516</v>
      </c>
      <c r="R1247" s="46">
        <v>46322</v>
      </c>
      <c r="S1247" s="46">
        <v>46317</v>
      </c>
      <c r="T1247" s="51" t="s">
        <v>6119</v>
      </c>
      <c r="U1247" s="15"/>
      <c r="V1247" s="15"/>
      <c r="W1247" s="15"/>
      <c r="X1247" s="15"/>
      <c r="Y1247" s="15"/>
      <c r="Z1247" s="15"/>
      <c r="AA1247" s="46"/>
      <c r="AB1247" s="15"/>
      <c r="AC1247" s="15"/>
      <c r="AD1247" s="15"/>
      <c r="AE1247" s="15"/>
      <c r="AF1247" s="15"/>
      <c r="AG1247" s="15"/>
      <c r="AH1247" s="15"/>
      <c r="AI1247" s="46"/>
      <c r="AJ1247" s="51" t="s">
        <v>67</v>
      </c>
      <c r="AK1247" s="51" t="s">
        <v>67</v>
      </c>
      <c r="AL1247" s="15"/>
      <c r="AM1247" s="51" t="s">
        <v>67</v>
      </c>
      <c r="AN1247" s="51" t="s">
        <v>67</v>
      </c>
      <c r="AO1247" s="50" t="s">
        <v>9554</v>
      </c>
    </row>
    <row r="1248" spans="1:41" hidden="1" x14ac:dyDescent="0.25">
      <c r="A1248" s="51" t="s">
        <v>6733</v>
      </c>
      <c r="B1248" s="51" t="s">
        <v>6734</v>
      </c>
      <c r="C1248" s="54" t="s">
        <v>2689</v>
      </c>
      <c r="D1248" s="51" t="s">
        <v>6735</v>
      </c>
      <c r="E1248" s="20">
        <v>10000</v>
      </c>
      <c r="F1248" s="20">
        <v>568.04999999999995</v>
      </c>
      <c r="G1248" s="20">
        <v>13852.16</v>
      </c>
      <c r="H1248" s="20">
        <v>971.19</v>
      </c>
      <c r="I1248" s="20">
        <v>778.67</v>
      </c>
      <c r="J1248" s="51" t="s">
        <v>6726</v>
      </c>
      <c r="K1248" s="15">
        <v>0</v>
      </c>
      <c r="L1248" s="51" t="s">
        <v>2371</v>
      </c>
      <c r="M1248" s="51" t="s">
        <v>6736</v>
      </c>
      <c r="N1248" s="51" t="s">
        <v>1340</v>
      </c>
      <c r="O1248" s="51" t="s">
        <v>6737</v>
      </c>
      <c r="P1248" s="51" t="s">
        <v>1340</v>
      </c>
      <c r="Q1248" s="45">
        <v>46286.580875879627</v>
      </c>
      <c r="R1248" s="46">
        <v>46317</v>
      </c>
      <c r="S1248" s="46">
        <v>46312</v>
      </c>
      <c r="T1248" s="51" t="s">
        <v>6119</v>
      </c>
      <c r="U1248" s="15"/>
      <c r="V1248" s="15"/>
      <c r="W1248" s="15"/>
      <c r="X1248" s="15"/>
      <c r="Y1248" s="15"/>
      <c r="Z1248" s="15"/>
      <c r="AA1248" s="46"/>
      <c r="AB1248" s="15"/>
      <c r="AC1248" s="15"/>
      <c r="AD1248" s="15"/>
      <c r="AE1248" s="15"/>
      <c r="AF1248" s="15"/>
      <c r="AG1248" s="15"/>
      <c r="AH1248" s="15"/>
      <c r="AI1248" s="46"/>
      <c r="AJ1248" s="51" t="s">
        <v>67</v>
      </c>
      <c r="AK1248" s="51" t="s">
        <v>67</v>
      </c>
      <c r="AL1248" s="15"/>
      <c r="AM1248" s="51" t="s">
        <v>67</v>
      </c>
      <c r="AN1248" s="51" t="s">
        <v>67</v>
      </c>
      <c r="AO1248" s="50" t="s">
        <v>9554</v>
      </c>
    </row>
    <row r="1249" spans="1:41" hidden="1" x14ac:dyDescent="0.25">
      <c r="A1249" s="51" t="s">
        <v>6738</v>
      </c>
      <c r="B1249" s="51" t="s">
        <v>6739</v>
      </c>
      <c r="C1249" s="54" t="s">
        <v>2693</v>
      </c>
      <c r="D1249" s="51" t="s">
        <v>6740</v>
      </c>
      <c r="E1249" s="20">
        <v>10000</v>
      </c>
      <c r="F1249" s="20">
        <v>232.12</v>
      </c>
      <c r="G1249" s="20">
        <v>16368.55</v>
      </c>
      <c r="H1249" s="20">
        <v>988.53</v>
      </c>
      <c r="I1249" s="20">
        <v>617.5</v>
      </c>
      <c r="J1249" s="51" t="s">
        <v>6726</v>
      </c>
      <c r="K1249" s="15">
        <v>0</v>
      </c>
      <c r="L1249" s="51" t="s">
        <v>2371</v>
      </c>
      <c r="M1249" s="51" t="s">
        <v>6741</v>
      </c>
      <c r="N1249" s="51" t="s">
        <v>1344</v>
      </c>
      <c r="O1249" s="51" t="s">
        <v>67</v>
      </c>
      <c r="P1249" s="51" t="s">
        <v>67</v>
      </c>
      <c r="Q1249" s="45">
        <v>46286.580883564813</v>
      </c>
      <c r="R1249" s="46">
        <v>46314</v>
      </c>
      <c r="S1249" s="46">
        <v>46309</v>
      </c>
      <c r="T1249" s="51" t="s">
        <v>6119</v>
      </c>
      <c r="U1249" s="15"/>
      <c r="V1249" s="15"/>
      <c r="W1249" s="15"/>
      <c r="X1249" s="15"/>
      <c r="Y1249" s="15"/>
      <c r="Z1249" s="15"/>
      <c r="AA1249" s="46"/>
      <c r="AB1249" s="15"/>
      <c r="AC1249" s="15"/>
      <c r="AD1249" s="15"/>
      <c r="AE1249" s="15"/>
      <c r="AF1249" s="15"/>
      <c r="AG1249" s="15"/>
      <c r="AH1249" s="15"/>
      <c r="AI1249" s="46"/>
      <c r="AJ1249" s="51" t="s">
        <v>67</v>
      </c>
      <c r="AK1249" s="51" t="s">
        <v>67</v>
      </c>
      <c r="AL1249" s="15"/>
      <c r="AM1249" s="51" t="s">
        <v>67</v>
      </c>
      <c r="AN1249" s="51" t="s">
        <v>67</v>
      </c>
      <c r="AO1249" s="50" t="s">
        <v>9554</v>
      </c>
    </row>
    <row r="1250" spans="1:41" hidden="1" x14ac:dyDescent="0.25">
      <c r="A1250" s="51" t="s">
        <v>6742</v>
      </c>
      <c r="B1250" s="51" t="s">
        <v>6743</v>
      </c>
      <c r="C1250" s="54" t="s">
        <v>607</v>
      </c>
      <c r="D1250" s="51" t="s">
        <v>6744</v>
      </c>
      <c r="E1250" s="20">
        <v>10000</v>
      </c>
      <c r="F1250" s="20">
        <v>0</v>
      </c>
      <c r="G1250" s="20">
        <v>7569.03</v>
      </c>
      <c r="H1250" s="20">
        <v>2521.36</v>
      </c>
      <c r="I1250" s="20">
        <v>572.35</v>
      </c>
      <c r="J1250" s="51" t="s">
        <v>6726</v>
      </c>
      <c r="K1250" s="15">
        <v>0</v>
      </c>
      <c r="L1250" s="51" t="s">
        <v>2371</v>
      </c>
      <c r="M1250" s="51" t="s">
        <v>67</v>
      </c>
      <c r="N1250" s="51" t="s">
        <v>67</v>
      </c>
      <c r="O1250" s="51" t="s">
        <v>6745</v>
      </c>
      <c r="P1250" s="51" t="s">
        <v>1340</v>
      </c>
      <c r="Q1250" s="45">
        <v>46286.580889120371</v>
      </c>
      <c r="R1250" s="46">
        <v>46310</v>
      </c>
      <c r="S1250" s="46">
        <v>46305</v>
      </c>
      <c r="T1250" s="51" t="s">
        <v>6119</v>
      </c>
      <c r="U1250" s="15"/>
      <c r="V1250" s="15"/>
      <c r="W1250" s="15"/>
      <c r="X1250" s="15"/>
      <c r="Y1250" s="15"/>
      <c r="Z1250" s="15"/>
      <c r="AA1250" s="46"/>
      <c r="AB1250" s="15"/>
      <c r="AC1250" s="15"/>
      <c r="AD1250" s="15"/>
      <c r="AE1250" s="15"/>
      <c r="AF1250" s="15"/>
      <c r="AG1250" s="15"/>
      <c r="AH1250" s="15"/>
      <c r="AI1250" s="46"/>
      <c r="AJ1250" s="51" t="s">
        <v>67</v>
      </c>
      <c r="AK1250" s="51" t="s">
        <v>67</v>
      </c>
      <c r="AL1250" s="15"/>
      <c r="AM1250" s="51" t="s">
        <v>67</v>
      </c>
      <c r="AN1250" s="51" t="s">
        <v>67</v>
      </c>
      <c r="AO1250" s="50" t="s">
        <v>9554</v>
      </c>
    </row>
    <row r="1251" spans="1:41" hidden="1" x14ac:dyDescent="0.25">
      <c r="A1251" s="51" t="s">
        <v>6746</v>
      </c>
      <c r="B1251" s="51" t="s">
        <v>6747</v>
      </c>
      <c r="C1251" s="54" t="s">
        <v>5599</v>
      </c>
      <c r="D1251" s="51" t="s">
        <v>6748</v>
      </c>
      <c r="E1251" s="20">
        <v>10000</v>
      </c>
      <c r="F1251" s="20">
        <v>415.46</v>
      </c>
      <c r="G1251" s="20">
        <v>6925.89</v>
      </c>
      <c r="H1251" s="20">
        <v>864.04</v>
      </c>
      <c r="I1251" s="20">
        <v>647.27</v>
      </c>
      <c r="J1251" s="51" t="s">
        <v>6726</v>
      </c>
      <c r="K1251" s="15">
        <v>0</v>
      </c>
      <c r="L1251" s="51" t="s">
        <v>2371</v>
      </c>
      <c r="M1251" s="51" t="s">
        <v>6749</v>
      </c>
      <c r="N1251" s="51" t="s">
        <v>1340</v>
      </c>
      <c r="O1251" s="51" t="s">
        <v>6750</v>
      </c>
      <c r="P1251" s="51" t="s">
        <v>1340</v>
      </c>
      <c r="Q1251" s="45">
        <v>46286.58089834491</v>
      </c>
      <c r="R1251" s="46">
        <v>46302</v>
      </c>
      <c r="S1251" s="46">
        <v>46297</v>
      </c>
      <c r="T1251" s="51" t="s">
        <v>6119</v>
      </c>
      <c r="U1251" s="15"/>
      <c r="V1251" s="15"/>
      <c r="W1251" s="15"/>
      <c r="X1251" s="15"/>
      <c r="Y1251" s="15"/>
      <c r="Z1251" s="15"/>
      <c r="AA1251" s="46"/>
      <c r="AB1251" s="15"/>
      <c r="AC1251" s="15"/>
      <c r="AD1251" s="15"/>
      <c r="AE1251" s="15"/>
      <c r="AF1251" s="15"/>
      <c r="AG1251" s="15"/>
      <c r="AH1251" s="15"/>
      <c r="AI1251" s="46"/>
      <c r="AJ1251" s="51" t="s">
        <v>67</v>
      </c>
      <c r="AK1251" s="51" t="s">
        <v>67</v>
      </c>
      <c r="AL1251" s="15"/>
      <c r="AM1251" s="51" t="s">
        <v>67</v>
      </c>
      <c r="AN1251" s="51" t="s">
        <v>67</v>
      </c>
      <c r="AO1251" s="50" t="s">
        <v>9554</v>
      </c>
    </row>
    <row r="1252" spans="1:41" hidden="1" x14ac:dyDescent="0.25">
      <c r="A1252" s="51" t="s">
        <v>6751</v>
      </c>
      <c r="B1252" s="51" t="s">
        <v>6752</v>
      </c>
      <c r="C1252" s="54" t="s">
        <v>605</v>
      </c>
      <c r="D1252" s="51" t="s">
        <v>6753</v>
      </c>
      <c r="E1252" s="20">
        <v>10000</v>
      </c>
      <c r="F1252" s="20">
        <v>240.99</v>
      </c>
      <c r="G1252" s="20">
        <v>6299.64</v>
      </c>
      <c r="H1252" s="20">
        <v>1429.94</v>
      </c>
      <c r="I1252" s="20">
        <v>845.29</v>
      </c>
      <c r="J1252" s="51" t="s">
        <v>6726</v>
      </c>
      <c r="K1252" s="15">
        <v>0</v>
      </c>
      <c r="L1252" s="51" t="s">
        <v>2371</v>
      </c>
      <c r="M1252" s="51" t="s">
        <v>6754</v>
      </c>
      <c r="N1252" s="51" t="s">
        <v>1340</v>
      </c>
      <c r="O1252" s="51" t="s">
        <v>67</v>
      </c>
      <c r="P1252" s="51" t="s">
        <v>67</v>
      </c>
      <c r="Q1252" s="45">
        <v>46286.581075393522</v>
      </c>
      <c r="R1252" s="46">
        <v>46305</v>
      </c>
      <c r="S1252" s="46">
        <v>46300</v>
      </c>
      <c r="T1252" s="51" t="s">
        <v>6119</v>
      </c>
      <c r="U1252" s="15"/>
      <c r="V1252" s="15"/>
      <c r="W1252" s="15"/>
      <c r="X1252" s="15"/>
      <c r="Y1252" s="15"/>
      <c r="Z1252" s="15"/>
      <c r="AA1252" s="46"/>
      <c r="AB1252" s="15"/>
      <c r="AC1252" s="15"/>
      <c r="AD1252" s="15"/>
      <c r="AE1252" s="15"/>
      <c r="AF1252" s="15"/>
      <c r="AG1252" s="15"/>
      <c r="AH1252" s="15"/>
      <c r="AI1252" s="46"/>
      <c r="AJ1252" s="51" t="s">
        <v>67</v>
      </c>
      <c r="AK1252" s="51" t="s">
        <v>67</v>
      </c>
      <c r="AL1252" s="15"/>
      <c r="AM1252" s="51" t="s">
        <v>67</v>
      </c>
      <c r="AN1252" s="51" t="s">
        <v>67</v>
      </c>
      <c r="AO1252" s="50" t="s">
        <v>9554</v>
      </c>
    </row>
    <row r="1253" spans="1:41" hidden="1" x14ac:dyDescent="0.25">
      <c r="A1253" s="51" t="s">
        <v>6755</v>
      </c>
      <c r="B1253" s="51" t="s">
        <v>6756</v>
      </c>
      <c r="C1253" s="54" t="s">
        <v>5603</v>
      </c>
      <c r="D1253" s="51" t="s">
        <v>6757</v>
      </c>
      <c r="E1253" s="20">
        <v>10000</v>
      </c>
      <c r="F1253" s="20">
        <v>0</v>
      </c>
      <c r="G1253" s="20">
        <v>14313.5</v>
      </c>
      <c r="H1253" s="20">
        <v>6178.31</v>
      </c>
      <c r="I1253" s="20">
        <v>800.61</v>
      </c>
      <c r="J1253" s="51" t="s">
        <v>6726</v>
      </c>
      <c r="K1253" s="15">
        <v>0</v>
      </c>
      <c r="L1253" s="51" t="s">
        <v>2371</v>
      </c>
      <c r="M1253" s="51" t="s">
        <v>6758</v>
      </c>
      <c r="N1253" s="51" t="s">
        <v>1340</v>
      </c>
      <c r="O1253" s="51" t="s">
        <v>6759</v>
      </c>
      <c r="P1253" s="51" t="s">
        <v>1340</v>
      </c>
      <c r="Q1253" s="45">
        <v>46286.5810853125</v>
      </c>
      <c r="R1253" s="46">
        <v>46298</v>
      </c>
      <c r="S1253" s="46">
        <v>46293</v>
      </c>
      <c r="T1253" s="51" t="s">
        <v>6119</v>
      </c>
      <c r="U1253" s="15"/>
      <c r="V1253" s="15"/>
      <c r="W1253" s="15"/>
      <c r="X1253" s="15"/>
      <c r="Y1253" s="15"/>
      <c r="Z1253" s="15"/>
      <c r="AA1253" s="46"/>
      <c r="AB1253" s="15"/>
      <c r="AC1253" s="15"/>
      <c r="AD1253" s="15"/>
      <c r="AE1253" s="15"/>
      <c r="AF1253" s="15"/>
      <c r="AG1253" s="15"/>
      <c r="AH1253" s="15"/>
      <c r="AI1253" s="46"/>
      <c r="AJ1253" s="51" t="s">
        <v>67</v>
      </c>
      <c r="AK1253" s="51" t="s">
        <v>67</v>
      </c>
      <c r="AL1253" s="15"/>
      <c r="AM1253" s="51" t="s">
        <v>67</v>
      </c>
      <c r="AN1253" s="51" t="s">
        <v>67</v>
      </c>
      <c r="AO1253" s="50" t="s">
        <v>9554</v>
      </c>
    </row>
    <row r="1254" spans="1:41" hidden="1" x14ac:dyDescent="0.25">
      <c r="A1254" s="51" t="s">
        <v>6760</v>
      </c>
      <c r="B1254" s="51" t="s">
        <v>6761</v>
      </c>
      <c r="C1254" s="54" t="s">
        <v>2691</v>
      </c>
      <c r="D1254" s="51" t="s">
        <v>6762</v>
      </c>
      <c r="E1254" s="20">
        <v>10000</v>
      </c>
      <c r="F1254" s="20">
        <v>460.09</v>
      </c>
      <c r="G1254" s="20">
        <v>9107.3700000000008</v>
      </c>
      <c r="H1254" s="20">
        <v>981.37</v>
      </c>
      <c r="I1254" s="20">
        <v>729.21</v>
      </c>
      <c r="J1254" s="51" t="s">
        <v>6726</v>
      </c>
      <c r="K1254" s="15">
        <v>0</v>
      </c>
      <c r="L1254" s="51" t="s">
        <v>2371</v>
      </c>
      <c r="M1254" s="51" t="s">
        <v>67</v>
      </c>
      <c r="N1254" s="51" t="s">
        <v>67</v>
      </c>
      <c r="O1254" s="51" t="s">
        <v>6763</v>
      </c>
      <c r="P1254" s="51" t="s">
        <v>1340</v>
      </c>
      <c r="Q1254" s="45">
        <v>46286.581090312502</v>
      </c>
      <c r="R1254" s="46">
        <v>46301</v>
      </c>
      <c r="S1254" s="46">
        <v>46296</v>
      </c>
      <c r="T1254" s="51" t="s">
        <v>6119</v>
      </c>
      <c r="U1254" s="15"/>
      <c r="V1254" s="15"/>
      <c r="W1254" s="15"/>
      <c r="X1254" s="15"/>
      <c r="Y1254" s="15"/>
      <c r="Z1254" s="15"/>
      <c r="AA1254" s="46"/>
      <c r="AB1254" s="15"/>
      <c r="AC1254" s="15"/>
      <c r="AD1254" s="15"/>
      <c r="AE1254" s="15"/>
      <c r="AF1254" s="15"/>
      <c r="AG1254" s="15"/>
      <c r="AH1254" s="15"/>
      <c r="AI1254" s="46"/>
      <c r="AJ1254" s="51" t="s">
        <v>67</v>
      </c>
      <c r="AK1254" s="51" t="s">
        <v>67</v>
      </c>
      <c r="AL1254" s="15"/>
      <c r="AM1254" s="51" t="s">
        <v>67</v>
      </c>
      <c r="AN1254" s="51" t="s">
        <v>67</v>
      </c>
      <c r="AO1254" s="50" t="s">
        <v>9554</v>
      </c>
    </row>
    <row r="1255" spans="1:41" hidden="1" x14ac:dyDescent="0.25">
      <c r="A1255" s="51" t="s">
        <v>6764</v>
      </c>
      <c r="B1255" s="51" t="s">
        <v>6765</v>
      </c>
      <c r="C1255" s="54" t="s">
        <v>2356</v>
      </c>
      <c r="D1255" s="51" t="s">
        <v>6766</v>
      </c>
      <c r="E1255" s="20">
        <v>10000</v>
      </c>
      <c r="F1255" s="20">
        <v>148.88999999999999</v>
      </c>
      <c r="G1255" s="20">
        <v>20144.25</v>
      </c>
      <c r="H1255" s="20">
        <v>1456.75</v>
      </c>
      <c r="I1255" s="20">
        <v>812.26</v>
      </c>
      <c r="J1255" s="51" t="s">
        <v>6726</v>
      </c>
      <c r="K1255" s="15">
        <v>0</v>
      </c>
      <c r="L1255" s="51" t="s">
        <v>2371</v>
      </c>
      <c r="M1255" s="51" t="s">
        <v>67</v>
      </c>
      <c r="N1255" s="51" t="s">
        <v>67</v>
      </c>
      <c r="O1255" s="51" t="s">
        <v>6767</v>
      </c>
      <c r="P1255" s="51" t="s">
        <v>1340</v>
      </c>
      <c r="Q1255" s="45">
        <v>46286.581095081019</v>
      </c>
      <c r="R1255" s="46">
        <v>46307</v>
      </c>
      <c r="S1255" s="46">
        <v>46302</v>
      </c>
      <c r="T1255" s="51" t="s">
        <v>6119</v>
      </c>
      <c r="U1255" s="15"/>
      <c r="V1255" s="15"/>
      <c r="W1255" s="15"/>
      <c r="X1255" s="15"/>
      <c r="Y1255" s="15"/>
      <c r="Z1255" s="15"/>
      <c r="AA1255" s="46"/>
      <c r="AB1255" s="15"/>
      <c r="AC1255" s="15"/>
      <c r="AD1255" s="15"/>
      <c r="AE1255" s="15"/>
      <c r="AF1255" s="15"/>
      <c r="AG1255" s="15"/>
      <c r="AH1255" s="15"/>
      <c r="AI1255" s="46"/>
      <c r="AJ1255" s="51" t="s">
        <v>67</v>
      </c>
      <c r="AK1255" s="51" t="s">
        <v>67</v>
      </c>
      <c r="AL1255" s="15"/>
      <c r="AM1255" s="51" t="s">
        <v>67</v>
      </c>
      <c r="AN1255" s="51" t="s">
        <v>67</v>
      </c>
      <c r="AO1255" s="50" t="s">
        <v>9554</v>
      </c>
    </row>
    <row r="1256" spans="1:41" hidden="1" x14ac:dyDescent="0.25">
      <c r="A1256" s="51" t="s">
        <v>6768</v>
      </c>
      <c r="B1256" s="51" t="s">
        <v>6769</v>
      </c>
      <c r="C1256" s="54" t="s">
        <v>5597</v>
      </c>
      <c r="D1256" s="51" t="s">
        <v>6770</v>
      </c>
      <c r="E1256" s="20">
        <v>10000</v>
      </c>
      <c r="F1256" s="20">
        <v>299.29000000000002</v>
      </c>
      <c r="G1256" s="20">
        <v>2669.36</v>
      </c>
      <c r="H1256" s="20">
        <v>1318.88</v>
      </c>
      <c r="I1256" s="20">
        <v>818.6</v>
      </c>
      <c r="J1256" s="51" t="s">
        <v>6726</v>
      </c>
      <c r="K1256" s="15">
        <v>0</v>
      </c>
      <c r="L1256" s="51" t="s">
        <v>2371</v>
      </c>
      <c r="M1256" s="51" t="s">
        <v>6771</v>
      </c>
      <c r="N1256" s="51" t="s">
        <v>1340</v>
      </c>
      <c r="O1256" s="51" t="s">
        <v>67</v>
      </c>
      <c r="P1256" s="51" t="s">
        <v>67</v>
      </c>
      <c r="Q1256" s="45">
        <v>46286.581099930554</v>
      </c>
      <c r="R1256" s="46">
        <v>46321</v>
      </c>
      <c r="S1256" s="46">
        <v>46316</v>
      </c>
      <c r="T1256" s="51" t="s">
        <v>6119</v>
      </c>
      <c r="U1256" s="15"/>
      <c r="V1256" s="15"/>
      <c r="W1256" s="15"/>
      <c r="X1256" s="15"/>
      <c r="Y1256" s="15"/>
      <c r="Z1256" s="15"/>
      <c r="AA1256" s="46"/>
      <c r="AB1256" s="15"/>
      <c r="AC1256" s="15"/>
      <c r="AD1256" s="15"/>
      <c r="AE1256" s="15"/>
      <c r="AF1256" s="15"/>
      <c r="AG1256" s="15"/>
      <c r="AH1256" s="15"/>
      <c r="AI1256" s="46"/>
      <c r="AJ1256" s="51" t="s">
        <v>67</v>
      </c>
      <c r="AK1256" s="51" t="s">
        <v>67</v>
      </c>
      <c r="AL1256" s="15"/>
      <c r="AM1256" s="51" t="s">
        <v>67</v>
      </c>
      <c r="AN1256" s="51" t="s">
        <v>67</v>
      </c>
      <c r="AO1256" s="50" t="s">
        <v>9554</v>
      </c>
    </row>
    <row r="1257" spans="1:41" hidden="1" x14ac:dyDescent="0.25">
      <c r="A1257" s="51" t="s">
        <v>6772</v>
      </c>
      <c r="B1257" s="51" t="s">
        <v>6773</v>
      </c>
      <c r="C1257" s="54" t="s">
        <v>2690</v>
      </c>
      <c r="D1257" s="51" t="s">
        <v>6774</v>
      </c>
      <c r="E1257" s="20">
        <v>10000</v>
      </c>
      <c r="F1257" s="20">
        <v>0</v>
      </c>
      <c r="G1257" s="20">
        <v>14613.63</v>
      </c>
      <c r="H1257" s="20">
        <v>1085.19</v>
      </c>
      <c r="I1257" s="20">
        <v>521.66999999999996</v>
      </c>
      <c r="J1257" s="51" t="s">
        <v>6726</v>
      </c>
      <c r="K1257" s="15">
        <v>0</v>
      </c>
      <c r="L1257" s="51" t="s">
        <v>2371</v>
      </c>
      <c r="M1257" s="51" t="s">
        <v>67</v>
      </c>
      <c r="N1257" s="51" t="s">
        <v>67</v>
      </c>
      <c r="O1257" s="51" t="s">
        <v>6775</v>
      </c>
      <c r="P1257" s="51" t="s">
        <v>1340</v>
      </c>
      <c r="Q1257" s="45">
        <v>46286.581104629629</v>
      </c>
      <c r="R1257" s="46">
        <v>46322</v>
      </c>
      <c r="S1257" s="46">
        <v>46317</v>
      </c>
      <c r="T1257" s="51" t="s">
        <v>6119</v>
      </c>
      <c r="U1257" s="15"/>
      <c r="V1257" s="15"/>
      <c r="W1257" s="15"/>
      <c r="X1257" s="15"/>
      <c r="Y1257" s="15"/>
      <c r="Z1257" s="15"/>
      <c r="AA1257" s="46"/>
      <c r="AB1257" s="15"/>
      <c r="AC1257" s="15"/>
      <c r="AD1257" s="15"/>
      <c r="AE1257" s="15"/>
      <c r="AF1257" s="15"/>
      <c r="AG1257" s="15"/>
      <c r="AH1257" s="15"/>
      <c r="AI1257" s="46"/>
      <c r="AJ1257" s="51" t="s">
        <v>67</v>
      </c>
      <c r="AK1257" s="51" t="s">
        <v>67</v>
      </c>
      <c r="AL1257" s="15"/>
      <c r="AM1257" s="51" t="s">
        <v>67</v>
      </c>
      <c r="AN1257" s="51" t="s">
        <v>67</v>
      </c>
      <c r="AO1257" s="50" t="s">
        <v>9554</v>
      </c>
    </row>
    <row r="1258" spans="1:41" hidden="1" x14ac:dyDescent="0.25">
      <c r="A1258" s="51" t="s">
        <v>6776</v>
      </c>
      <c r="B1258" s="51" t="s">
        <v>6777</v>
      </c>
      <c r="C1258" s="54" t="s">
        <v>2693</v>
      </c>
      <c r="D1258" s="51" t="s">
        <v>6778</v>
      </c>
      <c r="E1258" s="20">
        <v>10000</v>
      </c>
      <c r="F1258" s="20">
        <v>483.4</v>
      </c>
      <c r="G1258" s="20">
        <v>18965.61</v>
      </c>
      <c r="H1258" s="20">
        <v>1320.38</v>
      </c>
      <c r="I1258" s="20">
        <v>912.5</v>
      </c>
      <c r="J1258" s="51" t="s">
        <v>6726</v>
      </c>
      <c r="K1258" s="15">
        <v>0</v>
      </c>
      <c r="L1258" s="51" t="s">
        <v>2371</v>
      </c>
      <c r="M1258" s="51" t="s">
        <v>6779</v>
      </c>
      <c r="N1258" s="51" t="s">
        <v>1340</v>
      </c>
      <c r="O1258" s="51" t="s">
        <v>67</v>
      </c>
      <c r="P1258" s="51" t="s">
        <v>67</v>
      </c>
      <c r="Q1258" s="45">
        <v>46286.581109513892</v>
      </c>
      <c r="R1258" s="46">
        <v>46314</v>
      </c>
      <c r="S1258" s="46">
        <v>46309</v>
      </c>
      <c r="T1258" s="51" t="s">
        <v>6119</v>
      </c>
      <c r="U1258" s="15"/>
      <c r="V1258" s="15"/>
      <c r="W1258" s="15"/>
      <c r="X1258" s="15"/>
      <c r="Y1258" s="15"/>
      <c r="Z1258" s="15"/>
      <c r="AA1258" s="46"/>
      <c r="AB1258" s="15"/>
      <c r="AC1258" s="15"/>
      <c r="AD1258" s="15"/>
      <c r="AE1258" s="15"/>
      <c r="AF1258" s="15"/>
      <c r="AG1258" s="15"/>
      <c r="AH1258" s="15"/>
      <c r="AI1258" s="46"/>
      <c r="AJ1258" s="51" t="s">
        <v>67</v>
      </c>
      <c r="AK1258" s="51" t="s">
        <v>67</v>
      </c>
      <c r="AL1258" s="15"/>
      <c r="AM1258" s="51" t="s">
        <v>67</v>
      </c>
      <c r="AN1258" s="51" t="s">
        <v>67</v>
      </c>
      <c r="AO1258" s="50" t="s">
        <v>9554</v>
      </c>
    </row>
    <row r="1259" spans="1:41" hidden="1" x14ac:dyDescent="0.25">
      <c r="A1259" s="51" t="s">
        <v>6780</v>
      </c>
      <c r="B1259" s="51" t="s">
        <v>6781</v>
      </c>
      <c r="C1259" s="54" t="s">
        <v>2692</v>
      </c>
      <c r="D1259" s="51" t="s">
        <v>6782</v>
      </c>
      <c r="E1259" s="20">
        <v>10000</v>
      </c>
      <c r="F1259" s="20">
        <v>0</v>
      </c>
      <c r="G1259" s="20">
        <v>17026.18</v>
      </c>
      <c r="H1259" s="20">
        <v>1261.19</v>
      </c>
      <c r="I1259" s="20">
        <v>583.79999999999995</v>
      </c>
      <c r="J1259" s="51" t="s">
        <v>6726</v>
      </c>
      <c r="K1259" s="15">
        <v>0</v>
      </c>
      <c r="L1259" s="51" t="s">
        <v>2371</v>
      </c>
      <c r="M1259" s="51" t="s">
        <v>67</v>
      </c>
      <c r="N1259" s="51" t="s">
        <v>67</v>
      </c>
      <c r="O1259" s="51" t="s">
        <v>6783</v>
      </c>
      <c r="P1259" s="51" t="s">
        <v>1340</v>
      </c>
      <c r="Q1259" s="45">
        <v>46286.581114201392</v>
      </c>
      <c r="R1259" s="46">
        <v>46296</v>
      </c>
      <c r="S1259" s="46">
        <v>46291</v>
      </c>
      <c r="T1259" s="51" t="s">
        <v>6119</v>
      </c>
      <c r="U1259" s="15"/>
      <c r="V1259" s="15"/>
      <c r="W1259" s="15"/>
      <c r="X1259" s="15"/>
      <c r="Y1259" s="15"/>
      <c r="Z1259" s="15"/>
      <c r="AA1259" s="46"/>
      <c r="AB1259" s="15"/>
      <c r="AC1259" s="15"/>
      <c r="AD1259" s="15"/>
      <c r="AE1259" s="15"/>
      <c r="AF1259" s="15"/>
      <c r="AG1259" s="15"/>
      <c r="AH1259" s="15"/>
      <c r="AI1259" s="46"/>
      <c r="AJ1259" s="51" t="s">
        <v>67</v>
      </c>
      <c r="AK1259" s="51" t="s">
        <v>67</v>
      </c>
      <c r="AL1259" s="15"/>
      <c r="AM1259" s="51" t="s">
        <v>67</v>
      </c>
      <c r="AN1259" s="51" t="s">
        <v>67</v>
      </c>
      <c r="AO1259" s="50" t="s">
        <v>9554</v>
      </c>
    </row>
    <row r="1260" spans="1:41" hidden="1" x14ac:dyDescent="0.25">
      <c r="A1260" s="51" t="s">
        <v>6784</v>
      </c>
      <c r="B1260" s="51" t="s">
        <v>6785</v>
      </c>
      <c r="C1260" s="54" t="s">
        <v>5604</v>
      </c>
      <c r="D1260" s="51" t="s">
        <v>6786</v>
      </c>
      <c r="E1260" s="20">
        <v>10000</v>
      </c>
      <c r="F1260" s="20">
        <v>0</v>
      </c>
      <c r="G1260" s="20">
        <v>7503.98</v>
      </c>
      <c r="H1260" s="20">
        <v>2562.11</v>
      </c>
      <c r="I1260" s="20">
        <v>756.27</v>
      </c>
      <c r="J1260" s="51" t="s">
        <v>6726</v>
      </c>
      <c r="K1260" s="15">
        <v>0</v>
      </c>
      <c r="L1260" s="51" t="s">
        <v>2371</v>
      </c>
      <c r="M1260" s="51" t="s">
        <v>6787</v>
      </c>
      <c r="N1260" s="51" t="s">
        <v>1340</v>
      </c>
      <c r="O1260" s="51" t="s">
        <v>6788</v>
      </c>
      <c r="P1260" s="51" t="s">
        <v>1340</v>
      </c>
      <c r="Q1260" s="45">
        <v>46286.581118773145</v>
      </c>
      <c r="R1260" s="46">
        <v>46313</v>
      </c>
      <c r="S1260" s="46">
        <v>46308</v>
      </c>
      <c r="T1260" s="51" t="s">
        <v>6119</v>
      </c>
      <c r="U1260" s="15"/>
      <c r="V1260" s="15"/>
      <c r="W1260" s="15"/>
      <c r="X1260" s="15"/>
      <c r="Y1260" s="15"/>
      <c r="Z1260" s="15"/>
      <c r="AA1260" s="46"/>
      <c r="AB1260" s="15"/>
      <c r="AC1260" s="15"/>
      <c r="AD1260" s="15"/>
      <c r="AE1260" s="15"/>
      <c r="AF1260" s="15"/>
      <c r="AG1260" s="15"/>
      <c r="AH1260" s="15"/>
      <c r="AI1260" s="46"/>
      <c r="AJ1260" s="51" t="s">
        <v>67</v>
      </c>
      <c r="AK1260" s="51" t="s">
        <v>67</v>
      </c>
      <c r="AL1260" s="15"/>
      <c r="AM1260" s="51" t="s">
        <v>67</v>
      </c>
      <c r="AN1260" s="51" t="s">
        <v>67</v>
      </c>
      <c r="AO1260" s="50" t="s">
        <v>9554</v>
      </c>
    </row>
    <row r="1261" spans="1:41" hidden="1" x14ac:dyDescent="0.25">
      <c r="A1261" s="51" t="s">
        <v>6789</v>
      </c>
      <c r="B1261" s="51" t="s">
        <v>6790</v>
      </c>
      <c r="C1261" s="54" t="s">
        <v>5600</v>
      </c>
      <c r="D1261" s="51" t="s">
        <v>6791</v>
      </c>
      <c r="E1261" s="20">
        <v>10000</v>
      </c>
      <c r="F1261" s="20">
        <v>337.24</v>
      </c>
      <c r="G1261" s="20">
        <v>9591.1</v>
      </c>
      <c r="H1261" s="20">
        <v>868.31</v>
      </c>
      <c r="I1261" s="20">
        <v>609.86</v>
      </c>
      <c r="J1261" s="51" t="s">
        <v>6726</v>
      </c>
      <c r="K1261" s="15">
        <v>0</v>
      </c>
      <c r="L1261" s="51" t="s">
        <v>2371</v>
      </c>
      <c r="M1261" s="51" t="s">
        <v>6792</v>
      </c>
      <c r="N1261" s="51" t="s">
        <v>1344</v>
      </c>
      <c r="O1261" s="51" t="s">
        <v>6793</v>
      </c>
      <c r="P1261" s="51" t="s">
        <v>1344</v>
      </c>
      <c r="Q1261" s="45">
        <v>46286.581122939817</v>
      </c>
      <c r="R1261" s="46">
        <v>46304</v>
      </c>
      <c r="S1261" s="46">
        <v>46299</v>
      </c>
      <c r="T1261" s="51" t="s">
        <v>6119</v>
      </c>
      <c r="U1261" s="15"/>
      <c r="V1261" s="15"/>
      <c r="W1261" s="15"/>
      <c r="X1261" s="15"/>
      <c r="Y1261" s="15"/>
      <c r="Z1261" s="15"/>
      <c r="AA1261" s="46"/>
      <c r="AB1261" s="15"/>
      <c r="AC1261" s="15"/>
      <c r="AD1261" s="15"/>
      <c r="AE1261" s="15"/>
      <c r="AF1261" s="15"/>
      <c r="AG1261" s="15"/>
      <c r="AH1261" s="15"/>
      <c r="AI1261" s="46"/>
      <c r="AJ1261" s="51" t="s">
        <v>67</v>
      </c>
      <c r="AK1261" s="51" t="s">
        <v>67</v>
      </c>
      <c r="AL1261" s="15"/>
      <c r="AM1261" s="51" t="s">
        <v>67</v>
      </c>
      <c r="AN1261" s="51" t="s">
        <v>67</v>
      </c>
      <c r="AO1261" s="50" t="s">
        <v>9554</v>
      </c>
    </row>
    <row r="1262" spans="1:41" hidden="1" x14ac:dyDescent="0.25">
      <c r="A1262" s="51" t="s">
        <v>6794</v>
      </c>
      <c r="B1262" s="51" t="s">
        <v>6795</v>
      </c>
      <c r="C1262" s="54" t="s">
        <v>611</v>
      </c>
      <c r="D1262" s="51" t="s">
        <v>6796</v>
      </c>
      <c r="E1262" s="20">
        <v>10000</v>
      </c>
      <c r="F1262" s="20">
        <v>164.68</v>
      </c>
      <c r="G1262" s="20">
        <v>3364.99</v>
      </c>
      <c r="H1262" s="20">
        <v>979.86</v>
      </c>
      <c r="I1262" s="20">
        <v>579</v>
      </c>
      <c r="J1262" s="51" t="s">
        <v>6726</v>
      </c>
      <c r="K1262" s="15">
        <v>0</v>
      </c>
      <c r="L1262" s="51" t="s">
        <v>2371</v>
      </c>
      <c r="M1262" s="51" t="s">
        <v>67</v>
      </c>
      <c r="N1262" s="51" t="s">
        <v>67</v>
      </c>
      <c r="O1262" s="51" t="s">
        <v>6797</v>
      </c>
      <c r="P1262" s="51" t="s">
        <v>1340</v>
      </c>
      <c r="Q1262" s="45">
        <v>46286.581127708334</v>
      </c>
      <c r="R1262" s="46">
        <v>46320</v>
      </c>
      <c r="S1262" s="46">
        <v>46315</v>
      </c>
      <c r="T1262" s="51" t="s">
        <v>6119</v>
      </c>
      <c r="U1262" s="15">
        <v>33.229999999999997</v>
      </c>
      <c r="V1262" s="15">
        <v>153.22</v>
      </c>
      <c r="W1262" s="15">
        <v>1.42</v>
      </c>
      <c r="X1262" s="15">
        <v>0.57999999999999996</v>
      </c>
      <c r="Y1262" s="15">
        <v>1.6622589999999999</v>
      </c>
      <c r="Z1262" s="15">
        <v>6</v>
      </c>
      <c r="AA1262" s="46">
        <v>46228</v>
      </c>
      <c r="AB1262" s="15"/>
      <c r="AC1262" s="15"/>
      <c r="AD1262" s="15"/>
      <c r="AE1262" s="15"/>
      <c r="AF1262" s="15"/>
      <c r="AG1262" s="15"/>
      <c r="AH1262" s="15"/>
      <c r="AI1262" s="46"/>
      <c r="AJ1262" s="51" t="s">
        <v>67</v>
      </c>
      <c r="AK1262" s="51" t="s">
        <v>67</v>
      </c>
      <c r="AL1262" s="15"/>
      <c r="AM1262" s="51" t="s">
        <v>67</v>
      </c>
      <c r="AN1262" s="51" t="s">
        <v>67</v>
      </c>
      <c r="AO1262" s="50" t="s">
        <v>9554</v>
      </c>
    </row>
    <row r="1263" spans="1:41" hidden="1" x14ac:dyDescent="0.25">
      <c r="A1263" s="51" t="s">
        <v>6798</v>
      </c>
      <c r="B1263" s="51" t="s">
        <v>6799</v>
      </c>
      <c r="C1263" s="54" t="s">
        <v>5602</v>
      </c>
      <c r="D1263" s="51" t="s">
        <v>6800</v>
      </c>
      <c r="E1263" s="20">
        <v>10000</v>
      </c>
      <c r="F1263" s="20">
        <v>144.77000000000001</v>
      </c>
      <c r="G1263" s="20">
        <v>5929.6</v>
      </c>
      <c r="H1263" s="20">
        <v>1043.26</v>
      </c>
      <c r="I1263" s="20">
        <v>601</v>
      </c>
      <c r="J1263" s="51" t="s">
        <v>6726</v>
      </c>
      <c r="K1263" s="15">
        <v>0</v>
      </c>
      <c r="L1263" s="51" t="s">
        <v>2371</v>
      </c>
      <c r="M1263" s="51" t="s">
        <v>6801</v>
      </c>
      <c r="N1263" s="51" t="s">
        <v>1340</v>
      </c>
      <c r="O1263" s="51" t="s">
        <v>67</v>
      </c>
      <c r="P1263" s="51" t="s">
        <v>67</v>
      </c>
      <c r="Q1263" s="45">
        <v>46286.581132233798</v>
      </c>
      <c r="R1263" s="46">
        <v>46303</v>
      </c>
      <c r="S1263" s="46">
        <v>46298</v>
      </c>
      <c r="T1263" s="51" t="s">
        <v>6119</v>
      </c>
      <c r="U1263" s="15"/>
      <c r="V1263" s="15"/>
      <c r="W1263" s="15"/>
      <c r="X1263" s="15"/>
      <c r="Y1263" s="15"/>
      <c r="Z1263" s="15"/>
      <c r="AA1263" s="46"/>
      <c r="AB1263" s="15"/>
      <c r="AC1263" s="15"/>
      <c r="AD1263" s="15"/>
      <c r="AE1263" s="15"/>
      <c r="AF1263" s="15"/>
      <c r="AG1263" s="15"/>
      <c r="AH1263" s="15"/>
      <c r="AI1263" s="46"/>
      <c r="AJ1263" s="51" t="s">
        <v>67</v>
      </c>
      <c r="AK1263" s="51" t="s">
        <v>67</v>
      </c>
      <c r="AL1263" s="15"/>
      <c r="AM1263" s="51" t="s">
        <v>67</v>
      </c>
      <c r="AN1263" s="51" t="s">
        <v>67</v>
      </c>
      <c r="AO1263" s="50" t="s">
        <v>9554</v>
      </c>
    </row>
    <row r="1264" spans="1:41" hidden="1" x14ac:dyDescent="0.25">
      <c r="A1264" s="51" t="s">
        <v>6802</v>
      </c>
      <c r="B1264" s="51" t="s">
        <v>6803</v>
      </c>
      <c r="C1264" s="54" t="s">
        <v>5607</v>
      </c>
      <c r="D1264" s="51" t="s">
        <v>6804</v>
      </c>
      <c r="E1264" s="20">
        <v>10000</v>
      </c>
      <c r="F1264" s="20">
        <v>0</v>
      </c>
      <c r="G1264" s="20">
        <v>9172.3700000000008</v>
      </c>
      <c r="H1264" s="20">
        <v>1700.68</v>
      </c>
      <c r="I1264" s="20">
        <v>481.92</v>
      </c>
      <c r="J1264" s="51" t="s">
        <v>6726</v>
      </c>
      <c r="K1264" s="15">
        <v>0</v>
      </c>
      <c r="L1264" s="51" t="s">
        <v>2371</v>
      </c>
      <c r="M1264" s="51" t="s">
        <v>6805</v>
      </c>
      <c r="N1264" s="51" t="s">
        <v>1344</v>
      </c>
      <c r="O1264" s="51" t="s">
        <v>6806</v>
      </c>
      <c r="P1264" s="51" t="s">
        <v>1344</v>
      </c>
      <c r="Q1264" s="45">
        <v>46286.581137037036</v>
      </c>
      <c r="R1264" s="46">
        <v>46299</v>
      </c>
      <c r="S1264" s="46">
        <v>46294</v>
      </c>
      <c r="T1264" s="51" t="s">
        <v>6119</v>
      </c>
      <c r="U1264" s="15"/>
      <c r="V1264" s="15"/>
      <c r="W1264" s="15"/>
      <c r="X1264" s="15"/>
      <c r="Y1264" s="15"/>
      <c r="Z1264" s="15"/>
      <c r="AA1264" s="46"/>
      <c r="AB1264" s="15"/>
      <c r="AC1264" s="15"/>
      <c r="AD1264" s="15"/>
      <c r="AE1264" s="15"/>
      <c r="AF1264" s="15"/>
      <c r="AG1264" s="15"/>
      <c r="AH1264" s="15"/>
      <c r="AI1264" s="46"/>
      <c r="AJ1264" s="51" t="s">
        <v>67</v>
      </c>
      <c r="AK1264" s="51" t="s">
        <v>67</v>
      </c>
      <c r="AL1264" s="15"/>
      <c r="AM1264" s="51" t="s">
        <v>67</v>
      </c>
      <c r="AN1264" s="51" t="s">
        <v>67</v>
      </c>
      <c r="AO1264" s="50" t="s">
        <v>9554</v>
      </c>
    </row>
    <row r="1265" spans="1:41" hidden="1" x14ac:dyDescent="0.25">
      <c r="A1265" s="51" t="s">
        <v>6807</v>
      </c>
      <c r="B1265" s="51" t="s">
        <v>6808</v>
      </c>
      <c r="C1265" s="54" t="s">
        <v>5599</v>
      </c>
      <c r="D1265" s="51" t="s">
        <v>6809</v>
      </c>
      <c r="E1265" s="20">
        <v>10000</v>
      </c>
      <c r="F1265" s="20">
        <v>0</v>
      </c>
      <c r="G1265" s="20">
        <v>11545.49</v>
      </c>
      <c r="H1265" s="20">
        <v>6239.93</v>
      </c>
      <c r="I1265" s="20">
        <v>946.8</v>
      </c>
      <c r="J1265" s="51" t="s">
        <v>6726</v>
      </c>
      <c r="K1265" s="15">
        <v>0</v>
      </c>
      <c r="L1265" s="51" t="s">
        <v>2371</v>
      </c>
      <c r="M1265" s="51" t="s">
        <v>6810</v>
      </c>
      <c r="N1265" s="51" t="s">
        <v>1340</v>
      </c>
      <c r="O1265" s="51" t="s">
        <v>67</v>
      </c>
      <c r="P1265" s="51" t="s">
        <v>67</v>
      </c>
      <c r="Q1265" s="45">
        <v>46286.581142141207</v>
      </c>
      <c r="R1265" s="46">
        <v>46302</v>
      </c>
      <c r="S1265" s="46">
        <v>46297</v>
      </c>
      <c r="T1265" s="51" t="s">
        <v>6119</v>
      </c>
      <c r="U1265" s="15"/>
      <c r="V1265" s="15"/>
      <c r="W1265" s="15"/>
      <c r="X1265" s="15"/>
      <c r="Y1265" s="15"/>
      <c r="Z1265" s="15"/>
      <c r="AA1265" s="46"/>
      <c r="AB1265" s="15"/>
      <c r="AC1265" s="15"/>
      <c r="AD1265" s="15"/>
      <c r="AE1265" s="15"/>
      <c r="AF1265" s="15"/>
      <c r="AG1265" s="15"/>
      <c r="AH1265" s="15"/>
      <c r="AI1265" s="46"/>
      <c r="AJ1265" s="51" t="s">
        <v>67</v>
      </c>
      <c r="AK1265" s="51" t="s">
        <v>67</v>
      </c>
      <c r="AL1265" s="15"/>
      <c r="AM1265" s="51" t="s">
        <v>67</v>
      </c>
      <c r="AN1265" s="51" t="s">
        <v>67</v>
      </c>
      <c r="AO1265" s="50" t="s">
        <v>9554</v>
      </c>
    </row>
    <row r="1266" spans="1:41" hidden="1" x14ac:dyDescent="0.25">
      <c r="A1266" s="51" t="s">
        <v>6811</v>
      </c>
      <c r="B1266" s="51" t="s">
        <v>6812</v>
      </c>
      <c r="C1266" s="54" t="s">
        <v>5607</v>
      </c>
      <c r="D1266" s="51" t="s">
        <v>6813</v>
      </c>
      <c r="E1266" s="20">
        <v>10000</v>
      </c>
      <c r="F1266" s="20">
        <v>128.22</v>
      </c>
      <c r="G1266" s="20">
        <v>4256.3500000000004</v>
      </c>
      <c r="H1266" s="20">
        <v>1070.5999999999999</v>
      </c>
      <c r="I1266" s="20">
        <v>606.46</v>
      </c>
      <c r="J1266" s="51" t="s">
        <v>6726</v>
      </c>
      <c r="K1266" s="15">
        <v>0</v>
      </c>
      <c r="L1266" s="51" t="s">
        <v>2371</v>
      </c>
      <c r="M1266" s="51" t="s">
        <v>6814</v>
      </c>
      <c r="N1266" s="51" t="s">
        <v>1340</v>
      </c>
      <c r="O1266" s="51" t="s">
        <v>67</v>
      </c>
      <c r="P1266" s="51" t="s">
        <v>67</v>
      </c>
      <c r="Q1266" s="45">
        <v>46286.581147210651</v>
      </c>
      <c r="R1266" s="46">
        <v>46299</v>
      </c>
      <c r="S1266" s="46">
        <v>46294</v>
      </c>
      <c r="T1266" s="51" t="s">
        <v>6119</v>
      </c>
      <c r="U1266" s="15"/>
      <c r="V1266" s="15"/>
      <c r="W1266" s="15"/>
      <c r="X1266" s="15"/>
      <c r="Y1266" s="15"/>
      <c r="Z1266" s="15"/>
      <c r="AA1266" s="46"/>
      <c r="AB1266" s="15"/>
      <c r="AC1266" s="15"/>
      <c r="AD1266" s="15"/>
      <c r="AE1266" s="15"/>
      <c r="AF1266" s="15"/>
      <c r="AG1266" s="15"/>
      <c r="AH1266" s="15"/>
      <c r="AI1266" s="46"/>
      <c r="AJ1266" s="51" t="s">
        <v>67</v>
      </c>
      <c r="AK1266" s="51" t="s">
        <v>67</v>
      </c>
      <c r="AL1266" s="15"/>
      <c r="AM1266" s="51" t="s">
        <v>67</v>
      </c>
      <c r="AN1266" s="51" t="s">
        <v>67</v>
      </c>
      <c r="AO1266" s="50" t="s">
        <v>9554</v>
      </c>
    </row>
    <row r="1267" spans="1:41" hidden="1" x14ac:dyDescent="0.25">
      <c r="A1267" s="51" t="s">
        <v>6815</v>
      </c>
      <c r="B1267" s="51" t="s">
        <v>6816</v>
      </c>
      <c r="C1267" s="54" t="s">
        <v>607</v>
      </c>
      <c r="D1267" s="51" t="s">
        <v>6817</v>
      </c>
      <c r="E1267" s="20">
        <v>10000</v>
      </c>
      <c r="F1267" s="20">
        <v>0</v>
      </c>
      <c r="G1267" s="20">
        <v>18848.439999999999</v>
      </c>
      <c r="H1267" s="20">
        <v>2710.32</v>
      </c>
      <c r="I1267" s="20">
        <v>865.78</v>
      </c>
      <c r="J1267" s="51" t="s">
        <v>6726</v>
      </c>
      <c r="K1267" s="15">
        <v>0</v>
      </c>
      <c r="L1267" s="51" t="s">
        <v>2371</v>
      </c>
      <c r="M1267" s="51" t="s">
        <v>6818</v>
      </c>
      <c r="N1267" s="51" t="s">
        <v>1340</v>
      </c>
      <c r="O1267" s="51" t="s">
        <v>67</v>
      </c>
      <c r="P1267" s="51" t="s">
        <v>67</v>
      </c>
      <c r="Q1267" s="45">
        <v>46286.581151458333</v>
      </c>
      <c r="R1267" s="46">
        <v>46310</v>
      </c>
      <c r="S1267" s="46">
        <v>46305</v>
      </c>
      <c r="T1267" s="51" t="s">
        <v>6119</v>
      </c>
      <c r="U1267" s="15"/>
      <c r="V1267" s="15"/>
      <c r="W1267" s="15"/>
      <c r="X1267" s="15"/>
      <c r="Y1267" s="15"/>
      <c r="Z1267" s="15"/>
      <c r="AA1267" s="46"/>
      <c r="AB1267" s="15"/>
      <c r="AC1267" s="15"/>
      <c r="AD1267" s="15"/>
      <c r="AE1267" s="15"/>
      <c r="AF1267" s="15"/>
      <c r="AG1267" s="15"/>
      <c r="AH1267" s="15"/>
      <c r="AI1267" s="46"/>
      <c r="AJ1267" s="51" t="s">
        <v>67</v>
      </c>
      <c r="AK1267" s="51" t="s">
        <v>67</v>
      </c>
      <c r="AL1267" s="15"/>
      <c r="AM1267" s="51" t="s">
        <v>67</v>
      </c>
      <c r="AN1267" s="51" t="s">
        <v>67</v>
      </c>
      <c r="AO1267" s="50" t="s">
        <v>9554</v>
      </c>
    </row>
    <row r="1268" spans="1:41" hidden="1" x14ac:dyDescent="0.25">
      <c r="A1268" s="51" t="s">
        <v>6819</v>
      </c>
      <c r="B1268" s="51" t="s">
        <v>6820</v>
      </c>
      <c r="C1268" s="54" t="s">
        <v>2694</v>
      </c>
      <c r="D1268" s="51" t="s">
        <v>6821</v>
      </c>
      <c r="E1268" s="20">
        <v>10000</v>
      </c>
      <c r="F1268" s="20">
        <v>0</v>
      </c>
      <c r="G1268" s="20">
        <v>4110.87</v>
      </c>
      <c r="H1268" s="20">
        <v>3347.17</v>
      </c>
      <c r="I1268" s="20">
        <v>642.9</v>
      </c>
      <c r="J1268" s="51" t="s">
        <v>6726</v>
      </c>
      <c r="K1268" s="15">
        <v>0</v>
      </c>
      <c r="L1268" s="51" t="s">
        <v>2371</v>
      </c>
      <c r="M1268" s="51" t="s">
        <v>6822</v>
      </c>
      <c r="N1268" s="51" t="s">
        <v>1340</v>
      </c>
      <c r="O1268" s="51" t="s">
        <v>67</v>
      </c>
      <c r="P1268" s="51" t="s">
        <v>67</v>
      </c>
      <c r="Q1268" s="45">
        <v>46286.581155451386</v>
      </c>
      <c r="R1268" s="46">
        <v>46312</v>
      </c>
      <c r="S1268" s="46">
        <v>46307</v>
      </c>
      <c r="T1268" s="51" t="s">
        <v>6119</v>
      </c>
      <c r="U1268" s="15"/>
      <c r="V1268" s="15"/>
      <c r="W1268" s="15"/>
      <c r="X1268" s="15"/>
      <c r="Y1268" s="15"/>
      <c r="Z1268" s="15"/>
      <c r="AA1268" s="46"/>
      <c r="AB1268" s="15"/>
      <c r="AC1268" s="15"/>
      <c r="AD1268" s="15"/>
      <c r="AE1268" s="15"/>
      <c r="AF1268" s="15"/>
      <c r="AG1268" s="15"/>
      <c r="AH1268" s="15"/>
      <c r="AI1268" s="46"/>
      <c r="AJ1268" s="51" t="s">
        <v>67</v>
      </c>
      <c r="AK1268" s="51" t="s">
        <v>67</v>
      </c>
      <c r="AL1268" s="15"/>
      <c r="AM1268" s="51" t="s">
        <v>67</v>
      </c>
      <c r="AN1268" s="51" t="s">
        <v>67</v>
      </c>
      <c r="AO1268" s="50" t="s">
        <v>9554</v>
      </c>
    </row>
    <row r="1269" spans="1:41" hidden="1" x14ac:dyDescent="0.25">
      <c r="A1269" s="51" t="s">
        <v>6823</v>
      </c>
      <c r="B1269" s="51" t="s">
        <v>6824</v>
      </c>
      <c r="C1269" s="54" t="s">
        <v>5597</v>
      </c>
      <c r="D1269" s="51" t="s">
        <v>6825</v>
      </c>
      <c r="E1269" s="20">
        <v>10000</v>
      </c>
      <c r="F1269" s="20">
        <v>91.5</v>
      </c>
      <c r="G1269" s="20">
        <v>9596</v>
      </c>
      <c r="H1269" s="20">
        <v>1589.63</v>
      </c>
      <c r="I1269" s="20">
        <v>850.45</v>
      </c>
      <c r="J1269" s="51" t="s">
        <v>6726</v>
      </c>
      <c r="K1269" s="15">
        <v>0</v>
      </c>
      <c r="L1269" s="51" t="s">
        <v>2371</v>
      </c>
      <c r="M1269" s="51" t="s">
        <v>6826</v>
      </c>
      <c r="N1269" s="51" t="s">
        <v>1340</v>
      </c>
      <c r="O1269" s="51" t="s">
        <v>6827</v>
      </c>
      <c r="P1269" s="51" t="s">
        <v>1340</v>
      </c>
      <c r="Q1269" s="45">
        <v>46286.581160300928</v>
      </c>
      <c r="R1269" s="46">
        <v>46321</v>
      </c>
      <c r="S1269" s="46">
        <v>46316</v>
      </c>
      <c r="T1269" s="51" t="s">
        <v>6119</v>
      </c>
      <c r="U1269" s="15"/>
      <c r="V1269" s="15"/>
      <c r="W1269" s="15"/>
      <c r="X1269" s="15"/>
      <c r="Y1269" s="15"/>
      <c r="Z1269" s="15"/>
      <c r="AA1269" s="46"/>
      <c r="AB1269" s="15"/>
      <c r="AC1269" s="15"/>
      <c r="AD1269" s="15"/>
      <c r="AE1269" s="15"/>
      <c r="AF1269" s="15"/>
      <c r="AG1269" s="15"/>
      <c r="AH1269" s="15"/>
      <c r="AI1269" s="46"/>
      <c r="AJ1269" s="51" t="s">
        <v>67</v>
      </c>
      <c r="AK1269" s="51" t="s">
        <v>67</v>
      </c>
      <c r="AL1269" s="15"/>
      <c r="AM1269" s="51" t="s">
        <v>67</v>
      </c>
      <c r="AN1269" s="51" t="s">
        <v>67</v>
      </c>
      <c r="AO1269" s="50" t="s">
        <v>9554</v>
      </c>
    </row>
    <row r="1270" spans="1:41" hidden="1" x14ac:dyDescent="0.25">
      <c r="A1270" s="51" t="s">
        <v>6828</v>
      </c>
      <c r="B1270" s="51" t="s">
        <v>6829</v>
      </c>
      <c r="C1270" s="54" t="s">
        <v>5601</v>
      </c>
      <c r="D1270" s="51" t="s">
        <v>6830</v>
      </c>
      <c r="E1270" s="20">
        <v>10000</v>
      </c>
      <c r="F1270" s="20">
        <v>294.02</v>
      </c>
      <c r="G1270" s="20">
        <v>15860.05</v>
      </c>
      <c r="H1270" s="20">
        <v>1020.99</v>
      </c>
      <c r="I1270" s="20">
        <v>665.24</v>
      </c>
      <c r="J1270" s="51" t="s">
        <v>6726</v>
      </c>
      <c r="K1270" s="15">
        <v>0</v>
      </c>
      <c r="L1270" s="51" t="s">
        <v>2371</v>
      </c>
      <c r="M1270" s="51" t="s">
        <v>6831</v>
      </c>
      <c r="N1270" s="51" t="s">
        <v>1340</v>
      </c>
      <c r="O1270" s="51" t="s">
        <v>67</v>
      </c>
      <c r="P1270" s="51" t="s">
        <v>67</v>
      </c>
      <c r="Q1270" s="45">
        <v>46286.581165231481</v>
      </c>
      <c r="R1270" s="46">
        <v>46316</v>
      </c>
      <c r="S1270" s="46">
        <v>46311</v>
      </c>
      <c r="T1270" s="51" t="s">
        <v>6119</v>
      </c>
      <c r="U1270" s="15"/>
      <c r="V1270" s="15"/>
      <c r="W1270" s="15"/>
      <c r="X1270" s="15"/>
      <c r="Y1270" s="15"/>
      <c r="Z1270" s="15"/>
      <c r="AA1270" s="46"/>
      <c r="AB1270" s="15"/>
      <c r="AC1270" s="15"/>
      <c r="AD1270" s="15"/>
      <c r="AE1270" s="15"/>
      <c r="AF1270" s="15"/>
      <c r="AG1270" s="15"/>
      <c r="AH1270" s="15"/>
      <c r="AI1270" s="46"/>
      <c r="AJ1270" s="51" t="s">
        <v>67</v>
      </c>
      <c r="AK1270" s="51" t="s">
        <v>67</v>
      </c>
      <c r="AL1270" s="15"/>
      <c r="AM1270" s="51" t="s">
        <v>67</v>
      </c>
      <c r="AN1270" s="51" t="s">
        <v>67</v>
      </c>
      <c r="AO1270" s="50" t="s">
        <v>9554</v>
      </c>
    </row>
    <row r="1271" spans="1:41" hidden="1" x14ac:dyDescent="0.25">
      <c r="A1271" s="51" t="s">
        <v>6832</v>
      </c>
      <c r="B1271" s="51" t="s">
        <v>6833</v>
      </c>
      <c r="C1271" s="54" t="s">
        <v>2345</v>
      </c>
      <c r="D1271" s="51" t="s">
        <v>6834</v>
      </c>
      <c r="E1271" s="20">
        <v>10000</v>
      </c>
      <c r="F1271" s="20">
        <v>0</v>
      </c>
      <c r="G1271" s="20">
        <v>20910.98</v>
      </c>
      <c r="H1271" s="20">
        <v>1593.88</v>
      </c>
      <c r="I1271" s="20">
        <v>566.4</v>
      </c>
      <c r="J1271" s="51" t="s">
        <v>6726</v>
      </c>
      <c r="K1271" s="15">
        <v>0</v>
      </c>
      <c r="L1271" s="51" t="s">
        <v>2371</v>
      </c>
      <c r="M1271" s="51" t="s">
        <v>6835</v>
      </c>
      <c r="N1271" s="51" t="s">
        <v>1340</v>
      </c>
      <c r="O1271" s="51" t="s">
        <v>6836</v>
      </c>
      <c r="P1271" s="51" t="s">
        <v>1340</v>
      </c>
      <c r="Q1271" s="45">
        <v>46286.581169618054</v>
      </c>
      <c r="R1271" s="46">
        <v>46306</v>
      </c>
      <c r="S1271" s="46">
        <v>46301</v>
      </c>
      <c r="T1271" s="51" t="s">
        <v>6119</v>
      </c>
      <c r="U1271" s="15"/>
      <c r="V1271" s="15"/>
      <c r="W1271" s="15"/>
      <c r="X1271" s="15"/>
      <c r="Y1271" s="15"/>
      <c r="Z1271" s="15"/>
      <c r="AA1271" s="46"/>
      <c r="AB1271" s="15"/>
      <c r="AC1271" s="15"/>
      <c r="AD1271" s="15"/>
      <c r="AE1271" s="15"/>
      <c r="AF1271" s="15"/>
      <c r="AG1271" s="15"/>
      <c r="AH1271" s="15"/>
      <c r="AI1271" s="46"/>
      <c r="AJ1271" s="51" t="s">
        <v>67</v>
      </c>
      <c r="AK1271" s="51" t="s">
        <v>67</v>
      </c>
      <c r="AL1271" s="15"/>
      <c r="AM1271" s="51" t="s">
        <v>67</v>
      </c>
      <c r="AN1271" s="51" t="s">
        <v>67</v>
      </c>
      <c r="AO1271" s="50" t="s">
        <v>9554</v>
      </c>
    </row>
    <row r="1272" spans="1:41" hidden="1" x14ac:dyDescent="0.25">
      <c r="A1272" s="51" t="s">
        <v>6837</v>
      </c>
      <c r="B1272" s="51" t="s">
        <v>6838</v>
      </c>
      <c r="C1272" s="54" t="s">
        <v>5601</v>
      </c>
      <c r="D1272" s="51" t="s">
        <v>6839</v>
      </c>
      <c r="E1272" s="20">
        <v>10000</v>
      </c>
      <c r="F1272" s="20">
        <v>185.12</v>
      </c>
      <c r="G1272" s="20">
        <v>2780.8</v>
      </c>
      <c r="H1272" s="20">
        <v>1301.5</v>
      </c>
      <c r="I1272" s="20">
        <v>752.05</v>
      </c>
      <c r="J1272" s="51" t="s">
        <v>6726</v>
      </c>
      <c r="K1272" s="15">
        <v>0</v>
      </c>
      <c r="L1272" s="51" t="s">
        <v>2371</v>
      </c>
      <c r="M1272" s="51" t="s">
        <v>6840</v>
      </c>
      <c r="N1272" s="51" t="s">
        <v>1344</v>
      </c>
      <c r="O1272" s="51" t="s">
        <v>67</v>
      </c>
      <c r="P1272" s="51" t="s">
        <v>67</v>
      </c>
      <c r="Q1272" s="45">
        <v>46286.581174155093</v>
      </c>
      <c r="R1272" s="46">
        <v>46316</v>
      </c>
      <c r="S1272" s="46">
        <v>46311</v>
      </c>
      <c r="T1272" s="51" t="s">
        <v>6119</v>
      </c>
      <c r="U1272" s="15"/>
      <c r="V1272" s="15"/>
      <c r="W1272" s="15"/>
      <c r="X1272" s="15"/>
      <c r="Y1272" s="15"/>
      <c r="Z1272" s="15"/>
      <c r="AA1272" s="46"/>
      <c r="AB1272" s="15"/>
      <c r="AC1272" s="15"/>
      <c r="AD1272" s="15"/>
      <c r="AE1272" s="15"/>
      <c r="AF1272" s="15"/>
      <c r="AG1272" s="15"/>
      <c r="AH1272" s="15"/>
      <c r="AI1272" s="46"/>
      <c r="AJ1272" s="51" t="s">
        <v>67</v>
      </c>
      <c r="AK1272" s="51" t="s">
        <v>67</v>
      </c>
      <c r="AL1272" s="15"/>
      <c r="AM1272" s="51" t="s">
        <v>67</v>
      </c>
      <c r="AN1272" s="51" t="s">
        <v>67</v>
      </c>
      <c r="AO1272" s="50" t="s">
        <v>9554</v>
      </c>
    </row>
    <row r="1273" spans="1:41" hidden="1" x14ac:dyDescent="0.25">
      <c r="A1273" s="51" t="s">
        <v>6841</v>
      </c>
      <c r="B1273" s="51" t="s">
        <v>6842</v>
      </c>
      <c r="C1273" s="54" t="s">
        <v>5602</v>
      </c>
      <c r="D1273" s="51" t="s">
        <v>6843</v>
      </c>
      <c r="E1273" s="20">
        <v>10000</v>
      </c>
      <c r="F1273" s="20">
        <v>83.57</v>
      </c>
      <c r="G1273" s="20">
        <v>12334.13</v>
      </c>
      <c r="H1273" s="20">
        <v>1489.14</v>
      </c>
      <c r="I1273" s="20">
        <v>795.6</v>
      </c>
      <c r="J1273" s="51" t="s">
        <v>6726</v>
      </c>
      <c r="K1273" s="15">
        <v>0</v>
      </c>
      <c r="L1273" s="51" t="s">
        <v>2371</v>
      </c>
      <c r="M1273" s="51" t="s">
        <v>6844</v>
      </c>
      <c r="N1273" s="51" t="s">
        <v>1344</v>
      </c>
      <c r="O1273" s="51" t="s">
        <v>67</v>
      </c>
      <c r="P1273" s="51" t="s">
        <v>67</v>
      </c>
      <c r="Q1273" s="45">
        <v>46286.581180000001</v>
      </c>
      <c r="R1273" s="46">
        <v>46303</v>
      </c>
      <c r="S1273" s="46">
        <v>46298</v>
      </c>
      <c r="T1273" s="51" t="s">
        <v>6119</v>
      </c>
      <c r="U1273" s="15"/>
      <c r="V1273" s="15"/>
      <c r="W1273" s="15"/>
      <c r="X1273" s="15"/>
      <c r="Y1273" s="15"/>
      <c r="Z1273" s="15"/>
      <c r="AA1273" s="46"/>
      <c r="AB1273" s="15"/>
      <c r="AC1273" s="15"/>
      <c r="AD1273" s="15"/>
      <c r="AE1273" s="15"/>
      <c r="AF1273" s="15"/>
      <c r="AG1273" s="15"/>
      <c r="AH1273" s="15"/>
      <c r="AI1273" s="46"/>
      <c r="AJ1273" s="51" t="s">
        <v>67</v>
      </c>
      <c r="AK1273" s="51" t="s">
        <v>67</v>
      </c>
      <c r="AL1273" s="15"/>
      <c r="AM1273" s="51" t="s">
        <v>67</v>
      </c>
      <c r="AN1273" s="51" t="s">
        <v>67</v>
      </c>
      <c r="AO1273" s="50" t="s">
        <v>9554</v>
      </c>
    </row>
    <row r="1274" spans="1:41" hidden="1" x14ac:dyDescent="0.25">
      <c r="A1274" s="51" t="s">
        <v>6845</v>
      </c>
      <c r="B1274" s="51" t="s">
        <v>6846</v>
      </c>
      <c r="C1274" s="54" t="s">
        <v>605</v>
      </c>
      <c r="D1274" s="51" t="s">
        <v>6847</v>
      </c>
      <c r="E1274" s="20">
        <v>10000</v>
      </c>
      <c r="F1274" s="20">
        <v>325.14999999999998</v>
      </c>
      <c r="G1274" s="20">
        <v>1950.21</v>
      </c>
      <c r="H1274" s="20">
        <v>1061.6300000000001</v>
      </c>
      <c r="I1274" s="20">
        <v>701.54</v>
      </c>
      <c r="J1274" s="51" t="s">
        <v>6726</v>
      </c>
      <c r="K1274" s="15">
        <v>0</v>
      </c>
      <c r="L1274" s="51" t="s">
        <v>2371</v>
      </c>
      <c r="M1274" s="51" t="s">
        <v>67</v>
      </c>
      <c r="N1274" s="51" t="s">
        <v>67</v>
      </c>
      <c r="O1274" s="51" t="s">
        <v>6848</v>
      </c>
      <c r="P1274" s="51" t="s">
        <v>1340</v>
      </c>
      <c r="Q1274" s="45">
        <v>46286.581185000003</v>
      </c>
      <c r="R1274" s="46">
        <v>46305</v>
      </c>
      <c r="S1274" s="46">
        <v>46300</v>
      </c>
      <c r="T1274" s="51" t="s">
        <v>6119</v>
      </c>
      <c r="U1274" s="15"/>
      <c r="V1274" s="15"/>
      <c r="W1274" s="15"/>
      <c r="X1274" s="15"/>
      <c r="Y1274" s="15"/>
      <c r="Z1274" s="15"/>
      <c r="AA1274" s="46"/>
      <c r="AB1274" s="15"/>
      <c r="AC1274" s="15"/>
      <c r="AD1274" s="15"/>
      <c r="AE1274" s="15"/>
      <c r="AF1274" s="15"/>
      <c r="AG1274" s="15"/>
      <c r="AH1274" s="15"/>
      <c r="AI1274" s="46"/>
      <c r="AJ1274" s="51" t="s">
        <v>67</v>
      </c>
      <c r="AK1274" s="51" t="s">
        <v>67</v>
      </c>
      <c r="AL1274" s="15"/>
      <c r="AM1274" s="51" t="s">
        <v>67</v>
      </c>
      <c r="AN1274" s="51" t="s">
        <v>67</v>
      </c>
      <c r="AO1274" s="50" t="s">
        <v>9554</v>
      </c>
    </row>
    <row r="1275" spans="1:41" hidden="1" x14ac:dyDescent="0.25">
      <c r="A1275" s="51" t="s">
        <v>6849</v>
      </c>
      <c r="B1275" s="51" t="s">
        <v>6850</v>
      </c>
      <c r="C1275" s="54" t="s">
        <v>5601</v>
      </c>
      <c r="D1275" s="51" t="s">
        <v>6851</v>
      </c>
      <c r="E1275" s="20">
        <v>10000</v>
      </c>
      <c r="F1275" s="20">
        <v>604.23</v>
      </c>
      <c r="G1275" s="20">
        <v>6192.24</v>
      </c>
      <c r="H1275" s="20">
        <v>1068.1199999999999</v>
      </c>
      <c r="I1275" s="20">
        <v>846.01</v>
      </c>
      <c r="J1275" s="51" t="s">
        <v>6726</v>
      </c>
      <c r="K1275" s="15">
        <v>0</v>
      </c>
      <c r="L1275" s="51" t="s">
        <v>2371</v>
      </c>
      <c r="M1275" s="51" t="s">
        <v>67</v>
      </c>
      <c r="N1275" s="51" t="s">
        <v>67</v>
      </c>
      <c r="O1275" s="51" t="s">
        <v>6852</v>
      </c>
      <c r="P1275" s="51" t="s">
        <v>1340</v>
      </c>
      <c r="Q1275" s="45">
        <v>46286.581190046294</v>
      </c>
      <c r="R1275" s="46">
        <v>46316</v>
      </c>
      <c r="S1275" s="46">
        <v>46311</v>
      </c>
      <c r="T1275" s="51" t="s">
        <v>6119</v>
      </c>
      <c r="U1275" s="15"/>
      <c r="V1275" s="15"/>
      <c r="W1275" s="15"/>
      <c r="X1275" s="15"/>
      <c r="Y1275" s="15"/>
      <c r="Z1275" s="15"/>
      <c r="AA1275" s="46"/>
      <c r="AB1275" s="15"/>
      <c r="AC1275" s="15"/>
      <c r="AD1275" s="15"/>
      <c r="AE1275" s="15"/>
      <c r="AF1275" s="15"/>
      <c r="AG1275" s="15"/>
      <c r="AH1275" s="15"/>
      <c r="AI1275" s="46"/>
      <c r="AJ1275" s="51" t="s">
        <v>67</v>
      </c>
      <c r="AK1275" s="51" t="s">
        <v>67</v>
      </c>
      <c r="AL1275" s="15"/>
      <c r="AM1275" s="51" t="s">
        <v>67</v>
      </c>
      <c r="AN1275" s="51" t="s">
        <v>67</v>
      </c>
      <c r="AO1275" s="50" t="s">
        <v>9554</v>
      </c>
    </row>
    <row r="1276" spans="1:41" hidden="1" x14ac:dyDescent="0.25">
      <c r="A1276" s="51" t="s">
        <v>6853</v>
      </c>
      <c r="B1276" s="51" t="s">
        <v>6854</v>
      </c>
      <c r="C1276" s="54" t="s">
        <v>5597</v>
      </c>
      <c r="D1276" s="51" t="s">
        <v>6855</v>
      </c>
      <c r="E1276" s="20">
        <v>10000</v>
      </c>
      <c r="F1276" s="20">
        <v>0</v>
      </c>
      <c r="G1276" s="20">
        <v>4528.33</v>
      </c>
      <c r="H1276" s="20">
        <v>3027.52</v>
      </c>
      <c r="I1276" s="20">
        <v>931.86</v>
      </c>
      <c r="J1276" s="51" t="s">
        <v>6726</v>
      </c>
      <c r="K1276" s="15">
        <v>0</v>
      </c>
      <c r="L1276" s="51" t="s">
        <v>2371</v>
      </c>
      <c r="M1276" s="51" t="s">
        <v>6856</v>
      </c>
      <c r="N1276" s="51" t="s">
        <v>1344</v>
      </c>
      <c r="O1276" s="51" t="s">
        <v>67</v>
      </c>
      <c r="P1276" s="51" t="s">
        <v>67</v>
      </c>
      <c r="Q1276" s="45">
        <v>46286.581200300927</v>
      </c>
      <c r="R1276" s="46">
        <v>46321</v>
      </c>
      <c r="S1276" s="46">
        <v>46316</v>
      </c>
      <c r="T1276" s="51" t="s">
        <v>6119</v>
      </c>
      <c r="U1276" s="15"/>
      <c r="V1276" s="15"/>
      <c r="W1276" s="15"/>
      <c r="X1276" s="15"/>
      <c r="Y1276" s="15"/>
      <c r="Z1276" s="15"/>
      <c r="AA1276" s="46"/>
      <c r="AB1276" s="15"/>
      <c r="AC1276" s="15"/>
      <c r="AD1276" s="15"/>
      <c r="AE1276" s="15"/>
      <c r="AF1276" s="15"/>
      <c r="AG1276" s="15"/>
      <c r="AH1276" s="15"/>
      <c r="AI1276" s="46"/>
      <c r="AJ1276" s="51" t="s">
        <v>67</v>
      </c>
      <c r="AK1276" s="51" t="s">
        <v>67</v>
      </c>
      <c r="AL1276" s="15"/>
      <c r="AM1276" s="51" t="s">
        <v>67</v>
      </c>
      <c r="AN1276" s="51" t="s">
        <v>67</v>
      </c>
      <c r="AO1276" s="50" t="s">
        <v>9554</v>
      </c>
    </row>
    <row r="1277" spans="1:41" hidden="1" x14ac:dyDescent="0.25">
      <c r="A1277" s="51" t="s">
        <v>6857</v>
      </c>
      <c r="B1277" s="51" t="s">
        <v>6858</v>
      </c>
      <c r="C1277" s="54" t="s">
        <v>2689</v>
      </c>
      <c r="D1277" s="51" t="s">
        <v>6859</v>
      </c>
      <c r="E1277" s="20">
        <v>10000</v>
      </c>
      <c r="F1277" s="20">
        <v>147.59</v>
      </c>
      <c r="G1277" s="20">
        <v>5317.29</v>
      </c>
      <c r="H1277" s="20">
        <v>910.72</v>
      </c>
      <c r="I1277" s="20">
        <v>535.38</v>
      </c>
      <c r="J1277" s="51" t="s">
        <v>6726</v>
      </c>
      <c r="K1277" s="15">
        <v>0</v>
      </c>
      <c r="L1277" s="51" t="s">
        <v>2371</v>
      </c>
      <c r="M1277" s="51" t="s">
        <v>6860</v>
      </c>
      <c r="N1277" s="51" t="s">
        <v>1340</v>
      </c>
      <c r="O1277" s="51" t="s">
        <v>67</v>
      </c>
      <c r="P1277" s="51" t="s">
        <v>67</v>
      </c>
      <c r="Q1277" s="45">
        <v>46286.581208993055</v>
      </c>
      <c r="R1277" s="46">
        <v>46317</v>
      </c>
      <c r="S1277" s="46">
        <v>46312</v>
      </c>
      <c r="T1277" s="51" t="s">
        <v>6119</v>
      </c>
      <c r="U1277" s="15"/>
      <c r="V1277" s="15"/>
      <c r="W1277" s="15"/>
      <c r="X1277" s="15"/>
      <c r="Y1277" s="15"/>
      <c r="Z1277" s="15"/>
      <c r="AA1277" s="46"/>
      <c r="AB1277" s="15"/>
      <c r="AC1277" s="15"/>
      <c r="AD1277" s="15"/>
      <c r="AE1277" s="15"/>
      <c r="AF1277" s="15"/>
      <c r="AG1277" s="15"/>
      <c r="AH1277" s="15"/>
      <c r="AI1277" s="46"/>
      <c r="AJ1277" s="51" t="s">
        <v>67</v>
      </c>
      <c r="AK1277" s="51" t="s">
        <v>67</v>
      </c>
      <c r="AL1277" s="15"/>
      <c r="AM1277" s="51" t="s">
        <v>67</v>
      </c>
      <c r="AN1277" s="51" t="s">
        <v>67</v>
      </c>
      <c r="AO1277" s="50" t="s">
        <v>9554</v>
      </c>
    </row>
    <row r="1278" spans="1:41" hidden="1" x14ac:dyDescent="0.25">
      <c r="A1278" s="51" t="s">
        <v>6861</v>
      </c>
      <c r="B1278" s="51" t="s">
        <v>6862</v>
      </c>
      <c r="C1278" s="54" t="s">
        <v>2692</v>
      </c>
      <c r="D1278" s="51" t="s">
        <v>6863</v>
      </c>
      <c r="E1278" s="20">
        <v>10000</v>
      </c>
      <c r="F1278" s="20">
        <v>450.68</v>
      </c>
      <c r="G1278" s="20">
        <v>19386.43</v>
      </c>
      <c r="H1278" s="20">
        <v>1104.53</v>
      </c>
      <c r="I1278" s="20">
        <v>786.75</v>
      </c>
      <c r="J1278" s="51" t="s">
        <v>6726</v>
      </c>
      <c r="K1278" s="15">
        <v>0</v>
      </c>
      <c r="L1278" s="51" t="s">
        <v>2371</v>
      </c>
      <c r="M1278" s="51" t="s">
        <v>6864</v>
      </c>
      <c r="N1278" s="51" t="s">
        <v>1340</v>
      </c>
      <c r="O1278" s="51" t="s">
        <v>67</v>
      </c>
      <c r="P1278" s="51" t="s">
        <v>67</v>
      </c>
      <c r="Q1278" s="45">
        <v>46286.581215289349</v>
      </c>
      <c r="R1278" s="46">
        <v>46296</v>
      </c>
      <c r="S1278" s="46">
        <v>46291</v>
      </c>
      <c r="T1278" s="51" t="s">
        <v>6119</v>
      </c>
      <c r="U1278" s="15"/>
      <c r="V1278" s="15"/>
      <c r="W1278" s="15"/>
      <c r="X1278" s="15"/>
      <c r="Y1278" s="15"/>
      <c r="Z1278" s="15"/>
      <c r="AA1278" s="46"/>
      <c r="AB1278" s="15"/>
      <c r="AC1278" s="15"/>
      <c r="AD1278" s="15"/>
      <c r="AE1278" s="15"/>
      <c r="AF1278" s="15"/>
      <c r="AG1278" s="15"/>
      <c r="AH1278" s="15"/>
      <c r="AI1278" s="46"/>
      <c r="AJ1278" s="51" t="s">
        <v>67</v>
      </c>
      <c r="AK1278" s="51" t="s">
        <v>67</v>
      </c>
      <c r="AL1278" s="15"/>
      <c r="AM1278" s="51" t="s">
        <v>67</v>
      </c>
      <c r="AN1278" s="51" t="s">
        <v>67</v>
      </c>
      <c r="AO1278" s="50" t="s">
        <v>9554</v>
      </c>
    </row>
    <row r="1279" spans="1:41" hidden="1" x14ac:dyDescent="0.25">
      <c r="A1279" s="51" t="s">
        <v>6865</v>
      </c>
      <c r="B1279" s="51" t="s">
        <v>6866</v>
      </c>
      <c r="C1279" s="54" t="s">
        <v>5605</v>
      </c>
      <c r="D1279" s="51" t="s">
        <v>6867</v>
      </c>
      <c r="E1279" s="20">
        <v>10000</v>
      </c>
      <c r="F1279" s="20">
        <v>0</v>
      </c>
      <c r="G1279" s="20">
        <v>10097.23</v>
      </c>
      <c r="H1279" s="20">
        <v>1328</v>
      </c>
      <c r="I1279" s="20">
        <v>582.49</v>
      </c>
      <c r="J1279" s="51" t="s">
        <v>6726</v>
      </c>
      <c r="K1279" s="15">
        <v>0</v>
      </c>
      <c r="L1279" s="51" t="s">
        <v>2371</v>
      </c>
      <c r="M1279" s="51" t="s">
        <v>67</v>
      </c>
      <c r="N1279" s="51" t="s">
        <v>67</v>
      </c>
      <c r="O1279" s="51" t="s">
        <v>6868</v>
      </c>
      <c r="P1279" s="51" t="s">
        <v>1340</v>
      </c>
      <c r="Q1279" s="45">
        <v>46286.581221087959</v>
      </c>
      <c r="R1279" s="46">
        <v>46323</v>
      </c>
      <c r="S1279" s="46">
        <v>46318</v>
      </c>
      <c r="T1279" s="51" t="s">
        <v>6119</v>
      </c>
      <c r="U1279" s="15"/>
      <c r="V1279" s="15"/>
      <c r="W1279" s="15"/>
      <c r="X1279" s="15"/>
      <c r="Y1279" s="15"/>
      <c r="Z1279" s="15"/>
      <c r="AA1279" s="46"/>
      <c r="AB1279" s="15"/>
      <c r="AC1279" s="15"/>
      <c r="AD1279" s="15"/>
      <c r="AE1279" s="15"/>
      <c r="AF1279" s="15"/>
      <c r="AG1279" s="15"/>
      <c r="AH1279" s="15"/>
      <c r="AI1279" s="46"/>
      <c r="AJ1279" s="51" t="s">
        <v>67</v>
      </c>
      <c r="AK1279" s="51" t="s">
        <v>67</v>
      </c>
      <c r="AL1279" s="15"/>
      <c r="AM1279" s="51" t="s">
        <v>67</v>
      </c>
      <c r="AN1279" s="51" t="s">
        <v>67</v>
      </c>
      <c r="AO1279" s="50" t="s">
        <v>9554</v>
      </c>
    </row>
    <row r="1280" spans="1:41" hidden="1" x14ac:dyDescent="0.25">
      <c r="A1280" s="51" t="s">
        <v>6869</v>
      </c>
      <c r="B1280" s="51" t="s">
        <v>6870</v>
      </c>
      <c r="C1280" s="54" t="s">
        <v>5608</v>
      </c>
      <c r="D1280" s="51" t="s">
        <v>6817</v>
      </c>
      <c r="E1280" s="20">
        <v>10000</v>
      </c>
      <c r="F1280" s="20">
        <v>0</v>
      </c>
      <c r="G1280" s="20">
        <v>14004.52</v>
      </c>
      <c r="H1280" s="20">
        <v>2536.13</v>
      </c>
      <c r="I1280" s="20">
        <v>778.62</v>
      </c>
      <c r="J1280" s="51" t="s">
        <v>6726</v>
      </c>
      <c r="K1280" s="15">
        <v>0</v>
      </c>
      <c r="L1280" s="51" t="s">
        <v>2371</v>
      </c>
      <c r="M1280" s="51" t="s">
        <v>6871</v>
      </c>
      <c r="N1280" s="51" t="s">
        <v>1340</v>
      </c>
      <c r="O1280" s="51" t="s">
        <v>6872</v>
      </c>
      <c r="P1280" s="51" t="s">
        <v>1340</v>
      </c>
      <c r="Q1280" s="45">
        <v>46286.581231759257</v>
      </c>
      <c r="R1280" s="46">
        <v>46319</v>
      </c>
      <c r="S1280" s="46">
        <v>46314</v>
      </c>
      <c r="T1280" s="51" t="s">
        <v>6119</v>
      </c>
      <c r="U1280" s="15"/>
      <c r="V1280" s="15"/>
      <c r="W1280" s="15"/>
      <c r="X1280" s="15"/>
      <c r="Y1280" s="15"/>
      <c r="Z1280" s="15"/>
      <c r="AA1280" s="46"/>
      <c r="AB1280" s="15"/>
      <c r="AC1280" s="15"/>
      <c r="AD1280" s="15"/>
      <c r="AE1280" s="15"/>
      <c r="AF1280" s="15"/>
      <c r="AG1280" s="15"/>
      <c r="AH1280" s="15"/>
      <c r="AI1280" s="46"/>
      <c r="AJ1280" s="51" t="s">
        <v>67</v>
      </c>
      <c r="AK1280" s="51" t="s">
        <v>67</v>
      </c>
      <c r="AL1280" s="15"/>
      <c r="AM1280" s="51" t="s">
        <v>67</v>
      </c>
      <c r="AN1280" s="51" t="s">
        <v>67</v>
      </c>
      <c r="AO1280" s="50" t="s">
        <v>9554</v>
      </c>
    </row>
    <row r="1281" spans="1:41" hidden="1" x14ac:dyDescent="0.25">
      <c r="A1281" s="51" t="s">
        <v>6873</v>
      </c>
      <c r="B1281" s="51" t="s">
        <v>6874</v>
      </c>
      <c r="C1281" s="54" t="s">
        <v>2689</v>
      </c>
      <c r="D1281" s="51" t="s">
        <v>6875</v>
      </c>
      <c r="E1281" s="20">
        <v>10000</v>
      </c>
      <c r="F1281" s="20">
        <v>170.47</v>
      </c>
      <c r="G1281" s="20">
        <v>5928.76</v>
      </c>
      <c r="H1281" s="20">
        <v>1313.99</v>
      </c>
      <c r="I1281" s="20">
        <v>750.96</v>
      </c>
      <c r="J1281" s="51" t="s">
        <v>6726</v>
      </c>
      <c r="K1281" s="15">
        <v>0</v>
      </c>
      <c r="L1281" s="51" t="s">
        <v>2371</v>
      </c>
      <c r="M1281" s="51" t="s">
        <v>6876</v>
      </c>
      <c r="N1281" s="51" t="s">
        <v>1340</v>
      </c>
      <c r="O1281" s="51" t="s">
        <v>6877</v>
      </c>
      <c r="P1281" s="51" t="s">
        <v>1340</v>
      </c>
      <c r="Q1281" s="45">
        <v>46286.581236076388</v>
      </c>
      <c r="R1281" s="46">
        <v>46317</v>
      </c>
      <c r="S1281" s="46">
        <v>46312</v>
      </c>
      <c r="T1281" s="51" t="s">
        <v>6119</v>
      </c>
      <c r="U1281" s="15"/>
      <c r="V1281" s="15"/>
      <c r="W1281" s="15"/>
      <c r="X1281" s="15"/>
      <c r="Y1281" s="15"/>
      <c r="Z1281" s="15"/>
      <c r="AA1281" s="46"/>
      <c r="AB1281" s="15"/>
      <c r="AC1281" s="15"/>
      <c r="AD1281" s="15"/>
      <c r="AE1281" s="15"/>
      <c r="AF1281" s="15"/>
      <c r="AG1281" s="15"/>
      <c r="AH1281" s="15"/>
      <c r="AI1281" s="46"/>
      <c r="AJ1281" s="51" t="s">
        <v>67</v>
      </c>
      <c r="AK1281" s="51" t="s">
        <v>67</v>
      </c>
      <c r="AL1281" s="15"/>
      <c r="AM1281" s="51" t="s">
        <v>67</v>
      </c>
      <c r="AN1281" s="51" t="s">
        <v>67</v>
      </c>
      <c r="AO1281" s="50" t="s">
        <v>9554</v>
      </c>
    </row>
    <row r="1282" spans="1:41" hidden="1" x14ac:dyDescent="0.25">
      <c r="A1282" s="51" t="s">
        <v>6878</v>
      </c>
      <c r="B1282" s="51" t="s">
        <v>6879</v>
      </c>
      <c r="C1282" s="54" t="s">
        <v>5606</v>
      </c>
      <c r="D1282" s="51" t="s">
        <v>6880</v>
      </c>
      <c r="E1282" s="20">
        <v>10000</v>
      </c>
      <c r="F1282" s="20">
        <v>0</v>
      </c>
      <c r="G1282" s="20">
        <v>4871.1000000000004</v>
      </c>
      <c r="H1282" s="20">
        <v>8605.34</v>
      </c>
      <c r="I1282" s="20">
        <v>489.02</v>
      </c>
      <c r="J1282" s="51" t="s">
        <v>6726</v>
      </c>
      <c r="K1282" s="15">
        <v>0</v>
      </c>
      <c r="L1282" s="51" t="s">
        <v>2371</v>
      </c>
      <c r="M1282" s="51" t="s">
        <v>6881</v>
      </c>
      <c r="N1282" s="51" t="s">
        <v>1344</v>
      </c>
      <c r="O1282" s="51" t="s">
        <v>6882</v>
      </c>
      <c r="P1282" s="51" t="s">
        <v>1344</v>
      </c>
      <c r="Q1282" s="45">
        <v>46286.581243715278</v>
      </c>
      <c r="R1282" s="46">
        <v>46297</v>
      </c>
      <c r="S1282" s="46">
        <v>46292</v>
      </c>
      <c r="T1282" s="51" t="s">
        <v>6119</v>
      </c>
      <c r="U1282" s="15"/>
      <c r="V1282" s="15"/>
      <c r="W1282" s="15"/>
      <c r="X1282" s="15"/>
      <c r="Y1282" s="15"/>
      <c r="Z1282" s="15"/>
      <c r="AA1282" s="46"/>
      <c r="AB1282" s="15"/>
      <c r="AC1282" s="15"/>
      <c r="AD1282" s="15"/>
      <c r="AE1282" s="15"/>
      <c r="AF1282" s="15"/>
      <c r="AG1282" s="15"/>
      <c r="AH1282" s="15"/>
      <c r="AI1282" s="46"/>
      <c r="AJ1282" s="51" t="s">
        <v>67</v>
      </c>
      <c r="AK1282" s="51" t="s">
        <v>67</v>
      </c>
      <c r="AL1282" s="15"/>
      <c r="AM1282" s="51" t="s">
        <v>67</v>
      </c>
      <c r="AN1282" s="51" t="s">
        <v>67</v>
      </c>
      <c r="AO1282" s="50" t="s">
        <v>9554</v>
      </c>
    </row>
    <row r="1283" spans="1:41" hidden="1" x14ac:dyDescent="0.25">
      <c r="A1283" s="51" t="s">
        <v>6883</v>
      </c>
      <c r="B1283" s="51" t="s">
        <v>6884</v>
      </c>
      <c r="C1283" s="54" t="s">
        <v>5597</v>
      </c>
      <c r="D1283" s="51" t="s">
        <v>1475</v>
      </c>
      <c r="E1283" s="20">
        <v>10000</v>
      </c>
      <c r="F1283" s="20">
        <v>0</v>
      </c>
      <c r="G1283" s="20">
        <v>20682.189999999999</v>
      </c>
      <c r="H1283" s="20">
        <v>2853.38</v>
      </c>
      <c r="I1283" s="20">
        <v>768.45</v>
      </c>
      <c r="J1283" s="51" t="s">
        <v>6726</v>
      </c>
      <c r="K1283" s="15">
        <v>0</v>
      </c>
      <c r="L1283" s="51" t="s">
        <v>2371</v>
      </c>
      <c r="M1283" s="51" t="s">
        <v>6885</v>
      </c>
      <c r="N1283" s="51" t="s">
        <v>1344</v>
      </c>
      <c r="O1283" s="51" t="s">
        <v>67</v>
      </c>
      <c r="P1283" s="51" t="s">
        <v>67</v>
      </c>
      <c r="Q1283" s="45">
        <v>46286.581248206021</v>
      </c>
      <c r="R1283" s="46">
        <v>46321</v>
      </c>
      <c r="S1283" s="46">
        <v>46316</v>
      </c>
      <c r="T1283" s="51" t="s">
        <v>6119</v>
      </c>
      <c r="U1283" s="15"/>
      <c r="V1283" s="15"/>
      <c r="W1283" s="15"/>
      <c r="X1283" s="15"/>
      <c r="Y1283" s="15"/>
      <c r="Z1283" s="15"/>
      <c r="AA1283" s="46"/>
      <c r="AB1283" s="15"/>
      <c r="AC1283" s="15"/>
      <c r="AD1283" s="15"/>
      <c r="AE1283" s="15"/>
      <c r="AF1283" s="15"/>
      <c r="AG1283" s="15"/>
      <c r="AH1283" s="15"/>
      <c r="AI1283" s="46"/>
      <c r="AJ1283" s="51" t="s">
        <v>67</v>
      </c>
      <c r="AK1283" s="51" t="s">
        <v>67</v>
      </c>
      <c r="AL1283" s="15"/>
      <c r="AM1283" s="51" t="s">
        <v>67</v>
      </c>
      <c r="AN1283" s="51" t="s">
        <v>67</v>
      </c>
      <c r="AO1283" s="50" t="s">
        <v>9554</v>
      </c>
    </row>
    <row r="1284" spans="1:41" hidden="1" x14ac:dyDescent="0.25">
      <c r="A1284" s="51" t="s">
        <v>6886</v>
      </c>
      <c r="B1284" s="51" t="s">
        <v>6887</v>
      </c>
      <c r="C1284" s="54" t="s">
        <v>607</v>
      </c>
      <c r="D1284" s="51" t="s">
        <v>6888</v>
      </c>
      <c r="E1284" s="20">
        <v>10000</v>
      </c>
      <c r="F1284" s="20">
        <v>0</v>
      </c>
      <c r="G1284" s="20">
        <v>20039.04</v>
      </c>
      <c r="H1284" s="20">
        <v>1496.03</v>
      </c>
      <c r="I1284" s="20">
        <v>579.41999999999996</v>
      </c>
      <c r="J1284" s="51" t="s">
        <v>6726</v>
      </c>
      <c r="K1284" s="15">
        <v>0</v>
      </c>
      <c r="L1284" s="51" t="s">
        <v>2371</v>
      </c>
      <c r="M1284" s="51" t="s">
        <v>6889</v>
      </c>
      <c r="N1284" s="51" t="s">
        <v>1340</v>
      </c>
      <c r="O1284" s="51" t="s">
        <v>67</v>
      </c>
      <c r="P1284" s="51" t="s">
        <v>67</v>
      </c>
      <c r="Q1284" s="45">
        <v>46286.58125314815</v>
      </c>
      <c r="R1284" s="46">
        <v>46310</v>
      </c>
      <c r="S1284" s="46">
        <v>46305</v>
      </c>
      <c r="T1284" s="51" t="s">
        <v>6119</v>
      </c>
      <c r="U1284" s="15"/>
      <c r="V1284" s="15"/>
      <c r="W1284" s="15"/>
      <c r="X1284" s="15"/>
      <c r="Y1284" s="15"/>
      <c r="Z1284" s="15"/>
      <c r="AA1284" s="46"/>
      <c r="AB1284" s="15"/>
      <c r="AC1284" s="15"/>
      <c r="AD1284" s="15"/>
      <c r="AE1284" s="15"/>
      <c r="AF1284" s="15"/>
      <c r="AG1284" s="15"/>
      <c r="AH1284" s="15"/>
      <c r="AI1284" s="46"/>
      <c r="AJ1284" s="51" t="s">
        <v>67</v>
      </c>
      <c r="AK1284" s="51" t="s">
        <v>67</v>
      </c>
      <c r="AL1284" s="15"/>
      <c r="AM1284" s="51" t="s">
        <v>67</v>
      </c>
      <c r="AN1284" s="51" t="s">
        <v>67</v>
      </c>
      <c r="AO1284" s="50" t="s">
        <v>9554</v>
      </c>
    </row>
    <row r="1285" spans="1:41" hidden="1" x14ac:dyDescent="0.25">
      <c r="A1285" s="51" t="s">
        <v>6890</v>
      </c>
      <c r="B1285" s="51" t="s">
        <v>6891</v>
      </c>
      <c r="C1285" s="54" t="s">
        <v>2690</v>
      </c>
      <c r="D1285" s="51" t="s">
        <v>6892</v>
      </c>
      <c r="E1285" s="20">
        <v>10000</v>
      </c>
      <c r="F1285" s="20">
        <v>0</v>
      </c>
      <c r="G1285" s="20">
        <v>21310.84</v>
      </c>
      <c r="H1285" s="20">
        <v>1368.43</v>
      </c>
      <c r="I1285" s="20">
        <v>666.05</v>
      </c>
      <c r="J1285" s="51" t="s">
        <v>6726</v>
      </c>
      <c r="K1285" s="15">
        <v>0</v>
      </c>
      <c r="L1285" s="51" t="s">
        <v>2371</v>
      </c>
      <c r="M1285" s="51" t="s">
        <v>6893</v>
      </c>
      <c r="N1285" s="51" t="s">
        <v>1344</v>
      </c>
      <c r="O1285" s="51" t="s">
        <v>67</v>
      </c>
      <c r="P1285" s="51" t="s">
        <v>67</v>
      </c>
      <c r="Q1285" s="45">
        <v>46286.581257418984</v>
      </c>
      <c r="R1285" s="46">
        <v>46322</v>
      </c>
      <c r="S1285" s="46">
        <v>46317</v>
      </c>
      <c r="T1285" s="51" t="s">
        <v>6119</v>
      </c>
      <c r="U1285" s="15"/>
      <c r="V1285" s="15"/>
      <c r="W1285" s="15"/>
      <c r="X1285" s="15"/>
      <c r="Y1285" s="15"/>
      <c r="Z1285" s="15"/>
      <c r="AA1285" s="46"/>
      <c r="AB1285" s="15"/>
      <c r="AC1285" s="15"/>
      <c r="AD1285" s="15"/>
      <c r="AE1285" s="15"/>
      <c r="AF1285" s="15"/>
      <c r="AG1285" s="15"/>
      <c r="AH1285" s="15"/>
      <c r="AI1285" s="46"/>
      <c r="AJ1285" s="51" t="s">
        <v>67</v>
      </c>
      <c r="AK1285" s="51" t="s">
        <v>67</v>
      </c>
      <c r="AL1285" s="15"/>
      <c r="AM1285" s="51" t="s">
        <v>67</v>
      </c>
      <c r="AN1285" s="51" t="s">
        <v>67</v>
      </c>
      <c r="AO1285" s="50" t="s">
        <v>9554</v>
      </c>
    </row>
    <row r="1286" spans="1:41" hidden="1" x14ac:dyDescent="0.25">
      <c r="A1286" s="51" t="s">
        <v>6894</v>
      </c>
      <c r="B1286" s="51" t="s">
        <v>6895</v>
      </c>
      <c r="C1286" s="54" t="s">
        <v>2694</v>
      </c>
      <c r="D1286" s="51" t="s">
        <v>6896</v>
      </c>
      <c r="E1286" s="20">
        <v>10000</v>
      </c>
      <c r="F1286" s="20">
        <v>0</v>
      </c>
      <c r="G1286" s="20">
        <v>20335.68</v>
      </c>
      <c r="H1286" s="20">
        <v>11728.49</v>
      </c>
      <c r="I1286" s="20">
        <v>669.33</v>
      </c>
      <c r="J1286" s="51" t="s">
        <v>6726</v>
      </c>
      <c r="K1286" s="15">
        <v>0</v>
      </c>
      <c r="L1286" s="51" t="s">
        <v>2371</v>
      </c>
      <c r="M1286" s="51" t="s">
        <v>6897</v>
      </c>
      <c r="N1286" s="51" t="s">
        <v>1340</v>
      </c>
      <c r="O1286" s="51" t="s">
        <v>67</v>
      </c>
      <c r="P1286" s="51" t="s">
        <v>67</v>
      </c>
      <c r="Q1286" s="45">
        <v>46286.581261643521</v>
      </c>
      <c r="R1286" s="46">
        <v>46312</v>
      </c>
      <c r="S1286" s="46">
        <v>46307</v>
      </c>
      <c r="T1286" s="51" t="s">
        <v>6119</v>
      </c>
      <c r="U1286" s="15"/>
      <c r="V1286" s="15"/>
      <c r="W1286" s="15"/>
      <c r="X1286" s="15"/>
      <c r="Y1286" s="15"/>
      <c r="Z1286" s="15"/>
      <c r="AA1286" s="46"/>
      <c r="AB1286" s="15"/>
      <c r="AC1286" s="15"/>
      <c r="AD1286" s="15"/>
      <c r="AE1286" s="15"/>
      <c r="AF1286" s="15"/>
      <c r="AG1286" s="15"/>
      <c r="AH1286" s="15"/>
      <c r="AI1286" s="46"/>
      <c r="AJ1286" s="51" t="s">
        <v>67</v>
      </c>
      <c r="AK1286" s="51" t="s">
        <v>67</v>
      </c>
      <c r="AL1286" s="15"/>
      <c r="AM1286" s="51" t="s">
        <v>67</v>
      </c>
      <c r="AN1286" s="51" t="s">
        <v>67</v>
      </c>
      <c r="AO1286" s="50" t="s">
        <v>9554</v>
      </c>
    </row>
    <row r="1287" spans="1:41" hidden="1" x14ac:dyDescent="0.25">
      <c r="A1287" s="51" t="s">
        <v>6898</v>
      </c>
      <c r="B1287" s="51" t="s">
        <v>6899</v>
      </c>
      <c r="C1287" s="54" t="s">
        <v>611</v>
      </c>
      <c r="D1287" s="51" t="s">
        <v>6900</v>
      </c>
      <c r="E1287" s="20">
        <v>10000</v>
      </c>
      <c r="F1287" s="20">
        <v>0</v>
      </c>
      <c r="G1287" s="20">
        <v>18407.98</v>
      </c>
      <c r="H1287" s="20">
        <v>1807.63</v>
      </c>
      <c r="I1287" s="20">
        <v>636.05999999999995</v>
      </c>
      <c r="J1287" s="51" t="s">
        <v>6726</v>
      </c>
      <c r="K1287" s="15">
        <v>0</v>
      </c>
      <c r="L1287" s="51" t="s">
        <v>2371</v>
      </c>
      <c r="M1287" s="51" t="s">
        <v>67</v>
      </c>
      <c r="N1287" s="51" t="s">
        <v>67</v>
      </c>
      <c r="O1287" s="51" t="s">
        <v>6901</v>
      </c>
      <c r="P1287" s="51" t="s">
        <v>1344</v>
      </c>
      <c r="Q1287" s="45">
        <v>46286.581266712965</v>
      </c>
      <c r="R1287" s="46">
        <v>46320</v>
      </c>
      <c r="S1287" s="46">
        <v>46315</v>
      </c>
      <c r="T1287" s="51" t="s">
        <v>6119</v>
      </c>
      <c r="U1287" s="15"/>
      <c r="V1287" s="15"/>
      <c r="W1287" s="15"/>
      <c r="X1287" s="15"/>
      <c r="Y1287" s="15"/>
      <c r="Z1287" s="15"/>
      <c r="AA1287" s="46"/>
      <c r="AB1287" s="15"/>
      <c r="AC1287" s="15"/>
      <c r="AD1287" s="15"/>
      <c r="AE1287" s="15"/>
      <c r="AF1287" s="15"/>
      <c r="AG1287" s="15"/>
      <c r="AH1287" s="15"/>
      <c r="AI1287" s="46"/>
      <c r="AJ1287" s="51" t="s">
        <v>67</v>
      </c>
      <c r="AK1287" s="51" t="s">
        <v>67</v>
      </c>
      <c r="AL1287" s="15"/>
      <c r="AM1287" s="51" t="s">
        <v>67</v>
      </c>
      <c r="AN1287" s="51" t="s">
        <v>67</v>
      </c>
      <c r="AO1287" s="50" t="s">
        <v>9554</v>
      </c>
    </row>
    <row r="1288" spans="1:41" hidden="1" x14ac:dyDescent="0.25">
      <c r="A1288" s="51" t="s">
        <v>6902</v>
      </c>
      <c r="B1288" s="51" t="s">
        <v>6903</v>
      </c>
      <c r="C1288" s="54" t="s">
        <v>2694</v>
      </c>
      <c r="D1288" s="51" t="s">
        <v>6904</v>
      </c>
      <c r="E1288" s="20">
        <v>10000</v>
      </c>
      <c r="F1288" s="20">
        <v>182.85</v>
      </c>
      <c r="G1288" s="20">
        <v>12953.58</v>
      </c>
      <c r="H1288" s="20">
        <v>1071.23</v>
      </c>
      <c r="I1288" s="20">
        <v>634.41</v>
      </c>
      <c r="J1288" s="51" t="s">
        <v>6726</v>
      </c>
      <c r="K1288" s="15">
        <v>0</v>
      </c>
      <c r="L1288" s="51" t="s">
        <v>2371</v>
      </c>
      <c r="M1288" s="51" t="s">
        <v>67</v>
      </c>
      <c r="N1288" s="51" t="s">
        <v>67</v>
      </c>
      <c r="O1288" s="51" t="s">
        <v>6905</v>
      </c>
      <c r="P1288" s="51" t="s">
        <v>1340</v>
      </c>
      <c r="Q1288" s="45">
        <v>46286.581272071759</v>
      </c>
      <c r="R1288" s="46">
        <v>46312</v>
      </c>
      <c r="S1288" s="46">
        <v>46307</v>
      </c>
      <c r="T1288" s="51" t="s">
        <v>6119</v>
      </c>
      <c r="U1288" s="15"/>
      <c r="V1288" s="15"/>
      <c r="W1288" s="15"/>
      <c r="X1288" s="15"/>
      <c r="Y1288" s="15"/>
      <c r="Z1288" s="15"/>
      <c r="AA1288" s="46"/>
      <c r="AB1288" s="15"/>
      <c r="AC1288" s="15"/>
      <c r="AD1288" s="15"/>
      <c r="AE1288" s="15"/>
      <c r="AF1288" s="15"/>
      <c r="AG1288" s="15"/>
      <c r="AH1288" s="15"/>
      <c r="AI1288" s="46"/>
      <c r="AJ1288" s="51" t="s">
        <v>67</v>
      </c>
      <c r="AK1288" s="51" t="s">
        <v>67</v>
      </c>
      <c r="AL1288" s="15"/>
      <c r="AM1288" s="51" t="s">
        <v>67</v>
      </c>
      <c r="AN1288" s="51" t="s">
        <v>67</v>
      </c>
      <c r="AO1288" s="50" t="s">
        <v>9554</v>
      </c>
    </row>
    <row r="1289" spans="1:41" hidden="1" x14ac:dyDescent="0.25">
      <c r="A1289" s="51" t="s">
        <v>6906</v>
      </c>
      <c r="B1289" s="51" t="s">
        <v>6907</v>
      </c>
      <c r="C1289" s="54" t="s">
        <v>5597</v>
      </c>
      <c r="D1289" s="51" t="s">
        <v>6908</v>
      </c>
      <c r="E1289" s="20">
        <v>10000</v>
      </c>
      <c r="F1289" s="20">
        <v>0</v>
      </c>
      <c r="G1289" s="20">
        <v>16856.86</v>
      </c>
      <c r="H1289" s="20">
        <v>6190.98</v>
      </c>
      <c r="I1289" s="20">
        <v>925.35</v>
      </c>
      <c r="J1289" s="51" t="s">
        <v>6726</v>
      </c>
      <c r="K1289" s="15">
        <v>0</v>
      </c>
      <c r="L1289" s="51" t="s">
        <v>2371</v>
      </c>
      <c r="M1289" s="51" t="s">
        <v>6909</v>
      </c>
      <c r="N1289" s="51" t="s">
        <v>1340</v>
      </c>
      <c r="O1289" s="51" t="s">
        <v>6910</v>
      </c>
      <c r="P1289" s="51" t="s">
        <v>1340</v>
      </c>
      <c r="Q1289" s="45">
        <v>46286.58127628472</v>
      </c>
      <c r="R1289" s="46">
        <v>46321</v>
      </c>
      <c r="S1289" s="46">
        <v>46316</v>
      </c>
      <c r="T1289" s="51" t="s">
        <v>6119</v>
      </c>
      <c r="U1289" s="15"/>
      <c r="V1289" s="15"/>
      <c r="W1289" s="15"/>
      <c r="X1289" s="15"/>
      <c r="Y1289" s="15"/>
      <c r="Z1289" s="15"/>
      <c r="AA1289" s="46"/>
      <c r="AB1289" s="15"/>
      <c r="AC1289" s="15"/>
      <c r="AD1289" s="15"/>
      <c r="AE1289" s="15"/>
      <c r="AF1289" s="15"/>
      <c r="AG1289" s="15"/>
      <c r="AH1289" s="15"/>
      <c r="AI1289" s="46"/>
      <c r="AJ1289" s="51" t="s">
        <v>67</v>
      </c>
      <c r="AK1289" s="51" t="s">
        <v>67</v>
      </c>
      <c r="AL1289" s="15"/>
      <c r="AM1289" s="51" t="s">
        <v>67</v>
      </c>
      <c r="AN1289" s="51" t="s">
        <v>67</v>
      </c>
      <c r="AO1289" s="50" t="s">
        <v>9554</v>
      </c>
    </row>
    <row r="1290" spans="1:41" hidden="1" x14ac:dyDescent="0.25">
      <c r="A1290" s="51" t="s">
        <v>6911</v>
      </c>
      <c r="B1290" s="51" t="s">
        <v>6912</v>
      </c>
      <c r="C1290" s="54" t="s">
        <v>5603</v>
      </c>
      <c r="D1290" s="51" t="s">
        <v>6913</v>
      </c>
      <c r="E1290" s="20">
        <v>10000</v>
      </c>
      <c r="F1290" s="20">
        <v>0</v>
      </c>
      <c r="G1290" s="20">
        <v>9327.57</v>
      </c>
      <c r="H1290" s="20">
        <v>3757.39</v>
      </c>
      <c r="I1290" s="20">
        <v>654.27</v>
      </c>
      <c r="J1290" s="51" t="s">
        <v>6726</v>
      </c>
      <c r="K1290" s="15">
        <v>0</v>
      </c>
      <c r="L1290" s="51" t="s">
        <v>2371</v>
      </c>
      <c r="M1290" s="51" t="s">
        <v>6914</v>
      </c>
      <c r="N1290" s="51" t="s">
        <v>1340</v>
      </c>
      <c r="O1290" s="51" t="s">
        <v>67</v>
      </c>
      <c r="P1290" s="51" t="s">
        <v>67</v>
      </c>
      <c r="Q1290" s="45">
        <v>46286.581281469909</v>
      </c>
      <c r="R1290" s="46">
        <v>46298</v>
      </c>
      <c r="S1290" s="46">
        <v>46293</v>
      </c>
      <c r="T1290" s="51" t="s">
        <v>6119</v>
      </c>
      <c r="U1290" s="15"/>
      <c r="V1290" s="15"/>
      <c r="W1290" s="15"/>
      <c r="X1290" s="15"/>
      <c r="Y1290" s="15"/>
      <c r="Z1290" s="15"/>
      <c r="AA1290" s="46"/>
      <c r="AB1290" s="15"/>
      <c r="AC1290" s="15"/>
      <c r="AD1290" s="15"/>
      <c r="AE1290" s="15"/>
      <c r="AF1290" s="15"/>
      <c r="AG1290" s="15"/>
      <c r="AH1290" s="15"/>
      <c r="AI1290" s="46"/>
      <c r="AJ1290" s="51" t="s">
        <v>67</v>
      </c>
      <c r="AK1290" s="51" t="s">
        <v>67</v>
      </c>
      <c r="AL1290" s="15"/>
      <c r="AM1290" s="51" t="s">
        <v>67</v>
      </c>
      <c r="AN1290" s="51" t="s">
        <v>67</v>
      </c>
      <c r="AO1290" s="50" t="s">
        <v>9554</v>
      </c>
    </row>
    <row r="1291" spans="1:41" hidden="1" x14ac:dyDescent="0.25">
      <c r="A1291" s="51" t="s">
        <v>6915</v>
      </c>
      <c r="B1291" s="51" t="s">
        <v>6916</v>
      </c>
      <c r="C1291" s="54" t="s">
        <v>5597</v>
      </c>
      <c r="D1291" s="51" t="s">
        <v>6917</v>
      </c>
      <c r="E1291" s="20">
        <v>10000</v>
      </c>
      <c r="F1291" s="20">
        <v>0</v>
      </c>
      <c r="G1291" s="20">
        <v>13989.85</v>
      </c>
      <c r="H1291" s="20">
        <v>1323.04</v>
      </c>
      <c r="I1291" s="20">
        <v>587.11</v>
      </c>
      <c r="J1291" s="51" t="s">
        <v>6726</v>
      </c>
      <c r="K1291" s="15">
        <v>0</v>
      </c>
      <c r="L1291" s="51" t="s">
        <v>2371</v>
      </c>
      <c r="M1291" s="51" t="s">
        <v>67</v>
      </c>
      <c r="N1291" s="51" t="s">
        <v>67</v>
      </c>
      <c r="O1291" s="51" t="s">
        <v>6918</v>
      </c>
      <c r="P1291" s="51" t="s">
        <v>1340</v>
      </c>
      <c r="Q1291" s="45">
        <v>46286.581286446759</v>
      </c>
      <c r="R1291" s="46">
        <v>46321</v>
      </c>
      <c r="S1291" s="46">
        <v>46316</v>
      </c>
      <c r="T1291" s="51" t="s">
        <v>6119</v>
      </c>
      <c r="U1291" s="15"/>
      <c r="V1291" s="15"/>
      <c r="W1291" s="15"/>
      <c r="X1291" s="15"/>
      <c r="Y1291" s="15"/>
      <c r="Z1291" s="15"/>
      <c r="AA1291" s="46"/>
      <c r="AB1291" s="15"/>
      <c r="AC1291" s="15"/>
      <c r="AD1291" s="15"/>
      <c r="AE1291" s="15"/>
      <c r="AF1291" s="15"/>
      <c r="AG1291" s="15"/>
      <c r="AH1291" s="15"/>
      <c r="AI1291" s="46"/>
      <c r="AJ1291" s="51" t="s">
        <v>67</v>
      </c>
      <c r="AK1291" s="51" t="s">
        <v>67</v>
      </c>
      <c r="AL1291" s="15"/>
      <c r="AM1291" s="51" t="s">
        <v>67</v>
      </c>
      <c r="AN1291" s="51" t="s">
        <v>67</v>
      </c>
      <c r="AO1291" s="50" t="s">
        <v>9554</v>
      </c>
    </row>
    <row r="1292" spans="1:41" hidden="1" x14ac:dyDescent="0.25">
      <c r="A1292" s="51" t="s">
        <v>6919</v>
      </c>
      <c r="B1292" s="51" t="s">
        <v>6920</v>
      </c>
      <c r="C1292" s="54" t="s">
        <v>2689</v>
      </c>
      <c r="D1292" s="51" t="s">
        <v>6921</v>
      </c>
      <c r="E1292" s="20">
        <v>10000</v>
      </c>
      <c r="F1292" s="20">
        <v>0</v>
      </c>
      <c r="G1292" s="20">
        <v>8489.11</v>
      </c>
      <c r="H1292" s="20">
        <v>3355.15</v>
      </c>
      <c r="I1292" s="20">
        <v>617.01</v>
      </c>
      <c r="J1292" s="51" t="s">
        <v>6726</v>
      </c>
      <c r="K1292" s="15">
        <v>0</v>
      </c>
      <c r="L1292" s="51" t="s">
        <v>2371</v>
      </c>
      <c r="M1292" s="51" t="s">
        <v>67</v>
      </c>
      <c r="N1292" s="51" t="s">
        <v>67</v>
      </c>
      <c r="O1292" s="51" t="s">
        <v>6922</v>
      </c>
      <c r="P1292" s="51" t="s">
        <v>1340</v>
      </c>
      <c r="Q1292" s="45">
        <v>46286.581290555558</v>
      </c>
      <c r="R1292" s="46">
        <v>46317</v>
      </c>
      <c r="S1292" s="46">
        <v>46312</v>
      </c>
      <c r="T1292" s="51" t="s">
        <v>6119</v>
      </c>
      <c r="U1292" s="15"/>
      <c r="V1292" s="15"/>
      <c r="W1292" s="15"/>
      <c r="X1292" s="15"/>
      <c r="Y1292" s="15"/>
      <c r="Z1292" s="15"/>
      <c r="AA1292" s="46"/>
      <c r="AB1292" s="15"/>
      <c r="AC1292" s="15"/>
      <c r="AD1292" s="15"/>
      <c r="AE1292" s="15"/>
      <c r="AF1292" s="15"/>
      <c r="AG1292" s="15"/>
      <c r="AH1292" s="15"/>
      <c r="AI1292" s="46"/>
      <c r="AJ1292" s="51" t="s">
        <v>67</v>
      </c>
      <c r="AK1292" s="51" t="s">
        <v>67</v>
      </c>
      <c r="AL1292" s="15"/>
      <c r="AM1292" s="51" t="s">
        <v>67</v>
      </c>
      <c r="AN1292" s="51" t="s">
        <v>67</v>
      </c>
      <c r="AO1292" s="50" t="s">
        <v>9554</v>
      </c>
    </row>
    <row r="1293" spans="1:41" hidden="1" x14ac:dyDescent="0.25">
      <c r="A1293" s="51" t="s">
        <v>6923</v>
      </c>
      <c r="B1293" s="51" t="s">
        <v>6924</v>
      </c>
      <c r="C1293" s="54" t="s">
        <v>5597</v>
      </c>
      <c r="D1293" s="51" t="s">
        <v>6925</v>
      </c>
      <c r="E1293" s="20">
        <v>10000</v>
      </c>
      <c r="F1293" s="20">
        <v>554.98</v>
      </c>
      <c r="G1293" s="20">
        <v>8372.89</v>
      </c>
      <c r="H1293" s="20">
        <v>1198.0899999999999</v>
      </c>
      <c r="I1293" s="20">
        <v>886.84</v>
      </c>
      <c r="J1293" s="51" t="s">
        <v>6726</v>
      </c>
      <c r="K1293" s="15">
        <v>0</v>
      </c>
      <c r="L1293" s="51" t="s">
        <v>2371</v>
      </c>
      <c r="M1293" s="51" t="s">
        <v>6926</v>
      </c>
      <c r="N1293" s="51" t="s">
        <v>1340</v>
      </c>
      <c r="O1293" s="51" t="s">
        <v>6927</v>
      </c>
      <c r="P1293" s="51" t="s">
        <v>1340</v>
      </c>
      <c r="Q1293" s="45">
        <v>46286.581294432872</v>
      </c>
      <c r="R1293" s="46">
        <v>46321</v>
      </c>
      <c r="S1293" s="46">
        <v>46316</v>
      </c>
      <c r="T1293" s="51" t="s">
        <v>6119</v>
      </c>
      <c r="U1293" s="15"/>
      <c r="V1293" s="15"/>
      <c r="W1293" s="15"/>
      <c r="X1293" s="15"/>
      <c r="Y1293" s="15"/>
      <c r="Z1293" s="15"/>
      <c r="AA1293" s="46"/>
      <c r="AB1293" s="15"/>
      <c r="AC1293" s="15"/>
      <c r="AD1293" s="15"/>
      <c r="AE1293" s="15"/>
      <c r="AF1293" s="15"/>
      <c r="AG1293" s="15"/>
      <c r="AH1293" s="15"/>
      <c r="AI1293" s="46"/>
      <c r="AJ1293" s="51" t="s">
        <v>67</v>
      </c>
      <c r="AK1293" s="51" t="s">
        <v>67</v>
      </c>
      <c r="AL1293" s="15"/>
      <c r="AM1293" s="51" t="s">
        <v>67</v>
      </c>
      <c r="AN1293" s="51" t="s">
        <v>67</v>
      </c>
      <c r="AO1293" s="50" t="s">
        <v>9554</v>
      </c>
    </row>
    <row r="1294" spans="1:41" hidden="1" x14ac:dyDescent="0.25">
      <c r="A1294" s="51" t="s">
        <v>6928</v>
      </c>
      <c r="B1294" s="51" t="s">
        <v>6929</v>
      </c>
      <c r="C1294" s="54" t="s">
        <v>5605</v>
      </c>
      <c r="D1294" s="51" t="s">
        <v>6930</v>
      </c>
      <c r="E1294" s="20">
        <v>10000</v>
      </c>
      <c r="F1294" s="20">
        <v>0</v>
      </c>
      <c r="G1294" s="20">
        <v>2882.76</v>
      </c>
      <c r="H1294" s="20">
        <v>1300.58</v>
      </c>
      <c r="I1294" s="20">
        <v>590.62</v>
      </c>
      <c r="J1294" s="51" t="s">
        <v>6726</v>
      </c>
      <c r="K1294" s="15">
        <v>0</v>
      </c>
      <c r="L1294" s="51" t="s">
        <v>2371</v>
      </c>
      <c r="M1294" s="51" t="s">
        <v>67</v>
      </c>
      <c r="N1294" s="51" t="s">
        <v>67</v>
      </c>
      <c r="O1294" s="51" t="s">
        <v>6931</v>
      </c>
      <c r="P1294" s="51" t="s">
        <v>1340</v>
      </c>
      <c r="Q1294" s="45">
        <v>46286.581298344907</v>
      </c>
      <c r="R1294" s="46">
        <v>46323</v>
      </c>
      <c r="S1294" s="46">
        <v>46318</v>
      </c>
      <c r="T1294" s="51" t="s">
        <v>6119</v>
      </c>
      <c r="U1294" s="15"/>
      <c r="V1294" s="15"/>
      <c r="W1294" s="15"/>
      <c r="X1294" s="15"/>
      <c r="Y1294" s="15"/>
      <c r="Z1294" s="15"/>
      <c r="AA1294" s="46"/>
      <c r="AB1294" s="15"/>
      <c r="AC1294" s="15"/>
      <c r="AD1294" s="15"/>
      <c r="AE1294" s="15"/>
      <c r="AF1294" s="15"/>
      <c r="AG1294" s="15"/>
      <c r="AH1294" s="15"/>
      <c r="AI1294" s="46"/>
      <c r="AJ1294" s="51" t="s">
        <v>67</v>
      </c>
      <c r="AK1294" s="51" t="s">
        <v>67</v>
      </c>
      <c r="AL1294" s="15"/>
      <c r="AM1294" s="51" t="s">
        <v>67</v>
      </c>
      <c r="AN1294" s="51" t="s">
        <v>67</v>
      </c>
      <c r="AO1294" s="50" t="s">
        <v>9554</v>
      </c>
    </row>
    <row r="1295" spans="1:41" hidden="1" x14ac:dyDescent="0.25">
      <c r="A1295" s="51" t="s">
        <v>6932</v>
      </c>
      <c r="B1295" s="51" t="s">
        <v>6933</v>
      </c>
      <c r="C1295" s="54" t="s">
        <v>5608</v>
      </c>
      <c r="D1295" s="51" t="s">
        <v>6934</v>
      </c>
      <c r="E1295" s="20">
        <v>10000</v>
      </c>
      <c r="F1295" s="20">
        <v>0</v>
      </c>
      <c r="G1295" s="20">
        <v>18082.05</v>
      </c>
      <c r="H1295" s="20">
        <v>1569.86</v>
      </c>
      <c r="I1295" s="20">
        <v>758.3</v>
      </c>
      <c r="J1295" s="51" t="s">
        <v>6726</v>
      </c>
      <c r="K1295" s="15">
        <v>0</v>
      </c>
      <c r="L1295" s="51" t="s">
        <v>2371</v>
      </c>
      <c r="M1295" s="51" t="s">
        <v>6935</v>
      </c>
      <c r="N1295" s="51" t="s">
        <v>1344</v>
      </c>
      <c r="O1295" s="51" t="s">
        <v>67</v>
      </c>
      <c r="P1295" s="51" t="s">
        <v>67</v>
      </c>
      <c r="Q1295" s="45">
        <v>46286.581302488426</v>
      </c>
      <c r="R1295" s="46">
        <v>46319</v>
      </c>
      <c r="S1295" s="46">
        <v>46314</v>
      </c>
      <c r="T1295" s="51" t="s">
        <v>6119</v>
      </c>
      <c r="U1295" s="15"/>
      <c r="V1295" s="15"/>
      <c r="W1295" s="15"/>
      <c r="X1295" s="15"/>
      <c r="Y1295" s="15"/>
      <c r="Z1295" s="15"/>
      <c r="AA1295" s="46"/>
      <c r="AB1295" s="15"/>
      <c r="AC1295" s="15"/>
      <c r="AD1295" s="15"/>
      <c r="AE1295" s="15"/>
      <c r="AF1295" s="15"/>
      <c r="AG1295" s="15"/>
      <c r="AH1295" s="15"/>
      <c r="AI1295" s="46"/>
      <c r="AJ1295" s="51" t="s">
        <v>67</v>
      </c>
      <c r="AK1295" s="51" t="s">
        <v>67</v>
      </c>
      <c r="AL1295" s="15"/>
      <c r="AM1295" s="51" t="s">
        <v>67</v>
      </c>
      <c r="AN1295" s="51" t="s">
        <v>67</v>
      </c>
      <c r="AO1295" s="50" t="s">
        <v>9554</v>
      </c>
    </row>
    <row r="1296" spans="1:41" hidden="1" x14ac:dyDescent="0.25">
      <c r="A1296" s="51" t="s">
        <v>6936</v>
      </c>
      <c r="B1296" s="51" t="s">
        <v>6937</v>
      </c>
      <c r="C1296" s="54" t="s">
        <v>2357</v>
      </c>
      <c r="D1296" s="51" t="s">
        <v>6766</v>
      </c>
      <c r="E1296" s="20">
        <v>10000</v>
      </c>
      <c r="F1296" s="20">
        <v>0</v>
      </c>
      <c r="G1296" s="20">
        <v>15465.76</v>
      </c>
      <c r="H1296" s="20">
        <v>2356.0100000000002</v>
      </c>
      <c r="I1296" s="20">
        <v>733.93</v>
      </c>
      <c r="J1296" s="51" t="s">
        <v>6726</v>
      </c>
      <c r="K1296" s="15">
        <v>0</v>
      </c>
      <c r="L1296" s="51" t="s">
        <v>2371</v>
      </c>
      <c r="M1296" s="51" t="s">
        <v>6938</v>
      </c>
      <c r="N1296" s="51" t="s">
        <v>1340</v>
      </c>
      <c r="O1296" s="51" t="s">
        <v>67</v>
      </c>
      <c r="P1296" s="51" t="s">
        <v>67</v>
      </c>
      <c r="Q1296" s="45">
        <v>46286.581306944441</v>
      </c>
      <c r="R1296" s="46">
        <v>46308</v>
      </c>
      <c r="S1296" s="46">
        <v>46303</v>
      </c>
      <c r="T1296" s="51" t="s">
        <v>6119</v>
      </c>
      <c r="U1296" s="15"/>
      <c r="V1296" s="15"/>
      <c r="W1296" s="15"/>
      <c r="X1296" s="15"/>
      <c r="Y1296" s="15"/>
      <c r="Z1296" s="15"/>
      <c r="AA1296" s="46"/>
      <c r="AB1296" s="15"/>
      <c r="AC1296" s="15"/>
      <c r="AD1296" s="15"/>
      <c r="AE1296" s="15"/>
      <c r="AF1296" s="15"/>
      <c r="AG1296" s="15"/>
      <c r="AH1296" s="15"/>
      <c r="AI1296" s="46"/>
      <c r="AJ1296" s="51" t="s">
        <v>67</v>
      </c>
      <c r="AK1296" s="51" t="s">
        <v>67</v>
      </c>
      <c r="AL1296" s="15"/>
      <c r="AM1296" s="51" t="s">
        <v>67</v>
      </c>
      <c r="AN1296" s="51" t="s">
        <v>67</v>
      </c>
      <c r="AO1296" s="50" t="s">
        <v>9554</v>
      </c>
    </row>
    <row r="1297" spans="1:41" hidden="1" x14ac:dyDescent="0.25">
      <c r="A1297" s="51" t="s">
        <v>6939</v>
      </c>
      <c r="B1297" s="51" t="s">
        <v>6940</v>
      </c>
      <c r="C1297" s="54" t="s">
        <v>2691</v>
      </c>
      <c r="D1297" s="51" t="s">
        <v>6875</v>
      </c>
      <c r="E1297" s="20">
        <v>10000</v>
      </c>
      <c r="F1297" s="20">
        <v>0</v>
      </c>
      <c r="G1297" s="20">
        <v>7522.11</v>
      </c>
      <c r="H1297" s="20">
        <v>2503.86</v>
      </c>
      <c r="I1297" s="20">
        <v>790.78</v>
      </c>
      <c r="J1297" s="51" t="s">
        <v>6726</v>
      </c>
      <c r="K1297" s="15">
        <v>0</v>
      </c>
      <c r="L1297" s="51" t="s">
        <v>2371</v>
      </c>
      <c r="M1297" s="51" t="s">
        <v>6941</v>
      </c>
      <c r="N1297" s="51" t="s">
        <v>1340</v>
      </c>
      <c r="O1297" s="51" t="s">
        <v>6942</v>
      </c>
      <c r="P1297" s="51" t="s">
        <v>1340</v>
      </c>
      <c r="Q1297" s="45">
        <v>46286.581311261572</v>
      </c>
      <c r="R1297" s="46">
        <v>46301</v>
      </c>
      <c r="S1297" s="46">
        <v>46296</v>
      </c>
      <c r="T1297" s="51" t="s">
        <v>6119</v>
      </c>
      <c r="U1297" s="15"/>
      <c r="V1297" s="15"/>
      <c r="W1297" s="15"/>
      <c r="X1297" s="15"/>
      <c r="Y1297" s="15"/>
      <c r="Z1297" s="15"/>
      <c r="AA1297" s="46"/>
      <c r="AB1297" s="15"/>
      <c r="AC1297" s="15"/>
      <c r="AD1297" s="15"/>
      <c r="AE1297" s="15"/>
      <c r="AF1297" s="15"/>
      <c r="AG1297" s="15"/>
      <c r="AH1297" s="15"/>
      <c r="AI1297" s="46"/>
      <c r="AJ1297" s="51" t="s">
        <v>67</v>
      </c>
      <c r="AK1297" s="51" t="s">
        <v>67</v>
      </c>
      <c r="AL1297" s="15"/>
      <c r="AM1297" s="51" t="s">
        <v>67</v>
      </c>
      <c r="AN1297" s="51" t="s">
        <v>67</v>
      </c>
      <c r="AO1297" s="50" t="s">
        <v>9554</v>
      </c>
    </row>
    <row r="1298" spans="1:41" hidden="1" x14ac:dyDescent="0.25">
      <c r="A1298" s="51" t="s">
        <v>6943</v>
      </c>
      <c r="B1298" s="51" t="s">
        <v>6944</v>
      </c>
      <c r="C1298" s="54" t="s">
        <v>2692</v>
      </c>
      <c r="D1298" s="51" t="s">
        <v>6945</v>
      </c>
      <c r="E1298" s="20">
        <v>10000</v>
      </c>
      <c r="F1298" s="20">
        <v>0</v>
      </c>
      <c r="G1298" s="20">
        <v>21990.560000000001</v>
      </c>
      <c r="H1298" s="20">
        <v>4151.28</v>
      </c>
      <c r="I1298" s="20">
        <v>751.43</v>
      </c>
      <c r="J1298" s="51" t="s">
        <v>6726</v>
      </c>
      <c r="K1298" s="15">
        <v>0</v>
      </c>
      <c r="L1298" s="51" t="s">
        <v>2371</v>
      </c>
      <c r="M1298" s="51" t="s">
        <v>6946</v>
      </c>
      <c r="N1298" s="51" t="s">
        <v>1344</v>
      </c>
      <c r="O1298" s="51" t="s">
        <v>6947</v>
      </c>
      <c r="P1298" s="51" t="s">
        <v>1344</v>
      </c>
      <c r="Q1298" s="45">
        <v>46286.58131533565</v>
      </c>
      <c r="R1298" s="46">
        <v>46296</v>
      </c>
      <c r="S1298" s="46">
        <v>46291</v>
      </c>
      <c r="T1298" s="51" t="s">
        <v>6119</v>
      </c>
      <c r="U1298" s="15"/>
      <c r="V1298" s="15"/>
      <c r="W1298" s="15"/>
      <c r="X1298" s="15"/>
      <c r="Y1298" s="15"/>
      <c r="Z1298" s="15"/>
      <c r="AA1298" s="46"/>
      <c r="AB1298" s="15"/>
      <c r="AC1298" s="15"/>
      <c r="AD1298" s="15"/>
      <c r="AE1298" s="15"/>
      <c r="AF1298" s="15"/>
      <c r="AG1298" s="15"/>
      <c r="AH1298" s="15"/>
      <c r="AI1298" s="46"/>
      <c r="AJ1298" s="51" t="s">
        <v>67</v>
      </c>
      <c r="AK1298" s="51" t="s">
        <v>67</v>
      </c>
      <c r="AL1298" s="15"/>
      <c r="AM1298" s="51" t="s">
        <v>67</v>
      </c>
      <c r="AN1298" s="51" t="s">
        <v>67</v>
      </c>
      <c r="AO1298" s="50" t="s">
        <v>9554</v>
      </c>
    </row>
    <row r="1299" spans="1:41" hidden="1" x14ac:dyDescent="0.25">
      <c r="A1299" s="51" t="s">
        <v>6948</v>
      </c>
      <c r="B1299" s="51" t="s">
        <v>6949</v>
      </c>
      <c r="C1299" s="54" t="s">
        <v>2358</v>
      </c>
      <c r="D1299" s="51" t="s">
        <v>6950</v>
      </c>
      <c r="E1299" s="20">
        <v>10000</v>
      </c>
      <c r="F1299" s="20">
        <v>0</v>
      </c>
      <c r="G1299" s="20">
        <v>12382.74</v>
      </c>
      <c r="H1299" s="20">
        <v>4725.1499999999996</v>
      </c>
      <c r="I1299" s="20">
        <v>816.98</v>
      </c>
      <c r="J1299" s="51" t="s">
        <v>6726</v>
      </c>
      <c r="K1299" s="15">
        <v>0</v>
      </c>
      <c r="L1299" s="51" t="s">
        <v>2371</v>
      </c>
      <c r="M1299" s="51" t="s">
        <v>67</v>
      </c>
      <c r="N1299" s="51" t="s">
        <v>67</v>
      </c>
      <c r="O1299" s="51" t="s">
        <v>6951</v>
      </c>
      <c r="P1299" s="51" t="s">
        <v>1340</v>
      </c>
      <c r="Q1299" s="45">
        <v>46286.581318888886</v>
      </c>
      <c r="R1299" s="46">
        <v>46309</v>
      </c>
      <c r="S1299" s="46">
        <v>46304</v>
      </c>
      <c r="T1299" s="51" t="s">
        <v>6119</v>
      </c>
      <c r="U1299" s="15"/>
      <c r="V1299" s="15"/>
      <c r="W1299" s="15"/>
      <c r="X1299" s="15"/>
      <c r="Y1299" s="15"/>
      <c r="Z1299" s="15"/>
      <c r="AA1299" s="46"/>
      <c r="AB1299" s="15"/>
      <c r="AC1299" s="15"/>
      <c r="AD1299" s="15"/>
      <c r="AE1299" s="15"/>
      <c r="AF1299" s="15"/>
      <c r="AG1299" s="15"/>
      <c r="AH1299" s="15"/>
      <c r="AI1299" s="46"/>
      <c r="AJ1299" s="51" t="s">
        <v>67</v>
      </c>
      <c r="AK1299" s="51" t="s">
        <v>67</v>
      </c>
      <c r="AL1299" s="15"/>
      <c r="AM1299" s="51" t="s">
        <v>67</v>
      </c>
      <c r="AN1299" s="51" t="s">
        <v>67</v>
      </c>
      <c r="AO1299" s="50" t="s">
        <v>9554</v>
      </c>
    </row>
    <row r="1300" spans="1:41" hidden="1" x14ac:dyDescent="0.25">
      <c r="A1300" s="51" t="s">
        <v>6952</v>
      </c>
      <c r="B1300" s="51" t="s">
        <v>6953</v>
      </c>
      <c r="C1300" s="54" t="s">
        <v>2692</v>
      </c>
      <c r="D1300" s="51" t="s">
        <v>6954</v>
      </c>
      <c r="E1300" s="20">
        <v>10000</v>
      </c>
      <c r="F1300" s="20">
        <v>179.73</v>
      </c>
      <c r="G1300" s="20">
        <v>14196.92</v>
      </c>
      <c r="H1300" s="20">
        <v>960.5</v>
      </c>
      <c r="I1300" s="20">
        <v>576.82000000000005</v>
      </c>
      <c r="J1300" s="51" t="s">
        <v>6726</v>
      </c>
      <c r="K1300" s="15">
        <v>0</v>
      </c>
      <c r="L1300" s="51" t="s">
        <v>2371</v>
      </c>
      <c r="M1300" s="51" t="s">
        <v>6955</v>
      </c>
      <c r="N1300" s="51" t="s">
        <v>1340</v>
      </c>
      <c r="O1300" s="51" t="s">
        <v>67</v>
      </c>
      <c r="P1300" s="51" t="s">
        <v>67</v>
      </c>
      <c r="Q1300" s="45">
        <v>46286.581321956015</v>
      </c>
      <c r="R1300" s="46">
        <v>46296</v>
      </c>
      <c r="S1300" s="46">
        <v>46291</v>
      </c>
      <c r="T1300" s="51" t="s">
        <v>6119</v>
      </c>
      <c r="U1300" s="15"/>
      <c r="V1300" s="15"/>
      <c r="W1300" s="15"/>
      <c r="X1300" s="15"/>
      <c r="Y1300" s="15"/>
      <c r="Z1300" s="15"/>
      <c r="AA1300" s="46"/>
      <c r="AB1300" s="15"/>
      <c r="AC1300" s="15"/>
      <c r="AD1300" s="15"/>
      <c r="AE1300" s="15"/>
      <c r="AF1300" s="15"/>
      <c r="AG1300" s="15"/>
      <c r="AH1300" s="15"/>
      <c r="AI1300" s="46"/>
      <c r="AJ1300" s="51" t="s">
        <v>67</v>
      </c>
      <c r="AK1300" s="51" t="s">
        <v>67</v>
      </c>
      <c r="AL1300" s="15"/>
      <c r="AM1300" s="51" t="s">
        <v>67</v>
      </c>
      <c r="AN1300" s="51" t="s">
        <v>67</v>
      </c>
      <c r="AO1300" s="50" t="s">
        <v>9554</v>
      </c>
    </row>
    <row r="1301" spans="1:41" hidden="1" x14ac:dyDescent="0.25">
      <c r="A1301" s="51" t="s">
        <v>6956</v>
      </c>
      <c r="B1301" s="51" t="s">
        <v>6957</v>
      </c>
      <c r="C1301" s="54" t="s">
        <v>2690</v>
      </c>
      <c r="D1301" s="51" t="s">
        <v>6958</v>
      </c>
      <c r="E1301" s="20">
        <v>10000</v>
      </c>
      <c r="F1301" s="20">
        <v>100.44</v>
      </c>
      <c r="G1301" s="20">
        <v>14886.97</v>
      </c>
      <c r="H1301" s="20">
        <v>1069.54</v>
      </c>
      <c r="I1301" s="20">
        <v>591.87</v>
      </c>
      <c r="J1301" s="51" t="s">
        <v>6726</v>
      </c>
      <c r="K1301" s="15">
        <v>0</v>
      </c>
      <c r="L1301" s="51" t="s">
        <v>2371</v>
      </c>
      <c r="M1301" s="51" t="s">
        <v>67</v>
      </c>
      <c r="N1301" s="51" t="s">
        <v>67</v>
      </c>
      <c r="O1301" s="51" t="s">
        <v>6959</v>
      </c>
      <c r="P1301" s="51" t="s">
        <v>1340</v>
      </c>
      <c r="Q1301" s="45">
        <v>46286.581325324078</v>
      </c>
      <c r="R1301" s="46">
        <v>46322</v>
      </c>
      <c r="S1301" s="46">
        <v>46317</v>
      </c>
      <c r="T1301" s="51" t="s">
        <v>6119</v>
      </c>
      <c r="U1301" s="15"/>
      <c r="V1301" s="15"/>
      <c r="W1301" s="15"/>
      <c r="X1301" s="15"/>
      <c r="Y1301" s="15"/>
      <c r="Z1301" s="15"/>
      <c r="AA1301" s="46"/>
      <c r="AB1301" s="15"/>
      <c r="AC1301" s="15"/>
      <c r="AD1301" s="15"/>
      <c r="AE1301" s="15"/>
      <c r="AF1301" s="15"/>
      <c r="AG1301" s="15"/>
      <c r="AH1301" s="15"/>
      <c r="AI1301" s="46"/>
      <c r="AJ1301" s="51" t="s">
        <v>67</v>
      </c>
      <c r="AK1301" s="51" t="s">
        <v>67</v>
      </c>
      <c r="AL1301" s="15"/>
      <c r="AM1301" s="51" t="s">
        <v>67</v>
      </c>
      <c r="AN1301" s="51" t="s">
        <v>67</v>
      </c>
      <c r="AO1301" s="50" t="s">
        <v>9554</v>
      </c>
    </row>
    <row r="1302" spans="1:41" hidden="1" x14ac:dyDescent="0.25">
      <c r="A1302" s="51" t="s">
        <v>6960</v>
      </c>
      <c r="B1302" s="51" t="s">
        <v>6961</v>
      </c>
      <c r="C1302" s="54" t="s">
        <v>611</v>
      </c>
      <c r="D1302" s="51" t="s">
        <v>6962</v>
      </c>
      <c r="E1302" s="20">
        <v>9576.94</v>
      </c>
      <c r="F1302" s="20">
        <v>10.07</v>
      </c>
      <c r="G1302" s="20">
        <v>17909.03</v>
      </c>
      <c r="H1302" s="20">
        <v>423.06</v>
      </c>
      <c r="I1302" s="20">
        <v>10.07</v>
      </c>
      <c r="J1302" s="51" t="s">
        <v>6724</v>
      </c>
      <c r="K1302" s="15">
        <v>0</v>
      </c>
      <c r="L1302" s="51" t="s">
        <v>2371</v>
      </c>
      <c r="M1302" s="51" t="s">
        <v>6963</v>
      </c>
      <c r="N1302" s="51" t="s">
        <v>1340</v>
      </c>
      <c r="O1302" s="51" t="s">
        <v>6964</v>
      </c>
      <c r="P1302" s="51" t="s">
        <v>1340</v>
      </c>
      <c r="Q1302" s="45">
        <v>46286.582371886572</v>
      </c>
      <c r="R1302" s="46">
        <v>46320</v>
      </c>
      <c r="S1302" s="46">
        <v>46315</v>
      </c>
      <c r="T1302" s="51" t="s">
        <v>6119</v>
      </c>
      <c r="U1302" s="15"/>
      <c r="V1302" s="15"/>
      <c r="W1302" s="15"/>
      <c r="X1302" s="15"/>
      <c r="Y1302" s="15"/>
      <c r="Z1302" s="15"/>
      <c r="AA1302" s="46"/>
      <c r="AB1302" s="15"/>
      <c r="AC1302" s="15"/>
      <c r="AD1302" s="15"/>
      <c r="AE1302" s="15"/>
      <c r="AF1302" s="15"/>
      <c r="AG1302" s="15"/>
      <c r="AH1302" s="15"/>
      <c r="AI1302" s="46"/>
      <c r="AJ1302" s="51" t="s">
        <v>67</v>
      </c>
      <c r="AK1302" s="51" t="s">
        <v>67</v>
      </c>
      <c r="AL1302" s="15"/>
      <c r="AM1302" s="51" t="s">
        <v>67</v>
      </c>
      <c r="AN1302" s="51" t="s">
        <v>67</v>
      </c>
      <c r="AO1302" s="50" t="s">
        <v>9554</v>
      </c>
    </row>
    <row r="1303" spans="1:41" hidden="1" x14ac:dyDescent="0.25">
      <c r="A1303" s="51" t="s">
        <v>6965</v>
      </c>
      <c r="B1303" s="51" t="s">
        <v>6966</v>
      </c>
      <c r="C1303" s="54" t="s">
        <v>2541</v>
      </c>
      <c r="D1303" s="51" t="s">
        <v>6967</v>
      </c>
      <c r="E1303" s="20">
        <v>9964.15</v>
      </c>
      <c r="F1303" s="20">
        <v>331.22</v>
      </c>
      <c r="G1303" s="20">
        <v>10049.61</v>
      </c>
      <c r="H1303" s="20">
        <v>358.54</v>
      </c>
      <c r="I1303" s="20">
        <v>331.22</v>
      </c>
      <c r="J1303" s="51" t="s">
        <v>6725</v>
      </c>
      <c r="K1303" s="15">
        <v>0</v>
      </c>
      <c r="L1303" s="51" t="s">
        <v>2371</v>
      </c>
      <c r="M1303" s="51" t="s">
        <v>67</v>
      </c>
      <c r="N1303" s="51" t="s">
        <v>67</v>
      </c>
      <c r="O1303" s="51" t="s">
        <v>6968</v>
      </c>
      <c r="P1303" s="51" t="s">
        <v>1340</v>
      </c>
      <c r="Q1303" s="45">
        <v>46286.582375636572</v>
      </c>
      <c r="R1303" s="46">
        <v>46311</v>
      </c>
      <c r="S1303" s="46">
        <v>46306</v>
      </c>
      <c r="T1303" s="51" t="s">
        <v>6119</v>
      </c>
      <c r="U1303" s="15"/>
      <c r="V1303" s="15"/>
      <c r="W1303" s="15"/>
      <c r="X1303" s="15"/>
      <c r="Y1303" s="15"/>
      <c r="Z1303" s="15"/>
      <c r="AA1303" s="46"/>
      <c r="AB1303" s="15"/>
      <c r="AC1303" s="15"/>
      <c r="AD1303" s="15"/>
      <c r="AE1303" s="15"/>
      <c r="AF1303" s="15"/>
      <c r="AG1303" s="15"/>
      <c r="AH1303" s="15"/>
      <c r="AI1303" s="46"/>
      <c r="AJ1303" s="51" t="s">
        <v>67</v>
      </c>
      <c r="AK1303" s="51" t="s">
        <v>67</v>
      </c>
      <c r="AL1303" s="15"/>
      <c r="AM1303" s="51" t="s">
        <v>67</v>
      </c>
      <c r="AN1303" s="51" t="s">
        <v>67</v>
      </c>
      <c r="AO1303" s="50" t="s">
        <v>9554</v>
      </c>
    </row>
    <row r="1304" spans="1:41" hidden="1" x14ac:dyDescent="0.25">
      <c r="A1304" s="51" t="s">
        <v>6969</v>
      </c>
      <c r="B1304" s="51" t="s">
        <v>6970</v>
      </c>
      <c r="C1304" s="54" t="s">
        <v>5598</v>
      </c>
      <c r="D1304" s="51" t="s">
        <v>6971</v>
      </c>
      <c r="E1304" s="20">
        <v>9814.4500000000007</v>
      </c>
      <c r="F1304" s="20">
        <v>191.83</v>
      </c>
      <c r="G1304" s="20">
        <v>10696.73</v>
      </c>
      <c r="H1304" s="20">
        <v>368.61</v>
      </c>
      <c r="I1304" s="20">
        <v>191.83</v>
      </c>
      <c r="J1304" s="51" t="s">
        <v>6726</v>
      </c>
      <c r="K1304" s="15">
        <v>0</v>
      </c>
      <c r="L1304" s="51" t="s">
        <v>2371</v>
      </c>
      <c r="M1304" s="51" t="s">
        <v>67</v>
      </c>
      <c r="N1304" s="51" t="s">
        <v>67</v>
      </c>
      <c r="O1304" s="51" t="s">
        <v>6972</v>
      </c>
      <c r="P1304" s="51" t="s">
        <v>1340</v>
      </c>
      <c r="Q1304" s="45">
        <v>46286.582379293985</v>
      </c>
      <c r="R1304" s="46">
        <v>46318</v>
      </c>
      <c r="S1304" s="46">
        <v>46313</v>
      </c>
      <c r="T1304" s="51" t="s">
        <v>6119</v>
      </c>
      <c r="U1304" s="15"/>
      <c r="V1304" s="15"/>
      <c r="W1304" s="15"/>
      <c r="X1304" s="15"/>
      <c r="Y1304" s="15"/>
      <c r="Z1304" s="15"/>
      <c r="AA1304" s="46"/>
      <c r="AB1304" s="15"/>
      <c r="AC1304" s="15"/>
      <c r="AD1304" s="15"/>
      <c r="AE1304" s="15"/>
      <c r="AF1304" s="15"/>
      <c r="AG1304" s="15"/>
      <c r="AH1304" s="15"/>
      <c r="AI1304" s="46"/>
      <c r="AJ1304" s="51" t="s">
        <v>67</v>
      </c>
      <c r="AK1304" s="51" t="s">
        <v>67</v>
      </c>
      <c r="AL1304" s="15"/>
      <c r="AM1304" s="51" t="s">
        <v>67</v>
      </c>
      <c r="AN1304" s="51" t="s">
        <v>67</v>
      </c>
      <c r="AO1304" s="50" t="s">
        <v>9554</v>
      </c>
    </row>
    <row r="1305" spans="1:41" hidden="1" x14ac:dyDescent="0.25">
      <c r="A1305" s="51" t="s">
        <v>6973</v>
      </c>
      <c r="B1305" s="51" t="s">
        <v>6974</v>
      </c>
      <c r="C1305" s="54" t="s">
        <v>5605</v>
      </c>
      <c r="D1305" s="51" t="s">
        <v>6975</v>
      </c>
      <c r="E1305" s="20">
        <v>9782.36</v>
      </c>
      <c r="F1305" s="20">
        <v>187.49</v>
      </c>
      <c r="G1305" s="20">
        <v>16678.29</v>
      </c>
      <c r="H1305" s="20">
        <v>395.72</v>
      </c>
      <c r="I1305" s="20">
        <v>187.49</v>
      </c>
      <c r="J1305" s="51" t="s">
        <v>6726</v>
      </c>
      <c r="K1305" s="15">
        <v>0</v>
      </c>
      <c r="L1305" s="51" t="s">
        <v>2371</v>
      </c>
      <c r="M1305" s="51" t="s">
        <v>6976</v>
      </c>
      <c r="N1305" s="51" t="s">
        <v>1340</v>
      </c>
      <c r="O1305" s="51" t="s">
        <v>6977</v>
      </c>
      <c r="P1305" s="51" t="s">
        <v>1340</v>
      </c>
      <c r="Q1305" s="45">
        <v>46286.582382685185</v>
      </c>
      <c r="R1305" s="46">
        <v>46323</v>
      </c>
      <c r="S1305" s="46">
        <v>46318</v>
      </c>
      <c r="T1305" s="51" t="s">
        <v>6119</v>
      </c>
      <c r="U1305" s="15"/>
      <c r="V1305" s="15"/>
      <c r="W1305" s="15"/>
      <c r="X1305" s="15"/>
      <c r="Y1305" s="15"/>
      <c r="Z1305" s="15"/>
      <c r="AA1305" s="46"/>
      <c r="AB1305" s="15"/>
      <c r="AC1305" s="15"/>
      <c r="AD1305" s="15"/>
      <c r="AE1305" s="15"/>
      <c r="AF1305" s="15"/>
      <c r="AG1305" s="15"/>
      <c r="AH1305" s="15"/>
      <c r="AI1305" s="46"/>
      <c r="AJ1305" s="51" t="s">
        <v>67</v>
      </c>
      <c r="AK1305" s="51" t="s">
        <v>67</v>
      </c>
      <c r="AL1305" s="15"/>
      <c r="AM1305" s="51" t="s">
        <v>67</v>
      </c>
      <c r="AN1305" s="51" t="s">
        <v>67</v>
      </c>
      <c r="AO1305" s="50" t="s">
        <v>9554</v>
      </c>
    </row>
    <row r="1306" spans="1:41" hidden="1" x14ac:dyDescent="0.25">
      <c r="A1306" s="51" t="s">
        <v>6978</v>
      </c>
      <c r="B1306" s="51" t="s">
        <v>6979</v>
      </c>
      <c r="C1306" s="54" t="s">
        <v>607</v>
      </c>
      <c r="D1306" s="51" t="s">
        <v>6980</v>
      </c>
      <c r="E1306" s="20">
        <v>9967.77</v>
      </c>
      <c r="F1306" s="20">
        <v>417.92</v>
      </c>
      <c r="G1306" s="20">
        <v>6629.93</v>
      </c>
      <c r="H1306" s="20">
        <v>358.21</v>
      </c>
      <c r="I1306" s="20">
        <v>417.92</v>
      </c>
      <c r="J1306" s="51" t="s">
        <v>6726</v>
      </c>
      <c r="K1306" s="15">
        <v>42</v>
      </c>
      <c r="L1306" s="51" t="s">
        <v>2369</v>
      </c>
      <c r="M1306" s="51" t="s">
        <v>6981</v>
      </c>
      <c r="N1306" s="51" t="s">
        <v>1340</v>
      </c>
      <c r="O1306" s="51" t="s">
        <v>6982</v>
      </c>
      <c r="P1306" s="51" t="s">
        <v>1340</v>
      </c>
      <c r="Q1306" s="45">
        <v>46286.582386226852</v>
      </c>
      <c r="R1306" s="46">
        <v>46310</v>
      </c>
      <c r="S1306" s="46">
        <v>46305</v>
      </c>
      <c r="T1306" s="51" t="s">
        <v>6119</v>
      </c>
      <c r="U1306" s="15"/>
      <c r="V1306" s="15"/>
      <c r="W1306" s="15"/>
      <c r="X1306" s="15"/>
      <c r="Y1306" s="15"/>
      <c r="Z1306" s="15"/>
      <c r="AA1306" s="46"/>
      <c r="AB1306" s="15"/>
      <c r="AC1306" s="15"/>
      <c r="AD1306" s="15"/>
      <c r="AE1306" s="15"/>
      <c r="AF1306" s="15"/>
      <c r="AG1306" s="15"/>
      <c r="AH1306" s="15"/>
      <c r="AI1306" s="46"/>
      <c r="AJ1306" s="51" t="s">
        <v>6121</v>
      </c>
      <c r="AK1306" s="51" t="s">
        <v>67</v>
      </c>
      <c r="AL1306" s="15"/>
      <c r="AM1306" s="51" t="s">
        <v>67</v>
      </c>
      <c r="AN1306" s="51" t="s">
        <v>67</v>
      </c>
      <c r="AO1306" s="50" t="s">
        <v>9554</v>
      </c>
    </row>
    <row r="1307" spans="1:41" hidden="1" x14ac:dyDescent="0.25">
      <c r="A1307" s="51" t="s">
        <v>6983</v>
      </c>
      <c r="B1307" s="51" t="s">
        <v>6984</v>
      </c>
      <c r="C1307" s="54" t="s">
        <v>5596</v>
      </c>
      <c r="D1307" s="51" t="s">
        <v>6985</v>
      </c>
      <c r="E1307" s="20">
        <v>9600.3799999999992</v>
      </c>
      <c r="F1307" s="20">
        <v>9.51</v>
      </c>
      <c r="G1307" s="20">
        <v>8968.93</v>
      </c>
      <c r="H1307" s="20">
        <v>399.62</v>
      </c>
      <c r="I1307" s="20">
        <v>9.51</v>
      </c>
      <c r="J1307" s="51" t="s">
        <v>6724</v>
      </c>
      <c r="K1307" s="15">
        <v>0</v>
      </c>
      <c r="L1307" s="51" t="s">
        <v>2371</v>
      </c>
      <c r="M1307" s="51" t="s">
        <v>67</v>
      </c>
      <c r="N1307" s="51" t="s">
        <v>67</v>
      </c>
      <c r="O1307" s="51" t="s">
        <v>6986</v>
      </c>
      <c r="P1307" s="51" t="s">
        <v>1344</v>
      </c>
      <c r="Q1307" s="45">
        <v>46286.582390416668</v>
      </c>
      <c r="R1307" s="46">
        <v>46300</v>
      </c>
      <c r="S1307" s="46">
        <v>46295</v>
      </c>
      <c r="T1307" s="51" t="s">
        <v>6119</v>
      </c>
      <c r="U1307" s="15"/>
      <c r="V1307" s="15"/>
      <c r="W1307" s="15"/>
      <c r="X1307" s="15"/>
      <c r="Y1307" s="15"/>
      <c r="Z1307" s="15"/>
      <c r="AA1307" s="46"/>
      <c r="AB1307" s="15"/>
      <c r="AC1307" s="15"/>
      <c r="AD1307" s="15"/>
      <c r="AE1307" s="15"/>
      <c r="AF1307" s="15"/>
      <c r="AG1307" s="15"/>
      <c r="AH1307" s="15"/>
      <c r="AI1307" s="46"/>
      <c r="AJ1307" s="51" t="s">
        <v>67</v>
      </c>
      <c r="AK1307" s="51" t="s">
        <v>67</v>
      </c>
      <c r="AL1307" s="15"/>
      <c r="AM1307" s="51" t="s">
        <v>67</v>
      </c>
      <c r="AN1307" s="51" t="s">
        <v>67</v>
      </c>
      <c r="AO1307" s="50" t="s">
        <v>9554</v>
      </c>
    </row>
    <row r="1308" spans="1:41" hidden="1" x14ac:dyDescent="0.25">
      <c r="A1308" s="51" t="s">
        <v>6987</v>
      </c>
      <c r="B1308" s="51" t="s">
        <v>6988</v>
      </c>
      <c r="C1308" s="54" t="s">
        <v>2345</v>
      </c>
      <c r="D1308" s="51" t="s">
        <v>6989</v>
      </c>
      <c r="E1308" s="20">
        <v>9789.3700000000008</v>
      </c>
      <c r="F1308" s="20">
        <v>181.47</v>
      </c>
      <c r="G1308" s="20">
        <v>12935.34</v>
      </c>
      <c r="H1308" s="20">
        <v>382.98</v>
      </c>
      <c r="I1308" s="20">
        <v>181.47</v>
      </c>
      <c r="J1308" s="51" t="s">
        <v>6726</v>
      </c>
      <c r="K1308" s="15">
        <v>0</v>
      </c>
      <c r="L1308" s="51" t="s">
        <v>2371</v>
      </c>
      <c r="M1308" s="51" t="s">
        <v>6990</v>
      </c>
      <c r="N1308" s="51" t="s">
        <v>1340</v>
      </c>
      <c r="O1308" s="51" t="s">
        <v>6991</v>
      </c>
      <c r="P1308" s="51" t="s">
        <v>1340</v>
      </c>
      <c r="Q1308" s="45">
        <v>46286.582395868056</v>
      </c>
      <c r="R1308" s="46">
        <v>46306</v>
      </c>
      <c r="S1308" s="46">
        <v>46301</v>
      </c>
      <c r="T1308" s="51" t="s">
        <v>6119</v>
      </c>
      <c r="U1308" s="15"/>
      <c r="V1308" s="15"/>
      <c r="W1308" s="15"/>
      <c r="X1308" s="15"/>
      <c r="Y1308" s="15"/>
      <c r="Z1308" s="15"/>
      <c r="AA1308" s="46"/>
      <c r="AB1308" s="15"/>
      <c r="AC1308" s="15"/>
      <c r="AD1308" s="15"/>
      <c r="AE1308" s="15"/>
      <c r="AF1308" s="15"/>
      <c r="AG1308" s="15"/>
      <c r="AH1308" s="15"/>
      <c r="AI1308" s="46"/>
      <c r="AJ1308" s="51" t="s">
        <v>67</v>
      </c>
      <c r="AK1308" s="51" t="s">
        <v>67</v>
      </c>
      <c r="AL1308" s="15"/>
      <c r="AM1308" s="51" t="s">
        <v>67</v>
      </c>
      <c r="AN1308" s="51" t="s">
        <v>67</v>
      </c>
      <c r="AO1308" s="50" t="s">
        <v>9554</v>
      </c>
    </row>
    <row r="1309" spans="1:41" hidden="1" x14ac:dyDescent="0.25">
      <c r="A1309" s="51" t="s">
        <v>6992</v>
      </c>
      <c r="B1309" s="51" t="s">
        <v>6993</v>
      </c>
      <c r="C1309" s="54" t="s">
        <v>2693</v>
      </c>
      <c r="D1309" s="51" t="s">
        <v>6994</v>
      </c>
      <c r="E1309" s="20">
        <v>9681.39</v>
      </c>
      <c r="F1309" s="20">
        <v>7.58</v>
      </c>
      <c r="G1309" s="20">
        <v>12503.08</v>
      </c>
      <c r="H1309" s="20">
        <v>318.61</v>
      </c>
      <c r="I1309" s="20">
        <v>7.58</v>
      </c>
      <c r="J1309" s="51" t="s">
        <v>6724</v>
      </c>
      <c r="K1309" s="15">
        <v>0</v>
      </c>
      <c r="L1309" s="51" t="s">
        <v>2371</v>
      </c>
      <c r="M1309" s="51" t="s">
        <v>67</v>
      </c>
      <c r="N1309" s="51" t="s">
        <v>67</v>
      </c>
      <c r="O1309" s="51" t="s">
        <v>6995</v>
      </c>
      <c r="P1309" s="51" t="s">
        <v>1340</v>
      </c>
      <c r="Q1309" s="45">
        <v>46286.582400624997</v>
      </c>
      <c r="R1309" s="46">
        <v>46314</v>
      </c>
      <c r="S1309" s="46">
        <v>46309</v>
      </c>
      <c r="T1309" s="51" t="s">
        <v>6119</v>
      </c>
      <c r="U1309" s="15"/>
      <c r="V1309" s="15"/>
      <c r="W1309" s="15"/>
      <c r="X1309" s="15"/>
      <c r="Y1309" s="15"/>
      <c r="Z1309" s="15"/>
      <c r="AA1309" s="46"/>
      <c r="AB1309" s="15"/>
      <c r="AC1309" s="15"/>
      <c r="AD1309" s="15"/>
      <c r="AE1309" s="15"/>
      <c r="AF1309" s="15"/>
      <c r="AG1309" s="15"/>
      <c r="AH1309" s="15"/>
      <c r="AI1309" s="46"/>
      <c r="AJ1309" s="51" t="s">
        <v>67</v>
      </c>
      <c r="AK1309" s="51" t="s">
        <v>67</v>
      </c>
      <c r="AL1309" s="15"/>
      <c r="AM1309" s="51" t="s">
        <v>67</v>
      </c>
      <c r="AN1309" s="51" t="s">
        <v>67</v>
      </c>
      <c r="AO1309" s="50" t="s">
        <v>9554</v>
      </c>
    </row>
    <row r="1310" spans="1:41" hidden="1" x14ac:dyDescent="0.25">
      <c r="A1310" s="51" t="s">
        <v>6996</v>
      </c>
      <c r="B1310" s="51" t="s">
        <v>6997</v>
      </c>
      <c r="C1310" s="54" t="s">
        <v>2357</v>
      </c>
      <c r="D1310" s="51" t="s">
        <v>4667</v>
      </c>
      <c r="E1310" s="20">
        <v>9964.25</v>
      </c>
      <c r="F1310" s="20">
        <v>330.28</v>
      </c>
      <c r="G1310" s="20">
        <v>18480.37</v>
      </c>
      <c r="H1310" s="20">
        <v>357.52</v>
      </c>
      <c r="I1310" s="20">
        <v>330.28</v>
      </c>
      <c r="J1310" s="51" t="s">
        <v>6725</v>
      </c>
      <c r="K1310" s="15">
        <v>0</v>
      </c>
      <c r="L1310" s="51" t="s">
        <v>2371</v>
      </c>
      <c r="M1310" s="51" t="s">
        <v>6998</v>
      </c>
      <c r="N1310" s="51" t="s">
        <v>1340</v>
      </c>
      <c r="O1310" s="51" t="s">
        <v>67</v>
      </c>
      <c r="P1310" s="51" t="s">
        <v>67</v>
      </c>
      <c r="Q1310" s="45">
        <v>46286.582404479166</v>
      </c>
      <c r="R1310" s="46">
        <v>46308</v>
      </c>
      <c r="S1310" s="46">
        <v>46303</v>
      </c>
      <c r="T1310" s="51" t="s">
        <v>6119</v>
      </c>
      <c r="U1310" s="15"/>
      <c r="V1310" s="15"/>
      <c r="W1310" s="15"/>
      <c r="X1310" s="15"/>
      <c r="Y1310" s="15"/>
      <c r="Z1310" s="15"/>
      <c r="AA1310" s="46"/>
      <c r="AB1310" s="15"/>
      <c r="AC1310" s="15"/>
      <c r="AD1310" s="15"/>
      <c r="AE1310" s="15"/>
      <c r="AF1310" s="15"/>
      <c r="AG1310" s="15"/>
      <c r="AH1310" s="15"/>
      <c r="AI1310" s="46"/>
      <c r="AJ1310" s="51" t="s">
        <v>67</v>
      </c>
      <c r="AK1310" s="51" t="s">
        <v>67</v>
      </c>
      <c r="AL1310" s="15"/>
      <c r="AM1310" s="51" t="s">
        <v>67</v>
      </c>
      <c r="AN1310" s="51" t="s">
        <v>67</v>
      </c>
      <c r="AO1310" s="50" t="s">
        <v>9554</v>
      </c>
    </row>
    <row r="1311" spans="1:41" hidden="1" x14ac:dyDescent="0.25">
      <c r="A1311" s="51" t="s">
        <v>6999</v>
      </c>
      <c r="B1311" s="51" t="s">
        <v>7000</v>
      </c>
      <c r="C1311" s="54" t="s">
        <v>5598</v>
      </c>
      <c r="D1311" s="51" t="s">
        <v>7001</v>
      </c>
      <c r="E1311" s="20">
        <v>9836.31</v>
      </c>
      <c r="F1311" s="20">
        <v>169.23</v>
      </c>
      <c r="G1311" s="20">
        <v>6549.75</v>
      </c>
      <c r="H1311" s="20">
        <v>325.18</v>
      </c>
      <c r="I1311" s="20">
        <v>169.23</v>
      </c>
      <c r="J1311" s="51" t="s">
        <v>6726</v>
      </c>
      <c r="K1311" s="15">
        <v>0</v>
      </c>
      <c r="L1311" s="51" t="s">
        <v>2371</v>
      </c>
      <c r="M1311" s="51" t="s">
        <v>7002</v>
      </c>
      <c r="N1311" s="51" t="s">
        <v>1340</v>
      </c>
      <c r="O1311" s="51" t="s">
        <v>67</v>
      </c>
      <c r="P1311" s="51" t="s">
        <v>67</v>
      </c>
      <c r="Q1311" s="45">
        <v>46286.582410821757</v>
      </c>
      <c r="R1311" s="46">
        <v>46318</v>
      </c>
      <c r="S1311" s="46">
        <v>46313</v>
      </c>
      <c r="T1311" s="51" t="s">
        <v>6119</v>
      </c>
      <c r="U1311" s="15"/>
      <c r="V1311" s="15"/>
      <c r="W1311" s="15"/>
      <c r="X1311" s="15"/>
      <c r="Y1311" s="15"/>
      <c r="Z1311" s="15"/>
      <c r="AA1311" s="46"/>
      <c r="AB1311" s="15"/>
      <c r="AC1311" s="15"/>
      <c r="AD1311" s="15"/>
      <c r="AE1311" s="15"/>
      <c r="AF1311" s="15"/>
      <c r="AG1311" s="15"/>
      <c r="AH1311" s="15"/>
      <c r="AI1311" s="46"/>
      <c r="AJ1311" s="51" t="s">
        <v>67</v>
      </c>
      <c r="AK1311" s="51" t="s">
        <v>67</v>
      </c>
      <c r="AL1311" s="15"/>
      <c r="AM1311" s="51" t="s">
        <v>67</v>
      </c>
      <c r="AN1311" s="51" t="s">
        <v>67</v>
      </c>
      <c r="AO1311" s="50" t="s">
        <v>9554</v>
      </c>
    </row>
    <row r="1312" spans="1:41" hidden="1" x14ac:dyDescent="0.25">
      <c r="A1312" s="51" t="s">
        <v>7003</v>
      </c>
      <c r="B1312" s="51" t="s">
        <v>7004</v>
      </c>
      <c r="C1312" s="54" t="s">
        <v>2356</v>
      </c>
      <c r="D1312" s="51" t="s">
        <v>7005</v>
      </c>
      <c r="E1312" s="20">
        <v>9974.16</v>
      </c>
      <c r="F1312" s="20">
        <v>339.8</v>
      </c>
      <c r="G1312" s="20">
        <v>12823.21</v>
      </c>
      <c r="H1312" s="20">
        <v>287.16000000000003</v>
      </c>
      <c r="I1312" s="20">
        <v>339.8</v>
      </c>
      <c r="J1312" s="51" t="s">
        <v>6726</v>
      </c>
      <c r="K1312" s="15">
        <v>45</v>
      </c>
      <c r="L1312" s="51" t="s">
        <v>2369</v>
      </c>
      <c r="M1312" s="51" t="s">
        <v>7006</v>
      </c>
      <c r="N1312" s="51" t="s">
        <v>1340</v>
      </c>
      <c r="O1312" s="51" t="s">
        <v>7007</v>
      </c>
      <c r="P1312" s="51" t="s">
        <v>1340</v>
      </c>
      <c r="Q1312" s="45">
        <v>46286.582415173609</v>
      </c>
      <c r="R1312" s="46">
        <v>46307</v>
      </c>
      <c r="S1312" s="46">
        <v>46302</v>
      </c>
      <c r="T1312" s="51" t="s">
        <v>6119</v>
      </c>
      <c r="U1312" s="15"/>
      <c r="V1312" s="15"/>
      <c r="W1312" s="15"/>
      <c r="X1312" s="15"/>
      <c r="Y1312" s="15"/>
      <c r="Z1312" s="15"/>
      <c r="AA1312" s="46"/>
      <c r="AB1312" s="15"/>
      <c r="AC1312" s="15"/>
      <c r="AD1312" s="15"/>
      <c r="AE1312" s="15"/>
      <c r="AF1312" s="15"/>
      <c r="AG1312" s="15"/>
      <c r="AH1312" s="15"/>
      <c r="AI1312" s="46"/>
      <c r="AJ1312" s="51" t="s">
        <v>6121</v>
      </c>
      <c r="AK1312" s="51" t="s">
        <v>67</v>
      </c>
      <c r="AL1312" s="15"/>
      <c r="AM1312" s="51" t="s">
        <v>67</v>
      </c>
      <c r="AN1312" s="51" t="s">
        <v>67</v>
      </c>
      <c r="AO1312" s="50" t="s">
        <v>9554</v>
      </c>
    </row>
    <row r="1313" spans="1:41" hidden="1" x14ac:dyDescent="0.25">
      <c r="A1313" s="51" t="s">
        <v>7008</v>
      </c>
      <c r="B1313" s="51" t="s">
        <v>7009</v>
      </c>
      <c r="C1313" s="54" t="s">
        <v>5596</v>
      </c>
      <c r="D1313" s="51" t="s">
        <v>7010</v>
      </c>
      <c r="E1313" s="20">
        <v>9956</v>
      </c>
      <c r="F1313" s="20">
        <v>406.44</v>
      </c>
      <c r="G1313" s="20">
        <v>18220.21</v>
      </c>
      <c r="H1313" s="20">
        <v>439.97</v>
      </c>
      <c r="I1313" s="20">
        <v>406.44</v>
      </c>
      <c r="J1313" s="51" t="s">
        <v>6725</v>
      </c>
      <c r="K1313" s="15">
        <v>0</v>
      </c>
      <c r="L1313" s="51" t="s">
        <v>2371</v>
      </c>
      <c r="M1313" s="51" t="s">
        <v>67</v>
      </c>
      <c r="N1313" s="51" t="s">
        <v>67</v>
      </c>
      <c r="O1313" s="51" t="s">
        <v>7011</v>
      </c>
      <c r="P1313" s="51" t="s">
        <v>1340</v>
      </c>
      <c r="Q1313" s="45">
        <v>46286.582418773149</v>
      </c>
      <c r="R1313" s="46">
        <v>46300</v>
      </c>
      <c r="S1313" s="46">
        <v>46295</v>
      </c>
      <c r="T1313" s="51" t="s">
        <v>6119</v>
      </c>
      <c r="U1313" s="15"/>
      <c r="V1313" s="15"/>
      <c r="W1313" s="15"/>
      <c r="X1313" s="15"/>
      <c r="Y1313" s="15"/>
      <c r="Z1313" s="15"/>
      <c r="AA1313" s="46"/>
      <c r="AB1313" s="15"/>
      <c r="AC1313" s="15"/>
      <c r="AD1313" s="15"/>
      <c r="AE1313" s="15"/>
      <c r="AF1313" s="15"/>
      <c r="AG1313" s="15"/>
      <c r="AH1313" s="15"/>
      <c r="AI1313" s="46"/>
      <c r="AJ1313" s="51" t="s">
        <v>67</v>
      </c>
      <c r="AK1313" s="51" t="s">
        <v>67</v>
      </c>
      <c r="AL1313" s="15"/>
      <c r="AM1313" s="51" t="s">
        <v>67</v>
      </c>
      <c r="AN1313" s="51" t="s">
        <v>67</v>
      </c>
      <c r="AO1313" s="50" t="s">
        <v>9554</v>
      </c>
    </row>
    <row r="1314" spans="1:41" hidden="1" x14ac:dyDescent="0.25">
      <c r="A1314" s="51" t="s">
        <v>7012</v>
      </c>
      <c r="B1314" s="51" t="s">
        <v>7013</v>
      </c>
      <c r="C1314" s="54" t="s">
        <v>2692</v>
      </c>
      <c r="D1314" s="51" t="s">
        <v>7014</v>
      </c>
      <c r="E1314" s="20">
        <v>9966.7199999999993</v>
      </c>
      <c r="F1314" s="20">
        <v>396.68</v>
      </c>
      <c r="G1314" s="20">
        <v>6054.08</v>
      </c>
      <c r="H1314" s="20">
        <v>369.88</v>
      </c>
      <c r="I1314" s="20">
        <v>396.68</v>
      </c>
      <c r="J1314" s="51" t="s">
        <v>6726</v>
      </c>
      <c r="K1314" s="15">
        <v>25</v>
      </c>
      <c r="L1314" s="51" t="s">
        <v>2369</v>
      </c>
      <c r="M1314" s="51" t="s">
        <v>7015</v>
      </c>
      <c r="N1314" s="51" t="s">
        <v>1340</v>
      </c>
      <c r="O1314" s="51" t="s">
        <v>67</v>
      </c>
      <c r="P1314" s="51" t="s">
        <v>67</v>
      </c>
      <c r="Q1314" s="45">
        <v>46286.582422280095</v>
      </c>
      <c r="R1314" s="46">
        <v>46296</v>
      </c>
      <c r="S1314" s="46">
        <v>46291</v>
      </c>
      <c r="T1314" s="51" t="s">
        <v>6119</v>
      </c>
      <c r="U1314" s="15"/>
      <c r="V1314" s="15"/>
      <c r="W1314" s="15"/>
      <c r="X1314" s="15"/>
      <c r="Y1314" s="15"/>
      <c r="Z1314" s="15"/>
      <c r="AA1314" s="46"/>
      <c r="AB1314" s="15"/>
      <c r="AC1314" s="15"/>
      <c r="AD1314" s="15"/>
      <c r="AE1314" s="15"/>
      <c r="AF1314" s="15"/>
      <c r="AG1314" s="15"/>
      <c r="AH1314" s="15"/>
      <c r="AI1314" s="46"/>
      <c r="AJ1314" s="51" t="s">
        <v>6121</v>
      </c>
      <c r="AK1314" s="51" t="s">
        <v>67</v>
      </c>
      <c r="AL1314" s="15"/>
      <c r="AM1314" s="51" t="s">
        <v>67</v>
      </c>
      <c r="AN1314" s="51" t="s">
        <v>67</v>
      </c>
      <c r="AO1314" s="50" t="s">
        <v>9554</v>
      </c>
    </row>
    <row r="1315" spans="1:41" hidden="1" x14ac:dyDescent="0.25">
      <c r="A1315" s="51" t="s">
        <v>7016</v>
      </c>
      <c r="B1315" s="51" t="s">
        <v>7017</v>
      </c>
      <c r="C1315" s="54" t="s">
        <v>2358</v>
      </c>
      <c r="D1315" s="51" t="s">
        <v>7018</v>
      </c>
      <c r="E1315" s="20">
        <v>9801.85</v>
      </c>
      <c r="F1315" s="20">
        <v>170.71</v>
      </c>
      <c r="G1315" s="20">
        <v>7249.57</v>
      </c>
      <c r="H1315" s="20">
        <v>360.28</v>
      </c>
      <c r="I1315" s="20">
        <v>170.71</v>
      </c>
      <c r="J1315" s="51" t="s">
        <v>6726</v>
      </c>
      <c r="K1315" s="15">
        <v>0</v>
      </c>
      <c r="L1315" s="51" t="s">
        <v>2371</v>
      </c>
      <c r="M1315" s="51" t="s">
        <v>7019</v>
      </c>
      <c r="N1315" s="51" t="s">
        <v>1344</v>
      </c>
      <c r="O1315" s="51" t="s">
        <v>7020</v>
      </c>
      <c r="P1315" s="51" t="s">
        <v>1344</v>
      </c>
      <c r="Q1315" s="45">
        <v>46286.582426655092</v>
      </c>
      <c r="R1315" s="46">
        <v>46309</v>
      </c>
      <c r="S1315" s="46">
        <v>46304</v>
      </c>
      <c r="T1315" s="51" t="s">
        <v>6119</v>
      </c>
      <c r="U1315" s="15"/>
      <c r="V1315" s="15"/>
      <c r="W1315" s="15"/>
      <c r="X1315" s="15"/>
      <c r="Y1315" s="15"/>
      <c r="Z1315" s="15"/>
      <c r="AA1315" s="46"/>
      <c r="AB1315" s="15"/>
      <c r="AC1315" s="15"/>
      <c r="AD1315" s="15"/>
      <c r="AE1315" s="15"/>
      <c r="AF1315" s="15"/>
      <c r="AG1315" s="15"/>
      <c r="AH1315" s="15"/>
      <c r="AI1315" s="46"/>
      <c r="AJ1315" s="51" t="s">
        <v>67</v>
      </c>
      <c r="AK1315" s="51" t="s">
        <v>67</v>
      </c>
      <c r="AL1315" s="15"/>
      <c r="AM1315" s="51" t="s">
        <v>67</v>
      </c>
      <c r="AN1315" s="51" t="s">
        <v>67</v>
      </c>
      <c r="AO1315" s="50" t="s">
        <v>9554</v>
      </c>
    </row>
    <row r="1316" spans="1:41" hidden="1" x14ac:dyDescent="0.25">
      <c r="A1316" s="51" t="s">
        <v>7021</v>
      </c>
      <c r="B1316" s="51" t="s">
        <v>7022</v>
      </c>
      <c r="C1316" s="54" t="s">
        <v>611</v>
      </c>
      <c r="D1316" s="51" t="s">
        <v>7023</v>
      </c>
      <c r="E1316" s="20">
        <v>10000</v>
      </c>
      <c r="F1316" s="20">
        <v>590.79999999999995</v>
      </c>
      <c r="G1316" s="20">
        <v>5244.38</v>
      </c>
      <c r="H1316" s="20">
        <v>491.82</v>
      </c>
      <c r="I1316" s="20">
        <v>590.79999999999995</v>
      </c>
      <c r="J1316" s="51" t="s">
        <v>6727</v>
      </c>
      <c r="K1316" s="15">
        <v>32</v>
      </c>
      <c r="L1316" s="51" t="s">
        <v>2369</v>
      </c>
      <c r="M1316" s="51" t="s">
        <v>67</v>
      </c>
      <c r="N1316" s="51" t="s">
        <v>67</v>
      </c>
      <c r="O1316" s="51" t="s">
        <v>7024</v>
      </c>
      <c r="P1316" s="51" t="s">
        <v>1344</v>
      </c>
      <c r="Q1316" s="45">
        <v>46286.582430578703</v>
      </c>
      <c r="R1316" s="46">
        <v>46320</v>
      </c>
      <c r="S1316" s="46">
        <v>46315</v>
      </c>
      <c r="T1316" s="51" t="s">
        <v>6119</v>
      </c>
      <c r="U1316" s="15"/>
      <c r="V1316" s="15"/>
      <c r="W1316" s="15"/>
      <c r="X1316" s="15"/>
      <c r="Y1316" s="15"/>
      <c r="Z1316" s="15"/>
      <c r="AA1316" s="46"/>
      <c r="AB1316" s="15"/>
      <c r="AC1316" s="15"/>
      <c r="AD1316" s="15"/>
      <c r="AE1316" s="15"/>
      <c r="AF1316" s="15"/>
      <c r="AG1316" s="15"/>
      <c r="AH1316" s="15"/>
      <c r="AI1316" s="46"/>
      <c r="AJ1316" s="51" t="s">
        <v>6121</v>
      </c>
      <c r="AK1316" s="51" t="s">
        <v>67</v>
      </c>
      <c r="AL1316" s="15"/>
      <c r="AM1316" s="51" t="s">
        <v>67</v>
      </c>
      <c r="AN1316" s="51" t="s">
        <v>67</v>
      </c>
      <c r="AO1316" s="50" t="s">
        <v>9554</v>
      </c>
    </row>
    <row r="1317" spans="1:41" hidden="1" x14ac:dyDescent="0.25">
      <c r="A1317" s="51" t="s">
        <v>7025</v>
      </c>
      <c r="B1317" s="51" t="s">
        <v>7026</v>
      </c>
      <c r="C1317" s="54" t="s">
        <v>605</v>
      </c>
      <c r="D1317" s="51" t="s">
        <v>7027</v>
      </c>
      <c r="E1317" s="20">
        <v>10000</v>
      </c>
      <c r="F1317" s="20">
        <v>349.45</v>
      </c>
      <c r="G1317" s="20">
        <v>17805.77</v>
      </c>
      <c r="H1317" s="20">
        <v>272.07</v>
      </c>
      <c r="I1317" s="20">
        <v>349.45</v>
      </c>
      <c r="J1317" s="51" t="s">
        <v>6727</v>
      </c>
      <c r="K1317" s="15">
        <v>47</v>
      </c>
      <c r="L1317" s="51" t="s">
        <v>2369</v>
      </c>
      <c r="M1317" s="51" t="s">
        <v>7028</v>
      </c>
      <c r="N1317" s="51" t="s">
        <v>1340</v>
      </c>
      <c r="O1317" s="51" t="s">
        <v>7029</v>
      </c>
      <c r="P1317" s="51" t="s">
        <v>1340</v>
      </c>
      <c r="Q1317" s="45">
        <v>46286.582434004631</v>
      </c>
      <c r="R1317" s="46">
        <v>46305</v>
      </c>
      <c r="S1317" s="46">
        <v>46300</v>
      </c>
      <c r="T1317" s="51" t="s">
        <v>6119</v>
      </c>
      <c r="U1317" s="15"/>
      <c r="V1317" s="15"/>
      <c r="W1317" s="15"/>
      <c r="X1317" s="15"/>
      <c r="Y1317" s="15"/>
      <c r="Z1317" s="15"/>
      <c r="AA1317" s="46"/>
      <c r="AB1317" s="15"/>
      <c r="AC1317" s="15"/>
      <c r="AD1317" s="15"/>
      <c r="AE1317" s="15"/>
      <c r="AF1317" s="15"/>
      <c r="AG1317" s="15"/>
      <c r="AH1317" s="15"/>
      <c r="AI1317" s="46"/>
      <c r="AJ1317" s="51" t="s">
        <v>6121</v>
      </c>
      <c r="AK1317" s="51" t="s">
        <v>67</v>
      </c>
      <c r="AL1317" s="15"/>
      <c r="AM1317" s="51" t="s">
        <v>67</v>
      </c>
      <c r="AN1317" s="51" t="s">
        <v>67</v>
      </c>
      <c r="AO1317" s="50" t="s">
        <v>9554</v>
      </c>
    </row>
    <row r="1318" spans="1:41" hidden="1" x14ac:dyDescent="0.25">
      <c r="A1318" s="51" t="s">
        <v>7030</v>
      </c>
      <c r="B1318" s="51" t="s">
        <v>7031</v>
      </c>
      <c r="C1318" s="54" t="s">
        <v>2358</v>
      </c>
      <c r="D1318" s="51" t="s">
        <v>7032</v>
      </c>
      <c r="E1318" s="20">
        <v>10000</v>
      </c>
      <c r="F1318" s="20">
        <v>488.81</v>
      </c>
      <c r="G1318" s="20">
        <v>19509.55</v>
      </c>
      <c r="H1318" s="20">
        <v>387.25</v>
      </c>
      <c r="I1318" s="20">
        <v>488.81</v>
      </c>
      <c r="J1318" s="51" t="s">
        <v>6727</v>
      </c>
      <c r="K1318" s="15">
        <v>43</v>
      </c>
      <c r="L1318" s="51" t="s">
        <v>2369</v>
      </c>
      <c r="M1318" s="51" t="s">
        <v>7033</v>
      </c>
      <c r="N1318" s="51" t="s">
        <v>1340</v>
      </c>
      <c r="O1318" s="51" t="s">
        <v>67</v>
      </c>
      <c r="P1318" s="51" t="s">
        <v>67</v>
      </c>
      <c r="Q1318" s="45">
        <v>46286.582437546298</v>
      </c>
      <c r="R1318" s="46">
        <v>46309</v>
      </c>
      <c r="S1318" s="46">
        <v>46304</v>
      </c>
      <c r="T1318" s="51" t="s">
        <v>6119</v>
      </c>
      <c r="U1318" s="15"/>
      <c r="V1318" s="15"/>
      <c r="W1318" s="15"/>
      <c r="X1318" s="15"/>
      <c r="Y1318" s="15"/>
      <c r="Z1318" s="15"/>
      <c r="AA1318" s="46"/>
      <c r="AB1318" s="15"/>
      <c r="AC1318" s="15"/>
      <c r="AD1318" s="15"/>
      <c r="AE1318" s="15"/>
      <c r="AF1318" s="15"/>
      <c r="AG1318" s="15"/>
      <c r="AH1318" s="15"/>
      <c r="AI1318" s="46"/>
      <c r="AJ1318" s="51" t="s">
        <v>6121</v>
      </c>
      <c r="AK1318" s="51" t="s">
        <v>67</v>
      </c>
      <c r="AL1318" s="15"/>
      <c r="AM1318" s="51" t="s">
        <v>67</v>
      </c>
      <c r="AN1318" s="51" t="s">
        <v>67</v>
      </c>
      <c r="AO1318" s="50" t="s">
        <v>9554</v>
      </c>
    </row>
    <row r="1319" spans="1:41" hidden="1" x14ac:dyDescent="0.25">
      <c r="A1319" s="51" t="s">
        <v>7034</v>
      </c>
      <c r="B1319" s="51" t="s">
        <v>7035</v>
      </c>
      <c r="C1319" s="54" t="s">
        <v>5608</v>
      </c>
      <c r="D1319" s="51" t="s">
        <v>7036</v>
      </c>
      <c r="E1319" s="20">
        <v>10000</v>
      </c>
      <c r="F1319" s="20">
        <v>507.13</v>
      </c>
      <c r="G1319" s="20">
        <v>9791.86</v>
      </c>
      <c r="H1319" s="20">
        <v>420.24</v>
      </c>
      <c r="I1319" s="20">
        <v>507.13</v>
      </c>
      <c r="J1319" s="51" t="s">
        <v>6727</v>
      </c>
      <c r="K1319" s="15">
        <v>33</v>
      </c>
      <c r="L1319" s="51" t="s">
        <v>2369</v>
      </c>
      <c r="M1319" s="51" t="s">
        <v>67</v>
      </c>
      <c r="N1319" s="51" t="s">
        <v>67</v>
      </c>
      <c r="O1319" s="51" t="s">
        <v>7037</v>
      </c>
      <c r="P1319" s="51" t="s">
        <v>1344</v>
      </c>
      <c r="Q1319" s="45">
        <v>46286.582440914353</v>
      </c>
      <c r="R1319" s="46">
        <v>46319</v>
      </c>
      <c r="S1319" s="46">
        <v>46314</v>
      </c>
      <c r="T1319" s="51" t="s">
        <v>6119</v>
      </c>
      <c r="U1319" s="15"/>
      <c r="V1319" s="15"/>
      <c r="W1319" s="15"/>
      <c r="X1319" s="15"/>
      <c r="Y1319" s="15"/>
      <c r="Z1319" s="15"/>
      <c r="AA1319" s="46"/>
      <c r="AB1319" s="15"/>
      <c r="AC1319" s="15"/>
      <c r="AD1319" s="15"/>
      <c r="AE1319" s="15"/>
      <c r="AF1319" s="15"/>
      <c r="AG1319" s="15"/>
      <c r="AH1319" s="15"/>
      <c r="AI1319" s="46"/>
      <c r="AJ1319" s="51" t="s">
        <v>6121</v>
      </c>
      <c r="AK1319" s="51" t="s">
        <v>67</v>
      </c>
      <c r="AL1319" s="15"/>
      <c r="AM1319" s="51" t="s">
        <v>67</v>
      </c>
      <c r="AN1319" s="51" t="s">
        <v>67</v>
      </c>
      <c r="AO1319" s="50" t="s">
        <v>9554</v>
      </c>
    </row>
    <row r="1320" spans="1:41" hidden="1" x14ac:dyDescent="0.25">
      <c r="A1320" s="51" t="s">
        <v>7038</v>
      </c>
      <c r="B1320" s="51" t="s">
        <v>7039</v>
      </c>
      <c r="C1320" s="54" t="s">
        <v>2692</v>
      </c>
      <c r="D1320" s="51" t="s">
        <v>7040</v>
      </c>
      <c r="E1320" s="20">
        <v>9789.3799999999992</v>
      </c>
      <c r="F1320" s="20">
        <v>181.46</v>
      </c>
      <c r="G1320" s="20">
        <v>18999.09</v>
      </c>
      <c r="H1320" s="20">
        <v>382.96</v>
      </c>
      <c r="I1320" s="20">
        <v>181.46</v>
      </c>
      <c r="J1320" s="51" t="s">
        <v>6726</v>
      </c>
      <c r="K1320" s="15">
        <v>0</v>
      </c>
      <c r="L1320" s="51" t="s">
        <v>2371</v>
      </c>
      <c r="M1320" s="51" t="s">
        <v>67</v>
      </c>
      <c r="N1320" s="51" t="s">
        <v>67</v>
      </c>
      <c r="O1320" s="51" t="s">
        <v>7041</v>
      </c>
      <c r="P1320" s="51" t="s">
        <v>1340</v>
      </c>
      <c r="Q1320" s="45">
        <v>46286.582444050924</v>
      </c>
      <c r="R1320" s="46">
        <v>46296</v>
      </c>
      <c r="S1320" s="46">
        <v>46291</v>
      </c>
      <c r="T1320" s="51" t="s">
        <v>6119</v>
      </c>
      <c r="U1320" s="15"/>
      <c r="V1320" s="15"/>
      <c r="W1320" s="15"/>
      <c r="X1320" s="15"/>
      <c r="Y1320" s="15"/>
      <c r="Z1320" s="15"/>
      <c r="AA1320" s="46"/>
      <c r="AB1320" s="15"/>
      <c r="AC1320" s="15"/>
      <c r="AD1320" s="15"/>
      <c r="AE1320" s="15"/>
      <c r="AF1320" s="15"/>
      <c r="AG1320" s="15"/>
      <c r="AH1320" s="15"/>
      <c r="AI1320" s="46"/>
      <c r="AJ1320" s="51" t="s">
        <v>67</v>
      </c>
      <c r="AK1320" s="51" t="s">
        <v>67</v>
      </c>
      <c r="AL1320" s="15"/>
      <c r="AM1320" s="51" t="s">
        <v>67</v>
      </c>
      <c r="AN1320" s="51" t="s">
        <v>67</v>
      </c>
      <c r="AO1320" s="50" t="s">
        <v>9554</v>
      </c>
    </row>
    <row r="1321" spans="1:41" hidden="1" x14ac:dyDescent="0.25">
      <c r="A1321" s="51" t="s">
        <v>7042</v>
      </c>
      <c r="B1321" s="51" t="s">
        <v>7043</v>
      </c>
      <c r="C1321" s="54" t="s">
        <v>5608</v>
      </c>
      <c r="D1321" s="51" t="s">
        <v>7044</v>
      </c>
      <c r="E1321" s="20">
        <v>10000</v>
      </c>
      <c r="F1321" s="20">
        <v>486.73</v>
      </c>
      <c r="G1321" s="20">
        <v>3036.05</v>
      </c>
      <c r="H1321" s="20">
        <v>403.33</v>
      </c>
      <c r="I1321" s="20">
        <v>486.73</v>
      </c>
      <c r="J1321" s="51" t="s">
        <v>6727</v>
      </c>
      <c r="K1321" s="15">
        <v>33</v>
      </c>
      <c r="L1321" s="51" t="s">
        <v>2369</v>
      </c>
      <c r="M1321" s="51" t="s">
        <v>7045</v>
      </c>
      <c r="N1321" s="51" t="s">
        <v>1340</v>
      </c>
      <c r="O1321" s="51" t="s">
        <v>7046</v>
      </c>
      <c r="P1321" s="51" t="s">
        <v>1340</v>
      </c>
      <c r="Q1321" s="45">
        <v>46286.582447372683</v>
      </c>
      <c r="R1321" s="46">
        <v>46319</v>
      </c>
      <c r="S1321" s="46">
        <v>46314</v>
      </c>
      <c r="T1321" s="51" t="s">
        <v>6119</v>
      </c>
      <c r="U1321" s="15"/>
      <c r="V1321" s="15"/>
      <c r="W1321" s="15"/>
      <c r="X1321" s="15"/>
      <c r="Y1321" s="15"/>
      <c r="Z1321" s="15"/>
      <c r="AA1321" s="46"/>
      <c r="AB1321" s="15"/>
      <c r="AC1321" s="15"/>
      <c r="AD1321" s="15"/>
      <c r="AE1321" s="15"/>
      <c r="AF1321" s="15"/>
      <c r="AG1321" s="15"/>
      <c r="AH1321" s="15"/>
      <c r="AI1321" s="46"/>
      <c r="AJ1321" s="51" t="s">
        <v>6121</v>
      </c>
      <c r="AK1321" s="51" t="s">
        <v>67</v>
      </c>
      <c r="AL1321" s="15"/>
      <c r="AM1321" s="51" t="s">
        <v>67</v>
      </c>
      <c r="AN1321" s="51" t="s">
        <v>67</v>
      </c>
      <c r="AO1321" s="50" t="s">
        <v>9554</v>
      </c>
    </row>
    <row r="1322" spans="1:41" hidden="1" x14ac:dyDescent="0.25">
      <c r="A1322" s="51" t="s">
        <v>7047</v>
      </c>
      <c r="B1322" s="51" t="s">
        <v>7048</v>
      </c>
      <c r="C1322" s="54" t="s">
        <v>5600</v>
      </c>
      <c r="D1322" s="51" t="s">
        <v>7049</v>
      </c>
      <c r="E1322" s="20">
        <v>10000</v>
      </c>
      <c r="F1322" s="20">
        <v>319.19</v>
      </c>
      <c r="G1322" s="20">
        <v>7760.58</v>
      </c>
      <c r="H1322" s="20">
        <v>247.44</v>
      </c>
      <c r="I1322" s="20">
        <v>319.19</v>
      </c>
      <c r="J1322" s="51" t="s">
        <v>6727</v>
      </c>
      <c r="K1322" s="15">
        <v>48</v>
      </c>
      <c r="L1322" s="51" t="s">
        <v>2369</v>
      </c>
      <c r="M1322" s="51" t="s">
        <v>7050</v>
      </c>
      <c r="N1322" s="51" t="s">
        <v>1340</v>
      </c>
      <c r="O1322" s="51" t="s">
        <v>67</v>
      </c>
      <c r="P1322" s="51" t="s">
        <v>67</v>
      </c>
      <c r="Q1322" s="45">
        <v>46286.58245076389</v>
      </c>
      <c r="R1322" s="46">
        <v>46304</v>
      </c>
      <c r="S1322" s="46">
        <v>46299</v>
      </c>
      <c r="T1322" s="51" t="s">
        <v>6119</v>
      </c>
      <c r="U1322" s="15"/>
      <c r="V1322" s="15"/>
      <c r="W1322" s="15"/>
      <c r="X1322" s="15"/>
      <c r="Y1322" s="15"/>
      <c r="Z1322" s="15"/>
      <c r="AA1322" s="46"/>
      <c r="AB1322" s="15"/>
      <c r="AC1322" s="15"/>
      <c r="AD1322" s="15"/>
      <c r="AE1322" s="15"/>
      <c r="AF1322" s="15"/>
      <c r="AG1322" s="15"/>
      <c r="AH1322" s="15"/>
      <c r="AI1322" s="46"/>
      <c r="AJ1322" s="51" t="s">
        <v>6121</v>
      </c>
      <c r="AK1322" s="51" t="s">
        <v>67</v>
      </c>
      <c r="AL1322" s="15"/>
      <c r="AM1322" s="51" t="s">
        <v>67</v>
      </c>
      <c r="AN1322" s="51" t="s">
        <v>67</v>
      </c>
      <c r="AO1322" s="50" t="s">
        <v>9554</v>
      </c>
    </row>
    <row r="1323" spans="1:41" hidden="1" x14ac:dyDescent="0.25">
      <c r="A1323" s="51" t="s">
        <v>7051</v>
      </c>
      <c r="B1323" s="51" t="s">
        <v>7052</v>
      </c>
      <c r="C1323" s="54" t="s">
        <v>2692</v>
      </c>
      <c r="D1323" s="51" t="s">
        <v>7053</v>
      </c>
      <c r="E1323" s="20">
        <v>9612.77</v>
      </c>
      <c r="F1323" s="20">
        <v>9.2100000000000009</v>
      </c>
      <c r="G1323" s="20">
        <v>9202.48</v>
      </c>
      <c r="H1323" s="20">
        <v>387.23</v>
      </c>
      <c r="I1323" s="20">
        <v>9.2100000000000009</v>
      </c>
      <c r="J1323" s="51" t="s">
        <v>6724</v>
      </c>
      <c r="K1323" s="15">
        <v>0</v>
      </c>
      <c r="L1323" s="51" t="s">
        <v>2371</v>
      </c>
      <c r="M1323" s="51" t="s">
        <v>7054</v>
      </c>
      <c r="N1323" s="51" t="s">
        <v>1340</v>
      </c>
      <c r="O1323" s="51" t="s">
        <v>7055</v>
      </c>
      <c r="P1323" s="51" t="s">
        <v>1340</v>
      </c>
      <c r="Q1323" s="45">
        <v>46286.58245361111</v>
      </c>
      <c r="R1323" s="46">
        <v>46296</v>
      </c>
      <c r="S1323" s="46">
        <v>46291</v>
      </c>
      <c r="T1323" s="51" t="s">
        <v>6119</v>
      </c>
      <c r="U1323" s="15"/>
      <c r="V1323" s="15"/>
      <c r="W1323" s="15"/>
      <c r="X1323" s="15"/>
      <c r="Y1323" s="15"/>
      <c r="Z1323" s="15"/>
      <c r="AA1323" s="46"/>
      <c r="AB1323" s="15"/>
      <c r="AC1323" s="15"/>
      <c r="AD1323" s="15"/>
      <c r="AE1323" s="15"/>
      <c r="AF1323" s="15"/>
      <c r="AG1323" s="15"/>
      <c r="AH1323" s="15"/>
      <c r="AI1323" s="46"/>
      <c r="AJ1323" s="51" t="s">
        <v>67</v>
      </c>
      <c r="AK1323" s="51" t="s">
        <v>67</v>
      </c>
      <c r="AL1323" s="15"/>
      <c r="AM1323" s="51" t="s">
        <v>67</v>
      </c>
      <c r="AN1323" s="51" t="s">
        <v>67</v>
      </c>
      <c r="AO1323" s="50" t="s">
        <v>9554</v>
      </c>
    </row>
    <row r="1324" spans="1:41" hidden="1" x14ac:dyDescent="0.25">
      <c r="A1324" s="51" t="s">
        <v>7056</v>
      </c>
      <c r="B1324" s="51" t="s">
        <v>7057</v>
      </c>
      <c r="C1324" s="54" t="s">
        <v>2358</v>
      </c>
      <c r="D1324" s="51" t="s">
        <v>7058</v>
      </c>
      <c r="E1324" s="20">
        <v>10000</v>
      </c>
      <c r="F1324" s="20">
        <v>470.98</v>
      </c>
      <c r="G1324" s="20">
        <v>18401.55</v>
      </c>
      <c r="H1324" s="20">
        <v>373.14</v>
      </c>
      <c r="I1324" s="20">
        <v>470.98</v>
      </c>
      <c r="J1324" s="51" t="s">
        <v>6727</v>
      </c>
      <c r="K1324" s="15">
        <v>43</v>
      </c>
      <c r="L1324" s="51" t="s">
        <v>2369</v>
      </c>
      <c r="M1324" s="51" t="s">
        <v>7059</v>
      </c>
      <c r="N1324" s="51" t="s">
        <v>1340</v>
      </c>
      <c r="O1324" s="51" t="s">
        <v>67</v>
      </c>
      <c r="P1324" s="51" t="s">
        <v>67</v>
      </c>
      <c r="Q1324" s="45">
        <v>46286.58245671296</v>
      </c>
      <c r="R1324" s="46">
        <v>46309</v>
      </c>
      <c r="S1324" s="46">
        <v>46304</v>
      </c>
      <c r="T1324" s="51" t="s">
        <v>6119</v>
      </c>
      <c r="U1324" s="15"/>
      <c r="V1324" s="15"/>
      <c r="W1324" s="15"/>
      <c r="X1324" s="15"/>
      <c r="Y1324" s="15"/>
      <c r="Z1324" s="15"/>
      <c r="AA1324" s="46"/>
      <c r="AB1324" s="15"/>
      <c r="AC1324" s="15"/>
      <c r="AD1324" s="15"/>
      <c r="AE1324" s="15"/>
      <c r="AF1324" s="15"/>
      <c r="AG1324" s="15"/>
      <c r="AH1324" s="15"/>
      <c r="AI1324" s="46"/>
      <c r="AJ1324" s="51" t="s">
        <v>6121</v>
      </c>
      <c r="AK1324" s="51" t="s">
        <v>67</v>
      </c>
      <c r="AL1324" s="15"/>
      <c r="AM1324" s="51" t="s">
        <v>67</v>
      </c>
      <c r="AN1324" s="51" t="s">
        <v>67</v>
      </c>
      <c r="AO1324" s="50" t="s">
        <v>9554</v>
      </c>
    </row>
    <row r="1325" spans="1:41" hidden="1" x14ac:dyDescent="0.25">
      <c r="A1325" s="51" t="s">
        <v>7060</v>
      </c>
      <c r="B1325" s="51" t="s">
        <v>7061</v>
      </c>
      <c r="C1325" s="54" t="s">
        <v>2345</v>
      </c>
      <c r="D1325" s="51" t="s">
        <v>7062</v>
      </c>
      <c r="E1325" s="20">
        <v>10000</v>
      </c>
      <c r="F1325" s="20">
        <v>300.07</v>
      </c>
      <c r="G1325" s="20">
        <v>16839.419999999998</v>
      </c>
      <c r="H1325" s="20">
        <v>234.64</v>
      </c>
      <c r="I1325" s="20">
        <v>300.07</v>
      </c>
      <c r="J1325" s="51" t="s">
        <v>6727</v>
      </c>
      <c r="K1325" s="15">
        <v>46</v>
      </c>
      <c r="L1325" s="51" t="s">
        <v>2369</v>
      </c>
      <c r="M1325" s="51" t="s">
        <v>7063</v>
      </c>
      <c r="N1325" s="51" t="s">
        <v>1340</v>
      </c>
      <c r="O1325" s="51" t="s">
        <v>7064</v>
      </c>
      <c r="P1325" s="51" t="s">
        <v>1340</v>
      </c>
      <c r="Q1325" s="45">
        <v>46286.582459803241</v>
      </c>
      <c r="R1325" s="46">
        <v>46306</v>
      </c>
      <c r="S1325" s="46">
        <v>46301</v>
      </c>
      <c r="T1325" s="51" t="s">
        <v>6119</v>
      </c>
      <c r="U1325" s="15"/>
      <c r="V1325" s="15"/>
      <c r="W1325" s="15"/>
      <c r="X1325" s="15"/>
      <c r="Y1325" s="15"/>
      <c r="Z1325" s="15"/>
      <c r="AA1325" s="46"/>
      <c r="AB1325" s="15"/>
      <c r="AC1325" s="15"/>
      <c r="AD1325" s="15"/>
      <c r="AE1325" s="15"/>
      <c r="AF1325" s="15"/>
      <c r="AG1325" s="15"/>
      <c r="AH1325" s="15"/>
      <c r="AI1325" s="46"/>
      <c r="AJ1325" s="51" t="s">
        <v>6121</v>
      </c>
      <c r="AK1325" s="51" t="s">
        <v>67</v>
      </c>
      <c r="AL1325" s="15"/>
      <c r="AM1325" s="51" t="s">
        <v>67</v>
      </c>
      <c r="AN1325" s="51" t="s">
        <v>67</v>
      </c>
      <c r="AO1325" s="50" t="s">
        <v>9554</v>
      </c>
    </row>
    <row r="1326" spans="1:41" hidden="1" x14ac:dyDescent="0.25">
      <c r="A1326" s="51" t="s">
        <v>7065</v>
      </c>
      <c r="B1326" s="51" t="s">
        <v>7066</v>
      </c>
      <c r="C1326" s="54" t="s">
        <v>5604</v>
      </c>
      <c r="D1326" s="51" t="s">
        <v>7067</v>
      </c>
      <c r="E1326" s="20">
        <v>10000</v>
      </c>
      <c r="F1326" s="20">
        <v>339.39</v>
      </c>
      <c r="G1326" s="20">
        <v>16748.25</v>
      </c>
      <c r="H1326" s="20">
        <v>273.69</v>
      </c>
      <c r="I1326" s="20">
        <v>339.39</v>
      </c>
      <c r="J1326" s="51" t="s">
        <v>6727</v>
      </c>
      <c r="K1326" s="15">
        <v>39</v>
      </c>
      <c r="L1326" s="51" t="s">
        <v>2369</v>
      </c>
      <c r="M1326" s="51" t="s">
        <v>7068</v>
      </c>
      <c r="N1326" s="51" t="s">
        <v>1340</v>
      </c>
      <c r="O1326" s="51" t="s">
        <v>7069</v>
      </c>
      <c r="P1326" s="51" t="s">
        <v>1340</v>
      </c>
      <c r="Q1326" s="45">
        <v>46286.582463171297</v>
      </c>
      <c r="R1326" s="46">
        <v>46313</v>
      </c>
      <c r="S1326" s="46">
        <v>46308</v>
      </c>
      <c r="T1326" s="51" t="s">
        <v>6119</v>
      </c>
      <c r="U1326" s="15"/>
      <c r="V1326" s="15"/>
      <c r="W1326" s="15"/>
      <c r="X1326" s="15"/>
      <c r="Y1326" s="15"/>
      <c r="Z1326" s="15"/>
      <c r="AA1326" s="46"/>
      <c r="AB1326" s="15"/>
      <c r="AC1326" s="15"/>
      <c r="AD1326" s="15"/>
      <c r="AE1326" s="15"/>
      <c r="AF1326" s="15"/>
      <c r="AG1326" s="15"/>
      <c r="AH1326" s="15"/>
      <c r="AI1326" s="46"/>
      <c r="AJ1326" s="51" t="s">
        <v>6121</v>
      </c>
      <c r="AK1326" s="51" t="s">
        <v>67</v>
      </c>
      <c r="AL1326" s="15"/>
      <c r="AM1326" s="51" t="s">
        <v>67</v>
      </c>
      <c r="AN1326" s="51" t="s">
        <v>67</v>
      </c>
      <c r="AO1326" s="50" t="s">
        <v>9554</v>
      </c>
    </row>
    <row r="1327" spans="1:41" hidden="1" x14ac:dyDescent="0.25">
      <c r="A1327" s="51" t="s">
        <v>7070</v>
      </c>
      <c r="B1327" s="51" t="s">
        <v>7071</v>
      </c>
      <c r="C1327" s="54" t="s">
        <v>5600</v>
      </c>
      <c r="D1327" s="51" t="s">
        <v>7072</v>
      </c>
      <c r="E1327" s="20">
        <v>10000</v>
      </c>
      <c r="F1327" s="20">
        <v>440.66</v>
      </c>
      <c r="G1327" s="20">
        <v>9647.39</v>
      </c>
      <c r="H1327" s="20">
        <v>341.61</v>
      </c>
      <c r="I1327" s="20">
        <v>440.66</v>
      </c>
      <c r="J1327" s="51" t="s">
        <v>6727</v>
      </c>
      <c r="K1327" s="15">
        <v>48</v>
      </c>
      <c r="L1327" s="51" t="s">
        <v>2369</v>
      </c>
      <c r="M1327" s="51" t="s">
        <v>7073</v>
      </c>
      <c r="N1327" s="51" t="s">
        <v>1340</v>
      </c>
      <c r="O1327" s="51" t="s">
        <v>67</v>
      </c>
      <c r="P1327" s="51" t="s">
        <v>67</v>
      </c>
      <c r="Q1327" s="45">
        <v>46286.582466562497</v>
      </c>
      <c r="R1327" s="46">
        <v>46304</v>
      </c>
      <c r="S1327" s="46">
        <v>46299</v>
      </c>
      <c r="T1327" s="51" t="s">
        <v>6119</v>
      </c>
      <c r="U1327" s="15"/>
      <c r="V1327" s="15"/>
      <c r="W1327" s="15"/>
      <c r="X1327" s="15"/>
      <c r="Y1327" s="15"/>
      <c r="Z1327" s="15"/>
      <c r="AA1327" s="46"/>
      <c r="AB1327" s="15"/>
      <c r="AC1327" s="15"/>
      <c r="AD1327" s="15"/>
      <c r="AE1327" s="15"/>
      <c r="AF1327" s="15"/>
      <c r="AG1327" s="15"/>
      <c r="AH1327" s="15"/>
      <c r="AI1327" s="46"/>
      <c r="AJ1327" s="51" t="s">
        <v>6121</v>
      </c>
      <c r="AK1327" s="51" t="s">
        <v>67</v>
      </c>
      <c r="AL1327" s="15"/>
      <c r="AM1327" s="51" t="s">
        <v>67</v>
      </c>
      <c r="AN1327" s="51" t="s">
        <v>67</v>
      </c>
      <c r="AO1327" s="50" t="s">
        <v>9554</v>
      </c>
    </row>
    <row r="1328" spans="1:41" hidden="1" x14ac:dyDescent="0.25">
      <c r="A1328" s="51" t="s">
        <v>7074</v>
      </c>
      <c r="B1328" s="51" t="s">
        <v>7075</v>
      </c>
      <c r="C1328" s="54" t="s">
        <v>5599</v>
      </c>
      <c r="D1328" s="51" t="s">
        <v>7076</v>
      </c>
      <c r="E1328" s="20">
        <v>10000</v>
      </c>
      <c r="F1328" s="20">
        <v>315.19</v>
      </c>
      <c r="G1328" s="20">
        <v>16450.27</v>
      </c>
      <c r="H1328" s="20">
        <v>242.26</v>
      </c>
      <c r="I1328" s="20">
        <v>315.19</v>
      </c>
      <c r="J1328" s="51" t="s">
        <v>6727</v>
      </c>
      <c r="K1328" s="15">
        <v>50</v>
      </c>
      <c r="L1328" s="51" t="s">
        <v>2369</v>
      </c>
      <c r="M1328" s="51" t="s">
        <v>67</v>
      </c>
      <c r="N1328" s="51" t="s">
        <v>67</v>
      </c>
      <c r="O1328" s="51" t="s">
        <v>7077</v>
      </c>
      <c r="P1328" s="51" t="s">
        <v>1340</v>
      </c>
      <c r="Q1328" s="45">
        <v>46286.582470081019</v>
      </c>
      <c r="R1328" s="46">
        <v>46302</v>
      </c>
      <c r="S1328" s="46">
        <v>46297</v>
      </c>
      <c r="T1328" s="51" t="s">
        <v>6119</v>
      </c>
      <c r="U1328" s="15"/>
      <c r="V1328" s="15"/>
      <c r="W1328" s="15"/>
      <c r="X1328" s="15"/>
      <c r="Y1328" s="15"/>
      <c r="Z1328" s="15"/>
      <c r="AA1328" s="46"/>
      <c r="AB1328" s="15"/>
      <c r="AC1328" s="15"/>
      <c r="AD1328" s="15"/>
      <c r="AE1328" s="15"/>
      <c r="AF1328" s="15"/>
      <c r="AG1328" s="15"/>
      <c r="AH1328" s="15"/>
      <c r="AI1328" s="46"/>
      <c r="AJ1328" s="51" t="s">
        <v>6121</v>
      </c>
      <c r="AK1328" s="51" t="s">
        <v>67</v>
      </c>
      <c r="AL1328" s="15"/>
      <c r="AM1328" s="51" t="s">
        <v>67</v>
      </c>
      <c r="AN1328" s="51" t="s">
        <v>67</v>
      </c>
      <c r="AO1328" s="50" t="s">
        <v>9554</v>
      </c>
    </row>
    <row r="1329" spans="1:41" hidden="1" x14ac:dyDescent="0.25">
      <c r="A1329" s="51" t="s">
        <v>7078</v>
      </c>
      <c r="B1329" s="51" t="s">
        <v>7079</v>
      </c>
      <c r="C1329" s="54" t="s">
        <v>611</v>
      </c>
      <c r="D1329" s="51" t="s">
        <v>7080</v>
      </c>
      <c r="E1329" s="20">
        <v>10000</v>
      </c>
      <c r="F1329" s="20">
        <v>594.53</v>
      </c>
      <c r="G1329" s="20">
        <v>20926.97</v>
      </c>
      <c r="H1329" s="20">
        <v>494.93</v>
      </c>
      <c r="I1329" s="20">
        <v>594.53</v>
      </c>
      <c r="J1329" s="51" t="s">
        <v>6727</v>
      </c>
      <c r="K1329" s="15">
        <v>32</v>
      </c>
      <c r="L1329" s="51" t="s">
        <v>2369</v>
      </c>
      <c r="M1329" s="51" t="s">
        <v>7081</v>
      </c>
      <c r="N1329" s="51" t="s">
        <v>1340</v>
      </c>
      <c r="O1329" s="51" t="s">
        <v>67</v>
      </c>
      <c r="P1329" s="51" t="s">
        <v>67</v>
      </c>
      <c r="Q1329" s="45">
        <v>46286.582473206021</v>
      </c>
      <c r="R1329" s="46">
        <v>46320</v>
      </c>
      <c r="S1329" s="46">
        <v>46315</v>
      </c>
      <c r="T1329" s="51" t="s">
        <v>6119</v>
      </c>
      <c r="U1329" s="15"/>
      <c r="V1329" s="15"/>
      <c r="W1329" s="15"/>
      <c r="X1329" s="15"/>
      <c r="Y1329" s="15"/>
      <c r="Z1329" s="15"/>
      <c r="AA1329" s="46"/>
      <c r="AB1329" s="15"/>
      <c r="AC1329" s="15"/>
      <c r="AD1329" s="15"/>
      <c r="AE1329" s="15"/>
      <c r="AF1329" s="15"/>
      <c r="AG1329" s="15"/>
      <c r="AH1329" s="15"/>
      <c r="AI1329" s="46"/>
      <c r="AJ1329" s="51" t="s">
        <v>6121</v>
      </c>
      <c r="AK1329" s="51" t="s">
        <v>67</v>
      </c>
      <c r="AL1329" s="15"/>
      <c r="AM1329" s="51" t="s">
        <v>67</v>
      </c>
      <c r="AN1329" s="51" t="s">
        <v>67</v>
      </c>
      <c r="AO1329" s="50" t="s">
        <v>9554</v>
      </c>
    </row>
    <row r="1330" spans="1:41" hidden="1" x14ac:dyDescent="0.25">
      <c r="A1330" s="51" t="s">
        <v>7082</v>
      </c>
      <c r="B1330" s="51" t="s">
        <v>7083</v>
      </c>
      <c r="C1330" s="54" t="s">
        <v>5596</v>
      </c>
      <c r="D1330" s="51" t="s">
        <v>7084</v>
      </c>
      <c r="E1330" s="20">
        <v>9801.76</v>
      </c>
      <c r="F1330" s="20">
        <v>204.95</v>
      </c>
      <c r="G1330" s="20">
        <v>7815.7</v>
      </c>
      <c r="H1330" s="20">
        <v>393.81</v>
      </c>
      <c r="I1330" s="20">
        <v>204.95</v>
      </c>
      <c r="J1330" s="51" t="s">
        <v>6726</v>
      </c>
      <c r="K1330" s="15">
        <v>0</v>
      </c>
      <c r="L1330" s="51" t="s">
        <v>2371</v>
      </c>
      <c r="M1330" s="51" t="s">
        <v>7085</v>
      </c>
      <c r="N1330" s="51" t="s">
        <v>1340</v>
      </c>
      <c r="O1330" s="51" t="s">
        <v>67</v>
      </c>
      <c r="P1330" s="51" t="s">
        <v>67</v>
      </c>
      <c r="Q1330" s="45">
        <v>46286.582476307871</v>
      </c>
      <c r="R1330" s="46">
        <v>46300</v>
      </c>
      <c r="S1330" s="46">
        <v>46295</v>
      </c>
      <c r="T1330" s="51" t="s">
        <v>6119</v>
      </c>
      <c r="U1330" s="15"/>
      <c r="V1330" s="15"/>
      <c r="W1330" s="15"/>
      <c r="X1330" s="15"/>
      <c r="Y1330" s="15"/>
      <c r="Z1330" s="15"/>
      <c r="AA1330" s="46"/>
      <c r="AB1330" s="15"/>
      <c r="AC1330" s="15"/>
      <c r="AD1330" s="15"/>
      <c r="AE1330" s="15"/>
      <c r="AF1330" s="15"/>
      <c r="AG1330" s="15"/>
      <c r="AH1330" s="15"/>
      <c r="AI1330" s="46"/>
      <c r="AJ1330" s="51" t="s">
        <v>67</v>
      </c>
      <c r="AK1330" s="51" t="s">
        <v>67</v>
      </c>
      <c r="AL1330" s="15"/>
      <c r="AM1330" s="51" t="s">
        <v>67</v>
      </c>
      <c r="AN1330" s="51" t="s">
        <v>67</v>
      </c>
      <c r="AO1330" s="50" t="s">
        <v>9554</v>
      </c>
    </row>
    <row r="1331" spans="1:41" hidden="1" x14ac:dyDescent="0.25">
      <c r="A1331" s="51" t="s">
        <v>7086</v>
      </c>
      <c r="B1331" s="51" t="s">
        <v>7087</v>
      </c>
      <c r="C1331" s="54" t="s">
        <v>607</v>
      </c>
      <c r="D1331" s="51" t="s">
        <v>7088</v>
      </c>
      <c r="E1331" s="20">
        <v>10000</v>
      </c>
      <c r="F1331" s="20">
        <v>518.98</v>
      </c>
      <c r="G1331" s="20">
        <v>17725.41</v>
      </c>
      <c r="H1331" s="20">
        <v>412.97</v>
      </c>
      <c r="I1331" s="20">
        <v>518.98</v>
      </c>
      <c r="J1331" s="51" t="s">
        <v>6727</v>
      </c>
      <c r="K1331" s="15">
        <v>42</v>
      </c>
      <c r="L1331" s="51" t="s">
        <v>2369</v>
      </c>
      <c r="M1331" s="51" t="s">
        <v>67</v>
      </c>
      <c r="N1331" s="51" t="s">
        <v>67</v>
      </c>
      <c r="O1331" s="51" t="s">
        <v>7089</v>
      </c>
      <c r="P1331" s="51" t="s">
        <v>1340</v>
      </c>
      <c r="Q1331" s="45">
        <v>46286.582479189812</v>
      </c>
      <c r="R1331" s="46">
        <v>46310</v>
      </c>
      <c r="S1331" s="46">
        <v>46305</v>
      </c>
      <c r="T1331" s="51" t="s">
        <v>6119</v>
      </c>
      <c r="U1331" s="15"/>
      <c r="V1331" s="15"/>
      <c r="W1331" s="15"/>
      <c r="X1331" s="15"/>
      <c r="Y1331" s="15"/>
      <c r="Z1331" s="15"/>
      <c r="AA1331" s="46"/>
      <c r="AB1331" s="15"/>
      <c r="AC1331" s="15"/>
      <c r="AD1331" s="15"/>
      <c r="AE1331" s="15"/>
      <c r="AF1331" s="15"/>
      <c r="AG1331" s="15"/>
      <c r="AH1331" s="15"/>
      <c r="AI1331" s="46"/>
      <c r="AJ1331" s="51" t="s">
        <v>6121</v>
      </c>
      <c r="AK1331" s="51" t="s">
        <v>67</v>
      </c>
      <c r="AL1331" s="15"/>
      <c r="AM1331" s="51" t="s">
        <v>67</v>
      </c>
      <c r="AN1331" s="51" t="s">
        <v>67</v>
      </c>
      <c r="AO1331" s="50" t="s">
        <v>9554</v>
      </c>
    </row>
    <row r="1332" spans="1:41" hidden="1" x14ac:dyDescent="0.25">
      <c r="A1332" s="51" t="s">
        <v>7090</v>
      </c>
      <c r="B1332" s="51" t="s">
        <v>7091</v>
      </c>
      <c r="C1332" s="54" t="s">
        <v>611</v>
      </c>
      <c r="D1332" s="51" t="s">
        <v>6026</v>
      </c>
      <c r="E1332" s="20">
        <v>10000</v>
      </c>
      <c r="F1332" s="20">
        <v>376.3</v>
      </c>
      <c r="G1332" s="20">
        <v>4224.22</v>
      </c>
      <c r="H1332" s="20">
        <v>313.26</v>
      </c>
      <c r="I1332" s="20">
        <v>376.3</v>
      </c>
      <c r="J1332" s="51" t="s">
        <v>6727</v>
      </c>
      <c r="K1332" s="15">
        <v>32</v>
      </c>
      <c r="L1332" s="51" t="s">
        <v>2369</v>
      </c>
      <c r="M1332" s="51" t="s">
        <v>67</v>
      </c>
      <c r="N1332" s="51" t="s">
        <v>67</v>
      </c>
      <c r="O1332" s="51" t="s">
        <v>7092</v>
      </c>
      <c r="P1332" s="51" t="s">
        <v>1340</v>
      </c>
      <c r="Q1332" s="45">
        <v>46286.582482233796</v>
      </c>
      <c r="R1332" s="46">
        <v>46320</v>
      </c>
      <c r="S1332" s="46">
        <v>46315</v>
      </c>
      <c r="T1332" s="51" t="s">
        <v>6119</v>
      </c>
      <c r="U1332" s="15"/>
      <c r="V1332" s="15"/>
      <c r="W1332" s="15"/>
      <c r="X1332" s="15"/>
      <c r="Y1332" s="15"/>
      <c r="Z1332" s="15"/>
      <c r="AA1332" s="46"/>
      <c r="AB1332" s="15"/>
      <c r="AC1332" s="15"/>
      <c r="AD1332" s="15"/>
      <c r="AE1332" s="15"/>
      <c r="AF1332" s="15"/>
      <c r="AG1332" s="15"/>
      <c r="AH1332" s="15"/>
      <c r="AI1332" s="46"/>
      <c r="AJ1332" s="51" t="s">
        <v>6121</v>
      </c>
      <c r="AK1332" s="51" t="s">
        <v>67</v>
      </c>
      <c r="AL1332" s="15"/>
      <c r="AM1332" s="51" t="s">
        <v>67</v>
      </c>
      <c r="AN1332" s="51" t="s">
        <v>67</v>
      </c>
      <c r="AO1332" s="50" t="s">
        <v>9554</v>
      </c>
    </row>
    <row r="1333" spans="1:41" hidden="1" x14ac:dyDescent="0.25">
      <c r="A1333" s="51" t="s">
        <v>7093</v>
      </c>
      <c r="B1333" s="51" t="s">
        <v>7094</v>
      </c>
      <c r="C1333" s="54" t="s">
        <v>2692</v>
      </c>
      <c r="D1333" s="51" t="s">
        <v>7095</v>
      </c>
      <c r="E1333" s="20">
        <v>9973.44</v>
      </c>
      <c r="F1333" s="20">
        <v>245.36</v>
      </c>
      <c r="G1333" s="20">
        <v>7440.85</v>
      </c>
      <c r="H1333" s="20">
        <v>265.60000000000002</v>
      </c>
      <c r="I1333" s="20">
        <v>245.36</v>
      </c>
      <c r="J1333" s="51" t="s">
        <v>6725</v>
      </c>
      <c r="K1333" s="15">
        <v>0</v>
      </c>
      <c r="L1333" s="51" t="s">
        <v>2371</v>
      </c>
      <c r="M1333" s="51" t="s">
        <v>7096</v>
      </c>
      <c r="N1333" s="51" t="s">
        <v>1344</v>
      </c>
      <c r="O1333" s="51" t="s">
        <v>7097</v>
      </c>
      <c r="P1333" s="51" t="s">
        <v>1344</v>
      </c>
      <c r="Q1333" s="45">
        <v>46286.582485439816</v>
      </c>
      <c r="R1333" s="46">
        <v>46296</v>
      </c>
      <c r="S1333" s="46">
        <v>46291</v>
      </c>
      <c r="T1333" s="51" t="s">
        <v>6119</v>
      </c>
      <c r="U1333" s="15"/>
      <c r="V1333" s="15"/>
      <c r="W1333" s="15"/>
      <c r="X1333" s="15"/>
      <c r="Y1333" s="15"/>
      <c r="Z1333" s="15"/>
      <c r="AA1333" s="46"/>
      <c r="AB1333" s="15"/>
      <c r="AC1333" s="15"/>
      <c r="AD1333" s="15"/>
      <c r="AE1333" s="15"/>
      <c r="AF1333" s="15"/>
      <c r="AG1333" s="15"/>
      <c r="AH1333" s="15"/>
      <c r="AI1333" s="46"/>
      <c r="AJ1333" s="51" t="s">
        <v>67</v>
      </c>
      <c r="AK1333" s="51" t="s">
        <v>67</v>
      </c>
      <c r="AL1333" s="15"/>
      <c r="AM1333" s="51" t="s">
        <v>67</v>
      </c>
      <c r="AN1333" s="51" t="s">
        <v>67</v>
      </c>
      <c r="AO1333" s="50" t="s">
        <v>9554</v>
      </c>
    </row>
    <row r="1334" spans="1:41" hidden="1" x14ac:dyDescent="0.25">
      <c r="A1334" s="51" t="s">
        <v>7098</v>
      </c>
      <c r="B1334" s="51" t="s">
        <v>7099</v>
      </c>
      <c r="C1334" s="54" t="s">
        <v>5607</v>
      </c>
      <c r="D1334" s="51" t="s">
        <v>7100</v>
      </c>
      <c r="E1334" s="20">
        <v>9765.02</v>
      </c>
      <c r="F1334" s="20">
        <v>202.42</v>
      </c>
      <c r="G1334" s="20">
        <v>17038.47</v>
      </c>
      <c r="H1334" s="20">
        <v>427.24</v>
      </c>
      <c r="I1334" s="20">
        <v>202.42</v>
      </c>
      <c r="J1334" s="51" t="s">
        <v>6726</v>
      </c>
      <c r="K1334" s="15">
        <v>0</v>
      </c>
      <c r="L1334" s="51" t="s">
        <v>2371</v>
      </c>
      <c r="M1334" s="51" t="s">
        <v>7101</v>
      </c>
      <c r="N1334" s="51" t="s">
        <v>1344</v>
      </c>
      <c r="O1334" s="51" t="s">
        <v>67</v>
      </c>
      <c r="P1334" s="51" t="s">
        <v>67</v>
      </c>
      <c r="Q1334" s="45">
        <v>46286.58248863426</v>
      </c>
      <c r="R1334" s="46">
        <v>46299</v>
      </c>
      <c r="S1334" s="46">
        <v>46294</v>
      </c>
      <c r="T1334" s="51" t="s">
        <v>6119</v>
      </c>
      <c r="U1334" s="15"/>
      <c r="V1334" s="15"/>
      <c r="W1334" s="15"/>
      <c r="X1334" s="15"/>
      <c r="Y1334" s="15"/>
      <c r="Z1334" s="15"/>
      <c r="AA1334" s="46"/>
      <c r="AB1334" s="15"/>
      <c r="AC1334" s="15"/>
      <c r="AD1334" s="15"/>
      <c r="AE1334" s="15"/>
      <c r="AF1334" s="15"/>
      <c r="AG1334" s="15"/>
      <c r="AH1334" s="15"/>
      <c r="AI1334" s="46"/>
      <c r="AJ1334" s="51" t="s">
        <v>67</v>
      </c>
      <c r="AK1334" s="51" t="s">
        <v>67</v>
      </c>
      <c r="AL1334" s="15"/>
      <c r="AM1334" s="51" t="s">
        <v>67</v>
      </c>
      <c r="AN1334" s="51" t="s">
        <v>67</v>
      </c>
      <c r="AO1334" s="50" t="s">
        <v>9554</v>
      </c>
    </row>
    <row r="1335" spans="1:41" hidden="1" x14ac:dyDescent="0.25">
      <c r="A1335" s="51" t="s">
        <v>7102</v>
      </c>
      <c r="B1335" s="51" t="s">
        <v>7103</v>
      </c>
      <c r="C1335" s="54" t="s">
        <v>5600</v>
      </c>
      <c r="D1335" s="51" t="s">
        <v>7104</v>
      </c>
      <c r="E1335" s="20">
        <v>10000</v>
      </c>
      <c r="F1335" s="20">
        <v>271.95999999999998</v>
      </c>
      <c r="G1335" s="20">
        <v>11194.72</v>
      </c>
      <c r="H1335" s="20">
        <v>210.83</v>
      </c>
      <c r="I1335" s="20">
        <v>271.95999999999998</v>
      </c>
      <c r="J1335" s="51" t="s">
        <v>6727</v>
      </c>
      <c r="K1335" s="15">
        <v>48</v>
      </c>
      <c r="L1335" s="51" t="s">
        <v>2369</v>
      </c>
      <c r="M1335" s="51" t="s">
        <v>7105</v>
      </c>
      <c r="N1335" s="51" t="s">
        <v>1340</v>
      </c>
      <c r="O1335" s="51" t="s">
        <v>7106</v>
      </c>
      <c r="P1335" s="51" t="s">
        <v>1340</v>
      </c>
      <c r="Q1335" s="45">
        <v>46286.582492199072</v>
      </c>
      <c r="R1335" s="46">
        <v>46304</v>
      </c>
      <c r="S1335" s="46">
        <v>46299</v>
      </c>
      <c r="T1335" s="51" t="s">
        <v>6119</v>
      </c>
      <c r="U1335" s="15"/>
      <c r="V1335" s="15"/>
      <c r="W1335" s="15"/>
      <c r="X1335" s="15"/>
      <c r="Y1335" s="15"/>
      <c r="Z1335" s="15"/>
      <c r="AA1335" s="46"/>
      <c r="AB1335" s="15"/>
      <c r="AC1335" s="15"/>
      <c r="AD1335" s="15"/>
      <c r="AE1335" s="15"/>
      <c r="AF1335" s="15"/>
      <c r="AG1335" s="15"/>
      <c r="AH1335" s="15"/>
      <c r="AI1335" s="46"/>
      <c r="AJ1335" s="51" t="s">
        <v>6121</v>
      </c>
      <c r="AK1335" s="51" t="s">
        <v>67</v>
      </c>
      <c r="AL1335" s="15"/>
      <c r="AM1335" s="51" t="s">
        <v>67</v>
      </c>
      <c r="AN1335" s="51" t="s">
        <v>67</v>
      </c>
      <c r="AO1335" s="50" t="s">
        <v>9554</v>
      </c>
    </row>
    <row r="1336" spans="1:41" hidden="1" x14ac:dyDescent="0.25">
      <c r="A1336" s="51" t="s">
        <v>7107</v>
      </c>
      <c r="B1336" s="51" t="s">
        <v>7108</v>
      </c>
      <c r="C1336" s="54" t="s">
        <v>5607</v>
      </c>
      <c r="D1336" s="51" t="s">
        <v>7109</v>
      </c>
      <c r="E1336" s="20">
        <v>9752.33</v>
      </c>
      <c r="F1336" s="20">
        <v>5.89</v>
      </c>
      <c r="G1336" s="20">
        <v>2656.95</v>
      </c>
      <c r="H1336" s="20">
        <v>247.67</v>
      </c>
      <c r="I1336" s="20">
        <v>5.89</v>
      </c>
      <c r="J1336" s="51" t="s">
        <v>6724</v>
      </c>
      <c r="K1336" s="15">
        <v>0</v>
      </c>
      <c r="L1336" s="51" t="s">
        <v>2371</v>
      </c>
      <c r="M1336" s="51" t="s">
        <v>7110</v>
      </c>
      <c r="N1336" s="51" t="s">
        <v>1340</v>
      </c>
      <c r="O1336" s="51" t="s">
        <v>7111</v>
      </c>
      <c r="P1336" s="51" t="s">
        <v>1340</v>
      </c>
      <c r="Q1336" s="45">
        <v>46286.582495509261</v>
      </c>
      <c r="R1336" s="46">
        <v>46299</v>
      </c>
      <c r="S1336" s="46">
        <v>46294</v>
      </c>
      <c r="T1336" s="51" t="s">
        <v>6119</v>
      </c>
      <c r="U1336" s="15"/>
      <c r="V1336" s="15"/>
      <c r="W1336" s="15"/>
      <c r="X1336" s="15"/>
      <c r="Y1336" s="15"/>
      <c r="Z1336" s="15"/>
      <c r="AA1336" s="46"/>
      <c r="AB1336" s="15"/>
      <c r="AC1336" s="15"/>
      <c r="AD1336" s="15"/>
      <c r="AE1336" s="15"/>
      <c r="AF1336" s="15"/>
      <c r="AG1336" s="15"/>
      <c r="AH1336" s="15"/>
      <c r="AI1336" s="46"/>
      <c r="AJ1336" s="51" t="s">
        <v>67</v>
      </c>
      <c r="AK1336" s="51" t="s">
        <v>67</v>
      </c>
      <c r="AL1336" s="15"/>
      <c r="AM1336" s="51" t="s">
        <v>67</v>
      </c>
      <c r="AN1336" s="51" t="s">
        <v>67</v>
      </c>
      <c r="AO1336" s="50" t="s">
        <v>9554</v>
      </c>
    </row>
    <row r="1337" spans="1:41" hidden="1" x14ac:dyDescent="0.25">
      <c r="A1337" s="51" t="s">
        <v>7112</v>
      </c>
      <c r="B1337" s="51" t="s">
        <v>7113</v>
      </c>
      <c r="C1337" s="54" t="s">
        <v>2358</v>
      </c>
      <c r="D1337" s="51" t="s">
        <v>7114</v>
      </c>
      <c r="E1337" s="20">
        <v>10000</v>
      </c>
      <c r="F1337" s="20">
        <v>353.1</v>
      </c>
      <c r="G1337" s="20">
        <v>1791.48</v>
      </c>
      <c r="H1337" s="20">
        <v>279.74</v>
      </c>
      <c r="I1337" s="20">
        <v>353.1</v>
      </c>
      <c r="J1337" s="51" t="s">
        <v>6727</v>
      </c>
      <c r="K1337" s="15">
        <v>43</v>
      </c>
      <c r="L1337" s="51" t="s">
        <v>2369</v>
      </c>
      <c r="M1337" s="51" t="s">
        <v>7115</v>
      </c>
      <c r="N1337" s="51" t="s">
        <v>1340</v>
      </c>
      <c r="O1337" s="51" t="s">
        <v>7116</v>
      </c>
      <c r="P1337" s="51" t="s">
        <v>1340</v>
      </c>
      <c r="Q1337" s="45">
        <v>46286.582498668984</v>
      </c>
      <c r="R1337" s="46">
        <v>46309</v>
      </c>
      <c r="S1337" s="46">
        <v>46304</v>
      </c>
      <c r="T1337" s="51" t="s">
        <v>6119</v>
      </c>
      <c r="U1337" s="15">
        <v>61.41</v>
      </c>
      <c r="V1337" s="15">
        <v>283.44</v>
      </c>
      <c r="W1337" s="15">
        <v>2.62</v>
      </c>
      <c r="X1337" s="15">
        <v>1.08</v>
      </c>
      <c r="Y1337" s="15">
        <v>1.6614850000000001</v>
      </c>
      <c r="Z1337" s="15">
        <v>6</v>
      </c>
      <c r="AA1337" s="46">
        <v>46248</v>
      </c>
      <c r="AB1337" s="15"/>
      <c r="AC1337" s="15"/>
      <c r="AD1337" s="15"/>
      <c r="AE1337" s="15"/>
      <c r="AF1337" s="15"/>
      <c r="AG1337" s="15"/>
      <c r="AH1337" s="15"/>
      <c r="AI1337" s="46"/>
      <c r="AJ1337" s="51" t="s">
        <v>6121</v>
      </c>
      <c r="AK1337" s="51" t="s">
        <v>67</v>
      </c>
      <c r="AL1337" s="15"/>
      <c r="AM1337" s="51" t="s">
        <v>67</v>
      </c>
      <c r="AN1337" s="51" t="s">
        <v>67</v>
      </c>
      <c r="AO1337" s="50" t="s">
        <v>9554</v>
      </c>
    </row>
    <row r="1338" spans="1:41" hidden="1" x14ac:dyDescent="0.25">
      <c r="A1338" s="51" t="s">
        <v>7117</v>
      </c>
      <c r="B1338" s="51" t="s">
        <v>7118</v>
      </c>
      <c r="C1338" s="54" t="s">
        <v>2358</v>
      </c>
      <c r="D1338" s="51" t="s">
        <v>7119</v>
      </c>
      <c r="E1338" s="20">
        <v>10000</v>
      </c>
      <c r="F1338" s="20">
        <v>462.75</v>
      </c>
      <c r="G1338" s="20">
        <v>19142.830000000002</v>
      </c>
      <c r="H1338" s="20">
        <v>366.61</v>
      </c>
      <c r="I1338" s="20">
        <v>462.75</v>
      </c>
      <c r="J1338" s="51" t="s">
        <v>6727</v>
      </c>
      <c r="K1338" s="15">
        <v>43</v>
      </c>
      <c r="L1338" s="51" t="s">
        <v>2369</v>
      </c>
      <c r="M1338" s="51" t="s">
        <v>7120</v>
      </c>
      <c r="N1338" s="51" t="s">
        <v>1340</v>
      </c>
      <c r="O1338" s="51" t="s">
        <v>67</v>
      </c>
      <c r="P1338" s="51" t="s">
        <v>67</v>
      </c>
      <c r="Q1338" s="45">
        <v>46286.582501956022</v>
      </c>
      <c r="R1338" s="46">
        <v>46309</v>
      </c>
      <c r="S1338" s="46">
        <v>46304</v>
      </c>
      <c r="T1338" s="51" t="s">
        <v>6119</v>
      </c>
      <c r="U1338" s="15"/>
      <c r="V1338" s="15"/>
      <c r="W1338" s="15"/>
      <c r="X1338" s="15"/>
      <c r="Y1338" s="15"/>
      <c r="Z1338" s="15"/>
      <c r="AA1338" s="46"/>
      <c r="AB1338" s="15"/>
      <c r="AC1338" s="15"/>
      <c r="AD1338" s="15"/>
      <c r="AE1338" s="15"/>
      <c r="AF1338" s="15"/>
      <c r="AG1338" s="15"/>
      <c r="AH1338" s="15"/>
      <c r="AI1338" s="46"/>
      <c r="AJ1338" s="51" t="s">
        <v>6121</v>
      </c>
      <c r="AK1338" s="51" t="s">
        <v>67</v>
      </c>
      <c r="AL1338" s="15"/>
      <c r="AM1338" s="51" t="s">
        <v>67</v>
      </c>
      <c r="AN1338" s="51" t="s">
        <v>67</v>
      </c>
      <c r="AO1338" s="50" t="s">
        <v>9554</v>
      </c>
    </row>
    <row r="1339" spans="1:41" hidden="1" x14ac:dyDescent="0.25">
      <c r="A1339" s="51" t="s">
        <v>7121</v>
      </c>
      <c r="B1339" s="51" t="s">
        <v>7122</v>
      </c>
      <c r="C1339" s="54" t="s">
        <v>5602</v>
      </c>
      <c r="D1339" s="51" t="s">
        <v>7123</v>
      </c>
      <c r="E1339" s="20">
        <v>10000</v>
      </c>
      <c r="F1339" s="20">
        <v>328.05</v>
      </c>
      <c r="G1339" s="20">
        <v>2540.4899999999998</v>
      </c>
      <c r="H1339" s="20">
        <v>253.23</v>
      </c>
      <c r="I1339" s="20">
        <v>328.05</v>
      </c>
      <c r="J1339" s="51" t="s">
        <v>6727</v>
      </c>
      <c r="K1339" s="15">
        <v>49</v>
      </c>
      <c r="L1339" s="51" t="s">
        <v>2369</v>
      </c>
      <c r="M1339" s="51" t="s">
        <v>67</v>
      </c>
      <c r="N1339" s="51" t="s">
        <v>67</v>
      </c>
      <c r="O1339" s="51" t="s">
        <v>7124</v>
      </c>
      <c r="P1339" s="51" t="s">
        <v>1340</v>
      </c>
      <c r="Q1339" s="45">
        <v>46286.582505150465</v>
      </c>
      <c r="R1339" s="46">
        <v>46303</v>
      </c>
      <c r="S1339" s="46">
        <v>46298</v>
      </c>
      <c r="T1339" s="51" t="s">
        <v>6119</v>
      </c>
      <c r="U1339" s="15"/>
      <c r="V1339" s="15"/>
      <c r="W1339" s="15"/>
      <c r="X1339" s="15"/>
      <c r="Y1339" s="15"/>
      <c r="Z1339" s="15"/>
      <c r="AA1339" s="46"/>
      <c r="AB1339" s="15"/>
      <c r="AC1339" s="15"/>
      <c r="AD1339" s="15"/>
      <c r="AE1339" s="15"/>
      <c r="AF1339" s="15"/>
      <c r="AG1339" s="15"/>
      <c r="AH1339" s="15"/>
      <c r="AI1339" s="46"/>
      <c r="AJ1339" s="51" t="s">
        <v>6121</v>
      </c>
      <c r="AK1339" s="51" t="s">
        <v>67</v>
      </c>
      <c r="AL1339" s="15"/>
      <c r="AM1339" s="51" t="s">
        <v>67</v>
      </c>
      <c r="AN1339" s="51" t="s">
        <v>67</v>
      </c>
      <c r="AO1339" s="50" t="s">
        <v>9554</v>
      </c>
    </row>
    <row r="1340" spans="1:41" hidden="1" x14ac:dyDescent="0.25">
      <c r="A1340" s="51" t="s">
        <v>7125</v>
      </c>
      <c r="B1340" s="51" t="s">
        <v>7126</v>
      </c>
      <c r="C1340" s="54" t="s">
        <v>2357</v>
      </c>
      <c r="D1340" s="51" t="s">
        <v>7127</v>
      </c>
      <c r="E1340" s="20">
        <v>10000</v>
      </c>
      <c r="F1340" s="20">
        <v>487.24</v>
      </c>
      <c r="G1340" s="20">
        <v>2287.56</v>
      </c>
      <c r="H1340" s="20">
        <v>384.32</v>
      </c>
      <c r="I1340" s="20">
        <v>487.24</v>
      </c>
      <c r="J1340" s="51" t="s">
        <v>6727</v>
      </c>
      <c r="K1340" s="15">
        <v>44</v>
      </c>
      <c r="L1340" s="51" t="s">
        <v>2369</v>
      </c>
      <c r="M1340" s="51" t="s">
        <v>7128</v>
      </c>
      <c r="N1340" s="51" t="s">
        <v>1344</v>
      </c>
      <c r="O1340" s="51" t="s">
        <v>67</v>
      </c>
      <c r="P1340" s="51" t="s">
        <v>67</v>
      </c>
      <c r="Q1340" s="45">
        <v>46286.582508229163</v>
      </c>
      <c r="R1340" s="46">
        <v>46308</v>
      </c>
      <c r="S1340" s="46">
        <v>46303</v>
      </c>
      <c r="T1340" s="51" t="s">
        <v>6119</v>
      </c>
      <c r="U1340" s="15"/>
      <c r="V1340" s="15"/>
      <c r="W1340" s="15"/>
      <c r="X1340" s="15"/>
      <c r="Y1340" s="15"/>
      <c r="Z1340" s="15"/>
      <c r="AA1340" s="46"/>
      <c r="AB1340" s="15"/>
      <c r="AC1340" s="15"/>
      <c r="AD1340" s="15"/>
      <c r="AE1340" s="15"/>
      <c r="AF1340" s="15"/>
      <c r="AG1340" s="15"/>
      <c r="AH1340" s="15"/>
      <c r="AI1340" s="46"/>
      <c r="AJ1340" s="51" t="s">
        <v>6121</v>
      </c>
      <c r="AK1340" s="51" t="s">
        <v>67</v>
      </c>
      <c r="AL1340" s="15"/>
      <c r="AM1340" s="51" t="s">
        <v>67</v>
      </c>
      <c r="AN1340" s="51" t="s">
        <v>67</v>
      </c>
      <c r="AO1340" s="50" t="s">
        <v>9554</v>
      </c>
    </row>
    <row r="1341" spans="1:41" hidden="1" x14ac:dyDescent="0.25">
      <c r="A1341" s="51" t="s">
        <v>7129</v>
      </c>
      <c r="B1341" s="51" t="s">
        <v>7130</v>
      </c>
      <c r="C1341" s="54" t="s">
        <v>2692</v>
      </c>
      <c r="D1341" s="51" t="s">
        <v>7131</v>
      </c>
      <c r="E1341" s="20">
        <v>9787.7000000000007</v>
      </c>
      <c r="F1341" s="20">
        <v>219.49</v>
      </c>
      <c r="G1341" s="20">
        <v>15881.02</v>
      </c>
      <c r="H1341" s="20">
        <v>421.75</v>
      </c>
      <c r="I1341" s="20">
        <v>219.49</v>
      </c>
      <c r="J1341" s="51" t="s">
        <v>6726</v>
      </c>
      <c r="K1341" s="15">
        <v>0</v>
      </c>
      <c r="L1341" s="51" t="s">
        <v>2371</v>
      </c>
      <c r="M1341" s="51" t="s">
        <v>7132</v>
      </c>
      <c r="N1341" s="51" t="s">
        <v>1340</v>
      </c>
      <c r="O1341" s="51" t="s">
        <v>67</v>
      </c>
      <c r="P1341" s="51" t="s">
        <v>67</v>
      </c>
      <c r="Q1341" s="45">
        <v>46286.582511296299</v>
      </c>
      <c r="R1341" s="46">
        <v>46296</v>
      </c>
      <c r="S1341" s="46">
        <v>46291</v>
      </c>
      <c r="T1341" s="51" t="s">
        <v>6119</v>
      </c>
      <c r="U1341" s="15"/>
      <c r="V1341" s="15"/>
      <c r="W1341" s="15"/>
      <c r="X1341" s="15"/>
      <c r="Y1341" s="15"/>
      <c r="Z1341" s="15"/>
      <c r="AA1341" s="46"/>
      <c r="AB1341" s="15"/>
      <c r="AC1341" s="15"/>
      <c r="AD1341" s="15"/>
      <c r="AE1341" s="15"/>
      <c r="AF1341" s="15"/>
      <c r="AG1341" s="15"/>
      <c r="AH1341" s="15"/>
      <c r="AI1341" s="46"/>
      <c r="AJ1341" s="51" t="s">
        <v>67</v>
      </c>
      <c r="AK1341" s="51" t="s">
        <v>67</v>
      </c>
      <c r="AL1341" s="15"/>
      <c r="AM1341" s="51" t="s">
        <v>67</v>
      </c>
      <c r="AN1341" s="51" t="s">
        <v>67</v>
      </c>
      <c r="AO1341" s="50" t="s">
        <v>9554</v>
      </c>
    </row>
    <row r="1342" spans="1:41" hidden="1" x14ac:dyDescent="0.25">
      <c r="A1342" s="51" t="s">
        <v>7133</v>
      </c>
      <c r="B1342" s="51" t="s">
        <v>7134</v>
      </c>
      <c r="C1342" s="54" t="s">
        <v>2694</v>
      </c>
      <c r="D1342" s="51" t="s">
        <v>7135</v>
      </c>
      <c r="E1342" s="20">
        <v>10000</v>
      </c>
      <c r="F1342" s="20">
        <v>524.08000000000004</v>
      </c>
      <c r="G1342" s="20">
        <v>6136.7</v>
      </c>
      <c r="H1342" s="20">
        <v>420.75</v>
      </c>
      <c r="I1342" s="20">
        <v>524.08000000000004</v>
      </c>
      <c r="J1342" s="51" t="s">
        <v>6727</v>
      </c>
      <c r="K1342" s="15">
        <v>40</v>
      </c>
      <c r="L1342" s="51" t="s">
        <v>2369</v>
      </c>
      <c r="M1342" s="51" t="s">
        <v>7136</v>
      </c>
      <c r="N1342" s="51" t="s">
        <v>1340</v>
      </c>
      <c r="O1342" s="51" t="s">
        <v>67</v>
      </c>
      <c r="P1342" s="51" t="s">
        <v>67</v>
      </c>
      <c r="Q1342" s="45">
        <v>46286.582514270835</v>
      </c>
      <c r="R1342" s="46">
        <v>46312</v>
      </c>
      <c r="S1342" s="46">
        <v>46307</v>
      </c>
      <c r="T1342" s="51" t="s">
        <v>6119</v>
      </c>
      <c r="U1342" s="15"/>
      <c r="V1342" s="15"/>
      <c r="W1342" s="15"/>
      <c r="X1342" s="15"/>
      <c r="Y1342" s="15"/>
      <c r="Z1342" s="15"/>
      <c r="AA1342" s="46"/>
      <c r="AB1342" s="15"/>
      <c r="AC1342" s="15"/>
      <c r="AD1342" s="15"/>
      <c r="AE1342" s="15"/>
      <c r="AF1342" s="15"/>
      <c r="AG1342" s="15"/>
      <c r="AH1342" s="15"/>
      <c r="AI1342" s="46"/>
      <c r="AJ1342" s="51" t="s">
        <v>6121</v>
      </c>
      <c r="AK1342" s="51" t="s">
        <v>67</v>
      </c>
      <c r="AL1342" s="15"/>
      <c r="AM1342" s="51" t="s">
        <v>67</v>
      </c>
      <c r="AN1342" s="51" t="s">
        <v>67</v>
      </c>
      <c r="AO1342" s="50" t="s">
        <v>9554</v>
      </c>
    </row>
    <row r="1343" spans="1:41" hidden="1" x14ac:dyDescent="0.25">
      <c r="A1343" s="51" t="s">
        <v>7137</v>
      </c>
      <c r="B1343" s="51" t="s">
        <v>7138</v>
      </c>
      <c r="C1343" s="54" t="s">
        <v>5596</v>
      </c>
      <c r="D1343" s="51" t="s">
        <v>5189</v>
      </c>
      <c r="E1343" s="20">
        <v>9963.6299999999992</v>
      </c>
      <c r="F1343" s="20">
        <v>423.85</v>
      </c>
      <c r="G1343" s="20">
        <v>18353.14</v>
      </c>
      <c r="H1343" s="20">
        <v>404.15</v>
      </c>
      <c r="I1343" s="20">
        <v>423.85</v>
      </c>
      <c r="J1343" s="51" t="s">
        <v>6726</v>
      </c>
      <c r="K1343" s="15">
        <v>21</v>
      </c>
      <c r="L1343" s="51" t="s">
        <v>2369</v>
      </c>
      <c r="M1343" s="51" t="s">
        <v>7139</v>
      </c>
      <c r="N1343" s="51" t="s">
        <v>1340</v>
      </c>
      <c r="O1343" s="51" t="s">
        <v>67</v>
      </c>
      <c r="P1343" s="51" t="s">
        <v>67</v>
      </c>
      <c r="Q1343" s="45">
        <v>46286.582517233794</v>
      </c>
      <c r="R1343" s="46">
        <v>46300</v>
      </c>
      <c r="S1343" s="46">
        <v>46295</v>
      </c>
      <c r="T1343" s="51" t="s">
        <v>6119</v>
      </c>
      <c r="U1343" s="15"/>
      <c r="V1343" s="15"/>
      <c r="W1343" s="15"/>
      <c r="X1343" s="15"/>
      <c r="Y1343" s="15"/>
      <c r="Z1343" s="15"/>
      <c r="AA1343" s="46"/>
      <c r="AB1343" s="15"/>
      <c r="AC1343" s="15"/>
      <c r="AD1343" s="15"/>
      <c r="AE1343" s="15"/>
      <c r="AF1343" s="15"/>
      <c r="AG1343" s="15"/>
      <c r="AH1343" s="15"/>
      <c r="AI1343" s="46"/>
      <c r="AJ1343" s="51" t="s">
        <v>6121</v>
      </c>
      <c r="AK1343" s="51" t="s">
        <v>67</v>
      </c>
      <c r="AL1343" s="15"/>
      <c r="AM1343" s="51" t="s">
        <v>67</v>
      </c>
      <c r="AN1343" s="51" t="s">
        <v>67</v>
      </c>
      <c r="AO1343" s="50" t="s">
        <v>9554</v>
      </c>
    </row>
    <row r="1344" spans="1:41" hidden="1" x14ac:dyDescent="0.25">
      <c r="A1344" s="51" t="s">
        <v>7140</v>
      </c>
      <c r="B1344" s="51" t="s">
        <v>7141</v>
      </c>
      <c r="C1344" s="54" t="s">
        <v>2693</v>
      </c>
      <c r="D1344" s="51" t="s">
        <v>7142</v>
      </c>
      <c r="E1344" s="20">
        <v>10000</v>
      </c>
      <c r="F1344" s="20">
        <v>343.77</v>
      </c>
      <c r="G1344" s="20">
        <v>18208.55</v>
      </c>
      <c r="H1344" s="20">
        <v>278.47000000000003</v>
      </c>
      <c r="I1344" s="20">
        <v>343.77</v>
      </c>
      <c r="J1344" s="51" t="s">
        <v>6727</v>
      </c>
      <c r="K1344" s="15">
        <v>38</v>
      </c>
      <c r="L1344" s="51" t="s">
        <v>2369</v>
      </c>
      <c r="M1344" s="51" t="s">
        <v>7143</v>
      </c>
      <c r="N1344" s="51" t="s">
        <v>1340</v>
      </c>
      <c r="O1344" s="51" t="s">
        <v>7144</v>
      </c>
      <c r="P1344" s="51" t="s">
        <v>1340</v>
      </c>
      <c r="Q1344" s="45">
        <v>46286.582520312499</v>
      </c>
      <c r="R1344" s="46">
        <v>46314</v>
      </c>
      <c r="S1344" s="46">
        <v>46309</v>
      </c>
      <c r="T1344" s="51" t="s">
        <v>6119</v>
      </c>
      <c r="U1344" s="15"/>
      <c r="V1344" s="15"/>
      <c r="W1344" s="15"/>
      <c r="X1344" s="15"/>
      <c r="Y1344" s="15"/>
      <c r="Z1344" s="15"/>
      <c r="AA1344" s="46"/>
      <c r="AB1344" s="15"/>
      <c r="AC1344" s="15"/>
      <c r="AD1344" s="15"/>
      <c r="AE1344" s="15"/>
      <c r="AF1344" s="15"/>
      <c r="AG1344" s="15"/>
      <c r="AH1344" s="15"/>
      <c r="AI1344" s="46"/>
      <c r="AJ1344" s="51" t="s">
        <v>6121</v>
      </c>
      <c r="AK1344" s="51" t="s">
        <v>67</v>
      </c>
      <c r="AL1344" s="15"/>
      <c r="AM1344" s="51" t="s">
        <v>67</v>
      </c>
      <c r="AN1344" s="51" t="s">
        <v>67</v>
      </c>
      <c r="AO1344" s="50" t="s">
        <v>9554</v>
      </c>
    </row>
    <row r="1345" spans="1:41" hidden="1" x14ac:dyDescent="0.25">
      <c r="A1345" s="51" t="s">
        <v>7145</v>
      </c>
      <c r="B1345" s="51" t="s">
        <v>7146</v>
      </c>
      <c r="C1345" s="54" t="s">
        <v>5603</v>
      </c>
      <c r="D1345" s="51" t="s">
        <v>7147</v>
      </c>
      <c r="E1345" s="20">
        <v>9969.2099999999991</v>
      </c>
      <c r="F1345" s="20">
        <v>284.45999999999998</v>
      </c>
      <c r="G1345" s="20">
        <v>13837.21</v>
      </c>
      <c r="H1345" s="20">
        <v>307.92</v>
      </c>
      <c r="I1345" s="20">
        <v>284.45999999999998</v>
      </c>
      <c r="J1345" s="51" t="s">
        <v>6725</v>
      </c>
      <c r="K1345" s="15">
        <v>0</v>
      </c>
      <c r="L1345" s="51" t="s">
        <v>2371</v>
      </c>
      <c r="M1345" s="51" t="s">
        <v>67</v>
      </c>
      <c r="N1345" s="51" t="s">
        <v>67</v>
      </c>
      <c r="O1345" s="51" t="s">
        <v>7148</v>
      </c>
      <c r="P1345" s="51" t="s">
        <v>1340</v>
      </c>
      <c r="Q1345" s="45">
        <v>46286.582523576391</v>
      </c>
      <c r="R1345" s="46">
        <v>46298</v>
      </c>
      <c r="S1345" s="46">
        <v>46293</v>
      </c>
      <c r="T1345" s="51" t="s">
        <v>6119</v>
      </c>
      <c r="U1345" s="15"/>
      <c r="V1345" s="15"/>
      <c r="W1345" s="15"/>
      <c r="X1345" s="15"/>
      <c r="Y1345" s="15"/>
      <c r="Z1345" s="15"/>
      <c r="AA1345" s="46"/>
      <c r="AB1345" s="15"/>
      <c r="AC1345" s="15"/>
      <c r="AD1345" s="15"/>
      <c r="AE1345" s="15"/>
      <c r="AF1345" s="15"/>
      <c r="AG1345" s="15"/>
      <c r="AH1345" s="15"/>
      <c r="AI1345" s="46"/>
      <c r="AJ1345" s="51" t="s">
        <v>67</v>
      </c>
      <c r="AK1345" s="51" t="s">
        <v>67</v>
      </c>
      <c r="AL1345" s="15"/>
      <c r="AM1345" s="51" t="s">
        <v>67</v>
      </c>
      <c r="AN1345" s="51" t="s">
        <v>67</v>
      </c>
      <c r="AO1345" s="50" t="s">
        <v>9554</v>
      </c>
    </row>
    <row r="1346" spans="1:41" hidden="1" x14ac:dyDescent="0.25">
      <c r="A1346" s="51" t="s">
        <v>7149</v>
      </c>
      <c r="B1346" s="51" t="s">
        <v>7150</v>
      </c>
      <c r="C1346" s="54" t="s">
        <v>5598</v>
      </c>
      <c r="D1346" s="51" t="s">
        <v>7151</v>
      </c>
      <c r="E1346" s="20">
        <v>10000</v>
      </c>
      <c r="F1346" s="20">
        <v>525.67999999999995</v>
      </c>
      <c r="G1346" s="20">
        <v>8445.09</v>
      </c>
      <c r="H1346" s="20">
        <v>433.61</v>
      </c>
      <c r="I1346" s="20">
        <v>525.67999999999995</v>
      </c>
      <c r="J1346" s="51" t="s">
        <v>6727</v>
      </c>
      <c r="K1346" s="15">
        <v>34</v>
      </c>
      <c r="L1346" s="51" t="s">
        <v>2369</v>
      </c>
      <c r="M1346" s="51" t="s">
        <v>7152</v>
      </c>
      <c r="N1346" s="51" t="s">
        <v>1340</v>
      </c>
      <c r="O1346" s="51" t="s">
        <v>7153</v>
      </c>
      <c r="P1346" s="51" t="s">
        <v>1340</v>
      </c>
      <c r="Q1346" s="45">
        <v>46286.582526481485</v>
      </c>
      <c r="R1346" s="46">
        <v>46318</v>
      </c>
      <c r="S1346" s="46">
        <v>46313</v>
      </c>
      <c r="T1346" s="51" t="s">
        <v>6119</v>
      </c>
      <c r="U1346" s="15"/>
      <c r="V1346" s="15"/>
      <c r="W1346" s="15"/>
      <c r="X1346" s="15"/>
      <c r="Y1346" s="15"/>
      <c r="Z1346" s="15"/>
      <c r="AA1346" s="46"/>
      <c r="AB1346" s="15"/>
      <c r="AC1346" s="15"/>
      <c r="AD1346" s="15"/>
      <c r="AE1346" s="15"/>
      <c r="AF1346" s="15"/>
      <c r="AG1346" s="15"/>
      <c r="AH1346" s="15"/>
      <c r="AI1346" s="46"/>
      <c r="AJ1346" s="51" t="s">
        <v>6121</v>
      </c>
      <c r="AK1346" s="51" t="s">
        <v>67</v>
      </c>
      <c r="AL1346" s="15"/>
      <c r="AM1346" s="51" t="s">
        <v>67</v>
      </c>
      <c r="AN1346" s="51" t="s">
        <v>67</v>
      </c>
      <c r="AO1346" s="50" t="s">
        <v>9554</v>
      </c>
    </row>
    <row r="1347" spans="1:41" hidden="1" x14ac:dyDescent="0.25">
      <c r="A1347" s="51" t="s">
        <v>7154</v>
      </c>
      <c r="B1347" s="51" t="s">
        <v>7155</v>
      </c>
      <c r="C1347" s="54" t="s">
        <v>2692</v>
      </c>
      <c r="D1347" s="51" t="s">
        <v>7156</v>
      </c>
      <c r="E1347" s="20">
        <v>9970.1299999999992</v>
      </c>
      <c r="F1347" s="20">
        <v>355.99</v>
      </c>
      <c r="G1347" s="20">
        <v>20442.79</v>
      </c>
      <c r="H1347" s="20">
        <v>331.95</v>
      </c>
      <c r="I1347" s="20">
        <v>355.99</v>
      </c>
      <c r="J1347" s="51" t="s">
        <v>6726</v>
      </c>
      <c r="K1347" s="15">
        <v>25</v>
      </c>
      <c r="L1347" s="51" t="s">
        <v>2369</v>
      </c>
      <c r="M1347" s="51" t="s">
        <v>7157</v>
      </c>
      <c r="N1347" s="51" t="s">
        <v>1340</v>
      </c>
      <c r="O1347" s="51" t="s">
        <v>67</v>
      </c>
      <c r="P1347" s="51" t="s">
        <v>67</v>
      </c>
      <c r="Q1347" s="45">
        <v>46286.582529537038</v>
      </c>
      <c r="R1347" s="46">
        <v>46296</v>
      </c>
      <c r="S1347" s="46">
        <v>46291</v>
      </c>
      <c r="T1347" s="51" t="s">
        <v>6119</v>
      </c>
      <c r="U1347" s="15"/>
      <c r="V1347" s="15"/>
      <c r="W1347" s="15"/>
      <c r="X1347" s="15"/>
      <c r="Y1347" s="15"/>
      <c r="Z1347" s="15"/>
      <c r="AA1347" s="46"/>
      <c r="AB1347" s="15"/>
      <c r="AC1347" s="15"/>
      <c r="AD1347" s="15"/>
      <c r="AE1347" s="15"/>
      <c r="AF1347" s="15"/>
      <c r="AG1347" s="15"/>
      <c r="AH1347" s="15"/>
      <c r="AI1347" s="46"/>
      <c r="AJ1347" s="51" t="s">
        <v>6121</v>
      </c>
      <c r="AK1347" s="51" t="s">
        <v>67</v>
      </c>
      <c r="AL1347" s="15"/>
      <c r="AM1347" s="51" t="s">
        <v>67</v>
      </c>
      <c r="AN1347" s="51" t="s">
        <v>67</v>
      </c>
      <c r="AO1347" s="50" t="s">
        <v>9554</v>
      </c>
    </row>
    <row r="1348" spans="1:41" hidden="1" x14ac:dyDescent="0.25">
      <c r="A1348" s="51" t="s">
        <v>7158</v>
      </c>
      <c r="B1348" s="51" t="s">
        <v>7159</v>
      </c>
      <c r="C1348" s="54" t="s">
        <v>5606</v>
      </c>
      <c r="D1348" s="51" t="s">
        <v>7160</v>
      </c>
      <c r="E1348" s="20">
        <v>9784.3700000000008</v>
      </c>
      <c r="F1348" s="20">
        <v>222.93</v>
      </c>
      <c r="G1348" s="20">
        <v>15623.34</v>
      </c>
      <c r="H1348" s="20">
        <v>428.36</v>
      </c>
      <c r="I1348" s="20">
        <v>222.93</v>
      </c>
      <c r="J1348" s="51" t="s">
        <v>6726</v>
      </c>
      <c r="K1348" s="15">
        <v>0</v>
      </c>
      <c r="L1348" s="51" t="s">
        <v>2371</v>
      </c>
      <c r="M1348" s="51" t="s">
        <v>7161</v>
      </c>
      <c r="N1348" s="51" t="s">
        <v>1340</v>
      </c>
      <c r="O1348" s="51" t="s">
        <v>7162</v>
      </c>
      <c r="P1348" s="51" t="s">
        <v>1340</v>
      </c>
      <c r="Q1348" s="45">
        <v>46286.582532696761</v>
      </c>
      <c r="R1348" s="46">
        <v>46297</v>
      </c>
      <c r="S1348" s="46">
        <v>46292</v>
      </c>
      <c r="T1348" s="51" t="s">
        <v>6119</v>
      </c>
      <c r="U1348" s="15">
        <v>46.61</v>
      </c>
      <c r="V1348" s="15">
        <v>215.53</v>
      </c>
      <c r="W1348" s="15">
        <v>1.98</v>
      </c>
      <c r="X1348" s="15">
        <v>0.82</v>
      </c>
      <c r="Y1348" s="15">
        <v>1.663135</v>
      </c>
      <c r="Z1348" s="15">
        <v>6</v>
      </c>
      <c r="AA1348" s="46">
        <v>46267</v>
      </c>
      <c r="AB1348" s="15"/>
      <c r="AC1348" s="15"/>
      <c r="AD1348" s="15"/>
      <c r="AE1348" s="15"/>
      <c r="AF1348" s="15"/>
      <c r="AG1348" s="15"/>
      <c r="AH1348" s="15"/>
      <c r="AI1348" s="46"/>
      <c r="AJ1348" s="51" t="s">
        <v>67</v>
      </c>
      <c r="AK1348" s="51" t="s">
        <v>67</v>
      </c>
      <c r="AL1348" s="15"/>
      <c r="AM1348" s="51" t="s">
        <v>67</v>
      </c>
      <c r="AN1348" s="51" t="s">
        <v>67</v>
      </c>
      <c r="AO1348" s="50" t="s">
        <v>9554</v>
      </c>
    </row>
    <row r="1349" spans="1:41" hidden="1" x14ac:dyDescent="0.25">
      <c r="A1349" s="51" t="s">
        <v>7163</v>
      </c>
      <c r="B1349" s="51" t="s">
        <v>7164</v>
      </c>
      <c r="C1349" s="54" t="s">
        <v>5608</v>
      </c>
      <c r="D1349" s="51" t="s">
        <v>7165</v>
      </c>
      <c r="E1349" s="20">
        <v>10000</v>
      </c>
      <c r="F1349" s="20">
        <v>299.52999999999997</v>
      </c>
      <c r="G1349" s="20">
        <v>14476.93</v>
      </c>
      <c r="H1349" s="20">
        <v>248.21</v>
      </c>
      <c r="I1349" s="20">
        <v>299.52999999999997</v>
      </c>
      <c r="J1349" s="51" t="s">
        <v>6727</v>
      </c>
      <c r="K1349" s="15">
        <v>33</v>
      </c>
      <c r="L1349" s="51" t="s">
        <v>2369</v>
      </c>
      <c r="M1349" s="51" t="s">
        <v>67</v>
      </c>
      <c r="N1349" s="51" t="s">
        <v>67</v>
      </c>
      <c r="O1349" s="51" t="s">
        <v>7166</v>
      </c>
      <c r="P1349" s="51" t="s">
        <v>1344</v>
      </c>
      <c r="Q1349" s="45">
        <v>46286.582535787034</v>
      </c>
      <c r="R1349" s="46">
        <v>46319</v>
      </c>
      <c r="S1349" s="46">
        <v>46314</v>
      </c>
      <c r="T1349" s="51" t="s">
        <v>6119</v>
      </c>
      <c r="U1349" s="15"/>
      <c r="V1349" s="15"/>
      <c r="W1349" s="15"/>
      <c r="X1349" s="15"/>
      <c r="Y1349" s="15"/>
      <c r="Z1349" s="15"/>
      <c r="AA1349" s="46"/>
      <c r="AB1349" s="15"/>
      <c r="AC1349" s="15"/>
      <c r="AD1349" s="15"/>
      <c r="AE1349" s="15"/>
      <c r="AF1349" s="15"/>
      <c r="AG1349" s="15"/>
      <c r="AH1349" s="15"/>
      <c r="AI1349" s="46"/>
      <c r="AJ1349" s="51" t="s">
        <v>6121</v>
      </c>
      <c r="AK1349" s="51" t="s">
        <v>67</v>
      </c>
      <c r="AL1349" s="15"/>
      <c r="AM1349" s="51" t="s">
        <v>67</v>
      </c>
      <c r="AN1349" s="51" t="s">
        <v>67</v>
      </c>
      <c r="AO1349" s="50" t="s">
        <v>9554</v>
      </c>
    </row>
    <row r="1350" spans="1:41" hidden="1" x14ac:dyDescent="0.25">
      <c r="A1350" s="51" t="s">
        <v>7167</v>
      </c>
      <c r="B1350" s="51" t="s">
        <v>7168</v>
      </c>
      <c r="C1350" s="54" t="s">
        <v>607</v>
      </c>
      <c r="D1350" s="51" t="s">
        <v>7169</v>
      </c>
      <c r="E1350" s="20">
        <v>10000</v>
      </c>
      <c r="F1350" s="20">
        <v>454</v>
      </c>
      <c r="G1350" s="20">
        <v>6289.62</v>
      </c>
      <c r="H1350" s="20">
        <v>361.26</v>
      </c>
      <c r="I1350" s="20">
        <v>454</v>
      </c>
      <c r="J1350" s="51" t="s">
        <v>6727</v>
      </c>
      <c r="K1350" s="15">
        <v>42</v>
      </c>
      <c r="L1350" s="51" t="s">
        <v>2369</v>
      </c>
      <c r="M1350" s="51" t="s">
        <v>7170</v>
      </c>
      <c r="N1350" s="51" t="s">
        <v>1344</v>
      </c>
      <c r="O1350" s="51" t="s">
        <v>67</v>
      </c>
      <c r="P1350" s="51" t="s">
        <v>67</v>
      </c>
      <c r="Q1350" s="45">
        <v>46286.582538842595</v>
      </c>
      <c r="R1350" s="46">
        <v>46310</v>
      </c>
      <c r="S1350" s="46">
        <v>46305</v>
      </c>
      <c r="T1350" s="51" t="s">
        <v>6119</v>
      </c>
      <c r="U1350" s="15"/>
      <c r="V1350" s="15"/>
      <c r="W1350" s="15"/>
      <c r="X1350" s="15"/>
      <c r="Y1350" s="15"/>
      <c r="Z1350" s="15"/>
      <c r="AA1350" s="46"/>
      <c r="AB1350" s="15"/>
      <c r="AC1350" s="15"/>
      <c r="AD1350" s="15"/>
      <c r="AE1350" s="15"/>
      <c r="AF1350" s="15"/>
      <c r="AG1350" s="15"/>
      <c r="AH1350" s="15"/>
      <c r="AI1350" s="46"/>
      <c r="AJ1350" s="51" t="s">
        <v>6121</v>
      </c>
      <c r="AK1350" s="51" t="s">
        <v>67</v>
      </c>
      <c r="AL1350" s="15"/>
      <c r="AM1350" s="51" t="s">
        <v>67</v>
      </c>
      <c r="AN1350" s="51" t="s">
        <v>67</v>
      </c>
      <c r="AO1350" s="50" t="s">
        <v>9554</v>
      </c>
    </row>
    <row r="1351" spans="1:41" hidden="1" x14ac:dyDescent="0.25">
      <c r="A1351" s="51" t="s">
        <v>7171</v>
      </c>
      <c r="B1351" s="51" t="s">
        <v>7172</v>
      </c>
      <c r="C1351" s="54" t="s">
        <v>5602</v>
      </c>
      <c r="D1351" s="51" t="s">
        <v>7173</v>
      </c>
      <c r="E1351" s="20">
        <v>10000</v>
      </c>
      <c r="F1351" s="20">
        <v>382.32</v>
      </c>
      <c r="G1351" s="20">
        <v>8111.88</v>
      </c>
      <c r="H1351" s="20">
        <v>295.11</v>
      </c>
      <c r="I1351" s="20">
        <v>382.32</v>
      </c>
      <c r="J1351" s="51" t="s">
        <v>6727</v>
      </c>
      <c r="K1351" s="15">
        <v>49</v>
      </c>
      <c r="L1351" s="51" t="s">
        <v>2369</v>
      </c>
      <c r="M1351" s="51" t="s">
        <v>7174</v>
      </c>
      <c r="N1351" s="51" t="s">
        <v>1340</v>
      </c>
      <c r="O1351" s="51" t="s">
        <v>7175</v>
      </c>
      <c r="P1351" s="51" t="s">
        <v>1340</v>
      </c>
      <c r="Q1351" s="45">
        <v>46286.582542268516</v>
      </c>
      <c r="R1351" s="46">
        <v>46303</v>
      </c>
      <c r="S1351" s="46">
        <v>46298</v>
      </c>
      <c r="T1351" s="51" t="s">
        <v>6119</v>
      </c>
      <c r="U1351" s="15"/>
      <c r="V1351" s="15"/>
      <c r="W1351" s="15"/>
      <c r="X1351" s="15"/>
      <c r="Y1351" s="15"/>
      <c r="Z1351" s="15"/>
      <c r="AA1351" s="46"/>
      <c r="AB1351" s="15"/>
      <c r="AC1351" s="15"/>
      <c r="AD1351" s="15"/>
      <c r="AE1351" s="15"/>
      <c r="AF1351" s="15"/>
      <c r="AG1351" s="15"/>
      <c r="AH1351" s="15"/>
      <c r="AI1351" s="46"/>
      <c r="AJ1351" s="51" t="s">
        <v>6121</v>
      </c>
      <c r="AK1351" s="51" t="s">
        <v>67</v>
      </c>
      <c r="AL1351" s="15"/>
      <c r="AM1351" s="51" t="s">
        <v>67</v>
      </c>
      <c r="AN1351" s="51" t="s">
        <v>67</v>
      </c>
      <c r="AO1351" s="50" t="s">
        <v>9554</v>
      </c>
    </row>
    <row r="1352" spans="1:41" hidden="1" x14ac:dyDescent="0.25">
      <c r="A1352" s="51" t="s">
        <v>7176</v>
      </c>
      <c r="B1352" s="51" t="s">
        <v>7177</v>
      </c>
      <c r="C1352" s="54" t="s">
        <v>2689</v>
      </c>
      <c r="D1352" s="51" t="s">
        <v>7178</v>
      </c>
      <c r="E1352" s="20">
        <v>10000</v>
      </c>
      <c r="F1352" s="20">
        <v>0</v>
      </c>
      <c r="G1352" s="20">
        <v>21533.61</v>
      </c>
      <c r="H1352" s="20">
        <v>5375.52</v>
      </c>
      <c r="I1352" s="20">
        <v>445.08</v>
      </c>
      <c r="J1352" s="51" t="s">
        <v>6726</v>
      </c>
      <c r="K1352" s="15">
        <v>0</v>
      </c>
      <c r="L1352" s="51" t="s">
        <v>2371</v>
      </c>
      <c r="M1352" s="51" t="s">
        <v>7179</v>
      </c>
      <c r="N1352" s="51" t="s">
        <v>1340</v>
      </c>
      <c r="O1352" s="51" t="s">
        <v>7180</v>
      </c>
      <c r="P1352" s="51" t="s">
        <v>1340</v>
      </c>
      <c r="Q1352" s="45">
        <v>46286.58268579861</v>
      </c>
      <c r="R1352" s="46">
        <v>46317</v>
      </c>
      <c r="S1352" s="46">
        <v>46312</v>
      </c>
      <c r="T1352" s="51" t="s">
        <v>6119</v>
      </c>
      <c r="U1352" s="15"/>
      <c r="V1352" s="15"/>
      <c r="W1352" s="15"/>
      <c r="X1352" s="15"/>
      <c r="Y1352" s="15"/>
      <c r="Z1352" s="15"/>
      <c r="AA1352" s="46"/>
      <c r="AB1352" s="15"/>
      <c r="AC1352" s="15"/>
      <c r="AD1352" s="15"/>
      <c r="AE1352" s="15"/>
      <c r="AF1352" s="15"/>
      <c r="AG1352" s="15"/>
      <c r="AH1352" s="15"/>
      <c r="AI1352" s="46"/>
      <c r="AJ1352" s="51" t="s">
        <v>67</v>
      </c>
      <c r="AK1352" s="51" t="s">
        <v>67</v>
      </c>
      <c r="AL1352" s="15"/>
      <c r="AM1352" s="51" t="s">
        <v>67</v>
      </c>
      <c r="AN1352" s="51" t="s">
        <v>67</v>
      </c>
      <c r="AO1352" s="50" t="s">
        <v>9554</v>
      </c>
    </row>
    <row r="1353" spans="1:41" hidden="1" x14ac:dyDescent="0.25">
      <c r="A1353" s="51" t="s">
        <v>7181</v>
      </c>
      <c r="B1353" s="51" t="s">
        <v>7182</v>
      </c>
      <c r="C1353" s="54" t="s">
        <v>2694</v>
      </c>
      <c r="D1353" s="51" t="s">
        <v>7183</v>
      </c>
      <c r="E1353" s="20">
        <v>10000</v>
      </c>
      <c r="F1353" s="20">
        <v>0</v>
      </c>
      <c r="G1353" s="20">
        <v>21102.93</v>
      </c>
      <c r="H1353" s="20">
        <v>2746.07</v>
      </c>
      <c r="I1353" s="20">
        <v>363.79</v>
      </c>
      <c r="J1353" s="51" t="s">
        <v>6726</v>
      </c>
      <c r="K1353" s="15">
        <v>0</v>
      </c>
      <c r="L1353" s="51" t="s">
        <v>2371</v>
      </c>
      <c r="M1353" s="51" t="s">
        <v>7184</v>
      </c>
      <c r="N1353" s="51" t="s">
        <v>1344</v>
      </c>
      <c r="O1353" s="51" t="s">
        <v>67</v>
      </c>
      <c r="P1353" s="51" t="s">
        <v>67</v>
      </c>
      <c r="Q1353" s="45">
        <v>46286.582696712961</v>
      </c>
      <c r="R1353" s="46">
        <v>46312</v>
      </c>
      <c r="S1353" s="46">
        <v>46307</v>
      </c>
      <c r="T1353" s="51" t="s">
        <v>6119</v>
      </c>
      <c r="U1353" s="15"/>
      <c r="V1353" s="15"/>
      <c r="W1353" s="15"/>
      <c r="X1353" s="15"/>
      <c r="Y1353" s="15"/>
      <c r="Z1353" s="15"/>
      <c r="AA1353" s="46"/>
      <c r="AB1353" s="15"/>
      <c r="AC1353" s="15"/>
      <c r="AD1353" s="15"/>
      <c r="AE1353" s="15"/>
      <c r="AF1353" s="15"/>
      <c r="AG1353" s="15"/>
      <c r="AH1353" s="15"/>
      <c r="AI1353" s="46"/>
      <c r="AJ1353" s="51" t="s">
        <v>67</v>
      </c>
      <c r="AK1353" s="51" t="s">
        <v>67</v>
      </c>
      <c r="AL1353" s="15"/>
      <c r="AM1353" s="51" t="s">
        <v>67</v>
      </c>
      <c r="AN1353" s="51" t="s">
        <v>67</v>
      </c>
      <c r="AO1353" s="50" t="s">
        <v>9554</v>
      </c>
    </row>
    <row r="1354" spans="1:41" hidden="1" x14ac:dyDescent="0.25">
      <c r="A1354" s="51" t="s">
        <v>7185</v>
      </c>
      <c r="B1354" s="51" t="s">
        <v>7186</v>
      </c>
      <c r="C1354" s="54" t="s">
        <v>5606</v>
      </c>
      <c r="D1354" s="51" t="s">
        <v>7187</v>
      </c>
      <c r="E1354" s="20">
        <v>10000</v>
      </c>
      <c r="F1354" s="20">
        <v>0</v>
      </c>
      <c r="G1354" s="20">
        <v>14561.09</v>
      </c>
      <c r="H1354" s="20">
        <v>1376.86</v>
      </c>
      <c r="I1354" s="20">
        <v>559.51</v>
      </c>
      <c r="J1354" s="51" t="s">
        <v>6726</v>
      </c>
      <c r="K1354" s="15">
        <v>0</v>
      </c>
      <c r="L1354" s="51" t="s">
        <v>2371</v>
      </c>
      <c r="M1354" s="51" t="s">
        <v>67</v>
      </c>
      <c r="N1354" s="51" t="s">
        <v>67</v>
      </c>
      <c r="O1354" s="51" t="s">
        <v>7188</v>
      </c>
      <c r="P1354" s="51" t="s">
        <v>1340</v>
      </c>
      <c r="Q1354" s="45">
        <v>46286.582720081016</v>
      </c>
      <c r="R1354" s="46">
        <v>46297</v>
      </c>
      <c r="S1354" s="46">
        <v>46292</v>
      </c>
      <c r="T1354" s="51" t="s">
        <v>6119</v>
      </c>
      <c r="U1354" s="15"/>
      <c r="V1354" s="15"/>
      <c r="W1354" s="15"/>
      <c r="X1354" s="15"/>
      <c r="Y1354" s="15"/>
      <c r="Z1354" s="15"/>
      <c r="AA1354" s="46"/>
      <c r="AB1354" s="15"/>
      <c r="AC1354" s="15"/>
      <c r="AD1354" s="15"/>
      <c r="AE1354" s="15"/>
      <c r="AF1354" s="15"/>
      <c r="AG1354" s="15"/>
      <c r="AH1354" s="15"/>
      <c r="AI1354" s="46"/>
      <c r="AJ1354" s="51" t="s">
        <v>67</v>
      </c>
      <c r="AK1354" s="51" t="s">
        <v>67</v>
      </c>
      <c r="AL1354" s="15"/>
      <c r="AM1354" s="51" t="s">
        <v>67</v>
      </c>
      <c r="AN1354" s="51" t="s">
        <v>67</v>
      </c>
      <c r="AO1354" s="50" t="s">
        <v>9554</v>
      </c>
    </row>
    <row r="1355" spans="1:41" hidden="1" x14ac:dyDescent="0.25">
      <c r="A1355" s="51" t="s">
        <v>7189</v>
      </c>
      <c r="B1355" s="51" t="s">
        <v>7190</v>
      </c>
      <c r="C1355" s="54" t="s">
        <v>2541</v>
      </c>
      <c r="D1355" s="51" t="s">
        <v>7191</v>
      </c>
      <c r="E1355" s="20">
        <v>10000</v>
      </c>
      <c r="F1355" s="20">
        <v>0</v>
      </c>
      <c r="G1355" s="20">
        <v>20859.05</v>
      </c>
      <c r="H1355" s="20">
        <v>10618.37</v>
      </c>
      <c r="I1355" s="20">
        <v>597.97</v>
      </c>
      <c r="J1355" s="51" t="s">
        <v>6726</v>
      </c>
      <c r="K1355" s="15">
        <v>0</v>
      </c>
      <c r="L1355" s="51" t="s">
        <v>2371</v>
      </c>
      <c r="M1355" s="51" t="s">
        <v>7192</v>
      </c>
      <c r="N1355" s="51" t="s">
        <v>1340</v>
      </c>
      <c r="O1355" s="51" t="s">
        <v>7193</v>
      </c>
      <c r="P1355" s="51" t="s">
        <v>1340</v>
      </c>
      <c r="Q1355" s="45">
        <v>46286.582733530093</v>
      </c>
      <c r="R1355" s="46">
        <v>46311</v>
      </c>
      <c r="S1355" s="46">
        <v>46306</v>
      </c>
      <c r="T1355" s="51" t="s">
        <v>6119</v>
      </c>
      <c r="U1355" s="15"/>
      <c r="V1355" s="15"/>
      <c r="W1355" s="15"/>
      <c r="X1355" s="15"/>
      <c r="Y1355" s="15"/>
      <c r="Z1355" s="15"/>
      <c r="AA1355" s="46"/>
      <c r="AB1355" s="15"/>
      <c r="AC1355" s="15"/>
      <c r="AD1355" s="15"/>
      <c r="AE1355" s="15"/>
      <c r="AF1355" s="15"/>
      <c r="AG1355" s="15"/>
      <c r="AH1355" s="15"/>
      <c r="AI1355" s="46"/>
      <c r="AJ1355" s="51" t="s">
        <v>67</v>
      </c>
      <c r="AK1355" s="51" t="s">
        <v>67</v>
      </c>
      <c r="AL1355" s="15"/>
      <c r="AM1355" s="51" t="s">
        <v>67</v>
      </c>
      <c r="AN1355" s="51" t="s">
        <v>67</v>
      </c>
      <c r="AO1355" s="50" t="s">
        <v>9554</v>
      </c>
    </row>
    <row r="1356" spans="1:41" hidden="1" x14ac:dyDescent="0.25">
      <c r="A1356" s="51" t="s">
        <v>7194</v>
      </c>
      <c r="B1356" s="51" t="s">
        <v>7195</v>
      </c>
      <c r="C1356" s="54" t="s">
        <v>605</v>
      </c>
      <c r="D1356" s="51" t="s">
        <v>7196</v>
      </c>
      <c r="E1356" s="20">
        <v>10000</v>
      </c>
      <c r="F1356" s="20">
        <v>0</v>
      </c>
      <c r="G1356" s="20">
        <v>18066.05</v>
      </c>
      <c r="H1356" s="20">
        <v>6664.44</v>
      </c>
      <c r="I1356" s="20">
        <v>459.9</v>
      </c>
      <c r="J1356" s="51" t="s">
        <v>6726</v>
      </c>
      <c r="K1356" s="15">
        <v>0</v>
      </c>
      <c r="L1356" s="51" t="s">
        <v>2371</v>
      </c>
      <c r="M1356" s="51" t="s">
        <v>7197</v>
      </c>
      <c r="N1356" s="51" t="s">
        <v>1340</v>
      </c>
      <c r="O1356" s="51" t="s">
        <v>67</v>
      </c>
      <c r="P1356" s="51" t="s">
        <v>67</v>
      </c>
      <c r="Q1356" s="45">
        <v>46286.582744780091</v>
      </c>
      <c r="R1356" s="46">
        <v>46305</v>
      </c>
      <c r="S1356" s="46">
        <v>46300</v>
      </c>
      <c r="T1356" s="51" t="s">
        <v>6119</v>
      </c>
      <c r="U1356" s="15"/>
      <c r="V1356" s="15"/>
      <c r="W1356" s="15"/>
      <c r="X1356" s="15"/>
      <c r="Y1356" s="15"/>
      <c r="Z1356" s="15"/>
      <c r="AA1356" s="46"/>
      <c r="AB1356" s="15"/>
      <c r="AC1356" s="15"/>
      <c r="AD1356" s="15"/>
      <c r="AE1356" s="15"/>
      <c r="AF1356" s="15"/>
      <c r="AG1356" s="15"/>
      <c r="AH1356" s="15"/>
      <c r="AI1356" s="46"/>
      <c r="AJ1356" s="51" t="s">
        <v>67</v>
      </c>
      <c r="AK1356" s="51" t="s">
        <v>67</v>
      </c>
      <c r="AL1356" s="15"/>
      <c r="AM1356" s="51" t="s">
        <v>67</v>
      </c>
      <c r="AN1356" s="51" t="s">
        <v>67</v>
      </c>
      <c r="AO1356" s="50" t="s">
        <v>9554</v>
      </c>
    </row>
    <row r="1357" spans="1:41" hidden="1" x14ac:dyDescent="0.25">
      <c r="A1357" s="51" t="s">
        <v>7198</v>
      </c>
      <c r="B1357" s="51" t="s">
        <v>7199</v>
      </c>
      <c r="C1357" s="54" t="s">
        <v>2693</v>
      </c>
      <c r="D1357" s="51" t="s">
        <v>7200</v>
      </c>
      <c r="E1357" s="20">
        <v>10000</v>
      </c>
      <c r="F1357" s="20">
        <v>0</v>
      </c>
      <c r="G1357" s="20">
        <v>7117.88</v>
      </c>
      <c r="H1357" s="20">
        <v>2745.72</v>
      </c>
      <c r="I1357" s="20">
        <v>394.55</v>
      </c>
      <c r="J1357" s="51" t="s">
        <v>6726</v>
      </c>
      <c r="K1357" s="15">
        <v>0</v>
      </c>
      <c r="L1357" s="51" t="s">
        <v>2371</v>
      </c>
      <c r="M1357" s="51" t="s">
        <v>7201</v>
      </c>
      <c r="N1357" s="51" t="s">
        <v>1340</v>
      </c>
      <c r="O1357" s="51" t="s">
        <v>67</v>
      </c>
      <c r="P1357" s="51" t="s">
        <v>67</v>
      </c>
      <c r="Q1357" s="45">
        <v>46286.582752442133</v>
      </c>
      <c r="R1357" s="46">
        <v>46314</v>
      </c>
      <c r="S1357" s="46">
        <v>46309</v>
      </c>
      <c r="T1357" s="51" t="s">
        <v>6119</v>
      </c>
      <c r="U1357" s="15"/>
      <c r="V1357" s="15"/>
      <c r="W1357" s="15"/>
      <c r="X1357" s="15"/>
      <c r="Y1357" s="15"/>
      <c r="Z1357" s="15"/>
      <c r="AA1357" s="46"/>
      <c r="AB1357" s="15"/>
      <c r="AC1357" s="15"/>
      <c r="AD1357" s="15"/>
      <c r="AE1357" s="15"/>
      <c r="AF1357" s="15"/>
      <c r="AG1357" s="15"/>
      <c r="AH1357" s="15"/>
      <c r="AI1357" s="46"/>
      <c r="AJ1357" s="51" t="s">
        <v>67</v>
      </c>
      <c r="AK1357" s="51" t="s">
        <v>67</v>
      </c>
      <c r="AL1357" s="15"/>
      <c r="AM1357" s="51" t="s">
        <v>67</v>
      </c>
      <c r="AN1357" s="51" t="s">
        <v>67</v>
      </c>
      <c r="AO1357" s="50" t="s">
        <v>9554</v>
      </c>
    </row>
    <row r="1358" spans="1:41" hidden="1" x14ac:dyDescent="0.25">
      <c r="A1358" s="51" t="s">
        <v>7202</v>
      </c>
      <c r="B1358" s="51" t="s">
        <v>7203</v>
      </c>
      <c r="C1358" s="54" t="s">
        <v>5596</v>
      </c>
      <c r="D1358" s="51" t="s">
        <v>7204</v>
      </c>
      <c r="E1358" s="20">
        <v>10000</v>
      </c>
      <c r="F1358" s="20">
        <v>0</v>
      </c>
      <c r="G1358" s="20">
        <v>10868.19</v>
      </c>
      <c r="H1358" s="20">
        <v>1767.87</v>
      </c>
      <c r="I1358" s="20">
        <v>524.04999999999995</v>
      </c>
      <c r="J1358" s="51" t="s">
        <v>6726</v>
      </c>
      <c r="K1358" s="15">
        <v>0</v>
      </c>
      <c r="L1358" s="51" t="s">
        <v>2371</v>
      </c>
      <c r="M1358" s="51" t="s">
        <v>67</v>
      </c>
      <c r="N1358" s="51" t="s">
        <v>67</v>
      </c>
      <c r="O1358" s="51" t="s">
        <v>7205</v>
      </c>
      <c r="P1358" s="51" t="s">
        <v>1340</v>
      </c>
      <c r="Q1358" s="45">
        <v>46286.582761504629</v>
      </c>
      <c r="R1358" s="46">
        <v>46300</v>
      </c>
      <c r="S1358" s="46">
        <v>46295</v>
      </c>
      <c r="T1358" s="51" t="s">
        <v>6119</v>
      </c>
      <c r="U1358" s="15"/>
      <c r="V1358" s="15"/>
      <c r="W1358" s="15"/>
      <c r="X1358" s="15"/>
      <c r="Y1358" s="15"/>
      <c r="Z1358" s="15"/>
      <c r="AA1358" s="46"/>
      <c r="AB1358" s="15"/>
      <c r="AC1358" s="15"/>
      <c r="AD1358" s="15"/>
      <c r="AE1358" s="15"/>
      <c r="AF1358" s="15"/>
      <c r="AG1358" s="15"/>
      <c r="AH1358" s="15"/>
      <c r="AI1358" s="46"/>
      <c r="AJ1358" s="51" t="s">
        <v>67</v>
      </c>
      <c r="AK1358" s="51" t="s">
        <v>67</v>
      </c>
      <c r="AL1358" s="15"/>
      <c r="AM1358" s="51" t="s">
        <v>67</v>
      </c>
      <c r="AN1358" s="51" t="s">
        <v>67</v>
      </c>
      <c r="AO1358" s="50" t="s">
        <v>9554</v>
      </c>
    </row>
    <row r="1359" spans="1:41" hidden="1" x14ac:dyDescent="0.25">
      <c r="A1359" s="51" t="s">
        <v>7206</v>
      </c>
      <c r="B1359" s="51" t="s">
        <v>7207</v>
      </c>
      <c r="C1359" s="54" t="s">
        <v>2345</v>
      </c>
      <c r="D1359" s="51" t="s">
        <v>7208</v>
      </c>
      <c r="E1359" s="20">
        <v>10000</v>
      </c>
      <c r="F1359" s="20">
        <v>0</v>
      </c>
      <c r="G1359" s="20">
        <v>2098.63</v>
      </c>
      <c r="H1359" s="20">
        <v>1469.51</v>
      </c>
      <c r="I1359" s="20">
        <v>288.99</v>
      </c>
      <c r="J1359" s="51" t="s">
        <v>6726</v>
      </c>
      <c r="K1359" s="15">
        <v>0</v>
      </c>
      <c r="L1359" s="51" t="s">
        <v>2371</v>
      </c>
      <c r="M1359" s="51" t="s">
        <v>7209</v>
      </c>
      <c r="N1359" s="51" t="s">
        <v>1340</v>
      </c>
      <c r="O1359" s="51" t="s">
        <v>67</v>
      </c>
      <c r="P1359" s="51" t="s">
        <v>67</v>
      </c>
      <c r="Q1359" s="45">
        <v>46286.582768518521</v>
      </c>
      <c r="R1359" s="46">
        <v>46306</v>
      </c>
      <c r="S1359" s="46">
        <v>46301</v>
      </c>
      <c r="T1359" s="51" t="s">
        <v>6119</v>
      </c>
      <c r="U1359" s="15"/>
      <c r="V1359" s="15"/>
      <c r="W1359" s="15"/>
      <c r="X1359" s="15"/>
      <c r="Y1359" s="15"/>
      <c r="Z1359" s="15"/>
      <c r="AA1359" s="46"/>
      <c r="AB1359" s="15"/>
      <c r="AC1359" s="15"/>
      <c r="AD1359" s="15"/>
      <c r="AE1359" s="15"/>
      <c r="AF1359" s="15"/>
      <c r="AG1359" s="15"/>
      <c r="AH1359" s="15"/>
      <c r="AI1359" s="46"/>
      <c r="AJ1359" s="51" t="s">
        <v>67</v>
      </c>
      <c r="AK1359" s="51" t="s">
        <v>67</v>
      </c>
      <c r="AL1359" s="15"/>
      <c r="AM1359" s="51" t="s">
        <v>67</v>
      </c>
      <c r="AN1359" s="51" t="s">
        <v>67</v>
      </c>
      <c r="AO1359" s="50" t="s">
        <v>9554</v>
      </c>
    </row>
    <row r="1360" spans="1:41" hidden="1" x14ac:dyDescent="0.25">
      <c r="A1360" s="51" t="s">
        <v>7210</v>
      </c>
      <c r="B1360" s="51" t="s">
        <v>7211</v>
      </c>
      <c r="C1360" s="54" t="s">
        <v>611</v>
      </c>
      <c r="D1360" s="51" t="s">
        <v>7212</v>
      </c>
      <c r="E1360" s="20">
        <v>10000</v>
      </c>
      <c r="F1360" s="20">
        <v>0</v>
      </c>
      <c r="G1360" s="20">
        <v>15088.21</v>
      </c>
      <c r="H1360" s="20">
        <v>1703.46</v>
      </c>
      <c r="I1360" s="20">
        <v>368.1</v>
      </c>
      <c r="J1360" s="51" t="s">
        <v>6726</v>
      </c>
      <c r="K1360" s="15">
        <v>0</v>
      </c>
      <c r="L1360" s="51" t="s">
        <v>2371</v>
      </c>
      <c r="M1360" s="51" t="s">
        <v>7213</v>
      </c>
      <c r="N1360" s="51" t="s">
        <v>1344</v>
      </c>
      <c r="O1360" s="51" t="s">
        <v>7214</v>
      </c>
      <c r="P1360" s="51" t="s">
        <v>1344</v>
      </c>
      <c r="Q1360" s="45">
        <v>46286.582775752315</v>
      </c>
      <c r="R1360" s="46">
        <v>46320</v>
      </c>
      <c r="S1360" s="46">
        <v>46315</v>
      </c>
      <c r="T1360" s="51" t="s">
        <v>6119</v>
      </c>
      <c r="U1360" s="15"/>
      <c r="V1360" s="15"/>
      <c r="W1360" s="15"/>
      <c r="X1360" s="15"/>
      <c r="Y1360" s="15"/>
      <c r="Z1360" s="15"/>
      <c r="AA1360" s="46"/>
      <c r="AB1360" s="15"/>
      <c r="AC1360" s="15"/>
      <c r="AD1360" s="15"/>
      <c r="AE1360" s="15"/>
      <c r="AF1360" s="15"/>
      <c r="AG1360" s="15"/>
      <c r="AH1360" s="15"/>
      <c r="AI1360" s="46"/>
      <c r="AJ1360" s="51" t="s">
        <v>67</v>
      </c>
      <c r="AK1360" s="51" t="s">
        <v>67</v>
      </c>
      <c r="AL1360" s="15"/>
      <c r="AM1360" s="51" t="s">
        <v>67</v>
      </c>
      <c r="AN1360" s="51" t="s">
        <v>67</v>
      </c>
      <c r="AO1360" s="50" t="s">
        <v>9554</v>
      </c>
    </row>
    <row r="1361" spans="1:41" hidden="1" x14ac:dyDescent="0.25">
      <c r="A1361" s="51" t="s">
        <v>7215</v>
      </c>
      <c r="B1361" s="51" t="s">
        <v>7216</v>
      </c>
      <c r="C1361" s="54" t="s">
        <v>608</v>
      </c>
      <c r="D1361" s="51" t="s">
        <v>7217</v>
      </c>
      <c r="E1361" s="20">
        <v>10000</v>
      </c>
      <c r="F1361" s="20">
        <v>0</v>
      </c>
      <c r="G1361" s="20">
        <v>19000.16</v>
      </c>
      <c r="H1361" s="20">
        <v>2123.96</v>
      </c>
      <c r="I1361" s="20">
        <v>372.12</v>
      </c>
      <c r="J1361" s="51" t="s">
        <v>6726</v>
      </c>
      <c r="K1361" s="15">
        <v>0</v>
      </c>
      <c r="L1361" s="51" t="s">
        <v>2371</v>
      </c>
      <c r="M1361" s="51" t="s">
        <v>67</v>
      </c>
      <c r="N1361" s="51" t="s">
        <v>67</v>
      </c>
      <c r="O1361" s="51" t="s">
        <v>7218</v>
      </c>
      <c r="P1361" s="51" t="s">
        <v>1340</v>
      </c>
      <c r="Q1361" s="45">
        <v>46286.582783506943</v>
      </c>
      <c r="R1361" s="46">
        <v>46315</v>
      </c>
      <c r="S1361" s="46">
        <v>46310</v>
      </c>
      <c r="T1361" s="51" t="s">
        <v>6119</v>
      </c>
      <c r="U1361" s="15"/>
      <c r="V1361" s="15"/>
      <c r="W1361" s="15"/>
      <c r="X1361" s="15"/>
      <c r="Y1361" s="15"/>
      <c r="Z1361" s="15"/>
      <c r="AA1361" s="46"/>
      <c r="AB1361" s="15"/>
      <c r="AC1361" s="15"/>
      <c r="AD1361" s="15"/>
      <c r="AE1361" s="15"/>
      <c r="AF1361" s="15"/>
      <c r="AG1361" s="15"/>
      <c r="AH1361" s="15"/>
      <c r="AI1361" s="46"/>
      <c r="AJ1361" s="51" t="s">
        <v>67</v>
      </c>
      <c r="AK1361" s="51" t="s">
        <v>67</v>
      </c>
      <c r="AL1361" s="15"/>
      <c r="AM1361" s="51" t="s">
        <v>67</v>
      </c>
      <c r="AN1361" s="51" t="s">
        <v>67</v>
      </c>
      <c r="AO1361" s="50" t="s">
        <v>9554</v>
      </c>
    </row>
    <row r="1362" spans="1:41" hidden="1" x14ac:dyDescent="0.25">
      <c r="A1362" s="51" t="s">
        <v>7219</v>
      </c>
      <c r="B1362" s="51" t="s">
        <v>7220</v>
      </c>
      <c r="C1362" s="54" t="s">
        <v>5598</v>
      </c>
      <c r="D1362" s="51" t="s">
        <v>7221</v>
      </c>
      <c r="E1362" s="20">
        <v>10000</v>
      </c>
      <c r="F1362" s="20">
        <v>0</v>
      </c>
      <c r="G1362" s="20">
        <v>15000.01</v>
      </c>
      <c r="H1362" s="20">
        <v>1821.7</v>
      </c>
      <c r="I1362" s="20">
        <v>464.06</v>
      </c>
      <c r="J1362" s="51" t="s">
        <v>6726</v>
      </c>
      <c r="K1362" s="15">
        <v>0</v>
      </c>
      <c r="L1362" s="51" t="s">
        <v>2371</v>
      </c>
      <c r="M1362" s="51" t="s">
        <v>7222</v>
      </c>
      <c r="N1362" s="51" t="s">
        <v>1344</v>
      </c>
      <c r="O1362" s="51" t="s">
        <v>67</v>
      </c>
      <c r="P1362" s="51" t="s">
        <v>67</v>
      </c>
      <c r="Q1362" s="45">
        <v>46286.582791284723</v>
      </c>
      <c r="R1362" s="46">
        <v>46318</v>
      </c>
      <c r="S1362" s="46">
        <v>46313</v>
      </c>
      <c r="T1362" s="51" t="s">
        <v>6119</v>
      </c>
      <c r="U1362" s="15"/>
      <c r="V1362" s="15"/>
      <c r="W1362" s="15"/>
      <c r="X1362" s="15"/>
      <c r="Y1362" s="15"/>
      <c r="Z1362" s="15"/>
      <c r="AA1362" s="46"/>
      <c r="AB1362" s="15"/>
      <c r="AC1362" s="15"/>
      <c r="AD1362" s="15"/>
      <c r="AE1362" s="15"/>
      <c r="AF1362" s="15"/>
      <c r="AG1362" s="15"/>
      <c r="AH1362" s="15"/>
      <c r="AI1362" s="46"/>
      <c r="AJ1362" s="51" t="s">
        <v>67</v>
      </c>
      <c r="AK1362" s="51" t="s">
        <v>67</v>
      </c>
      <c r="AL1362" s="15"/>
      <c r="AM1362" s="51" t="s">
        <v>67</v>
      </c>
      <c r="AN1362" s="51" t="s">
        <v>67</v>
      </c>
      <c r="AO1362" s="50" t="s">
        <v>9554</v>
      </c>
    </row>
    <row r="1363" spans="1:41" hidden="1" x14ac:dyDescent="0.25">
      <c r="A1363" s="51" t="s">
        <v>7223</v>
      </c>
      <c r="B1363" s="51" t="s">
        <v>7224</v>
      </c>
      <c r="C1363" s="54" t="s">
        <v>2358</v>
      </c>
      <c r="D1363" s="51" t="s">
        <v>7225</v>
      </c>
      <c r="E1363" s="20">
        <v>10000</v>
      </c>
      <c r="F1363" s="20">
        <v>0</v>
      </c>
      <c r="G1363" s="20">
        <v>4456.92</v>
      </c>
      <c r="H1363" s="20">
        <v>5151.54</v>
      </c>
      <c r="I1363" s="20">
        <v>522.37</v>
      </c>
      <c r="J1363" s="51" t="s">
        <v>6726</v>
      </c>
      <c r="K1363" s="15">
        <v>0</v>
      </c>
      <c r="L1363" s="51" t="s">
        <v>2371</v>
      </c>
      <c r="M1363" s="51" t="s">
        <v>7226</v>
      </c>
      <c r="N1363" s="51" t="s">
        <v>1340</v>
      </c>
      <c r="O1363" s="51" t="s">
        <v>7227</v>
      </c>
      <c r="P1363" s="51" t="s">
        <v>1340</v>
      </c>
      <c r="Q1363" s="45">
        <v>46286.582799062497</v>
      </c>
      <c r="R1363" s="46">
        <v>46309</v>
      </c>
      <c r="S1363" s="46">
        <v>46304</v>
      </c>
      <c r="T1363" s="51" t="s">
        <v>6119</v>
      </c>
      <c r="U1363" s="15"/>
      <c r="V1363" s="15"/>
      <c r="W1363" s="15"/>
      <c r="X1363" s="15"/>
      <c r="Y1363" s="15"/>
      <c r="Z1363" s="15"/>
      <c r="AA1363" s="46"/>
      <c r="AB1363" s="15"/>
      <c r="AC1363" s="15"/>
      <c r="AD1363" s="15"/>
      <c r="AE1363" s="15"/>
      <c r="AF1363" s="15"/>
      <c r="AG1363" s="15"/>
      <c r="AH1363" s="15"/>
      <c r="AI1363" s="46"/>
      <c r="AJ1363" s="51" t="s">
        <v>67</v>
      </c>
      <c r="AK1363" s="51" t="s">
        <v>67</v>
      </c>
      <c r="AL1363" s="15"/>
      <c r="AM1363" s="51" t="s">
        <v>67</v>
      </c>
      <c r="AN1363" s="51" t="s">
        <v>67</v>
      </c>
      <c r="AO1363" s="50" t="s">
        <v>9554</v>
      </c>
    </row>
    <row r="1364" spans="1:41" hidden="1" x14ac:dyDescent="0.25">
      <c r="A1364" s="51" t="s">
        <v>7228</v>
      </c>
      <c r="B1364" s="51" t="s">
        <v>7229</v>
      </c>
      <c r="C1364" s="54" t="s">
        <v>5607</v>
      </c>
      <c r="D1364" s="51" t="s">
        <v>7230</v>
      </c>
      <c r="E1364" s="20">
        <v>10000</v>
      </c>
      <c r="F1364" s="20">
        <v>0</v>
      </c>
      <c r="G1364" s="20">
        <v>10389.4</v>
      </c>
      <c r="H1364" s="20">
        <v>2496.8000000000002</v>
      </c>
      <c r="I1364" s="20">
        <v>522.84</v>
      </c>
      <c r="J1364" s="51" t="s">
        <v>6726</v>
      </c>
      <c r="K1364" s="15">
        <v>0</v>
      </c>
      <c r="L1364" s="51" t="s">
        <v>2371</v>
      </c>
      <c r="M1364" s="51" t="s">
        <v>67</v>
      </c>
      <c r="N1364" s="51" t="s">
        <v>67</v>
      </c>
      <c r="O1364" s="51" t="s">
        <v>7231</v>
      </c>
      <c r="P1364" s="51" t="s">
        <v>1340</v>
      </c>
      <c r="Q1364" s="45">
        <v>46286.582808356485</v>
      </c>
      <c r="R1364" s="46">
        <v>46299</v>
      </c>
      <c r="S1364" s="46">
        <v>46294</v>
      </c>
      <c r="T1364" s="51" t="s">
        <v>6119</v>
      </c>
      <c r="U1364" s="15"/>
      <c r="V1364" s="15"/>
      <c r="W1364" s="15"/>
      <c r="X1364" s="15"/>
      <c r="Y1364" s="15"/>
      <c r="Z1364" s="15"/>
      <c r="AA1364" s="46"/>
      <c r="AB1364" s="15"/>
      <c r="AC1364" s="15"/>
      <c r="AD1364" s="15"/>
      <c r="AE1364" s="15"/>
      <c r="AF1364" s="15"/>
      <c r="AG1364" s="15"/>
      <c r="AH1364" s="15"/>
      <c r="AI1364" s="46"/>
      <c r="AJ1364" s="51" t="s">
        <v>67</v>
      </c>
      <c r="AK1364" s="51" t="s">
        <v>67</v>
      </c>
      <c r="AL1364" s="15"/>
      <c r="AM1364" s="51" t="s">
        <v>67</v>
      </c>
      <c r="AN1364" s="51" t="s">
        <v>67</v>
      </c>
      <c r="AO1364" s="50" t="s">
        <v>9554</v>
      </c>
    </row>
    <row r="1365" spans="1:41" hidden="1" x14ac:dyDescent="0.25">
      <c r="A1365" s="51" t="s">
        <v>7232</v>
      </c>
      <c r="B1365" s="51" t="s">
        <v>7233</v>
      </c>
      <c r="C1365" s="54" t="s">
        <v>2541</v>
      </c>
      <c r="D1365" s="51" t="s">
        <v>7234</v>
      </c>
      <c r="E1365" s="20">
        <v>10000</v>
      </c>
      <c r="F1365" s="20">
        <v>0</v>
      </c>
      <c r="G1365" s="20">
        <v>17950.689999999999</v>
      </c>
      <c r="H1365" s="20">
        <v>2276.5</v>
      </c>
      <c r="I1365" s="20">
        <v>413.19</v>
      </c>
      <c r="J1365" s="51" t="s">
        <v>6726</v>
      </c>
      <c r="K1365" s="15">
        <v>0</v>
      </c>
      <c r="L1365" s="51" t="s">
        <v>2371</v>
      </c>
      <c r="M1365" s="51" t="s">
        <v>7235</v>
      </c>
      <c r="N1365" s="51" t="s">
        <v>1340</v>
      </c>
      <c r="O1365" s="51" t="s">
        <v>67</v>
      </c>
      <c r="P1365" s="51" t="s">
        <v>67</v>
      </c>
      <c r="Q1365" s="45">
        <v>46286.58282033565</v>
      </c>
      <c r="R1365" s="46">
        <v>46311</v>
      </c>
      <c r="S1365" s="46">
        <v>46306</v>
      </c>
      <c r="T1365" s="51" t="s">
        <v>6119</v>
      </c>
      <c r="U1365" s="15"/>
      <c r="V1365" s="15"/>
      <c r="W1365" s="15"/>
      <c r="X1365" s="15"/>
      <c r="Y1365" s="15"/>
      <c r="Z1365" s="15"/>
      <c r="AA1365" s="46"/>
      <c r="AB1365" s="15"/>
      <c r="AC1365" s="15"/>
      <c r="AD1365" s="15"/>
      <c r="AE1365" s="15"/>
      <c r="AF1365" s="15"/>
      <c r="AG1365" s="15"/>
      <c r="AH1365" s="15"/>
      <c r="AI1365" s="46"/>
      <c r="AJ1365" s="51" t="s">
        <v>67</v>
      </c>
      <c r="AK1365" s="51" t="s">
        <v>67</v>
      </c>
      <c r="AL1365" s="15"/>
      <c r="AM1365" s="51" t="s">
        <v>67</v>
      </c>
      <c r="AN1365" s="51" t="s">
        <v>67</v>
      </c>
      <c r="AO1365" s="50" t="s">
        <v>9554</v>
      </c>
    </row>
    <row r="1366" spans="1:41" hidden="1" x14ac:dyDescent="0.25">
      <c r="A1366" s="51" t="s">
        <v>7236</v>
      </c>
      <c r="B1366" s="51" t="s">
        <v>7237</v>
      </c>
      <c r="C1366" s="54" t="s">
        <v>607</v>
      </c>
      <c r="D1366" s="51" t="s">
        <v>7238</v>
      </c>
      <c r="E1366" s="20">
        <v>10000</v>
      </c>
      <c r="F1366" s="20">
        <v>0</v>
      </c>
      <c r="G1366" s="20">
        <v>19918.16</v>
      </c>
      <c r="H1366" s="20">
        <v>2390.46</v>
      </c>
      <c r="I1366" s="20">
        <v>508.39</v>
      </c>
      <c r="J1366" s="51" t="s">
        <v>6726</v>
      </c>
      <c r="K1366" s="15">
        <v>0</v>
      </c>
      <c r="L1366" s="51" t="s">
        <v>2371</v>
      </c>
      <c r="M1366" s="51" t="s">
        <v>67</v>
      </c>
      <c r="N1366" s="51" t="s">
        <v>67</v>
      </c>
      <c r="O1366" s="51" t="s">
        <v>7239</v>
      </c>
      <c r="P1366" s="51" t="s">
        <v>1340</v>
      </c>
      <c r="Q1366" s="45">
        <v>46286.58283900463</v>
      </c>
      <c r="R1366" s="46">
        <v>46310</v>
      </c>
      <c r="S1366" s="46">
        <v>46305</v>
      </c>
      <c r="T1366" s="51" t="s">
        <v>6119</v>
      </c>
      <c r="U1366" s="15"/>
      <c r="V1366" s="15"/>
      <c r="W1366" s="15"/>
      <c r="X1366" s="15"/>
      <c r="Y1366" s="15"/>
      <c r="Z1366" s="15"/>
      <c r="AA1366" s="46"/>
      <c r="AB1366" s="15"/>
      <c r="AC1366" s="15"/>
      <c r="AD1366" s="15"/>
      <c r="AE1366" s="15"/>
      <c r="AF1366" s="15"/>
      <c r="AG1366" s="15"/>
      <c r="AH1366" s="15"/>
      <c r="AI1366" s="46"/>
      <c r="AJ1366" s="51" t="s">
        <v>67</v>
      </c>
      <c r="AK1366" s="51" t="s">
        <v>67</v>
      </c>
      <c r="AL1366" s="15"/>
      <c r="AM1366" s="51" t="s">
        <v>67</v>
      </c>
      <c r="AN1366" s="51" t="s">
        <v>67</v>
      </c>
      <c r="AO1366" s="50" t="s">
        <v>9554</v>
      </c>
    </row>
    <row r="1367" spans="1:41" hidden="1" x14ac:dyDescent="0.25">
      <c r="A1367" s="51" t="s">
        <v>7240</v>
      </c>
      <c r="B1367" s="51" t="s">
        <v>7241</v>
      </c>
      <c r="C1367" s="54" t="s">
        <v>5604</v>
      </c>
      <c r="D1367" s="51" t="s">
        <v>7242</v>
      </c>
      <c r="E1367" s="20">
        <v>10000</v>
      </c>
      <c r="F1367" s="20">
        <v>0</v>
      </c>
      <c r="G1367" s="20">
        <v>17337.599999999999</v>
      </c>
      <c r="H1367" s="20">
        <v>1289.24</v>
      </c>
      <c r="I1367" s="20">
        <v>552.03</v>
      </c>
      <c r="J1367" s="51" t="s">
        <v>6726</v>
      </c>
      <c r="K1367" s="15">
        <v>0</v>
      </c>
      <c r="L1367" s="51" t="s">
        <v>2371</v>
      </c>
      <c r="M1367" s="51" t="s">
        <v>67</v>
      </c>
      <c r="N1367" s="51" t="s">
        <v>67</v>
      </c>
      <c r="O1367" s="51" t="s">
        <v>7243</v>
      </c>
      <c r="P1367" s="51" t="s">
        <v>1340</v>
      </c>
      <c r="Q1367" s="45">
        <v>46286.582850381943</v>
      </c>
      <c r="R1367" s="46">
        <v>46313</v>
      </c>
      <c r="S1367" s="46">
        <v>46308</v>
      </c>
      <c r="T1367" s="51" t="s">
        <v>6119</v>
      </c>
      <c r="U1367" s="15"/>
      <c r="V1367" s="15"/>
      <c r="W1367" s="15"/>
      <c r="X1367" s="15"/>
      <c r="Y1367" s="15"/>
      <c r="Z1367" s="15"/>
      <c r="AA1367" s="46"/>
      <c r="AB1367" s="15"/>
      <c r="AC1367" s="15"/>
      <c r="AD1367" s="15"/>
      <c r="AE1367" s="15"/>
      <c r="AF1367" s="15"/>
      <c r="AG1367" s="15"/>
      <c r="AH1367" s="15"/>
      <c r="AI1367" s="46"/>
      <c r="AJ1367" s="51" t="s">
        <v>67</v>
      </c>
      <c r="AK1367" s="51" t="s">
        <v>67</v>
      </c>
      <c r="AL1367" s="15"/>
      <c r="AM1367" s="51" t="s">
        <v>67</v>
      </c>
      <c r="AN1367" s="51" t="s">
        <v>67</v>
      </c>
      <c r="AO1367" s="50" t="s">
        <v>9554</v>
      </c>
    </row>
    <row r="1368" spans="1:41" hidden="1" x14ac:dyDescent="0.25">
      <c r="A1368" s="51" t="s">
        <v>7244</v>
      </c>
      <c r="B1368" s="51" t="s">
        <v>7245</v>
      </c>
      <c r="C1368" s="54" t="s">
        <v>5598</v>
      </c>
      <c r="D1368" s="51" t="s">
        <v>7246</v>
      </c>
      <c r="E1368" s="20">
        <v>10000</v>
      </c>
      <c r="F1368" s="20">
        <v>0</v>
      </c>
      <c r="G1368" s="20">
        <v>12352.3</v>
      </c>
      <c r="H1368" s="20">
        <v>2222.34</v>
      </c>
      <c r="I1368" s="20">
        <v>455.49</v>
      </c>
      <c r="J1368" s="51" t="s">
        <v>6726</v>
      </c>
      <c r="K1368" s="15">
        <v>0</v>
      </c>
      <c r="L1368" s="51" t="s">
        <v>2371</v>
      </c>
      <c r="M1368" s="51" t="s">
        <v>7247</v>
      </c>
      <c r="N1368" s="51" t="s">
        <v>1340</v>
      </c>
      <c r="O1368" s="51" t="s">
        <v>67</v>
      </c>
      <c r="P1368" s="51" t="s">
        <v>67</v>
      </c>
      <c r="Q1368" s="45">
        <v>46286.58285885417</v>
      </c>
      <c r="R1368" s="46">
        <v>46318</v>
      </c>
      <c r="S1368" s="46">
        <v>46313</v>
      </c>
      <c r="T1368" s="51" t="s">
        <v>6119</v>
      </c>
      <c r="U1368" s="15"/>
      <c r="V1368" s="15"/>
      <c r="W1368" s="15"/>
      <c r="X1368" s="15"/>
      <c r="Y1368" s="15"/>
      <c r="Z1368" s="15"/>
      <c r="AA1368" s="46"/>
      <c r="AB1368" s="15"/>
      <c r="AC1368" s="15"/>
      <c r="AD1368" s="15"/>
      <c r="AE1368" s="15"/>
      <c r="AF1368" s="15"/>
      <c r="AG1368" s="15"/>
      <c r="AH1368" s="15"/>
      <c r="AI1368" s="46"/>
      <c r="AJ1368" s="51" t="s">
        <v>67</v>
      </c>
      <c r="AK1368" s="51" t="s">
        <v>67</v>
      </c>
      <c r="AL1368" s="15"/>
      <c r="AM1368" s="51" t="s">
        <v>67</v>
      </c>
      <c r="AN1368" s="51" t="s">
        <v>67</v>
      </c>
      <c r="AO1368" s="50" t="s">
        <v>9554</v>
      </c>
    </row>
    <row r="1369" spans="1:41" hidden="1" x14ac:dyDescent="0.25">
      <c r="A1369" s="51" t="s">
        <v>7248</v>
      </c>
      <c r="B1369" s="51" t="s">
        <v>7249</v>
      </c>
      <c r="C1369" s="54" t="s">
        <v>5599</v>
      </c>
      <c r="D1369" s="51" t="s">
        <v>7250</v>
      </c>
      <c r="E1369" s="20">
        <v>10000</v>
      </c>
      <c r="F1369" s="20">
        <v>0</v>
      </c>
      <c r="G1369" s="20">
        <v>17365.05</v>
      </c>
      <c r="H1369" s="20">
        <v>10674.98</v>
      </c>
      <c r="I1369" s="20">
        <v>588.78</v>
      </c>
      <c r="J1369" s="51" t="s">
        <v>6726</v>
      </c>
      <c r="K1369" s="15">
        <v>0</v>
      </c>
      <c r="L1369" s="51" t="s">
        <v>2371</v>
      </c>
      <c r="M1369" s="51" t="s">
        <v>67</v>
      </c>
      <c r="N1369" s="51" t="s">
        <v>67</v>
      </c>
      <c r="O1369" s="51" t="s">
        <v>7251</v>
      </c>
      <c r="P1369" s="51" t="s">
        <v>1344</v>
      </c>
      <c r="Q1369" s="45">
        <v>46286.582866018522</v>
      </c>
      <c r="R1369" s="46">
        <v>46302</v>
      </c>
      <c r="S1369" s="46">
        <v>46297</v>
      </c>
      <c r="T1369" s="51" t="s">
        <v>6119</v>
      </c>
      <c r="U1369" s="15"/>
      <c r="V1369" s="15"/>
      <c r="W1369" s="15"/>
      <c r="X1369" s="15"/>
      <c r="Y1369" s="15"/>
      <c r="Z1369" s="15"/>
      <c r="AA1369" s="46"/>
      <c r="AB1369" s="15"/>
      <c r="AC1369" s="15"/>
      <c r="AD1369" s="15"/>
      <c r="AE1369" s="15"/>
      <c r="AF1369" s="15"/>
      <c r="AG1369" s="15"/>
      <c r="AH1369" s="15"/>
      <c r="AI1369" s="46"/>
      <c r="AJ1369" s="51" t="s">
        <v>67</v>
      </c>
      <c r="AK1369" s="51" t="s">
        <v>67</v>
      </c>
      <c r="AL1369" s="15"/>
      <c r="AM1369" s="51" t="s">
        <v>67</v>
      </c>
      <c r="AN1369" s="51" t="s">
        <v>67</v>
      </c>
      <c r="AO1369" s="50" t="s">
        <v>9554</v>
      </c>
    </row>
    <row r="1370" spans="1:41" hidden="1" x14ac:dyDescent="0.25">
      <c r="A1370" s="51" t="s">
        <v>7252</v>
      </c>
      <c r="B1370" s="51" t="s">
        <v>7253</v>
      </c>
      <c r="C1370" s="54" t="s">
        <v>2693</v>
      </c>
      <c r="D1370" s="51" t="s">
        <v>7254</v>
      </c>
      <c r="E1370" s="20">
        <v>10000</v>
      </c>
      <c r="F1370" s="20">
        <v>0</v>
      </c>
      <c r="G1370" s="20">
        <v>16207.51</v>
      </c>
      <c r="H1370" s="20">
        <v>7619.48</v>
      </c>
      <c r="I1370" s="20">
        <v>457.91</v>
      </c>
      <c r="J1370" s="51" t="s">
        <v>6726</v>
      </c>
      <c r="K1370" s="15">
        <v>0</v>
      </c>
      <c r="L1370" s="51" t="s">
        <v>2371</v>
      </c>
      <c r="M1370" s="51" t="s">
        <v>7255</v>
      </c>
      <c r="N1370" s="51" t="s">
        <v>1340</v>
      </c>
      <c r="O1370" s="51" t="s">
        <v>67</v>
      </c>
      <c r="P1370" s="51" t="s">
        <v>67</v>
      </c>
      <c r="Q1370" s="45">
        <v>46286.582872881947</v>
      </c>
      <c r="R1370" s="46">
        <v>46314</v>
      </c>
      <c r="S1370" s="46">
        <v>46309</v>
      </c>
      <c r="T1370" s="51" t="s">
        <v>6119</v>
      </c>
      <c r="U1370" s="15"/>
      <c r="V1370" s="15"/>
      <c r="W1370" s="15"/>
      <c r="X1370" s="15"/>
      <c r="Y1370" s="15"/>
      <c r="Z1370" s="15"/>
      <c r="AA1370" s="46"/>
      <c r="AB1370" s="15"/>
      <c r="AC1370" s="15"/>
      <c r="AD1370" s="15"/>
      <c r="AE1370" s="15"/>
      <c r="AF1370" s="15"/>
      <c r="AG1370" s="15"/>
      <c r="AH1370" s="15"/>
      <c r="AI1370" s="46"/>
      <c r="AJ1370" s="51" t="s">
        <v>67</v>
      </c>
      <c r="AK1370" s="51" t="s">
        <v>67</v>
      </c>
      <c r="AL1370" s="15"/>
      <c r="AM1370" s="51" t="s">
        <v>67</v>
      </c>
      <c r="AN1370" s="51" t="s">
        <v>67</v>
      </c>
      <c r="AO1370" s="50" t="s">
        <v>9554</v>
      </c>
    </row>
    <row r="1371" spans="1:41" hidden="1" x14ac:dyDescent="0.25">
      <c r="A1371" s="51" t="s">
        <v>7256</v>
      </c>
      <c r="B1371" s="51" t="s">
        <v>7257</v>
      </c>
      <c r="C1371" s="54" t="s">
        <v>2689</v>
      </c>
      <c r="D1371" s="51" t="s">
        <v>7258</v>
      </c>
      <c r="E1371" s="20">
        <v>10000</v>
      </c>
      <c r="F1371" s="20">
        <v>0</v>
      </c>
      <c r="G1371" s="20">
        <v>10242.950000000001</v>
      </c>
      <c r="H1371" s="20">
        <v>1896.17</v>
      </c>
      <c r="I1371" s="20">
        <v>349.95</v>
      </c>
      <c r="J1371" s="51" t="s">
        <v>6726</v>
      </c>
      <c r="K1371" s="15">
        <v>0</v>
      </c>
      <c r="L1371" s="51" t="s">
        <v>2371</v>
      </c>
      <c r="M1371" s="51" t="s">
        <v>7259</v>
      </c>
      <c r="N1371" s="51" t="s">
        <v>1340</v>
      </c>
      <c r="O1371" s="51" t="s">
        <v>67</v>
      </c>
      <c r="P1371" s="51" t="s">
        <v>67</v>
      </c>
      <c r="Q1371" s="45">
        <v>46286.58288065972</v>
      </c>
      <c r="R1371" s="46">
        <v>46317</v>
      </c>
      <c r="S1371" s="46">
        <v>46312</v>
      </c>
      <c r="T1371" s="51" t="s">
        <v>6119</v>
      </c>
      <c r="U1371" s="15"/>
      <c r="V1371" s="15"/>
      <c r="W1371" s="15"/>
      <c r="X1371" s="15"/>
      <c r="Y1371" s="15"/>
      <c r="Z1371" s="15"/>
      <c r="AA1371" s="46"/>
      <c r="AB1371" s="15"/>
      <c r="AC1371" s="15"/>
      <c r="AD1371" s="15"/>
      <c r="AE1371" s="15"/>
      <c r="AF1371" s="15"/>
      <c r="AG1371" s="15"/>
      <c r="AH1371" s="15"/>
      <c r="AI1371" s="46"/>
      <c r="AJ1371" s="51" t="s">
        <v>67</v>
      </c>
      <c r="AK1371" s="51" t="s">
        <v>67</v>
      </c>
      <c r="AL1371" s="15"/>
      <c r="AM1371" s="51" t="s">
        <v>67</v>
      </c>
      <c r="AN1371" s="51" t="s">
        <v>67</v>
      </c>
      <c r="AO1371" s="50" t="s">
        <v>9554</v>
      </c>
    </row>
    <row r="1372" spans="1:41" hidden="1" x14ac:dyDescent="0.25">
      <c r="A1372" s="51" t="s">
        <v>7260</v>
      </c>
      <c r="B1372" s="51" t="s">
        <v>7261</v>
      </c>
      <c r="C1372" s="54" t="s">
        <v>5606</v>
      </c>
      <c r="D1372" s="51" t="s">
        <v>6632</v>
      </c>
      <c r="E1372" s="20">
        <v>10000</v>
      </c>
      <c r="F1372" s="20">
        <v>0</v>
      </c>
      <c r="G1372" s="20">
        <v>9801.61</v>
      </c>
      <c r="H1372" s="20">
        <v>1414.55</v>
      </c>
      <c r="I1372" s="20">
        <v>594.16</v>
      </c>
      <c r="J1372" s="51" t="s">
        <v>6726</v>
      </c>
      <c r="K1372" s="15">
        <v>0</v>
      </c>
      <c r="L1372" s="51" t="s">
        <v>2371</v>
      </c>
      <c r="M1372" s="51" t="s">
        <v>67</v>
      </c>
      <c r="N1372" s="51" t="s">
        <v>67</v>
      </c>
      <c r="O1372" s="51" t="s">
        <v>7262</v>
      </c>
      <c r="P1372" s="51" t="s">
        <v>1344</v>
      </c>
      <c r="Q1372" s="45">
        <v>46286.582888773148</v>
      </c>
      <c r="R1372" s="46">
        <v>46297</v>
      </c>
      <c r="S1372" s="46">
        <v>46292</v>
      </c>
      <c r="T1372" s="51" t="s">
        <v>6119</v>
      </c>
      <c r="U1372" s="15"/>
      <c r="V1372" s="15"/>
      <c r="W1372" s="15"/>
      <c r="X1372" s="15"/>
      <c r="Y1372" s="15"/>
      <c r="Z1372" s="15"/>
      <c r="AA1372" s="46"/>
      <c r="AB1372" s="15"/>
      <c r="AC1372" s="15"/>
      <c r="AD1372" s="15"/>
      <c r="AE1372" s="15"/>
      <c r="AF1372" s="15"/>
      <c r="AG1372" s="15"/>
      <c r="AH1372" s="15"/>
      <c r="AI1372" s="46"/>
      <c r="AJ1372" s="51" t="s">
        <v>67</v>
      </c>
      <c r="AK1372" s="51" t="s">
        <v>67</v>
      </c>
      <c r="AL1372" s="15"/>
      <c r="AM1372" s="51" t="s">
        <v>67</v>
      </c>
      <c r="AN1372" s="51" t="s">
        <v>67</v>
      </c>
      <c r="AO1372" s="50" t="s">
        <v>9554</v>
      </c>
    </row>
    <row r="1373" spans="1:41" hidden="1" x14ac:dyDescent="0.25">
      <c r="A1373" s="51" t="s">
        <v>7263</v>
      </c>
      <c r="B1373" s="51" t="s">
        <v>7264</v>
      </c>
      <c r="C1373" s="54" t="s">
        <v>5606</v>
      </c>
      <c r="D1373" s="51" t="s">
        <v>7265</v>
      </c>
      <c r="E1373" s="20">
        <v>10000</v>
      </c>
      <c r="F1373" s="20">
        <v>0</v>
      </c>
      <c r="G1373" s="20">
        <v>9728.2800000000007</v>
      </c>
      <c r="H1373" s="20">
        <v>1075.04</v>
      </c>
      <c r="I1373" s="20">
        <v>464.2</v>
      </c>
      <c r="J1373" s="51" t="s">
        <v>6726</v>
      </c>
      <c r="K1373" s="15">
        <v>0</v>
      </c>
      <c r="L1373" s="51" t="s">
        <v>2371</v>
      </c>
      <c r="M1373" s="51" t="s">
        <v>7266</v>
      </c>
      <c r="N1373" s="51" t="s">
        <v>1344</v>
      </c>
      <c r="O1373" s="51" t="s">
        <v>67</v>
      </c>
      <c r="P1373" s="51" t="s">
        <v>67</v>
      </c>
      <c r="Q1373" s="45">
        <v>46286.582896250002</v>
      </c>
      <c r="R1373" s="46">
        <v>46297</v>
      </c>
      <c r="S1373" s="46">
        <v>46292</v>
      </c>
      <c r="T1373" s="51" t="s">
        <v>6119</v>
      </c>
      <c r="U1373" s="15"/>
      <c r="V1373" s="15"/>
      <c r="W1373" s="15"/>
      <c r="X1373" s="15"/>
      <c r="Y1373" s="15"/>
      <c r="Z1373" s="15"/>
      <c r="AA1373" s="46"/>
      <c r="AB1373" s="15"/>
      <c r="AC1373" s="15"/>
      <c r="AD1373" s="15"/>
      <c r="AE1373" s="15"/>
      <c r="AF1373" s="15"/>
      <c r="AG1373" s="15"/>
      <c r="AH1373" s="15"/>
      <c r="AI1373" s="46"/>
      <c r="AJ1373" s="51" t="s">
        <v>67</v>
      </c>
      <c r="AK1373" s="51" t="s">
        <v>67</v>
      </c>
      <c r="AL1373" s="15"/>
      <c r="AM1373" s="51" t="s">
        <v>67</v>
      </c>
      <c r="AN1373" s="51" t="s">
        <v>67</v>
      </c>
      <c r="AO1373" s="50" t="s">
        <v>9554</v>
      </c>
    </row>
    <row r="1374" spans="1:41" hidden="1" x14ac:dyDescent="0.25">
      <c r="A1374" s="51" t="s">
        <v>7267</v>
      </c>
      <c r="B1374" s="51" t="s">
        <v>7268</v>
      </c>
      <c r="C1374" s="54" t="s">
        <v>2356</v>
      </c>
      <c r="D1374" s="51" t="s">
        <v>7269</v>
      </c>
      <c r="E1374" s="20">
        <v>10000</v>
      </c>
      <c r="F1374" s="20">
        <v>0</v>
      </c>
      <c r="G1374" s="20">
        <v>6074.48</v>
      </c>
      <c r="H1374" s="20">
        <v>5043.17</v>
      </c>
      <c r="I1374" s="20">
        <v>340.32</v>
      </c>
      <c r="J1374" s="51" t="s">
        <v>6726</v>
      </c>
      <c r="K1374" s="15">
        <v>0</v>
      </c>
      <c r="L1374" s="51" t="s">
        <v>2371</v>
      </c>
      <c r="M1374" s="51" t="s">
        <v>7270</v>
      </c>
      <c r="N1374" s="51" t="s">
        <v>1344</v>
      </c>
      <c r="O1374" s="51" t="s">
        <v>7271</v>
      </c>
      <c r="P1374" s="51" t="s">
        <v>1344</v>
      </c>
      <c r="Q1374" s="45">
        <v>46286.582904143521</v>
      </c>
      <c r="R1374" s="46">
        <v>46307</v>
      </c>
      <c r="S1374" s="46">
        <v>46302</v>
      </c>
      <c r="T1374" s="51" t="s">
        <v>6119</v>
      </c>
      <c r="U1374" s="15"/>
      <c r="V1374" s="15"/>
      <c r="W1374" s="15"/>
      <c r="X1374" s="15"/>
      <c r="Y1374" s="15"/>
      <c r="Z1374" s="15"/>
      <c r="AA1374" s="46"/>
      <c r="AB1374" s="15"/>
      <c r="AC1374" s="15"/>
      <c r="AD1374" s="15"/>
      <c r="AE1374" s="15"/>
      <c r="AF1374" s="15"/>
      <c r="AG1374" s="15"/>
      <c r="AH1374" s="15"/>
      <c r="AI1374" s="46"/>
      <c r="AJ1374" s="51" t="s">
        <v>67</v>
      </c>
      <c r="AK1374" s="51" t="s">
        <v>67</v>
      </c>
      <c r="AL1374" s="15"/>
      <c r="AM1374" s="51" t="s">
        <v>67</v>
      </c>
      <c r="AN1374" s="51" t="s">
        <v>67</v>
      </c>
      <c r="AO1374" s="50" t="s">
        <v>9554</v>
      </c>
    </row>
    <row r="1375" spans="1:41" hidden="1" x14ac:dyDescent="0.25">
      <c r="A1375" s="51" t="s">
        <v>7272</v>
      </c>
      <c r="B1375" s="51" t="s">
        <v>7273</v>
      </c>
      <c r="C1375" s="54" t="s">
        <v>5599</v>
      </c>
      <c r="D1375" s="51" t="s">
        <v>7274</v>
      </c>
      <c r="E1375" s="20">
        <v>10000</v>
      </c>
      <c r="F1375" s="20">
        <v>0</v>
      </c>
      <c r="G1375" s="20">
        <v>5644.28</v>
      </c>
      <c r="H1375" s="20">
        <v>1744.1</v>
      </c>
      <c r="I1375" s="20">
        <v>308.85000000000002</v>
      </c>
      <c r="J1375" s="51" t="s">
        <v>6726</v>
      </c>
      <c r="K1375" s="15">
        <v>0</v>
      </c>
      <c r="L1375" s="51" t="s">
        <v>2371</v>
      </c>
      <c r="M1375" s="51" t="s">
        <v>67</v>
      </c>
      <c r="N1375" s="51" t="s">
        <v>67</v>
      </c>
      <c r="O1375" s="51" t="s">
        <v>7275</v>
      </c>
      <c r="P1375" s="51" t="s">
        <v>1340</v>
      </c>
      <c r="Q1375" s="45">
        <v>46286.582913460647</v>
      </c>
      <c r="R1375" s="46">
        <v>46302</v>
      </c>
      <c r="S1375" s="46">
        <v>46297</v>
      </c>
      <c r="T1375" s="51" t="s">
        <v>6119</v>
      </c>
      <c r="U1375" s="15"/>
      <c r="V1375" s="15"/>
      <c r="W1375" s="15"/>
      <c r="X1375" s="15"/>
      <c r="Y1375" s="15"/>
      <c r="Z1375" s="15"/>
      <c r="AA1375" s="46"/>
      <c r="AB1375" s="15"/>
      <c r="AC1375" s="15"/>
      <c r="AD1375" s="15"/>
      <c r="AE1375" s="15"/>
      <c r="AF1375" s="15"/>
      <c r="AG1375" s="15"/>
      <c r="AH1375" s="15"/>
      <c r="AI1375" s="46"/>
      <c r="AJ1375" s="51" t="s">
        <v>67</v>
      </c>
      <c r="AK1375" s="51" t="s">
        <v>67</v>
      </c>
      <c r="AL1375" s="15"/>
      <c r="AM1375" s="51" t="s">
        <v>67</v>
      </c>
      <c r="AN1375" s="51" t="s">
        <v>67</v>
      </c>
      <c r="AO1375" s="50" t="s">
        <v>9554</v>
      </c>
    </row>
    <row r="1376" spans="1:41" hidden="1" x14ac:dyDescent="0.25">
      <c r="A1376" s="51" t="s">
        <v>7276</v>
      </c>
      <c r="B1376" s="51" t="s">
        <v>7277</v>
      </c>
      <c r="C1376" s="54" t="s">
        <v>2358</v>
      </c>
      <c r="D1376" s="51" t="s">
        <v>7278</v>
      </c>
      <c r="E1376" s="20">
        <v>10000</v>
      </c>
      <c r="F1376" s="20">
        <v>0</v>
      </c>
      <c r="G1376" s="20">
        <v>17723.849999999999</v>
      </c>
      <c r="H1376" s="20">
        <v>4178.59</v>
      </c>
      <c r="I1376" s="20">
        <v>321.7</v>
      </c>
      <c r="J1376" s="51" t="s">
        <v>6726</v>
      </c>
      <c r="K1376" s="15">
        <v>0</v>
      </c>
      <c r="L1376" s="51" t="s">
        <v>2371</v>
      </c>
      <c r="M1376" s="51" t="s">
        <v>7279</v>
      </c>
      <c r="N1376" s="51" t="s">
        <v>1340</v>
      </c>
      <c r="O1376" s="51" t="s">
        <v>67</v>
      </c>
      <c r="P1376" s="51" t="s">
        <v>67</v>
      </c>
      <c r="Q1376" s="45">
        <v>46286.582921377318</v>
      </c>
      <c r="R1376" s="46">
        <v>46309</v>
      </c>
      <c r="S1376" s="46">
        <v>46304</v>
      </c>
      <c r="T1376" s="51" t="s">
        <v>6119</v>
      </c>
      <c r="U1376" s="15"/>
      <c r="V1376" s="15"/>
      <c r="W1376" s="15"/>
      <c r="X1376" s="15"/>
      <c r="Y1376" s="15"/>
      <c r="Z1376" s="15"/>
      <c r="AA1376" s="46"/>
      <c r="AB1376" s="15"/>
      <c r="AC1376" s="15"/>
      <c r="AD1376" s="15"/>
      <c r="AE1376" s="15"/>
      <c r="AF1376" s="15"/>
      <c r="AG1376" s="15"/>
      <c r="AH1376" s="15"/>
      <c r="AI1376" s="46"/>
      <c r="AJ1376" s="51" t="s">
        <v>67</v>
      </c>
      <c r="AK1376" s="51" t="s">
        <v>67</v>
      </c>
      <c r="AL1376" s="15"/>
      <c r="AM1376" s="51" t="s">
        <v>67</v>
      </c>
      <c r="AN1376" s="51" t="s">
        <v>67</v>
      </c>
      <c r="AO1376" s="50" t="s">
        <v>9554</v>
      </c>
    </row>
    <row r="1377" spans="1:41" hidden="1" x14ac:dyDescent="0.25">
      <c r="A1377" s="51" t="s">
        <v>7280</v>
      </c>
      <c r="B1377" s="51" t="s">
        <v>7281</v>
      </c>
      <c r="C1377" s="54" t="s">
        <v>607</v>
      </c>
      <c r="D1377" s="51" t="s">
        <v>7282</v>
      </c>
      <c r="E1377" s="20">
        <v>10000</v>
      </c>
      <c r="F1377" s="20">
        <v>0</v>
      </c>
      <c r="G1377" s="20">
        <v>9121.8799999999992</v>
      </c>
      <c r="H1377" s="20">
        <v>1319.2</v>
      </c>
      <c r="I1377" s="20">
        <v>391.87</v>
      </c>
      <c r="J1377" s="51" t="s">
        <v>6726</v>
      </c>
      <c r="K1377" s="15">
        <v>0</v>
      </c>
      <c r="L1377" s="51" t="s">
        <v>2371</v>
      </c>
      <c r="M1377" s="51" t="s">
        <v>67</v>
      </c>
      <c r="N1377" s="51" t="s">
        <v>67</v>
      </c>
      <c r="O1377" s="51" t="s">
        <v>7283</v>
      </c>
      <c r="P1377" s="51" t="s">
        <v>1340</v>
      </c>
      <c r="Q1377" s="45">
        <v>46286.58293005787</v>
      </c>
      <c r="R1377" s="46">
        <v>46310</v>
      </c>
      <c r="S1377" s="46">
        <v>46305</v>
      </c>
      <c r="T1377" s="51" t="s">
        <v>6119</v>
      </c>
      <c r="U1377" s="15"/>
      <c r="V1377" s="15"/>
      <c r="W1377" s="15"/>
      <c r="X1377" s="15"/>
      <c r="Y1377" s="15"/>
      <c r="Z1377" s="15"/>
      <c r="AA1377" s="46"/>
      <c r="AB1377" s="15"/>
      <c r="AC1377" s="15"/>
      <c r="AD1377" s="15"/>
      <c r="AE1377" s="15"/>
      <c r="AF1377" s="15"/>
      <c r="AG1377" s="15"/>
      <c r="AH1377" s="15"/>
      <c r="AI1377" s="46"/>
      <c r="AJ1377" s="51" t="s">
        <v>67</v>
      </c>
      <c r="AK1377" s="51" t="s">
        <v>67</v>
      </c>
      <c r="AL1377" s="15"/>
      <c r="AM1377" s="51" t="s">
        <v>67</v>
      </c>
      <c r="AN1377" s="51" t="s">
        <v>67</v>
      </c>
      <c r="AO1377" s="50" t="s">
        <v>9554</v>
      </c>
    </row>
    <row r="1378" spans="1:41" hidden="1" x14ac:dyDescent="0.25">
      <c r="A1378" s="51" t="s">
        <v>7284</v>
      </c>
      <c r="B1378" s="51" t="s">
        <v>7285</v>
      </c>
      <c r="C1378" s="54" t="s">
        <v>5599</v>
      </c>
      <c r="D1378" s="51" t="s">
        <v>7286</v>
      </c>
      <c r="E1378" s="20">
        <v>10000</v>
      </c>
      <c r="F1378" s="20">
        <v>0</v>
      </c>
      <c r="G1378" s="20">
        <v>12765.04</v>
      </c>
      <c r="H1378" s="20">
        <v>1027.5999999999999</v>
      </c>
      <c r="I1378" s="20">
        <v>466.8</v>
      </c>
      <c r="J1378" s="51" t="s">
        <v>6726</v>
      </c>
      <c r="K1378" s="15">
        <v>0</v>
      </c>
      <c r="L1378" s="51" t="s">
        <v>2371</v>
      </c>
      <c r="M1378" s="51" t="s">
        <v>7287</v>
      </c>
      <c r="N1378" s="51" t="s">
        <v>1344</v>
      </c>
      <c r="O1378" s="51" t="s">
        <v>7288</v>
      </c>
      <c r="P1378" s="51" t="s">
        <v>1344</v>
      </c>
      <c r="Q1378" s="45">
        <v>46286.582939282409</v>
      </c>
      <c r="R1378" s="46">
        <v>46302</v>
      </c>
      <c r="S1378" s="46">
        <v>46297</v>
      </c>
      <c r="T1378" s="51" t="s">
        <v>6119</v>
      </c>
      <c r="U1378" s="15"/>
      <c r="V1378" s="15"/>
      <c r="W1378" s="15"/>
      <c r="X1378" s="15"/>
      <c r="Y1378" s="15"/>
      <c r="Z1378" s="15"/>
      <c r="AA1378" s="46"/>
      <c r="AB1378" s="15"/>
      <c r="AC1378" s="15"/>
      <c r="AD1378" s="15"/>
      <c r="AE1378" s="15"/>
      <c r="AF1378" s="15"/>
      <c r="AG1378" s="15"/>
      <c r="AH1378" s="15"/>
      <c r="AI1378" s="46"/>
      <c r="AJ1378" s="51" t="s">
        <v>67</v>
      </c>
      <c r="AK1378" s="51" t="s">
        <v>67</v>
      </c>
      <c r="AL1378" s="15"/>
      <c r="AM1378" s="51" t="s">
        <v>67</v>
      </c>
      <c r="AN1378" s="51" t="s">
        <v>67</v>
      </c>
      <c r="AO1378" s="50" t="s">
        <v>9554</v>
      </c>
    </row>
    <row r="1379" spans="1:41" hidden="1" x14ac:dyDescent="0.25">
      <c r="A1379" s="51" t="s">
        <v>7289</v>
      </c>
      <c r="B1379" s="51" t="s">
        <v>7290</v>
      </c>
      <c r="C1379" s="54" t="s">
        <v>5602</v>
      </c>
      <c r="D1379" s="51" t="s">
        <v>7291</v>
      </c>
      <c r="E1379" s="20">
        <v>10000</v>
      </c>
      <c r="F1379" s="20">
        <v>0</v>
      </c>
      <c r="G1379" s="20">
        <v>8137.02</v>
      </c>
      <c r="H1379" s="20">
        <v>1885.38</v>
      </c>
      <c r="I1379" s="20">
        <v>482.75</v>
      </c>
      <c r="J1379" s="51" t="s">
        <v>6726</v>
      </c>
      <c r="K1379" s="15">
        <v>0</v>
      </c>
      <c r="L1379" s="51" t="s">
        <v>2371</v>
      </c>
      <c r="M1379" s="51" t="s">
        <v>7292</v>
      </c>
      <c r="N1379" s="51" t="s">
        <v>1340</v>
      </c>
      <c r="O1379" s="51" t="s">
        <v>67</v>
      </c>
      <c r="P1379" s="51" t="s">
        <v>67</v>
      </c>
      <c r="Q1379" s="45">
        <v>46286.582949664349</v>
      </c>
      <c r="R1379" s="46">
        <v>46303</v>
      </c>
      <c r="S1379" s="46">
        <v>46298</v>
      </c>
      <c r="T1379" s="51" t="s">
        <v>6119</v>
      </c>
      <c r="U1379" s="15"/>
      <c r="V1379" s="15"/>
      <c r="W1379" s="15"/>
      <c r="X1379" s="15"/>
      <c r="Y1379" s="15"/>
      <c r="Z1379" s="15"/>
      <c r="AA1379" s="46"/>
      <c r="AB1379" s="15"/>
      <c r="AC1379" s="15"/>
      <c r="AD1379" s="15"/>
      <c r="AE1379" s="15"/>
      <c r="AF1379" s="15"/>
      <c r="AG1379" s="15"/>
      <c r="AH1379" s="15"/>
      <c r="AI1379" s="46"/>
      <c r="AJ1379" s="51" t="s">
        <v>67</v>
      </c>
      <c r="AK1379" s="51" t="s">
        <v>67</v>
      </c>
      <c r="AL1379" s="15"/>
      <c r="AM1379" s="51" t="s">
        <v>67</v>
      </c>
      <c r="AN1379" s="51" t="s">
        <v>67</v>
      </c>
      <c r="AO1379" s="50" t="s">
        <v>9554</v>
      </c>
    </row>
    <row r="1380" spans="1:41" hidden="1" x14ac:dyDescent="0.25">
      <c r="A1380" s="51" t="s">
        <v>7293</v>
      </c>
      <c r="B1380" s="51" t="s">
        <v>7294</v>
      </c>
      <c r="C1380" s="54" t="s">
        <v>611</v>
      </c>
      <c r="D1380" s="51" t="s">
        <v>7295</v>
      </c>
      <c r="E1380" s="20">
        <v>10000</v>
      </c>
      <c r="F1380" s="20">
        <v>0</v>
      </c>
      <c r="G1380" s="20">
        <v>16170.48</v>
      </c>
      <c r="H1380" s="20">
        <v>1509.84</v>
      </c>
      <c r="I1380" s="20">
        <v>474.69</v>
      </c>
      <c r="J1380" s="51" t="s">
        <v>6726</v>
      </c>
      <c r="K1380" s="15">
        <v>0</v>
      </c>
      <c r="L1380" s="51" t="s">
        <v>2371</v>
      </c>
      <c r="M1380" s="51" t="s">
        <v>67</v>
      </c>
      <c r="N1380" s="51" t="s">
        <v>67</v>
      </c>
      <c r="O1380" s="51" t="s">
        <v>7296</v>
      </c>
      <c r="P1380" s="51" t="s">
        <v>1340</v>
      </c>
      <c r="Q1380" s="45">
        <v>46286.582959722225</v>
      </c>
      <c r="R1380" s="46">
        <v>46320</v>
      </c>
      <c r="S1380" s="46">
        <v>46315</v>
      </c>
      <c r="T1380" s="51" t="s">
        <v>6119</v>
      </c>
      <c r="U1380" s="15"/>
      <c r="V1380" s="15"/>
      <c r="W1380" s="15"/>
      <c r="X1380" s="15"/>
      <c r="Y1380" s="15"/>
      <c r="Z1380" s="15"/>
      <c r="AA1380" s="46"/>
      <c r="AB1380" s="15"/>
      <c r="AC1380" s="15"/>
      <c r="AD1380" s="15"/>
      <c r="AE1380" s="15"/>
      <c r="AF1380" s="15"/>
      <c r="AG1380" s="15"/>
      <c r="AH1380" s="15"/>
      <c r="AI1380" s="46"/>
      <c r="AJ1380" s="51" t="s">
        <v>67</v>
      </c>
      <c r="AK1380" s="51" t="s">
        <v>67</v>
      </c>
      <c r="AL1380" s="15"/>
      <c r="AM1380" s="51" t="s">
        <v>67</v>
      </c>
      <c r="AN1380" s="51" t="s">
        <v>67</v>
      </c>
      <c r="AO1380" s="50" t="s">
        <v>9554</v>
      </c>
    </row>
    <row r="1381" spans="1:41" hidden="1" x14ac:dyDescent="0.25">
      <c r="A1381" s="51" t="s">
        <v>7297</v>
      </c>
      <c r="B1381" s="51" t="s">
        <v>7298</v>
      </c>
      <c r="C1381" s="54" t="s">
        <v>2345</v>
      </c>
      <c r="D1381" s="51" t="s">
        <v>7299</v>
      </c>
      <c r="E1381" s="20">
        <v>10000</v>
      </c>
      <c r="F1381" s="20">
        <v>0</v>
      </c>
      <c r="G1381" s="20">
        <v>3836.23</v>
      </c>
      <c r="H1381" s="20">
        <v>1615.72</v>
      </c>
      <c r="I1381" s="20">
        <v>549.29</v>
      </c>
      <c r="J1381" s="51" t="s">
        <v>6726</v>
      </c>
      <c r="K1381" s="15">
        <v>0</v>
      </c>
      <c r="L1381" s="51" t="s">
        <v>2371</v>
      </c>
      <c r="M1381" s="51" t="s">
        <v>67</v>
      </c>
      <c r="N1381" s="51" t="s">
        <v>67</v>
      </c>
      <c r="O1381" s="51" t="s">
        <v>7300</v>
      </c>
      <c r="P1381" s="51" t="s">
        <v>1340</v>
      </c>
      <c r="Q1381" s="45">
        <v>46286.582976458332</v>
      </c>
      <c r="R1381" s="46">
        <v>46306</v>
      </c>
      <c r="S1381" s="46">
        <v>46301</v>
      </c>
      <c r="T1381" s="51" t="s">
        <v>6119</v>
      </c>
      <c r="U1381" s="15"/>
      <c r="V1381" s="15"/>
      <c r="W1381" s="15"/>
      <c r="X1381" s="15"/>
      <c r="Y1381" s="15"/>
      <c r="Z1381" s="15"/>
      <c r="AA1381" s="46"/>
      <c r="AB1381" s="15"/>
      <c r="AC1381" s="15"/>
      <c r="AD1381" s="15"/>
      <c r="AE1381" s="15"/>
      <c r="AF1381" s="15"/>
      <c r="AG1381" s="15"/>
      <c r="AH1381" s="15"/>
      <c r="AI1381" s="46"/>
      <c r="AJ1381" s="51" t="s">
        <v>67</v>
      </c>
      <c r="AK1381" s="51" t="s">
        <v>67</v>
      </c>
      <c r="AL1381" s="15"/>
      <c r="AM1381" s="51" t="s">
        <v>67</v>
      </c>
      <c r="AN1381" s="51" t="s">
        <v>67</v>
      </c>
      <c r="AO1381" s="50" t="s">
        <v>9554</v>
      </c>
    </row>
    <row r="1382" spans="1:41" hidden="1" x14ac:dyDescent="0.25">
      <c r="A1382" s="51" t="s">
        <v>7301</v>
      </c>
      <c r="B1382" s="51" t="s">
        <v>7302</v>
      </c>
      <c r="C1382" s="54" t="s">
        <v>2694</v>
      </c>
      <c r="D1382" s="51" t="s">
        <v>7303</v>
      </c>
      <c r="E1382" s="20">
        <v>10000</v>
      </c>
      <c r="F1382" s="20">
        <v>0</v>
      </c>
      <c r="G1382" s="20">
        <v>8346.48</v>
      </c>
      <c r="H1382" s="20">
        <v>2676.62</v>
      </c>
      <c r="I1382" s="20">
        <v>386.99</v>
      </c>
      <c r="J1382" s="51" t="s">
        <v>6726</v>
      </c>
      <c r="K1382" s="15">
        <v>0</v>
      </c>
      <c r="L1382" s="51" t="s">
        <v>2371</v>
      </c>
      <c r="M1382" s="51" t="s">
        <v>67</v>
      </c>
      <c r="N1382" s="51" t="s">
        <v>67</v>
      </c>
      <c r="O1382" s="51" t="s">
        <v>7304</v>
      </c>
      <c r="P1382" s="51" t="s">
        <v>1340</v>
      </c>
      <c r="Q1382" s="45">
        <v>46286.582987939815</v>
      </c>
      <c r="R1382" s="46">
        <v>46312</v>
      </c>
      <c r="S1382" s="46">
        <v>46307</v>
      </c>
      <c r="T1382" s="51" t="s">
        <v>6119</v>
      </c>
      <c r="U1382" s="15"/>
      <c r="V1382" s="15"/>
      <c r="W1382" s="15"/>
      <c r="X1382" s="15"/>
      <c r="Y1382" s="15"/>
      <c r="Z1382" s="15"/>
      <c r="AA1382" s="46"/>
      <c r="AB1382" s="15"/>
      <c r="AC1382" s="15"/>
      <c r="AD1382" s="15"/>
      <c r="AE1382" s="15"/>
      <c r="AF1382" s="15"/>
      <c r="AG1382" s="15"/>
      <c r="AH1382" s="15"/>
      <c r="AI1382" s="46"/>
      <c r="AJ1382" s="51" t="s">
        <v>67</v>
      </c>
      <c r="AK1382" s="51" t="s">
        <v>67</v>
      </c>
      <c r="AL1382" s="15"/>
      <c r="AM1382" s="51" t="s">
        <v>67</v>
      </c>
      <c r="AN1382" s="51" t="s">
        <v>67</v>
      </c>
      <c r="AO1382" s="50" t="s">
        <v>9554</v>
      </c>
    </row>
    <row r="1383" spans="1:41" hidden="1" x14ac:dyDescent="0.25">
      <c r="A1383" s="51" t="s">
        <v>7305</v>
      </c>
      <c r="B1383" s="51" t="s">
        <v>7306</v>
      </c>
      <c r="C1383" s="54" t="s">
        <v>5607</v>
      </c>
      <c r="D1383" s="51" t="s">
        <v>7225</v>
      </c>
      <c r="E1383" s="20">
        <v>10000</v>
      </c>
      <c r="F1383" s="20">
        <v>0</v>
      </c>
      <c r="G1383" s="20">
        <v>20444.150000000001</v>
      </c>
      <c r="H1383" s="20">
        <v>5374.47</v>
      </c>
      <c r="I1383" s="20">
        <v>617.12</v>
      </c>
      <c r="J1383" s="51" t="s">
        <v>6726</v>
      </c>
      <c r="K1383" s="15">
        <v>0</v>
      </c>
      <c r="L1383" s="51" t="s">
        <v>2371</v>
      </c>
      <c r="M1383" s="51" t="s">
        <v>7307</v>
      </c>
      <c r="N1383" s="51" t="s">
        <v>1344</v>
      </c>
      <c r="O1383" s="51" t="s">
        <v>67</v>
      </c>
      <c r="P1383" s="51" t="s">
        <v>67</v>
      </c>
      <c r="Q1383" s="45">
        <v>46286.582995509256</v>
      </c>
      <c r="R1383" s="46">
        <v>46299</v>
      </c>
      <c r="S1383" s="46">
        <v>46294</v>
      </c>
      <c r="T1383" s="51" t="s">
        <v>6119</v>
      </c>
      <c r="U1383" s="15"/>
      <c r="V1383" s="15"/>
      <c r="W1383" s="15"/>
      <c r="X1383" s="15"/>
      <c r="Y1383" s="15"/>
      <c r="Z1383" s="15"/>
      <c r="AA1383" s="46"/>
      <c r="AB1383" s="15"/>
      <c r="AC1383" s="15"/>
      <c r="AD1383" s="15"/>
      <c r="AE1383" s="15"/>
      <c r="AF1383" s="15"/>
      <c r="AG1383" s="15"/>
      <c r="AH1383" s="15"/>
      <c r="AI1383" s="46"/>
      <c r="AJ1383" s="51" t="s">
        <v>67</v>
      </c>
      <c r="AK1383" s="51" t="s">
        <v>67</v>
      </c>
      <c r="AL1383" s="15"/>
      <c r="AM1383" s="51" t="s">
        <v>67</v>
      </c>
      <c r="AN1383" s="51" t="s">
        <v>67</v>
      </c>
      <c r="AO1383" s="50" t="s">
        <v>9554</v>
      </c>
    </row>
    <row r="1384" spans="1:41" hidden="1" x14ac:dyDescent="0.25">
      <c r="A1384" s="51" t="s">
        <v>7308</v>
      </c>
      <c r="B1384" s="51" t="s">
        <v>7309</v>
      </c>
      <c r="C1384" s="54" t="s">
        <v>2541</v>
      </c>
      <c r="D1384" s="51" t="s">
        <v>7310</v>
      </c>
      <c r="E1384" s="20">
        <v>10000</v>
      </c>
      <c r="F1384" s="20">
        <v>0</v>
      </c>
      <c r="G1384" s="20">
        <v>8642.26</v>
      </c>
      <c r="H1384" s="20">
        <v>1487.87</v>
      </c>
      <c r="I1384" s="20">
        <v>348.5</v>
      </c>
      <c r="J1384" s="51" t="s">
        <v>6726</v>
      </c>
      <c r="K1384" s="15">
        <v>0</v>
      </c>
      <c r="L1384" s="51" t="s">
        <v>2371</v>
      </c>
      <c r="M1384" s="51" t="s">
        <v>67</v>
      </c>
      <c r="N1384" s="51" t="s">
        <v>67</v>
      </c>
      <c r="O1384" s="51" t="s">
        <v>7311</v>
      </c>
      <c r="P1384" s="51" t="s">
        <v>1340</v>
      </c>
      <c r="Q1384" s="45">
        <v>46286.583002349536</v>
      </c>
      <c r="R1384" s="46">
        <v>46311</v>
      </c>
      <c r="S1384" s="46">
        <v>46306</v>
      </c>
      <c r="T1384" s="51" t="s">
        <v>6119</v>
      </c>
      <c r="U1384" s="15"/>
      <c r="V1384" s="15"/>
      <c r="W1384" s="15"/>
      <c r="X1384" s="15"/>
      <c r="Y1384" s="15"/>
      <c r="Z1384" s="15"/>
      <c r="AA1384" s="46"/>
      <c r="AB1384" s="15"/>
      <c r="AC1384" s="15"/>
      <c r="AD1384" s="15"/>
      <c r="AE1384" s="15"/>
      <c r="AF1384" s="15"/>
      <c r="AG1384" s="15"/>
      <c r="AH1384" s="15"/>
      <c r="AI1384" s="46"/>
      <c r="AJ1384" s="51" t="s">
        <v>67</v>
      </c>
      <c r="AK1384" s="51" t="s">
        <v>67</v>
      </c>
      <c r="AL1384" s="15"/>
      <c r="AM1384" s="51" t="s">
        <v>67</v>
      </c>
      <c r="AN1384" s="51" t="s">
        <v>67</v>
      </c>
      <c r="AO1384" s="50" t="s">
        <v>9554</v>
      </c>
    </row>
    <row r="1385" spans="1:41" hidden="1" x14ac:dyDescent="0.25">
      <c r="A1385" s="51" t="s">
        <v>7312</v>
      </c>
      <c r="B1385" s="51" t="s">
        <v>7313</v>
      </c>
      <c r="C1385" s="54" t="s">
        <v>5599</v>
      </c>
      <c r="D1385" s="51" t="s">
        <v>7314</v>
      </c>
      <c r="E1385" s="20">
        <v>10000</v>
      </c>
      <c r="F1385" s="20">
        <v>0</v>
      </c>
      <c r="G1385" s="20">
        <v>15706.74</v>
      </c>
      <c r="H1385" s="20">
        <v>6008.24</v>
      </c>
      <c r="I1385" s="20">
        <v>585.61</v>
      </c>
      <c r="J1385" s="51" t="s">
        <v>6726</v>
      </c>
      <c r="K1385" s="15">
        <v>0</v>
      </c>
      <c r="L1385" s="51" t="s">
        <v>2371</v>
      </c>
      <c r="M1385" s="51" t="s">
        <v>7315</v>
      </c>
      <c r="N1385" s="51" t="s">
        <v>1344</v>
      </c>
      <c r="O1385" s="51" t="s">
        <v>7316</v>
      </c>
      <c r="P1385" s="51" t="s">
        <v>1344</v>
      </c>
      <c r="Q1385" s="45">
        <v>46286.583008796297</v>
      </c>
      <c r="R1385" s="46">
        <v>46302</v>
      </c>
      <c r="S1385" s="46">
        <v>46297</v>
      </c>
      <c r="T1385" s="51" t="s">
        <v>6119</v>
      </c>
      <c r="U1385" s="15"/>
      <c r="V1385" s="15"/>
      <c r="W1385" s="15"/>
      <c r="X1385" s="15"/>
      <c r="Y1385" s="15"/>
      <c r="Z1385" s="15"/>
      <c r="AA1385" s="46"/>
      <c r="AB1385" s="15"/>
      <c r="AC1385" s="15"/>
      <c r="AD1385" s="15"/>
      <c r="AE1385" s="15"/>
      <c r="AF1385" s="15"/>
      <c r="AG1385" s="15"/>
      <c r="AH1385" s="15"/>
      <c r="AI1385" s="46"/>
      <c r="AJ1385" s="51" t="s">
        <v>67</v>
      </c>
      <c r="AK1385" s="51" t="s">
        <v>67</v>
      </c>
      <c r="AL1385" s="15"/>
      <c r="AM1385" s="51" t="s">
        <v>67</v>
      </c>
      <c r="AN1385" s="51" t="s">
        <v>67</v>
      </c>
      <c r="AO1385" s="50" t="s">
        <v>9554</v>
      </c>
    </row>
    <row r="1386" spans="1:41" hidden="1" x14ac:dyDescent="0.25">
      <c r="A1386" s="51" t="s">
        <v>7317</v>
      </c>
      <c r="B1386" s="51" t="s">
        <v>7318</v>
      </c>
      <c r="C1386" s="54" t="s">
        <v>2358</v>
      </c>
      <c r="D1386" s="51" t="s">
        <v>7319</v>
      </c>
      <c r="E1386" s="20">
        <v>10000</v>
      </c>
      <c r="F1386" s="20">
        <v>0</v>
      </c>
      <c r="G1386" s="20">
        <v>17304.11</v>
      </c>
      <c r="H1386" s="20">
        <v>3814.28</v>
      </c>
      <c r="I1386" s="20">
        <v>517.36</v>
      </c>
      <c r="J1386" s="51" t="s">
        <v>6726</v>
      </c>
      <c r="K1386" s="15">
        <v>0</v>
      </c>
      <c r="L1386" s="51" t="s">
        <v>2371</v>
      </c>
      <c r="M1386" s="51" t="s">
        <v>7320</v>
      </c>
      <c r="N1386" s="51" t="s">
        <v>1340</v>
      </c>
      <c r="O1386" s="51" t="s">
        <v>7321</v>
      </c>
      <c r="P1386" s="51" t="s">
        <v>1340</v>
      </c>
      <c r="Q1386" s="45">
        <v>46286.583015763892</v>
      </c>
      <c r="R1386" s="46">
        <v>46309</v>
      </c>
      <c r="S1386" s="46">
        <v>46304</v>
      </c>
      <c r="T1386" s="51" t="s">
        <v>6119</v>
      </c>
      <c r="U1386" s="15"/>
      <c r="V1386" s="15"/>
      <c r="W1386" s="15"/>
      <c r="X1386" s="15"/>
      <c r="Y1386" s="15"/>
      <c r="Z1386" s="15"/>
      <c r="AA1386" s="46"/>
      <c r="AB1386" s="15"/>
      <c r="AC1386" s="15"/>
      <c r="AD1386" s="15"/>
      <c r="AE1386" s="15"/>
      <c r="AF1386" s="15"/>
      <c r="AG1386" s="15"/>
      <c r="AH1386" s="15"/>
      <c r="AI1386" s="46"/>
      <c r="AJ1386" s="51" t="s">
        <v>67</v>
      </c>
      <c r="AK1386" s="51" t="s">
        <v>67</v>
      </c>
      <c r="AL1386" s="15"/>
      <c r="AM1386" s="51" t="s">
        <v>67</v>
      </c>
      <c r="AN1386" s="51" t="s">
        <v>67</v>
      </c>
      <c r="AO1386" s="50" t="s">
        <v>9554</v>
      </c>
    </row>
    <row r="1387" spans="1:41" hidden="1" x14ac:dyDescent="0.25">
      <c r="A1387" s="51" t="s">
        <v>7322</v>
      </c>
      <c r="B1387" s="51" t="s">
        <v>7323</v>
      </c>
      <c r="C1387" s="54" t="s">
        <v>5596</v>
      </c>
      <c r="D1387" s="51" t="s">
        <v>7324</v>
      </c>
      <c r="E1387" s="20">
        <v>10000</v>
      </c>
      <c r="F1387" s="20">
        <v>0</v>
      </c>
      <c r="G1387" s="20">
        <v>3307.91</v>
      </c>
      <c r="H1387" s="20">
        <v>1724.53</v>
      </c>
      <c r="I1387" s="20">
        <v>456.93</v>
      </c>
      <c r="J1387" s="51" t="s">
        <v>6726</v>
      </c>
      <c r="K1387" s="15">
        <v>0</v>
      </c>
      <c r="L1387" s="51" t="s">
        <v>2371</v>
      </c>
      <c r="M1387" s="51" t="s">
        <v>7325</v>
      </c>
      <c r="N1387" s="51" t="s">
        <v>1340</v>
      </c>
      <c r="O1387" s="51" t="s">
        <v>67</v>
      </c>
      <c r="P1387" s="51" t="s">
        <v>67</v>
      </c>
      <c r="Q1387" s="45">
        <v>46286.583023287036</v>
      </c>
      <c r="R1387" s="46">
        <v>46300</v>
      </c>
      <c r="S1387" s="46">
        <v>46295</v>
      </c>
      <c r="T1387" s="51" t="s">
        <v>6119</v>
      </c>
      <c r="U1387" s="15"/>
      <c r="V1387" s="15"/>
      <c r="W1387" s="15"/>
      <c r="X1387" s="15"/>
      <c r="Y1387" s="15"/>
      <c r="Z1387" s="15"/>
      <c r="AA1387" s="46"/>
      <c r="AB1387" s="15"/>
      <c r="AC1387" s="15"/>
      <c r="AD1387" s="15"/>
      <c r="AE1387" s="15"/>
      <c r="AF1387" s="15"/>
      <c r="AG1387" s="15"/>
      <c r="AH1387" s="15"/>
      <c r="AI1387" s="46"/>
      <c r="AJ1387" s="51" t="s">
        <v>67</v>
      </c>
      <c r="AK1387" s="51" t="s">
        <v>67</v>
      </c>
      <c r="AL1387" s="15"/>
      <c r="AM1387" s="51" t="s">
        <v>67</v>
      </c>
      <c r="AN1387" s="51" t="s">
        <v>67</v>
      </c>
      <c r="AO1387" s="50" t="s">
        <v>9554</v>
      </c>
    </row>
    <row r="1388" spans="1:41" hidden="1" x14ac:dyDescent="0.25">
      <c r="A1388" s="51" t="s">
        <v>7326</v>
      </c>
      <c r="B1388" s="51" t="s">
        <v>7327</v>
      </c>
      <c r="C1388" s="54" t="s">
        <v>608</v>
      </c>
      <c r="D1388" s="51" t="s">
        <v>7328</v>
      </c>
      <c r="E1388" s="20">
        <v>10000</v>
      </c>
      <c r="F1388" s="20">
        <v>0</v>
      </c>
      <c r="G1388" s="20">
        <v>2677.06</v>
      </c>
      <c r="H1388" s="20">
        <v>3197.74</v>
      </c>
      <c r="I1388" s="20">
        <v>544.20000000000005</v>
      </c>
      <c r="J1388" s="51" t="s">
        <v>6726</v>
      </c>
      <c r="K1388" s="15">
        <v>0</v>
      </c>
      <c r="L1388" s="51" t="s">
        <v>2371</v>
      </c>
      <c r="M1388" s="51" t="s">
        <v>7329</v>
      </c>
      <c r="N1388" s="51" t="s">
        <v>1340</v>
      </c>
      <c r="O1388" s="51" t="s">
        <v>67</v>
      </c>
      <c r="P1388" s="51" t="s">
        <v>67</v>
      </c>
      <c r="Q1388" s="45">
        <v>46286.583030231479</v>
      </c>
      <c r="R1388" s="46">
        <v>46315</v>
      </c>
      <c r="S1388" s="46">
        <v>46310</v>
      </c>
      <c r="T1388" s="51" t="s">
        <v>6119</v>
      </c>
      <c r="U1388" s="15"/>
      <c r="V1388" s="15"/>
      <c r="W1388" s="15"/>
      <c r="X1388" s="15"/>
      <c r="Y1388" s="15"/>
      <c r="Z1388" s="15"/>
      <c r="AA1388" s="46"/>
      <c r="AB1388" s="15"/>
      <c r="AC1388" s="15"/>
      <c r="AD1388" s="15"/>
      <c r="AE1388" s="15"/>
      <c r="AF1388" s="15"/>
      <c r="AG1388" s="15"/>
      <c r="AH1388" s="15"/>
      <c r="AI1388" s="46"/>
      <c r="AJ1388" s="51" t="s">
        <v>67</v>
      </c>
      <c r="AK1388" s="51" t="s">
        <v>67</v>
      </c>
      <c r="AL1388" s="15"/>
      <c r="AM1388" s="51" t="s">
        <v>67</v>
      </c>
      <c r="AN1388" s="51" t="s">
        <v>67</v>
      </c>
      <c r="AO1388" s="50" t="s">
        <v>9554</v>
      </c>
    </row>
    <row r="1389" spans="1:41" hidden="1" x14ac:dyDescent="0.25">
      <c r="A1389" s="51" t="s">
        <v>7330</v>
      </c>
      <c r="B1389" s="51" t="s">
        <v>7331</v>
      </c>
      <c r="C1389" s="54" t="s">
        <v>5599</v>
      </c>
      <c r="D1389" s="51" t="s">
        <v>7332</v>
      </c>
      <c r="E1389" s="20">
        <v>10000</v>
      </c>
      <c r="F1389" s="20">
        <v>0</v>
      </c>
      <c r="G1389" s="20">
        <v>4917.72</v>
      </c>
      <c r="H1389" s="20">
        <v>1558.6</v>
      </c>
      <c r="I1389" s="20">
        <v>415.03</v>
      </c>
      <c r="J1389" s="51" t="s">
        <v>6726</v>
      </c>
      <c r="K1389" s="15">
        <v>0</v>
      </c>
      <c r="L1389" s="51" t="s">
        <v>2371</v>
      </c>
      <c r="M1389" s="51" t="s">
        <v>67</v>
      </c>
      <c r="N1389" s="51" t="s">
        <v>67</v>
      </c>
      <c r="O1389" s="51" t="s">
        <v>7333</v>
      </c>
      <c r="P1389" s="51" t="s">
        <v>1344</v>
      </c>
      <c r="Q1389" s="45">
        <v>46286.583037268516</v>
      </c>
      <c r="R1389" s="46">
        <v>46302</v>
      </c>
      <c r="S1389" s="46">
        <v>46297</v>
      </c>
      <c r="T1389" s="51" t="s">
        <v>6119</v>
      </c>
      <c r="U1389" s="15"/>
      <c r="V1389" s="15"/>
      <c r="W1389" s="15"/>
      <c r="X1389" s="15"/>
      <c r="Y1389" s="15"/>
      <c r="Z1389" s="15"/>
      <c r="AA1389" s="46"/>
      <c r="AB1389" s="15"/>
      <c r="AC1389" s="15"/>
      <c r="AD1389" s="15"/>
      <c r="AE1389" s="15"/>
      <c r="AF1389" s="15"/>
      <c r="AG1389" s="15"/>
      <c r="AH1389" s="15"/>
      <c r="AI1389" s="46"/>
      <c r="AJ1389" s="51" t="s">
        <v>67</v>
      </c>
      <c r="AK1389" s="51" t="s">
        <v>67</v>
      </c>
      <c r="AL1389" s="15"/>
      <c r="AM1389" s="51" t="s">
        <v>67</v>
      </c>
      <c r="AN1389" s="51" t="s">
        <v>67</v>
      </c>
      <c r="AO1389" s="50" t="s">
        <v>9554</v>
      </c>
    </row>
    <row r="1390" spans="1:41" hidden="1" x14ac:dyDescent="0.25">
      <c r="A1390" s="51" t="s">
        <v>7334</v>
      </c>
      <c r="B1390" s="51" t="s">
        <v>7335</v>
      </c>
      <c r="C1390" s="54" t="s">
        <v>5598</v>
      </c>
      <c r="D1390" s="51" t="s">
        <v>7336</v>
      </c>
      <c r="E1390" s="20">
        <v>10000</v>
      </c>
      <c r="F1390" s="20">
        <v>0</v>
      </c>
      <c r="G1390" s="20">
        <v>6668.2</v>
      </c>
      <c r="H1390" s="20">
        <v>1420.77</v>
      </c>
      <c r="I1390" s="20">
        <v>577.54999999999995</v>
      </c>
      <c r="J1390" s="51" t="s">
        <v>6726</v>
      </c>
      <c r="K1390" s="15">
        <v>0</v>
      </c>
      <c r="L1390" s="51" t="s">
        <v>2371</v>
      </c>
      <c r="M1390" s="51" t="s">
        <v>7337</v>
      </c>
      <c r="N1390" s="51" t="s">
        <v>1340</v>
      </c>
      <c r="O1390" s="51" t="s">
        <v>7338</v>
      </c>
      <c r="P1390" s="51" t="s">
        <v>1340</v>
      </c>
      <c r="Q1390" s="45">
        <v>46286.5830440625</v>
      </c>
      <c r="R1390" s="46">
        <v>46318</v>
      </c>
      <c r="S1390" s="46">
        <v>46313</v>
      </c>
      <c r="T1390" s="51" t="s">
        <v>6119</v>
      </c>
      <c r="U1390" s="15"/>
      <c r="V1390" s="15"/>
      <c r="W1390" s="15"/>
      <c r="X1390" s="15"/>
      <c r="Y1390" s="15"/>
      <c r="Z1390" s="15"/>
      <c r="AA1390" s="46"/>
      <c r="AB1390" s="15"/>
      <c r="AC1390" s="15"/>
      <c r="AD1390" s="15"/>
      <c r="AE1390" s="15"/>
      <c r="AF1390" s="15"/>
      <c r="AG1390" s="15"/>
      <c r="AH1390" s="15"/>
      <c r="AI1390" s="46"/>
      <c r="AJ1390" s="51" t="s">
        <v>67</v>
      </c>
      <c r="AK1390" s="51" t="s">
        <v>67</v>
      </c>
      <c r="AL1390" s="15"/>
      <c r="AM1390" s="51" t="s">
        <v>67</v>
      </c>
      <c r="AN1390" s="51" t="s">
        <v>67</v>
      </c>
      <c r="AO1390" s="50" t="s">
        <v>9554</v>
      </c>
    </row>
    <row r="1391" spans="1:41" hidden="1" x14ac:dyDescent="0.25">
      <c r="A1391" s="51" t="s">
        <v>7339</v>
      </c>
      <c r="B1391" s="51" t="s">
        <v>7340</v>
      </c>
      <c r="C1391" s="54" t="s">
        <v>5601</v>
      </c>
      <c r="D1391" s="51" t="s">
        <v>7341</v>
      </c>
      <c r="E1391" s="20">
        <v>10000</v>
      </c>
      <c r="F1391" s="20">
        <v>0</v>
      </c>
      <c r="G1391" s="20">
        <v>12160.08</v>
      </c>
      <c r="H1391" s="20">
        <v>9042.8799999999992</v>
      </c>
      <c r="I1391" s="20">
        <v>358.96</v>
      </c>
      <c r="J1391" s="51" t="s">
        <v>6726</v>
      </c>
      <c r="K1391" s="15">
        <v>0</v>
      </c>
      <c r="L1391" s="51" t="s">
        <v>2371</v>
      </c>
      <c r="M1391" s="51" t="s">
        <v>7342</v>
      </c>
      <c r="N1391" s="51" t="s">
        <v>1340</v>
      </c>
      <c r="O1391" s="51" t="s">
        <v>7343</v>
      </c>
      <c r="P1391" s="51" t="s">
        <v>1340</v>
      </c>
      <c r="Q1391" s="45">
        <v>46286.583051400463</v>
      </c>
      <c r="R1391" s="46">
        <v>46316</v>
      </c>
      <c r="S1391" s="46">
        <v>46311</v>
      </c>
      <c r="T1391" s="51" t="s">
        <v>6119</v>
      </c>
      <c r="U1391" s="15"/>
      <c r="V1391" s="15"/>
      <c r="W1391" s="15"/>
      <c r="X1391" s="15"/>
      <c r="Y1391" s="15"/>
      <c r="Z1391" s="15"/>
      <c r="AA1391" s="46"/>
      <c r="AB1391" s="15"/>
      <c r="AC1391" s="15"/>
      <c r="AD1391" s="15"/>
      <c r="AE1391" s="15"/>
      <c r="AF1391" s="15"/>
      <c r="AG1391" s="15"/>
      <c r="AH1391" s="15"/>
      <c r="AI1391" s="46"/>
      <c r="AJ1391" s="51" t="s">
        <v>67</v>
      </c>
      <c r="AK1391" s="51" t="s">
        <v>67</v>
      </c>
      <c r="AL1391" s="15"/>
      <c r="AM1391" s="51" t="s">
        <v>67</v>
      </c>
      <c r="AN1391" s="51" t="s">
        <v>67</v>
      </c>
      <c r="AO1391" s="50" t="s">
        <v>9554</v>
      </c>
    </row>
    <row r="1392" spans="1:41" hidden="1" x14ac:dyDescent="0.25">
      <c r="A1392" s="51" t="s">
        <v>7344</v>
      </c>
      <c r="B1392" s="51" t="s">
        <v>7345</v>
      </c>
      <c r="C1392" s="54" t="s">
        <v>5606</v>
      </c>
      <c r="D1392" s="51" t="s">
        <v>7346</v>
      </c>
      <c r="E1392" s="20">
        <v>10000</v>
      </c>
      <c r="F1392" s="20">
        <v>0</v>
      </c>
      <c r="G1392" s="20">
        <v>4496.32</v>
      </c>
      <c r="H1392" s="20">
        <v>1477.19</v>
      </c>
      <c r="I1392" s="20">
        <v>619.44000000000005</v>
      </c>
      <c r="J1392" s="51" t="s">
        <v>6726</v>
      </c>
      <c r="K1392" s="15">
        <v>0</v>
      </c>
      <c r="L1392" s="51" t="s">
        <v>2371</v>
      </c>
      <c r="M1392" s="51" t="s">
        <v>7347</v>
      </c>
      <c r="N1392" s="51" t="s">
        <v>1340</v>
      </c>
      <c r="O1392" s="51" t="s">
        <v>7348</v>
      </c>
      <c r="P1392" s="51" t="s">
        <v>1340</v>
      </c>
      <c r="Q1392" s="45">
        <v>46286.583058564815</v>
      </c>
      <c r="R1392" s="46">
        <v>46297</v>
      </c>
      <c r="S1392" s="46">
        <v>46292</v>
      </c>
      <c r="T1392" s="51" t="s">
        <v>6119</v>
      </c>
      <c r="U1392" s="15"/>
      <c r="V1392" s="15"/>
      <c r="W1392" s="15"/>
      <c r="X1392" s="15"/>
      <c r="Y1392" s="15"/>
      <c r="Z1392" s="15"/>
      <c r="AA1392" s="46"/>
      <c r="AB1392" s="15"/>
      <c r="AC1392" s="15"/>
      <c r="AD1392" s="15"/>
      <c r="AE1392" s="15"/>
      <c r="AF1392" s="15"/>
      <c r="AG1392" s="15"/>
      <c r="AH1392" s="15"/>
      <c r="AI1392" s="46"/>
      <c r="AJ1392" s="51" t="s">
        <v>67</v>
      </c>
      <c r="AK1392" s="51" t="s">
        <v>67</v>
      </c>
      <c r="AL1392" s="15"/>
      <c r="AM1392" s="51" t="s">
        <v>67</v>
      </c>
      <c r="AN1392" s="51" t="s">
        <v>67</v>
      </c>
      <c r="AO1392" s="50" t="s">
        <v>9554</v>
      </c>
    </row>
    <row r="1393" spans="1:41" hidden="1" x14ac:dyDescent="0.25">
      <c r="A1393" s="51" t="s">
        <v>7349</v>
      </c>
      <c r="B1393" s="51" t="s">
        <v>7350</v>
      </c>
      <c r="C1393" s="54" t="s">
        <v>5604</v>
      </c>
      <c r="D1393" s="51" t="s">
        <v>7351</v>
      </c>
      <c r="E1393" s="20">
        <v>10000</v>
      </c>
      <c r="F1393" s="20">
        <v>0</v>
      </c>
      <c r="G1393" s="20">
        <v>3982.21</v>
      </c>
      <c r="H1393" s="20">
        <v>1282.0999999999999</v>
      </c>
      <c r="I1393" s="20">
        <v>276.7</v>
      </c>
      <c r="J1393" s="51" t="s">
        <v>6726</v>
      </c>
      <c r="K1393" s="15">
        <v>0</v>
      </c>
      <c r="L1393" s="51" t="s">
        <v>2371</v>
      </c>
      <c r="M1393" s="51" t="s">
        <v>7352</v>
      </c>
      <c r="N1393" s="51" t="s">
        <v>1340</v>
      </c>
      <c r="O1393" s="51" t="s">
        <v>67</v>
      </c>
      <c r="P1393" s="51" t="s">
        <v>67</v>
      </c>
      <c r="Q1393" s="45">
        <v>46286.583065567131</v>
      </c>
      <c r="R1393" s="46">
        <v>46313</v>
      </c>
      <c r="S1393" s="46">
        <v>46308</v>
      </c>
      <c r="T1393" s="51" t="s">
        <v>6119</v>
      </c>
      <c r="U1393" s="15"/>
      <c r="V1393" s="15"/>
      <c r="W1393" s="15"/>
      <c r="X1393" s="15"/>
      <c r="Y1393" s="15"/>
      <c r="Z1393" s="15"/>
      <c r="AA1393" s="46"/>
      <c r="AB1393" s="15"/>
      <c r="AC1393" s="15"/>
      <c r="AD1393" s="15"/>
      <c r="AE1393" s="15"/>
      <c r="AF1393" s="15"/>
      <c r="AG1393" s="15"/>
      <c r="AH1393" s="15"/>
      <c r="AI1393" s="46"/>
      <c r="AJ1393" s="51" t="s">
        <v>67</v>
      </c>
      <c r="AK1393" s="51" t="s">
        <v>67</v>
      </c>
      <c r="AL1393" s="15"/>
      <c r="AM1393" s="51" t="s">
        <v>67</v>
      </c>
      <c r="AN1393" s="51" t="s">
        <v>67</v>
      </c>
      <c r="AO1393" s="50" t="s">
        <v>9554</v>
      </c>
    </row>
    <row r="1394" spans="1:41" hidden="1" x14ac:dyDescent="0.25">
      <c r="A1394" s="51" t="s">
        <v>7353</v>
      </c>
      <c r="B1394" s="51" t="s">
        <v>7354</v>
      </c>
      <c r="C1394" s="54" t="s">
        <v>5596</v>
      </c>
      <c r="D1394" s="51" t="s">
        <v>7355</v>
      </c>
      <c r="E1394" s="20">
        <v>10000</v>
      </c>
      <c r="F1394" s="20">
        <v>0</v>
      </c>
      <c r="G1394" s="20">
        <v>19334.54</v>
      </c>
      <c r="H1394" s="20">
        <v>1467.6</v>
      </c>
      <c r="I1394" s="20">
        <v>299.61</v>
      </c>
      <c r="J1394" s="51" t="s">
        <v>6726</v>
      </c>
      <c r="K1394" s="15">
        <v>0</v>
      </c>
      <c r="L1394" s="51" t="s">
        <v>2371</v>
      </c>
      <c r="M1394" s="51" t="s">
        <v>67</v>
      </c>
      <c r="N1394" s="51" t="s">
        <v>67</v>
      </c>
      <c r="O1394" s="51" t="s">
        <v>7356</v>
      </c>
      <c r="P1394" s="51" t="s">
        <v>1340</v>
      </c>
      <c r="Q1394" s="45">
        <v>46286.58307296296</v>
      </c>
      <c r="R1394" s="46">
        <v>46300</v>
      </c>
      <c r="S1394" s="46">
        <v>46295</v>
      </c>
      <c r="T1394" s="51" t="s">
        <v>6119</v>
      </c>
      <c r="U1394" s="15"/>
      <c r="V1394" s="15"/>
      <c r="W1394" s="15"/>
      <c r="X1394" s="15"/>
      <c r="Y1394" s="15"/>
      <c r="Z1394" s="15"/>
      <c r="AA1394" s="46"/>
      <c r="AB1394" s="15"/>
      <c r="AC1394" s="15"/>
      <c r="AD1394" s="15"/>
      <c r="AE1394" s="15"/>
      <c r="AF1394" s="15"/>
      <c r="AG1394" s="15"/>
      <c r="AH1394" s="15"/>
      <c r="AI1394" s="46"/>
      <c r="AJ1394" s="51" t="s">
        <v>67</v>
      </c>
      <c r="AK1394" s="51" t="s">
        <v>67</v>
      </c>
      <c r="AL1394" s="15"/>
      <c r="AM1394" s="51" t="s">
        <v>67</v>
      </c>
      <c r="AN1394" s="51" t="s">
        <v>67</v>
      </c>
      <c r="AO1394" s="50" t="s">
        <v>9554</v>
      </c>
    </row>
    <row r="1395" spans="1:41" hidden="1" x14ac:dyDescent="0.25">
      <c r="A1395" s="51" t="s">
        <v>7357</v>
      </c>
      <c r="B1395" s="51" t="s">
        <v>7358</v>
      </c>
      <c r="C1395" s="54" t="s">
        <v>5599</v>
      </c>
      <c r="D1395" s="51" t="s">
        <v>7359</v>
      </c>
      <c r="E1395" s="20">
        <v>10000</v>
      </c>
      <c r="F1395" s="20">
        <v>0</v>
      </c>
      <c r="G1395" s="20">
        <v>9322.07</v>
      </c>
      <c r="H1395" s="20">
        <v>1837.19</v>
      </c>
      <c r="I1395" s="20">
        <v>452.17</v>
      </c>
      <c r="J1395" s="51" t="s">
        <v>6726</v>
      </c>
      <c r="K1395" s="15">
        <v>0</v>
      </c>
      <c r="L1395" s="51" t="s">
        <v>2371</v>
      </c>
      <c r="M1395" s="51" t="s">
        <v>7360</v>
      </c>
      <c r="N1395" s="51" t="s">
        <v>1340</v>
      </c>
      <c r="O1395" s="51" t="s">
        <v>67</v>
      </c>
      <c r="P1395" s="51" t="s">
        <v>67</v>
      </c>
      <c r="Q1395" s="45">
        <v>46286.583080810182</v>
      </c>
      <c r="R1395" s="46">
        <v>46302</v>
      </c>
      <c r="S1395" s="46">
        <v>46297</v>
      </c>
      <c r="T1395" s="51" t="s">
        <v>6119</v>
      </c>
      <c r="U1395" s="15"/>
      <c r="V1395" s="15"/>
      <c r="W1395" s="15"/>
      <c r="X1395" s="15"/>
      <c r="Y1395" s="15"/>
      <c r="Z1395" s="15"/>
      <c r="AA1395" s="46"/>
      <c r="AB1395" s="15"/>
      <c r="AC1395" s="15"/>
      <c r="AD1395" s="15"/>
      <c r="AE1395" s="15"/>
      <c r="AF1395" s="15"/>
      <c r="AG1395" s="15"/>
      <c r="AH1395" s="15"/>
      <c r="AI1395" s="46"/>
      <c r="AJ1395" s="51" t="s">
        <v>67</v>
      </c>
      <c r="AK1395" s="51" t="s">
        <v>67</v>
      </c>
      <c r="AL1395" s="15"/>
      <c r="AM1395" s="51" t="s">
        <v>67</v>
      </c>
      <c r="AN1395" s="51" t="s">
        <v>67</v>
      </c>
      <c r="AO1395" s="50" t="s">
        <v>9554</v>
      </c>
    </row>
    <row r="1396" spans="1:41" hidden="1" x14ac:dyDescent="0.25">
      <c r="A1396" s="51" t="s">
        <v>7361</v>
      </c>
      <c r="B1396" s="51" t="s">
        <v>7362</v>
      </c>
      <c r="C1396" s="54" t="s">
        <v>608</v>
      </c>
      <c r="D1396" s="51" t="s">
        <v>6653</v>
      </c>
      <c r="E1396" s="20">
        <v>10000</v>
      </c>
      <c r="F1396" s="20">
        <v>0</v>
      </c>
      <c r="G1396" s="20">
        <v>3219.89</v>
      </c>
      <c r="H1396" s="20">
        <v>2189.21</v>
      </c>
      <c r="I1396" s="20">
        <v>612.97</v>
      </c>
      <c r="J1396" s="51" t="s">
        <v>6726</v>
      </c>
      <c r="K1396" s="15">
        <v>0</v>
      </c>
      <c r="L1396" s="51" t="s">
        <v>2371</v>
      </c>
      <c r="M1396" s="51" t="s">
        <v>67</v>
      </c>
      <c r="N1396" s="51" t="s">
        <v>67</v>
      </c>
      <c r="O1396" s="51" t="s">
        <v>7363</v>
      </c>
      <c r="P1396" s="51" t="s">
        <v>1340</v>
      </c>
      <c r="Q1396" s="45">
        <v>46286.583088715277</v>
      </c>
      <c r="R1396" s="46">
        <v>46315</v>
      </c>
      <c r="S1396" s="46">
        <v>46310</v>
      </c>
      <c r="T1396" s="51" t="s">
        <v>6119</v>
      </c>
      <c r="U1396" s="15"/>
      <c r="V1396" s="15"/>
      <c r="W1396" s="15"/>
      <c r="X1396" s="15"/>
      <c r="Y1396" s="15"/>
      <c r="Z1396" s="15"/>
      <c r="AA1396" s="46"/>
      <c r="AB1396" s="15"/>
      <c r="AC1396" s="15"/>
      <c r="AD1396" s="15"/>
      <c r="AE1396" s="15"/>
      <c r="AF1396" s="15"/>
      <c r="AG1396" s="15"/>
      <c r="AH1396" s="15"/>
      <c r="AI1396" s="46"/>
      <c r="AJ1396" s="51" t="s">
        <v>67</v>
      </c>
      <c r="AK1396" s="51" t="s">
        <v>67</v>
      </c>
      <c r="AL1396" s="15"/>
      <c r="AM1396" s="51" t="s">
        <v>67</v>
      </c>
      <c r="AN1396" s="51" t="s">
        <v>67</v>
      </c>
      <c r="AO1396" s="50" t="s">
        <v>9554</v>
      </c>
    </row>
    <row r="1397" spans="1:41" hidden="1" x14ac:dyDescent="0.25">
      <c r="A1397" s="51" t="s">
        <v>7364</v>
      </c>
      <c r="B1397" s="51" t="s">
        <v>7365</v>
      </c>
      <c r="C1397" s="54" t="s">
        <v>2692</v>
      </c>
      <c r="D1397" s="51" t="s">
        <v>7366</v>
      </c>
      <c r="E1397" s="20">
        <v>10000</v>
      </c>
      <c r="F1397" s="20">
        <v>0</v>
      </c>
      <c r="G1397" s="20">
        <v>14863.76</v>
      </c>
      <c r="H1397" s="20">
        <v>1697.76</v>
      </c>
      <c r="I1397" s="20">
        <v>544.32000000000005</v>
      </c>
      <c r="J1397" s="51" t="s">
        <v>6726</v>
      </c>
      <c r="K1397" s="15">
        <v>0</v>
      </c>
      <c r="L1397" s="51" t="s">
        <v>2371</v>
      </c>
      <c r="M1397" s="51" t="s">
        <v>67</v>
      </c>
      <c r="N1397" s="51" t="s">
        <v>67</v>
      </c>
      <c r="O1397" s="51" t="s">
        <v>7367</v>
      </c>
      <c r="P1397" s="51" t="s">
        <v>1340</v>
      </c>
      <c r="Q1397" s="45">
        <v>46286.583095937502</v>
      </c>
      <c r="R1397" s="46">
        <v>46296</v>
      </c>
      <c r="S1397" s="46">
        <v>46291</v>
      </c>
      <c r="T1397" s="51" t="s">
        <v>6119</v>
      </c>
      <c r="U1397" s="15"/>
      <c r="V1397" s="15"/>
      <c r="W1397" s="15"/>
      <c r="X1397" s="15"/>
      <c r="Y1397" s="15"/>
      <c r="Z1397" s="15"/>
      <c r="AA1397" s="46"/>
      <c r="AB1397" s="15"/>
      <c r="AC1397" s="15"/>
      <c r="AD1397" s="15"/>
      <c r="AE1397" s="15"/>
      <c r="AF1397" s="15"/>
      <c r="AG1397" s="15"/>
      <c r="AH1397" s="15"/>
      <c r="AI1397" s="46"/>
      <c r="AJ1397" s="51" t="s">
        <v>67</v>
      </c>
      <c r="AK1397" s="51" t="s">
        <v>67</v>
      </c>
      <c r="AL1397" s="15"/>
      <c r="AM1397" s="51" t="s">
        <v>67</v>
      </c>
      <c r="AN1397" s="51" t="s">
        <v>67</v>
      </c>
      <c r="AO1397" s="50" t="s">
        <v>9554</v>
      </c>
    </row>
    <row r="1398" spans="1:41" hidden="1" x14ac:dyDescent="0.25">
      <c r="A1398" s="51" t="s">
        <v>7368</v>
      </c>
      <c r="B1398" s="51" t="s">
        <v>7369</v>
      </c>
      <c r="C1398" s="54" t="s">
        <v>2693</v>
      </c>
      <c r="D1398" s="51" t="s">
        <v>7370</v>
      </c>
      <c r="E1398" s="20">
        <v>10000</v>
      </c>
      <c r="F1398" s="20">
        <v>0</v>
      </c>
      <c r="G1398" s="20">
        <v>18456.02</v>
      </c>
      <c r="H1398" s="20">
        <v>3447.08</v>
      </c>
      <c r="I1398" s="20">
        <v>466.25</v>
      </c>
      <c r="J1398" s="51" t="s">
        <v>6726</v>
      </c>
      <c r="K1398" s="15">
        <v>0</v>
      </c>
      <c r="L1398" s="51" t="s">
        <v>2371</v>
      </c>
      <c r="M1398" s="51" t="s">
        <v>67</v>
      </c>
      <c r="N1398" s="51" t="s">
        <v>67</v>
      </c>
      <c r="O1398" s="51" t="s">
        <v>7371</v>
      </c>
      <c r="P1398" s="51" t="s">
        <v>1344</v>
      </c>
      <c r="Q1398" s="45">
        <v>46286.583103518518</v>
      </c>
      <c r="R1398" s="46">
        <v>46314</v>
      </c>
      <c r="S1398" s="46">
        <v>46309</v>
      </c>
      <c r="T1398" s="51" t="s">
        <v>6119</v>
      </c>
      <c r="U1398" s="15"/>
      <c r="V1398" s="15"/>
      <c r="W1398" s="15"/>
      <c r="X1398" s="15"/>
      <c r="Y1398" s="15"/>
      <c r="Z1398" s="15"/>
      <c r="AA1398" s="46"/>
      <c r="AB1398" s="15"/>
      <c r="AC1398" s="15"/>
      <c r="AD1398" s="15"/>
      <c r="AE1398" s="15"/>
      <c r="AF1398" s="15"/>
      <c r="AG1398" s="15"/>
      <c r="AH1398" s="15"/>
      <c r="AI1398" s="46"/>
      <c r="AJ1398" s="51" t="s">
        <v>67</v>
      </c>
      <c r="AK1398" s="51" t="s">
        <v>67</v>
      </c>
      <c r="AL1398" s="15"/>
      <c r="AM1398" s="51" t="s">
        <v>67</v>
      </c>
      <c r="AN1398" s="51" t="s">
        <v>67</v>
      </c>
      <c r="AO1398" s="50" t="s">
        <v>9554</v>
      </c>
    </row>
    <row r="1399" spans="1:41" hidden="1" x14ac:dyDescent="0.25">
      <c r="A1399" s="51" t="s">
        <v>7372</v>
      </c>
      <c r="B1399" s="51" t="s">
        <v>7373</v>
      </c>
      <c r="C1399" s="54" t="s">
        <v>2692</v>
      </c>
      <c r="D1399" s="51" t="s">
        <v>7374</v>
      </c>
      <c r="E1399" s="20">
        <v>10000</v>
      </c>
      <c r="F1399" s="20">
        <v>0</v>
      </c>
      <c r="G1399" s="20">
        <v>5083.8900000000003</v>
      </c>
      <c r="H1399" s="20">
        <v>2891.4</v>
      </c>
      <c r="I1399" s="20">
        <v>597.78</v>
      </c>
      <c r="J1399" s="51" t="s">
        <v>6726</v>
      </c>
      <c r="K1399" s="15">
        <v>0</v>
      </c>
      <c r="L1399" s="51" t="s">
        <v>2371</v>
      </c>
      <c r="M1399" s="51" t="s">
        <v>7375</v>
      </c>
      <c r="N1399" s="51" t="s">
        <v>1340</v>
      </c>
      <c r="O1399" s="51" t="s">
        <v>7376</v>
      </c>
      <c r="P1399" s="51" t="s">
        <v>1340</v>
      </c>
      <c r="Q1399" s="45">
        <v>46286.583111111111</v>
      </c>
      <c r="R1399" s="46">
        <v>46296</v>
      </c>
      <c r="S1399" s="46">
        <v>46291</v>
      </c>
      <c r="T1399" s="51" t="s">
        <v>6119</v>
      </c>
      <c r="U1399" s="15"/>
      <c r="V1399" s="15"/>
      <c r="W1399" s="15"/>
      <c r="X1399" s="15"/>
      <c r="Y1399" s="15"/>
      <c r="Z1399" s="15"/>
      <c r="AA1399" s="46"/>
      <c r="AB1399" s="15"/>
      <c r="AC1399" s="15"/>
      <c r="AD1399" s="15"/>
      <c r="AE1399" s="15"/>
      <c r="AF1399" s="15"/>
      <c r="AG1399" s="15"/>
      <c r="AH1399" s="15"/>
      <c r="AI1399" s="46"/>
      <c r="AJ1399" s="51" t="s">
        <v>67</v>
      </c>
      <c r="AK1399" s="51" t="s">
        <v>67</v>
      </c>
      <c r="AL1399" s="15"/>
      <c r="AM1399" s="51" t="s">
        <v>67</v>
      </c>
      <c r="AN1399" s="51" t="s">
        <v>67</v>
      </c>
      <c r="AO1399" s="50" t="s">
        <v>9554</v>
      </c>
    </row>
    <row r="1400" spans="1:41" hidden="1" x14ac:dyDescent="0.25">
      <c r="A1400" s="51" t="s">
        <v>7377</v>
      </c>
      <c r="B1400" s="51" t="s">
        <v>7378</v>
      </c>
      <c r="C1400" s="54" t="s">
        <v>607</v>
      </c>
      <c r="D1400" s="51" t="s">
        <v>7379</v>
      </c>
      <c r="E1400" s="20">
        <v>10000</v>
      </c>
      <c r="F1400" s="20">
        <v>0</v>
      </c>
      <c r="G1400" s="20">
        <v>4391.7</v>
      </c>
      <c r="H1400" s="20">
        <v>3048.55</v>
      </c>
      <c r="I1400" s="20">
        <v>486.16</v>
      </c>
      <c r="J1400" s="51" t="s">
        <v>6726</v>
      </c>
      <c r="K1400" s="15">
        <v>0</v>
      </c>
      <c r="L1400" s="51" t="s">
        <v>2371</v>
      </c>
      <c r="M1400" s="51" t="s">
        <v>67</v>
      </c>
      <c r="N1400" s="51" t="s">
        <v>67</v>
      </c>
      <c r="O1400" s="51" t="s">
        <v>7380</v>
      </c>
      <c r="P1400" s="51" t="s">
        <v>1340</v>
      </c>
      <c r="Q1400" s="45">
        <v>46286.583119039351</v>
      </c>
      <c r="R1400" s="46">
        <v>46310</v>
      </c>
      <c r="S1400" s="46">
        <v>46305</v>
      </c>
      <c r="T1400" s="51" t="s">
        <v>6119</v>
      </c>
      <c r="U1400" s="15"/>
      <c r="V1400" s="15"/>
      <c r="W1400" s="15"/>
      <c r="X1400" s="15"/>
      <c r="Y1400" s="15"/>
      <c r="Z1400" s="15"/>
      <c r="AA1400" s="46"/>
      <c r="AB1400" s="15"/>
      <c r="AC1400" s="15"/>
      <c r="AD1400" s="15"/>
      <c r="AE1400" s="15"/>
      <c r="AF1400" s="15"/>
      <c r="AG1400" s="15"/>
      <c r="AH1400" s="15"/>
      <c r="AI1400" s="46"/>
      <c r="AJ1400" s="51" t="s">
        <v>67</v>
      </c>
      <c r="AK1400" s="51" t="s">
        <v>67</v>
      </c>
      <c r="AL1400" s="15"/>
      <c r="AM1400" s="51" t="s">
        <v>67</v>
      </c>
      <c r="AN1400" s="51" t="s">
        <v>67</v>
      </c>
      <c r="AO1400" s="50" t="s">
        <v>9554</v>
      </c>
    </row>
    <row r="1401" spans="1:41" hidden="1" x14ac:dyDescent="0.25">
      <c r="A1401" s="51" t="s">
        <v>7381</v>
      </c>
      <c r="B1401" s="51" t="s">
        <v>7382</v>
      </c>
      <c r="C1401" s="54" t="s">
        <v>5603</v>
      </c>
      <c r="D1401" s="51" t="s">
        <v>7383</v>
      </c>
      <c r="E1401" s="20">
        <v>10000</v>
      </c>
      <c r="F1401" s="20">
        <v>0</v>
      </c>
      <c r="G1401" s="20">
        <v>17804.849999999999</v>
      </c>
      <c r="H1401" s="20">
        <v>1459.47</v>
      </c>
      <c r="I1401" s="20">
        <v>615.74</v>
      </c>
      <c r="J1401" s="51" t="s">
        <v>6726</v>
      </c>
      <c r="K1401" s="15">
        <v>0</v>
      </c>
      <c r="L1401" s="51" t="s">
        <v>2371</v>
      </c>
      <c r="M1401" s="51" t="s">
        <v>7384</v>
      </c>
      <c r="N1401" s="51" t="s">
        <v>1344</v>
      </c>
      <c r="O1401" s="51" t="s">
        <v>7385</v>
      </c>
      <c r="P1401" s="51" t="s">
        <v>1344</v>
      </c>
      <c r="Q1401" s="45">
        <v>46286.583126168982</v>
      </c>
      <c r="R1401" s="46">
        <v>46298</v>
      </c>
      <c r="S1401" s="46">
        <v>46293</v>
      </c>
      <c r="T1401" s="51" t="s">
        <v>6119</v>
      </c>
      <c r="U1401" s="15"/>
      <c r="V1401" s="15"/>
      <c r="W1401" s="15"/>
      <c r="X1401" s="15"/>
      <c r="Y1401" s="15"/>
      <c r="Z1401" s="15"/>
      <c r="AA1401" s="46"/>
      <c r="AB1401" s="15"/>
      <c r="AC1401" s="15"/>
      <c r="AD1401" s="15"/>
      <c r="AE1401" s="15"/>
      <c r="AF1401" s="15"/>
      <c r="AG1401" s="15"/>
      <c r="AH1401" s="15"/>
      <c r="AI1401" s="46"/>
      <c r="AJ1401" s="51" t="s">
        <v>67</v>
      </c>
      <c r="AK1401" s="51" t="s">
        <v>67</v>
      </c>
      <c r="AL1401" s="15"/>
      <c r="AM1401" s="51" t="s">
        <v>67</v>
      </c>
      <c r="AN1401" s="51" t="s">
        <v>67</v>
      </c>
      <c r="AO1401" s="50" t="s">
        <v>9554</v>
      </c>
    </row>
    <row r="1402" spans="1:41" hidden="1" x14ac:dyDescent="0.25">
      <c r="A1402" s="51" t="s">
        <v>7386</v>
      </c>
      <c r="B1402" s="51" t="s">
        <v>7415</v>
      </c>
      <c r="C1402" s="54" t="s">
        <v>2694</v>
      </c>
      <c r="D1402" s="51" t="s">
        <v>7416</v>
      </c>
      <c r="E1402" s="20">
        <v>10000</v>
      </c>
      <c r="F1402" s="20">
        <v>0</v>
      </c>
      <c r="G1402" s="20">
        <v>21492.35</v>
      </c>
      <c r="H1402" s="20">
        <v>1138.96</v>
      </c>
      <c r="I1402" s="20">
        <v>545.65</v>
      </c>
      <c r="J1402" s="51" t="s">
        <v>6726</v>
      </c>
      <c r="K1402" s="15">
        <v>0</v>
      </c>
      <c r="L1402" s="51" t="s">
        <v>2371</v>
      </c>
      <c r="M1402" s="51" t="s">
        <v>7417</v>
      </c>
      <c r="N1402" s="51" t="s">
        <v>1340</v>
      </c>
      <c r="O1402" s="51" t="s">
        <v>67</v>
      </c>
      <c r="P1402" s="51" t="s">
        <v>67</v>
      </c>
      <c r="Q1402" s="45">
        <v>46286.762549409723</v>
      </c>
      <c r="R1402" s="46">
        <v>46312</v>
      </c>
      <c r="S1402" s="46">
        <v>46307</v>
      </c>
      <c r="T1402" s="51" t="s">
        <v>6119</v>
      </c>
      <c r="U1402" s="15"/>
      <c r="V1402" s="15"/>
      <c r="W1402" s="15"/>
      <c r="X1402" s="15"/>
      <c r="Y1402" s="15"/>
      <c r="Z1402" s="15"/>
      <c r="AA1402" s="46"/>
      <c r="AB1402" s="15"/>
      <c r="AC1402" s="15"/>
      <c r="AD1402" s="15"/>
      <c r="AE1402" s="15"/>
      <c r="AF1402" s="15"/>
      <c r="AG1402" s="15"/>
      <c r="AH1402" s="15"/>
      <c r="AI1402" s="46"/>
      <c r="AJ1402" s="51" t="s">
        <v>67</v>
      </c>
      <c r="AK1402" s="51" t="s">
        <v>67</v>
      </c>
      <c r="AL1402" s="15"/>
      <c r="AM1402" s="51" t="s">
        <v>67</v>
      </c>
      <c r="AN1402" s="51" t="s">
        <v>67</v>
      </c>
      <c r="AO1402" s="50" t="s">
        <v>9554</v>
      </c>
    </row>
    <row r="1403" spans="1:41" hidden="1" x14ac:dyDescent="0.25">
      <c r="A1403" s="51" t="s">
        <v>7387</v>
      </c>
      <c r="B1403" s="51" t="s">
        <v>7418</v>
      </c>
      <c r="C1403" s="54" t="s">
        <v>5606</v>
      </c>
      <c r="D1403" s="51" t="s">
        <v>7419</v>
      </c>
      <c r="E1403" s="20">
        <v>10000</v>
      </c>
      <c r="F1403" s="20">
        <v>0</v>
      </c>
      <c r="G1403" s="20">
        <v>19696.64</v>
      </c>
      <c r="H1403" s="20">
        <v>2818.77</v>
      </c>
      <c r="I1403" s="20">
        <v>587.20000000000005</v>
      </c>
      <c r="J1403" s="51" t="s">
        <v>6726</v>
      </c>
      <c r="K1403" s="15">
        <v>0</v>
      </c>
      <c r="L1403" s="51" t="s">
        <v>2371</v>
      </c>
      <c r="M1403" s="51" t="s">
        <v>7420</v>
      </c>
      <c r="N1403" s="51" t="s">
        <v>1340</v>
      </c>
      <c r="O1403" s="51" t="s">
        <v>7421</v>
      </c>
      <c r="P1403" s="51" t="s">
        <v>1340</v>
      </c>
      <c r="Q1403" s="45">
        <v>46286.762560254632</v>
      </c>
      <c r="R1403" s="46">
        <v>46297</v>
      </c>
      <c r="S1403" s="46">
        <v>46292</v>
      </c>
      <c r="T1403" s="51" t="s">
        <v>6119</v>
      </c>
      <c r="U1403" s="15"/>
      <c r="V1403" s="15"/>
      <c r="W1403" s="15"/>
      <c r="X1403" s="15"/>
      <c r="Y1403" s="15"/>
      <c r="Z1403" s="15"/>
      <c r="AA1403" s="46"/>
      <c r="AB1403" s="15"/>
      <c r="AC1403" s="15"/>
      <c r="AD1403" s="15"/>
      <c r="AE1403" s="15"/>
      <c r="AF1403" s="15"/>
      <c r="AG1403" s="15"/>
      <c r="AH1403" s="15"/>
      <c r="AI1403" s="46"/>
      <c r="AJ1403" s="51" t="s">
        <v>67</v>
      </c>
      <c r="AK1403" s="51" t="s">
        <v>67</v>
      </c>
      <c r="AL1403" s="15"/>
      <c r="AM1403" s="51" t="s">
        <v>67</v>
      </c>
      <c r="AN1403" s="51" t="s">
        <v>67</v>
      </c>
      <c r="AO1403" s="50" t="s">
        <v>9554</v>
      </c>
    </row>
    <row r="1404" spans="1:41" hidden="1" x14ac:dyDescent="0.25">
      <c r="A1404" s="51" t="s">
        <v>7388</v>
      </c>
      <c r="B1404" s="51" t="s">
        <v>7422</v>
      </c>
      <c r="C1404" s="54" t="s">
        <v>2358</v>
      </c>
      <c r="D1404" s="51" t="s">
        <v>7423</v>
      </c>
      <c r="E1404" s="20">
        <v>10000</v>
      </c>
      <c r="F1404" s="20">
        <v>0</v>
      </c>
      <c r="G1404" s="20">
        <v>5574.79</v>
      </c>
      <c r="H1404" s="20">
        <v>1620.4</v>
      </c>
      <c r="I1404" s="20">
        <v>780.13</v>
      </c>
      <c r="J1404" s="51" t="s">
        <v>6726</v>
      </c>
      <c r="K1404" s="15">
        <v>0</v>
      </c>
      <c r="L1404" s="51" t="s">
        <v>2371</v>
      </c>
      <c r="M1404" s="51" t="s">
        <v>67</v>
      </c>
      <c r="N1404" s="51" t="s">
        <v>67</v>
      </c>
      <c r="O1404" s="51" t="s">
        <v>7424</v>
      </c>
      <c r="P1404" s="51" t="s">
        <v>1340</v>
      </c>
      <c r="Q1404" s="45">
        <v>46286.762571990737</v>
      </c>
      <c r="R1404" s="46">
        <v>46309</v>
      </c>
      <c r="S1404" s="46">
        <v>46304</v>
      </c>
      <c r="T1404" s="51" t="s">
        <v>6119</v>
      </c>
      <c r="U1404" s="15"/>
      <c r="V1404" s="15"/>
      <c r="W1404" s="15"/>
      <c r="X1404" s="15"/>
      <c r="Y1404" s="15"/>
      <c r="Z1404" s="15"/>
      <c r="AA1404" s="46"/>
      <c r="AB1404" s="15"/>
      <c r="AC1404" s="15"/>
      <c r="AD1404" s="15"/>
      <c r="AE1404" s="15"/>
      <c r="AF1404" s="15"/>
      <c r="AG1404" s="15"/>
      <c r="AH1404" s="15"/>
      <c r="AI1404" s="46"/>
      <c r="AJ1404" s="51" t="s">
        <v>67</v>
      </c>
      <c r="AK1404" s="51" t="s">
        <v>67</v>
      </c>
      <c r="AL1404" s="15"/>
      <c r="AM1404" s="51" t="s">
        <v>67</v>
      </c>
      <c r="AN1404" s="51" t="s">
        <v>67</v>
      </c>
      <c r="AO1404" s="50" t="s">
        <v>9554</v>
      </c>
    </row>
    <row r="1405" spans="1:41" hidden="1" x14ac:dyDescent="0.25">
      <c r="A1405" s="51" t="s">
        <v>7389</v>
      </c>
      <c r="B1405" s="51" t="s">
        <v>7425</v>
      </c>
      <c r="C1405" s="54" t="s">
        <v>2694</v>
      </c>
      <c r="D1405" s="51" t="s">
        <v>7426</v>
      </c>
      <c r="E1405" s="20">
        <v>10000</v>
      </c>
      <c r="F1405" s="20">
        <v>0</v>
      </c>
      <c r="G1405" s="20">
        <v>14703.63</v>
      </c>
      <c r="H1405" s="20">
        <v>1750.92</v>
      </c>
      <c r="I1405" s="20">
        <v>826.5</v>
      </c>
      <c r="J1405" s="51" t="s">
        <v>6726</v>
      </c>
      <c r="K1405" s="15">
        <v>0</v>
      </c>
      <c r="L1405" s="51" t="s">
        <v>2371</v>
      </c>
      <c r="M1405" s="51" t="s">
        <v>7427</v>
      </c>
      <c r="N1405" s="51" t="s">
        <v>1340</v>
      </c>
      <c r="O1405" s="51" t="s">
        <v>67</v>
      </c>
      <c r="P1405" s="51" t="s">
        <v>67</v>
      </c>
      <c r="Q1405" s="45">
        <v>46286.762597303241</v>
      </c>
      <c r="R1405" s="46">
        <v>46312</v>
      </c>
      <c r="S1405" s="46">
        <v>46307</v>
      </c>
      <c r="T1405" s="51" t="s">
        <v>6119</v>
      </c>
      <c r="U1405" s="15"/>
      <c r="V1405" s="15"/>
      <c r="W1405" s="15"/>
      <c r="X1405" s="15"/>
      <c r="Y1405" s="15"/>
      <c r="Z1405" s="15"/>
      <c r="AA1405" s="46"/>
      <c r="AB1405" s="15"/>
      <c r="AC1405" s="15"/>
      <c r="AD1405" s="15"/>
      <c r="AE1405" s="15"/>
      <c r="AF1405" s="15"/>
      <c r="AG1405" s="15"/>
      <c r="AH1405" s="15"/>
      <c r="AI1405" s="46"/>
      <c r="AJ1405" s="51" t="s">
        <v>67</v>
      </c>
      <c r="AK1405" s="51" t="s">
        <v>67</v>
      </c>
      <c r="AL1405" s="15"/>
      <c r="AM1405" s="51" t="s">
        <v>67</v>
      </c>
      <c r="AN1405" s="51" t="s">
        <v>67</v>
      </c>
      <c r="AO1405" s="50" t="s">
        <v>9554</v>
      </c>
    </row>
    <row r="1406" spans="1:41" hidden="1" x14ac:dyDescent="0.25">
      <c r="A1406" s="51" t="s">
        <v>7390</v>
      </c>
      <c r="B1406" s="51" t="s">
        <v>7428</v>
      </c>
      <c r="C1406" s="54" t="s">
        <v>2690</v>
      </c>
      <c r="D1406" s="51" t="s">
        <v>7429</v>
      </c>
      <c r="E1406" s="20">
        <v>10000</v>
      </c>
      <c r="F1406" s="20">
        <v>0</v>
      </c>
      <c r="G1406" s="20">
        <v>8213.77</v>
      </c>
      <c r="H1406" s="20">
        <v>6984.73</v>
      </c>
      <c r="I1406" s="20">
        <v>896.54</v>
      </c>
      <c r="J1406" s="51" t="s">
        <v>6726</v>
      </c>
      <c r="K1406" s="15">
        <v>0</v>
      </c>
      <c r="L1406" s="51" t="s">
        <v>2371</v>
      </c>
      <c r="M1406" s="51" t="s">
        <v>7430</v>
      </c>
      <c r="N1406" s="51" t="s">
        <v>1340</v>
      </c>
      <c r="O1406" s="51" t="s">
        <v>67</v>
      </c>
      <c r="P1406" s="51" t="s">
        <v>67</v>
      </c>
      <c r="Q1406" s="45">
        <v>46286.762613298612</v>
      </c>
      <c r="R1406" s="46">
        <v>46322</v>
      </c>
      <c r="S1406" s="46">
        <v>46317</v>
      </c>
      <c r="T1406" s="51" t="s">
        <v>6119</v>
      </c>
      <c r="U1406" s="15"/>
      <c r="V1406" s="15"/>
      <c r="W1406" s="15"/>
      <c r="X1406" s="15"/>
      <c r="Y1406" s="15"/>
      <c r="Z1406" s="15"/>
      <c r="AA1406" s="46"/>
      <c r="AB1406" s="15"/>
      <c r="AC1406" s="15"/>
      <c r="AD1406" s="15"/>
      <c r="AE1406" s="15"/>
      <c r="AF1406" s="15"/>
      <c r="AG1406" s="15"/>
      <c r="AH1406" s="15"/>
      <c r="AI1406" s="46"/>
      <c r="AJ1406" s="51" t="s">
        <v>67</v>
      </c>
      <c r="AK1406" s="51" t="s">
        <v>67</v>
      </c>
      <c r="AL1406" s="15"/>
      <c r="AM1406" s="51" t="s">
        <v>67</v>
      </c>
      <c r="AN1406" s="51" t="s">
        <v>67</v>
      </c>
      <c r="AO1406" s="50" t="s">
        <v>9554</v>
      </c>
    </row>
    <row r="1407" spans="1:41" hidden="1" x14ac:dyDescent="0.25">
      <c r="A1407" s="51" t="s">
        <v>7391</v>
      </c>
      <c r="B1407" s="51" t="s">
        <v>7431</v>
      </c>
      <c r="C1407" s="54" t="s">
        <v>608</v>
      </c>
      <c r="D1407" s="51" t="s">
        <v>7432</v>
      </c>
      <c r="E1407" s="20">
        <v>10000</v>
      </c>
      <c r="F1407" s="20">
        <v>0</v>
      </c>
      <c r="G1407" s="20">
        <v>20664.3</v>
      </c>
      <c r="H1407" s="20">
        <v>2141.1999999999998</v>
      </c>
      <c r="I1407" s="20">
        <v>863.33</v>
      </c>
      <c r="J1407" s="51" t="s">
        <v>6726</v>
      </c>
      <c r="K1407" s="15">
        <v>0</v>
      </c>
      <c r="L1407" s="51" t="s">
        <v>2371</v>
      </c>
      <c r="M1407" s="51" t="s">
        <v>67</v>
      </c>
      <c r="N1407" s="51" t="s">
        <v>67</v>
      </c>
      <c r="O1407" s="51" t="s">
        <v>7433</v>
      </c>
      <c r="P1407" s="51" t="s">
        <v>1340</v>
      </c>
      <c r="Q1407" s="45">
        <v>46286.762624062503</v>
      </c>
      <c r="R1407" s="46">
        <v>46315</v>
      </c>
      <c r="S1407" s="46">
        <v>46310</v>
      </c>
      <c r="T1407" s="51" t="s">
        <v>6119</v>
      </c>
      <c r="U1407" s="15"/>
      <c r="V1407" s="15"/>
      <c r="W1407" s="15"/>
      <c r="X1407" s="15"/>
      <c r="Y1407" s="15"/>
      <c r="Z1407" s="15"/>
      <c r="AA1407" s="46"/>
      <c r="AB1407" s="15"/>
      <c r="AC1407" s="15"/>
      <c r="AD1407" s="15"/>
      <c r="AE1407" s="15"/>
      <c r="AF1407" s="15"/>
      <c r="AG1407" s="15"/>
      <c r="AH1407" s="15"/>
      <c r="AI1407" s="46"/>
      <c r="AJ1407" s="51" t="s">
        <v>67</v>
      </c>
      <c r="AK1407" s="51" t="s">
        <v>67</v>
      </c>
      <c r="AL1407" s="15"/>
      <c r="AM1407" s="51" t="s">
        <v>67</v>
      </c>
      <c r="AN1407" s="51" t="s">
        <v>67</v>
      </c>
      <c r="AO1407" s="50" t="s">
        <v>9554</v>
      </c>
    </row>
    <row r="1408" spans="1:41" hidden="1" x14ac:dyDescent="0.25">
      <c r="A1408" s="51" t="s">
        <v>7392</v>
      </c>
      <c r="B1408" s="51" t="s">
        <v>7434</v>
      </c>
      <c r="C1408" s="54" t="s">
        <v>2692</v>
      </c>
      <c r="D1408" s="51" t="s">
        <v>6875</v>
      </c>
      <c r="E1408" s="20">
        <v>10000</v>
      </c>
      <c r="F1408" s="20">
        <v>0</v>
      </c>
      <c r="G1408" s="20">
        <v>2826.77</v>
      </c>
      <c r="H1408" s="20">
        <v>6844.15</v>
      </c>
      <c r="I1408" s="20">
        <v>728.81</v>
      </c>
      <c r="J1408" s="51" t="s">
        <v>6726</v>
      </c>
      <c r="K1408" s="15">
        <v>0</v>
      </c>
      <c r="L1408" s="51" t="s">
        <v>2371</v>
      </c>
      <c r="M1408" s="51" t="s">
        <v>7435</v>
      </c>
      <c r="N1408" s="51" t="s">
        <v>1340</v>
      </c>
      <c r="O1408" s="51" t="s">
        <v>67</v>
      </c>
      <c r="P1408" s="51" t="s">
        <v>67</v>
      </c>
      <c r="Q1408" s="45">
        <v>46286.76264458333</v>
      </c>
      <c r="R1408" s="46">
        <v>46296</v>
      </c>
      <c r="S1408" s="46">
        <v>46291</v>
      </c>
      <c r="T1408" s="51" t="s">
        <v>6119</v>
      </c>
      <c r="U1408" s="15"/>
      <c r="V1408" s="15"/>
      <c r="W1408" s="15"/>
      <c r="X1408" s="15"/>
      <c r="Y1408" s="15"/>
      <c r="Z1408" s="15"/>
      <c r="AA1408" s="46"/>
      <c r="AB1408" s="15"/>
      <c r="AC1408" s="15"/>
      <c r="AD1408" s="15"/>
      <c r="AE1408" s="15"/>
      <c r="AF1408" s="15"/>
      <c r="AG1408" s="15"/>
      <c r="AH1408" s="15"/>
      <c r="AI1408" s="46"/>
      <c r="AJ1408" s="51" t="s">
        <v>67</v>
      </c>
      <c r="AK1408" s="51" t="s">
        <v>67</v>
      </c>
      <c r="AL1408" s="15"/>
      <c r="AM1408" s="51" t="s">
        <v>67</v>
      </c>
      <c r="AN1408" s="51" t="s">
        <v>67</v>
      </c>
      <c r="AO1408" s="50" t="s">
        <v>9554</v>
      </c>
    </row>
    <row r="1409" spans="1:41" hidden="1" x14ac:dyDescent="0.25">
      <c r="A1409" s="51" t="s">
        <v>7393</v>
      </c>
      <c r="B1409" s="51" t="s">
        <v>7436</v>
      </c>
      <c r="C1409" s="54" t="s">
        <v>2693</v>
      </c>
      <c r="D1409" s="51" t="s">
        <v>7437</v>
      </c>
      <c r="E1409" s="20">
        <v>10000</v>
      </c>
      <c r="F1409" s="20">
        <v>0</v>
      </c>
      <c r="G1409" s="20">
        <v>3186.89</v>
      </c>
      <c r="H1409" s="20">
        <v>2103.7199999999998</v>
      </c>
      <c r="I1409" s="20">
        <v>703.61</v>
      </c>
      <c r="J1409" s="51" t="s">
        <v>6726</v>
      </c>
      <c r="K1409" s="15">
        <v>0</v>
      </c>
      <c r="L1409" s="51" t="s">
        <v>2371</v>
      </c>
      <c r="M1409" s="51" t="s">
        <v>67</v>
      </c>
      <c r="N1409" s="51" t="s">
        <v>67</v>
      </c>
      <c r="O1409" s="51" t="s">
        <v>7438</v>
      </c>
      <c r="P1409" s="51" t="s">
        <v>1340</v>
      </c>
      <c r="Q1409" s="45">
        <v>46286.762670231481</v>
      </c>
      <c r="R1409" s="46">
        <v>46314</v>
      </c>
      <c r="S1409" s="46">
        <v>46309</v>
      </c>
      <c r="T1409" s="51" t="s">
        <v>6119</v>
      </c>
      <c r="U1409" s="15"/>
      <c r="V1409" s="15"/>
      <c r="W1409" s="15"/>
      <c r="X1409" s="15"/>
      <c r="Y1409" s="15"/>
      <c r="Z1409" s="15"/>
      <c r="AA1409" s="46"/>
      <c r="AB1409" s="15"/>
      <c r="AC1409" s="15"/>
      <c r="AD1409" s="15"/>
      <c r="AE1409" s="15"/>
      <c r="AF1409" s="15"/>
      <c r="AG1409" s="15"/>
      <c r="AH1409" s="15"/>
      <c r="AI1409" s="46"/>
      <c r="AJ1409" s="51" t="s">
        <v>67</v>
      </c>
      <c r="AK1409" s="51" t="s">
        <v>67</v>
      </c>
      <c r="AL1409" s="15"/>
      <c r="AM1409" s="51" t="s">
        <v>67</v>
      </c>
      <c r="AN1409" s="51" t="s">
        <v>67</v>
      </c>
      <c r="AO1409" s="50" t="s">
        <v>9554</v>
      </c>
    </row>
    <row r="1410" spans="1:41" hidden="1" x14ac:dyDescent="0.25">
      <c r="A1410" s="51" t="s">
        <v>7394</v>
      </c>
      <c r="B1410" s="51" t="s">
        <v>7439</v>
      </c>
      <c r="C1410" s="54" t="s">
        <v>2691</v>
      </c>
      <c r="D1410" s="51" t="s">
        <v>7440</v>
      </c>
      <c r="E1410" s="20">
        <v>10000</v>
      </c>
      <c r="F1410" s="20">
        <v>243.96</v>
      </c>
      <c r="G1410" s="20">
        <v>20895.95</v>
      </c>
      <c r="H1410" s="20">
        <v>1223.6400000000001</v>
      </c>
      <c r="I1410" s="20">
        <v>738.14</v>
      </c>
      <c r="J1410" s="51" t="s">
        <v>6726</v>
      </c>
      <c r="K1410" s="15">
        <v>0</v>
      </c>
      <c r="L1410" s="51" t="s">
        <v>2371</v>
      </c>
      <c r="M1410" s="51" t="s">
        <v>67</v>
      </c>
      <c r="N1410" s="51" t="s">
        <v>67</v>
      </c>
      <c r="O1410" s="51" t="s">
        <v>7441</v>
      </c>
      <c r="P1410" s="51" t="s">
        <v>1340</v>
      </c>
      <c r="Q1410" s="45">
        <v>46286.762676192127</v>
      </c>
      <c r="R1410" s="46">
        <v>46301</v>
      </c>
      <c r="S1410" s="46">
        <v>46296</v>
      </c>
      <c r="T1410" s="51" t="s">
        <v>6119</v>
      </c>
      <c r="U1410" s="15"/>
      <c r="V1410" s="15"/>
      <c r="W1410" s="15"/>
      <c r="X1410" s="15"/>
      <c r="Y1410" s="15"/>
      <c r="Z1410" s="15"/>
      <c r="AA1410" s="46"/>
      <c r="AB1410" s="15"/>
      <c r="AC1410" s="15"/>
      <c r="AD1410" s="15"/>
      <c r="AE1410" s="15"/>
      <c r="AF1410" s="15"/>
      <c r="AG1410" s="15"/>
      <c r="AH1410" s="15"/>
      <c r="AI1410" s="46"/>
      <c r="AJ1410" s="51" t="s">
        <v>67</v>
      </c>
      <c r="AK1410" s="51" t="s">
        <v>67</v>
      </c>
      <c r="AL1410" s="15"/>
      <c r="AM1410" s="51" t="s">
        <v>67</v>
      </c>
      <c r="AN1410" s="51" t="s">
        <v>67</v>
      </c>
      <c r="AO1410" s="50" t="s">
        <v>9554</v>
      </c>
    </row>
    <row r="1411" spans="1:41" hidden="1" x14ac:dyDescent="0.25">
      <c r="A1411" s="51" t="s">
        <v>7395</v>
      </c>
      <c r="B1411" s="51" t="s">
        <v>7442</v>
      </c>
      <c r="C1411" s="54" t="s">
        <v>5604</v>
      </c>
      <c r="D1411" s="51" t="s">
        <v>7443</v>
      </c>
      <c r="E1411" s="20">
        <v>10000</v>
      </c>
      <c r="F1411" s="20">
        <v>0</v>
      </c>
      <c r="G1411" s="20">
        <v>2380.38</v>
      </c>
      <c r="H1411" s="20">
        <v>3293.41</v>
      </c>
      <c r="I1411" s="20">
        <v>625.25</v>
      </c>
      <c r="J1411" s="51" t="s">
        <v>6726</v>
      </c>
      <c r="K1411" s="15">
        <v>0</v>
      </c>
      <c r="L1411" s="51" t="s">
        <v>2371</v>
      </c>
      <c r="M1411" s="51" t="s">
        <v>7444</v>
      </c>
      <c r="N1411" s="51" t="s">
        <v>1340</v>
      </c>
      <c r="O1411" s="51" t="s">
        <v>67</v>
      </c>
      <c r="P1411" s="51" t="s">
        <v>67</v>
      </c>
      <c r="Q1411" s="45">
        <v>46286.762683194444</v>
      </c>
      <c r="R1411" s="46">
        <v>46313</v>
      </c>
      <c r="S1411" s="46">
        <v>46308</v>
      </c>
      <c r="T1411" s="51" t="s">
        <v>6119</v>
      </c>
      <c r="U1411" s="15"/>
      <c r="V1411" s="15"/>
      <c r="W1411" s="15"/>
      <c r="X1411" s="15"/>
      <c r="Y1411" s="15"/>
      <c r="Z1411" s="15"/>
      <c r="AA1411" s="46"/>
      <c r="AB1411" s="15"/>
      <c r="AC1411" s="15"/>
      <c r="AD1411" s="15"/>
      <c r="AE1411" s="15"/>
      <c r="AF1411" s="15"/>
      <c r="AG1411" s="15"/>
      <c r="AH1411" s="15"/>
      <c r="AI1411" s="46"/>
      <c r="AJ1411" s="51" t="s">
        <v>67</v>
      </c>
      <c r="AK1411" s="51" t="s">
        <v>67</v>
      </c>
      <c r="AL1411" s="15"/>
      <c r="AM1411" s="51" t="s">
        <v>67</v>
      </c>
      <c r="AN1411" s="51" t="s">
        <v>67</v>
      </c>
      <c r="AO1411" s="50" t="s">
        <v>9554</v>
      </c>
    </row>
    <row r="1412" spans="1:41" hidden="1" x14ac:dyDescent="0.25">
      <c r="A1412" s="51" t="s">
        <v>7396</v>
      </c>
      <c r="B1412" s="51" t="s">
        <v>7445</v>
      </c>
      <c r="C1412" s="54" t="s">
        <v>2357</v>
      </c>
      <c r="D1412" s="51" t="s">
        <v>7446</v>
      </c>
      <c r="E1412" s="20">
        <v>10000</v>
      </c>
      <c r="F1412" s="20">
        <v>0</v>
      </c>
      <c r="G1412" s="20">
        <v>13396.36</v>
      </c>
      <c r="H1412" s="20">
        <v>1463.02</v>
      </c>
      <c r="I1412" s="20">
        <v>618.45000000000005</v>
      </c>
      <c r="J1412" s="51" t="s">
        <v>6726</v>
      </c>
      <c r="K1412" s="15">
        <v>0</v>
      </c>
      <c r="L1412" s="51" t="s">
        <v>2371</v>
      </c>
      <c r="M1412" s="51" t="s">
        <v>7447</v>
      </c>
      <c r="N1412" s="51" t="s">
        <v>1340</v>
      </c>
      <c r="O1412" s="51" t="s">
        <v>67</v>
      </c>
      <c r="P1412" s="51" t="s">
        <v>67</v>
      </c>
      <c r="Q1412" s="45">
        <v>46286.762690312498</v>
      </c>
      <c r="R1412" s="46">
        <v>46308</v>
      </c>
      <c r="S1412" s="46">
        <v>46303</v>
      </c>
      <c r="T1412" s="51" t="s">
        <v>6119</v>
      </c>
      <c r="U1412" s="15"/>
      <c r="V1412" s="15"/>
      <c r="W1412" s="15"/>
      <c r="X1412" s="15"/>
      <c r="Y1412" s="15"/>
      <c r="Z1412" s="15"/>
      <c r="AA1412" s="46"/>
      <c r="AB1412" s="15"/>
      <c r="AC1412" s="15"/>
      <c r="AD1412" s="15"/>
      <c r="AE1412" s="15"/>
      <c r="AF1412" s="15"/>
      <c r="AG1412" s="15"/>
      <c r="AH1412" s="15"/>
      <c r="AI1412" s="46"/>
      <c r="AJ1412" s="51" t="s">
        <v>67</v>
      </c>
      <c r="AK1412" s="51" t="s">
        <v>67</v>
      </c>
      <c r="AL1412" s="15"/>
      <c r="AM1412" s="51" t="s">
        <v>67</v>
      </c>
      <c r="AN1412" s="51" t="s">
        <v>67</v>
      </c>
      <c r="AO1412" s="50" t="s">
        <v>9554</v>
      </c>
    </row>
    <row r="1413" spans="1:41" hidden="1" x14ac:dyDescent="0.25">
      <c r="A1413" s="51" t="s">
        <v>7397</v>
      </c>
      <c r="B1413" s="51" t="s">
        <v>7448</v>
      </c>
      <c r="C1413" s="54" t="s">
        <v>5601</v>
      </c>
      <c r="D1413" s="51" t="s">
        <v>7449</v>
      </c>
      <c r="E1413" s="20">
        <v>10000</v>
      </c>
      <c r="F1413" s="20">
        <v>0</v>
      </c>
      <c r="G1413" s="20">
        <v>17159.98</v>
      </c>
      <c r="H1413" s="20">
        <v>3457.4</v>
      </c>
      <c r="I1413" s="20">
        <v>595.75</v>
      </c>
      <c r="J1413" s="51" t="s">
        <v>6726</v>
      </c>
      <c r="K1413" s="15">
        <v>0</v>
      </c>
      <c r="L1413" s="51" t="s">
        <v>2371</v>
      </c>
      <c r="M1413" s="51" t="s">
        <v>67</v>
      </c>
      <c r="N1413" s="51" t="s">
        <v>67</v>
      </c>
      <c r="O1413" s="51" t="s">
        <v>7450</v>
      </c>
      <c r="P1413" s="51" t="s">
        <v>1340</v>
      </c>
      <c r="Q1413" s="45">
        <v>46286.762698055558</v>
      </c>
      <c r="R1413" s="46">
        <v>46316</v>
      </c>
      <c r="S1413" s="46">
        <v>46311</v>
      </c>
      <c r="T1413" s="51" t="s">
        <v>6119</v>
      </c>
      <c r="U1413" s="15"/>
      <c r="V1413" s="15"/>
      <c r="W1413" s="15"/>
      <c r="X1413" s="15"/>
      <c r="Y1413" s="15"/>
      <c r="Z1413" s="15"/>
      <c r="AA1413" s="46"/>
      <c r="AB1413" s="15"/>
      <c r="AC1413" s="15"/>
      <c r="AD1413" s="15"/>
      <c r="AE1413" s="15"/>
      <c r="AF1413" s="15"/>
      <c r="AG1413" s="15"/>
      <c r="AH1413" s="15"/>
      <c r="AI1413" s="46"/>
      <c r="AJ1413" s="51" t="s">
        <v>67</v>
      </c>
      <c r="AK1413" s="51" t="s">
        <v>67</v>
      </c>
      <c r="AL1413" s="15"/>
      <c r="AM1413" s="51" t="s">
        <v>67</v>
      </c>
      <c r="AN1413" s="51" t="s">
        <v>67</v>
      </c>
      <c r="AO1413" s="50" t="s">
        <v>9554</v>
      </c>
    </row>
    <row r="1414" spans="1:41" hidden="1" x14ac:dyDescent="0.25">
      <c r="A1414" s="51" t="s">
        <v>7398</v>
      </c>
      <c r="B1414" s="51" t="s">
        <v>7451</v>
      </c>
      <c r="C1414" s="54" t="s">
        <v>2345</v>
      </c>
      <c r="D1414" s="51" t="s">
        <v>7452</v>
      </c>
      <c r="E1414" s="20">
        <v>10000</v>
      </c>
      <c r="F1414" s="20">
        <v>0</v>
      </c>
      <c r="G1414" s="20">
        <v>21002.9</v>
      </c>
      <c r="H1414" s="20">
        <v>1516.22</v>
      </c>
      <c r="I1414" s="20">
        <v>506.35</v>
      </c>
      <c r="J1414" s="51" t="s">
        <v>6726</v>
      </c>
      <c r="K1414" s="15">
        <v>0</v>
      </c>
      <c r="L1414" s="51" t="s">
        <v>2371</v>
      </c>
      <c r="M1414" s="51" t="s">
        <v>7453</v>
      </c>
      <c r="N1414" s="51" t="s">
        <v>1340</v>
      </c>
      <c r="O1414" s="51" t="s">
        <v>67</v>
      </c>
      <c r="P1414" s="51" t="s">
        <v>67</v>
      </c>
      <c r="Q1414" s="45">
        <v>46286.762705648151</v>
      </c>
      <c r="R1414" s="46">
        <v>46306</v>
      </c>
      <c r="S1414" s="46">
        <v>46301</v>
      </c>
      <c r="T1414" s="51" t="s">
        <v>6119</v>
      </c>
      <c r="U1414" s="15"/>
      <c r="V1414" s="15"/>
      <c r="W1414" s="15"/>
      <c r="X1414" s="15"/>
      <c r="Y1414" s="15"/>
      <c r="Z1414" s="15"/>
      <c r="AA1414" s="46"/>
      <c r="AB1414" s="15"/>
      <c r="AC1414" s="15"/>
      <c r="AD1414" s="15"/>
      <c r="AE1414" s="15"/>
      <c r="AF1414" s="15"/>
      <c r="AG1414" s="15"/>
      <c r="AH1414" s="15"/>
      <c r="AI1414" s="46"/>
      <c r="AJ1414" s="51" t="s">
        <v>67</v>
      </c>
      <c r="AK1414" s="51" t="s">
        <v>67</v>
      </c>
      <c r="AL1414" s="15"/>
      <c r="AM1414" s="51" t="s">
        <v>67</v>
      </c>
      <c r="AN1414" s="51" t="s">
        <v>67</v>
      </c>
      <c r="AO1414" s="50" t="s">
        <v>9554</v>
      </c>
    </row>
    <row r="1415" spans="1:41" hidden="1" x14ac:dyDescent="0.25">
      <c r="A1415" s="51" t="s">
        <v>7399</v>
      </c>
      <c r="B1415" s="51" t="s">
        <v>7454</v>
      </c>
      <c r="C1415" s="54" t="s">
        <v>607</v>
      </c>
      <c r="D1415" s="51" t="s">
        <v>7455</v>
      </c>
      <c r="E1415" s="20">
        <v>10000</v>
      </c>
      <c r="F1415" s="20">
        <v>0</v>
      </c>
      <c r="G1415" s="20">
        <v>20913.14</v>
      </c>
      <c r="H1415" s="20">
        <v>1315.58</v>
      </c>
      <c r="I1415" s="20">
        <v>434.37</v>
      </c>
      <c r="J1415" s="51" t="s">
        <v>6726</v>
      </c>
      <c r="K1415" s="15">
        <v>0</v>
      </c>
      <c r="L1415" s="51" t="s">
        <v>2371</v>
      </c>
      <c r="M1415" s="51" t="s">
        <v>7456</v>
      </c>
      <c r="N1415" s="51" t="s">
        <v>1340</v>
      </c>
      <c r="O1415" s="51" t="s">
        <v>67</v>
      </c>
      <c r="P1415" s="51" t="s">
        <v>67</v>
      </c>
      <c r="Q1415" s="45">
        <v>46286.762711805553</v>
      </c>
      <c r="R1415" s="46">
        <v>46310</v>
      </c>
      <c r="S1415" s="46">
        <v>46305</v>
      </c>
      <c r="T1415" s="51" t="s">
        <v>6119</v>
      </c>
      <c r="U1415" s="15"/>
      <c r="V1415" s="15"/>
      <c r="W1415" s="15"/>
      <c r="X1415" s="15"/>
      <c r="Y1415" s="15"/>
      <c r="Z1415" s="15"/>
      <c r="AA1415" s="46"/>
      <c r="AB1415" s="15"/>
      <c r="AC1415" s="15"/>
      <c r="AD1415" s="15"/>
      <c r="AE1415" s="15"/>
      <c r="AF1415" s="15"/>
      <c r="AG1415" s="15"/>
      <c r="AH1415" s="15"/>
      <c r="AI1415" s="46"/>
      <c r="AJ1415" s="51" t="s">
        <v>67</v>
      </c>
      <c r="AK1415" s="51" t="s">
        <v>67</v>
      </c>
      <c r="AL1415" s="15"/>
      <c r="AM1415" s="51" t="s">
        <v>67</v>
      </c>
      <c r="AN1415" s="51" t="s">
        <v>67</v>
      </c>
      <c r="AO1415" s="50" t="s">
        <v>9554</v>
      </c>
    </row>
    <row r="1416" spans="1:41" hidden="1" x14ac:dyDescent="0.25">
      <c r="A1416" s="51" t="s">
        <v>7400</v>
      </c>
      <c r="B1416" s="51" t="s">
        <v>7457</v>
      </c>
      <c r="C1416" s="54" t="s">
        <v>5608</v>
      </c>
      <c r="D1416" s="51" t="s">
        <v>6809</v>
      </c>
      <c r="E1416" s="20">
        <v>10000</v>
      </c>
      <c r="F1416" s="20">
        <v>433.75</v>
      </c>
      <c r="G1416" s="20">
        <v>4102.78</v>
      </c>
      <c r="H1416" s="20">
        <v>1112.2</v>
      </c>
      <c r="I1416" s="20">
        <v>815.11</v>
      </c>
      <c r="J1416" s="51" t="s">
        <v>6726</v>
      </c>
      <c r="K1416" s="15">
        <v>33</v>
      </c>
      <c r="L1416" s="51" t="s">
        <v>2369</v>
      </c>
      <c r="M1416" s="51" t="s">
        <v>7458</v>
      </c>
      <c r="N1416" s="51" t="s">
        <v>1340</v>
      </c>
      <c r="O1416" s="51" t="s">
        <v>7459</v>
      </c>
      <c r="P1416" s="51" t="s">
        <v>1340</v>
      </c>
      <c r="Q1416" s="45">
        <v>46286.762717268517</v>
      </c>
      <c r="R1416" s="46">
        <v>46319</v>
      </c>
      <c r="S1416" s="46">
        <v>46314</v>
      </c>
      <c r="T1416" s="51" t="s">
        <v>6119</v>
      </c>
      <c r="U1416" s="15"/>
      <c r="V1416" s="15"/>
      <c r="W1416" s="15"/>
      <c r="X1416" s="15"/>
      <c r="Y1416" s="15"/>
      <c r="Z1416" s="15"/>
      <c r="AA1416" s="46"/>
      <c r="AB1416" s="15"/>
      <c r="AC1416" s="15"/>
      <c r="AD1416" s="15"/>
      <c r="AE1416" s="15"/>
      <c r="AF1416" s="15"/>
      <c r="AG1416" s="15"/>
      <c r="AH1416" s="15"/>
      <c r="AI1416" s="46"/>
      <c r="AJ1416" s="51" t="s">
        <v>6121</v>
      </c>
      <c r="AK1416" s="51" t="s">
        <v>67</v>
      </c>
      <c r="AL1416" s="15"/>
      <c r="AM1416" s="51" t="s">
        <v>67</v>
      </c>
      <c r="AN1416" s="51" t="s">
        <v>67</v>
      </c>
      <c r="AO1416" s="50" t="s">
        <v>9554</v>
      </c>
    </row>
    <row r="1417" spans="1:41" hidden="1" x14ac:dyDescent="0.25">
      <c r="A1417" s="51" t="s">
        <v>7401</v>
      </c>
      <c r="B1417" s="51" t="s">
        <v>7460</v>
      </c>
      <c r="C1417" s="54" t="s">
        <v>5597</v>
      </c>
      <c r="D1417" s="51" t="s">
        <v>6950</v>
      </c>
      <c r="E1417" s="20">
        <v>10000</v>
      </c>
      <c r="F1417" s="20">
        <v>477.1</v>
      </c>
      <c r="G1417" s="20">
        <v>10541.26</v>
      </c>
      <c r="H1417" s="20">
        <v>947.73</v>
      </c>
      <c r="I1417" s="20">
        <v>749.47</v>
      </c>
      <c r="J1417" s="51" t="s">
        <v>6726</v>
      </c>
      <c r="K1417" s="15">
        <v>0</v>
      </c>
      <c r="L1417" s="51" t="s">
        <v>2371</v>
      </c>
      <c r="M1417" s="51" t="s">
        <v>7461</v>
      </c>
      <c r="N1417" s="51" t="s">
        <v>1340</v>
      </c>
      <c r="O1417" s="51" t="s">
        <v>7462</v>
      </c>
      <c r="P1417" s="51" t="s">
        <v>1340</v>
      </c>
      <c r="Q1417" s="45">
        <v>46286.76272298611</v>
      </c>
      <c r="R1417" s="46">
        <v>46321</v>
      </c>
      <c r="S1417" s="46">
        <v>46316</v>
      </c>
      <c r="T1417" s="51" t="s">
        <v>6119</v>
      </c>
      <c r="U1417" s="15"/>
      <c r="V1417" s="15"/>
      <c r="W1417" s="15"/>
      <c r="X1417" s="15"/>
      <c r="Y1417" s="15"/>
      <c r="Z1417" s="15"/>
      <c r="AA1417" s="46"/>
      <c r="AB1417" s="15"/>
      <c r="AC1417" s="15"/>
      <c r="AD1417" s="15"/>
      <c r="AE1417" s="15"/>
      <c r="AF1417" s="15"/>
      <c r="AG1417" s="15"/>
      <c r="AH1417" s="15"/>
      <c r="AI1417" s="46"/>
      <c r="AJ1417" s="51" t="s">
        <v>67</v>
      </c>
      <c r="AK1417" s="51" t="s">
        <v>67</v>
      </c>
      <c r="AL1417" s="15"/>
      <c r="AM1417" s="51" t="s">
        <v>67</v>
      </c>
      <c r="AN1417" s="51" t="s">
        <v>67</v>
      </c>
      <c r="AO1417" s="50" t="s">
        <v>9554</v>
      </c>
    </row>
    <row r="1418" spans="1:41" hidden="1" x14ac:dyDescent="0.25">
      <c r="A1418" s="51" t="s">
        <v>7402</v>
      </c>
      <c r="B1418" s="51" t="s">
        <v>7463</v>
      </c>
      <c r="C1418" s="54" t="s">
        <v>2541</v>
      </c>
      <c r="D1418" s="51" t="s">
        <v>7464</v>
      </c>
      <c r="E1418" s="20">
        <v>10000</v>
      </c>
      <c r="F1418" s="20">
        <v>123.95</v>
      </c>
      <c r="G1418" s="20">
        <v>11981.52</v>
      </c>
      <c r="H1418" s="20">
        <v>1317.58</v>
      </c>
      <c r="I1418" s="20">
        <v>725.03</v>
      </c>
      <c r="J1418" s="51" t="s">
        <v>6726</v>
      </c>
      <c r="K1418" s="15">
        <v>0</v>
      </c>
      <c r="L1418" s="51" t="s">
        <v>2371</v>
      </c>
      <c r="M1418" s="51" t="s">
        <v>7465</v>
      </c>
      <c r="N1418" s="51" t="s">
        <v>1344</v>
      </c>
      <c r="O1418" s="51" t="s">
        <v>67</v>
      </c>
      <c r="P1418" s="51" t="s">
        <v>67</v>
      </c>
      <c r="Q1418" s="45">
        <v>46286.762729328701</v>
      </c>
      <c r="R1418" s="46">
        <v>46311</v>
      </c>
      <c r="S1418" s="46">
        <v>46306</v>
      </c>
      <c r="T1418" s="51" t="s">
        <v>6119</v>
      </c>
      <c r="U1418" s="15"/>
      <c r="V1418" s="15"/>
      <c r="W1418" s="15"/>
      <c r="X1418" s="15"/>
      <c r="Y1418" s="15"/>
      <c r="Z1418" s="15"/>
      <c r="AA1418" s="46"/>
      <c r="AB1418" s="15"/>
      <c r="AC1418" s="15"/>
      <c r="AD1418" s="15"/>
      <c r="AE1418" s="15"/>
      <c r="AF1418" s="15"/>
      <c r="AG1418" s="15"/>
      <c r="AH1418" s="15"/>
      <c r="AI1418" s="46"/>
      <c r="AJ1418" s="51" t="s">
        <v>67</v>
      </c>
      <c r="AK1418" s="51" t="s">
        <v>67</v>
      </c>
      <c r="AL1418" s="15"/>
      <c r="AM1418" s="51" t="s">
        <v>67</v>
      </c>
      <c r="AN1418" s="51" t="s">
        <v>67</v>
      </c>
      <c r="AO1418" s="50" t="s">
        <v>9554</v>
      </c>
    </row>
    <row r="1419" spans="1:41" hidden="1" x14ac:dyDescent="0.25">
      <c r="A1419" s="51" t="s">
        <v>7403</v>
      </c>
      <c r="B1419" s="51" t="s">
        <v>7466</v>
      </c>
      <c r="C1419" s="54" t="s">
        <v>5600</v>
      </c>
      <c r="D1419" s="51" t="s">
        <v>7467</v>
      </c>
      <c r="E1419" s="20">
        <v>10000</v>
      </c>
      <c r="F1419" s="20">
        <v>0</v>
      </c>
      <c r="G1419" s="20">
        <v>9007.32</v>
      </c>
      <c r="H1419" s="20">
        <v>1486.58</v>
      </c>
      <c r="I1419" s="20">
        <v>577.57000000000005</v>
      </c>
      <c r="J1419" s="51" t="s">
        <v>6726</v>
      </c>
      <c r="K1419" s="15">
        <v>0</v>
      </c>
      <c r="L1419" s="51" t="s">
        <v>2371</v>
      </c>
      <c r="M1419" s="51" t="s">
        <v>7468</v>
      </c>
      <c r="N1419" s="51" t="s">
        <v>1340</v>
      </c>
      <c r="O1419" s="51" t="s">
        <v>67</v>
      </c>
      <c r="P1419" s="51" t="s">
        <v>67</v>
      </c>
      <c r="Q1419" s="45">
        <v>46286.762735567128</v>
      </c>
      <c r="R1419" s="46">
        <v>46304</v>
      </c>
      <c r="S1419" s="46">
        <v>46299</v>
      </c>
      <c r="T1419" s="51" t="s">
        <v>6119</v>
      </c>
      <c r="U1419" s="15"/>
      <c r="V1419" s="15"/>
      <c r="W1419" s="15"/>
      <c r="X1419" s="15"/>
      <c r="Y1419" s="15"/>
      <c r="Z1419" s="15"/>
      <c r="AA1419" s="46"/>
      <c r="AB1419" s="15"/>
      <c r="AC1419" s="15"/>
      <c r="AD1419" s="15"/>
      <c r="AE1419" s="15"/>
      <c r="AF1419" s="15"/>
      <c r="AG1419" s="15"/>
      <c r="AH1419" s="15"/>
      <c r="AI1419" s="46"/>
      <c r="AJ1419" s="51" t="s">
        <v>67</v>
      </c>
      <c r="AK1419" s="51" t="s">
        <v>67</v>
      </c>
      <c r="AL1419" s="15"/>
      <c r="AM1419" s="51" t="s">
        <v>67</v>
      </c>
      <c r="AN1419" s="51" t="s">
        <v>67</v>
      </c>
      <c r="AO1419" s="50" t="s">
        <v>9554</v>
      </c>
    </row>
    <row r="1420" spans="1:41" hidden="1" x14ac:dyDescent="0.25">
      <c r="A1420" s="51" t="s">
        <v>7404</v>
      </c>
      <c r="B1420" s="51" t="s">
        <v>7469</v>
      </c>
      <c r="C1420" s="54" t="s">
        <v>2356</v>
      </c>
      <c r="D1420" s="51" t="s">
        <v>7470</v>
      </c>
      <c r="E1420" s="20">
        <v>10000</v>
      </c>
      <c r="F1420" s="20">
        <v>23.82</v>
      </c>
      <c r="G1420" s="20">
        <v>3157.65</v>
      </c>
      <c r="H1420" s="20">
        <v>1254.1400000000001</v>
      </c>
      <c r="I1420" s="20">
        <v>642.76</v>
      </c>
      <c r="J1420" s="51" t="s">
        <v>6726</v>
      </c>
      <c r="K1420" s="15">
        <v>0</v>
      </c>
      <c r="L1420" s="51" t="s">
        <v>2371</v>
      </c>
      <c r="M1420" s="51" t="s">
        <v>67</v>
      </c>
      <c r="N1420" s="51" t="s">
        <v>67</v>
      </c>
      <c r="O1420" s="51" t="s">
        <v>7471</v>
      </c>
      <c r="P1420" s="51" t="s">
        <v>1344</v>
      </c>
      <c r="Q1420" s="45">
        <v>46286.762743819447</v>
      </c>
      <c r="R1420" s="46">
        <v>46307</v>
      </c>
      <c r="S1420" s="46">
        <v>46302</v>
      </c>
      <c r="T1420" s="51" t="s">
        <v>6119</v>
      </c>
      <c r="U1420" s="15"/>
      <c r="V1420" s="15"/>
      <c r="W1420" s="15"/>
      <c r="X1420" s="15"/>
      <c r="Y1420" s="15"/>
      <c r="Z1420" s="15"/>
      <c r="AA1420" s="46"/>
      <c r="AB1420" s="15"/>
      <c r="AC1420" s="15"/>
      <c r="AD1420" s="15"/>
      <c r="AE1420" s="15"/>
      <c r="AF1420" s="15"/>
      <c r="AG1420" s="15"/>
      <c r="AH1420" s="15"/>
      <c r="AI1420" s="46"/>
      <c r="AJ1420" s="51" t="s">
        <v>67</v>
      </c>
      <c r="AK1420" s="51" t="s">
        <v>67</v>
      </c>
      <c r="AL1420" s="15"/>
      <c r="AM1420" s="51" t="s">
        <v>67</v>
      </c>
      <c r="AN1420" s="51" t="s">
        <v>67</v>
      </c>
      <c r="AO1420" s="50" t="s">
        <v>9554</v>
      </c>
    </row>
    <row r="1421" spans="1:41" hidden="1" x14ac:dyDescent="0.25">
      <c r="A1421" s="51" t="s">
        <v>7405</v>
      </c>
      <c r="B1421" s="51" t="s">
        <v>7472</v>
      </c>
      <c r="C1421" s="54" t="s">
        <v>5606</v>
      </c>
      <c r="D1421" s="51" t="s">
        <v>7473</v>
      </c>
      <c r="E1421" s="20">
        <v>10000</v>
      </c>
      <c r="F1421" s="20">
        <v>0</v>
      </c>
      <c r="G1421" s="20">
        <v>17890.939999999999</v>
      </c>
      <c r="H1421" s="20">
        <v>3225.29</v>
      </c>
      <c r="I1421" s="20">
        <v>529.17999999999995</v>
      </c>
      <c r="J1421" s="51" t="s">
        <v>6726</v>
      </c>
      <c r="K1421" s="15">
        <v>0</v>
      </c>
      <c r="L1421" s="51" t="s">
        <v>2371</v>
      </c>
      <c r="M1421" s="51" t="s">
        <v>7474</v>
      </c>
      <c r="N1421" s="51" t="s">
        <v>1340</v>
      </c>
      <c r="O1421" s="51" t="s">
        <v>67</v>
      </c>
      <c r="P1421" s="51" t="s">
        <v>67</v>
      </c>
      <c r="Q1421" s="45">
        <v>46286.762751608796</v>
      </c>
      <c r="R1421" s="46">
        <v>46297</v>
      </c>
      <c r="S1421" s="46">
        <v>46292</v>
      </c>
      <c r="T1421" s="51" t="s">
        <v>6119</v>
      </c>
      <c r="U1421" s="15"/>
      <c r="V1421" s="15"/>
      <c r="W1421" s="15"/>
      <c r="X1421" s="15"/>
      <c r="Y1421" s="15"/>
      <c r="Z1421" s="15"/>
      <c r="AA1421" s="46"/>
      <c r="AB1421" s="15"/>
      <c r="AC1421" s="15"/>
      <c r="AD1421" s="15"/>
      <c r="AE1421" s="15"/>
      <c r="AF1421" s="15"/>
      <c r="AG1421" s="15"/>
      <c r="AH1421" s="15"/>
      <c r="AI1421" s="46"/>
      <c r="AJ1421" s="51" t="s">
        <v>67</v>
      </c>
      <c r="AK1421" s="51" t="s">
        <v>67</v>
      </c>
      <c r="AL1421" s="15"/>
      <c r="AM1421" s="51" t="s">
        <v>67</v>
      </c>
      <c r="AN1421" s="51" t="s">
        <v>67</v>
      </c>
      <c r="AO1421" s="50" t="s">
        <v>9554</v>
      </c>
    </row>
    <row r="1422" spans="1:41" hidden="1" x14ac:dyDescent="0.25">
      <c r="A1422" s="51" t="s">
        <v>7406</v>
      </c>
      <c r="B1422" s="51" t="s">
        <v>7475</v>
      </c>
      <c r="C1422" s="54" t="s">
        <v>2356</v>
      </c>
      <c r="D1422" s="51" t="s">
        <v>7476</v>
      </c>
      <c r="E1422" s="20">
        <v>10000</v>
      </c>
      <c r="F1422" s="20">
        <v>0</v>
      </c>
      <c r="G1422" s="20">
        <v>16669.29</v>
      </c>
      <c r="H1422" s="20">
        <v>3866.03</v>
      </c>
      <c r="I1422" s="20">
        <v>660.73</v>
      </c>
      <c r="J1422" s="51" t="s">
        <v>6726</v>
      </c>
      <c r="K1422" s="15">
        <v>0</v>
      </c>
      <c r="L1422" s="51" t="s">
        <v>2371</v>
      </c>
      <c r="M1422" s="51" t="s">
        <v>67</v>
      </c>
      <c r="N1422" s="51" t="s">
        <v>67</v>
      </c>
      <c r="O1422" s="51" t="s">
        <v>7477</v>
      </c>
      <c r="P1422" s="51" t="s">
        <v>1340</v>
      </c>
      <c r="Q1422" s="45">
        <v>46286.762759340279</v>
      </c>
      <c r="R1422" s="46">
        <v>46307</v>
      </c>
      <c r="S1422" s="46">
        <v>46302</v>
      </c>
      <c r="T1422" s="51" t="s">
        <v>6119</v>
      </c>
      <c r="U1422" s="15"/>
      <c r="V1422" s="15"/>
      <c r="W1422" s="15"/>
      <c r="X1422" s="15"/>
      <c r="Y1422" s="15"/>
      <c r="Z1422" s="15"/>
      <c r="AA1422" s="46"/>
      <c r="AB1422" s="15"/>
      <c r="AC1422" s="15"/>
      <c r="AD1422" s="15"/>
      <c r="AE1422" s="15"/>
      <c r="AF1422" s="15"/>
      <c r="AG1422" s="15"/>
      <c r="AH1422" s="15"/>
      <c r="AI1422" s="46"/>
      <c r="AJ1422" s="51" t="s">
        <v>67</v>
      </c>
      <c r="AK1422" s="51" t="s">
        <v>67</v>
      </c>
      <c r="AL1422" s="15"/>
      <c r="AM1422" s="51" t="s">
        <v>67</v>
      </c>
      <c r="AN1422" s="51" t="s">
        <v>67</v>
      </c>
      <c r="AO1422" s="50" t="s">
        <v>9554</v>
      </c>
    </row>
    <row r="1423" spans="1:41" hidden="1" x14ac:dyDescent="0.25">
      <c r="A1423" s="51" t="s">
        <v>7407</v>
      </c>
      <c r="B1423" s="51" t="s">
        <v>7478</v>
      </c>
      <c r="C1423" s="54" t="s">
        <v>2694</v>
      </c>
      <c r="D1423" s="51" t="s">
        <v>7479</v>
      </c>
      <c r="E1423" s="20">
        <v>10000</v>
      </c>
      <c r="F1423" s="20">
        <v>248.91</v>
      </c>
      <c r="G1423" s="20">
        <v>4657.5600000000004</v>
      </c>
      <c r="H1423" s="20">
        <v>1093.3499999999999</v>
      </c>
      <c r="I1423" s="20">
        <v>675.1</v>
      </c>
      <c r="J1423" s="51" t="s">
        <v>6726</v>
      </c>
      <c r="K1423" s="15">
        <v>0</v>
      </c>
      <c r="L1423" s="51" t="s">
        <v>2371</v>
      </c>
      <c r="M1423" s="51" t="s">
        <v>7480</v>
      </c>
      <c r="N1423" s="51" t="s">
        <v>1340</v>
      </c>
      <c r="O1423" s="51" t="s">
        <v>7481</v>
      </c>
      <c r="P1423" s="51" t="s">
        <v>1340</v>
      </c>
      <c r="Q1423" s="45">
        <v>46286.762767152781</v>
      </c>
      <c r="R1423" s="46">
        <v>46312</v>
      </c>
      <c r="S1423" s="46">
        <v>46307</v>
      </c>
      <c r="T1423" s="51" t="s">
        <v>6119</v>
      </c>
      <c r="U1423" s="15"/>
      <c r="V1423" s="15"/>
      <c r="W1423" s="15"/>
      <c r="X1423" s="15"/>
      <c r="Y1423" s="15"/>
      <c r="Z1423" s="15"/>
      <c r="AA1423" s="46"/>
      <c r="AB1423" s="15"/>
      <c r="AC1423" s="15"/>
      <c r="AD1423" s="15"/>
      <c r="AE1423" s="15"/>
      <c r="AF1423" s="15"/>
      <c r="AG1423" s="15"/>
      <c r="AH1423" s="15"/>
      <c r="AI1423" s="46"/>
      <c r="AJ1423" s="51" t="s">
        <v>67</v>
      </c>
      <c r="AK1423" s="51" t="s">
        <v>67</v>
      </c>
      <c r="AL1423" s="15"/>
      <c r="AM1423" s="51" t="s">
        <v>67</v>
      </c>
      <c r="AN1423" s="51" t="s">
        <v>67</v>
      </c>
      <c r="AO1423" s="50" t="s">
        <v>9554</v>
      </c>
    </row>
    <row r="1424" spans="1:41" hidden="1" x14ac:dyDescent="0.25">
      <c r="A1424" s="51" t="s">
        <v>7408</v>
      </c>
      <c r="B1424" s="51" t="s">
        <v>7482</v>
      </c>
      <c r="C1424" s="54" t="s">
        <v>5601</v>
      </c>
      <c r="D1424" s="51" t="s">
        <v>6892</v>
      </c>
      <c r="E1424" s="20">
        <v>10000</v>
      </c>
      <c r="F1424" s="20">
        <v>788.71</v>
      </c>
      <c r="G1424" s="20">
        <v>4201.1499999999996</v>
      </c>
      <c r="H1424" s="20">
        <v>1322.84</v>
      </c>
      <c r="I1424" s="20">
        <v>1117.23</v>
      </c>
      <c r="J1424" s="51" t="s">
        <v>6726</v>
      </c>
      <c r="K1424" s="15">
        <v>0</v>
      </c>
      <c r="L1424" s="51" t="s">
        <v>2371</v>
      </c>
      <c r="M1424" s="51" t="s">
        <v>7483</v>
      </c>
      <c r="N1424" s="51" t="s">
        <v>1340</v>
      </c>
      <c r="O1424" s="51" t="s">
        <v>7484</v>
      </c>
      <c r="P1424" s="51" t="s">
        <v>1340</v>
      </c>
      <c r="Q1424" s="45">
        <v>46286.762773761577</v>
      </c>
      <c r="R1424" s="46">
        <v>46316</v>
      </c>
      <c r="S1424" s="46">
        <v>46311</v>
      </c>
      <c r="T1424" s="51" t="s">
        <v>6119</v>
      </c>
      <c r="U1424" s="15"/>
      <c r="V1424" s="15"/>
      <c r="W1424" s="15"/>
      <c r="X1424" s="15"/>
      <c r="Y1424" s="15"/>
      <c r="Z1424" s="15"/>
      <c r="AA1424" s="46"/>
      <c r="AB1424" s="15"/>
      <c r="AC1424" s="15"/>
      <c r="AD1424" s="15"/>
      <c r="AE1424" s="15"/>
      <c r="AF1424" s="15"/>
      <c r="AG1424" s="15"/>
      <c r="AH1424" s="15"/>
      <c r="AI1424" s="46"/>
      <c r="AJ1424" s="51" t="s">
        <v>67</v>
      </c>
      <c r="AK1424" s="51" t="s">
        <v>67</v>
      </c>
      <c r="AL1424" s="15"/>
      <c r="AM1424" s="51" t="s">
        <v>67</v>
      </c>
      <c r="AN1424" s="51" t="s">
        <v>67</v>
      </c>
      <c r="AO1424" s="50" t="s">
        <v>9554</v>
      </c>
    </row>
    <row r="1425" spans="1:41" hidden="1" x14ac:dyDescent="0.25">
      <c r="A1425" s="51" t="s">
        <v>7409</v>
      </c>
      <c r="B1425" s="51" t="s">
        <v>7485</v>
      </c>
      <c r="C1425" s="54" t="s">
        <v>5603</v>
      </c>
      <c r="D1425" s="51" t="s">
        <v>6839</v>
      </c>
      <c r="E1425" s="20">
        <v>10000</v>
      </c>
      <c r="F1425" s="20">
        <v>0</v>
      </c>
      <c r="G1425" s="20">
        <v>10016.629999999999</v>
      </c>
      <c r="H1425" s="20">
        <v>1539.33</v>
      </c>
      <c r="I1425" s="20">
        <v>457.74</v>
      </c>
      <c r="J1425" s="51" t="s">
        <v>6726</v>
      </c>
      <c r="K1425" s="15">
        <v>0</v>
      </c>
      <c r="L1425" s="51" t="s">
        <v>2371</v>
      </c>
      <c r="M1425" s="51" t="s">
        <v>7486</v>
      </c>
      <c r="N1425" s="51" t="s">
        <v>1340</v>
      </c>
      <c r="O1425" s="51" t="s">
        <v>67</v>
      </c>
      <c r="P1425" s="51" t="s">
        <v>67</v>
      </c>
      <c r="Q1425" s="45">
        <v>46286.762780069446</v>
      </c>
      <c r="R1425" s="46">
        <v>46298</v>
      </c>
      <c r="S1425" s="46">
        <v>46293</v>
      </c>
      <c r="T1425" s="51" t="s">
        <v>6119</v>
      </c>
      <c r="U1425" s="15"/>
      <c r="V1425" s="15"/>
      <c r="W1425" s="15"/>
      <c r="X1425" s="15"/>
      <c r="Y1425" s="15"/>
      <c r="Z1425" s="15"/>
      <c r="AA1425" s="46"/>
      <c r="AB1425" s="15"/>
      <c r="AC1425" s="15"/>
      <c r="AD1425" s="15"/>
      <c r="AE1425" s="15"/>
      <c r="AF1425" s="15"/>
      <c r="AG1425" s="15"/>
      <c r="AH1425" s="15"/>
      <c r="AI1425" s="46"/>
      <c r="AJ1425" s="51" t="s">
        <v>67</v>
      </c>
      <c r="AK1425" s="51" t="s">
        <v>67</v>
      </c>
      <c r="AL1425" s="15"/>
      <c r="AM1425" s="51" t="s">
        <v>67</v>
      </c>
      <c r="AN1425" s="51" t="s">
        <v>67</v>
      </c>
      <c r="AO1425" s="50" t="s">
        <v>9554</v>
      </c>
    </row>
    <row r="1426" spans="1:41" hidden="1" x14ac:dyDescent="0.25">
      <c r="A1426" s="51" t="s">
        <v>7410</v>
      </c>
      <c r="B1426" s="51" t="s">
        <v>7487</v>
      </c>
      <c r="C1426" s="54" t="s">
        <v>5607</v>
      </c>
      <c r="D1426" s="51" t="s">
        <v>7488</v>
      </c>
      <c r="E1426" s="20">
        <v>10000</v>
      </c>
      <c r="F1426" s="20">
        <v>669.97</v>
      </c>
      <c r="G1426" s="20">
        <v>7984.2</v>
      </c>
      <c r="H1426" s="20">
        <v>1334.94</v>
      </c>
      <c r="I1426" s="20">
        <v>1043.23</v>
      </c>
      <c r="J1426" s="51" t="s">
        <v>6726</v>
      </c>
      <c r="K1426" s="15">
        <v>0</v>
      </c>
      <c r="L1426" s="51" t="s">
        <v>2371</v>
      </c>
      <c r="M1426" s="51" t="s">
        <v>7489</v>
      </c>
      <c r="N1426" s="51" t="s">
        <v>1340</v>
      </c>
      <c r="O1426" s="51" t="s">
        <v>7490</v>
      </c>
      <c r="P1426" s="51" t="s">
        <v>1340</v>
      </c>
      <c r="Q1426" s="45">
        <v>46286.762786134263</v>
      </c>
      <c r="R1426" s="46">
        <v>46299</v>
      </c>
      <c r="S1426" s="46">
        <v>46294</v>
      </c>
      <c r="T1426" s="51" t="s">
        <v>6119</v>
      </c>
      <c r="U1426" s="15">
        <v>23.48</v>
      </c>
      <c r="V1426" s="15">
        <v>108.58</v>
      </c>
      <c r="W1426" s="15">
        <v>1</v>
      </c>
      <c r="X1426" s="15">
        <v>0</v>
      </c>
      <c r="Y1426" s="15">
        <v>1.625122</v>
      </c>
      <c r="Z1426" s="15">
        <v>6</v>
      </c>
      <c r="AA1426" s="46">
        <v>46269</v>
      </c>
      <c r="AB1426" s="15"/>
      <c r="AC1426" s="15"/>
      <c r="AD1426" s="15"/>
      <c r="AE1426" s="15"/>
      <c r="AF1426" s="15"/>
      <c r="AG1426" s="15"/>
      <c r="AH1426" s="15"/>
      <c r="AI1426" s="46"/>
      <c r="AJ1426" s="51" t="s">
        <v>67</v>
      </c>
      <c r="AK1426" s="51" t="s">
        <v>67</v>
      </c>
      <c r="AL1426" s="15"/>
      <c r="AM1426" s="51" t="s">
        <v>67</v>
      </c>
      <c r="AN1426" s="51" t="s">
        <v>67</v>
      </c>
      <c r="AO1426" s="50" t="s">
        <v>9554</v>
      </c>
    </row>
    <row r="1427" spans="1:41" hidden="1" x14ac:dyDescent="0.25">
      <c r="A1427" s="51" t="s">
        <v>7411</v>
      </c>
      <c r="B1427" s="51" t="s">
        <v>7491</v>
      </c>
      <c r="C1427" s="54" t="s">
        <v>5597</v>
      </c>
      <c r="D1427" s="51" t="s">
        <v>7492</v>
      </c>
      <c r="E1427" s="20">
        <v>10000</v>
      </c>
      <c r="F1427" s="20">
        <v>47.32</v>
      </c>
      <c r="G1427" s="20">
        <v>13953.95</v>
      </c>
      <c r="H1427" s="20">
        <v>1105.58</v>
      </c>
      <c r="I1427" s="20">
        <v>579.86</v>
      </c>
      <c r="J1427" s="51" t="s">
        <v>6726</v>
      </c>
      <c r="K1427" s="15">
        <v>0</v>
      </c>
      <c r="L1427" s="51" t="s">
        <v>2371</v>
      </c>
      <c r="M1427" s="51" t="s">
        <v>7493</v>
      </c>
      <c r="N1427" s="51" t="s">
        <v>1340</v>
      </c>
      <c r="O1427" s="51" t="s">
        <v>7494</v>
      </c>
      <c r="P1427" s="51" t="s">
        <v>1340</v>
      </c>
      <c r="Q1427" s="45">
        <v>46286.762791516201</v>
      </c>
      <c r="R1427" s="46">
        <v>46321</v>
      </c>
      <c r="S1427" s="46">
        <v>46316</v>
      </c>
      <c r="T1427" s="51" t="s">
        <v>6119</v>
      </c>
      <c r="U1427" s="15"/>
      <c r="V1427" s="15"/>
      <c r="W1427" s="15"/>
      <c r="X1427" s="15"/>
      <c r="Y1427" s="15"/>
      <c r="Z1427" s="15"/>
      <c r="AA1427" s="46"/>
      <c r="AB1427" s="15"/>
      <c r="AC1427" s="15"/>
      <c r="AD1427" s="15"/>
      <c r="AE1427" s="15"/>
      <c r="AF1427" s="15"/>
      <c r="AG1427" s="15"/>
      <c r="AH1427" s="15"/>
      <c r="AI1427" s="46"/>
      <c r="AJ1427" s="51" t="s">
        <v>67</v>
      </c>
      <c r="AK1427" s="51" t="s">
        <v>67</v>
      </c>
      <c r="AL1427" s="15"/>
      <c r="AM1427" s="51" t="s">
        <v>67</v>
      </c>
      <c r="AN1427" s="51" t="s">
        <v>67</v>
      </c>
      <c r="AO1427" s="50" t="s">
        <v>9554</v>
      </c>
    </row>
    <row r="1428" spans="1:41" hidden="1" x14ac:dyDescent="0.25">
      <c r="A1428" s="51" t="s">
        <v>7412</v>
      </c>
      <c r="B1428" s="51" t="s">
        <v>7495</v>
      </c>
      <c r="C1428" s="54" t="s">
        <v>608</v>
      </c>
      <c r="D1428" s="51" t="s">
        <v>7496</v>
      </c>
      <c r="E1428" s="20">
        <v>10000</v>
      </c>
      <c r="F1428" s="20">
        <v>144.09</v>
      </c>
      <c r="G1428" s="20">
        <v>17611.23</v>
      </c>
      <c r="H1428" s="20">
        <v>926.56</v>
      </c>
      <c r="I1428" s="20">
        <v>538.49</v>
      </c>
      <c r="J1428" s="51" t="s">
        <v>6726</v>
      </c>
      <c r="K1428" s="15">
        <v>0</v>
      </c>
      <c r="L1428" s="51" t="s">
        <v>2371</v>
      </c>
      <c r="M1428" s="51" t="s">
        <v>67</v>
      </c>
      <c r="N1428" s="51" t="s">
        <v>67</v>
      </c>
      <c r="O1428" s="51" t="s">
        <v>7497</v>
      </c>
      <c r="P1428" s="51" t="s">
        <v>1340</v>
      </c>
      <c r="Q1428" s="45">
        <v>46286.762798750002</v>
      </c>
      <c r="R1428" s="46">
        <v>46315</v>
      </c>
      <c r="S1428" s="46">
        <v>46310</v>
      </c>
      <c r="T1428" s="51" t="s">
        <v>6119</v>
      </c>
      <c r="U1428" s="15"/>
      <c r="V1428" s="15"/>
      <c r="W1428" s="15"/>
      <c r="X1428" s="15"/>
      <c r="Y1428" s="15"/>
      <c r="Z1428" s="15"/>
      <c r="AA1428" s="46"/>
      <c r="AB1428" s="15"/>
      <c r="AC1428" s="15"/>
      <c r="AD1428" s="15"/>
      <c r="AE1428" s="15"/>
      <c r="AF1428" s="15"/>
      <c r="AG1428" s="15"/>
      <c r="AH1428" s="15"/>
      <c r="AI1428" s="46"/>
      <c r="AJ1428" s="51" t="s">
        <v>67</v>
      </c>
      <c r="AK1428" s="51" t="s">
        <v>67</v>
      </c>
      <c r="AL1428" s="15"/>
      <c r="AM1428" s="51" t="s">
        <v>67</v>
      </c>
      <c r="AN1428" s="51" t="s">
        <v>67</v>
      </c>
      <c r="AO1428" s="50" t="s">
        <v>9554</v>
      </c>
    </row>
    <row r="1429" spans="1:41" hidden="1" x14ac:dyDescent="0.25">
      <c r="A1429" s="51" t="s">
        <v>7413</v>
      </c>
      <c r="B1429" s="51" t="s">
        <v>7498</v>
      </c>
      <c r="C1429" s="54" t="s">
        <v>2345</v>
      </c>
      <c r="D1429" s="51" t="s">
        <v>7499</v>
      </c>
      <c r="E1429" s="20">
        <v>10000</v>
      </c>
      <c r="F1429" s="20">
        <v>194.03</v>
      </c>
      <c r="G1429" s="20">
        <v>12566.06</v>
      </c>
      <c r="H1429" s="20">
        <v>1085.3800000000001</v>
      </c>
      <c r="I1429" s="20">
        <v>643.49</v>
      </c>
      <c r="J1429" s="51" t="s">
        <v>6726</v>
      </c>
      <c r="K1429" s="15">
        <v>0</v>
      </c>
      <c r="L1429" s="51" t="s">
        <v>2371</v>
      </c>
      <c r="M1429" s="51" t="s">
        <v>7500</v>
      </c>
      <c r="N1429" s="51" t="s">
        <v>1344</v>
      </c>
      <c r="O1429" s="51" t="s">
        <v>67</v>
      </c>
      <c r="P1429" s="51" t="s">
        <v>67</v>
      </c>
      <c r="Q1429" s="45">
        <v>46286.76280478009</v>
      </c>
      <c r="R1429" s="46">
        <v>46306</v>
      </c>
      <c r="S1429" s="46">
        <v>46301</v>
      </c>
      <c r="T1429" s="51" t="s">
        <v>6119</v>
      </c>
      <c r="U1429" s="15"/>
      <c r="V1429" s="15"/>
      <c r="W1429" s="15"/>
      <c r="X1429" s="15"/>
      <c r="Y1429" s="15"/>
      <c r="Z1429" s="15"/>
      <c r="AA1429" s="46"/>
      <c r="AB1429" s="15"/>
      <c r="AC1429" s="15"/>
      <c r="AD1429" s="15"/>
      <c r="AE1429" s="15"/>
      <c r="AF1429" s="15"/>
      <c r="AG1429" s="15"/>
      <c r="AH1429" s="15"/>
      <c r="AI1429" s="46"/>
      <c r="AJ1429" s="51" t="s">
        <v>67</v>
      </c>
      <c r="AK1429" s="51" t="s">
        <v>67</v>
      </c>
      <c r="AL1429" s="15"/>
      <c r="AM1429" s="51" t="s">
        <v>67</v>
      </c>
      <c r="AN1429" s="51" t="s">
        <v>67</v>
      </c>
      <c r="AO1429" s="50" t="s">
        <v>9554</v>
      </c>
    </row>
    <row r="1430" spans="1:41" hidden="1" x14ac:dyDescent="0.25">
      <c r="A1430" s="51" t="s">
        <v>7414</v>
      </c>
      <c r="B1430" s="51" t="s">
        <v>7501</v>
      </c>
      <c r="C1430" s="54" t="s">
        <v>2690</v>
      </c>
      <c r="D1430" s="51" t="s">
        <v>7502</v>
      </c>
      <c r="E1430" s="20">
        <v>10000</v>
      </c>
      <c r="F1430" s="20">
        <v>348.57</v>
      </c>
      <c r="G1430" s="20">
        <v>10849.82</v>
      </c>
      <c r="H1430" s="20">
        <v>1356.88</v>
      </c>
      <c r="I1430" s="20">
        <v>857.77</v>
      </c>
      <c r="J1430" s="51" t="s">
        <v>6726</v>
      </c>
      <c r="K1430" s="15">
        <v>0</v>
      </c>
      <c r="L1430" s="51" t="s">
        <v>2371</v>
      </c>
      <c r="M1430" s="51" t="s">
        <v>7503</v>
      </c>
      <c r="N1430" s="51" t="s">
        <v>1340</v>
      </c>
      <c r="O1430" s="51" t="s">
        <v>67</v>
      </c>
      <c r="P1430" s="51" t="s">
        <v>67</v>
      </c>
      <c r="Q1430" s="45">
        <v>46286.762810856482</v>
      </c>
      <c r="R1430" s="46">
        <v>46322</v>
      </c>
      <c r="S1430" s="46">
        <v>46317</v>
      </c>
      <c r="T1430" s="51" t="s">
        <v>6119</v>
      </c>
      <c r="U1430" s="15"/>
      <c r="V1430" s="15"/>
      <c r="W1430" s="15"/>
      <c r="X1430" s="15"/>
      <c r="Y1430" s="15"/>
      <c r="Z1430" s="15"/>
      <c r="AA1430" s="46"/>
      <c r="AB1430" s="15"/>
      <c r="AC1430" s="15"/>
      <c r="AD1430" s="15"/>
      <c r="AE1430" s="15"/>
      <c r="AF1430" s="15"/>
      <c r="AG1430" s="15"/>
      <c r="AH1430" s="15"/>
      <c r="AI1430" s="46"/>
      <c r="AJ1430" s="51" t="s">
        <v>67</v>
      </c>
      <c r="AK1430" s="51" t="s">
        <v>67</v>
      </c>
      <c r="AL1430" s="15"/>
      <c r="AM1430" s="51" t="s">
        <v>67</v>
      </c>
      <c r="AN1430" s="51" t="s">
        <v>67</v>
      </c>
      <c r="AO1430" s="50" t="s">
        <v>9554</v>
      </c>
    </row>
    <row r="1431" spans="1:41" hidden="1" x14ac:dyDescent="0.25">
      <c r="A1431" s="51" t="s">
        <v>7504</v>
      </c>
      <c r="B1431" s="51" t="s">
        <v>7505</v>
      </c>
      <c r="C1431" s="54" t="s">
        <v>5604</v>
      </c>
      <c r="D1431" s="51" t="s">
        <v>7506</v>
      </c>
      <c r="E1431" s="20">
        <v>10000</v>
      </c>
      <c r="F1431" s="20">
        <v>0</v>
      </c>
      <c r="G1431" s="20">
        <v>17166.66</v>
      </c>
      <c r="H1431" s="20">
        <v>2688.25</v>
      </c>
      <c r="I1431" s="20">
        <v>782.97</v>
      </c>
      <c r="J1431" s="51" t="s">
        <v>6726</v>
      </c>
      <c r="K1431" s="15">
        <v>0</v>
      </c>
      <c r="L1431" s="51" t="s">
        <v>2371</v>
      </c>
      <c r="M1431" s="51" t="s">
        <v>7507</v>
      </c>
      <c r="N1431" s="51" t="s">
        <v>1344</v>
      </c>
      <c r="O1431" s="51" t="s">
        <v>7508</v>
      </c>
      <c r="P1431" s="51" t="s">
        <v>1344</v>
      </c>
      <c r="Q1431" s="45">
        <v>46286.762818599535</v>
      </c>
      <c r="R1431" s="46">
        <v>46313</v>
      </c>
      <c r="S1431" s="46">
        <v>46308</v>
      </c>
      <c r="T1431" s="51" t="s">
        <v>6119</v>
      </c>
      <c r="U1431" s="15"/>
      <c r="V1431" s="15"/>
      <c r="W1431" s="15"/>
      <c r="X1431" s="15"/>
      <c r="Y1431" s="15"/>
      <c r="Z1431" s="15"/>
      <c r="AA1431" s="46"/>
      <c r="AB1431" s="15"/>
      <c r="AC1431" s="15"/>
      <c r="AD1431" s="15"/>
      <c r="AE1431" s="15"/>
      <c r="AF1431" s="15"/>
      <c r="AG1431" s="15"/>
      <c r="AH1431" s="15"/>
      <c r="AI1431" s="46"/>
      <c r="AJ1431" s="51" t="s">
        <v>67</v>
      </c>
      <c r="AK1431" s="51" t="s">
        <v>67</v>
      </c>
      <c r="AL1431" s="15"/>
      <c r="AM1431" s="51" t="s">
        <v>67</v>
      </c>
      <c r="AN1431" s="51" t="s">
        <v>67</v>
      </c>
      <c r="AO1431" s="50" t="s">
        <v>9554</v>
      </c>
    </row>
    <row r="1432" spans="1:41" hidden="1" x14ac:dyDescent="0.25">
      <c r="A1432" s="51" t="s">
        <v>7509</v>
      </c>
      <c r="B1432" s="51" t="s">
        <v>7510</v>
      </c>
      <c r="C1432" s="54" t="s">
        <v>608</v>
      </c>
      <c r="D1432" s="51" t="s">
        <v>7511</v>
      </c>
      <c r="E1432" s="20">
        <v>10000</v>
      </c>
      <c r="F1432" s="20">
        <v>0</v>
      </c>
      <c r="G1432" s="20">
        <v>5494.13</v>
      </c>
      <c r="H1432" s="20">
        <v>2170.2600000000002</v>
      </c>
      <c r="I1432" s="20">
        <v>530.80999999999995</v>
      </c>
      <c r="J1432" s="51" t="s">
        <v>6726</v>
      </c>
      <c r="K1432" s="15">
        <v>0</v>
      </c>
      <c r="L1432" s="51" t="s">
        <v>2371</v>
      </c>
      <c r="M1432" s="51" t="s">
        <v>7512</v>
      </c>
      <c r="N1432" s="51" t="s">
        <v>1344</v>
      </c>
      <c r="O1432" s="51" t="s">
        <v>7513</v>
      </c>
      <c r="P1432" s="51" t="s">
        <v>1344</v>
      </c>
      <c r="Q1432" s="45">
        <v>46286.762825752317</v>
      </c>
      <c r="R1432" s="46">
        <v>46315</v>
      </c>
      <c r="S1432" s="46">
        <v>46310</v>
      </c>
      <c r="T1432" s="51" t="s">
        <v>6119</v>
      </c>
      <c r="U1432" s="15"/>
      <c r="V1432" s="15"/>
      <c r="W1432" s="15"/>
      <c r="X1432" s="15"/>
      <c r="Y1432" s="15"/>
      <c r="Z1432" s="15"/>
      <c r="AA1432" s="46"/>
      <c r="AB1432" s="15"/>
      <c r="AC1432" s="15"/>
      <c r="AD1432" s="15"/>
      <c r="AE1432" s="15"/>
      <c r="AF1432" s="15"/>
      <c r="AG1432" s="15"/>
      <c r="AH1432" s="15"/>
      <c r="AI1432" s="46"/>
      <c r="AJ1432" s="51" t="s">
        <v>67</v>
      </c>
      <c r="AK1432" s="51" t="s">
        <v>67</v>
      </c>
      <c r="AL1432" s="15"/>
      <c r="AM1432" s="51" t="s">
        <v>67</v>
      </c>
      <c r="AN1432" s="51" t="s">
        <v>67</v>
      </c>
      <c r="AO1432" s="50" t="s">
        <v>9554</v>
      </c>
    </row>
    <row r="1433" spans="1:41" hidden="1" x14ac:dyDescent="0.25">
      <c r="A1433" s="51" t="s">
        <v>7514</v>
      </c>
      <c r="B1433" s="51" t="s">
        <v>7515</v>
      </c>
      <c r="C1433" s="54" t="s">
        <v>5596</v>
      </c>
      <c r="D1433" s="51" t="s">
        <v>7516</v>
      </c>
      <c r="E1433" s="20">
        <v>10000</v>
      </c>
      <c r="F1433" s="20">
        <v>0</v>
      </c>
      <c r="G1433" s="20">
        <v>11153.79</v>
      </c>
      <c r="H1433" s="20">
        <v>1872.36</v>
      </c>
      <c r="I1433" s="20">
        <v>611.79999999999995</v>
      </c>
      <c r="J1433" s="51" t="s">
        <v>6726</v>
      </c>
      <c r="K1433" s="15">
        <v>0</v>
      </c>
      <c r="L1433" s="51" t="s">
        <v>2371</v>
      </c>
      <c r="M1433" s="51" t="s">
        <v>7517</v>
      </c>
      <c r="N1433" s="51" t="s">
        <v>1340</v>
      </c>
      <c r="O1433" s="51" t="s">
        <v>7518</v>
      </c>
      <c r="P1433" s="51" t="s">
        <v>1340</v>
      </c>
      <c r="Q1433" s="45">
        <v>46286.76283359954</v>
      </c>
      <c r="R1433" s="46">
        <v>46300</v>
      </c>
      <c r="S1433" s="46">
        <v>46295</v>
      </c>
      <c r="T1433" s="51" t="s">
        <v>6119</v>
      </c>
      <c r="U1433" s="15"/>
      <c r="V1433" s="15"/>
      <c r="W1433" s="15"/>
      <c r="X1433" s="15"/>
      <c r="Y1433" s="15"/>
      <c r="Z1433" s="15"/>
      <c r="AA1433" s="46"/>
      <c r="AB1433" s="15"/>
      <c r="AC1433" s="15"/>
      <c r="AD1433" s="15"/>
      <c r="AE1433" s="15"/>
      <c r="AF1433" s="15"/>
      <c r="AG1433" s="15"/>
      <c r="AH1433" s="15"/>
      <c r="AI1433" s="46"/>
      <c r="AJ1433" s="51" t="s">
        <v>67</v>
      </c>
      <c r="AK1433" s="51" t="s">
        <v>67</v>
      </c>
      <c r="AL1433" s="15"/>
      <c r="AM1433" s="51" t="s">
        <v>67</v>
      </c>
      <c r="AN1433" s="51" t="s">
        <v>67</v>
      </c>
      <c r="AO1433" s="50" t="s">
        <v>9554</v>
      </c>
    </row>
    <row r="1434" spans="1:41" hidden="1" x14ac:dyDescent="0.25">
      <c r="A1434" s="51" t="s">
        <v>7519</v>
      </c>
      <c r="B1434" s="51" t="s">
        <v>7520</v>
      </c>
      <c r="C1434" s="54" t="s">
        <v>607</v>
      </c>
      <c r="D1434" s="51" t="s">
        <v>7521</v>
      </c>
      <c r="E1434" s="20">
        <v>10000</v>
      </c>
      <c r="F1434" s="20">
        <v>794.32</v>
      </c>
      <c r="G1434" s="20">
        <v>15840.68</v>
      </c>
      <c r="H1434" s="20">
        <v>1193.75</v>
      </c>
      <c r="I1434" s="20">
        <v>1059.17</v>
      </c>
      <c r="J1434" s="51" t="s">
        <v>6726</v>
      </c>
      <c r="K1434" s="15">
        <v>0</v>
      </c>
      <c r="L1434" s="51" t="s">
        <v>2371</v>
      </c>
      <c r="M1434" s="51" t="s">
        <v>67</v>
      </c>
      <c r="N1434" s="51" t="s">
        <v>67</v>
      </c>
      <c r="O1434" s="51" t="s">
        <v>7522</v>
      </c>
      <c r="P1434" s="51" t="s">
        <v>1340</v>
      </c>
      <c r="Q1434" s="45">
        <v>46286.762840243056</v>
      </c>
      <c r="R1434" s="46">
        <v>46310</v>
      </c>
      <c r="S1434" s="46">
        <v>46305</v>
      </c>
      <c r="T1434" s="51" t="s">
        <v>6119</v>
      </c>
      <c r="U1434" s="15"/>
      <c r="V1434" s="15"/>
      <c r="W1434" s="15"/>
      <c r="X1434" s="15"/>
      <c r="Y1434" s="15"/>
      <c r="Z1434" s="15"/>
      <c r="AA1434" s="46"/>
      <c r="AB1434" s="15"/>
      <c r="AC1434" s="15"/>
      <c r="AD1434" s="15"/>
      <c r="AE1434" s="15"/>
      <c r="AF1434" s="15"/>
      <c r="AG1434" s="15"/>
      <c r="AH1434" s="15"/>
      <c r="AI1434" s="46"/>
      <c r="AJ1434" s="51" t="s">
        <v>67</v>
      </c>
      <c r="AK1434" s="51" t="s">
        <v>67</v>
      </c>
      <c r="AL1434" s="15"/>
      <c r="AM1434" s="51" t="s">
        <v>67</v>
      </c>
      <c r="AN1434" s="51" t="s">
        <v>67</v>
      </c>
      <c r="AO1434" s="50" t="s">
        <v>9554</v>
      </c>
    </row>
    <row r="1435" spans="1:41" hidden="1" x14ac:dyDescent="0.25">
      <c r="A1435" s="51" t="s">
        <v>7523</v>
      </c>
      <c r="B1435" s="51" t="s">
        <v>7524</v>
      </c>
      <c r="C1435" s="54" t="s">
        <v>605</v>
      </c>
      <c r="D1435" s="51" t="s">
        <v>7525</v>
      </c>
      <c r="E1435" s="20">
        <v>10000</v>
      </c>
      <c r="F1435" s="20">
        <v>692.57</v>
      </c>
      <c r="G1435" s="20">
        <v>13548.7</v>
      </c>
      <c r="H1435" s="20">
        <v>739.9</v>
      </c>
      <c r="I1435" s="20">
        <v>767.47</v>
      </c>
      <c r="J1435" s="51" t="s">
        <v>6726</v>
      </c>
      <c r="K1435" s="15">
        <v>0</v>
      </c>
      <c r="L1435" s="51" t="s">
        <v>2371</v>
      </c>
      <c r="M1435" s="51" t="s">
        <v>7526</v>
      </c>
      <c r="N1435" s="51" t="s">
        <v>1340</v>
      </c>
      <c r="O1435" s="51" t="s">
        <v>67</v>
      </c>
      <c r="P1435" s="51" t="s">
        <v>67</v>
      </c>
      <c r="Q1435" s="45">
        <v>46286.762846284721</v>
      </c>
      <c r="R1435" s="46">
        <v>46305</v>
      </c>
      <c r="S1435" s="46">
        <v>46300</v>
      </c>
      <c r="T1435" s="51" t="s">
        <v>6119</v>
      </c>
      <c r="U1435" s="15"/>
      <c r="V1435" s="15"/>
      <c r="W1435" s="15"/>
      <c r="X1435" s="15"/>
      <c r="Y1435" s="15"/>
      <c r="Z1435" s="15"/>
      <c r="AA1435" s="46"/>
      <c r="AB1435" s="15"/>
      <c r="AC1435" s="15"/>
      <c r="AD1435" s="15"/>
      <c r="AE1435" s="15"/>
      <c r="AF1435" s="15"/>
      <c r="AG1435" s="15"/>
      <c r="AH1435" s="15"/>
      <c r="AI1435" s="46"/>
      <c r="AJ1435" s="51" t="s">
        <v>67</v>
      </c>
      <c r="AK1435" s="51" t="s">
        <v>67</v>
      </c>
      <c r="AL1435" s="15"/>
      <c r="AM1435" s="51" t="s">
        <v>67</v>
      </c>
      <c r="AN1435" s="51" t="s">
        <v>67</v>
      </c>
      <c r="AO1435" s="50" t="s">
        <v>9554</v>
      </c>
    </row>
    <row r="1436" spans="1:41" hidden="1" x14ac:dyDescent="0.25">
      <c r="A1436" s="51" t="s">
        <v>7527</v>
      </c>
      <c r="B1436" s="51" t="s">
        <v>7528</v>
      </c>
      <c r="C1436" s="54" t="s">
        <v>5601</v>
      </c>
      <c r="D1436" s="51" t="s">
        <v>7529</v>
      </c>
      <c r="E1436" s="20">
        <v>10000</v>
      </c>
      <c r="F1436" s="20">
        <v>0</v>
      </c>
      <c r="G1436" s="20">
        <v>19956.04</v>
      </c>
      <c r="H1436" s="20">
        <v>7749.94</v>
      </c>
      <c r="I1436" s="20">
        <v>993.27</v>
      </c>
      <c r="J1436" s="51" t="s">
        <v>6726</v>
      </c>
      <c r="K1436" s="15">
        <v>0</v>
      </c>
      <c r="L1436" s="51" t="s">
        <v>2371</v>
      </c>
      <c r="M1436" s="51" t="s">
        <v>67</v>
      </c>
      <c r="N1436" s="51" t="s">
        <v>67</v>
      </c>
      <c r="O1436" s="51" t="s">
        <v>7530</v>
      </c>
      <c r="P1436" s="51" t="s">
        <v>1340</v>
      </c>
      <c r="Q1436" s="45">
        <v>46286.762851817133</v>
      </c>
      <c r="R1436" s="46">
        <v>46316</v>
      </c>
      <c r="S1436" s="46">
        <v>46311</v>
      </c>
      <c r="T1436" s="51" t="s">
        <v>6119</v>
      </c>
      <c r="U1436" s="15"/>
      <c r="V1436" s="15"/>
      <c r="W1436" s="15"/>
      <c r="X1436" s="15"/>
      <c r="Y1436" s="15"/>
      <c r="Z1436" s="15"/>
      <c r="AA1436" s="46"/>
      <c r="AB1436" s="15"/>
      <c r="AC1436" s="15"/>
      <c r="AD1436" s="15"/>
      <c r="AE1436" s="15"/>
      <c r="AF1436" s="15"/>
      <c r="AG1436" s="15"/>
      <c r="AH1436" s="15"/>
      <c r="AI1436" s="46"/>
      <c r="AJ1436" s="51" t="s">
        <v>67</v>
      </c>
      <c r="AK1436" s="51" t="s">
        <v>67</v>
      </c>
      <c r="AL1436" s="15"/>
      <c r="AM1436" s="51" t="s">
        <v>67</v>
      </c>
      <c r="AN1436" s="51" t="s">
        <v>67</v>
      </c>
      <c r="AO1436" s="50" t="s">
        <v>9554</v>
      </c>
    </row>
    <row r="1437" spans="1:41" hidden="1" x14ac:dyDescent="0.25">
      <c r="A1437" s="51" t="s">
        <v>7531</v>
      </c>
      <c r="B1437" s="51" t="s">
        <v>7532</v>
      </c>
      <c r="C1437" s="54" t="s">
        <v>5596</v>
      </c>
      <c r="D1437" s="51" t="s">
        <v>7533</v>
      </c>
      <c r="E1437" s="20">
        <v>10000</v>
      </c>
      <c r="F1437" s="20">
        <v>0</v>
      </c>
      <c r="G1437" s="20">
        <v>3443.55</v>
      </c>
      <c r="H1437" s="20">
        <v>1105.46</v>
      </c>
      <c r="I1437" s="20">
        <v>456.71</v>
      </c>
      <c r="J1437" s="51" t="s">
        <v>6726</v>
      </c>
      <c r="K1437" s="15">
        <v>0</v>
      </c>
      <c r="L1437" s="51" t="s">
        <v>2371</v>
      </c>
      <c r="M1437" s="51" t="s">
        <v>7534</v>
      </c>
      <c r="N1437" s="51" t="s">
        <v>1340</v>
      </c>
      <c r="O1437" s="51" t="s">
        <v>67</v>
      </c>
      <c r="P1437" s="51" t="s">
        <v>67</v>
      </c>
      <c r="Q1437" s="45">
        <v>46286.762857361115</v>
      </c>
      <c r="R1437" s="46">
        <v>46300</v>
      </c>
      <c r="S1437" s="46">
        <v>46295</v>
      </c>
      <c r="T1437" s="51" t="s">
        <v>6119</v>
      </c>
      <c r="U1437" s="15"/>
      <c r="V1437" s="15"/>
      <c r="W1437" s="15"/>
      <c r="X1437" s="15"/>
      <c r="Y1437" s="15"/>
      <c r="Z1437" s="15"/>
      <c r="AA1437" s="46"/>
      <c r="AB1437" s="15"/>
      <c r="AC1437" s="15"/>
      <c r="AD1437" s="15"/>
      <c r="AE1437" s="15"/>
      <c r="AF1437" s="15"/>
      <c r="AG1437" s="15"/>
      <c r="AH1437" s="15"/>
      <c r="AI1437" s="46"/>
      <c r="AJ1437" s="51" t="s">
        <v>67</v>
      </c>
      <c r="AK1437" s="51" t="s">
        <v>67</v>
      </c>
      <c r="AL1437" s="15"/>
      <c r="AM1437" s="51" t="s">
        <v>67</v>
      </c>
      <c r="AN1437" s="51" t="s">
        <v>67</v>
      </c>
      <c r="AO1437" s="50" t="s">
        <v>9554</v>
      </c>
    </row>
    <row r="1438" spans="1:41" hidden="1" x14ac:dyDescent="0.25">
      <c r="A1438" s="51" t="s">
        <v>57</v>
      </c>
      <c r="B1438" s="51" t="s">
        <v>7535</v>
      </c>
      <c r="C1438" s="54" t="s">
        <v>2357</v>
      </c>
      <c r="D1438" s="51" t="s">
        <v>7536</v>
      </c>
      <c r="E1438" s="20">
        <v>10000</v>
      </c>
      <c r="F1438" s="20">
        <v>0</v>
      </c>
      <c r="G1438" s="20">
        <v>16277.49</v>
      </c>
      <c r="H1438" s="20">
        <v>1350.4</v>
      </c>
      <c r="I1438" s="20">
        <v>506.54</v>
      </c>
      <c r="J1438" s="51" t="s">
        <v>6726</v>
      </c>
      <c r="K1438" s="15">
        <v>0</v>
      </c>
      <c r="L1438" s="51" t="s">
        <v>2371</v>
      </c>
      <c r="M1438" s="51" t="s">
        <v>7537</v>
      </c>
      <c r="N1438" s="51" t="s">
        <v>1340</v>
      </c>
      <c r="O1438" s="51" t="s">
        <v>67</v>
      </c>
      <c r="P1438" s="51" t="s">
        <v>67</v>
      </c>
      <c r="Q1438" s="45">
        <v>46286.762861909723</v>
      </c>
      <c r="R1438" s="46">
        <v>46308</v>
      </c>
      <c r="S1438" s="46">
        <v>46303</v>
      </c>
      <c r="T1438" s="51" t="s">
        <v>6119</v>
      </c>
      <c r="U1438" s="15"/>
      <c r="V1438" s="15"/>
      <c r="W1438" s="15"/>
      <c r="X1438" s="15"/>
      <c r="Y1438" s="15"/>
      <c r="Z1438" s="15"/>
      <c r="AA1438" s="46"/>
      <c r="AB1438" s="15"/>
      <c r="AC1438" s="15"/>
      <c r="AD1438" s="15"/>
      <c r="AE1438" s="15"/>
      <c r="AF1438" s="15"/>
      <c r="AG1438" s="15"/>
      <c r="AH1438" s="15"/>
      <c r="AI1438" s="46"/>
      <c r="AJ1438" s="51" t="s">
        <v>67</v>
      </c>
      <c r="AK1438" s="51" t="s">
        <v>67</v>
      </c>
      <c r="AL1438" s="15"/>
      <c r="AM1438" s="51" t="s">
        <v>67</v>
      </c>
      <c r="AN1438" s="51" t="s">
        <v>67</v>
      </c>
      <c r="AO1438" s="50" t="s">
        <v>9554</v>
      </c>
    </row>
    <row r="1439" spans="1:41" hidden="1" x14ac:dyDescent="0.25">
      <c r="A1439" s="51" t="s">
        <v>7538</v>
      </c>
      <c r="B1439" s="51" t="s">
        <v>7539</v>
      </c>
      <c r="C1439" s="54" t="s">
        <v>5604</v>
      </c>
      <c r="D1439" s="51" t="s">
        <v>7540</v>
      </c>
      <c r="E1439" s="20">
        <v>10000</v>
      </c>
      <c r="F1439" s="20">
        <v>0</v>
      </c>
      <c r="G1439" s="20">
        <v>21077</v>
      </c>
      <c r="H1439" s="20">
        <v>5317.16</v>
      </c>
      <c r="I1439" s="20">
        <v>782.85</v>
      </c>
      <c r="J1439" s="51" t="s">
        <v>6726</v>
      </c>
      <c r="K1439" s="15">
        <v>0</v>
      </c>
      <c r="L1439" s="51" t="s">
        <v>2371</v>
      </c>
      <c r="M1439" s="51" t="s">
        <v>67</v>
      </c>
      <c r="N1439" s="51" t="s">
        <v>67</v>
      </c>
      <c r="O1439" s="51" t="s">
        <v>7541</v>
      </c>
      <c r="P1439" s="51" t="s">
        <v>1340</v>
      </c>
      <c r="Q1439" s="45">
        <v>46286.762866944446</v>
      </c>
      <c r="R1439" s="46">
        <v>46313</v>
      </c>
      <c r="S1439" s="46">
        <v>46308</v>
      </c>
      <c r="T1439" s="51" t="s">
        <v>6119</v>
      </c>
      <c r="U1439" s="15"/>
      <c r="V1439" s="15"/>
      <c r="W1439" s="15"/>
      <c r="X1439" s="15"/>
      <c r="Y1439" s="15"/>
      <c r="Z1439" s="15"/>
      <c r="AA1439" s="46"/>
      <c r="AB1439" s="15"/>
      <c r="AC1439" s="15"/>
      <c r="AD1439" s="15"/>
      <c r="AE1439" s="15"/>
      <c r="AF1439" s="15"/>
      <c r="AG1439" s="15"/>
      <c r="AH1439" s="15"/>
      <c r="AI1439" s="46"/>
      <c r="AJ1439" s="51" t="s">
        <v>67</v>
      </c>
      <c r="AK1439" s="51" t="s">
        <v>67</v>
      </c>
      <c r="AL1439" s="15"/>
      <c r="AM1439" s="51" t="s">
        <v>67</v>
      </c>
      <c r="AN1439" s="51" t="s">
        <v>67</v>
      </c>
      <c r="AO1439" s="50" t="s">
        <v>9554</v>
      </c>
    </row>
    <row r="1440" spans="1:41" hidden="1" x14ac:dyDescent="0.25">
      <c r="A1440" s="51" t="s">
        <v>7542</v>
      </c>
      <c r="B1440" s="51" t="s">
        <v>7543</v>
      </c>
      <c r="C1440" s="54" t="s">
        <v>2691</v>
      </c>
      <c r="D1440" s="51" t="s">
        <v>7544</v>
      </c>
      <c r="E1440" s="20">
        <v>10000</v>
      </c>
      <c r="F1440" s="20">
        <v>82.53</v>
      </c>
      <c r="G1440" s="20">
        <v>18353.27</v>
      </c>
      <c r="H1440" s="20">
        <v>1383.09</v>
      </c>
      <c r="I1440" s="20">
        <v>737.14</v>
      </c>
      <c r="J1440" s="51" t="s">
        <v>6726</v>
      </c>
      <c r="K1440" s="15">
        <v>0</v>
      </c>
      <c r="L1440" s="51" t="s">
        <v>2371</v>
      </c>
      <c r="M1440" s="51" t="s">
        <v>7545</v>
      </c>
      <c r="N1440" s="51" t="s">
        <v>1340</v>
      </c>
      <c r="O1440" s="51" t="s">
        <v>67</v>
      </c>
      <c r="P1440" s="51" t="s">
        <v>67</v>
      </c>
      <c r="Q1440" s="45">
        <v>46286.762871666666</v>
      </c>
      <c r="R1440" s="46">
        <v>46301</v>
      </c>
      <c r="S1440" s="46">
        <v>46296</v>
      </c>
      <c r="T1440" s="51" t="s">
        <v>6119</v>
      </c>
      <c r="U1440" s="15"/>
      <c r="V1440" s="15"/>
      <c r="W1440" s="15"/>
      <c r="X1440" s="15"/>
      <c r="Y1440" s="15"/>
      <c r="Z1440" s="15"/>
      <c r="AA1440" s="46"/>
      <c r="AB1440" s="15"/>
      <c r="AC1440" s="15"/>
      <c r="AD1440" s="15"/>
      <c r="AE1440" s="15"/>
      <c r="AF1440" s="15"/>
      <c r="AG1440" s="15"/>
      <c r="AH1440" s="15"/>
      <c r="AI1440" s="46"/>
      <c r="AJ1440" s="51" t="s">
        <v>67</v>
      </c>
      <c r="AK1440" s="51" t="s">
        <v>67</v>
      </c>
      <c r="AL1440" s="15"/>
      <c r="AM1440" s="51" t="s">
        <v>67</v>
      </c>
      <c r="AN1440" s="51" t="s">
        <v>67</v>
      </c>
      <c r="AO1440" s="50" t="s">
        <v>9554</v>
      </c>
    </row>
    <row r="1441" spans="1:41" hidden="1" x14ac:dyDescent="0.25">
      <c r="A1441" s="51" t="s">
        <v>7546</v>
      </c>
      <c r="B1441" s="51" t="s">
        <v>7547</v>
      </c>
      <c r="C1441" s="54" t="s">
        <v>607</v>
      </c>
      <c r="D1441" s="51" t="s">
        <v>7548</v>
      </c>
      <c r="E1441" s="20">
        <v>10000</v>
      </c>
      <c r="F1441" s="20">
        <v>250.73</v>
      </c>
      <c r="G1441" s="20">
        <v>10632.37</v>
      </c>
      <c r="H1441" s="20">
        <v>1310.6199999999999</v>
      </c>
      <c r="I1441" s="20">
        <v>785.29</v>
      </c>
      <c r="J1441" s="51" t="s">
        <v>6726</v>
      </c>
      <c r="K1441" s="15">
        <v>0</v>
      </c>
      <c r="L1441" s="51" t="s">
        <v>2371</v>
      </c>
      <c r="M1441" s="51" t="s">
        <v>7549</v>
      </c>
      <c r="N1441" s="51" t="s">
        <v>1340</v>
      </c>
      <c r="O1441" s="51" t="s">
        <v>7550</v>
      </c>
      <c r="P1441" s="51" t="s">
        <v>1340</v>
      </c>
      <c r="Q1441" s="45">
        <v>46286.7628762963</v>
      </c>
      <c r="R1441" s="46">
        <v>46310</v>
      </c>
      <c r="S1441" s="46">
        <v>46305</v>
      </c>
      <c r="T1441" s="51" t="s">
        <v>6119</v>
      </c>
      <c r="U1441" s="15"/>
      <c r="V1441" s="15"/>
      <c r="W1441" s="15"/>
      <c r="X1441" s="15"/>
      <c r="Y1441" s="15"/>
      <c r="Z1441" s="15"/>
      <c r="AA1441" s="46"/>
      <c r="AB1441" s="15"/>
      <c r="AC1441" s="15"/>
      <c r="AD1441" s="15"/>
      <c r="AE1441" s="15"/>
      <c r="AF1441" s="15"/>
      <c r="AG1441" s="15"/>
      <c r="AH1441" s="15"/>
      <c r="AI1441" s="46"/>
      <c r="AJ1441" s="51" t="s">
        <v>67</v>
      </c>
      <c r="AK1441" s="51" t="s">
        <v>67</v>
      </c>
      <c r="AL1441" s="15"/>
      <c r="AM1441" s="51" t="s">
        <v>67</v>
      </c>
      <c r="AN1441" s="51" t="s">
        <v>67</v>
      </c>
      <c r="AO1441" s="50" t="s">
        <v>9554</v>
      </c>
    </row>
    <row r="1442" spans="1:41" hidden="1" x14ac:dyDescent="0.25">
      <c r="A1442" s="51" t="s">
        <v>7551</v>
      </c>
      <c r="B1442" s="51" t="s">
        <v>7552</v>
      </c>
      <c r="C1442" s="54" t="s">
        <v>608</v>
      </c>
      <c r="D1442" s="51" t="s">
        <v>7553</v>
      </c>
      <c r="E1442" s="20">
        <v>10000</v>
      </c>
      <c r="F1442" s="20">
        <v>381.32</v>
      </c>
      <c r="G1442" s="20">
        <v>1948.03</v>
      </c>
      <c r="H1442" s="20">
        <v>893.39</v>
      </c>
      <c r="I1442" s="20">
        <v>675.23</v>
      </c>
      <c r="J1442" s="51" t="s">
        <v>6726</v>
      </c>
      <c r="K1442" s="15">
        <v>0</v>
      </c>
      <c r="L1442" s="51" t="s">
        <v>2371</v>
      </c>
      <c r="M1442" s="51" t="s">
        <v>7554</v>
      </c>
      <c r="N1442" s="51" t="s">
        <v>1340</v>
      </c>
      <c r="O1442" s="51" t="s">
        <v>67</v>
      </c>
      <c r="P1442" s="51" t="s">
        <v>67</v>
      </c>
      <c r="Q1442" s="45">
        <v>46286.762881655093</v>
      </c>
      <c r="R1442" s="46">
        <v>46315</v>
      </c>
      <c r="S1442" s="46">
        <v>46310</v>
      </c>
      <c r="T1442" s="51" t="s">
        <v>6119</v>
      </c>
      <c r="U1442" s="15"/>
      <c r="V1442" s="15"/>
      <c r="W1442" s="15"/>
      <c r="X1442" s="15"/>
      <c r="Y1442" s="15"/>
      <c r="Z1442" s="15"/>
      <c r="AA1442" s="46"/>
      <c r="AB1442" s="15"/>
      <c r="AC1442" s="15"/>
      <c r="AD1442" s="15"/>
      <c r="AE1442" s="15"/>
      <c r="AF1442" s="15"/>
      <c r="AG1442" s="15"/>
      <c r="AH1442" s="15"/>
      <c r="AI1442" s="46"/>
      <c r="AJ1442" s="51" t="s">
        <v>67</v>
      </c>
      <c r="AK1442" s="51" t="s">
        <v>67</v>
      </c>
      <c r="AL1442" s="15"/>
      <c r="AM1442" s="51" t="s">
        <v>67</v>
      </c>
      <c r="AN1442" s="51" t="s">
        <v>67</v>
      </c>
      <c r="AO1442" s="50" t="s">
        <v>9554</v>
      </c>
    </row>
    <row r="1443" spans="1:41" hidden="1" x14ac:dyDescent="0.25">
      <c r="A1443" s="51" t="s">
        <v>7555</v>
      </c>
      <c r="B1443" s="51" t="s">
        <v>7556</v>
      </c>
      <c r="C1443" s="54" t="s">
        <v>2689</v>
      </c>
      <c r="D1443" s="51" t="s">
        <v>7557</v>
      </c>
      <c r="E1443" s="20">
        <v>10000</v>
      </c>
      <c r="F1443" s="20">
        <v>290.11</v>
      </c>
      <c r="G1443" s="20">
        <v>16902.41</v>
      </c>
      <c r="H1443" s="20">
        <v>1139.6300000000001</v>
      </c>
      <c r="I1443" s="20">
        <v>719.1</v>
      </c>
      <c r="J1443" s="51" t="s">
        <v>6726</v>
      </c>
      <c r="K1443" s="15">
        <v>0</v>
      </c>
      <c r="L1443" s="51" t="s">
        <v>2371</v>
      </c>
      <c r="M1443" s="51" t="s">
        <v>7558</v>
      </c>
      <c r="N1443" s="51" t="s">
        <v>1340</v>
      </c>
      <c r="O1443" s="51" t="s">
        <v>67</v>
      </c>
      <c r="P1443" s="51" t="s">
        <v>67</v>
      </c>
      <c r="Q1443" s="45">
        <v>46286.762888310186</v>
      </c>
      <c r="R1443" s="46">
        <v>46317</v>
      </c>
      <c r="S1443" s="46">
        <v>46312</v>
      </c>
      <c r="T1443" s="51" t="s">
        <v>6119</v>
      </c>
      <c r="U1443" s="15"/>
      <c r="V1443" s="15"/>
      <c r="W1443" s="15"/>
      <c r="X1443" s="15"/>
      <c r="Y1443" s="15"/>
      <c r="Z1443" s="15"/>
      <c r="AA1443" s="46"/>
      <c r="AB1443" s="15"/>
      <c r="AC1443" s="15"/>
      <c r="AD1443" s="15"/>
      <c r="AE1443" s="15"/>
      <c r="AF1443" s="15"/>
      <c r="AG1443" s="15"/>
      <c r="AH1443" s="15"/>
      <c r="AI1443" s="46"/>
      <c r="AJ1443" s="51" t="s">
        <v>67</v>
      </c>
      <c r="AK1443" s="51" t="s">
        <v>67</v>
      </c>
      <c r="AL1443" s="15"/>
      <c r="AM1443" s="51" t="s">
        <v>67</v>
      </c>
      <c r="AN1443" s="51" t="s">
        <v>67</v>
      </c>
      <c r="AO1443" s="50" t="s">
        <v>9554</v>
      </c>
    </row>
    <row r="1444" spans="1:41" hidden="1" x14ac:dyDescent="0.25">
      <c r="A1444" s="51" t="s">
        <v>7559</v>
      </c>
      <c r="B1444" s="51" t="s">
        <v>7560</v>
      </c>
      <c r="C1444" s="54" t="s">
        <v>5600</v>
      </c>
      <c r="D1444" s="51" t="s">
        <v>7561</v>
      </c>
      <c r="E1444" s="20">
        <v>10000</v>
      </c>
      <c r="F1444" s="20">
        <v>48.26</v>
      </c>
      <c r="G1444" s="20">
        <v>4514.2299999999996</v>
      </c>
      <c r="H1444" s="20">
        <v>894.03</v>
      </c>
      <c r="I1444" s="20">
        <v>473.93</v>
      </c>
      <c r="J1444" s="51" t="s">
        <v>6726</v>
      </c>
      <c r="K1444" s="15">
        <v>0</v>
      </c>
      <c r="L1444" s="51" t="s">
        <v>2371</v>
      </c>
      <c r="M1444" s="51" t="s">
        <v>7562</v>
      </c>
      <c r="N1444" s="51" t="s">
        <v>1340</v>
      </c>
      <c r="O1444" s="51" t="s">
        <v>7563</v>
      </c>
      <c r="P1444" s="51" t="s">
        <v>1340</v>
      </c>
      <c r="Q1444" s="45">
        <v>46286.762900543981</v>
      </c>
      <c r="R1444" s="46">
        <v>46304</v>
      </c>
      <c r="S1444" s="46">
        <v>46299</v>
      </c>
      <c r="T1444" s="51" t="s">
        <v>6119</v>
      </c>
      <c r="U1444" s="15"/>
      <c r="V1444" s="15"/>
      <c r="W1444" s="15"/>
      <c r="X1444" s="15"/>
      <c r="Y1444" s="15"/>
      <c r="Z1444" s="15"/>
      <c r="AA1444" s="46"/>
      <c r="AB1444" s="15"/>
      <c r="AC1444" s="15"/>
      <c r="AD1444" s="15"/>
      <c r="AE1444" s="15"/>
      <c r="AF1444" s="15"/>
      <c r="AG1444" s="15"/>
      <c r="AH1444" s="15"/>
      <c r="AI1444" s="46"/>
      <c r="AJ1444" s="51" t="s">
        <v>67</v>
      </c>
      <c r="AK1444" s="51" t="s">
        <v>67</v>
      </c>
      <c r="AL1444" s="15"/>
      <c r="AM1444" s="51" t="s">
        <v>67</v>
      </c>
      <c r="AN1444" s="51" t="s">
        <v>67</v>
      </c>
      <c r="AO1444" s="50" t="s">
        <v>9554</v>
      </c>
    </row>
    <row r="1445" spans="1:41" hidden="1" x14ac:dyDescent="0.25">
      <c r="A1445" s="51" t="s">
        <v>7564</v>
      </c>
      <c r="B1445" s="51" t="s">
        <v>7565</v>
      </c>
      <c r="C1445" s="54" t="s">
        <v>2689</v>
      </c>
      <c r="D1445" s="51" t="s">
        <v>7566</v>
      </c>
      <c r="E1445" s="20">
        <v>10000</v>
      </c>
      <c r="F1445" s="20">
        <v>126.41</v>
      </c>
      <c r="G1445" s="20">
        <v>18550.919999999998</v>
      </c>
      <c r="H1445" s="20">
        <v>1404.05</v>
      </c>
      <c r="I1445" s="20">
        <v>769.76</v>
      </c>
      <c r="J1445" s="51" t="s">
        <v>6726</v>
      </c>
      <c r="K1445" s="15">
        <v>0</v>
      </c>
      <c r="L1445" s="51" t="s">
        <v>2371</v>
      </c>
      <c r="M1445" s="51" t="s">
        <v>67</v>
      </c>
      <c r="N1445" s="51" t="s">
        <v>67</v>
      </c>
      <c r="O1445" s="51" t="s">
        <v>7567</v>
      </c>
      <c r="P1445" s="51" t="s">
        <v>1340</v>
      </c>
      <c r="Q1445" s="45">
        <v>46286.762908912038</v>
      </c>
      <c r="R1445" s="46">
        <v>46317</v>
      </c>
      <c r="S1445" s="46">
        <v>46312</v>
      </c>
      <c r="T1445" s="51" t="s">
        <v>6119</v>
      </c>
      <c r="U1445" s="15"/>
      <c r="V1445" s="15"/>
      <c r="W1445" s="15"/>
      <c r="X1445" s="15"/>
      <c r="Y1445" s="15"/>
      <c r="Z1445" s="15"/>
      <c r="AA1445" s="46"/>
      <c r="AB1445" s="15"/>
      <c r="AC1445" s="15"/>
      <c r="AD1445" s="15"/>
      <c r="AE1445" s="15"/>
      <c r="AF1445" s="15"/>
      <c r="AG1445" s="15"/>
      <c r="AH1445" s="15"/>
      <c r="AI1445" s="46"/>
      <c r="AJ1445" s="51" t="s">
        <v>67</v>
      </c>
      <c r="AK1445" s="51" t="s">
        <v>67</v>
      </c>
      <c r="AL1445" s="15"/>
      <c r="AM1445" s="51" t="s">
        <v>67</v>
      </c>
      <c r="AN1445" s="51" t="s">
        <v>67</v>
      </c>
      <c r="AO1445" s="50" t="s">
        <v>9554</v>
      </c>
    </row>
    <row r="1446" spans="1:41" hidden="1" x14ac:dyDescent="0.25">
      <c r="A1446" s="51" t="s">
        <v>7568</v>
      </c>
      <c r="B1446" s="51" t="s">
        <v>7569</v>
      </c>
      <c r="C1446" s="54" t="s">
        <v>2691</v>
      </c>
      <c r="D1446" s="51" t="s">
        <v>7570</v>
      </c>
      <c r="E1446" s="20">
        <v>10000</v>
      </c>
      <c r="F1446" s="20">
        <v>271.95999999999998</v>
      </c>
      <c r="G1446" s="20">
        <v>21440.080000000002</v>
      </c>
      <c r="H1446" s="20">
        <v>724.04</v>
      </c>
      <c r="I1446" s="20">
        <v>516.94000000000005</v>
      </c>
      <c r="J1446" s="51" t="s">
        <v>6726</v>
      </c>
      <c r="K1446" s="15">
        <v>20</v>
      </c>
      <c r="L1446" s="51" t="s">
        <v>2369</v>
      </c>
      <c r="M1446" s="51" t="s">
        <v>7571</v>
      </c>
      <c r="N1446" s="51" t="s">
        <v>1340</v>
      </c>
      <c r="O1446" s="51" t="s">
        <v>7572</v>
      </c>
      <c r="P1446" s="51" t="s">
        <v>1340</v>
      </c>
      <c r="Q1446" s="45">
        <v>46286.76291597222</v>
      </c>
      <c r="R1446" s="46">
        <v>46301</v>
      </c>
      <c r="S1446" s="46">
        <v>46296</v>
      </c>
      <c r="T1446" s="51" t="s">
        <v>6119</v>
      </c>
      <c r="U1446" s="15"/>
      <c r="V1446" s="15"/>
      <c r="W1446" s="15"/>
      <c r="X1446" s="15"/>
      <c r="Y1446" s="15"/>
      <c r="Z1446" s="15"/>
      <c r="AA1446" s="46"/>
      <c r="AB1446" s="15"/>
      <c r="AC1446" s="15"/>
      <c r="AD1446" s="15"/>
      <c r="AE1446" s="15"/>
      <c r="AF1446" s="15"/>
      <c r="AG1446" s="15"/>
      <c r="AH1446" s="15"/>
      <c r="AI1446" s="46"/>
      <c r="AJ1446" s="51" t="s">
        <v>6121</v>
      </c>
      <c r="AK1446" s="51" t="s">
        <v>67</v>
      </c>
      <c r="AL1446" s="15"/>
      <c r="AM1446" s="51" t="s">
        <v>67</v>
      </c>
      <c r="AN1446" s="51" t="s">
        <v>67</v>
      </c>
      <c r="AO1446" s="50" t="s">
        <v>9554</v>
      </c>
    </row>
    <row r="1447" spans="1:41" hidden="1" x14ac:dyDescent="0.25">
      <c r="A1447" s="51" t="s">
        <v>7573</v>
      </c>
      <c r="B1447" s="51" t="s">
        <v>7574</v>
      </c>
      <c r="C1447" s="54" t="s">
        <v>608</v>
      </c>
      <c r="D1447" s="51" t="s">
        <v>7476</v>
      </c>
      <c r="E1447" s="20">
        <v>10000</v>
      </c>
      <c r="F1447" s="20">
        <v>0</v>
      </c>
      <c r="G1447" s="20">
        <v>4952.07</v>
      </c>
      <c r="H1447" s="20">
        <v>2510.1</v>
      </c>
      <c r="I1447" s="20">
        <v>658.47</v>
      </c>
      <c r="J1447" s="51" t="s">
        <v>6726</v>
      </c>
      <c r="K1447" s="15">
        <v>0</v>
      </c>
      <c r="L1447" s="51" t="s">
        <v>2371</v>
      </c>
      <c r="M1447" s="51" t="s">
        <v>7575</v>
      </c>
      <c r="N1447" s="51" t="s">
        <v>1344</v>
      </c>
      <c r="O1447" s="51" t="s">
        <v>7576</v>
      </c>
      <c r="P1447" s="51" t="s">
        <v>1344</v>
      </c>
      <c r="Q1447" s="45">
        <v>46286.762929062497</v>
      </c>
      <c r="R1447" s="46">
        <v>46315</v>
      </c>
      <c r="S1447" s="46">
        <v>46310</v>
      </c>
      <c r="T1447" s="51" t="s">
        <v>6119</v>
      </c>
      <c r="U1447" s="15"/>
      <c r="V1447" s="15"/>
      <c r="W1447" s="15"/>
      <c r="X1447" s="15"/>
      <c r="Y1447" s="15"/>
      <c r="Z1447" s="15"/>
      <c r="AA1447" s="46"/>
      <c r="AB1447" s="15"/>
      <c r="AC1447" s="15"/>
      <c r="AD1447" s="15"/>
      <c r="AE1447" s="15"/>
      <c r="AF1447" s="15"/>
      <c r="AG1447" s="15"/>
      <c r="AH1447" s="15"/>
      <c r="AI1447" s="46"/>
      <c r="AJ1447" s="51" t="s">
        <v>67</v>
      </c>
      <c r="AK1447" s="51" t="s">
        <v>67</v>
      </c>
      <c r="AL1447" s="15"/>
      <c r="AM1447" s="51" t="s">
        <v>67</v>
      </c>
      <c r="AN1447" s="51" t="s">
        <v>67</v>
      </c>
      <c r="AO1447" s="50" t="s">
        <v>9554</v>
      </c>
    </row>
    <row r="1448" spans="1:41" hidden="1" x14ac:dyDescent="0.25">
      <c r="A1448" s="51" t="s">
        <v>7577</v>
      </c>
      <c r="B1448" s="51" t="s">
        <v>7578</v>
      </c>
      <c r="C1448" s="54" t="s">
        <v>5602</v>
      </c>
      <c r="D1448" s="51" t="s">
        <v>7579</v>
      </c>
      <c r="E1448" s="20">
        <v>10000</v>
      </c>
      <c r="F1448" s="20">
        <v>0</v>
      </c>
      <c r="G1448" s="20">
        <v>9661.82</v>
      </c>
      <c r="H1448" s="20">
        <v>6629.76</v>
      </c>
      <c r="I1448" s="20">
        <v>658.67</v>
      </c>
      <c r="J1448" s="51" t="s">
        <v>6726</v>
      </c>
      <c r="K1448" s="15">
        <v>0</v>
      </c>
      <c r="L1448" s="51" t="s">
        <v>2371</v>
      </c>
      <c r="M1448" s="51" t="s">
        <v>7580</v>
      </c>
      <c r="N1448" s="51" t="s">
        <v>1340</v>
      </c>
      <c r="O1448" s="51" t="s">
        <v>67</v>
      </c>
      <c r="P1448" s="51" t="s">
        <v>67</v>
      </c>
      <c r="Q1448" s="45">
        <v>46286.762945902781</v>
      </c>
      <c r="R1448" s="46">
        <v>46303</v>
      </c>
      <c r="S1448" s="46">
        <v>46298</v>
      </c>
      <c r="T1448" s="51" t="s">
        <v>6119</v>
      </c>
      <c r="U1448" s="15"/>
      <c r="V1448" s="15"/>
      <c r="W1448" s="15"/>
      <c r="X1448" s="15"/>
      <c r="Y1448" s="15"/>
      <c r="Z1448" s="15"/>
      <c r="AA1448" s="46"/>
      <c r="AB1448" s="15"/>
      <c r="AC1448" s="15"/>
      <c r="AD1448" s="15"/>
      <c r="AE1448" s="15"/>
      <c r="AF1448" s="15"/>
      <c r="AG1448" s="15"/>
      <c r="AH1448" s="15"/>
      <c r="AI1448" s="46"/>
      <c r="AJ1448" s="51" t="s">
        <v>67</v>
      </c>
      <c r="AK1448" s="51" t="s">
        <v>67</v>
      </c>
      <c r="AL1448" s="15"/>
      <c r="AM1448" s="51" t="s">
        <v>67</v>
      </c>
      <c r="AN1448" s="51" t="s">
        <v>67</v>
      </c>
      <c r="AO1448" s="50" t="s">
        <v>9554</v>
      </c>
    </row>
    <row r="1449" spans="1:41" hidden="1" x14ac:dyDescent="0.25">
      <c r="A1449" s="51" t="s">
        <v>7581</v>
      </c>
      <c r="B1449" s="51" t="s">
        <v>7582</v>
      </c>
      <c r="C1449" s="54" t="s">
        <v>2356</v>
      </c>
      <c r="D1449" s="51" t="s">
        <v>7583</v>
      </c>
      <c r="E1449" s="20">
        <v>10000</v>
      </c>
      <c r="F1449" s="20">
        <v>3.65</v>
      </c>
      <c r="G1449" s="20">
        <v>18130.86</v>
      </c>
      <c r="H1449" s="20">
        <v>1035.5</v>
      </c>
      <c r="I1449" s="20">
        <v>522.65</v>
      </c>
      <c r="J1449" s="51" t="s">
        <v>6726</v>
      </c>
      <c r="K1449" s="15">
        <v>0</v>
      </c>
      <c r="L1449" s="51" t="s">
        <v>2371</v>
      </c>
      <c r="M1449" s="51" t="s">
        <v>67</v>
      </c>
      <c r="N1449" s="51" t="s">
        <v>67</v>
      </c>
      <c r="O1449" s="51" t="s">
        <v>7584</v>
      </c>
      <c r="P1449" s="51" t="s">
        <v>1340</v>
      </c>
      <c r="Q1449" s="45">
        <v>46286.762953900463</v>
      </c>
      <c r="R1449" s="46">
        <v>46307</v>
      </c>
      <c r="S1449" s="46">
        <v>46302</v>
      </c>
      <c r="T1449" s="51" t="s">
        <v>6119</v>
      </c>
      <c r="U1449" s="15"/>
      <c r="V1449" s="15"/>
      <c r="W1449" s="15"/>
      <c r="X1449" s="15"/>
      <c r="Y1449" s="15"/>
      <c r="Z1449" s="15"/>
      <c r="AA1449" s="46"/>
      <c r="AB1449" s="15"/>
      <c r="AC1449" s="15"/>
      <c r="AD1449" s="15"/>
      <c r="AE1449" s="15"/>
      <c r="AF1449" s="15"/>
      <c r="AG1449" s="15"/>
      <c r="AH1449" s="15"/>
      <c r="AI1449" s="46"/>
      <c r="AJ1449" s="51" t="s">
        <v>67</v>
      </c>
      <c r="AK1449" s="51" t="s">
        <v>67</v>
      </c>
      <c r="AL1449" s="15"/>
      <c r="AM1449" s="51" t="s">
        <v>67</v>
      </c>
      <c r="AN1449" s="51" t="s">
        <v>67</v>
      </c>
      <c r="AO1449" s="50" t="s">
        <v>9554</v>
      </c>
    </row>
    <row r="1450" spans="1:41" hidden="1" x14ac:dyDescent="0.25">
      <c r="A1450" s="51" t="s">
        <v>7585</v>
      </c>
      <c r="B1450" s="51" t="s">
        <v>7586</v>
      </c>
      <c r="C1450" s="54" t="s">
        <v>611</v>
      </c>
      <c r="D1450" s="51" t="s">
        <v>7587</v>
      </c>
      <c r="E1450" s="20">
        <v>10000</v>
      </c>
      <c r="F1450" s="20">
        <v>0</v>
      </c>
      <c r="G1450" s="20">
        <v>10942.8</v>
      </c>
      <c r="H1450" s="20">
        <v>3908.34</v>
      </c>
      <c r="I1450" s="20">
        <v>822.19</v>
      </c>
      <c r="J1450" s="51" t="s">
        <v>6726</v>
      </c>
      <c r="K1450" s="15">
        <v>0</v>
      </c>
      <c r="L1450" s="51" t="s">
        <v>2371</v>
      </c>
      <c r="M1450" s="51" t="s">
        <v>7588</v>
      </c>
      <c r="N1450" s="51" t="s">
        <v>1344</v>
      </c>
      <c r="O1450" s="51" t="s">
        <v>67</v>
      </c>
      <c r="P1450" s="51" t="s">
        <v>67</v>
      </c>
      <c r="Q1450" s="45">
        <v>46286.762960023145</v>
      </c>
      <c r="R1450" s="46">
        <v>46320</v>
      </c>
      <c r="S1450" s="46">
        <v>46315</v>
      </c>
      <c r="T1450" s="51" t="s">
        <v>6119</v>
      </c>
      <c r="U1450" s="15"/>
      <c r="V1450" s="15"/>
      <c r="W1450" s="15"/>
      <c r="X1450" s="15"/>
      <c r="Y1450" s="15"/>
      <c r="Z1450" s="15"/>
      <c r="AA1450" s="46"/>
      <c r="AB1450" s="15"/>
      <c r="AC1450" s="15"/>
      <c r="AD1450" s="15"/>
      <c r="AE1450" s="15"/>
      <c r="AF1450" s="15"/>
      <c r="AG1450" s="15"/>
      <c r="AH1450" s="15"/>
      <c r="AI1450" s="46"/>
      <c r="AJ1450" s="51" t="s">
        <v>67</v>
      </c>
      <c r="AK1450" s="51" t="s">
        <v>67</v>
      </c>
      <c r="AL1450" s="15"/>
      <c r="AM1450" s="51" t="s">
        <v>67</v>
      </c>
      <c r="AN1450" s="51" t="s">
        <v>67</v>
      </c>
      <c r="AO1450" s="50" t="s">
        <v>9554</v>
      </c>
    </row>
    <row r="1451" spans="1:41" hidden="1" x14ac:dyDescent="0.25">
      <c r="A1451" s="51" t="s">
        <v>7589</v>
      </c>
      <c r="B1451" s="51" t="s">
        <v>7590</v>
      </c>
      <c r="C1451" s="54" t="s">
        <v>2694</v>
      </c>
      <c r="D1451" s="51" t="s">
        <v>7591</v>
      </c>
      <c r="E1451" s="20">
        <v>10000</v>
      </c>
      <c r="F1451" s="20">
        <v>563.65</v>
      </c>
      <c r="G1451" s="20">
        <v>15615.74</v>
      </c>
      <c r="H1451" s="20">
        <v>1364.88</v>
      </c>
      <c r="I1451" s="20">
        <v>1025.1099999999999</v>
      </c>
      <c r="J1451" s="51" t="s">
        <v>6726</v>
      </c>
      <c r="K1451" s="15">
        <v>40</v>
      </c>
      <c r="L1451" s="51" t="s">
        <v>2369</v>
      </c>
      <c r="M1451" s="51" t="s">
        <v>7592</v>
      </c>
      <c r="N1451" s="51" t="s">
        <v>1340</v>
      </c>
      <c r="O1451" s="51" t="s">
        <v>7593</v>
      </c>
      <c r="P1451" s="51" t="s">
        <v>1340</v>
      </c>
      <c r="Q1451" s="45">
        <v>46286.762966168979</v>
      </c>
      <c r="R1451" s="46">
        <v>46312</v>
      </c>
      <c r="S1451" s="46">
        <v>46307</v>
      </c>
      <c r="T1451" s="51" t="s">
        <v>6119</v>
      </c>
      <c r="U1451" s="15"/>
      <c r="V1451" s="15"/>
      <c r="W1451" s="15"/>
      <c r="X1451" s="15"/>
      <c r="Y1451" s="15"/>
      <c r="Z1451" s="15"/>
      <c r="AA1451" s="46"/>
      <c r="AB1451" s="15"/>
      <c r="AC1451" s="15"/>
      <c r="AD1451" s="15"/>
      <c r="AE1451" s="15"/>
      <c r="AF1451" s="15"/>
      <c r="AG1451" s="15"/>
      <c r="AH1451" s="15"/>
      <c r="AI1451" s="46"/>
      <c r="AJ1451" s="51" t="s">
        <v>6121</v>
      </c>
      <c r="AK1451" s="51" t="s">
        <v>67</v>
      </c>
      <c r="AL1451" s="15"/>
      <c r="AM1451" s="51" t="s">
        <v>67</v>
      </c>
      <c r="AN1451" s="51" t="s">
        <v>67</v>
      </c>
      <c r="AO1451" s="50" t="s">
        <v>9554</v>
      </c>
    </row>
    <row r="1452" spans="1:41" hidden="1" x14ac:dyDescent="0.25">
      <c r="A1452" s="51" t="s">
        <v>7594</v>
      </c>
      <c r="B1452" s="51" t="s">
        <v>7595</v>
      </c>
      <c r="C1452" s="54" t="s">
        <v>5603</v>
      </c>
      <c r="D1452" s="51" t="s">
        <v>7596</v>
      </c>
      <c r="E1452" s="20">
        <v>10000</v>
      </c>
      <c r="F1452" s="20">
        <v>133.80000000000001</v>
      </c>
      <c r="G1452" s="20">
        <v>4120.83</v>
      </c>
      <c r="H1452" s="20">
        <v>1410.09</v>
      </c>
      <c r="I1452" s="20">
        <v>776.51</v>
      </c>
      <c r="J1452" s="51" t="s">
        <v>6726</v>
      </c>
      <c r="K1452" s="15">
        <v>0</v>
      </c>
      <c r="L1452" s="51" t="s">
        <v>2371</v>
      </c>
      <c r="M1452" s="51" t="s">
        <v>67</v>
      </c>
      <c r="N1452" s="51" t="s">
        <v>67</v>
      </c>
      <c r="O1452" s="51" t="s">
        <v>7597</v>
      </c>
      <c r="P1452" s="51" t="s">
        <v>1340</v>
      </c>
      <c r="Q1452" s="45">
        <v>46286.763052719907</v>
      </c>
      <c r="R1452" s="46">
        <v>46298</v>
      </c>
      <c r="S1452" s="46">
        <v>46293</v>
      </c>
      <c r="T1452" s="51" t="s">
        <v>6119</v>
      </c>
      <c r="U1452" s="15"/>
      <c r="V1452" s="15"/>
      <c r="W1452" s="15"/>
      <c r="X1452" s="15"/>
      <c r="Y1452" s="15"/>
      <c r="Z1452" s="15"/>
      <c r="AA1452" s="46"/>
      <c r="AB1452" s="15"/>
      <c r="AC1452" s="15"/>
      <c r="AD1452" s="15"/>
      <c r="AE1452" s="15"/>
      <c r="AF1452" s="15"/>
      <c r="AG1452" s="15"/>
      <c r="AH1452" s="15"/>
      <c r="AI1452" s="46"/>
      <c r="AJ1452" s="51" t="s">
        <v>67</v>
      </c>
      <c r="AK1452" s="51" t="s">
        <v>67</v>
      </c>
      <c r="AL1452" s="15"/>
      <c r="AM1452" s="51" t="s">
        <v>67</v>
      </c>
      <c r="AN1452" s="51" t="s">
        <v>67</v>
      </c>
      <c r="AO1452" s="50" t="s">
        <v>9554</v>
      </c>
    </row>
    <row r="1453" spans="1:41" hidden="1" x14ac:dyDescent="0.25">
      <c r="A1453" s="51" t="s">
        <v>7598</v>
      </c>
      <c r="B1453" s="51" t="s">
        <v>7599</v>
      </c>
      <c r="C1453" s="54" t="s">
        <v>5600</v>
      </c>
      <c r="D1453" s="51" t="s">
        <v>7600</v>
      </c>
      <c r="E1453" s="20">
        <v>10000</v>
      </c>
      <c r="F1453" s="20">
        <v>0</v>
      </c>
      <c r="G1453" s="20">
        <v>13459.66</v>
      </c>
      <c r="H1453" s="20">
        <v>1932.5</v>
      </c>
      <c r="I1453" s="20">
        <v>898.65</v>
      </c>
      <c r="J1453" s="51" t="s">
        <v>6726</v>
      </c>
      <c r="K1453" s="15">
        <v>0</v>
      </c>
      <c r="L1453" s="51" t="s">
        <v>2371</v>
      </c>
      <c r="M1453" s="51" t="s">
        <v>7601</v>
      </c>
      <c r="N1453" s="51" t="s">
        <v>1340</v>
      </c>
      <c r="O1453" s="51" t="s">
        <v>67</v>
      </c>
      <c r="P1453" s="51" t="s">
        <v>67</v>
      </c>
      <c r="Q1453" s="45">
        <v>46286.763057048614</v>
      </c>
      <c r="R1453" s="46">
        <v>46304</v>
      </c>
      <c r="S1453" s="46">
        <v>46299</v>
      </c>
      <c r="T1453" s="51" t="s">
        <v>6119</v>
      </c>
      <c r="U1453" s="15"/>
      <c r="V1453" s="15"/>
      <c r="W1453" s="15"/>
      <c r="X1453" s="15"/>
      <c r="Y1453" s="15"/>
      <c r="Z1453" s="15"/>
      <c r="AA1453" s="46"/>
      <c r="AB1453" s="15"/>
      <c r="AC1453" s="15"/>
      <c r="AD1453" s="15"/>
      <c r="AE1453" s="15"/>
      <c r="AF1453" s="15"/>
      <c r="AG1453" s="15"/>
      <c r="AH1453" s="15"/>
      <c r="AI1453" s="46"/>
      <c r="AJ1453" s="51" t="s">
        <v>67</v>
      </c>
      <c r="AK1453" s="51" t="s">
        <v>67</v>
      </c>
      <c r="AL1453" s="15"/>
      <c r="AM1453" s="51" t="s">
        <v>67</v>
      </c>
      <c r="AN1453" s="51" t="s">
        <v>67</v>
      </c>
      <c r="AO1453" s="50" t="s">
        <v>9554</v>
      </c>
    </row>
    <row r="1454" spans="1:41" hidden="1" x14ac:dyDescent="0.25">
      <c r="A1454" s="51" t="s">
        <v>7602</v>
      </c>
      <c r="B1454" s="51" t="s">
        <v>7603</v>
      </c>
      <c r="C1454" s="54" t="s">
        <v>5596</v>
      </c>
      <c r="D1454" s="51" t="s">
        <v>7604</v>
      </c>
      <c r="E1454" s="20">
        <v>10000</v>
      </c>
      <c r="F1454" s="20">
        <v>0</v>
      </c>
      <c r="G1454" s="20">
        <v>4337.6400000000003</v>
      </c>
      <c r="H1454" s="20">
        <v>1693.97</v>
      </c>
      <c r="I1454" s="20">
        <v>749.25</v>
      </c>
      <c r="J1454" s="51" t="s">
        <v>6726</v>
      </c>
      <c r="K1454" s="15">
        <v>0</v>
      </c>
      <c r="L1454" s="51" t="s">
        <v>2371</v>
      </c>
      <c r="M1454" s="51" t="s">
        <v>7605</v>
      </c>
      <c r="N1454" s="51" t="s">
        <v>1340</v>
      </c>
      <c r="O1454" s="51" t="s">
        <v>7606</v>
      </c>
      <c r="P1454" s="51" t="s">
        <v>1340</v>
      </c>
      <c r="Q1454" s="45">
        <v>46286.763061909725</v>
      </c>
      <c r="R1454" s="46">
        <v>46300</v>
      </c>
      <c r="S1454" s="46">
        <v>46295</v>
      </c>
      <c r="T1454" s="51" t="s">
        <v>6119</v>
      </c>
      <c r="U1454" s="15"/>
      <c r="V1454" s="15"/>
      <c r="W1454" s="15"/>
      <c r="X1454" s="15"/>
      <c r="Y1454" s="15"/>
      <c r="Z1454" s="15"/>
      <c r="AA1454" s="46"/>
      <c r="AB1454" s="15"/>
      <c r="AC1454" s="15"/>
      <c r="AD1454" s="15"/>
      <c r="AE1454" s="15"/>
      <c r="AF1454" s="15"/>
      <c r="AG1454" s="15"/>
      <c r="AH1454" s="15"/>
      <c r="AI1454" s="46"/>
      <c r="AJ1454" s="51" t="s">
        <v>67</v>
      </c>
      <c r="AK1454" s="51" t="s">
        <v>67</v>
      </c>
      <c r="AL1454" s="15"/>
      <c r="AM1454" s="51" t="s">
        <v>67</v>
      </c>
      <c r="AN1454" s="51" t="s">
        <v>67</v>
      </c>
      <c r="AO1454" s="50" t="s">
        <v>9554</v>
      </c>
    </row>
    <row r="1455" spans="1:41" hidden="1" x14ac:dyDescent="0.25">
      <c r="A1455" s="51" t="s">
        <v>7607</v>
      </c>
      <c r="B1455" s="51" t="s">
        <v>7608</v>
      </c>
      <c r="C1455" s="54" t="s">
        <v>608</v>
      </c>
      <c r="D1455" s="51" t="s">
        <v>7600</v>
      </c>
      <c r="E1455" s="20">
        <v>10000</v>
      </c>
      <c r="F1455" s="20">
        <v>259.11</v>
      </c>
      <c r="G1455" s="20">
        <v>13511.31</v>
      </c>
      <c r="H1455" s="20">
        <v>1075.26</v>
      </c>
      <c r="I1455" s="20">
        <v>671.13</v>
      </c>
      <c r="J1455" s="51" t="s">
        <v>6726</v>
      </c>
      <c r="K1455" s="15">
        <v>0</v>
      </c>
      <c r="L1455" s="51" t="s">
        <v>2371</v>
      </c>
      <c r="M1455" s="51" t="s">
        <v>67</v>
      </c>
      <c r="N1455" s="51" t="s">
        <v>67</v>
      </c>
      <c r="O1455" s="51" t="s">
        <v>7609</v>
      </c>
      <c r="P1455" s="51" t="s">
        <v>1340</v>
      </c>
      <c r="Q1455" s="45">
        <v>46286.763066851854</v>
      </c>
      <c r="R1455" s="46">
        <v>46315</v>
      </c>
      <c r="S1455" s="46">
        <v>46310</v>
      </c>
      <c r="T1455" s="51" t="s">
        <v>6119</v>
      </c>
      <c r="U1455" s="15"/>
      <c r="V1455" s="15"/>
      <c r="W1455" s="15"/>
      <c r="X1455" s="15"/>
      <c r="Y1455" s="15"/>
      <c r="Z1455" s="15"/>
      <c r="AA1455" s="46"/>
      <c r="AB1455" s="15"/>
      <c r="AC1455" s="15"/>
      <c r="AD1455" s="15"/>
      <c r="AE1455" s="15"/>
      <c r="AF1455" s="15"/>
      <c r="AG1455" s="15"/>
      <c r="AH1455" s="15"/>
      <c r="AI1455" s="46"/>
      <c r="AJ1455" s="51" t="s">
        <v>67</v>
      </c>
      <c r="AK1455" s="51" t="s">
        <v>67</v>
      </c>
      <c r="AL1455" s="15"/>
      <c r="AM1455" s="51" t="s">
        <v>67</v>
      </c>
      <c r="AN1455" s="51" t="s">
        <v>67</v>
      </c>
      <c r="AO1455" s="50" t="s">
        <v>9554</v>
      </c>
    </row>
    <row r="1456" spans="1:41" hidden="1" x14ac:dyDescent="0.25">
      <c r="A1456" s="51" t="s">
        <v>7610</v>
      </c>
      <c r="B1456" s="51" t="s">
        <v>7611</v>
      </c>
      <c r="C1456" s="54" t="s">
        <v>5606</v>
      </c>
      <c r="D1456" s="51" t="s">
        <v>7612</v>
      </c>
      <c r="E1456" s="20">
        <v>10000</v>
      </c>
      <c r="F1456" s="20">
        <v>155.41</v>
      </c>
      <c r="G1456" s="20">
        <v>9724.85</v>
      </c>
      <c r="H1456" s="20">
        <v>1091.8499999999999</v>
      </c>
      <c r="I1456" s="20">
        <v>627.32000000000005</v>
      </c>
      <c r="J1456" s="51" t="s">
        <v>6726</v>
      </c>
      <c r="K1456" s="15">
        <v>0</v>
      </c>
      <c r="L1456" s="51" t="s">
        <v>2371</v>
      </c>
      <c r="M1456" s="51" t="s">
        <v>7613</v>
      </c>
      <c r="N1456" s="51" t="s">
        <v>1340</v>
      </c>
      <c r="O1456" s="51" t="s">
        <v>67</v>
      </c>
      <c r="P1456" s="51" t="s">
        <v>67</v>
      </c>
      <c r="Q1456" s="45">
        <v>46286.763072326386</v>
      </c>
      <c r="R1456" s="46">
        <v>46297</v>
      </c>
      <c r="S1456" s="46">
        <v>46292</v>
      </c>
      <c r="T1456" s="51" t="s">
        <v>6119</v>
      </c>
      <c r="U1456" s="15"/>
      <c r="V1456" s="15"/>
      <c r="W1456" s="15"/>
      <c r="X1456" s="15"/>
      <c r="Y1456" s="15"/>
      <c r="Z1456" s="15"/>
      <c r="AA1456" s="46"/>
      <c r="AB1456" s="15"/>
      <c r="AC1456" s="15"/>
      <c r="AD1456" s="15"/>
      <c r="AE1456" s="15"/>
      <c r="AF1456" s="15"/>
      <c r="AG1456" s="15"/>
      <c r="AH1456" s="15"/>
      <c r="AI1456" s="46"/>
      <c r="AJ1456" s="51" t="s">
        <v>67</v>
      </c>
      <c r="AK1456" s="51" t="s">
        <v>67</v>
      </c>
      <c r="AL1456" s="15"/>
      <c r="AM1456" s="51" t="s">
        <v>67</v>
      </c>
      <c r="AN1456" s="51" t="s">
        <v>67</v>
      </c>
      <c r="AO1456" s="50" t="s">
        <v>9554</v>
      </c>
    </row>
    <row r="1457" spans="1:41" hidden="1" x14ac:dyDescent="0.25">
      <c r="A1457" s="51" t="s">
        <v>7614</v>
      </c>
      <c r="B1457" s="51" t="s">
        <v>7615</v>
      </c>
      <c r="C1457" s="54" t="s">
        <v>5603</v>
      </c>
      <c r="D1457" s="51" t="s">
        <v>7616</v>
      </c>
      <c r="E1457" s="20">
        <v>10000</v>
      </c>
      <c r="F1457" s="20">
        <v>0</v>
      </c>
      <c r="G1457" s="20">
        <v>4024.95</v>
      </c>
      <c r="H1457" s="20">
        <v>1858.36</v>
      </c>
      <c r="I1457" s="20">
        <v>768.76</v>
      </c>
      <c r="J1457" s="51" t="s">
        <v>6726</v>
      </c>
      <c r="K1457" s="15">
        <v>0</v>
      </c>
      <c r="L1457" s="51" t="s">
        <v>2371</v>
      </c>
      <c r="M1457" s="51" t="s">
        <v>67</v>
      </c>
      <c r="N1457" s="51" t="s">
        <v>67</v>
      </c>
      <c r="O1457" s="51" t="s">
        <v>7617</v>
      </c>
      <c r="P1457" s="51" t="s">
        <v>1340</v>
      </c>
      <c r="Q1457" s="45">
        <v>46286.763081122685</v>
      </c>
      <c r="R1457" s="46">
        <v>46298</v>
      </c>
      <c r="S1457" s="46">
        <v>46293</v>
      </c>
      <c r="T1457" s="51" t="s">
        <v>6119</v>
      </c>
      <c r="U1457" s="15"/>
      <c r="V1457" s="15"/>
      <c r="W1457" s="15"/>
      <c r="X1457" s="15"/>
      <c r="Y1457" s="15"/>
      <c r="Z1457" s="15"/>
      <c r="AA1457" s="46"/>
      <c r="AB1457" s="15"/>
      <c r="AC1457" s="15"/>
      <c r="AD1457" s="15"/>
      <c r="AE1457" s="15"/>
      <c r="AF1457" s="15"/>
      <c r="AG1457" s="15"/>
      <c r="AH1457" s="15"/>
      <c r="AI1457" s="46"/>
      <c r="AJ1457" s="51" t="s">
        <v>67</v>
      </c>
      <c r="AK1457" s="51" t="s">
        <v>67</v>
      </c>
      <c r="AL1457" s="15"/>
      <c r="AM1457" s="51" t="s">
        <v>67</v>
      </c>
      <c r="AN1457" s="51" t="s">
        <v>67</v>
      </c>
      <c r="AO1457" s="50" t="s">
        <v>9554</v>
      </c>
    </row>
    <row r="1458" spans="1:41" hidden="1" x14ac:dyDescent="0.25">
      <c r="A1458" s="51" t="s">
        <v>7618</v>
      </c>
      <c r="B1458" s="51" t="s">
        <v>7619</v>
      </c>
      <c r="C1458" s="54" t="s">
        <v>5598</v>
      </c>
      <c r="D1458" s="51" t="s">
        <v>7620</v>
      </c>
      <c r="E1458" s="20">
        <v>10000</v>
      </c>
      <c r="F1458" s="20">
        <v>0</v>
      </c>
      <c r="G1458" s="20">
        <v>16826.87</v>
      </c>
      <c r="H1458" s="20">
        <v>1838.93</v>
      </c>
      <c r="I1458" s="20">
        <v>621.79</v>
      </c>
      <c r="J1458" s="51" t="s">
        <v>6726</v>
      </c>
      <c r="K1458" s="15">
        <v>0</v>
      </c>
      <c r="L1458" s="51" t="s">
        <v>2371</v>
      </c>
      <c r="M1458" s="51" t="s">
        <v>7621</v>
      </c>
      <c r="N1458" s="51" t="s">
        <v>1340</v>
      </c>
      <c r="O1458" s="51" t="s">
        <v>7622</v>
      </c>
      <c r="P1458" s="51" t="s">
        <v>1340</v>
      </c>
      <c r="Q1458" s="45">
        <v>46286.763086979168</v>
      </c>
      <c r="R1458" s="46">
        <v>46318</v>
      </c>
      <c r="S1458" s="46">
        <v>46313</v>
      </c>
      <c r="T1458" s="51" t="s">
        <v>6119</v>
      </c>
      <c r="U1458" s="15"/>
      <c r="V1458" s="15"/>
      <c r="W1458" s="15"/>
      <c r="X1458" s="15"/>
      <c r="Y1458" s="15"/>
      <c r="Z1458" s="15"/>
      <c r="AA1458" s="46"/>
      <c r="AB1458" s="15"/>
      <c r="AC1458" s="15"/>
      <c r="AD1458" s="15"/>
      <c r="AE1458" s="15"/>
      <c r="AF1458" s="15"/>
      <c r="AG1458" s="15"/>
      <c r="AH1458" s="15"/>
      <c r="AI1458" s="46"/>
      <c r="AJ1458" s="51" t="s">
        <v>67</v>
      </c>
      <c r="AK1458" s="51" t="s">
        <v>67</v>
      </c>
      <c r="AL1458" s="15"/>
      <c r="AM1458" s="51" t="s">
        <v>67</v>
      </c>
      <c r="AN1458" s="51" t="s">
        <v>67</v>
      </c>
      <c r="AO1458" s="50" t="s">
        <v>9554</v>
      </c>
    </row>
    <row r="1459" spans="1:41" hidden="1" x14ac:dyDescent="0.25">
      <c r="A1459" s="51" t="s">
        <v>7623</v>
      </c>
      <c r="B1459" s="51" t="s">
        <v>7624</v>
      </c>
      <c r="C1459" s="54" t="s">
        <v>5605</v>
      </c>
      <c r="D1459" s="51" t="s">
        <v>7625</v>
      </c>
      <c r="E1459" s="20">
        <v>10000</v>
      </c>
      <c r="F1459" s="20">
        <v>205.13</v>
      </c>
      <c r="G1459" s="20">
        <v>8948.6200000000008</v>
      </c>
      <c r="H1459" s="20">
        <v>967.61</v>
      </c>
      <c r="I1459" s="20">
        <v>589.84</v>
      </c>
      <c r="J1459" s="51" t="s">
        <v>6726</v>
      </c>
      <c r="K1459" s="15">
        <v>0</v>
      </c>
      <c r="L1459" s="51" t="s">
        <v>2371</v>
      </c>
      <c r="M1459" s="51" t="s">
        <v>7626</v>
      </c>
      <c r="N1459" s="51" t="s">
        <v>1340</v>
      </c>
      <c r="O1459" s="51" t="s">
        <v>67</v>
      </c>
      <c r="P1459" s="51" t="s">
        <v>67</v>
      </c>
      <c r="Q1459" s="45">
        <v>46286.763093391201</v>
      </c>
      <c r="R1459" s="46">
        <v>46323</v>
      </c>
      <c r="S1459" s="46">
        <v>46318</v>
      </c>
      <c r="T1459" s="51" t="s">
        <v>6119</v>
      </c>
      <c r="U1459" s="15"/>
      <c r="V1459" s="15"/>
      <c r="W1459" s="15"/>
      <c r="X1459" s="15"/>
      <c r="Y1459" s="15"/>
      <c r="Z1459" s="15"/>
      <c r="AA1459" s="46"/>
      <c r="AB1459" s="15"/>
      <c r="AC1459" s="15"/>
      <c r="AD1459" s="15"/>
      <c r="AE1459" s="15"/>
      <c r="AF1459" s="15"/>
      <c r="AG1459" s="15"/>
      <c r="AH1459" s="15"/>
      <c r="AI1459" s="46"/>
      <c r="AJ1459" s="51" t="s">
        <v>67</v>
      </c>
      <c r="AK1459" s="51" t="s">
        <v>67</v>
      </c>
      <c r="AL1459" s="15"/>
      <c r="AM1459" s="51" t="s">
        <v>67</v>
      </c>
      <c r="AN1459" s="51" t="s">
        <v>67</v>
      </c>
      <c r="AO1459" s="50" t="s">
        <v>9554</v>
      </c>
    </row>
    <row r="1460" spans="1:41" hidden="1" x14ac:dyDescent="0.25">
      <c r="A1460" s="51" t="s">
        <v>7627</v>
      </c>
      <c r="B1460" s="51" t="s">
        <v>7628</v>
      </c>
      <c r="C1460" s="54" t="s">
        <v>2541</v>
      </c>
      <c r="D1460" s="51" t="s">
        <v>7629</v>
      </c>
      <c r="E1460" s="20">
        <v>10000</v>
      </c>
      <c r="F1460" s="20">
        <v>0</v>
      </c>
      <c r="G1460" s="20">
        <v>9033.1200000000008</v>
      </c>
      <c r="H1460" s="20">
        <v>1776.45</v>
      </c>
      <c r="I1460" s="20">
        <v>805.11</v>
      </c>
      <c r="J1460" s="51" t="s">
        <v>6726</v>
      </c>
      <c r="K1460" s="15">
        <v>0</v>
      </c>
      <c r="L1460" s="51" t="s">
        <v>2371</v>
      </c>
      <c r="M1460" s="51" t="s">
        <v>67</v>
      </c>
      <c r="N1460" s="51" t="s">
        <v>67</v>
      </c>
      <c r="O1460" s="51" t="s">
        <v>7630</v>
      </c>
      <c r="P1460" s="51" t="s">
        <v>1340</v>
      </c>
      <c r="Q1460" s="45">
        <v>46286.76309951389</v>
      </c>
      <c r="R1460" s="46">
        <v>46311</v>
      </c>
      <c r="S1460" s="46">
        <v>46306</v>
      </c>
      <c r="T1460" s="51" t="s">
        <v>6119</v>
      </c>
      <c r="U1460" s="15"/>
      <c r="V1460" s="15"/>
      <c r="W1460" s="15"/>
      <c r="X1460" s="15"/>
      <c r="Y1460" s="15"/>
      <c r="Z1460" s="15"/>
      <c r="AA1460" s="46"/>
      <c r="AB1460" s="15"/>
      <c r="AC1460" s="15"/>
      <c r="AD1460" s="15"/>
      <c r="AE1460" s="15"/>
      <c r="AF1460" s="15"/>
      <c r="AG1460" s="15"/>
      <c r="AH1460" s="15"/>
      <c r="AI1460" s="46"/>
      <c r="AJ1460" s="51" t="s">
        <v>67</v>
      </c>
      <c r="AK1460" s="51" t="s">
        <v>67</v>
      </c>
      <c r="AL1460" s="15"/>
      <c r="AM1460" s="51" t="s">
        <v>67</v>
      </c>
      <c r="AN1460" s="51" t="s">
        <v>67</v>
      </c>
      <c r="AO1460" s="50" t="s">
        <v>9554</v>
      </c>
    </row>
    <row r="1461" spans="1:41" hidden="1" x14ac:dyDescent="0.25">
      <c r="A1461" s="51" t="s">
        <v>7631</v>
      </c>
      <c r="B1461" s="51" t="s">
        <v>7632</v>
      </c>
      <c r="C1461" s="54" t="s">
        <v>2357</v>
      </c>
      <c r="D1461" s="51" t="s">
        <v>7521</v>
      </c>
      <c r="E1461" s="20">
        <v>10000</v>
      </c>
      <c r="F1461" s="20">
        <v>0</v>
      </c>
      <c r="G1461" s="20">
        <v>15256.55</v>
      </c>
      <c r="H1461" s="20">
        <v>6432.94</v>
      </c>
      <c r="I1461" s="20">
        <v>766.88</v>
      </c>
      <c r="J1461" s="51" t="s">
        <v>6726</v>
      </c>
      <c r="K1461" s="15">
        <v>0</v>
      </c>
      <c r="L1461" s="51" t="s">
        <v>2371</v>
      </c>
      <c r="M1461" s="51" t="s">
        <v>7633</v>
      </c>
      <c r="N1461" s="51" t="s">
        <v>1340</v>
      </c>
      <c r="O1461" s="51" t="s">
        <v>67</v>
      </c>
      <c r="P1461" s="51" t="s">
        <v>67</v>
      </c>
      <c r="Q1461" s="45">
        <v>46286.763107314815</v>
      </c>
      <c r="R1461" s="46">
        <v>46308</v>
      </c>
      <c r="S1461" s="46">
        <v>46303</v>
      </c>
      <c r="T1461" s="51" t="s">
        <v>6119</v>
      </c>
      <c r="U1461" s="15"/>
      <c r="V1461" s="15"/>
      <c r="W1461" s="15"/>
      <c r="X1461" s="15"/>
      <c r="Y1461" s="15"/>
      <c r="Z1461" s="15"/>
      <c r="AA1461" s="46"/>
      <c r="AB1461" s="15"/>
      <c r="AC1461" s="15"/>
      <c r="AD1461" s="15"/>
      <c r="AE1461" s="15"/>
      <c r="AF1461" s="15"/>
      <c r="AG1461" s="15"/>
      <c r="AH1461" s="15"/>
      <c r="AI1461" s="46"/>
      <c r="AJ1461" s="51" t="s">
        <v>67</v>
      </c>
      <c r="AK1461" s="51" t="s">
        <v>67</v>
      </c>
      <c r="AL1461" s="15"/>
      <c r="AM1461" s="51" t="s">
        <v>67</v>
      </c>
      <c r="AN1461" s="51" t="s">
        <v>67</v>
      </c>
      <c r="AO1461" s="50" t="s">
        <v>9554</v>
      </c>
    </row>
    <row r="1462" spans="1:41" hidden="1" x14ac:dyDescent="0.25">
      <c r="A1462" s="51" t="s">
        <v>7634</v>
      </c>
      <c r="B1462" s="51" t="s">
        <v>7635</v>
      </c>
      <c r="C1462" s="54" t="s">
        <v>611</v>
      </c>
      <c r="D1462" s="51" t="s">
        <v>1462</v>
      </c>
      <c r="E1462" s="20">
        <v>10000</v>
      </c>
      <c r="F1462" s="20">
        <v>0</v>
      </c>
      <c r="G1462" s="20">
        <v>10336.049999999999</v>
      </c>
      <c r="H1462" s="20">
        <v>3268.93</v>
      </c>
      <c r="I1462" s="20">
        <v>615.38</v>
      </c>
      <c r="J1462" s="51" t="s">
        <v>6726</v>
      </c>
      <c r="K1462" s="15">
        <v>0</v>
      </c>
      <c r="L1462" s="51" t="s">
        <v>2371</v>
      </c>
      <c r="M1462" s="51" t="s">
        <v>67</v>
      </c>
      <c r="N1462" s="51" t="s">
        <v>67</v>
      </c>
      <c r="O1462" s="51" t="s">
        <v>7636</v>
      </c>
      <c r="P1462" s="51" t="s">
        <v>1340</v>
      </c>
      <c r="Q1462" s="45">
        <v>46286.763116712966</v>
      </c>
      <c r="R1462" s="46">
        <v>46320</v>
      </c>
      <c r="S1462" s="46">
        <v>46315</v>
      </c>
      <c r="T1462" s="51" t="s">
        <v>6119</v>
      </c>
      <c r="U1462" s="15"/>
      <c r="V1462" s="15"/>
      <c r="W1462" s="15"/>
      <c r="X1462" s="15"/>
      <c r="Y1462" s="15"/>
      <c r="Z1462" s="15"/>
      <c r="AA1462" s="46"/>
      <c r="AB1462" s="15"/>
      <c r="AC1462" s="15"/>
      <c r="AD1462" s="15"/>
      <c r="AE1462" s="15"/>
      <c r="AF1462" s="15"/>
      <c r="AG1462" s="15"/>
      <c r="AH1462" s="15"/>
      <c r="AI1462" s="46"/>
      <c r="AJ1462" s="51" t="s">
        <v>67</v>
      </c>
      <c r="AK1462" s="51" t="s">
        <v>67</v>
      </c>
      <c r="AL1462" s="15"/>
      <c r="AM1462" s="51" t="s">
        <v>67</v>
      </c>
      <c r="AN1462" s="51" t="s">
        <v>67</v>
      </c>
      <c r="AO1462" s="50" t="s">
        <v>9554</v>
      </c>
    </row>
    <row r="1463" spans="1:41" hidden="1" x14ac:dyDescent="0.25">
      <c r="A1463" s="51" t="s">
        <v>7637</v>
      </c>
      <c r="B1463" s="51" t="s">
        <v>7638</v>
      </c>
      <c r="C1463" s="54" t="s">
        <v>2357</v>
      </c>
      <c r="D1463" s="51" t="s">
        <v>7639</v>
      </c>
      <c r="E1463" s="20">
        <v>10000</v>
      </c>
      <c r="F1463" s="20">
        <v>0</v>
      </c>
      <c r="G1463" s="20">
        <v>12797.67</v>
      </c>
      <c r="H1463" s="20">
        <v>1440.77</v>
      </c>
      <c r="I1463" s="20">
        <v>563.85</v>
      </c>
      <c r="J1463" s="51" t="s">
        <v>6726</v>
      </c>
      <c r="K1463" s="15">
        <v>0</v>
      </c>
      <c r="L1463" s="51" t="s">
        <v>2371</v>
      </c>
      <c r="M1463" s="51" t="s">
        <v>7640</v>
      </c>
      <c r="N1463" s="51" t="s">
        <v>1340</v>
      </c>
      <c r="O1463" s="51" t="s">
        <v>67</v>
      </c>
      <c r="P1463" s="51" t="s">
        <v>67</v>
      </c>
      <c r="Q1463" s="45">
        <v>46286.763122719909</v>
      </c>
      <c r="R1463" s="46">
        <v>46308</v>
      </c>
      <c r="S1463" s="46">
        <v>46303</v>
      </c>
      <c r="T1463" s="51" t="s">
        <v>6119</v>
      </c>
      <c r="U1463" s="15"/>
      <c r="V1463" s="15"/>
      <c r="W1463" s="15"/>
      <c r="X1463" s="15"/>
      <c r="Y1463" s="15"/>
      <c r="Z1463" s="15"/>
      <c r="AA1463" s="46"/>
      <c r="AB1463" s="15"/>
      <c r="AC1463" s="15"/>
      <c r="AD1463" s="15"/>
      <c r="AE1463" s="15"/>
      <c r="AF1463" s="15"/>
      <c r="AG1463" s="15"/>
      <c r="AH1463" s="15"/>
      <c r="AI1463" s="46"/>
      <c r="AJ1463" s="51" t="s">
        <v>67</v>
      </c>
      <c r="AK1463" s="51" t="s">
        <v>67</v>
      </c>
      <c r="AL1463" s="15"/>
      <c r="AM1463" s="51" t="s">
        <v>67</v>
      </c>
      <c r="AN1463" s="51" t="s">
        <v>67</v>
      </c>
      <c r="AO1463" s="50" t="s">
        <v>9554</v>
      </c>
    </row>
    <row r="1464" spans="1:41" hidden="1" x14ac:dyDescent="0.25">
      <c r="A1464" s="51" t="s">
        <v>7641</v>
      </c>
      <c r="B1464" s="51" t="s">
        <v>7642</v>
      </c>
      <c r="C1464" s="54" t="s">
        <v>5597</v>
      </c>
      <c r="D1464" s="51" t="s">
        <v>7643</v>
      </c>
      <c r="E1464" s="20">
        <v>10000</v>
      </c>
      <c r="F1464" s="20">
        <v>0</v>
      </c>
      <c r="G1464" s="20">
        <v>14003.29</v>
      </c>
      <c r="H1464" s="20">
        <v>6294.81</v>
      </c>
      <c r="I1464" s="20">
        <v>690.06</v>
      </c>
      <c r="J1464" s="51" t="s">
        <v>6726</v>
      </c>
      <c r="K1464" s="15">
        <v>0</v>
      </c>
      <c r="L1464" s="51" t="s">
        <v>2371</v>
      </c>
      <c r="M1464" s="51" t="s">
        <v>67</v>
      </c>
      <c r="N1464" s="51" t="s">
        <v>67</v>
      </c>
      <c r="O1464" s="51" t="s">
        <v>7644</v>
      </c>
      <c r="P1464" s="51" t="s">
        <v>1340</v>
      </c>
      <c r="Q1464" s="45">
        <v>46286.763128391205</v>
      </c>
      <c r="R1464" s="46">
        <v>46321</v>
      </c>
      <c r="S1464" s="46">
        <v>46316</v>
      </c>
      <c r="T1464" s="51" t="s">
        <v>6119</v>
      </c>
      <c r="U1464" s="15"/>
      <c r="V1464" s="15"/>
      <c r="W1464" s="15"/>
      <c r="X1464" s="15"/>
      <c r="Y1464" s="15"/>
      <c r="Z1464" s="15"/>
      <c r="AA1464" s="46"/>
      <c r="AB1464" s="15"/>
      <c r="AC1464" s="15"/>
      <c r="AD1464" s="15"/>
      <c r="AE1464" s="15"/>
      <c r="AF1464" s="15"/>
      <c r="AG1464" s="15"/>
      <c r="AH1464" s="15"/>
      <c r="AI1464" s="46"/>
      <c r="AJ1464" s="51" t="s">
        <v>67</v>
      </c>
      <c r="AK1464" s="51" t="s">
        <v>67</v>
      </c>
      <c r="AL1464" s="15"/>
      <c r="AM1464" s="51" t="s">
        <v>67</v>
      </c>
      <c r="AN1464" s="51" t="s">
        <v>67</v>
      </c>
      <c r="AO1464" s="50" t="s">
        <v>9554</v>
      </c>
    </row>
    <row r="1465" spans="1:41" hidden="1" x14ac:dyDescent="0.25">
      <c r="A1465" s="51" t="s">
        <v>7645</v>
      </c>
      <c r="B1465" s="51" t="s">
        <v>7646</v>
      </c>
      <c r="C1465" s="54" t="s">
        <v>607</v>
      </c>
      <c r="D1465" s="51" t="s">
        <v>7647</v>
      </c>
      <c r="E1465" s="20">
        <v>10000</v>
      </c>
      <c r="F1465" s="20">
        <v>74.5</v>
      </c>
      <c r="G1465" s="20">
        <v>20099.39</v>
      </c>
      <c r="H1465" s="20">
        <v>1450.2</v>
      </c>
      <c r="I1465" s="20">
        <v>766.86</v>
      </c>
      <c r="J1465" s="51" t="s">
        <v>6726</v>
      </c>
      <c r="K1465" s="15">
        <v>0</v>
      </c>
      <c r="L1465" s="51" t="s">
        <v>2371</v>
      </c>
      <c r="M1465" s="51" t="s">
        <v>7648</v>
      </c>
      <c r="N1465" s="51" t="s">
        <v>1340</v>
      </c>
      <c r="O1465" s="51" t="s">
        <v>7649</v>
      </c>
      <c r="P1465" s="51" t="s">
        <v>1340</v>
      </c>
      <c r="Q1465" s="45">
        <v>46286.763133414352</v>
      </c>
      <c r="R1465" s="46">
        <v>46310</v>
      </c>
      <c r="S1465" s="46">
        <v>46305</v>
      </c>
      <c r="T1465" s="51" t="s">
        <v>6119</v>
      </c>
      <c r="U1465" s="15"/>
      <c r="V1465" s="15"/>
      <c r="W1465" s="15"/>
      <c r="X1465" s="15"/>
      <c r="Y1465" s="15"/>
      <c r="Z1465" s="15"/>
      <c r="AA1465" s="46"/>
      <c r="AB1465" s="15"/>
      <c r="AC1465" s="15"/>
      <c r="AD1465" s="15"/>
      <c r="AE1465" s="15"/>
      <c r="AF1465" s="15"/>
      <c r="AG1465" s="15"/>
      <c r="AH1465" s="15"/>
      <c r="AI1465" s="46"/>
      <c r="AJ1465" s="51" t="s">
        <v>67</v>
      </c>
      <c r="AK1465" s="51" t="s">
        <v>67</v>
      </c>
      <c r="AL1465" s="15"/>
      <c r="AM1465" s="51" t="s">
        <v>67</v>
      </c>
      <c r="AN1465" s="51" t="s">
        <v>67</v>
      </c>
      <c r="AO1465" s="50" t="s">
        <v>9554</v>
      </c>
    </row>
    <row r="1466" spans="1:41" hidden="1" x14ac:dyDescent="0.25">
      <c r="A1466" s="51" t="s">
        <v>7650</v>
      </c>
      <c r="B1466" s="51" t="s">
        <v>7651</v>
      </c>
      <c r="C1466" s="54" t="s">
        <v>605</v>
      </c>
      <c r="D1466" s="51" t="s">
        <v>7652</v>
      </c>
      <c r="E1466" s="20">
        <v>10000</v>
      </c>
      <c r="F1466" s="20">
        <v>0</v>
      </c>
      <c r="G1466" s="20">
        <v>19378.97</v>
      </c>
      <c r="H1466" s="20">
        <v>1690.99</v>
      </c>
      <c r="I1466" s="20">
        <v>581.16999999999996</v>
      </c>
      <c r="J1466" s="51" t="s">
        <v>6726</v>
      </c>
      <c r="K1466" s="15">
        <v>0</v>
      </c>
      <c r="L1466" s="51" t="s">
        <v>2371</v>
      </c>
      <c r="M1466" s="51" t="s">
        <v>67</v>
      </c>
      <c r="N1466" s="51" t="s">
        <v>67</v>
      </c>
      <c r="O1466" s="51" t="s">
        <v>7653</v>
      </c>
      <c r="P1466" s="51" t="s">
        <v>1340</v>
      </c>
      <c r="Q1466" s="45">
        <v>46286.763139016206</v>
      </c>
      <c r="R1466" s="46">
        <v>46305</v>
      </c>
      <c r="S1466" s="46">
        <v>46300</v>
      </c>
      <c r="T1466" s="51" t="s">
        <v>6119</v>
      </c>
      <c r="U1466" s="15"/>
      <c r="V1466" s="15"/>
      <c r="W1466" s="15"/>
      <c r="X1466" s="15"/>
      <c r="Y1466" s="15"/>
      <c r="Z1466" s="15"/>
      <c r="AA1466" s="46"/>
      <c r="AB1466" s="15"/>
      <c r="AC1466" s="15"/>
      <c r="AD1466" s="15"/>
      <c r="AE1466" s="15"/>
      <c r="AF1466" s="15"/>
      <c r="AG1466" s="15"/>
      <c r="AH1466" s="15"/>
      <c r="AI1466" s="46"/>
      <c r="AJ1466" s="51" t="s">
        <v>67</v>
      </c>
      <c r="AK1466" s="51" t="s">
        <v>67</v>
      </c>
      <c r="AL1466" s="15"/>
      <c r="AM1466" s="51" t="s">
        <v>67</v>
      </c>
      <c r="AN1466" s="51" t="s">
        <v>67</v>
      </c>
      <c r="AO1466" s="50" t="s">
        <v>9554</v>
      </c>
    </row>
    <row r="1467" spans="1:41" hidden="1" x14ac:dyDescent="0.25">
      <c r="A1467" s="51" t="s">
        <v>7654</v>
      </c>
      <c r="B1467" s="51" t="s">
        <v>7655</v>
      </c>
      <c r="C1467" s="54" t="s">
        <v>2690</v>
      </c>
      <c r="D1467" s="51" t="s">
        <v>7656</v>
      </c>
      <c r="E1467" s="20">
        <v>10000</v>
      </c>
      <c r="F1467" s="20">
        <v>235.9</v>
      </c>
      <c r="G1467" s="20">
        <v>12710.84</v>
      </c>
      <c r="H1467" s="20">
        <v>1024.56</v>
      </c>
      <c r="I1467" s="20">
        <v>633.96</v>
      </c>
      <c r="J1467" s="51" t="s">
        <v>6726</v>
      </c>
      <c r="K1467" s="15">
        <v>0</v>
      </c>
      <c r="L1467" s="51" t="s">
        <v>2371</v>
      </c>
      <c r="M1467" s="51" t="s">
        <v>67</v>
      </c>
      <c r="N1467" s="51" t="s">
        <v>67</v>
      </c>
      <c r="O1467" s="51" t="s">
        <v>7657</v>
      </c>
      <c r="P1467" s="51" t="s">
        <v>1340</v>
      </c>
      <c r="Q1467" s="45">
        <v>46286.763143842596</v>
      </c>
      <c r="R1467" s="46">
        <v>46322</v>
      </c>
      <c r="S1467" s="46">
        <v>46317</v>
      </c>
      <c r="T1467" s="51" t="s">
        <v>6119</v>
      </c>
      <c r="U1467" s="15"/>
      <c r="V1467" s="15"/>
      <c r="W1467" s="15"/>
      <c r="X1467" s="15"/>
      <c r="Y1467" s="15"/>
      <c r="Z1467" s="15"/>
      <c r="AA1467" s="46"/>
      <c r="AB1467" s="15"/>
      <c r="AC1467" s="15"/>
      <c r="AD1467" s="15"/>
      <c r="AE1467" s="15"/>
      <c r="AF1467" s="15"/>
      <c r="AG1467" s="15"/>
      <c r="AH1467" s="15"/>
      <c r="AI1467" s="46"/>
      <c r="AJ1467" s="51" t="s">
        <v>67</v>
      </c>
      <c r="AK1467" s="51" t="s">
        <v>67</v>
      </c>
      <c r="AL1467" s="15"/>
      <c r="AM1467" s="51" t="s">
        <v>67</v>
      </c>
      <c r="AN1467" s="51" t="s">
        <v>67</v>
      </c>
      <c r="AO1467" s="50" t="s">
        <v>9554</v>
      </c>
    </row>
    <row r="1468" spans="1:41" hidden="1" x14ac:dyDescent="0.25">
      <c r="A1468" s="51" t="s">
        <v>7658</v>
      </c>
      <c r="B1468" s="51" t="s">
        <v>7659</v>
      </c>
      <c r="C1468" s="54" t="s">
        <v>608</v>
      </c>
      <c r="D1468" s="51" t="s">
        <v>6888</v>
      </c>
      <c r="E1468" s="20">
        <v>10000</v>
      </c>
      <c r="F1468" s="20">
        <v>63.89</v>
      </c>
      <c r="G1468" s="20">
        <v>20740.240000000002</v>
      </c>
      <c r="H1468" s="20">
        <v>1366.33</v>
      </c>
      <c r="I1468" s="20">
        <v>719.34</v>
      </c>
      <c r="J1468" s="51" t="s">
        <v>6726</v>
      </c>
      <c r="K1468" s="15">
        <v>0</v>
      </c>
      <c r="L1468" s="51" t="s">
        <v>2371</v>
      </c>
      <c r="M1468" s="51" t="s">
        <v>7660</v>
      </c>
      <c r="N1468" s="51" t="s">
        <v>1340</v>
      </c>
      <c r="O1468" s="51" t="s">
        <v>7661</v>
      </c>
      <c r="P1468" s="51" t="s">
        <v>1340</v>
      </c>
      <c r="Q1468" s="45">
        <v>46286.763149826387</v>
      </c>
      <c r="R1468" s="46">
        <v>46315</v>
      </c>
      <c r="S1468" s="46">
        <v>46310</v>
      </c>
      <c r="T1468" s="51" t="s">
        <v>6119</v>
      </c>
      <c r="U1468" s="15"/>
      <c r="V1468" s="15"/>
      <c r="W1468" s="15"/>
      <c r="X1468" s="15"/>
      <c r="Y1468" s="15"/>
      <c r="Z1468" s="15"/>
      <c r="AA1468" s="46"/>
      <c r="AB1468" s="15"/>
      <c r="AC1468" s="15"/>
      <c r="AD1468" s="15"/>
      <c r="AE1468" s="15"/>
      <c r="AF1468" s="15"/>
      <c r="AG1468" s="15"/>
      <c r="AH1468" s="15"/>
      <c r="AI1468" s="46"/>
      <c r="AJ1468" s="51" t="s">
        <v>67</v>
      </c>
      <c r="AK1468" s="51" t="s">
        <v>67</v>
      </c>
      <c r="AL1468" s="15"/>
      <c r="AM1468" s="51" t="s">
        <v>67</v>
      </c>
      <c r="AN1468" s="51" t="s">
        <v>67</v>
      </c>
      <c r="AO1468" s="50" t="s">
        <v>9554</v>
      </c>
    </row>
    <row r="1469" spans="1:41" hidden="1" x14ac:dyDescent="0.25">
      <c r="A1469" s="51" t="s">
        <v>7662</v>
      </c>
      <c r="B1469" s="51" t="s">
        <v>7663</v>
      </c>
      <c r="C1469" s="54" t="s">
        <v>5604</v>
      </c>
      <c r="D1469" s="51" t="s">
        <v>7664</v>
      </c>
      <c r="E1469" s="20">
        <v>10000</v>
      </c>
      <c r="F1469" s="20">
        <v>256.29000000000002</v>
      </c>
      <c r="G1469" s="20">
        <v>18026.71</v>
      </c>
      <c r="H1469" s="20">
        <v>1204.07</v>
      </c>
      <c r="I1469" s="20">
        <v>734.5</v>
      </c>
      <c r="J1469" s="51" t="s">
        <v>6726</v>
      </c>
      <c r="K1469" s="15">
        <v>0</v>
      </c>
      <c r="L1469" s="51" t="s">
        <v>2371</v>
      </c>
      <c r="M1469" s="51" t="s">
        <v>7665</v>
      </c>
      <c r="N1469" s="51" t="s">
        <v>1344</v>
      </c>
      <c r="O1469" s="51" t="s">
        <v>67</v>
      </c>
      <c r="P1469" s="51" t="s">
        <v>67</v>
      </c>
      <c r="Q1469" s="45">
        <v>46286.763154629632</v>
      </c>
      <c r="R1469" s="46">
        <v>46313</v>
      </c>
      <c r="S1469" s="46">
        <v>46308</v>
      </c>
      <c r="T1469" s="51" t="s">
        <v>6119</v>
      </c>
      <c r="U1469" s="15"/>
      <c r="V1469" s="15"/>
      <c r="W1469" s="15"/>
      <c r="X1469" s="15"/>
      <c r="Y1469" s="15"/>
      <c r="Z1469" s="15"/>
      <c r="AA1469" s="46"/>
      <c r="AB1469" s="15"/>
      <c r="AC1469" s="15"/>
      <c r="AD1469" s="15"/>
      <c r="AE1469" s="15"/>
      <c r="AF1469" s="15"/>
      <c r="AG1469" s="15"/>
      <c r="AH1469" s="15"/>
      <c r="AI1469" s="46"/>
      <c r="AJ1469" s="51" t="s">
        <v>67</v>
      </c>
      <c r="AK1469" s="51" t="s">
        <v>67</v>
      </c>
      <c r="AL1469" s="15"/>
      <c r="AM1469" s="51" t="s">
        <v>67</v>
      </c>
      <c r="AN1469" s="51" t="s">
        <v>67</v>
      </c>
      <c r="AO1469" s="50" t="s">
        <v>9554</v>
      </c>
    </row>
    <row r="1470" spans="1:41" hidden="1" x14ac:dyDescent="0.25">
      <c r="A1470" s="51" t="s">
        <v>7666</v>
      </c>
      <c r="B1470" s="51" t="s">
        <v>7667</v>
      </c>
      <c r="C1470" s="54" t="s">
        <v>2357</v>
      </c>
      <c r="D1470" s="51" t="s">
        <v>7668</v>
      </c>
      <c r="E1470" s="20">
        <v>10000</v>
      </c>
      <c r="F1470" s="20">
        <v>281.31</v>
      </c>
      <c r="G1470" s="20">
        <v>13876.61</v>
      </c>
      <c r="H1470" s="20">
        <v>1088.67</v>
      </c>
      <c r="I1470" s="20">
        <v>689.04</v>
      </c>
      <c r="J1470" s="51" t="s">
        <v>6726</v>
      </c>
      <c r="K1470" s="15">
        <v>0</v>
      </c>
      <c r="L1470" s="51" t="s">
        <v>2371</v>
      </c>
      <c r="M1470" s="51" t="s">
        <v>67</v>
      </c>
      <c r="N1470" s="51" t="s">
        <v>67</v>
      </c>
      <c r="O1470" s="51" t="s">
        <v>7669</v>
      </c>
      <c r="P1470" s="51" t="s">
        <v>1340</v>
      </c>
      <c r="Q1470" s="45">
        <v>46286.763159490743</v>
      </c>
      <c r="R1470" s="46">
        <v>46308</v>
      </c>
      <c r="S1470" s="46">
        <v>46303</v>
      </c>
      <c r="T1470" s="51" t="s">
        <v>6119</v>
      </c>
      <c r="U1470" s="15"/>
      <c r="V1470" s="15"/>
      <c r="W1470" s="15"/>
      <c r="X1470" s="15"/>
      <c r="Y1470" s="15"/>
      <c r="Z1470" s="15"/>
      <c r="AA1470" s="46"/>
      <c r="AB1470" s="15"/>
      <c r="AC1470" s="15"/>
      <c r="AD1470" s="15"/>
      <c r="AE1470" s="15"/>
      <c r="AF1470" s="15"/>
      <c r="AG1470" s="15"/>
      <c r="AH1470" s="15"/>
      <c r="AI1470" s="46"/>
      <c r="AJ1470" s="51" t="s">
        <v>67</v>
      </c>
      <c r="AK1470" s="51" t="s">
        <v>67</v>
      </c>
      <c r="AL1470" s="15"/>
      <c r="AM1470" s="51" t="s">
        <v>67</v>
      </c>
      <c r="AN1470" s="51" t="s">
        <v>67</v>
      </c>
      <c r="AO1470" s="50" t="s">
        <v>9554</v>
      </c>
    </row>
    <row r="1471" spans="1:41" hidden="1" x14ac:dyDescent="0.25">
      <c r="A1471" s="51" t="s">
        <v>7670</v>
      </c>
      <c r="B1471" s="51" t="s">
        <v>7671</v>
      </c>
      <c r="C1471" s="54" t="s">
        <v>5605</v>
      </c>
      <c r="D1471" s="51" t="s">
        <v>7672</v>
      </c>
      <c r="E1471" s="20">
        <v>10000</v>
      </c>
      <c r="F1471" s="20">
        <v>0</v>
      </c>
      <c r="G1471" s="20">
        <v>16830.36</v>
      </c>
      <c r="H1471" s="20">
        <v>1573.39</v>
      </c>
      <c r="I1471" s="20">
        <v>516.33000000000004</v>
      </c>
      <c r="J1471" s="51" t="s">
        <v>6726</v>
      </c>
      <c r="K1471" s="15">
        <v>0</v>
      </c>
      <c r="L1471" s="51" t="s">
        <v>2371</v>
      </c>
      <c r="M1471" s="51" t="s">
        <v>7673</v>
      </c>
      <c r="N1471" s="51" t="s">
        <v>1340</v>
      </c>
      <c r="O1471" s="51" t="s">
        <v>67</v>
      </c>
      <c r="P1471" s="51" t="s">
        <v>67</v>
      </c>
      <c r="Q1471" s="45">
        <v>46286.763166307872</v>
      </c>
      <c r="R1471" s="46">
        <v>46323</v>
      </c>
      <c r="S1471" s="46">
        <v>46318</v>
      </c>
      <c r="T1471" s="51" t="s">
        <v>6119</v>
      </c>
      <c r="U1471" s="15"/>
      <c r="V1471" s="15"/>
      <c r="W1471" s="15"/>
      <c r="X1471" s="15"/>
      <c r="Y1471" s="15"/>
      <c r="Z1471" s="15"/>
      <c r="AA1471" s="46"/>
      <c r="AB1471" s="15"/>
      <c r="AC1471" s="15"/>
      <c r="AD1471" s="15"/>
      <c r="AE1471" s="15"/>
      <c r="AF1471" s="15"/>
      <c r="AG1471" s="15"/>
      <c r="AH1471" s="15"/>
      <c r="AI1471" s="46"/>
      <c r="AJ1471" s="51" t="s">
        <v>67</v>
      </c>
      <c r="AK1471" s="51" t="s">
        <v>67</v>
      </c>
      <c r="AL1471" s="15"/>
      <c r="AM1471" s="51" t="s">
        <v>67</v>
      </c>
      <c r="AN1471" s="51" t="s">
        <v>67</v>
      </c>
      <c r="AO1471" s="50" t="s">
        <v>9554</v>
      </c>
    </row>
    <row r="1472" spans="1:41" hidden="1" x14ac:dyDescent="0.25">
      <c r="A1472" s="51" t="s">
        <v>7674</v>
      </c>
      <c r="B1472" s="51" t="s">
        <v>7675</v>
      </c>
      <c r="C1472" s="54" t="s">
        <v>5599</v>
      </c>
      <c r="D1472" s="51" t="s">
        <v>7676</v>
      </c>
      <c r="E1472" s="20">
        <v>10000</v>
      </c>
      <c r="F1472" s="20">
        <v>0</v>
      </c>
      <c r="G1472" s="20">
        <v>5112.76</v>
      </c>
      <c r="H1472" s="20">
        <v>1287.3</v>
      </c>
      <c r="I1472" s="20">
        <v>458.41</v>
      </c>
      <c r="J1472" s="51" t="s">
        <v>6726</v>
      </c>
      <c r="K1472" s="15">
        <v>0</v>
      </c>
      <c r="L1472" s="51" t="s">
        <v>2371</v>
      </c>
      <c r="M1472" s="51" t="s">
        <v>67</v>
      </c>
      <c r="N1472" s="51" t="s">
        <v>67</v>
      </c>
      <c r="O1472" s="51" t="s">
        <v>7677</v>
      </c>
      <c r="P1472" s="51" t="s">
        <v>1340</v>
      </c>
      <c r="Q1472" s="45">
        <v>46286.763172013889</v>
      </c>
      <c r="R1472" s="46">
        <v>46302</v>
      </c>
      <c r="S1472" s="46">
        <v>46297</v>
      </c>
      <c r="T1472" s="51" t="s">
        <v>6119</v>
      </c>
      <c r="U1472" s="15"/>
      <c r="V1472" s="15"/>
      <c r="W1472" s="15"/>
      <c r="X1472" s="15"/>
      <c r="Y1472" s="15"/>
      <c r="Z1472" s="15"/>
      <c r="AA1472" s="46"/>
      <c r="AB1472" s="15"/>
      <c r="AC1472" s="15"/>
      <c r="AD1472" s="15"/>
      <c r="AE1472" s="15"/>
      <c r="AF1472" s="15"/>
      <c r="AG1472" s="15"/>
      <c r="AH1472" s="15"/>
      <c r="AI1472" s="46"/>
      <c r="AJ1472" s="51" t="s">
        <v>67</v>
      </c>
      <c r="AK1472" s="51" t="s">
        <v>67</v>
      </c>
      <c r="AL1472" s="15"/>
      <c r="AM1472" s="51" t="s">
        <v>67</v>
      </c>
      <c r="AN1472" s="51" t="s">
        <v>67</v>
      </c>
      <c r="AO1472" s="50" t="s">
        <v>9554</v>
      </c>
    </row>
    <row r="1473" spans="1:41" hidden="1" x14ac:dyDescent="0.25">
      <c r="A1473" s="51" t="s">
        <v>7678</v>
      </c>
      <c r="B1473" s="51" t="s">
        <v>7679</v>
      </c>
      <c r="C1473" s="54" t="s">
        <v>2692</v>
      </c>
      <c r="D1473" s="51" t="s">
        <v>7680</v>
      </c>
      <c r="E1473" s="20">
        <v>10000</v>
      </c>
      <c r="F1473" s="20">
        <v>0</v>
      </c>
      <c r="G1473" s="20">
        <v>15708.53</v>
      </c>
      <c r="H1473" s="20">
        <v>1383.3</v>
      </c>
      <c r="I1473" s="20">
        <v>634.67999999999995</v>
      </c>
      <c r="J1473" s="51" t="s">
        <v>6726</v>
      </c>
      <c r="K1473" s="15">
        <v>0</v>
      </c>
      <c r="L1473" s="51" t="s">
        <v>2371</v>
      </c>
      <c r="M1473" s="51" t="s">
        <v>7681</v>
      </c>
      <c r="N1473" s="51" t="s">
        <v>1340</v>
      </c>
      <c r="O1473" s="51" t="s">
        <v>7682</v>
      </c>
      <c r="P1473" s="51" t="s">
        <v>1340</v>
      </c>
      <c r="Q1473" s="45">
        <v>46286.763177245368</v>
      </c>
      <c r="R1473" s="46">
        <v>46296</v>
      </c>
      <c r="S1473" s="46">
        <v>46291</v>
      </c>
      <c r="T1473" s="51" t="s">
        <v>6119</v>
      </c>
      <c r="U1473" s="15"/>
      <c r="V1473" s="15"/>
      <c r="W1473" s="15"/>
      <c r="X1473" s="15"/>
      <c r="Y1473" s="15"/>
      <c r="Z1473" s="15"/>
      <c r="AA1473" s="46"/>
      <c r="AB1473" s="15"/>
      <c r="AC1473" s="15"/>
      <c r="AD1473" s="15"/>
      <c r="AE1473" s="15"/>
      <c r="AF1473" s="15"/>
      <c r="AG1473" s="15"/>
      <c r="AH1473" s="15"/>
      <c r="AI1473" s="46"/>
      <c r="AJ1473" s="51" t="s">
        <v>67</v>
      </c>
      <c r="AK1473" s="51" t="s">
        <v>67</v>
      </c>
      <c r="AL1473" s="15"/>
      <c r="AM1473" s="51" t="s">
        <v>67</v>
      </c>
      <c r="AN1473" s="51" t="s">
        <v>67</v>
      </c>
      <c r="AO1473" s="50" t="s">
        <v>9554</v>
      </c>
    </row>
    <row r="1474" spans="1:41" hidden="1" x14ac:dyDescent="0.25">
      <c r="A1474" s="51" t="s">
        <v>7683</v>
      </c>
      <c r="B1474" s="51" t="s">
        <v>7684</v>
      </c>
      <c r="C1474" s="54" t="s">
        <v>2357</v>
      </c>
      <c r="D1474" s="51" t="s">
        <v>7685</v>
      </c>
      <c r="E1474" s="20">
        <v>10000</v>
      </c>
      <c r="F1474" s="20">
        <v>0</v>
      </c>
      <c r="G1474" s="20">
        <v>11485.91</v>
      </c>
      <c r="H1474" s="20">
        <v>1153.49</v>
      </c>
      <c r="I1474" s="20">
        <v>523.29</v>
      </c>
      <c r="J1474" s="51" t="s">
        <v>6726</v>
      </c>
      <c r="K1474" s="15">
        <v>0</v>
      </c>
      <c r="L1474" s="51" t="s">
        <v>2371</v>
      </c>
      <c r="M1474" s="51" t="s">
        <v>67</v>
      </c>
      <c r="N1474" s="51" t="s">
        <v>67</v>
      </c>
      <c r="O1474" s="51" t="s">
        <v>7686</v>
      </c>
      <c r="P1474" s="51" t="s">
        <v>1344</v>
      </c>
      <c r="Q1474" s="45">
        <v>46286.763182314811</v>
      </c>
      <c r="R1474" s="46">
        <v>46308</v>
      </c>
      <c r="S1474" s="46">
        <v>46303</v>
      </c>
      <c r="T1474" s="51" t="s">
        <v>6119</v>
      </c>
      <c r="U1474" s="15"/>
      <c r="V1474" s="15"/>
      <c r="W1474" s="15"/>
      <c r="X1474" s="15"/>
      <c r="Y1474" s="15"/>
      <c r="Z1474" s="15"/>
      <c r="AA1474" s="46"/>
      <c r="AB1474" s="15"/>
      <c r="AC1474" s="15"/>
      <c r="AD1474" s="15"/>
      <c r="AE1474" s="15"/>
      <c r="AF1474" s="15"/>
      <c r="AG1474" s="15"/>
      <c r="AH1474" s="15"/>
      <c r="AI1474" s="46"/>
      <c r="AJ1474" s="51" t="s">
        <v>67</v>
      </c>
      <c r="AK1474" s="51" t="s">
        <v>67</v>
      </c>
      <c r="AL1474" s="15"/>
      <c r="AM1474" s="51" t="s">
        <v>67</v>
      </c>
      <c r="AN1474" s="51" t="s">
        <v>67</v>
      </c>
      <c r="AO1474" s="50" t="s">
        <v>9554</v>
      </c>
    </row>
    <row r="1475" spans="1:41" hidden="1" x14ac:dyDescent="0.25">
      <c r="A1475" s="51" t="s">
        <v>7687</v>
      </c>
      <c r="B1475" s="51" t="s">
        <v>7688</v>
      </c>
      <c r="C1475" s="54" t="s">
        <v>2690</v>
      </c>
      <c r="D1475" s="51" t="s">
        <v>7689</v>
      </c>
      <c r="E1475" s="20">
        <v>10000</v>
      </c>
      <c r="F1475" s="20">
        <v>146.16</v>
      </c>
      <c r="G1475" s="20">
        <v>13341.67</v>
      </c>
      <c r="H1475" s="20">
        <v>1492.17</v>
      </c>
      <c r="I1475" s="20">
        <v>824.01</v>
      </c>
      <c r="J1475" s="51" t="s">
        <v>6726</v>
      </c>
      <c r="K1475" s="15">
        <v>0</v>
      </c>
      <c r="L1475" s="51" t="s">
        <v>2371</v>
      </c>
      <c r="M1475" s="51" t="s">
        <v>67</v>
      </c>
      <c r="N1475" s="51" t="s">
        <v>67</v>
      </c>
      <c r="O1475" s="51" t="s">
        <v>7690</v>
      </c>
      <c r="P1475" s="51" t="s">
        <v>1344</v>
      </c>
      <c r="Q1475" s="45">
        <v>46286.763187557874</v>
      </c>
      <c r="R1475" s="46">
        <v>46322</v>
      </c>
      <c r="S1475" s="46">
        <v>46317</v>
      </c>
      <c r="T1475" s="51" t="s">
        <v>6119</v>
      </c>
      <c r="U1475" s="15"/>
      <c r="V1475" s="15"/>
      <c r="W1475" s="15"/>
      <c r="X1475" s="15"/>
      <c r="Y1475" s="15"/>
      <c r="Z1475" s="15"/>
      <c r="AA1475" s="46"/>
      <c r="AB1475" s="15"/>
      <c r="AC1475" s="15"/>
      <c r="AD1475" s="15"/>
      <c r="AE1475" s="15"/>
      <c r="AF1475" s="15"/>
      <c r="AG1475" s="15"/>
      <c r="AH1475" s="15"/>
      <c r="AI1475" s="46"/>
      <c r="AJ1475" s="51" t="s">
        <v>67</v>
      </c>
      <c r="AK1475" s="51" t="s">
        <v>67</v>
      </c>
      <c r="AL1475" s="15"/>
      <c r="AM1475" s="51" t="s">
        <v>67</v>
      </c>
      <c r="AN1475" s="51" t="s">
        <v>67</v>
      </c>
      <c r="AO1475" s="50" t="s">
        <v>9554</v>
      </c>
    </row>
    <row r="1476" spans="1:41" hidden="1" x14ac:dyDescent="0.25">
      <c r="A1476" s="51" t="s">
        <v>7691</v>
      </c>
      <c r="B1476" s="51" t="s">
        <v>7692</v>
      </c>
      <c r="C1476" s="54" t="s">
        <v>611</v>
      </c>
      <c r="D1476" s="51" t="s">
        <v>7693</v>
      </c>
      <c r="E1476" s="20">
        <v>10000</v>
      </c>
      <c r="F1476" s="20">
        <v>544.80999999999995</v>
      </c>
      <c r="G1476" s="20">
        <v>18052.28</v>
      </c>
      <c r="H1476" s="20">
        <v>1013.49</v>
      </c>
      <c r="I1476" s="20">
        <v>821.74</v>
      </c>
      <c r="J1476" s="51" t="s">
        <v>6726</v>
      </c>
      <c r="K1476" s="15">
        <v>0</v>
      </c>
      <c r="L1476" s="51" t="s">
        <v>2371</v>
      </c>
      <c r="M1476" s="51" t="s">
        <v>7694</v>
      </c>
      <c r="N1476" s="51" t="s">
        <v>1340</v>
      </c>
      <c r="O1476" s="51" t="s">
        <v>67</v>
      </c>
      <c r="P1476" s="51" t="s">
        <v>67</v>
      </c>
      <c r="Q1476" s="45">
        <v>46286.763192939812</v>
      </c>
      <c r="R1476" s="46">
        <v>46320</v>
      </c>
      <c r="S1476" s="46">
        <v>46315</v>
      </c>
      <c r="T1476" s="51" t="s">
        <v>6119</v>
      </c>
      <c r="U1476" s="15"/>
      <c r="V1476" s="15"/>
      <c r="W1476" s="15"/>
      <c r="X1476" s="15"/>
      <c r="Y1476" s="15"/>
      <c r="Z1476" s="15"/>
      <c r="AA1476" s="46"/>
      <c r="AB1476" s="15"/>
      <c r="AC1476" s="15"/>
      <c r="AD1476" s="15"/>
      <c r="AE1476" s="15"/>
      <c r="AF1476" s="15"/>
      <c r="AG1476" s="15"/>
      <c r="AH1476" s="15"/>
      <c r="AI1476" s="46"/>
      <c r="AJ1476" s="51" t="s">
        <v>67</v>
      </c>
      <c r="AK1476" s="51" t="s">
        <v>67</v>
      </c>
      <c r="AL1476" s="15"/>
      <c r="AM1476" s="51" t="s">
        <v>67</v>
      </c>
      <c r="AN1476" s="51" t="s">
        <v>67</v>
      </c>
      <c r="AO1476" s="50" t="s">
        <v>9554</v>
      </c>
    </row>
    <row r="1477" spans="1:41" hidden="1" x14ac:dyDescent="0.25">
      <c r="A1477" s="51" t="s">
        <v>7695</v>
      </c>
      <c r="B1477" s="51" t="s">
        <v>7696</v>
      </c>
      <c r="C1477" s="54" t="s">
        <v>605</v>
      </c>
      <c r="D1477" s="51" t="s">
        <v>7697</v>
      </c>
      <c r="E1477" s="20">
        <v>10000</v>
      </c>
      <c r="F1477" s="20">
        <v>65.819999999999993</v>
      </c>
      <c r="G1477" s="20">
        <v>20324.39</v>
      </c>
      <c r="H1477" s="20">
        <v>1478.15</v>
      </c>
      <c r="I1477" s="20">
        <v>776.55</v>
      </c>
      <c r="J1477" s="51" t="s">
        <v>6726</v>
      </c>
      <c r="K1477" s="15">
        <v>0</v>
      </c>
      <c r="L1477" s="51" t="s">
        <v>2371</v>
      </c>
      <c r="M1477" s="51" t="s">
        <v>67</v>
      </c>
      <c r="N1477" s="51" t="s">
        <v>67</v>
      </c>
      <c r="O1477" s="51" t="s">
        <v>7698</v>
      </c>
      <c r="P1477" s="51" t="s">
        <v>1340</v>
      </c>
      <c r="Q1477" s="45">
        <v>46286.763198981484</v>
      </c>
      <c r="R1477" s="46">
        <v>46305</v>
      </c>
      <c r="S1477" s="46">
        <v>46300</v>
      </c>
      <c r="T1477" s="51" t="s">
        <v>6119</v>
      </c>
      <c r="U1477" s="15"/>
      <c r="V1477" s="15"/>
      <c r="W1477" s="15"/>
      <c r="X1477" s="15"/>
      <c r="Y1477" s="15"/>
      <c r="Z1477" s="15"/>
      <c r="AA1477" s="46"/>
      <c r="AB1477" s="15"/>
      <c r="AC1477" s="15"/>
      <c r="AD1477" s="15"/>
      <c r="AE1477" s="15"/>
      <c r="AF1477" s="15"/>
      <c r="AG1477" s="15"/>
      <c r="AH1477" s="15"/>
      <c r="AI1477" s="46"/>
      <c r="AJ1477" s="51" t="s">
        <v>67</v>
      </c>
      <c r="AK1477" s="51" t="s">
        <v>67</v>
      </c>
      <c r="AL1477" s="15"/>
      <c r="AM1477" s="51" t="s">
        <v>67</v>
      </c>
      <c r="AN1477" s="51" t="s">
        <v>67</v>
      </c>
      <c r="AO1477" s="50" t="s">
        <v>9554</v>
      </c>
    </row>
    <row r="1478" spans="1:41" hidden="1" x14ac:dyDescent="0.25">
      <c r="A1478" s="51" t="s">
        <v>7699</v>
      </c>
      <c r="B1478" s="51" t="s">
        <v>7700</v>
      </c>
      <c r="C1478" s="54" t="s">
        <v>2693</v>
      </c>
      <c r="D1478" s="51" t="s">
        <v>7701</v>
      </c>
      <c r="E1478" s="20">
        <v>10000</v>
      </c>
      <c r="F1478" s="20">
        <v>53.46</v>
      </c>
      <c r="G1478" s="20">
        <v>6717.33</v>
      </c>
      <c r="H1478" s="20">
        <v>1419.25</v>
      </c>
      <c r="I1478" s="20">
        <v>740.71</v>
      </c>
      <c r="J1478" s="51" t="s">
        <v>6726</v>
      </c>
      <c r="K1478" s="15">
        <v>0</v>
      </c>
      <c r="L1478" s="51" t="s">
        <v>2371</v>
      </c>
      <c r="M1478" s="51" t="s">
        <v>7702</v>
      </c>
      <c r="N1478" s="51" t="s">
        <v>1340</v>
      </c>
      <c r="O1478" s="51" t="s">
        <v>67</v>
      </c>
      <c r="P1478" s="51" t="s">
        <v>67</v>
      </c>
      <c r="Q1478" s="45">
        <v>46286.763204502313</v>
      </c>
      <c r="R1478" s="46">
        <v>46314</v>
      </c>
      <c r="S1478" s="46">
        <v>46309</v>
      </c>
      <c r="T1478" s="51" t="s">
        <v>6119</v>
      </c>
      <c r="U1478" s="15"/>
      <c r="V1478" s="15"/>
      <c r="W1478" s="15"/>
      <c r="X1478" s="15"/>
      <c r="Y1478" s="15"/>
      <c r="Z1478" s="15"/>
      <c r="AA1478" s="46"/>
      <c r="AB1478" s="15"/>
      <c r="AC1478" s="15"/>
      <c r="AD1478" s="15"/>
      <c r="AE1478" s="15"/>
      <c r="AF1478" s="15"/>
      <c r="AG1478" s="15"/>
      <c r="AH1478" s="15"/>
      <c r="AI1478" s="46"/>
      <c r="AJ1478" s="51" t="s">
        <v>67</v>
      </c>
      <c r="AK1478" s="51" t="s">
        <v>67</v>
      </c>
      <c r="AL1478" s="15"/>
      <c r="AM1478" s="51" t="s">
        <v>67</v>
      </c>
      <c r="AN1478" s="51" t="s">
        <v>67</v>
      </c>
      <c r="AO1478" s="50" t="s">
        <v>9554</v>
      </c>
    </row>
    <row r="1479" spans="1:41" hidden="1" x14ac:dyDescent="0.25">
      <c r="A1479" s="51" t="s">
        <v>7703</v>
      </c>
      <c r="B1479" s="51" t="s">
        <v>7704</v>
      </c>
      <c r="C1479" s="54" t="s">
        <v>5605</v>
      </c>
      <c r="D1479" s="51" t="s">
        <v>7705</v>
      </c>
      <c r="E1479" s="20">
        <v>10000</v>
      </c>
      <c r="F1479" s="20">
        <v>258.83999999999997</v>
      </c>
      <c r="G1479" s="20">
        <v>19662.810000000001</v>
      </c>
      <c r="H1479" s="20">
        <v>1435.14</v>
      </c>
      <c r="I1479" s="20">
        <v>852</v>
      </c>
      <c r="J1479" s="51" t="s">
        <v>6726</v>
      </c>
      <c r="K1479" s="15">
        <v>0</v>
      </c>
      <c r="L1479" s="51" t="s">
        <v>2371</v>
      </c>
      <c r="M1479" s="51" t="s">
        <v>7706</v>
      </c>
      <c r="N1479" s="51" t="s">
        <v>1340</v>
      </c>
      <c r="O1479" s="51" t="s">
        <v>7707</v>
      </c>
      <c r="P1479" s="51" t="s">
        <v>1340</v>
      </c>
      <c r="Q1479" s="45">
        <v>46286.763208032404</v>
      </c>
      <c r="R1479" s="46">
        <v>46323</v>
      </c>
      <c r="S1479" s="46">
        <v>46318</v>
      </c>
      <c r="T1479" s="51" t="s">
        <v>6119</v>
      </c>
      <c r="U1479" s="15"/>
      <c r="V1479" s="15"/>
      <c r="W1479" s="15"/>
      <c r="X1479" s="15"/>
      <c r="Y1479" s="15"/>
      <c r="Z1479" s="15"/>
      <c r="AA1479" s="46"/>
      <c r="AB1479" s="15"/>
      <c r="AC1479" s="15"/>
      <c r="AD1479" s="15"/>
      <c r="AE1479" s="15"/>
      <c r="AF1479" s="15"/>
      <c r="AG1479" s="15"/>
      <c r="AH1479" s="15"/>
      <c r="AI1479" s="46"/>
      <c r="AJ1479" s="51" t="s">
        <v>67</v>
      </c>
      <c r="AK1479" s="51" t="s">
        <v>67</v>
      </c>
      <c r="AL1479" s="15"/>
      <c r="AM1479" s="51" t="s">
        <v>67</v>
      </c>
      <c r="AN1479" s="51" t="s">
        <v>67</v>
      </c>
      <c r="AO1479" s="50" t="s">
        <v>9554</v>
      </c>
    </row>
    <row r="1480" spans="1:41" hidden="1" x14ac:dyDescent="0.25">
      <c r="A1480" s="51" t="s">
        <v>7708</v>
      </c>
      <c r="B1480" s="51" t="s">
        <v>7709</v>
      </c>
      <c r="C1480" s="54" t="s">
        <v>2357</v>
      </c>
      <c r="D1480" s="51" t="s">
        <v>7710</v>
      </c>
      <c r="E1480" s="20">
        <v>10000</v>
      </c>
      <c r="F1480" s="20">
        <v>590.04999999999995</v>
      </c>
      <c r="G1480" s="20">
        <v>6394.71</v>
      </c>
      <c r="H1480" s="20">
        <v>1149.33</v>
      </c>
      <c r="I1480" s="20">
        <v>928.78</v>
      </c>
      <c r="J1480" s="51" t="s">
        <v>6726</v>
      </c>
      <c r="K1480" s="15">
        <v>0</v>
      </c>
      <c r="L1480" s="51" t="s">
        <v>2371</v>
      </c>
      <c r="M1480" s="51" t="s">
        <v>67</v>
      </c>
      <c r="N1480" s="51" t="s">
        <v>67</v>
      </c>
      <c r="O1480" s="51" t="s">
        <v>7711</v>
      </c>
      <c r="P1480" s="51" t="s">
        <v>1340</v>
      </c>
      <c r="Q1480" s="45">
        <v>46286.76321409722</v>
      </c>
      <c r="R1480" s="46">
        <v>46308</v>
      </c>
      <c r="S1480" s="46">
        <v>46303</v>
      </c>
      <c r="T1480" s="51" t="s">
        <v>6119</v>
      </c>
      <c r="U1480" s="15"/>
      <c r="V1480" s="15"/>
      <c r="W1480" s="15"/>
      <c r="X1480" s="15"/>
      <c r="Y1480" s="15"/>
      <c r="Z1480" s="15"/>
      <c r="AA1480" s="46"/>
      <c r="AB1480" s="15"/>
      <c r="AC1480" s="15"/>
      <c r="AD1480" s="15"/>
      <c r="AE1480" s="15"/>
      <c r="AF1480" s="15"/>
      <c r="AG1480" s="15"/>
      <c r="AH1480" s="15"/>
      <c r="AI1480" s="46"/>
      <c r="AJ1480" s="51" t="s">
        <v>67</v>
      </c>
      <c r="AK1480" s="51" t="s">
        <v>67</v>
      </c>
      <c r="AL1480" s="15"/>
      <c r="AM1480" s="51" t="s">
        <v>67</v>
      </c>
      <c r="AN1480" s="51" t="s">
        <v>67</v>
      </c>
      <c r="AO1480" s="50" t="s">
        <v>9554</v>
      </c>
    </row>
    <row r="1481" spans="1:41" hidden="1" x14ac:dyDescent="0.25">
      <c r="A1481" s="51" t="s">
        <v>7712</v>
      </c>
      <c r="B1481" s="51" t="s">
        <v>7713</v>
      </c>
      <c r="C1481" s="54" t="s">
        <v>5603</v>
      </c>
      <c r="D1481" s="51" t="s">
        <v>7714</v>
      </c>
      <c r="E1481" s="20">
        <v>10000</v>
      </c>
      <c r="F1481" s="20">
        <v>0</v>
      </c>
      <c r="G1481" s="20">
        <v>12787.01</v>
      </c>
      <c r="H1481" s="20">
        <v>6040.43</v>
      </c>
      <c r="I1481" s="20">
        <v>715.73</v>
      </c>
      <c r="J1481" s="51" t="s">
        <v>6726</v>
      </c>
      <c r="K1481" s="15">
        <v>0</v>
      </c>
      <c r="L1481" s="51" t="s">
        <v>2371</v>
      </c>
      <c r="M1481" s="51" t="s">
        <v>67</v>
      </c>
      <c r="N1481" s="51" t="s">
        <v>67</v>
      </c>
      <c r="O1481" s="51" t="s">
        <v>7715</v>
      </c>
      <c r="P1481" s="51" t="s">
        <v>1340</v>
      </c>
      <c r="Q1481" s="45">
        <v>46286.763219375003</v>
      </c>
      <c r="R1481" s="46">
        <v>46298</v>
      </c>
      <c r="S1481" s="46">
        <v>46293</v>
      </c>
      <c r="T1481" s="51" t="s">
        <v>6119</v>
      </c>
      <c r="U1481" s="15"/>
      <c r="V1481" s="15"/>
      <c r="W1481" s="15"/>
      <c r="X1481" s="15"/>
      <c r="Y1481" s="15"/>
      <c r="Z1481" s="15"/>
      <c r="AA1481" s="46"/>
      <c r="AB1481" s="15"/>
      <c r="AC1481" s="15"/>
      <c r="AD1481" s="15"/>
      <c r="AE1481" s="15"/>
      <c r="AF1481" s="15"/>
      <c r="AG1481" s="15"/>
      <c r="AH1481" s="15"/>
      <c r="AI1481" s="46"/>
      <c r="AJ1481" s="51" t="s">
        <v>67</v>
      </c>
      <c r="AK1481" s="51" t="s">
        <v>67</v>
      </c>
      <c r="AL1481" s="15"/>
      <c r="AM1481" s="51" t="s">
        <v>67</v>
      </c>
      <c r="AN1481" s="51" t="s">
        <v>67</v>
      </c>
      <c r="AO1481" s="50" t="s">
        <v>9554</v>
      </c>
    </row>
    <row r="1482" spans="1:41" hidden="1" x14ac:dyDescent="0.25">
      <c r="A1482" s="51" t="s">
        <v>7716</v>
      </c>
      <c r="B1482" s="51" t="s">
        <v>7717</v>
      </c>
      <c r="C1482" s="54" t="s">
        <v>2692</v>
      </c>
      <c r="D1482" s="51" t="s">
        <v>7718</v>
      </c>
      <c r="E1482" s="20">
        <v>10000</v>
      </c>
      <c r="F1482" s="20">
        <v>4.62</v>
      </c>
      <c r="G1482" s="20">
        <v>14482.2</v>
      </c>
      <c r="H1482" s="20">
        <v>1358.24</v>
      </c>
      <c r="I1482" s="20">
        <v>685.46</v>
      </c>
      <c r="J1482" s="51" t="s">
        <v>6726</v>
      </c>
      <c r="K1482" s="15">
        <v>0</v>
      </c>
      <c r="L1482" s="51" t="s">
        <v>2371</v>
      </c>
      <c r="M1482" s="51" t="s">
        <v>67</v>
      </c>
      <c r="N1482" s="51" t="s">
        <v>67</v>
      </c>
      <c r="O1482" s="51" t="s">
        <v>7719</v>
      </c>
      <c r="P1482" s="51" t="s">
        <v>1340</v>
      </c>
      <c r="Q1482" s="45">
        <v>46286.763225023147</v>
      </c>
      <c r="R1482" s="46">
        <v>46296</v>
      </c>
      <c r="S1482" s="46">
        <v>46291</v>
      </c>
      <c r="T1482" s="51" t="s">
        <v>6119</v>
      </c>
      <c r="U1482" s="15"/>
      <c r="V1482" s="15"/>
      <c r="W1482" s="15"/>
      <c r="X1482" s="15"/>
      <c r="Y1482" s="15"/>
      <c r="Z1482" s="15"/>
      <c r="AA1482" s="46"/>
      <c r="AB1482" s="15"/>
      <c r="AC1482" s="15"/>
      <c r="AD1482" s="15"/>
      <c r="AE1482" s="15"/>
      <c r="AF1482" s="15"/>
      <c r="AG1482" s="15"/>
      <c r="AH1482" s="15"/>
      <c r="AI1482" s="46"/>
      <c r="AJ1482" s="51" t="s">
        <v>67</v>
      </c>
      <c r="AK1482" s="51" t="s">
        <v>67</v>
      </c>
      <c r="AL1482" s="15"/>
      <c r="AM1482" s="51" t="s">
        <v>67</v>
      </c>
      <c r="AN1482" s="51" t="s">
        <v>67</v>
      </c>
      <c r="AO1482" s="50" t="s">
        <v>9554</v>
      </c>
    </row>
    <row r="1483" spans="1:41" hidden="1" x14ac:dyDescent="0.25">
      <c r="A1483" s="51" t="s">
        <v>7720</v>
      </c>
      <c r="B1483" s="51" t="s">
        <v>7721</v>
      </c>
      <c r="C1483" s="54" t="s">
        <v>5598</v>
      </c>
      <c r="D1483" s="51" t="s">
        <v>7722</v>
      </c>
      <c r="E1483" s="20">
        <v>10000</v>
      </c>
      <c r="F1483" s="20">
        <v>98.78</v>
      </c>
      <c r="G1483" s="20">
        <v>8077.29</v>
      </c>
      <c r="H1483" s="20">
        <v>1105.3499999999999</v>
      </c>
      <c r="I1483" s="20">
        <v>605.63</v>
      </c>
      <c r="J1483" s="51" t="s">
        <v>6726</v>
      </c>
      <c r="K1483" s="15">
        <v>0</v>
      </c>
      <c r="L1483" s="51" t="s">
        <v>2371</v>
      </c>
      <c r="M1483" s="51" t="s">
        <v>67</v>
      </c>
      <c r="N1483" s="51" t="s">
        <v>67</v>
      </c>
      <c r="O1483" s="51" t="s">
        <v>7723</v>
      </c>
      <c r="P1483" s="51" t="s">
        <v>1340</v>
      </c>
      <c r="Q1483" s="45">
        <v>46286.763229918979</v>
      </c>
      <c r="R1483" s="46">
        <v>46318</v>
      </c>
      <c r="S1483" s="46">
        <v>46313</v>
      </c>
      <c r="T1483" s="51" t="s">
        <v>6119</v>
      </c>
      <c r="U1483" s="15"/>
      <c r="V1483" s="15"/>
      <c r="W1483" s="15"/>
      <c r="X1483" s="15"/>
      <c r="Y1483" s="15"/>
      <c r="Z1483" s="15"/>
      <c r="AA1483" s="46"/>
      <c r="AB1483" s="15"/>
      <c r="AC1483" s="15"/>
      <c r="AD1483" s="15"/>
      <c r="AE1483" s="15"/>
      <c r="AF1483" s="15"/>
      <c r="AG1483" s="15"/>
      <c r="AH1483" s="15"/>
      <c r="AI1483" s="46"/>
      <c r="AJ1483" s="51" t="s">
        <v>67</v>
      </c>
      <c r="AK1483" s="51" t="s">
        <v>67</v>
      </c>
      <c r="AL1483" s="15"/>
      <c r="AM1483" s="51" t="s">
        <v>67</v>
      </c>
      <c r="AN1483" s="51" t="s">
        <v>67</v>
      </c>
      <c r="AO1483" s="50" t="s">
        <v>9554</v>
      </c>
    </row>
    <row r="1484" spans="1:41" hidden="1" x14ac:dyDescent="0.25">
      <c r="A1484" s="51" t="s">
        <v>7724</v>
      </c>
      <c r="B1484" s="51" t="s">
        <v>7725</v>
      </c>
      <c r="C1484" s="54" t="s">
        <v>5607</v>
      </c>
      <c r="D1484" s="51" t="s">
        <v>6809</v>
      </c>
      <c r="E1484" s="20">
        <v>10000</v>
      </c>
      <c r="F1484" s="20">
        <v>0</v>
      </c>
      <c r="G1484" s="20">
        <v>8049.32</v>
      </c>
      <c r="H1484" s="20">
        <v>1462.91</v>
      </c>
      <c r="I1484" s="20">
        <v>658.91</v>
      </c>
      <c r="J1484" s="51" t="s">
        <v>6726</v>
      </c>
      <c r="K1484" s="15">
        <v>0</v>
      </c>
      <c r="L1484" s="51" t="s">
        <v>2371</v>
      </c>
      <c r="M1484" s="51" t="s">
        <v>7726</v>
      </c>
      <c r="N1484" s="51" t="s">
        <v>1340</v>
      </c>
      <c r="O1484" s="51" t="s">
        <v>67</v>
      </c>
      <c r="P1484" s="51" t="s">
        <v>67</v>
      </c>
      <c r="Q1484" s="45">
        <v>46286.763234502316</v>
      </c>
      <c r="R1484" s="46">
        <v>46299</v>
      </c>
      <c r="S1484" s="46">
        <v>46294</v>
      </c>
      <c r="T1484" s="51" t="s">
        <v>6119</v>
      </c>
      <c r="U1484" s="15"/>
      <c r="V1484" s="15"/>
      <c r="W1484" s="15"/>
      <c r="X1484" s="15"/>
      <c r="Y1484" s="15"/>
      <c r="Z1484" s="15"/>
      <c r="AA1484" s="46"/>
      <c r="AB1484" s="15"/>
      <c r="AC1484" s="15"/>
      <c r="AD1484" s="15"/>
      <c r="AE1484" s="15"/>
      <c r="AF1484" s="15"/>
      <c r="AG1484" s="15"/>
      <c r="AH1484" s="15"/>
      <c r="AI1484" s="46"/>
      <c r="AJ1484" s="51" t="s">
        <v>67</v>
      </c>
      <c r="AK1484" s="51" t="s">
        <v>67</v>
      </c>
      <c r="AL1484" s="15"/>
      <c r="AM1484" s="51" t="s">
        <v>67</v>
      </c>
      <c r="AN1484" s="51" t="s">
        <v>67</v>
      </c>
      <c r="AO1484" s="50" t="s">
        <v>9554</v>
      </c>
    </row>
    <row r="1485" spans="1:41" hidden="1" x14ac:dyDescent="0.25">
      <c r="A1485" s="51" t="s">
        <v>7727</v>
      </c>
      <c r="B1485" s="51" t="s">
        <v>7728</v>
      </c>
      <c r="C1485" s="54" t="s">
        <v>5607</v>
      </c>
      <c r="D1485" s="51" t="s">
        <v>7729</v>
      </c>
      <c r="E1485" s="20">
        <v>10000</v>
      </c>
      <c r="F1485" s="20">
        <v>83.09</v>
      </c>
      <c r="G1485" s="20">
        <v>13141.77</v>
      </c>
      <c r="H1485" s="20">
        <v>1377.23</v>
      </c>
      <c r="I1485" s="20">
        <v>734.48</v>
      </c>
      <c r="J1485" s="51" t="s">
        <v>6726</v>
      </c>
      <c r="K1485" s="15">
        <v>0</v>
      </c>
      <c r="L1485" s="51" t="s">
        <v>2371</v>
      </c>
      <c r="M1485" s="51" t="s">
        <v>7730</v>
      </c>
      <c r="N1485" s="51" t="s">
        <v>1340</v>
      </c>
      <c r="O1485" s="51" t="s">
        <v>7731</v>
      </c>
      <c r="P1485" s="51" t="s">
        <v>1340</v>
      </c>
      <c r="Q1485" s="45">
        <v>46286.763238993059</v>
      </c>
      <c r="R1485" s="46">
        <v>46299</v>
      </c>
      <c r="S1485" s="46">
        <v>46294</v>
      </c>
      <c r="T1485" s="51" t="s">
        <v>6119</v>
      </c>
      <c r="U1485" s="15"/>
      <c r="V1485" s="15"/>
      <c r="W1485" s="15"/>
      <c r="X1485" s="15"/>
      <c r="Y1485" s="15"/>
      <c r="Z1485" s="15"/>
      <c r="AA1485" s="46"/>
      <c r="AB1485" s="15"/>
      <c r="AC1485" s="15"/>
      <c r="AD1485" s="15"/>
      <c r="AE1485" s="15"/>
      <c r="AF1485" s="15"/>
      <c r="AG1485" s="15"/>
      <c r="AH1485" s="15"/>
      <c r="AI1485" s="46"/>
      <c r="AJ1485" s="51" t="s">
        <v>67</v>
      </c>
      <c r="AK1485" s="51" t="s">
        <v>67</v>
      </c>
      <c r="AL1485" s="15"/>
      <c r="AM1485" s="51" t="s">
        <v>67</v>
      </c>
      <c r="AN1485" s="51" t="s">
        <v>67</v>
      </c>
      <c r="AO1485" s="50" t="s">
        <v>9554</v>
      </c>
    </row>
    <row r="1486" spans="1:41" hidden="1" x14ac:dyDescent="0.25">
      <c r="A1486" s="51" t="s">
        <v>7732</v>
      </c>
      <c r="B1486" s="51" t="s">
        <v>7733</v>
      </c>
      <c r="C1486" s="54" t="s">
        <v>2357</v>
      </c>
      <c r="D1486" s="51" t="s">
        <v>7734</v>
      </c>
      <c r="E1486" s="20">
        <v>10000</v>
      </c>
      <c r="F1486" s="20">
        <v>579.67999999999995</v>
      </c>
      <c r="G1486" s="20">
        <v>8861.86</v>
      </c>
      <c r="H1486" s="20">
        <v>1507.32</v>
      </c>
      <c r="I1486" s="20">
        <v>1114.54</v>
      </c>
      <c r="J1486" s="51" t="s">
        <v>6726</v>
      </c>
      <c r="K1486" s="15">
        <v>44</v>
      </c>
      <c r="L1486" s="51" t="s">
        <v>2369</v>
      </c>
      <c r="M1486" s="51" t="s">
        <v>67</v>
      </c>
      <c r="N1486" s="51" t="s">
        <v>67</v>
      </c>
      <c r="O1486" s="51" t="s">
        <v>7735</v>
      </c>
      <c r="P1486" s="51" t="s">
        <v>1340</v>
      </c>
      <c r="Q1486" s="45">
        <v>46286.763245162037</v>
      </c>
      <c r="R1486" s="46">
        <v>46308</v>
      </c>
      <c r="S1486" s="46">
        <v>46303</v>
      </c>
      <c r="T1486" s="51" t="s">
        <v>6119</v>
      </c>
      <c r="U1486" s="15"/>
      <c r="V1486" s="15"/>
      <c r="W1486" s="15"/>
      <c r="X1486" s="15"/>
      <c r="Y1486" s="15"/>
      <c r="Z1486" s="15"/>
      <c r="AA1486" s="46"/>
      <c r="AB1486" s="15"/>
      <c r="AC1486" s="15"/>
      <c r="AD1486" s="15"/>
      <c r="AE1486" s="15"/>
      <c r="AF1486" s="15"/>
      <c r="AG1486" s="15"/>
      <c r="AH1486" s="15"/>
      <c r="AI1486" s="46"/>
      <c r="AJ1486" s="51" t="s">
        <v>6121</v>
      </c>
      <c r="AK1486" s="51" t="s">
        <v>67</v>
      </c>
      <c r="AL1486" s="15"/>
      <c r="AM1486" s="51" t="s">
        <v>67</v>
      </c>
      <c r="AN1486" s="51" t="s">
        <v>67</v>
      </c>
      <c r="AO1486" s="50" t="s">
        <v>9554</v>
      </c>
    </row>
    <row r="1487" spans="1:41" hidden="1" x14ac:dyDescent="0.25">
      <c r="A1487" s="51" t="s">
        <v>7736</v>
      </c>
      <c r="B1487" s="51" t="s">
        <v>7737</v>
      </c>
      <c r="C1487" s="54" t="s">
        <v>2692</v>
      </c>
      <c r="D1487" s="51" t="s">
        <v>7738</v>
      </c>
      <c r="E1487" s="20">
        <v>10000</v>
      </c>
      <c r="F1487" s="20">
        <v>0</v>
      </c>
      <c r="G1487" s="20">
        <v>6019.35</v>
      </c>
      <c r="H1487" s="20">
        <v>1186.6400000000001</v>
      </c>
      <c r="I1487" s="20">
        <v>542.54</v>
      </c>
      <c r="J1487" s="51" t="s">
        <v>6726</v>
      </c>
      <c r="K1487" s="15">
        <v>0</v>
      </c>
      <c r="L1487" s="51" t="s">
        <v>2371</v>
      </c>
      <c r="M1487" s="51" t="s">
        <v>7739</v>
      </c>
      <c r="N1487" s="51" t="s">
        <v>1340</v>
      </c>
      <c r="O1487" s="51" t="s">
        <v>67</v>
      </c>
      <c r="P1487" s="51" t="s">
        <v>67</v>
      </c>
      <c r="Q1487" s="45">
        <v>46286.763250173608</v>
      </c>
      <c r="R1487" s="46">
        <v>46296</v>
      </c>
      <c r="S1487" s="46">
        <v>46291</v>
      </c>
      <c r="T1487" s="51" t="s">
        <v>6119</v>
      </c>
      <c r="U1487" s="15"/>
      <c r="V1487" s="15"/>
      <c r="W1487" s="15"/>
      <c r="X1487" s="15"/>
      <c r="Y1487" s="15"/>
      <c r="Z1487" s="15"/>
      <c r="AA1487" s="46"/>
      <c r="AB1487" s="15"/>
      <c r="AC1487" s="15"/>
      <c r="AD1487" s="15"/>
      <c r="AE1487" s="15"/>
      <c r="AF1487" s="15"/>
      <c r="AG1487" s="15"/>
      <c r="AH1487" s="15"/>
      <c r="AI1487" s="46"/>
      <c r="AJ1487" s="51" t="s">
        <v>67</v>
      </c>
      <c r="AK1487" s="51" t="s">
        <v>67</v>
      </c>
      <c r="AL1487" s="15"/>
      <c r="AM1487" s="51" t="s">
        <v>67</v>
      </c>
      <c r="AN1487" s="51" t="s">
        <v>67</v>
      </c>
      <c r="AO1487" s="50" t="s">
        <v>9554</v>
      </c>
    </row>
    <row r="1488" spans="1:41" hidden="1" x14ac:dyDescent="0.25">
      <c r="A1488" s="51" t="s">
        <v>7740</v>
      </c>
      <c r="B1488" s="51" t="s">
        <v>7741</v>
      </c>
      <c r="C1488" s="54" t="s">
        <v>2357</v>
      </c>
      <c r="D1488" s="51" t="s">
        <v>7742</v>
      </c>
      <c r="E1488" s="20">
        <v>10000</v>
      </c>
      <c r="F1488" s="20">
        <v>0</v>
      </c>
      <c r="G1488" s="20">
        <v>17142.650000000001</v>
      </c>
      <c r="H1488" s="20">
        <v>2131.54</v>
      </c>
      <c r="I1488" s="20">
        <v>751.11</v>
      </c>
      <c r="J1488" s="51" t="s">
        <v>6726</v>
      </c>
      <c r="K1488" s="15">
        <v>0</v>
      </c>
      <c r="L1488" s="51" t="s">
        <v>2371</v>
      </c>
      <c r="M1488" s="51" t="s">
        <v>7743</v>
      </c>
      <c r="N1488" s="51" t="s">
        <v>1340</v>
      </c>
      <c r="O1488" s="51" t="s">
        <v>7744</v>
      </c>
      <c r="P1488" s="51" t="s">
        <v>1340</v>
      </c>
      <c r="Q1488" s="45">
        <v>46286.763255057871</v>
      </c>
      <c r="R1488" s="46">
        <v>46308</v>
      </c>
      <c r="S1488" s="46">
        <v>46303</v>
      </c>
      <c r="T1488" s="51" t="s">
        <v>6119</v>
      </c>
      <c r="U1488" s="15"/>
      <c r="V1488" s="15"/>
      <c r="W1488" s="15"/>
      <c r="X1488" s="15"/>
      <c r="Y1488" s="15"/>
      <c r="Z1488" s="15"/>
      <c r="AA1488" s="46"/>
      <c r="AB1488" s="15"/>
      <c r="AC1488" s="15"/>
      <c r="AD1488" s="15"/>
      <c r="AE1488" s="15"/>
      <c r="AF1488" s="15"/>
      <c r="AG1488" s="15"/>
      <c r="AH1488" s="15"/>
      <c r="AI1488" s="46"/>
      <c r="AJ1488" s="51" t="s">
        <v>67</v>
      </c>
      <c r="AK1488" s="51" t="s">
        <v>67</v>
      </c>
      <c r="AL1488" s="15"/>
      <c r="AM1488" s="51" t="s">
        <v>67</v>
      </c>
      <c r="AN1488" s="51" t="s">
        <v>67</v>
      </c>
      <c r="AO1488" s="50" t="s">
        <v>9554</v>
      </c>
    </row>
    <row r="1489" spans="1:41" hidden="1" x14ac:dyDescent="0.25">
      <c r="A1489" s="51" t="s">
        <v>7745</v>
      </c>
      <c r="B1489" s="51" t="s">
        <v>7746</v>
      </c>
      <c r="C1489" s="54" t="s">
        <v>2356</v>
      </c>
      <c r="D1489" s="51" t="s">
        <v>7747</v>
      </c>
      <c r="E1489" s="20">
        <v>10000</v>
      </c>
      <c r="F1489" s="20">
        <v>0</v>
      </c>
      <c r="G1489" s="20">
        <v>2277.27</v>
      </c>
      <c r="H1489" s="20">
        <v>3462.93</v>
      </c>
      <c r="I1489" s="20">
        <v>882.54</v>
      </c>
      <c r="J1489" s="51" t="s">
        <v>6726</v>
      </c>
      <c r="K1489" s="15">
        <v>0</v>
      </c>
      <c r="L1489" s="51" t="s">
        <v>2371</v>
      </c>
      <c r="M1489" s="51" t="s">
        <v>7748</v>
      </c>
      <c r="N1489" s="51" t="s">
        <v>1340</v>
      </c>
      <c r="O1489" s="51" t="s">
        <v>7749</v>
      </c>
      <c r="P1489" s="51" t="s">
        <v>1340</v>
      </c>
      <c r="Q1489" s="45">
        <v>46286.763260254629</v>
      </c>
      <c r="R1489" s="46">
        <v>46307</v>
      </c>
      <c r="S1489" s="46">
        <v>46302</v>
      </c>
      <c r="T1489" s="51" t="s">
        <v>6119</v>
      </c>
      <c r="U1489" s="15"/>
      <c r="V1489" s="15"/>
      <c r="W1489" s="15"/>
      <c r="X1489" s="15"/>
      <c r="Y1489" s="15"/>
      <c r="Z1489" s="15"/>
      <c r="AA1489" s="46"/>
      <c r="AB1489" s="15"/>
      <c r="AC1489" s="15"/>
      <c r="AD1489" s="15"/>
      <c r="AE1489" s="15"/>
      <c r="AF1489" s="15"/>
      <c r="AG1489" s="15"/>
      <c r="AH1489" s="15"/>
      <c r="AI1489" s="46"/>
      <c r="AJ1489" s="51" t="s">
        <v>67</v>
      </c>
      <c r="AK1489" s="51" t="s">
        <v>67</v>
      </c>
      <c r="AL1489" s="15"/>
      <c r="AM1489" s="51" t="s">
        <v>67</v>
      </c>
      <c r="AN1489" s="51" t="s">
        <v>67</v>
      </c>
      <c r="AO1489" s="50" t="s">
        <v>9554</v>
      </c>
    </row>
    <row r="1490" spans="1:41" hidden="1" x14ac:dyDescent="0.25">
      <c r="A1490" s="51" t="s">
        <v>7750</v>
      </c>
      <c r="B1490" s="51" t="s">
        <v>7751</v>
      </c>
      <c r="C1490" s="54" t="s">
        <v>5596</v>
      </c>
      <c r="D1490" s="51" t="s">
        <v>6925</v>
      </c>
      <c r="E1490" s="20">
        <v>10000</v>
      </c>
      <c r="F1490" s="20">
        <v>286.97000000000003</v>
      </c>
      <c r="G1490" s="20">
        <v>3656.55</v>
      </c>
      <c r="H1490" s="20">
        <v>820.58</v>
      </c>
      <c r="I1490" s="20">
        <v>575.59</v>
      </c>
      <c r="J1490" s="51" t="s">
        <v>6726</v>
      </c>
      <c r="K1490" s="15">
        <v>21</v>
      </c>
      <c r="L1490" s="51" t="s">
        <v>2369</v>
      </c>
      <c r="M1490" s="51" t="s">
        <v>7752</v>
      </c>
      <c r="N1490" s="51" t="s">
        <v>1340</v>
      </c>
      <c r="O1490" s="51" t="s">
        <v>67</v>
      </c>
      <c r="P1490" s="51" t="s">
        <v>67</v>
      </c>
      <c r="Q1490" s="45">
        <v>46286.763264710651</v>
      </c>
      <c r="R1490" s="46">
        <v>46300</v>
      </c>
      <c r="S1490" s="46">
        <v>46295</v>
      </c>
      <c r="T1490" s="51" t="s">
        <v>6119</v>
      </c>
      <c r="U1490" s="15"/>
      <c r="V1490" s="15"/>
      <c r="W1490" s="15"/>
      <c r="X1490" s="15"/>
      <c r="Y1490" s="15"/>
      <c r="Z1490" s="15"/>
      <c r="AA1490" s="46"/>
      <c r="AB1490" s="15"/>
      <c r="AC1490" s="15"/>
      <c r="AD1490" s="15"/>
      <c r="AE1490" s="15"/>
      <c r="AF1490" s="15"/>
      <c r="AG1490" s="15"/>
      <c r="AH1490" s="15"/>
      <c r="AI1490" s="46"/>
      <c r="AJ1490" s="51" t="s">
        <v>6121</v>
      </c>
      <c r="AK1490" s="51" t="s">
        <v>67</v>
      </c>
      <c r="AL1490" s="15"/>
      <c r="AM1490" s="51" t="s">
        <v>67</v>
      </c>
      <c r="AN1490" s="51" t="s">
        <v>67</v>
      </c>
      <c r="AO1490" s="50" t="s">
        <v>9554</v>
      </c>
    </row>
    <row r="1491" spans="1:41" hidden="1" x14ac:dyDescent="0.25">
      <c r="A1491" s="51" t="s">
        <v>7753</v>
      </c>
      <c r="B1491" s="51" t="s">
        <v>7754</v>
      </c>
      <c r="C1491" s="54" t="s">
        <v>611</v>
      </c>
      <c r="D1491" s="51" t="s">
        <v>7591</v>
      </c>
      <c r="E1491" s="20">
        <v>10000</v>
      </c>
      <c r="F1491" s="20">
        <v>0</v>
      </c>
      <c r="G1491" s="20">
        <v>4286.47</v>
      </c>
      <c r="H1491" s="20">
        <v>1369.36</v>
      </c>
      <c r="I1491" s="20">
        <v>603.9</v>
      </c>
      <c r="J1491" s="51" t="s">
        <v>6726</v>
      </c>
      <c r="K1491" s="15">
        <v>0</v>
      </c>
      <c r="L1491" s="51" t="s">
        <v>2371</v>
      </c>
      <c r="M1491" s="51" t="s">
        <v>7755</v>
      </c>
      <c r="N1491" s="51" t="s">
        <v>1340</v>
      </c>
      <c r="O1491" s="51" t="s">
        <v>67</v>
      </c>
      <c r="P1491" s="51" t="s">
        <v>67</v>
      </c>
      <c r="Q1491" s="45">
        <v>46286.763268842595</v>
      </c>
      <c r="R1491" s="46">
        <v>46320</v>
      </c>
      <c r="S1491" s="46">
        <v>46315</v>
      </c>
      <c r="T1491" s="51" t="s">
        <v>6119</v>
      </c>
      <c r="U1491" s="15"/>
      <c r="V1491" s="15"/>
      <c r="W1491" s="15"/>
      <c r="X1491" s="15"/>
      <c r="Y1491" s="15"/>
      <c r="Z1491" s="15"/>
      <c r="AA1491" s="46"/>
      <c r="AB1491" s="15"/>
      <c r="AC1491" s="15"/>
      <c r="AD1491" s="15"/>
      <c r="AE1491" s="15"/>
      <c r="AF1491" s="15"/>
      <c r="AG1491" s="15"/>
      <c r="AH1491" s="15"/>
      <c r="AI1491" s="46"/>
      <c r="AJ1491" s="51" t="s">
        <v>67</v>
      </c>
      <c r="AK1491" s="51" t="s">
        <v>67</v>
      </c>
      <c r="AL1491" s="15"/>
      <c r="AM1491" s="51" t="s">
        <v>67</v>
      </c>
      <c r="AN1491" s="51" t="s">
        <v>67</v>
      </c>
      <c r="AO1491" s="50" t="s">
        <v>9554</v>
      </c>
    </row>
    <row r="1492" spans="1:41" hidden="1" x14ac:dyDescent="0.25">
      <c r="A1492" s="51" t="s">
        <v>7756</v>
      </c>
      <c r="B1492" s="51" t="s">
        <v>7757</v>
      </c>
      <c r="C1492" s="54" t="s">
        <v>5605</v>
      </c>
      <c r="D1492" s="51" t="s">
        <v>7758</v>
      </c>
      <c r="E1492" s="20">
        <v>10000</v>
      </c>
      <c r="F1492" s="20">
        <v>0</v>
      </c>
      <c r="G1492" s="20">
        <v>3625.47</v>
      </c>
      <c r="H1492" s="20">
        <v>4502.03</v>
      </c>
      <c r="I1492" s="20">
        <v>481.44</v>
      </c>
      <c r="J1492" s="51" t="s">
        <v>6726</v>
      </c>
      <c r="K1492" s="15">
        <v>0</v>
      </c>
      <c r="L1492" s="51" t="s">
        <v>2371</v>
      </c>
      <c r="M1492" s="51" t="s">
        <v>67</v>
      </c>
      <c r="N1492" s="51" t="s">
        <v>67</v>
      </c>
      <c r="O1492" s="51" t="s">
        <v>7759</v>
      </c>
      <c r="P1492" s="51" t="s">
        <v>1340</v>
      </c>
      <c r="Q1492" s="45">
        <v>46286.763274166668</v>
      </c>
      <c r="R1492" s="46">
        <v>46323</v>
      </c>
      <c r="S1492" s="46">
        <v>46318</v>
      </c>
      <c r="T1492" s="51" t="s">
        <v>6119</v>
      </c>
      <c r="U1492" s="15"/>
      <c r="V1492" s="15"/>
      <c r="W1492" s="15"/>
      <c r="X1492" s="15"/>
      <c r="Y1492" s="15"/>
      <c r="Z1492" s="15"/>
      <c r="AA1492" s="46"/>
      <c r="AB1492" s="15"/>
      <c r="AC1492" s="15"/>
      <c r="AD1492" s="15"/>
      <c r="AE1492" s="15"/>
      <c r="AF1492" s="15"/>
      <c r="AG1492" s="15"/>
      <c r="AH1492" s="15"/>
      <c r="AI1492" s="46"/>
      <c r="AJ1492" s="51" t="s">
        <v>67</v>
      </c>
      <c r="AK1492" s="51" t="s">
        <v>67</v>
      </c>
      <c r="AL1492" s="15"/>
      <c r="AM1492" s="51" t="s">
        <v>67</v>
      </c>
      <c r="AN1492" s="51" t="s">
        <v>67</v>
      </c>
      <c r="AO1492" s="50" t="s">
        <v>9554</v>
      </c>
    </row>
    <row r="1493" spans="1:41" hidden="1" x14ac:dyDescent="0.25">
      <c r="A1493" s="51" t="s">
        <v>7760</v>
      </c>
      <c r="B1493" s="51" t="s">
        <v>7761</v>
      </c>
      <c r="C1493" s="54" t="s">
        <v>2694</v>
      </c>
      <c r="D1493" s="51" t="s">
        <v>7762</v>
      </c>
      <c r="E1493" s="20">
        <v>10000</v>
      </c>
      <c r="F1493" s="20">
        <v>0</v>
      </c>
      <c r="G1493" s="20">
        <v>18034.11</v>
      </c>
      <c r="H1493" s="20">
        <v>987.87</v>
      </c>
      <c r="I1493" s="20">
        <v>470.03</v>
      </c>
      <c r="J1493" s="51" t="s">
        <v>6726</v>
      </c>
      <c r="K1493" s="15">
        <v>0</v>
      </c>
      <c r="L1493" s="51" t="s">
        <v>2371</v>
      </c>
      <c r="M1493" s="51" t="s">
        <v>7763</v>
      </c>
      <c r="N1493" s="51" t="s">
        <v>1344</v>
      </c>
      <c r="O1493" s="51" t="s">
        <v>67</v>
      </c>
      <c r="P1493" s="51" t="s">
        <v>67</v>
      </c>
      <c r="Q1493" s="45">
        <v>46286.763282048611</v>
      </c>
      <c r="R1493" s="46">
        <v>46312</v>
      </c>
      <c r="S1493" s="46">
        <v>46307</v>
      </c>
      <c r="T1493" s="51" t="s">
        <v>6119</v>
      </c>
      <c r="U1493" s="15"/>
      <c r="V1493" s="15"/>
      <c r="W1493" s="15"/>
      <c r="X1493" s="15"/>
      <c r="Y1493" s="15"/>
      <c r="Z1493" s="15"/>
      <c r="AA1493" s="46"/>
      <c r="AB1493" s="15"/>
      <c r="AC1493" s="15"/>
      <c r="AD1493" s="15"/>
      <c r="AE1493" s="15"/>
      <c r="AF1493" s="15"/>
      <c r="AG1493" s="15"/>
      <c r="AH1493" s="15"/>
      <c r="AI1493" s="46"/>
      <c r="AJ1493" s="51" t="s">
        <v>67</v>
      </c>
      <c r="AK1493" s="51" t="s">
        <v>67</v>
      </c>
      <c r="AL1493" s="15"/>
      <c r="AM1493" s="51" t="s">
        <v>67</v>
      </c>
      <c r="AN1493" s="51" t="s">
        <v>67</v>
      </c>
      <c r="AO1493" s="50" t="s">
        <v>9554</v>
      </c>
    </row>
    <row r="1494" spans="1:41" hidden="1" x14ac:dyDescent="0.25">
      <c r="A1494" s="51" t="s">
        <v>7764</v>
      </c>
      <c r="B1494" s="51" t="s">
        <v>7765</v>
      </c>
      <c r="C1494" s="54" t="s">
        <v>5597</v>
      </c>
      <c r="D1494" s="51" t="s">
        <v>7766</v>
      </c>
      <c r="E1494" s="20">
        <v>10000</v>
      </c>
      <c r="F1494" s="20">
        <v>95.91</v>
      </c>
      <c r="G1494" s="20">
        <v>21084.59</v>
      </c>
      <c r="H1494" s="20">
        <v>1217.3800000000001</v>
      </c>
      <c r="I1494" s="20">
        <v>660.53</v>
      </c>
      <c r="J1494" s="51" t="s">
        <v>6726</v>
      </c>
      <c r="K1494" s="15">
        <v>0</v>
      </c>
      <c r="L1494" s="51" t="s">
        <v>2371</v>
      </c>
      <c r="M1494" s="51" t="s">
        <v>67</v>
      </c>
      <c r="N1494" s="51" t="s">
        <v>67</v>
      </c>
      <c r="O1494" s="51" t="s">
        <v>7767</v>
      </c>
      <c r="P1494" s="51" t="s">
        <v>1340</v>
      </c>
      <c r="Q1494" s="45">
        <v>46286.763291076386</v>
      </c>
      <c r="R1494" s="46">
        <v>46321</v>
      </c>
      <c r="S1494" s="46">
        <v>46316</v>
      </c>
      <c r="T1494" s="51" t="s">
        <v>6119</v>
      </c>
      <c r="U1494" s="15"/>
      <c r="V1494" s="15"/>
      <c r="W1494" s="15"/>
      <c r="X1494" s="15"/>
      <c r="Y1494" s="15"/>
      <c r="Z1494" s="15"/>
      <c r="AA1494" s="46"/>
      <c r="AB1494" s="15"/>
      <c r="AC1494" s="15"/>
      <c r="AD1494" s="15"/>
      <c r="AE1494" s="15"/>
      <c r="AF1494" s="15"/>
      <c r="AG1494" s="15"/>
      <c r="AH1494" s="15"/>
      <c r="AI1494" s="46"/>
      <c r="AJ1494" s="51" t="s">
        <v>67</v>
      </c>
      <c r="AK1494" s="51" t="s">
        <v>67</v>
      </c>
      <c r="AL1494" s="15"/>
      <c r="AM1494" s="51" t="s">
        <v>67</v>
      </c>
      <c r="AN1494" s="51" t="s">
        <v>67</v>
      </c>
      <c r="AO1494" s="50" t="s">
        <v>9554</v>
      </c>
    </row>
    <row r="1495" spans="1:41" hidden="1" x14ac:dyDescent="0.25">
      <c r="A1495" s="51" t="s">
        <v>7768</v>
      </c>
      <c r="B1495" s="51" t="s">
        <v>7769</v>
      </c>
      <c r="C1495" s="54" t="s">
        <v>605</v>
      </c>
      <c r="D1495" s="51" t="s">
        <v>6839</v>
      </c>
      <c r="E1495" s="20">
        <v>10000</v>
      </c>
      <c r="F1495" s="20">
        <v>0</v>
      </c>
      <c r="G1495" s="20">
        <v>18317.330000000002</v>
      </c>
      <c r="H1495" s="20">
        <v>2438.5</v>
      </c>
      <c r="I1495" s="20">
        <v>801.32</v>
      </c>
      <c r="J1495" s="51" t="s">
        <v>6726</v>
      </c>
      <c r="K1495" s="15">
        <v>0</v>
      </c>
      <c r="L1495" s="51" t="s">
        <v>2371</v>
      </c>
      <c r="M1495" s="51" t="s">
        <v>7770</v>
      </c>
      <c r="N1495" s="51" t="s">
        <v>1340</v>
      </c>
      <c r="O1495" s="51" t="s">
        <v>67</v>
      </c>
      <c r="P1495" s="51" t="s">
        <v>67</v>
      </c>
      <c r="Q1495" s="45">
        <v>46286.763296458332</v>
      </c>
      <c r="R1495" s="46">
        <v>46305</v>
      </c>
      <c r="S1495" s="46">
        <v>46300</v>
      </c>
      <c r="T1495" s="51" t="s">
        <v>6119</v>
      </c>
      <c r="U1495" s="15"/>
      <c r="V1495" s="15"/>
      <c r="W1495" s="15"/>
      <c r="X1495" s="15"/>
      <c r="Y1495" s="15"/>
      <c r="Z1495" s="15"/>
      <c r="AA1495" s="46"/>
      <c r="AB1495" s="15"/>
      <c r="AC1495" s="15"/>
      <c r="AD1495" s="15"/>
      <c r="AE1495" s="15"/>
      <c r="AF1495" s="15"/>
      <c r="AG1495" s="15"/>
      <c r="AH1495" s="15"/>
      <c r="AI1495" s="46"/>
      <c r="AJ1495" s="51" t="s">
        <v>67</v>
      </c>
      <c r="AK1495" s="51" t="s">
        <v>67</v>
      </c>
      <c r="AL1495" s="15"/>
      <c r="AM1495" s="51" t="s">
        <v>67</v>
      </c>
      <c r="AN1495" s="51" t="s">
        <v>67</v>
      </c>
      <c r="AO1495" s="50" t="s">
        <v>9554</v>
      </c>
    </row>
    <row r="1496" spans="1:41" hidden="1" x14ac:dyDescent="0.25">
      <c r="A1496" s="51" t="s">
        <v>7771</v>
      </c>
      <c r="B1496" s="51" t="s">
        <v>7772</v>
      </c>
      <c r="C1496" s="54" t="s">
        <v>5600</v>
      </c>
      <c r="D1496" s="51" t="s">
        <v>7773</v>
      </c>
      <c r="E1496" s="20">
        <v>10000</v>
      </c>
      <c r="F1496" s="20">
        <v>0</v>
      </c>
      <c r="G1496" s="20">
        <v>11956.14</v>
      </c>
      <c r="H1496" s="20">
        <v>1669.56</v>
      </c>
      <c r="I1496" s="20">
        <v>775.06</v>
      </c>
      <c r="J1496" s="51" t="s">
        <v>6726</v>
      </c>
      <c r="K1496" s="15">
        <v>0</v>
      </c>
      <c r="L1496" s="51" t="s">
        <v>2371</v>
      </c>
      <c r="M1496" s="51" t="s">
        <v>67</v>
      </c>
      <c r="N1496" s="51" t="s">
        <v>67</v>
      </c>
      <c r="O1496" s="51" t="s">
        <v>7774</v>
      </c>
      <c r="P1496" s="51" t="s">
        <v>1340</v>
      </c>
      <c r="Q1496" s="45">
        <v>46286.763301087965</v>
      </c>
      <c r="R1496" s="46">
        <v>46304</v>
      </c>
      <c r="S1496" s="46">
        <v>46299</v>
      </c>
      <c r="T1496" s="51" t="s">
        <v>6119</v>
      </c>
      <c r="U1496" s="15"/>
      <c r="V1496" s="15"/>
      <c r="W1496" s="15"/>
      <c r="X1496" s="15"/>
      <c r="Y1496" s="15"/>
      <c r="Z1496" s="15"/>
      <c r="AA1496" s="46"/>
      <c r="AB1496" s="15"/>
      <c r="AC1496" s="15"/>
      <c r="AD1496" s="15"/>
      <c r="AE1496" s="15"/>
      <c r="AF1496" s="15"/>
      <c r="AG1496" s="15"/>
      <c r="AH1496" s="15"/>
      <c r="AI1496" s="46"/>
      <c r="AJ1496" s="51" t="s">
        <v>67</v>
      </c>
      <c r="AK1496" s="51" t="s">
        <v>67</v>
      </c>
      <c r="AL1496" s="15"/>
      <c r="AM1496" s="51" t="s">
        <v>67</v>
      </c>
      <c r="AN1496" s="51" t="s">
        <v>67</v>
      </c>
      <c r="AO1496" s="50" t="s">
        <v>9554</v>
      </c>
    </row>
    <row r="1497" spans="1:41" hidden="1" x14ac:dyDescent="0.25">
      <c r="A1497" s="51" t="s">
        <v>7775</v>
      </c>
      <c r="B1497" s="51" t="s">
        <v>7776</v>
      </c>
      <c r="C1497" s="54" t="s">
        <v>5603</v>
      </c>
      <c r="D1497" s="51" t="s">
        <v>6904</v>
      </c>
      <c r="E1497" s="20">
        <v>10000</v>
      </c>
      <c r="F1497" s="20">
        <v>0</v>
      </c>
      <c r="G1497" s="20">
        <v>5800.34</v>
      </c>
      <c r="H1497" s="20">
        <v>1578.52</v>
      </c>
      <c r="I1497" s="20">
        <v>623.9</v>
      </c>
      <c r="J1497" s="51" t="s">
        <v>6726</v>
      </c>
      <c r="K1497" s="15">
        <v>0</v>
      </c>
      <c r="L1497" s="51" t="s">
        <v>2371</v>
      </c>
      <c r="M1497" s="51" t="s">
        <v>67</v>
      </c>
      <c r="N1497" s="51" t="s">
        <v>67</v>
      </c>
      <c r="O1497" s="51" t="s">
        <v>7777</v>
      </c>
      <c r="P1497" s="51" t="s">
        <v>1340</v>
      </c>
      <c r="Q1497" s="45">
        <v>46286.763305694447</v>
      </c>
      <c r="R1497" s="46">
        <v>46298</v>
      </c>
      <c r="S1497" s="46">
        <v>46293</v>
      </c>
      <c r="T1497" s="51" t="s">
        <v>6119</v>
      </c>
      <c r="U1497" s="15"/>
      <c r="V1497" s="15"/>
      <c r="W1497" s="15"/>
      <c r="X1497" s="15"/>
      <c r="Y1497" s="15"/>
      <c r="Z1497" s="15"/>
      <c r="AA1497" s="46"/>
      <c r="AB1497" s="15"/>
      <c r="AC1497" s="15"/>
      <c r="AD1497" s="15"/>
      <c r="AE1497" s="15"/>
      <c r="AF1497" s="15"/>
      <c r="AG1497" s="15"/>
      <c r="AH1497" s="15"/>
      <c r="AI1497" s="46"/>
      <c r="AJ1497" s="51" t="s">
        <v>67</v>
      </c>
      <c r="AK1497" s="51" t="s">
        <v>67</v>
      </c>
      <c r="AL1497" s="15"/>
      <c r="AM1497" s="51" t="s">
        <v>67</v>
      </c>
      <c r="AN1497" s="51" t="s">
        <v>67</v>
      </c>
      <c r="AO1497" s="50" t="s">
        <v>9554</v>
      </c>
    </row>
    <row r="1498" spans="1:41" hidden="1" x14ac:dyDescent="0.25">
      <c r="A1498" s="51" t="s">
        <v>7778</v>
      </c>
      <c r="B1498" s="51" t="s">
        <v>7779</v>
      </c>
      <c r="C1498" s="54" t="s">
        <v>5602</v>
      </c>
      <c r="D1498" s="51" t="s">
        <v>7780</v>
      </c>
      <c r="E1498" s="20">
        <v>10000</v>
      </c>
      <c r="F1498" s="20">
        <v>0</v>
      </c>
      <c r="G1498" s="20">
        <v>4499.6000000000004</v>
      </c>
      <c r="H1498" s="20">
        <v>1390.2</v>
      </c>
      <c r="I1498" s="20">
        <v>666.19</v>
      </c>
      <c r="J1498" s="51" t="s">
        <v>6726</v>
      </c>
      <c r="K1498" s="15">
        <v>0</v>
      </c>
      <c r="L1498" s="51" t="s">
        <v>2371</v>
      </c>
      <c r="M1498" s="51" t="s">
        <v>7781</v>
      </c>
      <c r="N1498" s="51" t="s">
        <v>1340</v>
      </c>
      <c r="O1498" s="51" t="s">
        <v>7782</v>
      </c>
      <c r="P1498" s="51" t="s">
        <v>1340</v>
      </c>
      <c r="Q1498" s="45">
        <v>46286.763310196759</v>
      </c>
      <c r="R1498" s="46">
        <v>46303</v>
      </c>
      <c r="S1498" s="46">
        <v>46298</v>
      </c>
      <c r="T1498" s="51" t="s">
        <v>6119</v>
      </c>
      <c r="U1498" s="15"/>
      <c r="V1498" s="15"/>
      <c r="W1498" s="15"/>
      <c r="X1498" s="15"/>
      <c r="Y1498" s="15"/>
      <c r="Z1498" s="15"/>
      <c r="AA1498" s="46"/>
      <c r="AB1498" s="15"/>
      <c r="AC1498" s="15"/>
      <c r="AD1498" s="15"/>
      <c r="AE1498" s="15"/>
      <c r="AF1498" s="15"/>
      <c r="AG1498" s="15"/>
      <c r="AH1498" s="15"/>
      <c r="AI1498" s="46"/>
      <c r="AJ1498" s="51" t="s">
        <v>67</v>
      </c>
      <c r="AK1498" s="51" t="s">
        <v>67</v>
      </c>
      <c r="AL1498" s="15"/>
      <c r="AM1498" s="51" t="s">
        <v>67</v>
      </c>
      <c r="AN1498" s="51" t="s">
        <v>67</v>
      </c>
      <c r="AO1498" s="50" t="s">
        <v>9554</v>
      </c>
    </row>
    <row r="1499" spans="1:41" hidden="1" x14ac:dyDescent="0.25">
      <c r="A1499" s="51" t="s">
        <v>7783</v>
      </c>
      <c r="B1499" s="51" t="s">
        <v>7784</v>
      </c>
      <c r="C1499" s="54" t="s">
        <v>5599</v>
      </c>
      <c r="D1499" s="51" t="s">
        <v>7570</v>
      </c>
      <c r="E1499" s="20">
        <v>10000</v>
      </c>
      <c r="F1499" s="20">
        <v>0</v>
      </c>
      <c r="G1499" s="20">
        <v>7957.63</v>
      </c>
      <c r="H1499" s="20">
        <v>1171.47</v>
      </c>
      <c r="I1499" s="20">
        <v>562.94000000000005</v>
      </c>
      <c r="J1499" s="51" t="s">
        <v>6726</v>
      </c>
      <c r="K1499" s="15">
        <v>0</v>
      </c>
      <c r="L1499" s="51" t="s">
        <v>2371</v>
      </c>
      <c r="M1499" s="51" t="s">
        <v>67</v>
      </c>
      <c r="N1499" s="51" t="s">
        <v>67</v>
      </c>
      <c r="O1499" s="51" t="s">
        <v>7785</v>
      </c>
      <c r="P1499" s="51" t="s">
        <v>1340</v>
      </c>
      <c r="Q1499" s="45">
        <v>46286.763314537035</v>
      </c>
      <c r="R1499" s="46">
        <v>46302</v>
      </c>
      <c r="S1499" s="46">
        <v>46297</v>
      </c>
      <c r="T1499" s="51" t="s">
        <v>6119</v>
      </c>
      <c r="U1499" s="15"/>
      <c r="V1499" s="15"/>
      <c r="W1499" s="15"/>
      <c r="X1499" s="15"/>
      <c r="Y1499" s="15"/>
      <c r="Z1499" s="15"/>
      <c r="AA1499" s="46"/>
      <c r="AB1499" s="15"/>
      <c r="AC1499" s="15"/>
      <c r="AD1499" s="15"/>
      <c r="AE1499" s="15"/>
      <c r="AF1499" s="15"/>
      <c r="AG1499" s="15"/>
      <c r="AH1499" s="15"/>
      <c r="AI1499" s="46"/>
      <c r="AJ1499" s="51" t="s">
        <v>67</v>
      </c>
      <c r="AK1499" s="51" t="s">
        <v>67</v>
      </c>
      <c r="AL1499" s="15"/>
      <c r="AM1499" s="51" t="s">
        <v>67</v>
      </c>
      <c r="AN1499" s="51" t="s">
        <v>67</v>
      </c>
      <c r="AO1499" s="50" t="s">
        <v>9554</v>
      </c>
    </row>
    <row r="1500" spans="1:41" hidden="1" x14ac:dyDescent="0.25">
      <c r="A1500" s="51" t="s">
        <v>7786</v>
      </c>
      <c r="B1500" s="51" t="s">
        <v>7787</v>
      </c>
      <c r="C1500" s="54" t="s">
        <v>608</v>
      </c>
      <c r="D1500" s="51" t="s">
        <v>7788</v>
      </c>
      <c r="E1500" s="20">
        <v>10000</v>
      </c>
      <c r="F1500" s="20">
        <v>0</v>
      </c>
      <c r="G1500" s="20">
        <v>10583.28</v>
      </c>
      <c r="H1500" s="20">
        <v>7658.66</v>
      </c>
      <c r="I1500" s="20">
        <v>628.23</v>
      </c>
      <c r="J1500" s="51" t="s">
        <v>6726</v>
      </c>
      <c r="K1500" s="15">
        <v>0</v>
      </c>
      <c r="L1500" s="51" t="s">
        <v>2371</v>
      </c>
      <c r="M1500" s="51" t="s">
        <v>67</v>
      </c>
      <c r="N1500" s="51" t="s">
        <v>67</v>
      </c>
      <c r="O1500" s="51" t="s">
        <v>7789</v>
      </c>
      <c r="P1500" s="51" t="s">
        <v>1340</v>
      </c>
      <c r="Q1500" s="45">
        <v>46286.763319594909</v>
      </c>
      <c r="R1500" s="46">
        <v>46315</v>
      </c>
      <c r="S1500" s="46">
        <v>46310</v>
      </c>
      <c r="T1500" s="51" t="s">
        <v>6119</v>
      </c>
      <c r="U1500" s="15"/>
      <c r="V1500" s="15"/>
      <c r="W1500" s="15"/>
      <c r="X1500" s="15"/>
      <c r="Y1500" s="15"/>
      <c r="Z1500" s="15"/>
      <c r="AA1500" s="46"/>
      <c r="AB1500" s="15"/>
      <c r="AC1500" s="15"/>
      <c r="AD1500" s="15"/>
      <c r="AE1500" s="15"/>
      <c r="AF1500" s="15"/>
      <c r="AG1500" s="15"/>
      <c r="AH1500" s="15"/>
      <c r="AI1500" s="46"/>
      <c r="AJ1500" s="51" t="s">
        <v>67</v>
      </c>
      <c r="AK1500" s="51" t="s">
        <v>67</v>
      </c>
      <c r="AL1500" s="15"/>
      <c r="AM1500" s="51" t="s">
        <v>67</v>
      </c>
      <c r="AN1500" s="51" t="s">
        <v>67</v>
      </c>
      <c r="AO1500" s="50" t="s">
        <v>9554</v>
      </c>
    </row>
    <row r="1501" spans="1:41" hidden="1" x14ac:dyDescent="0.25">
      <c r="A1501" s="51" t="s">
        <v>7790</v>
      </c>
      <c r="B1501" s="51" t="s">
        <v>7791</v>
      </c>
      <c r="C1501" s="54" t="s">
        <v>611</v>
      </c>
      <c r="D1501" s="51" t="s">
        <v>7792</v>
      </c>
      <c r="E1501" s="20">
        <v>10000</v>
      </c>
      <c r="F1501" s="20">
        <v>468.5</v>
      </c>
      <c r="G1501" s="20">
        <v>4556.8500000000004</v>
      </c>
      <c r="H1501" s="20">
        <v>1028.1300000000001</v>
      </c>
      <c r="I1501" s="20">
        <v>791.28</v>
      </c>
      <c r="J1501" s="51" t="s">
        <v>6726</v>
      </c>
      <c r="K1501" s="15">
        <v>0</v>
      </c>
      <c r="L1501" s="51" t="s">
        <v>2371</v>
      </c>
      <c r="M1501" s="51" t="s">
        <v>7793</v>
      </c>
      <c r="N1501" s="51" t="s">
        <v>1344</v>
      </c>
      <c r="O1501" s="51" t="s">
        <v>67</v>
      </c>
      <c r="P1501" s="51" t="s">
        <v>67</v>
      </c>
      <c r="Q1501" s="45">
        <v>46286.763324247688</v>
      </c>
      <c r="R1501" s="46">
        <v>46320</v>
      </c>
      <c r="S1501" s="46">
        <v>46315</v>
      </c>
      <c r="T1501" s="51" t="s">
        <v>6119</v>
      </c>
      <c r="U1501" s="15"/>
      <c r="V1501" s="15"/>
      <c r="W1501" s="15"/>
      <c r="X1501" s="15"/>
      <c r="Y1501" s="15"/>
      <c r="Z1501" s="15"/>
      <c r="AA1501" s="46"/>
      <c r="AB1501" s="15"/>
      <c r="AC1501" s="15"/>
      <c r="AD1501" s="15"/>
      <c r="AE1501" s="15"/>
      <c r="AF1501" s="15"/>
      <c r="AG1501" s="15"/>
      <c r="AH1501" s="15"/>
      <c r="AI1501" s="46"/>
      <c r="AJ1501" s="51" t="s">
        <v>67</v>
      </c>
      <c r="AK1501" s="51" t="s">
        <v>67</v>
      </c>
      <c r="AL1501" s="15"/>
      <c r="AM1501" s="51" t="s">
        <v>67</v>
      </c>
      <c r="AN1501" s="51" t="s">
        <v>67</v>
      </c>
      <c r="AO1501" s="50" t="s">
        <v>9554</v>
      </c>
    </row>
    <row r="1502" spans="1:41" hidden="1" x14ac:dyDescent="0.25">
      <c r="A1502" s="51" t="s">
        <v>7802</v>
      </c>
      <c r="B1502" s="51" t="s">
        <v>7803</v>
      </c>
      <c r="C1502" s="54" t="s">
        <v>5601</v>
      </c>
      <c r="D1502" s="51" t="s">
        <v>7804</v>
      </c>
      <c r="E1502" s="20">
        <v>10000</v>
      </c>
      <c r="F1502" s="20">
        <v>5281.77</v>
      </c>
      <c r="G1502" s="20">
        <v>4567.17</v>
      </c>
      <c r="H1502" s="20">
        <v>5078.75</v>
      </c>
      <c r="I1502" s="20">
        <v>6029.61</v>
      </c>
      <c r="J1502" s="51" t="s">
        <v>6726</v>
      </c>
      <c r="K1502" s="15">
        <v>0</v>
      </c>
      <c r="L1502" s="51" t="s">
        <v>2371</v>
      </c>
      <c r="M1502" s="51" t="s">
        <v>67</v>
      </c>
      <c r="N1502" s="51" t="s">
        <v>67</v>
      </c>
      <c r="O1502" s="51" t="s">
        <v>7805</v>
      </c>
      <c r="P1502" s="51" t="s">
        <v>1340</v>
      </c>
      <c r="Q1502" s="45">
        <v>46286.942330833335</v>
      </c>
      <c r="R1502" s="46">
        <v>46316</v>
      </c>
      <c r="S1502" s="46">
        <v>46311</v>
      </c>
      <c r="T1502" s="51" t="s">
        <v>6119</v>
      </c>
      <c r="U1502" s="15"/>
      <c r="V1502" s="15"/>
      <c r="W1502" s="15"/>
      <c r="X1502" s="15"/>
      <c r="Y1502" s="15"/>
      <c r="Z1502" s="15"/>
      <c r="AA1502" s="46"/>
      <c r="AB1502" s="15"/>
      <c r="AC1502" s="15"/>
      <c r="AD1502" s="15"/>
      <c r="AE1502" s="15"/>
      <c r="AF1502" s="15"/>
      <c r="AG1502" s="15"/>
      <c r="AH1502" s="15"/>
      <c r="AI1502" s="46"/>
      <c r="AJ1502" s="51" t="s">
        <v>67</v>
      </c>
      <c r="AK1502" s="51" t="s">
        <v>67</v>
      </c>
      <c r="AL1502" s="15"/>
      <c r="AM1502" s="51" t="s">
        <v>67</v>
      </c>
      <c r="AN1502" s="51" t="s">
        <v>67</v>
      </c>
      <c r="AO1502" s="50" t="s">
        <v>9554</v>
      </c>
    </row>
    <row r="1503" spans="1:41" hidden="1" x14ac:dyDescent="0.25">
      <c r="A1503" s="51" t="s">
        <v>7806</v>
      </c>
      <c r="B1503" s="51" t="s">
        <v>7807</v>
      </c>
      <c r="C1503" s="54" t="s">
        <v>2357</v>
      </c>
      <c r="D1503" s="51" t="s">
        <v>7808</v>
      </c>
      <c r="E1503" s="20">
        <v>10000</v>
      </c>
      <c r="F1503" s="20">
        <v>3600.86</v>
      </c>
      <c r="G1503" s="20">
        <v>3707.29</v>
      </c>
      <c r="H1503" s="20">
        <v>2962.39</v>
      </c>
      <c r="I1503" s="20">
        <v>3899.25</v>
      </c>
      <c r="J1503" s="51" t="s">
        <v>6726</v>
      </c>
      <c r="K1503" s="15">
        <v>0</v>
      </c>
      <c r="L1503" s="51" t="s">
        <v>2371</v>
      </c>
      <c r="M1503" s="51" t="s">
        <v>7809</v>
      </c>
      <c r="N1503" s="51" t="s">
        <v>1344</v>
      </c>
      <c r="O1503" s="51" t="s">
        <v>7810</v>
      </c>
      <c r="P1503" s="51" t="s">
        <v>1344</v>
      </c>
      <c r="Q1503" s="45">
        <v>46286.942341793983</v>
      </c>
      <c r="R1503" s="46">
        <v>46308</v>
      </c>
      <c r="S1503" s="46">
        <v>46303</v>
      </c>
      <c r="T1503" s="51" t="s">
        <v>6119</v>
      </c>
      <c r="U1503" s="15"/>
      <c r="V1503" s="15"/>
      <c r="W1503" s="15"/>
      <c r="X1503" s="15"/>
      <c r="Y1503" s="15"/>
      <c r="Z1503" s="15"/>
      <c r="AA1503" s="46"/>
      <c r="AB1503" s="15"/>
      <c r="AC1503" s="15"/>
      <c r="AD1503" s="15"/>
      <c r="AE1503" s="15"/>
      <c r="AF1503" s="15"/>
      <c r="AG1503" s="15"/>
      <c r="AH1503" s="15"/>
      <c r="AI1503" s="46"/>
      <c r="AJ1503" s="51" t="s">
        <v>67</v>
      </c>
      <c r="AK1503" s="51" t="s">
        <v>67</v>
      </c>
      <c r="AL1503" s="15"/>
      <c r="AM1503" s="51" t="s">
        <v>67</v>
      </c>
      <c r="AN1503" s="51" t="s">
        <v>67</v>
      </c>
      <c r="AO1503" s="50" t="s">
        <v>9554</v>
      </c>
    </row>
    <row r="1504" spans="1:41" hidden="1" x14ac:dyDescent="0.25">
      <c r="A1504" s="51" t="s">
        <v>7811</v>
      </c>
      <c r="B1504" s="51" t="s">
        <v>7812</v>
      </c>
      <c r="C1504" s="54" t="s">
        <v>2357</v>
      </c>
      <c r="D1504" s="51" t="s">
        <v>7813</v>
      </c>
      <c r="E1504" s="20">
        <v>10000</v>
      </c>
      <c r="F1504" s="20">
        <v>3040.13</v>
      </c>
      <c r="G1504" s="20">
        <v>9352.7999999999993</v>
      </c>
      <c r="H1504" s="20">
        <v>3754.72</v>
      </c>
      <c r="I1504" s="20">
        <v>3805.61</v>
      </c>
      <c r="J1504" s="51" t="s">
        <v>6726</v>
      </c>
      <c r="K1504" s="15">
        <v>0</v>
      </c>
      <c r="L1504" s="51" t="s">
        <v>2371</v>
      </c>
      <c r="M1504" s="51" t="s">
        <v>7814</v>
      </c>
      <c r="N1504" s="51" t="s">
        <v>1340</v>
      </c>
      <c r="O1504" s="51" t="s">
        <v>67</v>
      </c>
      <c r="P1504" s="51" t="s">
        <v>67</v>
      </c>
      <c r="Q1504" s="45">
        <v>46286.94235607639</v>
      </c>
      <c r="R1504" s="46">
        <v>46308</v>
      </c>
      <c r="S1504" s="46">
        <v>46303</v>
      </c>
      <c r="T1504" s="51" t="s">
        <v>6119</v>
      </c>
      <c r="U1504" s="15"/>
      <c r="V1504" s="15"/>
      <c r="W1504" s="15"/>
      <c r="X1504" s="15"/>
      <c r="Y1504" s="15"/>
      <c r="Z1504" s="15"/>
      <c r="AA1504" s="46"/>
      <c r="AB1504" s="15"/>
      <c r="AC1504" s="15"/>
      <c r="AD1504" s="15"/>
      <c r="AE1504" s="15"/>
      <c r="AF1504" s="15"/>
      <c r="AG1504" s="15"/>
      <c r="AH1504" s="15"/>
      <c r="AI1504" s="46"/>
      <c r="AJ1504" s="51" t="s">
        <v>67</v>
      </c>
      <c r="AK1504" s="51" t="s">
        <v>67</v>
      </c>
      <c r="AL1504" s="15"/>
      <c r="AM1504" s="51" t="s">
        <v>67</v>
      </c>
      <c r="AN1504" s="51" t="s">
        <v>67</v>
      </c>
      <c r="AO1504" s="50" t="s">
        <v>9554</v>
      </c>
    </row>
    <row r="1505" spans="1:41" hidden="1" x14ac:dyDescent="0.25">
      <c r="A1505" s="51" t="s">
        <v>7815</v>
      </c>
      <c r="B1505" s="51" t="s">
        <v>7816</v>
      </c>
      <c r="C1505" s="54" t="s">
        <v>2693</v>
      </c>
      <c r="D1505" s="51" t="s">
        <v>7817</v>
      </c>
      <c r="E1505" s="20">
        <v>10000</v>
      </c>
      <c r="F1505" s="20">
        <v>0</v>
      </c>
      <c r="G1505" s="20">
        <v>5737.32</v>
      </c>
      <c r="H1505" s="20">
        <v>6687.77</v>
      </c>
      <c r="I1505" s="20">
        <v>2728.07</v>
      </c>
      <c r="J1505" s="51" t="s">
        <v>6726</v>
      </c>
      <c r="K1505" s="15">
        <v>0</v>
      </c>
      <c r="L1505" s="51" t="s">
        <v>2371</v>
      </c>
      <c r="M1505" s="51" t="s">
        <v>67</v>
      </c>
      <c r="N1505" s="51" t="s">
        <v>67</v>
      </c>
      <c r="O1505" s="51" t="s">
        <v>7818</v>
      </c>
      <c r="P1505" s="51" t="s">
        <v>1340</v>
      </c>
      <c r="Q1505" s="45">
        <v>46286.942369178243</v>
      </c>
      <c r="R1505" s="46">
        <v>46314</v>
      </c>
      <c r="S1505" s="46">
        <v>46309</v>
      </c>
      <c r="T1505" s="51" t="s">
        <v>6119</v>
      </c>
      <c r="U1505" s="15"/>
      <c r="V1505" s="15"/>
      <c r="W1505" s="15"/>
      <c r="X1505" s="15"/>
      <c r="Y1505" s="15"/>
      <c r="Z1505" s="15"/>
      <c r="AA1505" s="46"/>
      <c r="AB1505" s="15"/>
      <c r="AC1505" s="15"/>
      <c r="AD1505" s="15"/>
      <c r="AE1505" s="15"/>
      <c r="AF1505" s="15"/>
      <c r="AG1505" s="15"/>
      <c r="AH1505" s="15"/>
      <c r="AI1505" s="46"/>
      <c r="AJ1505" s="51" t="s">
        <v>67</v>
      </c>
      <c r="AK1505" s="51" t="s">
        <v>67</v>
      </c>
      <c r="AL1505" s="15"/>
      <c r="AM1505" s="51" t="s">
        <v>67</v>
      </c>
      <c r="AN1505" s="51" t="s">
        <v>67</v>
      </c>
      <c r="AO1505" s="50" t="s">
        <v>9554</v>
      </c>
    </row>
    <row r="1506" spans="1:41" hidden="1" x14ac:dyDescent="0.25">
      <c r="A1506" s="51" t="s">
        <v>7819</v>
      </c>
      <c r="B1506" s="51" t="s">
        <v>7820</v>
      </c>
      <c r="C1506" s="54" t="s">
        <v>5602</v>
      </c>
      <c r="D1506" s="51" t="s">
        <v>7821</v>
      </c>
      <c r="E1506" s="20">
        <v>10000</v>
      </c>
      <c r="F1506" s="20">
        <v>3459.74</v>
      </c>
      <c r="G1506" s="20">
        <v>9464.39</v>
      </c>
      <c r="H1506" s="20">
        <v>2856.08</v>
      </c>
      <c r="I1506" s="20">
        <v>3715.66</v>
      </c>
      <c r="J1506" s="51" t="s">
        <v>6726</v>
      </c>
      <c r="K1506" s="15">
        <v>0</v>
      </c>
      <c r="L1506" s="51" t="s">
        <v>2371</v>
      </c>
      <c r="M1506" s="51" t="s">
        <v>67</v>
      </c>
      <c r="N1506" s="51" t="s">
        <v>67</v>
      </c>
      <c r="O1506" s="51" t="s">
        <v>7822</v>
      </c>
      <c r="P1506" s="51" t="s">
        <v>1340</v>
      </c>
      <c r="Q1506" s="45">
        <v>46286.942379351851</v>
      </c>
      <c r="R1506" s="46">
        <v>46303</v>
      </c>
      <c r="S1506" s="46">
        <v>46298</v>
      </c>
      <c r="T1506" s="51" t="s">
        <v>6119</v>
      </c>
      <c r="U1506" s="15"/>
      <c r="V1506" s="15"/>
      <c r="W1506" s="15"/>
      <c r="X1506" s="15"/>
      <c r="Y1506" s="15"/>
      <c r="Z1506" s="15"/>
      <c r="AA1506" s="46"/>
      <c r="AB1506" s="15"/>
      <c r="AC1506" s="15"/>
      <c r="AD1506" s="15"/>
      <c r="AE1506" s="15"/>
      <c r="AF1506" s="15"/>
      <c r="AG1506" s="15"/>
      <c r="AH1506" s="15"/>
      <c r="AI1506" s="46"/>
      <c r="AJ1506" s="51" t="s">
        <v>67</v>
      </c>
      <c r="AK1506" s="51" t="s">
        <v>67</v>
      </c>
      <c r="AL1506" s="15"/>
      <c r="AM1506" s="51" t="s">
        <v>67</v>
      </c>
      <c r="AN1506" s="51" t="s">
        <v>67</v>
      </c>
      <c r="AO1506" s="50" t="s">
        <v>9554</v>
      </c>
    </row>
    <row r="1507" spans="1:41" hidden="1" x14ac:dyDescent="0.25">
      <c r="A1507" s="51" t="s">
        <v>7823</v>
      </c>
      <c r="B1507" s="51" t="s">
        <v>7824</v>
      </c>
      <c r="C1507" s="54" t="s">
        <v>5596</v>
      </c>
      <c r="D1507" s="51" t="s">
        <v>7825</v>
      </c>
      <c r="E1507" s="20">
        <v>10000</v>
      </c>
      <c r="F1507" s="20">
        <v>865.27</v>
      </c>
      <c r="G1507" s="20">
        <v>19655.21</v>
      </c>
      <c r="H1507" s="20">
        <v>4801.42</v>
      </c>
      <c r="I1507" s="20">
        <v>2923.22</v>
      </c>
      <c r="J1507" s="51" t="s">
        <v>6726</v>
      </c>
      <c r="K1507" s="15">
        <v>0</v>
      </c>
      <c r="L1507" s="51" t="s">
        <v>2371</v>
      </c>
      <c r="M1507" s="51" t="s">
        <v>7826</v>
      </c>
      <c r="N1507" s="51" t="s">
        <v>1340</v>
      </c>
      <c r="O1507" s="51" t="s">
        <v>67</v>
      </c>
      <c r="P1507" s="51" t="s">
        <v>67</v>
      </c>
      <c r="Q1507" s="45">
        <v>46286.942388831019</v>
      </c>
      <c r="R1507" s="46">
        <v>46300</v>
      </c>
      <c r="S1507" s="46">
        <v>46295</v>
      </c>
      <c r="T1507" s="51" t="s">
        <v>6119</v>
      </c>
      <c r="U1507" s="15"/>
      <c r="V1507" s="15"/>
      <c r="W1507" s="15"/>
      <c r="X1507" s="15"/>
      <c r="Y1507" s="15"/>
      <c r="Z1507" s="15"/>
      <c r="AA1507" s="46"/>
      <c r="AB1507" s="15"/>
      <c r="AC1507" s="15"/>
      <c r="AD1507" s="15"/>
      <c r="AE1507" s="15"/>
      <c r="AF1507" s="15"/>
      <c r="AG1507" s="15"/>
      <c r="AH1507" s="15"/>
      <c r="AI1507" s="46"/>
      <c r="AJ1507" s="51" t="s">
        <v>67</v>
      </c>
      <c r="AK1507" s="51" t="s">
        <v>67</v>
      </c>
      <c r="AL1507" s="15"/>
      <c r="AM1507" s="51" t="s">
        <v>67</v>
      </c>
      <c r="AN1507" s="51" t="s">
        <v>67</v>
      </c>
      <c r="AO1507" s="50" t="s">
        <v>9554</v>
      </c>
    </row>
    <row r="1508" spans="1:41" hidden="1" x14ac:dyDescent="0.25">
      <c r="A1508" s="51" t="s">
        <v>7827</v>
      </c>
      <c r="B1508" s="51" t="s">
        <v>7828</v>
      </c>
      <c r="C1508" s="54" t="s">
        <v>2694</v>
      </c>
      <c r="D1508" s="51" t="s">
        <v>7829</v>
      </c>
      <c r="E1508" s="20">
        <v>10000</v>
      </c>
      <c r="F1508" s="20">
        <v>5090.42</v>
      </c>
      <c r="G1508" s="20">
        <v>-1412.84</v>
      </c>
      <c r="H1508" s="20">
        <v>4173.3900000000003</v>
      </c>
      <c r="I1508" s="20">
        <v>5360.89</v>
      </c>
      <c r="J1508" s="51" t="s">
        <v>6726</v>
      </c>
      <c r="K1508" s="15">
        <v>0</v>
      </c>
      <c r="L1508" s="51" t="s">
        <v>2371</v>
      </c>
      <c r="M1508" s="51" t="s">
        <v>67</v>
      </c>
      <c r="N1508" s="51" t="s">
        <v>67</v>
      </c>
      <c r="O1508" s="51" t="s">
        <v>7830</v>
      </c>
      <c r="P1508" s="51" t="s">
        <v>1340</v>
      </c>
      <c r="Q1508" s="45">
        <v>46286.942398946761</v>
      </c>
      <c r="R1508" s="46">
        <v>46312</v>
      </c>
      <c r="S1508" s="46">
        <v>46307</v>
      </c>
      <c r="T1508" s="51" t="s">
        <v>6119</v>
      </c>
      <c r="U1508" s="15"/>
      <c r="V1508" s="15"/>
      <c r="W1508" s="15"/>
      <c r="X1508" s="15"/>
      <c r="Y1508" s="15"/>
      <c r="Z1508" s="15"/>
      <c r="AA1508" s="46"/>
      <c r="AB1508" s="15"/>
      <c r="AC1508" s="15"/>
      <c r="AD1508" s="15"/>
      <c r="AE1508" s="15"/>
      <c r="AF1508" s="15"/>
      <c r="AG1508" s="15"/>
      <c r="AH1508" s="15"/>
      <c r="AI1508" s="46"/>
      <c r="AJ1508" s="51" t="s">
        <v>67</v>
      </c>
      <c r="AK1508" s="51" t="s">
        <v>67</v>
      </c>
      <c r="AL1508" s="15"/>
      <c r="AM1508" s="51" t="s">
        <v>67</v>
      </c>
      <c r="AN1508" s="51" t="s">
        <v>67</v>
      </c>
      <c r="AO1508" s="50" t="s">
        <v>9554</v>
      </c>
    </row>
    <row r="1509" spans="1:41" hidden="1" x14ac:dyDescent="0.25">
      <c r="A1509" s="51" t="s">
        <v>7831</v>
      </c>
      <c r="B1509" s="51" t="s">
        <v>7832</v>
      </c>
      <c r="C1509" s="54" t="s">
        <v>5602</v>
      </c>
      <c r="D1509" s="51" t="s">
        <v>7833</v>
      </c>
      <c r="E1509" s="20">
        <v>10000</v>
      </c>
      <c r="F1509" s="20">
        <v>2558.37</v>
      </c>
      <c r="G1509" s="20">
        <v>-336.58</v>
      </c>
      <c r="H1509" s="20">
        <v>4816.7299999999996</v>
      </c>
      <c r="I1509" s="20">
        <v>3696.47</v>
      </c>
      <c r="J1509" s="51" t="s">
        <v>6726</v>
      </c>
      <c r="K1509" s="15">
        <v>0</v>
      </c>
      <c r="L1509" s="51" t="s">
        <v>2371</v>
      </c>
      <c r="M1509" s="51" t="s">
        <v>7834</v>
      </c>
      <c r="N1509" s="51" t="s">
        <v>1340</v>
      </c>
      <c r="O1509" s="51" t="s">
        <v>7835</v>
      </c>
      <c r="P1509" s="51" t="s">
        <v>1340</v>
      </c>
      <c r="Q1509" s="45">
        <v>46286.942411863427</v>
      </c>
      <c r="R1509" s="46">
        <v>46303</v>
      </c>
      <c r="S1509" s="46">
        <v>46298</v>
      </c>
      <c r="T1509" s="51" t="s">
        <v>6119</v>
      </c>
      <c r="U1509" s="15"/>
      <c r="V1509" s="15"/>
      <c r="W1509" s="15"/>
      <c r="X1509" s="15"/>
      <c r="Y1509" s="15"/>
      <c r="Z1509" s="15"/>
      <c r="AA1509" s="46"/>
      <c r="AB1509" s="15"/>
      <c r="AC1509" s="15"/>
      <c r="AD1509" s="15"/>
      <c r="AE1509" s="15"/>
      <c r="AF1509" s="15"/>
      <c r="AG1509" s="15"/>
      <c r="AH1509" s="15"/>
      <c r="AI1509" s="46"/>
      <c r="AJ1509" s="51" t="s">
        <v>67</v>
      </c>
      <c r="AK1509" s="51" t="s">
        <v>67</v>
      </c>
      <c r="AL1509" s="15"/>
      <c r="AM1509" s="51" t="s">
        <v>67</v>
      </c>
      <c r="AN1509" s="51" t="s">
        <v>67</v>
      </c>
      <c r="AO1509" s="50" t="s">
        <v>9554</v>
      </c>
    </row>
    <row r="1510" spans="1:41" hidden="1" x14ac:dyDescent="0.25">
      <c r="A1510" s="51" t="s">
        <v>7836</v>
      </c>
      <c r="B1510" s="51" t="s">
        <v>7837</v>
      </c>
      <c r="C1510" s="54" t="s">
        <v>2690</v>
      </c>
      <c r="D1510" s="51" t="s">
        <v>7838</v>
      </c>
      <c r="E1510" s="20">
        <v>10000</v>
      </c>
      <c r="F1510" s="20">
        <v>5813.85</v>
      </c>
      <c r="G1510" s="20">
        <v>5441.48</v>
      </c>
      <c r="H1510" s="20">
        <v>4917.9399999999996</v>
      </c>
      <c r="I1510" s="20">
        <v>6416.58</v>
      </c>
      <c r="J1510" s="51" t="s">
        <v>6726</v>
      </c>
      <c r="K1510" s="15">
        <v>0</v>
      </c>
      <c r="L1510" s="51" t="s">
        <v>2371</v>
      </c>
      <c r="M1510" s="51" t="s">
        <v>7839</v>
      </c>
      <c r="N1510" s="51" t="s">
        <v>1340</v>
      </c>
      <c r="O1510" s="51" t="s">
        <v>67</v>
      </c>
      <c r="P1510" s="51" t="s">
        <v>67</v>
      </c>
      <c r="Q1510" s="45">
        <v>46286.942421932872</v>
      </c>
      <c r="R1510" s="46">
        <v>46322</v>
      </c>
      <c r="S1510" s="46">
        <v>46317</v>
      </c>
      <c r="T1510" s="51" t="s">
        <v>6119</v>
      </c>
      <c r="U1510" s="15"/>
      <c r="V1510" s="15"/>
      <c r="W1510" s="15"/>
      <c r="X1510" s="15"/>
      <c r="Y1510" s="15"/>
      <c r="Z1510" s="15"/>
      <c r="AA1510" s="46"/>
      <c r="AB1510" s="15"/>
      <c r="AC1510" s="15"/>
      <c r="AD1510" s="15"/>
      <c r="AE1510" s="15"/>
      <c r="AF1510" s="15"/>
      <c r="AG1510" s="15"/>
      <c r="AH1510" s="15"/>
      <c r="AI1510" s="46"/>
      <c r="AJ1510" s="51" t="s">
        <v>67</v>
      </c>
      <c r="AK1510" s="51" t="s">
        <v>67</v>
      </c>
      <c r="AL1510" s="15"/>
      <c r="AM1510" s="51" t="s">
        <v>67</v>
      </c>
      <c r="AN1510" s="51" t="s">
        <v>67</v>
      </c>
      <c r="AO1510" s="50" t="s">
        <v>9554</v>
      </c>
    </row>
    <row r="1511" spans="1:41" hidden="1" x14ac:dyDescent="0.25">
      <c r="A1511" s="51" t="s">
        <v>7840</v>
      </c>
      <c r="B1511" s="51" t="s">
        <v>7841</v>
      </c>
      <c r="C1511" s="54" t="s">
        <v>2694</v>
      </c>
      <c r="D1511" s="51" t="s">
        <v>7842</v>
      </c>
      <c r="E1511" s="20">
        <v>10000</v>
      </c>
      <c r="F1511" s="20">
        <v>0</v>
      </c>
      <c r="G1511" s="20">
        <v>19147.11</v>
      </c>
      <c r="H1511" s="20">
        <v>9800.81</v>
      </c>
      <c r="I1511" s="20">
        <v>3696.57</v>
      </c>
      <c r="J1511" s="51" t="s">
        <v>6726</v>
      </c>
      <c r="K1511" s="15">
        <v>0</v>
      </c>
      <c r="L1511" s="51" t="s">
        <v>2371</v>
      </c>
      <c r="M1511" s="51" t="s">
        <v>7843</v>
      </c>
      <c r="N1511" s="51" t="s">
        <v>1344</v>
      </c>
      <c r="O1511" s="51" t="s">
        <v>67</v>
      </c>
      <c r="P1511" s="51" t="s">
        <v>67</v>
      </c>
      <c r="Q1511" s="45">
        <v>46286.942433090277</v>
      </c>
      <c r="R1511" s="46">
        <v>46312</v>
      </c>
      <c r="S1511" s="46">
        <v>46307</v>
      </c>
      <c r="T1511" s="51" t="s">
        <v>6119</v>
      </c>
      <c r="U1511" s="15"/>
      <c r="V1511" s="15"/>
      <c r="W1511" s="15"/>
      <c r="X1511" s="15"/>
      <c r="Y1511" s="15"/>
      <c r="Z1511" s="15"/>
      <c r="AA1511" s="46"/>
      <c r="AB1511" s="15"/>
      <c r="AC1511" s="15"/>
      <c r="AD1511" s="15"/>
      <c r="AE1511" s="15"/>
      <c r="AF1511" s="15"/>
      <c r="AG1511" s="15"/>
      <c r="AH1511" s="15"/>
      <c r="AI1511" s="46"/>
      <c r="AJ1511" s="51" t="s">
        <v>67</v>
      </c>
      <c r="AK1511" s="51" t="s">
        <v>67</v>
      </c>
      <c r="AL1511" s="15"/>
      <c r="AM1511" s="51" t="s">
        <v>67</v>
      </c>
      <c r="AN1511" s="51" t="s">
        <v>67</v>
      </c>
      <c r="AO1511" s="50" t="s">
        <v>9554</v>
      </c>
    </row>
    <row r="1512" spans="1:41" hidden="1" x14ac:dyDescent="0.25">
      <c r="A1512" s="51" t="s">
        <v>7844</v>
      </c>
      <c r="B1512" s="51" t="s">
        <v>7845</v>
      </c>
      <c r="C1512" s="54" t="s">
        <v>5597</v>
      </c>
      <c r="D1512" s="51" t="s">
        <v>7846</v>
      </c>
      <c r="E1512" s="20">
        <v>10000</v>
      </c>
      <c r="F1512" s="20">
        <v>4444.45</v>
      </c>
      <c r="G1512" s="20">
        <v>8995.44</v>
      </c>
      <c r="H1512" s="20">
        <v>3976.43</v>
      </c>
      <c r="I1512" s="20">
        <v>5053.43</v>
      </c>
      <c r="J1512" s="51" t="s">
        <v>6726</v>
      </c>
      <c r="K1512" s="15">
        <v>0</v>
      </c>
      <c r="L1512" s="51" t="s">
        <v>2371</v>
      </c>
      <c r="M1512" s="51" t="s">
        <v>67</v>
      </c>
      <c r="N1512" s="51" t="s">
        <v>67</v>
      </c>
      <c r="O1512" s="51" t="s">
        <v>7847</v>
      </c>
      <c r="P1512" s="51" t="s">
        <v>1344</v>
      </c>
      <c r="Q1512" s="45">
        <v>46286.942444791668</v>
      </c>
      <c r="R1512" s="46">
        <v>46321</v>
      </c>
      <c r="S1512" s="46">
        <v>46316</v>
      </c>
      <c r="T1512" s="51" t="s">
        <v>6119</v>
      </c>
      <c r="U1512" s="15"/>
      <c r="V1512" s="15"/>
      <c r="W1512" s="15"/>
      <c r="X1512" s="15"/>
      <c r="Y1512" s="15"/>
      <c r="Z1512" s="15"/>
      <c r="AA1512" s="46"/>
      <c r="AB1512" s="15"/>
      <c r="AC1512" s="15"/>
      <c r="AD1512" s="15"/>
      <c r="AE1512" s="15"/>
      <c r="AF1512" s="15"/>
      <c r="AG1512" s="15"/>
      <c r="AH1512" s="15"/>
      <c r="AI1512" s="46"/>
      <c r="AJ1512" s="51" t="s">
        <v>67</v>
      </c>
      <c r="AK1512" s="51" t="s">
        <v>67</v>
      </c>
      <c r="AL1512" s="15"/>
      <c r="AM1512" s="51" t="s">
        <v>67</v>
      </c>
      <c r="AN1512" s="51" t="s">
        <v>67</v>
      </c>
      <c r="AO1512" s="50" t="s">
        <v>9554</v>
      </c>
    </row>
    <row r="1513" spans="1:41" hidden="1" x14ac:dyDescent="0.25">
      <c r="A1513" s="51" t="s">
        <v>7848</v>
      </c>
      <c r="B1513" s="51" t="s">
        <v>7849</v>
      </c>
      <c r="C1513" s="54" t="s">
        <v>5599</v>
      </c>
      <c r="D1513" s="51" t="s">
        <v>7850</v>
      </c>
      <c r="E1513" s="20">
        <v>10000</v>
      </c>
      <c r="F1513" s="20">
        <v>3057.2</v>
      </c>
      <c r="G1513" s="20">
        <v>4960.21</v>
      </c>
      <c r="H1513" s="20">
        <v>3633.15</v>
      </c>
      <c r="I1513" s="20">
        <v>3765.5</v>
      </c>
      <c r="J1513" s="51" t="s">
        <v>6726</v>
      </c>
      <c r="K1513" s="15">
        <v>0</v>
      </c>
      <c r="L1513" s="51" t="s">
        <v>2371</v>
      </c>
      <c r="M1513" s="51" t="s">
        <v>67</v>
      </c>
      <c r="N1513" s="51" t="s">
        <v>67</v>
      </c>
      <c r="O1513" s="51" t="s">
        <v>7851</v>
      </c>
      <c r="P1513" s="51" t="s">
        <v>1344</v>
      </c>
      <c r="Q1513" s="45">
        <v>46286.942454606484</v>
      </c>
      <c r="R1513" s="46">
        <v>46302</v>
      </c>
      <c r="S1513" s="46">
        <v>46297</v>
      </c>
      <c r="T1513" s="51" t="s">
        <v>6119</v>
      </c>
      <c r="U1513" s="15"/>
      <c r="V1513" s="15"/>
      <c r="W1513" s="15"/>
      <c r="X1513" s="15"/>
      <c r="Y1513" s="15"/>
      <c r="Z1513" s="15"/>
      <c r="AA1513" s="46"/>
      <c r="AB1513" s="15"/>
      <c r="AC1513" s="15"/>
      <c r="AD1513" s="15"/>
      <c r="AE1513" s="15"/>
      <c r="AF1513" s="15"/>
      <c r="AG1513" s="15"/>
      <c r="AH1513" s="15"/>
      <c r="AI1513" s="46"/>
      <c r="AJ1513" s="51" t="s">
        <v>67</v>
      </c>
      <c r="AK1513" s="51" t="s">
        <v>67</v>
      </c>
      <c r="AL1513" s="15"/>
      <c r="AM1513" s="51" t="s">
        <v>67</v>
      </c>
      <c r="AN1513" s="51" t="s">
        <v>67</v>
      </c>
      <c r="AO1513" s="50" t="s">
        <v>9554</v>
      </c>
    </row>
    <row r="1514" spans="1:41" hidden="1" x14ac:dyDescent="0.25">
      <c r="A1514" s="51" t="s">
        <v>7852</v>
      </c>
      <c r="B1514" s="51" t="s">
        <v>7853</v>
      </c>
      <c r="C1514" s="54" t="s">
        <v>5599</v>
      </c>
      <c r="D1514" s="51" t="s">
        <v>7854</v>
      </c>
      <c r="E1514" s="20">
        <v>10000</v>
      </c>
      <c r="F1514" s="20">
        <v>0</v>
      </c>
      <c r="G1514" s="20">
        <v>6991.1</v>
      </c>
      <c r="H1514" s="20">
        <v>10718.7</v>
      </c>
      <c r="I1514" s="20">
        <v>3170.12</v>
      </c>
      <c r="J1514" s="51" t="s">
        <v>6726</v>
      </c>
      <c r="K1514" s="15">
        <v>0</v>
      </c>
      <c r="L1514" s="51" t="s">
        <v>2371</v>
      </c>
      <c r="M1514" s="51" t="s">
        <v>7855</v>
      </c>
      <c r="N1514" s="51" t="s">
        <v>1340</v>
      </c>
      <c r="O1514" s="51" t="s">
        <v>67</v>
      </c>
      <c r="P1514" s="51" t="s">
        <v>67</v>
      </c>
      <c r="Q1514" s="45">
        <v>46286.94246583333</v>
      </c>
      <c r="R1514" s="46">
        <v>46302</v>
      </c>
      <c r="S1514" s="46">
        <v>46297</v>
      </c>
      <c r="T1514" s="51" t="s">
        <v>6119</v>
      </c>
      <c r="U1514" s="15"/>
      <c r="V1514" s="15"/>
      <c r="W1514" s="15"/>
      <c r="X1514" s="15"/>
      <c r="Y1514" s="15"/>
      <c r="Z1514" s="15"/>
      <c r="AA1514" s="46"/>
      <c r="AB1514" s="15"/>
      <c r="AC1514" s="15"/>
      <c r="AD1514" s="15"/>
      <c r="AE1514" s="15"/>
      <c r="AF1514" s="15"/>
      <c r="AG1514" s="15"/>
      <c r="AH1514" s="15"/>
      <c r="AI1514" s="46"/>
      <c r="AJ1514" s="51" t="s">
        <v>67</v>
      </c>
      <c r="AK1514" s="51" t="s">
        <v>67</v>
      </c>
      <c r="AL1514" s="15"/>
      <c r="AM1514" s="51" t="s">
        <v>67</v>
      </c>
      <c r="AN1514" s="51" t="s">
        <v>67</v>
      </c>
      <c r="AO1514" s="50" t="s">
        <v>9554</v>
      </c>
    </row>
    <row r="1515" spans="1:41" hidden="1" x14ac:dyDescent="0.25">
      <c r="A1515" s="51" t="s">
        <v>7856</v>
      </c>
      <c r="B1515" s="51" t="s">
        <v>7857</v>
      </c>
      <c r="C1515" s="54" t="s">
        <v>5601</v>
      </c>
      <c r="D1515" s="51" t="s">
        <v>7858</v>
      </c>
      <c r="E1515" s="20">
        <v>10000</v>
      </c>
      <c r="F1515" s="20">
        <v>4765.57</v>
      </c>
      <c r="G1515" s="20">
        <v>14580.06</v>
      </c>
      <c r="H1515" s="20">
        <v>4479.9799999999996</v>
      </c>
      <c r="I1515" s="20">
        <v>5373.15</v>
      </c>
      <c r="J1515" s="51" t="s">
        <v>6726</v>
      </c>
      <c r="K1515" s="15">
        <v>0</v>
      </c>
      <c r="L1515" s="51" t="s">
        <v>2371</v>
      </c>
      <c r="M1515" s="51" t="s">
        <v>7859</v>
      </c>
      <c r="N1515" s="51" t="s">
        <v>1340</v>
      </c>
      <c r="O1515" s="51" t="s">
        <v>7860</v>
      </c>
      <c r="P1515" s="51" t="s">
        <v>1340</v>
      </c>
      <c r="Q1515" s="45">
        <v>46286.942475856478</v>
      </c>
      <c r="R1515" s="46">
        <v>46316</v>
      </c>
      <c r="S1515" s="46">
        <v>46311</v>
      </c>
      <c r="T1515" s="51" t="s">
        <v>6119</v>
      </c>
      <c r="U1515" s="15"/>
      <c r="V1515" s="15"/>
      <c r="W1515" s="15"/>
      <c r="X1515" s="15"/>
      <c r="Y1515" s="15"/>
      <c r="Z1515" s="15"/>
      <c r="AA1515" s="46"/>
      <c r="AB1515" s="15"/>
      <c r="AC1515" s="15"/>
      <c r="AD1515" s="15"/>
      <c r="AE1515" s="15"/>
      <c r="AF1515" s="15"/>
      <c r="AG1515" s="15"/>
      <c r="AH1515" s="15"/>
      <c r="AI1515" s="46"/>
      <c r="AJ1515" s="51" t="s">
        <v>67</v>
      </c>
      <c r="AK1515" s="51" t="s">
        <v>67</v>
      </c>
      <c r="AL1515" s="15"/>
      <c r="AM1515" s="51" t="s">
        <v>67</v>
      </c>
      <c r="AN1515" s="51" t="s">
        <v>67</v>
      </c>
      <c r="AO1515" s="50" t="s">
        <v>9554</v>
      </c>
    </row>
    <row r="1516" spans="1:41" hidden="1" x14ac:dyDescent="0.25">
      <c r="A1516" s="51" t="s">
        <v>7861</v>
      </c>
      <c r="B1516" s="51" t="s">
        <v>7862</v>
      </c>
      <c r="C1516" s="54" t="s">
        <v>5603</v>
      </c>
      <c r="D1516" s="51" t="s">
        <v>7863</v>
      </c>
      <c r="E1516" s="20">
        <v>10000</v>
      </c>
      <c r="F1516" s="20">
        <v>3379.05</v>
      </c>
      <c r="G1516" s="20">
        <v>12009.2</v>
      </c>
      <c r="H1516" s="20">
        <v>4232.5</v>
      </c>
      <c r="I1516" s="20">
        <v>4310.58</v>
      </c>
      <c r="J1516" s="51" t="s">
        <v>6726</v>
      </c>
      <c r="K1516" s="15">
        <v>0</v>
      </c>
      <c r="L1516" s="51" t="s">
        <v>2371</v>
      </c>
      <c r="M1516" s="51" t="s">
        <v>7864</v>
      </c>
      <c r="N1516" s="51" t="s">
        <v>1340</v>
      </c>
      <c r="O1516" s="51" t="s">
        <v>7865</v>
      </c>
      <c r="P1516" s="51" t="s">
        <v>1340</v>
      </c>
      <c r="Q1516" s="45">
        <v>46286.942485740743</v>
      </c>
      <c r="R1516" s="46">
        <v>46298</v>
      </c>
      <c r="S1516" s="46">
        <v>46293</v>
      </c>
      <c r="T1516" s="51" t="s">
        <v>6119</v>
      </c>
      <c r="U1516" s="15"/>
      <c r="V1516" s="15"/>
      <c r="W1516" s="15"/>
      <c r="X1516" s="15"/>
      <c r="Y1516" s="15"/>
      <c r="Z1516" s="15"/>
      <c r="AA1516" s="46"/>
      <c r="AB1516" s="15"/>
      <c r="AC1516" s="15"/>
      <c r="AD1516" s="15"/>
      <c r="AE1516" s="15"/>
      <c r="AF1516" s="15"/>
      <c r="AG1516" s="15"/>
      <c r="AH1516" s="15"/>
      <c r="AI1516" s="46"/>
      <c r="AJ1516" s="51" t="s">
        <v>67</v>
      </c>
      <c r="AK1516" s="51" t="s">
        <v>67</v>
      </c>
      <c r="AL1516" s="15"/>
      <c r="AM1516" s="51" t="s">
        <v>67</v>
      </c>
      <c r="AN1516" s="51" t="s">
        <v>67</v>
      </c>
      <c r="AO1516" s="50" t="s">
        <v>9554</v>
      </c>
    </row>
    <row r="1517" spans="1:41" hidden="1" x14ac:dyDescent="0.25">
      <c r="A1517" s="51" t="s">
        <v>7866</v>
      </c>
      <c r="B1517" s="51" t="s">
        <v>7867</v>
      </c>
      <c r="C1517" s="54" t="s">
        <v>5596</v>
      </c>
      <c r="D1517" s="51" t="s">
        <v>7868</v>
      </c>
      <c r="E1517" s="20">
        <v>10000</v>
      </c>
      <c r="F1517" s="20">
        <v>5622.19</v>
      </c>
      <c r="G1517" s="20">
        <v>1198.06</v>
      </c>
      <c r="H1517" s="20">
        <v>4753.33</v>
      </c>
      <c r="I1517" s="20">
        <v>6140.63</v>
      </c>
      <c r="J1517" s="51" t="s">
        <v>6726</v>
      </c>
      <c r="K1517" s="15">
        <v>0</v>
      </c>
      <c r="L1517" s="51" t="s">
        <v>2371</v>
      </c>
      <c r="M1517" s="51" t="s">
        <v>67</v>
      </c>
      <c r="N1517" s="51" t="s">
        <v>67</v>
      </c>
      <c r="O1517" s="51" t="s">
        <v>7869</v>
      </c>
      <c r="P1517" s="51" t="s">
        <v>1340</v>
      </c>
      <c r="Q1517" s="45">
        <v>46286.94249627315</v>
      </c>
      <c r="R1517" s="46">
        <v>46300</v>
      </c>
      <c r="S1517" s="46">
        <v>46295</v>
      </c>
      <c r="T1517" s="51" t="s">
        <v>6119</v>
      </c>
      <c r="U1517" s="15"/>
      <c r="V1517" s="15"/>
      <c r="W1517" s="15"/>
      <c r="X1517" s="15"/>
      <c r="Y1517" s="15"/>
      <c r="Z1517" s="15"/>
      <c r="AA1517" s="46"/>
      <c r="AB1517" s="15"/>
      <c r="AC1517" s="15"/>
      <c r="AD1517" s="15"/>
      <c r="AE1517" s="15"/>
      <c r="AF1517" s="15"/>
      <c r="AG1517" s="15"/>
      <c r="AH1517" s="15"/>
      <c r="AI1517" s="46"/>
      <c r="AJ1517" s="51" t="s">
        <v>67</v>
      </c>
      <c r="AK1517" s="51" t="s">
        <v>67</v>
      </c>
      <c r="AL1517" s="15"/>
      <c r="AM1517" s="51" t="s">
        <v>67</v>
      </c>
      <c r="AN1517" s="51" t="s">
        <v>67</v>
      </c>
      <c r="AO1517" s="50" t="s">
        <v>9554</v>
      </c>
    </row>
    <row r="1518" spans="1:41" hidden="1" x14ac:dyDescent="0.25">
      <c r="A1518" s="51" t="s">
        <v>7870</v>
      </c>
      <c r="B1518" s="51" t="s">
        <v>7871</v>
      </c>
      <c r="C1518" s="54" t="s">
        <v>5599</v>
      </c>
      <c r="D1518" s="51" t="s">
        <v>7872</v>
      </c>
      <c r="E1518" s="20">
        <v>10000</v>
      </c>
      <c r="F1518" s="20">
        <v>5137.28</v>
      </c>
      <c r="G1518" s="20">
        <v>9224.7900000000009</v>
      </c>
      <c r="H1518" s="20">
        <v>4607.33</v>
      </c>
      <c r="I1518" s="20">
        <v>5766.66</v>
      </c>
      <c r="J1518" s="51" t="s">
        <v>6726</v>
      </c>
      <c r="K1518" s="15">
        <v>0</v>
      </c>
      <c r="L1518" s="51" t="s">
        <v>2371</v>
      </c>
      <c r="M1518" s="51" t="s">
        <v>7873</v>
      </c>
      <c r="N1518" s="51" t="s">
        <v>1340</v>
      </c>
      <c r="O1518" s="51" t="s">
        <v>7874</v>
      </c>
      <c r="P1518" s="51" t="s">
        <v>1340</v>
      </c>
      <c r="Q1518" s="45">
        <v>46286.942504282408</v>
      </c>
      <c r="R1518" s="46">
        <v>46302</v>
      </c>
      <c r="S1518" s="46">
        <v>46297</v>
      </c>
      <c r="T1518" s="51" t="s">
        <v>6119</v>
      </c>
      <c r="U1518" s="15"/>
      <c r="V1518" s="15"/>
      <c r="W1518" s="15"/>
      <c r="X1518" s="15"/>
      <c r="Y1518" s="15"/>
      <c r="Z1518" s="15"/>
      <c r="AA1518" s="46"/>
      <c r="AB1518" s="15"/>
      <c r="AC1518" s="15"/>
      <c r="AD1518" s="15"/>
      <c r="AE1518" s="15"/>
      <c r="AF1518" s="15"/>
      <c r="AG1518" s="15"/>
      <c r="AH1518" s="15"/>
      <c r="AI1518" s="46"/>
      <c r="AJ1518" s="51" t="s">
        <v>67</v>
      </c>
      <c r="AK1518" s="51" t="s">
        <v>67</v>
      </c>
      <c r="AL1518" s="15"/>
      <c r="AM1518" s="51" t="s">
        <v>67</v>
      </c>
      <c r="AN1518" s="51" t="s">
        <v>67</v>
      </c>
      <c r="AO1518" s="50" t="s">
        <v>9554</v>
      </c>
    </row>
    <row r="1519" spans="1:41" hidden="1" x14ac:dyDescent="0.25">
      <c r="A1519" s="51" t="s">
        <v>7875</v>
      </c>
      <c r="B1519" s="51" t="s">
        <v>7876</v>
      </c>
      <c r="C1519" s="54" t="s">
        <v>2690</v>
      </c>
      <c r="D1519" s="51" t="s">
        <v>7877</v>
      </c>
      <c r="E1519" s="20">
        <v>10000</v>
      </c>
      <c r="F1519" s="20">
        <v>1903.05</v>
      </c>
      <c r="G1519" s="20">
        <v>6618.73</v>
      </c>
      <c r="H1519" s="20">
        <v>4050.09</v>
      </c>
      <c r="I1519" s="20">
        <v>2983.64</v>
      </c>
      <c r="J1519" s="51" t="s">
        <v>6726</v>
      </c>
      <c r="K1519" s="15">
        <v>0</v>
      </c>
      <c r="L1519" s="51" t="s">
        <v>2371</v>
      </c>
      <c r="M1519" s="51" t="s">
        <v>67</v>
      </c>
      <c r="N1519" s="51" t="s">
        <v>67</v>
      </c>
      <c r="O1519" s="51" t="s">
        <v>7878</v>
      </c>
      <c r="P1519" s="51" t="s">
        <v>1340</v>
      </c>
      <c r="Q1519" s="45">
        <v>46286.942511921297</v>
      </c>
      <c r="R1519" s="46">
        <v>46322</v>
      </c>
      <c r="S1519" s="46">
        <v>46317</v>
      </c>
      <c r="T1519" s="51" t="s">
        <v>6119</v>
      </c>
      <c r="U1519" s="15"/>
      <c r="V1519" s="15"/>
      <c r="W1519" s="15"/>
      <c r="X1519" s="15"/>
      <c r="Y1519" s="15"/>
      <c r="Z1519" s="15"/>
      <c r="AA1519" s="46"/>
      <c r="AB1519" s="15"/>
      <c r="AC1519" s="15"/>
      <c r="AD1519" s="15"/>
      <c r="AE1519" s="15"/>
      <c r="AF1519" s="15"/>
      <c r="AG1519" s="15"/>
      <c r="AH1519" s="15"/>
      <c r="AI1519" s="46"/>
      <c r="AJ1519" s="51" t="s">
        <v>67</v>
      </c>
      <c r="AK1519" s="51" t="s">
        <v>67</v>
      </c>
      <c r="AL1519" s="15"/>
      <c r="AM1519" s="51" t="s">
        <v>67</v>
      </c>
      <c r="AN1519" s="51" t="s">
        <v>67</v>
      </c>
      <c r="AO1519" s="50" t="s">
        <v>9554</v>
      </c>
    </row>
    <row r="1520" spans="1:41" hidden="1" x14ac:dyDescent="0.25">
      <c r="A1520" s="51" t="s">
        <v>7879</v>
      </c>
      <c r="B1520" s="51" t="s">
        <v>7880</v>
      </c>
      <c r="C1520" s="54" t="s">
        <v>2692</v>
      </c>
      <c r="D1520" s="51" t="s">
        <v>7881</v>
      </c>
      <c r="E1520" s="20">
        <v>10000</v>
      </c>
      <c r="F1520" s="20">
        <v>4547.87</v>
      </c>
      <c r="G1520" s="20">
        <v>17447.7</v>
      </c>
      <c r="H1520" s="20">
        <v>4130.7299999999996</v>
      </c>
      <c r="I1520" s="20">
        <v>5173.8999999999996</v>
      </c>
      <c r="J1520" s="51" t="s">
        <v>6726</v>
      </c>
      <c r="K1520" s="15">
        <v>0</v>
      </c>
      <c r="L1520" s="51" t="s">
        <v>2371</v>
      </c>
      <c r="M1520" s="51" t="s">
        <v>7882</v>
      </c>
      <c r="N1520" s="51" t="s">
        <v>1340</v>
      </c>
      <c r="O1520" s="51" t="s">
        <v>67</v>
      </c>
      <c r="P1520" s="51" t="s">
        <v>67</v>
      </c>
      <c r="Q1520" s="45">
        <v>46286.942519895834</v>
      </c>
      <c r="R1520" s="46">
        <v>46296</v>
      </c>
      <c r="S1520" s="46">
        <v>46291</v>
      </c>
      <c r="T1520" s="51" t="s">
        <v>6119</v>
      </c>
      <c r="U1520" s="15"/>
      <c r="V1520" s="15"/>
      <c r="W1520" s="15"/>
      <c r="X1520" s="15"/>
      <c r="Y1520" s="15"/>
      <c r="Z1520" s="15"/>
      <c r="AA1520" s="46"/>
      <c r="AB1520" s="15"/>
      <c r="AC1520" s="15"/>
      <c r="AD1520" s="15"/>
      <c r="AE1520" s="15"/>
      <c r="AF1520" s="15"/>
      <c r="AG1520" s="15"/>
      <c r="AH1520" s="15"/>
      <c r="AI1520" s="46"/>
      <c r="AJ1520" s="51" t="s">
        <v>67</v>
      </c>
      <c r="AK1520" s="51" t="s">
        <v>67</v>
      </c>
      <c r="AL1520" s="15"/>
      <c r="AM1520" s="51" t="s">
        <v>67</v>
      </c>
      <c r="AN1520" s="51" t="s">
        <v>67</v>
      </c>
      <c r="AO1520" s="50" t="s">
        <v>9554</v>
      </c>
    </row>
    <row r="1521" spans="1:41" hidden="1" x14ac:dyDescent="0.25">
      <c r="A1521" s="51" t="s">
        <v>7883</v>
      </c>
      <c r="B1521" s="51" t="s">
        <v>7884</v>
      </c>
      <c r="C1521" s="54" t="s">
        <v>5605</v>
      </c>
      <c r="D1521" s="51" t="s">
        <v>7885</v>
      </c>
      <c r="E1521" s="20">
        <v>10000</v>
      </c>
      <c r="F1521" s="20">
        <v>3879.14</v>
      </c>
      <c r="G1521" s="20">
        <v>2024.49</v>
      </c>
      <c r="H1521" s="20">
        <v>6004.91</v>
      </c>
      <c r="I1521" s="20">
        <v>5622.9</v>
      </c>
      <c r="J1521" s="51" t="s">
        <v>6726</v>
      </c>
      <c r="K1521" s="15">
        <v>121</v>
      </c>
      <c r="L1521" s="51" t="s">
        <v>2369</v>
      </c>
      <c r="M1521" s="51" t="s">
        <v>7886</v>
      </c>
      <c r="N1521" s="51" t="s">
        <v>1344</v>
      </c>
      <c r="O1521" s="51" t="s">
        <v>7887</v>
      </c>
      <c r="P1521" s="51" t="s">
        <v>1344</v>
      </c>
      <c r="Q1521" s="45">
        <v>46286.942531956018</v>
      </c>
      <c r="R1521" s="46">
        <v>46323</v>
      </c>
      <c r="S1521" s="46">
        <v>46318</v>
      </c>
      <c r="T1521" s="51" t="s">
        <v>6119</v>
      </c>
      <c r="U1521" s="15"/>
      <c r="V1521" s="15"/>
      <c r="W1521" s="15"/>
      <c r="X1521" s="15"/>
      <c r="Y1521" s="15"/>
      <c r="Z1521" s="15"/>
      <c r="AA1521" s="46"/>
      <c r="AB1521" s="15"/>
      <c r="AC1521" s="15"/>
      <c r="AD1521" s="15"/>
      <c r="AE1521" s="15"/>
      <c r="AF1521" s="15"/>
      <c r="AG1521" s="15"/>
      <c r="AH1521" s="15"/>
      <c r="AI1521" s="46"/>
      <c r="AJ1521" s="51" t="s">
        <v>6121</v>
      </c>
      <c r="AK1521" s="51" t="s">
        <v>67</v>
      </c>
      <c r="AL1521" s="15"/>
      <c r="AM1521" s="51" t="s">
        <v>67</v>
      </c>
      <c r="AN1521" s="51" t="s">
        <v>67</v>
      </c>
      <c r="AO1521" s="50" t="s">
        <v>9554</v>
      </c>
    </row>
    <row r="1522" spans="1:41" hidden="1" x14ac:dyDescent="0.25">
      <c r="A1522" s="51" t="s">
        <v>7888</v>
      </c>
      <c r="B1522" s="51" t="s">
        <v>7889</v>
      </c>
      <c r="C1522" s="54" t="s">
        <v>2690</v>
      </c>
      <c r="D1522" s="51" t="s">
        <v>7890</v>
      </c>
      <c r="E1522" s="20">
        <v>10000</v>
      </c>
      <c r="F1522" s="20">
        <v>3279.59</v>
      </c>
      <c r="G1522" s="20">
        <v>3909.74</v>
      </c>
      <c r="H1522" s="20">
        <v>4170.58</v>
      </c>
      <c r="I1522" s="20">
        <v>4235.5200000000004</v>
      </c>
      <c r="J1522" s="51" t="s">
        <v>6726</v>
      </c>
      <c r="K1522" s="15">
        <v>0</v>
      </c>
      <c r="L1522" s="51" t="s">
        <v>2371</v>
      </c>
      <c r="M1522" s="51" t="s">
        <v>7891</v>
      </c>
      <c r="N1522" s="51" t="s">
        <v>1340</v>
      </c>
      <c r="O1522" s="51" t="s">
        <v>7892</v>
      </c>
      <c r="P1522" s="51" t="s">
        <v>1340</v>
      </c>
      <c r="Q1522" s="45">
        <v>46286.942538935182</v>
      </c>
      <c r="R1522" s="46">
        <v>46322</v>
      </c>
      <c r="S1522" s="46">
        <v>46317</v>
      </c>
      <c r="T1522" s="51" t="s">
        <v>6119</v>
      </c>
      <c r="U1522" s="15"/>
      <c r="V1522" s="15"/>
      <c r="W1522" s="15"/>
      <c r="X1522" s="15"/>
      <c r="Y1522" s="15"/>
      <c r="Z1522" s="15"/>
      <c r="AA1522" s="46"/>
      <c r="AB1522" s="15"/>
      <c r="AC1522" s="15"/>
      <c r="AD1522" s="15"/>
      <c r="AE1522" s="15"/>
      <c r="AF1522" s="15"/>
      <c r="AG1522" s="15"/>
      <c r="AH1522" s="15"/>
      <c r="AI1522" s="46"/>
      <c r="AJ1522" s="51" t="s">
        <v>67</v>
      </c>
      <c r="AK1522" s="51" t="s">
        <v>67</v>
      </c>
      <c r="AL1522" s="15"/>
      <c r="AM1522" s="51" t="s">
        <v>67</v>
      </c>
      <c r="AN1522" s="51" t="s">
        <v>67</v>
      </c>
      <c r="AO1522" s="50" t="s">
        <v>9554</v>
      </c>
    </row>
    <row r="1523" spans="1:41" hidden="1" x14ac:dyDescent="0.25">
      <c r="A1523" s="51" t="s">
        <v>7893</v>
      </c>
      <c r="B1523" s="51" t="s">
        <v>7894</v>
      </c>
      <c r="C1523" s="54" t="s">
        <v>5601</v>
      </c>
      <c r="D1523" s="51" t="s">
        <v>7895</v>
      </c>
      <c r="E1523" s="20">
        <v>10000</v>
      </c>
      <c r="F1523" s="20">
        <v>5263.55</v>
      </c>
      <c r="G1523" s="20">
        <v>16338.09</v>
      </c>
      <c r="H1523" s="20">
        <v>4180.32</v>
      </c>
      <c r="I1523" s="20">
        <v>5465.09</v>
      </c>
      <c r="J1523" s="51" t="s">
        <v>6726</v>
      </c>
      <c r="K1523" s="15">
        <v>0</v>
      </c>
      <c r="L1523" s="51" t="s">
        <v>2371</v>
      </c>
      <c r="M1523" s="51" t="s">
        <v>67</v>
      </c>
      <c r="N1523" s="51" t="s">
        <v>67</v>
      </c>
      <c r="O1523" s="51" t="s">
        <v>7896</v>
      </c>
      <c r="P1523" s="51" t="s">
        <v>1340</v>
      </c>
      <c r="Q1523" s="45">
        <v>46286.942545995371</v>
      </c>
      <c r="R1523" s="46">
        <v>46316</v>
      </c>
      <c r="S1523" s="46">
        <v>46311</v>
      </c>
      <c r="T1523" s="51" t="s">
        <v>6119</v>
      </c>
      <c r="U1523" s="15"/>
      <c r="V1523" s="15"/>
      <c r="W1523" s="15"/>
      <c r="X1523" s="15"/>
      <c r="Y1523" s="15"/>
      <c r="Z1523" s="15"/>
      <c r="AA1523" s="46"/>
      <c r="AB1523" s="15"/>
      <c r="AC1523" s="15"/>
      <c r="AD1523" s="15"/>
      <c r="AE1523" s="15"/>
      <c r="AF1523" s="15"/>
      <c r="AG1523" s="15"/>
      <c r="AH1523" s="15"/>
      <c r="AI1523" s="46"/>
      <c r="AJ1523" s="51" t="s">
        <v>67</v>
      </c>
      <c r="AK1523" s="51" t="s">
        <v>67</v>
      </c>
      <c r="AL1523" s="15"/>
      <c r="AM1523" s="51" t="s">
        <v>67</v>
      </c>
      <c r="AN1523" s="51" t="s">
        <v>67</v>
      </c>
      <c r="AO1523" s="50" t="s">
        <v>9554</v>
      </c>
    </row>
    <row r="1524" spans="1:41" hidden="1" x14ac:dyDescent="0.25">
      <c r="A1524" s="51" t="s">
        <v>7897</v>
      </c>
      <c r="B1524" s="51" t="s">
        <v>7898</v>
      </c>
      <c r="C1524" s="54" t="s">
        <v>5601</v>
      </c>
      <c r="D1524" s="51" t="s">
        <v>7899</v>
      </c>
      <c r="E1524" s="20">
        <v>10000</v>
      </c>
      <c r="F1524" s="20">
        <v>5345.48</v>
      </c>
      <c r="G1524" s="20">
        <v>7195.59</v>
      </c>
      <c r="H1524" s="20">
        <v>4920.21</v>
      </c>
      <c r="I1524" s="20">
        <v>5953.13</v>
      </c>
      <c r="J1524" s="51" t="s">
        <v>6726</v>
      </c>
      <c r="K1524" s="15">
        <v>0</v>
      </c>
      <c r="L1524" s="51" t="s">
        <v>2371</v>
      </c>
      <c r="M1524" s="51" t="s">
        <v>67</v>
      </c>
      <c r="N1524" s="51" t="s">
        <v>67</v>
      </c>
      <c r="O1524" s="51" t="s">
        <v>7900</v>
      </c>
      <c r="P1524" s="51" t="s">
        <v>1340</v>
      </c>
      <c r="Q1524" s="45">
        <v>46286.942553391207</v>
      </c>
      <c r="R1524" s="46">
        <v>46316</v>
      </c>
      <c r="S1524" s="46">
        <v>46311</v>
      </c>
      <c r="T1524" s="51" t="s">
        <v>6119</v>
      </c>
      <c r="U1524" s="15"/>
      <c r="V1524" s="15"/>
      <c r="W1524" s="15"/>
      <c r="X1524" s="15"/>
      <c r="Y1524" s="15"/>
      <c r="Z1524" s="15"/>
      <c r="AA1524" s="46"/>
      <c r="AB1524" s="15"/>
      <c r="AC1524" s="15"/>
      <c r="AD1524" s="15"/>
      <c r="AE1524" s="15"/>
      <c r="AF1524" s="15"/>
      <c r="AG1524" s="15"/>
      <c r="AH1524" s="15"/>
      <c r="AI1524" s="46"/>
      <c r="AJ1524" s="51" t="s">
        <v>67</v>
      </c>
      <c r="AK1524" s="51" t="s">
        <v>67</v>
      </c>
      <c r="AL1524" s="15"/>
      <c r="AM1524" s="51" t="s">
        <v>67</v>
      </c>
      <c r="AN1524" s="51" t="s">
        <v>67</v>
      </c>
      <c r="AO1524" s="50" t="s">
        <v>9554</v>
      </c>
    </row>
    <row r="1525" spans="1:41" hidden="1" x14ac:dyDescent="0.25">
      <c r="A1525" s="51" t="s">
        <v>7901</v>
      </c>
      <c r="B1525" s="51" t="s">
        <v>7902</v>
      </c>
      <c r="C1525" s="54" t="s">
        <v>5606</v>
      </c>
      <c r="D1525" s="51" t="s">
        <v>7903</v>
      </c>
      <c r="E1525" s="20">
        <v>10000</v>
      </c>
      <c r="F1525" s="20">
        <v>4522.72</v>
      </c>
      <c r="G1525" s="20">
        <v>746.61</v>
      </c>
      <c r="H1525" s="20">
        <v>4085.67</v>
      </c>
      <c r="I1525" s="20">
        <v>5114.5</v>
      </c>
      <c r="J1525" s="51" t="s">
        <v>6726</v>
      </c>
      <c r="K1525" s="15">
        <v>0</v>
      </c>
      <c r="L1525" s="51" t="s">
        <v>2371</v>
      </c>
      <c r="M1525" s="51" t="s">
        <v>67</v>
      </c>
      <c r="N1525" s="51" t="s">
        <v>67</v>
      </c>
      <c r="O1525" s="51" t="s">
        <v>7904</v>
      </c>
      <c r="P1525" s="51" t="s">
        <v>1344</v>
      </c>
      <c r="Q1525" s="45">
        <v>46286.942561099539</v>
      </c>
      <c r="R1525" s="46">
        <v>46297</v>
      </c>
      <c r="S1525" s="46">
        <v>46292</v>
      </c>
      <c r="T1525" s="51" t="s">
        <v>6119</v>
      </c>
      <c r="U1525" s="15"/>
      <c r="V1525" s="15"/>
      <c r="W1525" s="15"/>
      <c r="X1525" s="15"/>
      <c r="Y1525" s="15"/>
      <c r="Z1525" s="15"/>
      <c r="AA1525" s="46"/>
      <c r="AB1525" s="15"/>
      <c r="AC1525" s="15"/>
      <c r="AD1525" s="15"/>
      <c r="AE1525" s="15"/>
      <c r="AF1525" s="15"/>
      <c r="AG1525" s="15"/>
      <c r="AH1525" s="15"/>
      <c r="AI1525" s="46"/>
      <c r="AJ1525" s="51" t="s">
        <v>67</v>
      </c>
      <c r="AK1525" s="51" t="s">
        <v>67</v>
      </c>
      <c r="AL1525" s="15"/>
      <c r="AM1525" s="51" t="s">
        <v>67</v>
      </c>
      <c r="AN1525" s="51" t="s">
        <v>67</v>
      </c>
      <c r="AO1525" s="50" t="s">
        <v>9554</v>
      </c>
    </row>
    <row r="1526" spans="1:41" hidden="1" x14ac:dyDescent="0.25">
      <c r="A1526" s="51" t="s">
        <v>7905</v>
      </c>
      <c r="B1526" s="51" t="s">
        <v>7906</v>
      </c>
      <c r="C1526" s="54" t="s">
        <v>5601</v>
      </c>
      <c r="D1526" s="51" t="s">
        <v>7907</v>
      </c>
      <c r="E1526" s="20">
        <v>10000</v>
      </c>
      <c r="F1526" s="20">
        <v>0</v>
      </c>
      <c r="G1526" s="20">
        <v>10787.24</v>
      </c>
      <c r="H1526" s="20">
        <v>7059.36</v>
      </c>
      <c r="I1526" s="20">
        <v>2608.19</v>
      </c>
      <c r="J1526" s="51" t="s">
        <v>6726</v>
      </c>
      <c r="K1526" s="15">
        <v>0</v>
      </c>
      <c r="L1526" s="51" t="s">
        <v>2371</v>
      </c>
      <c r="M1526" s="51" t="s">
        <v>7908</v>
      </c>
      <c r="N1526" s="51" t="s">
        <v>1340</v>
      </c>
      <c r="O1526" s="51" t="s">
        <v>7909</v>
      </c>
      <c r="P1526" s="51" t="s">
        <v>1340</v>
      </c>
      <c r="Q1526" s="45">
        <v>46286.942568472223</v>
      </c>
      <c r="R1526" s="46">
        <v>46316</v>
      </c>
      <c r="S1526" s="46">
        <v>46311</v>
      </c>
      <c r="T1526" s="51" t="s">
        <v>6119</v>
      </c>
      <c r="U1526" s="15"/>
      <c r="V1526" s="15"/>
      <c r="W1526" s="15"/>
      <c r="X1526" s="15"/>
      <c r="Y1526" s="15"/>
      <c r="Z1526" s="15"/>
      <c r="AA1526" s="46"/>
      <c r="AB1526" s="15"/>
      <c r="AC1526" s="15"/>
      <c r="AD1526" s="15"/>
      <c r="AE1526" s="15"/>
      <c r="AF1526" s="15"/>
      <c r="AG1526" s="15"/>
      <c r="AH1526" s="15"/>
      <c r="AI1526" s="46"/>
      <c r="AJ1526" s="51" t="s">
        <v>67</v>
      </c>
      <c r="AK1526" s="51" t="s">
        <v>67</v>
      </c>
      <c r="AL1526" s="15"/>
      <c r="AM1526" s="51" t="s">
        <v>67</v>
      </c>
      <c r="AN1526" s="51" t="s">
        <v>67</v>
      </c>
      <c r="AO1526" s="50" t="s">
        <v>9554</v>
      </c>
    </row>
    <row r="1527" spans="1:41" hidden="1" x14ac:dyDescent="0.25">
      <c r="A1527" s="51" t="s">
        <v>7910</v>
      </c>
      <c r="B1527" s="51" t="s">
        <v>7911</v>
      </c>
      <c r="C1527" s="54" t="s">
        <v>2345</v>
      </c>
      <c r="D1527" s="51" t="s">
        <v>7912</v>
      </c>
      <c r="E1527" s="20">
        <v>10000</v>
      </c>
      <c r="F1527" s="20">
        <v>2183.1799999999998</v>
      </c>
      <c r="G1527" s="20">
        <v>2015.01</v>
      </c>
      <c r="H1527" s="20">
        <v>3910.23</v>
      </c>
      <c r="I1527" s="20">
        <v>3230.21</v>
      </c>
      <c r="J1527" s="51" t="s">
        <v>6726</v>
      </c>
      <c r="K1527" s="15">
        <v>0</v>
      </c>
      <c r="L1527" s="51" t="s">
        <v>2371</v>
      </c>
      <c r="M1527" s="51" t="s">
        <v>7913</v>
      </c>
      <c r="N1527" s="51" t="s">
        <v>1344</v>
      </c>
      <c r="O1527" s="51" t="s">
        <v>67</v>
      </c>
      <c r="P1527" s="51" t="s">
        <v>67</v>
      </c>
      <c r="Q1527" s="45">
        <v>46286.942574629633</v>
      </c>
      <c r="R1527" s="46">
        <v>46306</v>
      </c>
      <c r="S1527" s="46">
        <v>46301</v>
      </c>
      <c r="T1527" s="51" t="s">
        <v>6119</v>
      </c>
      <c r="U1527" s="15"/>
      <c r="V1527" s="15"/>
      <c r="W1527" s="15"/>
      <c r="X1527" s="15"/>
      <c r="Y1527" s="15"/>
      <c r="Z1527" s="15"/>
      <c r="AA1527" s="46"/>
      <c r="AB1527" s="15"/>
      <c r="AC1527" s="15"/>
      <c r="AD1527" s="15"/>
      <c r="AE1527" s="15"/>
      <c r="AF1527" s="15"/>
      <c r="AG1527" s="15"/>
      <c r="AH1527" s="15"/>
      <c r="AI1527" s="46"/>
      <c r="AJ1527" s="51" t="s">
        <v>67</v>
      </c>
      <c r="AK1527" s="51" t="s">
        <v>67</v>
      </c>
      <c r="AL1527" s="15"/>
      <c r="AM1527" s="51" t="s">
        <v>67</v>
      </c>
      <c r="AN1527" s="51" t="s">
        <v>67</v>
      </c>
      <c r="AO1527" s="50" t="s">
        <v>9554</v>
      </c>
    </row>
    <row r="1528" spans="1:41" hidden="1" x14ac:dyDescent="0.25">
      <c r="A1528" s="51" t="s">
        <v>7914</v>
      </c>
      <c r="B1528" s="51" t="s">
        <v>7915</v>
      </c>
      <c r="C1528" s="54" t="s">
        <v>2693</v>
      </c>
      <c r="D1528" s="51" t="s">
        <v>7916</v>
      </c>
      <c r="E1528" s="20">
        <v>10000</v>
      </c>
      <c r="F1528" s="20">
        <v>1899.88</v>
      </c>
      <c r="G1528" s="20">
        <v>6576.74</v>
      </c>
      <c r="H1528" s="20">
        <v>7554.57</v>
      </c>
      <c r="I1528" s="20">
        <v>4847.42</v>
      </c>
      <c r="J1528" s="51" t="s">
        <v>6726</v>
      </c>
      <c r="K1528" s="15">
        <v>0</v>
      </c>
      <c r="L1528" s="51" t="s">
        <v>2371</v>
      </c>
      <c r="M1528" s="51" t="s">
        <v>7917</v>
      </c>
      <c r="N1528" s="51" t="s">
        <v>1344</v>
      </c>
      <c r="O1528" s="51" t="s">
        <v>67</v>
      </c>
      <c r="P1528" s="51" t="s">
        <v>67</v>
      </c>
      <c r="Q1528" s="45">
        <v>46286.942579016206</v>
      </c>
      <c r="R1528" s="46">
        <v>46314</v>
      </c>
      <c r="S1528" s="46">
        <v>46309</v>
      </c>
      <c r="T1528" s="51" t="s">
        <v>6119</v>
      </c>
      <c r="U1528" s="15"/>
      <c r="V1528" s="15"/>
      <c r="W1528" s="15"/>
      <c r="X1528" s="15"/>
      <c r="Y1528" s="15"/>
      <c r="Z1528" s="15"/>
      <c r="AA1528" s="46"/>
      <c r="AB1528" s="15"/>
      <c r="AC1528" s="15"/>
      <c r="AD1528" s="15"/>
      <c r="AE1528" s="15"/>
      <c r="AF1528" s="15"/>
      <c r="AG1528" s="15"/>
      <c r="AH1528" s="15"/>
      <c r="AI1528" s="46"/>
      <c r="AJ1528" s="51" t="s">
        <v>67</v>
      </c>
      <c r="AK1528" s="51" t="s">
        <v>67</v>
      </c>
      <c r="AL1528" s="15"/>
      <c r="AM1528" s="51" t="s">
        <v>67</v>
      </c>
      <c r="AN1528" s="51" t="s">
        <v>67</v>
      </c>
      <c r="AO1528" s="50" t="s">
        <v>9554</v>
      </c>
    </row>
    <row r="1529" spans="1:41" hidden="1" x14ac:dyDescent="0.25">
      <c r="A1529" s="51" t="s">
        <v>7918</v>
      </c>
      <c r="B1529" s="51" t="s">
        <v>7919</v>
      </c>
      <c r="C1529" s="54" t="s">
        <v>5598</v>
      </c>
      <c r="D1529" s="51" t="s">
        <v>7920</v>
      </c>
      <c r="E1529" s="20">
        <v>10000</v>
      </c>
      <c r="F1529" s="20">
        <v>3449.24</v>
      </c>
      <c r="G1529" s="20">
        <v>16844.11</v>
      </c>
      <c r="H1529" s="20">
        <v>4952.62</v>
      </c>
      <c r="I1529" s="20">
        <v>4805.51</v>
      </c>
      <c r="J1529" s="51" t="s">
        <v>6726</v>
      </c>
      <c r="K1529" s="15">
        <v>0</v>
      </c>
      <c r="L1529" s="51" t="s">
        <v>2371</v>
      </c>
      <c r="M1529" s="51" t="s">
        <v>7921</v>
      </c>
      <c r="N1529" s="51" t="s">
        <v>1340</v>
      </c>
      <c r="O1529" s="51" t="s">
        <v>7922</v>
      </c>
      <c r="P1529" s="51" t="s">
        <v>1340</v>
      </c>
      <c r="Q1529" s="45">
        <v>46286.942583518517</v>
      </c>
      <c r="R1529" s="46">
        <v>46318</v>
      </c>
      <c r="S1529" s="46">
        <v>46313</v>
      </c>
      <c r="T1529" s="51" t="s">
        <v>6119</v>
      </c>
      <c r="U1529" s="15"/>
      <c r="V1529" s="15"/>
      <c r="W1529" s="15"/>
      <c r="X1529" s="15"/>
      <c r="Y1529" s="15"/>
      <c r="Z1529" s="15"/>
      <c r="AA1529" s="46"/>
      <c r="AB1529" s="15"/>
      <c r="AC1529" s="15"/>
      <c r="AD1529" s="15"/>
      <c r="AE1529" s="15"/>
      <c r="AF1529" s="15"/>
      <c r="AG1529" s="15"/>
      <c r="AH1529" s="15"/>
      <c r="AI1529" s="46"/>
      <c r="AJ1529" s="51" t="s">
        <v>67</v>
      </c>
      <c r="AK1529" s="51" t="s">
        <v>67</v>
      </c>
      <c r="AL1529" s="15"/>
      <c r="AM1529" s="51" t="s">
        <v>67</v>
      </c>
      <c r="AN1529" s="51" t="s">
        <v>67</v>
      </c>
      <c r="AO1529" s="50" t="s">
        <v>9554</v>
      </c>
    </row>
    <row r="1530" spans="1:41" hidden="1" x14ac:dyDescent="0.25">
      <c r="A1530" s="51" t="s">
        <v>7923</v>
      </c>
      <c r="B1530" s="51" t="s">
        <v>7924</v>
      </c>
      <c r="C1530" s="54" t="s">
        <v>2358</v>
      </c>
      <c r="D1530" s="51" t="s">
        <v>7925</v>
      </c>
      <c r="E1530" s="20">
        <v>10000</v>
      </c>
      <c r="F1530" s="20">
        <v>989.74</v>
      </c>
      <c r="G1530" s="20">
        <v>11136.45</v>
      </c>
      <c r="H1530" s="20">
        <v>4462.09</v>
      </c>
      <c r="I1530" s="20">
        <v>2802.97</v>
      </c>
      <c r="J1530" s="51" t="s">
        <v>6726</v>
      </c>
      <c r="K1530" s="15">
        <v>0</v>
      </c>
      <c r="L1530" s="51" t="s">
        <v>2371</v>
      </c>
      <c r="M1530" s="51" t="s">
        <v>7926</v>
      </c>
      <c r="N1530" s="51" t="s">
        <v>1340</v>
      </c>
      <c r="O1530" s="51" t="s">
        <v>7927</v>
      </c>
      <c r="P1530" s="51" t="s">
        <v>1340</v>
      </c>
      <c r="Q1530" s="45">
        <v>46286.942587951387</v>
      </c>
      <c r="R1530" s="46">
        <v>46309</v>
      </c>
      <c r="S1530" s="46">
        <v>46304</v>
      </c>
      <c r="T1530" s="51" t="s">
        <v>6119</v>
      </c>
      <c r="U1530" s="15"/>
      <c r="V1530" s="15"/>
      <c r="W1530" s="15"/>
      <c r="X1530" s="15"/>
      <c r="Y1530" s="15"/>
      <c r="Z1530" s="15"/>
      <c r="AA1530" s="46"/>
      <c r="AB1530" s="15"/>
      <c r="AC1530" s="15"/>
      <c r="AD1530" s="15"/>
      <c r="AE1530" s="15"/>
      <c r="AF1530" s="15"/>
      <c r="AG1530" s="15"/>
      <c r="AH1530" s="15"/>
      <c r="AI1530" s="46"/>
      <c r="AJ1530" s="51" t="s">
        <v>67</v>
      </c>
      <c r="AK1530" s="51" t="s">
        <v>67</v>
      </c>
      <c r="AL1530" s="15"/>
      <c r="AM1530" s="51" t="s">
        <v>67</v>
      </c>
      <c r="AN1530" s="51" t="s">
        <v>67</v>
      </c>
      <c r="AO1530" s="50" t="s">
        <v>9554</v>
      </c>
    </row>
    <row r="1531" spans="1:41" hidden="1" x14ac:dyDescent="0.25">
      <c r="A1531" s="51" t="s">
        <v>7928</v>
      </c>
      <c r="B1531" s="51" t="s">
        <v>7929</v>
      </c>
      <c r="C1531" s="54" t="s">
        <v>2358</v>
      </c>
      <c r="D1531" s="51" t="s">
        <v>7930</v>
      </c>
      <c r="E1531" s="20">
        <v>9276.7000000000007</v>
      </c>
      <c r="F1531" s="20">
        <v>3068.06</v>
      </c>
      <c r="G1531" s="20">
        <v>10582.66</v>
      </c>
      <c r="H1531" s="20">
        <v>4263.8</v>
      </c>
      <c r="I1531" s="20">
        <v>3781.12</v>
      </c>
      <c r="J1531" s="51" t="s">
        <v>6726</v>
      </c>
      <c r="K1531" s="15">
        <v>104</v>
      </c>
      <c r="L1531" s="51" t="s">
        <v>2369</v>
      </c>
      <c r="M1531" s="51" t="s">
        <v>67</v>
      </c>
      <c r="N1531" s="51" t="s">
        <v>67</v>
      </c>
      <c r="O1531" s="51" t="s">
        <v>7931</v>
      </c>
      <c r="P1531" s="51" t="s">
        <v>1340</v>
      </c>
      <c r="Q1531" s="45">
        <v>46286.942594895831</v>
      </c>
      <c r="R1531" s="46">
        <v>46309</v>
      </c>
      <c r="S1531" s="46">
        <v>46304</v>
      </c>
      <c r="T1531" s="51" t="s">
        <v>6119</v>
      </c>
      <c r="U1531" s="15"/>
      <c r="V1531" s="15"/>
      <c r="W1531" s="15"/>
      <c r="X1531" s="15"/>
      <c r="Y1531" s="15"/>
      <c r="Z1531" s="15"/>
      <c r="AA1531" s="46"/>
      <c r="AB1531" s="15"/>
      <c r="AC1531" s="15"/>
      <c r="AD1531" s="15"/>
      <c r="AE1531" s="15"/>
      <c r="AF1531" s="15"/>
      <c r="AG1531" s="15"/>
      <c r="AH1531" s="15"/>
      <c r="AI1531" s="46"/>
      <c r="AJ1531" s="51" t="s">
        <v>6121</v>
      </c>
      <c r="AK1531" s="51" t="s">
        <v>67</v>
      </c>
      <c r="AL1531" s="15"/>
      <c r="AM1531" s="51" t="s">
        <v>67</v>
      </c>
      <c r="AN1531" s="51" t="s">
        <v>67</v>
      </c>
      <c r="AO1531" s="50" t="s">
        <v>9555</v>
      </c>
    </row>
    <row r="1532" spans="1:41" hidden="1" x14ac:dyDescent="0.25">
      <c r="A1532" s="51" t="s">
        <v>7932</v>
      </c>
      <c r="B1532" s="51" t="s">
        <v>7933</v>
      </c>
      <c r="C1532" s="54" t="s">
        <v>2345</v>
      </c>
      <c r="D1532" s="51" t="s">
        <v>7934</v>
      </c>
      <c r="E1532" s="20">
        <v>10000</v>
      </c>
      <c r="F1532" s="20">
        <v>425.55</v>
      </c>
      <c r="G1532" s="20">
        <v>3596.98</v>
      </c>
      <c r="H1532" s="20">
        <v>5199.3999999999996</v>
      </c>
      <c r="I1532" s="20">
        <v>2819.15</v>
      </c>
      <c r="J1532" s="51" t="s">
        <v>6726</v>
      </c>
      <c r="K1532" s="15">
        <v>0</v>
      </c>
      <c r="L1532" s="51" t="s">
        <v>2371</v>
      </c>
      <c r="M1532" s="51" t="s">
        <v>7935</v>
      </c>
      <c r="N1532" s="51" t="s">
        <v>1340</v>
      </c>
      <c r="O1532" s="51" t="s">
        <v>67</v>
      </c>
      <c r="P1532" s="51" t="s">
        <v>67</v>
      </c>
      <c r="Q1532" s="45">
        <v>46286.942603113428</v>
      </c>
      <c r="R1532" s="46">
        <v>46306</v>
      </c>
      <c r="S1532" s="46">
        <v>46301</v>
      </c>
      <c r="T1532" s="51" t="s">
        <v>6119</v>
      </c>
      <c r="U1532" s="15"/>
      <c r="V1532" s="15"/>
      <c r="W1532" s="15"/>
      <c r="X1532" s="15"/>
      <c r="Y1532" s="15"/>
      <c r="Z1532" s="15"/>
      <c r="AA1532" s="46"/>
      <c r="AB1532" s="15"/>
      <c r="AC1532" s="15"/>
      <c r="AD1532" s="15"/>
      <c r="AE1532" s="15"/>
      <c r="AF1532" s="15"/>
      <c r="AG1532" s="15"/>
      <c r="AH1532" s="15"/>
      <c r="AI1532" s="46"/>
      <c r="AJ1532" s="51" t="s">
        <v>67</v>
      </c>
      <c r="AK1532" s="51" t="s">
        <v>67</v>
      </c>
      <c r="AL1532" s="15"/>
      <c r="AM1532" s="51" t="s">
        <v>67</v>
      </c>
      <c r="AN1532" s="51" t="s">
        <v>67</v>
      </c>
      <c r="AO1532" s="50" t="s">
        <v>9554</v>
      </c>
    </row>
    <row r="1533" spans="1:41" hidden="1" x14ac:dyDescent="0.25">
      <c r="A1533" s="51" t="s">
        <v>7936</v>
      </c>
      <c r="B1533" s="51" t="s">
        <v>7937</v>
      </c>
      <c r="C1533" s="54" t="s">
        <v>5603</v>
      </c>
      <c r="D1533" s="51" t="s">
        <v>7938</v>
      </c>
      <c r="E1533" s="20">
        <v>10000</v>
      </c>
      <c r="F1533" s="20">
        <v>784.45</v>
      </c>
      <c r="G1533" s="20">
        <v>17248.5</v>
      </c>
      <c r="H1533" s="20">
        <v>4750.08</v>
      </c>
      <c r="I1533" s="20">
        <v>2860.08</v>
      </c>
      <c r="J1533" s="51" t="s">
        <v>6726</v>
      </c>
      <c r="K1533" s="15">
        <v>0</v>
      </c>
      <c r="L1533" s="51" t="s">
        <v>2371</v>
      </c>
      <c r="M1533" s="51" t="s">
        <v>7939</v>
      </c>
      <c r="N1533" s="51" t="s">
        <v>1340</v>
      </c>
      <c r="O1533" s="51" t="s">
        <v>67</v>
      </c>
      <c r="P1533" s="51" t="s">
        <v>67</v>
      </c>
      <c r="Q1533" s="45">
        <v>46286.942610474536</v>
      </c>
      <c r="R1533" s="46">
        <v>46298</v>
      </c>
      <c r="S1533" s="46">
        <v>46293</v>
      </c>
      <c r="T1533" s="51" t="s">
        <v>6119</v>
      </c>
      <c r="U1533" s="15"/>
      <c r="V1533" s="15"/>
      <c r="W1533" s="15"/>
      <c r="X1533" s="15"/>
      <c r="Y1533" s="15"/>
      <c r="Z1533" s="15"/>
      <c r="AA1533" s="46"/>
      <c r="AB1533" s="15"/>
      <c r="AC1533" s="15"/>
      <c r="AD1533" s="15"/>
      <c r="AE1533" s="15"/>
      <c r="AF1533" s="15"/>
      <c r="AG1533" s="15"/>
      <c r="AH1533" s="15"/>
      <c r="AI1533" s="46"/>
      <c r="AJ1533" s="51" t="s">
        <v>67</v>
      </c>
      <c r="AK1533" s="51" t="s">
        <v>67</v>
      </c>
      <c r="AL1533" s="15"/>
      <c r="AM1533" s="51" t="s">
        <v>67</v>
      </c>
      <c r="AN1533" s="51" t="s">
        <v>67</v>
      </c>
      <c r="AO1533" s="50" t="s">
        <v>9554</v>
      </c>
    </row>
    <row r="1534" spans="1:41" hidden="1" x14ac:dyDescent="0.25">
      <c r="A1534" s="51" t="s">
        <v>7940</v>
      </c>
      <c r="B1534" s="51" t="s">
        <v>7941</v>
      </c>
      <c r="C1534" s="54" t="s">
        <v>5603</v>
      </c>
      <c r="D1534" s="51" t="s">
        <v>7942</v>
      </c>
      <c r="E1534" s="20">
        <v>10000</v>
      </c>
      <c r="F1534" s="20">
        <v>1557.75</v>
      </c>
      <c r="G1534" s="20">
        <v>15358.25</v>
      </c>
      <c r="H1534" s="20">
        <v>3491.75</v>
      </c>
      <c r="I1534" s="20">
        <v>2720.85</v>
      </c>
      <c r="J1534" s="51" t="s">
        <v>6726</v>
      </c>
      <c r="K1534" s="15">
        <v>0</v>
      </c>
      <c r="L1534" s="51" t="s">
        <v>2371</v>
      </c>
      <c r="M1534" s="51" t="s">
        <v>67</v>
      </c>
      <c r="N1534" s="51" t="s">
        <v>67</v>
      </c>
      <c r="O1534" s="51" t="s">
        <v>7943</v>
      </c>
      <c r="P1534" s="51" t="s">
        <v>1340</v>
      </c>
      <c r="Q1534" s="45">
        <v>46286.942617835652</v>
      </c>
      <c r="R1534" s="46">
        <v>46298</v>
      </c>
      <c r="S1534" s="46">
        <v>46293</v>
      </c>
      <c r="T1534" s="51" t="s">
        <v>6119</v>
      </c>
      <c r="U1534" s="15"/>
      <c r="V1534" s="15"/>
      <c r="W1534" s="15"/>
      <c r="X1534" s="15"/>
      <c r="Y1534" s="15"/>
      <c r="Z1534" s="15"/>
      <c r="AA1534" s="46"/>
      <c r="AB1534" s="15"/>
      <c r="AC1534" s="15"/>
      <c r="AD1534" s="15"/>
      <c r="AE1534" s="15"/>
      <c r="AF1534" s="15"/>
      <c r="AG1534" s="15"/>
      <c r="AH1534" s="15"/>
      <c r="AI1534" s="46"/>
      <c r="AJ1534" s="51" t="s">
        <v>67</v>
      </c>
      <c r="AK1534" s="51" t="s">
        <v>67</v>
      </c>
      <c r="AL1534" s="15"/>
      <c r="AM1534" s="51" t="s">
        <v>67</v>
      </c>
      <c r="AN1534" s="51" t="s">
        <v>67</v>
      </c>
      <c r="AO1534" s="50" t="s">
        <v>9554</v>
      </c>
    </row>
    <row r="1535" spans="1:41" hidden="1" x14ac:dyDescent="0.25">
      <c r="A1535" s="51" t="s">
        <v>7944</v>
      </c>
      <c r="B1535" s="51" t="s">
        <v>7945</v>
      </c>
      <c r="C1535" s="54" t="s">
        <v>611</v>
      </c>
      <c r="D1535" s="51" t="s">
        <v>7946</v>
      </c>
      <c r="E1535" s="20">
        <v>10000</v>
      </c>
      <c r="F1535" s="20">
        <v>4959.28</v>
      </c>
      <c r="G1535" s="20">
        <v>11450.23</v>
      </c>
      <c r="H1535" s="20">
        <v>4072.97</v>
      </c>
      <c r="I1535" s="20">
        <v>5414.29</v>
      </c>
      <c r="J1535" s="51" t="s">
        <v>6726</v>
      </c>
      <c r="K1535" s="15">
        <v>0</v>
      </c>
      <c r="L1535" s="51" t="s">
        <v>2371</v>
      </c>
      <c r="M1535" s="51" t="s">
        <v>7947</v>
      </c>
      <c r="N1535" s="51" t="s">
        <v>1340</v>
      </c>
      <c r="O1535" s="51" t="s">
        <v>67</v>
      </c>
      <c r="P1535" s="51" t="s">
        <v>67</v>
      </c>
      <c r="Q1535" s="45">
        <v>46286.94262454861</v>
      </c>
      <c r="R1535" s="46">
        <v>46320</v>
      </c>
      <c r="S1535" s="46">
        <v>46315</v>
      </c>
      <c r="T1535" s="51" t="s">
        <v>6119</v>
      </c>
      <c r="U1535" s="15"/>
      <c r="V1535" s="15"/>
      <c r="W1535" s="15"/>
      <c r="X1535" s="15"/>
      <c r="Y1535" s="15"/>
      <c r="Z1535" s="15"/>
      <c r="AA1535" s="46"/>
      <c r="AB1535" s="15"/>
      <c r="AC1535" s="15"/>
      <c r="AD1535" s="15"/>
      <c r="AE1535" s="15"/>
      <c r="AF1535" s="15"/>
      <c r="AG1535" s="15"/>
      <c r="AH1535" s="15"/>
      <c r="AI1535" s="46"/>
      <c r="AJ1535" s="51" t="s">
        <v>67</v>
      </c>
      <c r="AK1535" s="51" t="s">
        <v>67</v>
      </c>
      <c r="AL1535" s="15"/>
      <c r="AM1535" s="51" t="s">
        <v>67</v>
      </c>
      <c r="AN1535" s="51" t="s">
        <v>67</v>
      </c>
      <c r="AO1535" s="50" t="s">
        <v>9554</v>
      </c>
    </row>
    <row r="1536" spans="1:41" hidden="1" x14ac:dyDescent="0.25">
      <c r="A1536" s="51" t="s">
        <v>7948</v>
      </c>
      <c r="B1536" s="51" t="s">
        <v>7949</v>
      </c>
      <c r="C1536" s="54" t="s">
        <v>5599</v>
      </c>
      <c r="D1536" s="51" t="s">
        <v>7950</v>
      </c>
      <c r="E1536" s="20">
        <v>10000</v>
      </c>
      <c r="F1536" s="20">
        <v>0</v>
      </c>
      <c r="G1536" s="20">
        <v>20826.39</v>
      </c>
      <c r="H1536" s="20">
        <v>9192</v>
      </c>
      <c r="I1536" s="20">
        <v>3575.48</v>
      </c>
      <c r="J1536" s="51" t="s">
        <v>6726</v>
      </c>
      <c r="K1536" s="15">
        <v>0</v>
      </c>
      <c r="L1536" s="51" t="s">
        <v>2371</v>
      </c>
      <c r="M1536" s="51" t="s">
        <v>7951</v>
      </c>
      <c r="N1536" s="51" t="s">
        <v>1340</v>
      </c>
      <c r="O1536" s="51" t="s">
        <v>67</v>
      </c>
      <c r="P1536" s="51" t="s">
        <v>67</v>
      </c>
      <c r="Q1536" s="45">
        <v>46286.942631817132</v>
      </c>
      <c r="R1536" s="46">
        <v>46302</v>
      </c>
      <c r="S1536" s="46">
        <v>46297</v>
      </c>
      <c r="T1536" s="51" t="s">
        <v>6119</v>
      </c>
      <c r="U1536" s="15"/>
      <c r="V1536" s="15"/>
      <c r="W1536" s="15"/>
      <c r="X1536" s="15"/>
      <c r="Y1536" s="15"/>
      <c r="Z1536" s="15"/>
      <c r="AA1536" s="46"/>
      <c r="AB1536" s="15"/>
      <c r="AC1536" s="15"/>
      <c r="AD1536" s="15"/>
      <c r="AE1536" s="15"/>
      <c r="AF1536" s="15"/>
      <c r="AG1536" s="15"/>
      <c r="AH1536" s="15"/>
      <c r="AI1536" s="46"/>
      <c r="AJ1536" s="51" t="s">
        <v>67</v>
      </c>
      <c r="AK1536" s="51" t="s">
        <v>67</v>
      </c>
      <c r="AL1536" s="15"/>
      <c r="AM1536" s="51" t="s">
        <v>67</v>
      </c>
      <c r="AN1536" s="51" t="s">
        <v>67</v>
      </c>
      <c r="AO1536" s="50" t="s">
        <v>9554</v>
      </c>
    </row>
    <row r="1537" spans="1:41" hidden="1" x14ac:dyDescent="0.25">
      <c r="A1537" s="51" t="s">
        <v>7952</v>
      </c>
      <c r="B1537" s="51" t="s">
        <v>7953</v>
      </c>
      <c r="C1537" s="54" t="s">
        <v>2694</v>
      </c>
      <c r="D1537" s="51" t="s">
        <v>7954</v>
      </c>
      <c r="E1537" s="20">
        <v>10000</v>
      </c>
      <c r="F1537" s="20">
        <v>1706.23</v>
      </c>
      <c r="G1537" s="20">
        <v>19585.18</v>
      </c>
      <c r="H1537" s="20">
        <v>4395.63</v>
      </c>
      <c r="I1537" s="20">
        <v>3249.6</v>
      </c>
      <c r="J1537" s="51" t="s">
        <v>6726</v>
      </c>
      <c r="K1537" s="15">
        <v>0</v>
      </c>
      <c r="L1537" s="51" t="s">
        <v>2371</v>
      </c>
      <c r="M1537" s="51" t="s">
        <v>67</v>
      </c>
      <c r="N1537" s="51" t="s">
        <v>67</v>
      </c>
      <c r="O1537" s="51" t="s">
        <v>7955</v>
      </c>
      <c r="P1537" s="51" t="s">
        <v>1340</v>
      </c>
      <c r="Q1537" s="45">
        <v>46286.942638703702</v>
      </c>
      <c r="R1537" s="46">
        <v>46312</v>
      </c>
      <c r="S1537" s="46">
        <v>46307</v>
      </c>
      <c r="T1537" s="51" t="s">
        <v>6119</v>
      </c>
      <c r="U1537" s="15"/>
      <c r="V1537" s="15"/>
      <c r="W1537" s="15"/>
      <c r="X1537" s="15"/>
      <c r="Y1537" s="15"/>
      <c r="Z1537" s="15"/>
      <c r="AA1537" s="46"/>
      <c r="AB1537" s="15"/>
      <c r="AC1537" s="15"/>
      <c r="AD1537" s="15"/>
      <c r="AE1537" s="15"/>
      <c r="AF1537" s="15"/>
      <c r="AG1537" s="15"/>
      <c r="AH1537" s="15"/>
      <c r="AI1537" s="46"/>
      <c r="AJ1537" s="51" t="s">
        <v>67</v>
      </c>
      <c r="AK1537" s="51" t="s">
        <v>67</v>
      </c>
      <c r="AL1537" s="15"/>
      <c r="AM1537" s="51" t="s">
        <v>67</v>
      </c>
      <c r="AN1537" s="51" t="s">
        <v>67</v>
      </c>
      <c r="AO1537" s="50" t="s">
        <v>9554</v>
      </c>
    </row>
    <row r="1538" spans="1:41" hidden="1" x14ac:dyDescent="0.25">
      <c r="A1538" s="51" t="s">
        <v>7956</v>
      </c>
      <c r="B1538" s="51" t="s">
        <v>7957</v>
      </c>
      <c r="C1538" s="54" t="s">
        <v>5596</v>
      </c>
      <c r="D1538" s="51" t="s">
        <v>7958</v>
      </c>
      <c r="E1538" s="20">
        <v>10000</v>
      </c>
      <c r="F1538" s="20">
        <v>4020.7</v>
      </c>
      <c r="G1538" s="20">
        <v>15112.38</v>
      </c>
      <c r="H1538" s="20">
        <v>5841.41</v>
      </c>
      <c r="I1538" s="20">
        <v>5563.16</v>
      </c>
      <c r="J1538" s="51" t="s">
        <v>6726</v>
      </c>
      <c r="K1538" s="15">
        <v>0</v>
      </c>
      <c r="L1538" s="51" t="s">
        <v>2371</v>
      </c>
      <c r="M1538" s="51" t="s">
        <v>7959</v>
      </c>
      <c r="N1538" s="51" t="s">
        <v>1340</v>
      </c>
      <c r="O1538" s="51" t="s">
        <v>7960</v>
      </c>
      <c r="P1538" s="51" t="s">
        <v>1340</v>
      </c>
      <c r="Q1538" s="45">
        <v>46286.94264494213</v>
      </c>
      <c r="R1538" s="46">
        <v>46300</v>
      </c>
      <c r="S1538" s="46">
        <v>46295</v>
      </c>
      <c r="T1538" s="51" t="s">
        <v>6119</v>
      </c>
      <c r="U1538" s="15"/>
      <c r="V1538" s="15"/>
      <c r="W1538" s="15"/>
      <c r="X1538" s="15"/>
      <c r="Y1538" s="15"/>
      <c r="Z1538" s="15"/>
      <c r="AA1538" s="46"/>
      <c r="AB1538" s="15"/>
      <c r="AC1538" s="15"/>
      <c r="AD1538" s="15"/>
      <c r="AE1538" s="15"/>
      <c r="AF1538" s="15"/>
      <c r="AG1538" s="15"/>
      <c r="AH1538" s="15"/>
      <c r="AI1538" s="46"/>
      <c r="AJ1538" s="51" t="s">
        <v>67</v>
      </c>
      <c r="AK1538" s="51" t="s">
        <v>67</v>
      </c>
      <c r="AL1538" s="15"/>
      <c r="AM1538" s="51" t="s">
        <v>67</v>
      </c>
      <c r="AN1538" s="51" t="s">
        <v>67</v>
      </c>
      <c r="AO1538" s="50" t="s">
        <v>9554</v>
      </c>
    </row>
    <row r="1539" spans="1:41" hidden="1" x14ac:dyDescent="0.25">
      <c r="A1539" s="51" t="s">
        <v>7961</v>
      </c>
      <c r="B1539" s="51" t="s">
        <v>7962</v>
      </c>
      <c r="C1539" s="54" t="s">
        <v>2357</v>
      </c>
      <c r="D1539" s="51" t="s">
        <v>7963</v>
      </c>
      <c r="E1539" s="20">
        <v>10000</v>
      </c>
      <c r="F1539" s="20">
        <v>0</v>
      </c>
      <c r="G1539" s="20">
        <v>5249.66</v>
      </c>
      <c r="H1539" s="20">
        <v>9945.4599999999991</v>
      </c>
      <c r="I1539" s="20">
        <v>3825.61</v>
      </c>
      <c r="J1539" s="51" t="s">
        <v>6726</v>
      </c>
      <c r="K1539" s="15">
        <v>0</v>
      </c>
      <c r="L1539" s="51" t="s">
        <v>2371</v>
      </c>
      <c r="M1539" s="51" t="s">
        <v>67</v>
      </c>
      <c r="N1539" s="51" t="s">
        <v>67</v>
      </c>
      <c r="O1539" s="51" t="s">
        <v>7964</v>
      </c>
      <c r="P1539" s="51" t="s">
        <v>1340</v>
      </c>
      <c r="Q1539" s="45">
        <v>46286.942668333337</v>
      </c>
      <c r="R1539" s="46">
        <v>46308</v>
      </c>
      <c r="S1539" s="46">
        <v>46303</v>
      </c>
      <c r="T1539" s="51" t="s">
        <v>6119</v>
      </c>
      <c r="U1539" s="15"/>
      <c r="V1539" s="15"/>
      <c r="W1539" s="15"/>
      <c r="X1539" s="15"/>
      <c r="Y1539" s="15"/>
      <c r="Z1539" s="15"/>
      <c r="AA1539" s="46"/>
      <c r="AB1539" s="15"/>
      <c r="AC1539" s="15"/>
      <c r="AD1539" s="15"/>
      <c r="AE1539" s="15"/>
      <c r="AF1539" s="15"/>
      <c r="AG1539" s="15"/>
      <c r="AH1539" s="15"/>
      <c r="AI1539" s="46"/>
      <c r="AJ1539" s="51" t="s">
        <v>67</v>
      </c>
      <c r="AK1539" s="51" t="s">
        <v>67</v>
      </c>
      <c r="AL1539" s="15"/>
      <c r="AM1539" s="51" t="s">
        <v>67</v>
      </c>
      <c r="AN1539" s="51" t="s">
        <v>67</v>
      </c>
      <c r="AO1539" s="50" t="s">
        <v>9554</v>
      </c>
    </row>
    <row r="1540" spans="1:41" hidden="1" x14ac:dyDescent="0.25">
      <c r="A1540" s="51" t="s">
        <v>7965</v>
      </c>
      <c r="B1540" s="51" t="s">
        <v>7966</v>
      </c>
      <c r="C1540" s="54" t="s">
        <v>5608</v>
      </c>
      <c r="D1540" s="51" t="s">
        <v>7967</v>
      </c>
      <c r="E1540" s="20">
        <v>10000</v>
      </c>
      <c r="F1540" s="20">
        <v>5723.43</v>
      </c>
      <c r="G1540" s="20">
        <v>4941.7</v>
      </c>
      <c r="H1540" s="20">
        <v>4464.3500000000004</v>
      </c>
      <c r="I1540" s="20">
        <v>6097.72</v>
      </c>
      <c r="J1540" s="51" t="s">
        <v>6726</v>
      </c>
      <c r="K1540" s="15">
        <v>0</v>
      </c>
      <c r="L1540" s="51" t="s">
        <v>2371</v>
      </c>
      <c r="M1540" s="51" t="s">
        <v>7968</v>
      </c>
      <c r="N1540" s="51" t="s">
        <v>1340</v>
      </c>
      <c r="O1540" s="51" t="s">
        <v>7969</v>
      </c>
      <c r="P1540" s="51" t="s">
        <v>1340</v>
      </c>
      <c r="Q1540" s="45">
        <v>46286.942678055559</v>
      </c>
      <c r="R1540" s="46">
        <v>46319</v>
      </c>
      <c r="S1540" s="46">
        <v>46314</v>
      </c>
      <c r="T1540" s="51" t="s">
        <v>6119</v>
      </c>
      <c r="U1540" s="15"/>
      <c r="V1540" s="15"/>
      <c r="W1540" s="15"/>
      <c r="X1540" s="15"/>
      <c r="Y1540" s="15"/>
      <c r="Z1540" s="15"/>
      <c r="AA1540" s="46"/>
      <c r="AB1540" s="15"/>
      <c r="AC1540" s="15"/>
      <c r="AD1540" s="15"/>
      <c r="AE1540" s="15"/>
      <c r="AF1540" s="15"/>
      <c r="AG1540" s="15"/>
      <c r="AH1540" s="15"/>
      <c r="AI1540" s="46"/>
      <c r="AJ1540" s="51" t="s">
        <v>67</v>
      </c>
      <c r="AK1540" s="51" t="s">
        <v>67</v>
      </c>
      <c r="AL1540" s="15"/>
      <c r="AM1540" s="51" t="s">
        <v>67</v>
      </c>
      <c r="AN1540" s="51" t="s">
        <v>67</v>
      </c>
      <c r="AO1540" s="50" t="s">
        <v>9554</v>
      </c>
    </row>
    <row r="1541" spans="1:41" hidden="1" x14ac:dyDescent="0.25">
      <c r="A1541" s="51" t="s">
        <v>7970</v>
      </c>
      <c r="B1541" s="51" t="s">
        <v>7971</v>
      </c>
      <c r="C1541" s="54" t="s">
        <v>2356</v>
      </c>
      <c r="D1541" s="51" t="s">
        <v>1457</v>
      </c>
      <c r="E1541" s="20">
        <v>10000</v>
      </c>
      <c r="F1541" s="20">
        <v>2652.72</v>
      </c>
      <c r="G1541" s="20">
        <v>3415.55</v>
      </c>
      <c r="H1541" s="20">
        <v>3424.15</v>
      </c>
      <c r="I1541" s="20">
        <v>3410.75</v>
      </c>
      <c r="J1541" s="51" t="s">
        <v>6726</v>
      </c>
      <c r="K1541" s="15">
        <v>0</v>
      </c>
      <c r="L1541" s="51" t="s">
        <v>2371</v>
      </c>
      <c r="M1541" s="51" t="s">
        <v>7972</v>
      </c>
      <c r="N1541" s="51" t="s">
        <v>1340</v>
      </c>
      <c r="O1541" s="51" t="s">
        <v>67</v>
      </c>
      <c r="P1541" s="51" t="s">
        <v>67</v>
      </c>
      <c r="Q1541" s="45">
        <v>46286.942689351854</v>
      </c>
      <c r="R1541" s="46">
        <v>46307</v>
      </c>
      <c r="S1541" s="46">
        <v>46302</v>
      </c>
      <c r="T1541" s="51" t="s">
        <v>6119</v>
      </c>
      <c r="U1541" s="15"/>
      <c r="V1541" s="15"/>
      <c r="W1541" s="15"/>
      <c r="X1541" s="15"/>
      <c r="Y1541" s="15"/>
      <c r="Z1541" s="15"/>
      <c r="AA1541" s="46"/>
      <c r="AB1541" s="15"/>
      <c r="AC1541" s="15"/>
      <c r="AD1541" s="15"/>
      <c r="AE1541" s="15"/>
      <c r="AF1541" s="15"/>
      <c r="AG1541" s="15"/>
      <c r="AH1541" s="15"/>
      <c r="AI1541" s="46"/>
      <c r="AJ1541" s="51" t="s">
        <v>67</v>
      </c>
      <c r="AK1541" s="51" t="s">
        <v>67</v>
      </c>
      <c r="AL1541" s="15"/>
      <c r="AM1541" s="51" t="s">
        <v>67</v>
      </c>
      <c r="AN1541" s="51" t="s">
        <v>67</v>
      </c>
      <c r="AO1541" s="50" t="s">
        <v>9554</v>
      </c>
    </row>
    <row r="1542" spans="1:41" hidden="1" x14ac:dyDescent="0.25">
      <c r="A1542" s="51" t="s">
        <v>7973</v>
      </c>
      <c r="B1542" s="51" t="s">
        <v>7974</v>
      </c>
      <c r="C1542" s="54" t="s">
        <v>2690</v>
      </c>
      <c r="D1542" s="51" t="s">
        <v>7975</v>
      </c>
      <c r="E1542" s="20">
        <v>10000</v>
      </c>
      <c r="F1542" s="20">
        <v>5098.3</v>
      </c>
      <c r="G1542" s="20">
        <v>-1154.82</v>
      </c>
      <c r="H1542" s="20">
        <v>3487.65</v>
      </c>
      <c r="I1542" s="20">
        <v>5168.6899999999996</v>
      </c>
      <c r="J1542" s="51" t="s">
        <v>6726</v>
      </c>
      <c r="K1542" s="15">
        <v>0</v>
      </c>
      <c r="L1542" s="51" t="s">
        <v>2371</v>
      </c>
      <c r="M1542" s="51" t="s">
        <v>67</v>
      </c>
      <c r="N1542" s="51" t="s">
        <v>67</v>
      </c>
      <c r="O1542" s="51" t="s">
        <v>7976</v>
      </c>
      <c r="P1542" s="51" t="s">
        <v>1340</v>
      </c>
      <c r="Q1542" s="45">
        <v>46286.94270133102</v>
      </c>
      <c r="R1542" s="46">
        <v>46322</v>
      </c>
      <c r="S1542" s="46">
        <v>46317</v>
      </c>
      <c r="T1542" s="51" t="s">
        <v>6119</v>
      </c>
      <c r="U1542" s="15"/>
      <c r="V1542" s="15"/>
      <c r="W1542" s="15"/>
      <c r="X1542" s="15"/>
      <c r="Y1542" s="15"/>
      <c r="Z1542" s="15"/>
      <c r="AA1542" s="46"/>
      <c r="AB1542" s="15"/>
      <c r="AC1542" s="15"/>
      <c r="AD1542" s="15"/>
      <c r="AE1542" s="15"/>
      <c r="AF1542" s="15"/>
      <c r="AG1542" s="15"/>
      <c r="AH1542" s="15"/>
      <c r="AI1542" s="46"/>
      <c r="AJ1542" s="51" t="s">
        <v>67</v>
      </c>
      <c r="AK1542" s="51" t="s">
        <v>67</v>
      </c>
      <c r="AL1542" s="15"/>
      <c r="AM1542" s="51" t="s">
        <v>67</v>
      </c>
      <c r="AN1542" s="51" t="s">
        <v>67</v>
      </c>
      <c r="AO1542" s="50" t="s">
        <v>9554</v>
      </c>
    </row>
    <row r="1543" spans="1:41" hidden="1" x14ac:dyDescent="0.25">
      <c r="A1543" s="51" t="s">
        <v>7977</v>
      </c>
      <c r="B1543" s="51" t="s">
        <v>7978</v>
      </c>
      <c r="C1543" s="54" t="s">
        <v>2541</v>
      </c>
      <c r="D1543" s="51" t="s">
        <v>7979</v>
      </c>
      <c r="E1543" s="20">
        <v>10000</v>
      </c>
      <c r="F1543" s="20">
        <v>3880.73</v>
      </c>
      <c r="G1543" s="20">
        <v>9915.73</v>
      </c>
      <c r="H1543" s="20">
        <v>3364.89</v>
      </c>
      <c r="I1543" s="20">
        <v>4247.6899999999996</v>
      </c>
      <c r="J1543" s="51" t="s">
        <v>6726</v>
      </c>
      <c r="K1543" s="15">
        <v>0</v>
      </c>
      <c r="L1543" s="51" t="s">
        <v>2371</v>
      </c>
      <c r="M1543" s="51" t="s">
        <v>7980</v>
      </c>
      <c r="N1543" s="51" t="s">
        <v>1340</v>
      </c>
      <c r="O1543" s="51" t="s">
        <v>67</v>
      </c>
      <c r="P1543" s="51" t="s">
        <v>67</v>
      </c>
      <c r="Q1543" s="45">
        <v>46286.942708935188</v>
      </c>
      <c r="R1543" s="46">
        <v>46311</v>
      </c>
      <c r="S1543" s="46">
        <v>46306</v>
      </c>
      <c r="T1543" s="51" t="s">
        <v>6119</v>
      </c>
      <c r="U1543" s="15"/>
      <c r="V1543" s="15"/>
      <c r="W1543" s="15"/>
      <c r="X1543" s="15"/>
      <c r="Y1543" s="15"/>
      <c r="Z1543" s="15"/>
      <c r="AA1543" s="46"/>
      <c r="AB1543" s="15"/>
      <c r="AC1543" s="15"/>
      <c r="AD1543" s="15"/>
      <c r="AE1543" s="15"/>
      <c r="AF1543" s="15"/>
      <c r="AG1543" s="15"/>
      <c r="AH1543" s="15"/>
      <c r="AI1543" s="46"/>
      <c r="AJ1543" s="51" t="s">
        <v>67</v>
      </c>
      <c r="AK1543" s="51" t="s">
        <v>67</v>
      </c>
      <c r="AL1543" s="15"/>
      <c r="AM1543" s="51" t="s">
        <v>67</v>
      </c>
      <c r="AN1543" s="51" t="s">
        <v>67</v>
      </c>
      <c r="AO1543" s="50" t="s">
        <v>9554</v>
      </c>
    </row>
    <row r="1544" spans="1:41" hidden="1" x14ac:dyDescent="0.25">
      <c r="A1544" s="51" t="s">
        <v>7981</v>
      </c>
      <c r="B1544" s="51" t="s">
        <v>7982</v>
      </c>
      <c r="C1544" s="54" t="s">
        <v>5599</v>
      </c>
      <c r="D1544" s="51" t="s">
        <v>7983</v>
      </c>
      <c r="E1544" s="20">
        <v>10000</v>
      </c>
      <c r="F1544" s="20">
        <v>856.12</v>
      </c>
      <c r="G1544" s="20">
        <v>8565.15</v>
      </c>
      <c r="H1544" s="20">
        <v>4442.26</v>
      </c>
      <c r="I1544" s="20">
        <v>2655.48</v>
      </c>
      <c r="J1544" s="51" t="s">
        <v>6726</v>
      </c>
      <c r="K1544" s="15">
        <v>0</v>
      </c>
      <c r="L1544" s="51" t="s">
        <v>2371</v>
      </c>
      <c r="M1544" s="51" t="s">
        <v>7984</v>
      </c>
      <c r="N1544" s="51" t="s">
        <v>1340</v>
      </c>
      <c r="O1544" s="51" t="s">
        <v>7985</v>
      </c>
      <c r="P1544" s="51" t="s">
        <v>1340</v>
      </c>
      <c r="Q1544" s="45">
        <v>46286.942720520834</v>
      </c>
      <c r="R1544" s="46">
        <v>46302</v>
      </c>
      <c r="S1544" s="46">
        <v>46297</v>
      </c>
      <c r="T1544" s="51" t="s">
        <v>6119</v>
      </c>
      <c r="U1544" s="15"/>
      <c r="V1544" s="15"/>
      <c r="W1544" s="15"/>
      <c r="X1544" s="15"/>
      <c r="Y1544" s="15"/>
      <c r="Z1544" s="15"/>
      <c r="AA1544" s="46"/>
      <c r="AB1544" s="15"/>
      <c r="AC1544" s="15"/>
      <c r="AD1544" s="15"/>
      <c r="AE1544" s="15"/>
      <c r="AF1544" s="15"/>
      <c r="AG1544" s="15"/>
      <c r="AH1544" s="15"/>
      <c r="AI1544" s="46"/>
      <c r="AJ1544" s="51" t="s">
        <v>67</v>
      </c>
      <c r="AK1544" s="51" t="s">
        <v>67</v>
      </c>
      <c r="AL1544" s="15"/>
      <c r="AM1544" s="51" t="s">
        <v>67</v>
      </c>
      <c r="AN1544" s="51" t="s">
        <v>67</v>
      </c>
      <c r="AO1544" s="50" t="s">
        <v>9554</v>
      </c>
    </row>
    <row r="1545" spans="1:41" hidden="1" x14ac:dyDescent="0.25">
      <c r="A1545" s="51" t="s">
        <v>7986</v>
      </c>
      <c r="B1545" s="51" t="s">
        <v>7987</v>
      </c>
      <c r="C1545" s="54" t="s">
        <v>5599</v>
      </c>
      <c r="D1545" s="51" t="s">
        <v>7988</v>
      </c>
      <c r="E1545" s="20">
        <v>10000</v>
      </c>
      <c r="F1545" s="20">
        <v>6065.3</v>
      </c>
      <c r="G1545" s="20">
        <v>12736.58</v>
      </c>
      <c r="H1545" s="20">
        <v>4788.62</v>
      </c>
      <c r="I1545" s="20">
        <v>6449.54</v>
      </c>
      <c r="J1545" s="51" t="s">
        <v>6726</v>
      </c>
      <c r="K1545" s="15">
        <v>0</v>
      </c>
      <c r="L1545" s="51" t="s">
        <v>2371</v>
      </c>
      <c r="M1545" s="51" t="s">
        <v>7989</v>
      </c>
      <c r="N1545" s="51" t="s">
        <v>1340</v>
      </c>
      <c r="O1545" s="51" t="s">
        <v>67</v>
      </c>
      <c r="P1545" s="51" t="s">
        <v>67</v>
      </c>
      <c r="Q1545" s="45">
        <v>46286.942730567127</v>
      </c>
      <c r="R1545" s="46">
        <v>46302</v>
      </c>
      <c r="S1545" s="46">
        <v>46297</v>
      </c>
      <c r="T1545" s="51" t="s">
        <v>6119</v>
      </c>
      <c r="U1545" s="15"/>
      <c r="V1545" s="15"/>
      <c r="W1545" s="15"/>
      <c r="X1545" s="15"/>
      <c r="Y1545" s="15"/>
      <c r="Z1545" s="15"/>
      <c r="AA1545" s="46"/>
      <c r="AB1545" s="15"/>
      <c r="AC1545" s="15"/>
      <c r="AD1545" s="15"/>
      <c r="AE1545" s="15"/>
      <c r="AF1545" s="15"/>
      <c r="AG1545" s="15"/>
      <c r="AH1545" s="15"/>
      <c r="AI1545" s="46"/>
      <c r="AJ1545" s="51" t="s">
        <v>67</v>
      </c>
      <c r="AK1545" s="51" t="s">
        <v>67</v>
      </c>
      <c r="AL1545" s="15"/>
      <c r="AM1545" s="51" t="s">
        <v>67</v>
      </c>
      <c r="AN1545" s="51" t="s">
        <v>67</v>
      </c>
      <c r="AO1545" s="50" t="s">
        <v>9554</v>
      </c>
    </row>
    <row r="1546" spans="1:41" hidden="1" x14ac:dyDescent="0.25">
      <c r="A1546" s="51" t="s">
        <v>7990</v>
      </c>
      <c r="B1546" s="51" t="s">
        <v>7991</v>
      </c>
      <c r="C1546" s="54" t="s">
        <v>2541</v>
      </c>
      <c r="D1546" s="51" t="s">
        <v>7992</v>
      </c>
      <c r="E1546" s="20">
        <v>10000</v>
      </c>
      <c r="F1546" s="20">
        <v>4703.4399999999996</v>
      </c>
      <c r="G1546" s="20">
        <v>1806.39</v>
      </c>
      <c r="H1546" s="20">
        <v>4209.28</v>
      </c>
      <c r="I1546" s="20">
        <v>5203.4799999999996</v>
      </c>
      <c r="J1546" s="51" t="s">
        <v>6726</v>
      </c>
      <c r="K1546" s="15">
        <v>0</v>
      </c>
      <c r="L1546" s="51" t="s">
        <v>2371</v>
      </c>
      <c r="M1546" s="51" t="s">
        <v>67</v>
      </c>
      <c r="N1546" s="51" t="s">
        <v>67</v>
      </c>
      <c r="O1546" s="51" t="s">
        <v>7993</v>
      </c>
      <c r="P1546" s="51" t="s">
        <v>1344</v>
      </c>
      <c r="Q1546" s="45">
        <v>46286.942741550927</v>
      </c>
      <c r="R1546" s="46">
        <v>46311</v>
      </c>
      <c r="S1546" s="46">
        <v>46306</v>
      </c>
      <c r="T1546" s="51" t="s">
        <v>6119</v>
      </c>
      <c r="U1546" s="15"/>
      <c r="V1546" s="15"/>
      <c r="W1546" s="15"/>
      <c r="X1546" s="15"/>
      <c r="Y1546" s="15"/>
      <c r="Z1546" s="15"/>
      <c r="AA1546" s="46"/>
      <c r="AB1546" s="15"/>
      <c r="AC1546" s="15"/>
      <c r="AD1546" s="15"/>
      <c r="AE1546" s="15"/>
      <c r="AF1546" s="15"/>
      <c r="AG1546" s="15"/>
      <c r="AH1546" s="15"/>
      <c r="AI1546" s="46"/>
      <c r="AJ1546" s="51" t="s">
        <v>67</v>
      </c>
      <c r="AK1546" s="51" t="s">
        <v>67</v>
      </c>
      <c r="AL1546" s="15"/>
      <c r="AM1546" s="51" t="s">
        <v>67</v>
      </c>
      <c r="AN1546" s="51" t="s">
        <v>67</v>
      </c>
      <c r="AO1546" s="50" t="s">
        <v>9554</v>
      </c>
    </row>
    <row r="1547" spans="1:41" hidden="1" x14ac:dyDescent="0.25">
      <c r="A1547" s="51" t="s">
        <v>7994</v>
      </c>
      <c r="B1547" s="51" t="s">
        <v>7995</v>
      </c>
      <c r="C1547" s="54" t="s">
        <v>5599</v>
      </c>
      <c r="D1547" s="51" t="s">
        <v>7996</v>
      </c>
      <c r="E1547" s="20">
        <v>10000</v>
      </c>
      <c r="F1547" s="20">
        <v>5185.1499999999996</v>
      </c>
      <c r="G1547" s="20">
        <v>13203.42</v>
      </c>
      <c r="H1547" s="20">
        <v>4695.09</v>
      </c>
      <c r="I1547" s="20">
        <v>5824.89</v>
      </c>
      <c r="J1547" s="51" t="s">
        <v>6726</v>
      </c>
      <c r="K1547" s="15">
        <v>0</v>
      </c>
      <c r="L1547" s="51" t="s">
        <v>2371</v>
      </c>
      <c r="M1547" s="51" t="s">
        <v>67</v>
      </c>
      <c r="N1547" s="51" t="s">
        <v>67</v>
      </c>
      <c r="O1547" s="51" t="s">
        <v>7997</v>
      </c>
      <c r="P1547" s="51" t="s">
        <v>1340</v>
      </c>
      <c r="Q1547" s="45">
        <v>46286.942752569441</v>
      </c>
      <c r="R1547" s="46">
        <v>46302</v>
      </c>
      <c r="S1547" s="46">
        <v>46297</v>
      </c>
      <c r="T1547" s="51" t="s">
        <v>6119</v>
      </c>
      <c r="U1547" s="15"/>
      <c r="V1547" s="15"/>
      <c r="W1547" s="15"/>
      <c r="X1547" s="15"/>
      <c r="Y1547" s="15"/>
      <c r="Z1547" s="15"/>
      <c r="AA1547" s="46"/>
      <c r="AB1547" s="15"/>
      <c r="AC1547" s="15"/>
      <c r="AD1547" s="15"/>
      <c r="AE1547" s="15"/>
      <c r="AF1547" s="15"/>
      <c r="AG1547" s="15"/>
      <c r="AH1547" s="15"/>
      <c r="AI1547" s="46"/>
      <c r="AJ1547" s="51" t="s">
        <v>67</v>
      </c>
      <c r="AK1547" s="51" t="s">
        <v>67</v>
      </c>
      <c r="AL1547" s="15"/>
      <c r="AM1547" s="51" t="s">
        <v>67</v>
      </c>
      <c r="AN1547" s="51" t="s">
        <v>67</v>
      </c>
      <c r="AO1547" s="50" t="s">
        <v>9554</v>
      </c>
    </row>
    <row r="1548" spans="1:41" hidden="1" x14ac:dyDescent="0.25">
      <c r="A1548" s="51" t="s">
        <v>7998</v>
      </c>
      <c r="B1548" s="51" t="s">
        <v>7999</v>
      </c>
      <c r="C1548" s="54" t="s">
        <v>611</v>
      </c>
      <c r="D1548" s="51" t="s">
        <v>8000</v>
      </c>
      <c r="E1548" s="20">
        <v>9496.6</v>
      </c>
      <c r="F1548" s="20">
        <v>4175.3599999999997</v>
      </c>
      <c r="G1548" s="20">
        <v>-420.33</v>
      </c>
      <c r="H1548" s="20">
        <v>3308.25</v>
      </c>
      <c r="I1548" s="20">
        <v>4280.16</v>
      </c>
      <c r="J1548" s="51" t="s">
        <v>6726</v>
      </c>
      <c r="K1548" s="15">
        <v>0</v>
      </c>
      <c r="L1548" s="51" t="s">
        <v>2371</v>
      </c>
      <c r="M1548" s="51" t="s">
        <v>8001</v>
      </c>
      <c r="N1548" s="51" t="s">
        <v>1344</v>
      </c>
      <c r="O1548" s="51" t="s">
        <v>67</v>
      </c>
      <c r="P1548" s="51" t="s">
        <v>67</v>
      </c>
      <c r="Q1548" s="45">
        <v>46286.942762615741</v>
      </c>
      <c r="R1548" s="46">
        <v>46320</v>
      </c>
      <c r="S1548" s="46">
        <v>46315</v>
      </c>
      <c r="T1548" s="51" t="s">
        <v>6119</v>
      </c>
      <c r="U1548" s="15"/>
      <c r="V1548" s="15"/>
      <c r="W1548" s="15"/>
      <c r="X1548" s="15"/>
      <c r="Y1548" s="15"/>
      <c r="Z1548" s="15"/>
      <c r="AA1548" s="46"/>
      <c r="AB1548" s="15"/>
      <c r="AC1548" s="15"/>
      <c r="AD1548" s="15"/>
      <c r="AE1548" s="15"/>
      <c r="AF1548" s="15"/>
      <c r="AG1548" s="15"/>
      <c r="AH1548" s="15"/>
      <c r="AI1548" s="46"/>
      <c r="AJ1548" s="51" t="s">
        <v>67</v>
      </c>
      <c r="AK1548" s="51" t="s">
        <v>67</v>
      </c>
      <c r="AL1548" s="15"/>
      <c r="AM1548" s="51" t="s">
        <v>67</v>
      </c>
      <c r="AN1548" s="51" t="s">
        <v>67</v>
      </c>
      <c r="AO1548" s="50" t="s">
        <v>9555</v>
      </c>
    </row>
    <row r="1549" spans="1:41" hidden="1" x14ac:dyDescent="0.25">
      <c r="A1549" s="51" t="s">
        <v>8002</v>
      </c>
      <c r="B1549" s="51" t="s">
        <v>8003</v>
      </c>
      <c r="C1549" s="54" t="s">
        <v>5600</v>
      </c>
      <c r="D1549" s="51" t="s">
        <v>8004</v>
      </c>
      <c r="E1549" s="20">
        <v>10000</v>
      </c>
      <c r="F1549" s="20">
        <v>3128.69</v>
      </c>
      <c r="G1549" s="20">
        <v>11285.68</v>
      </c>
      <c r="H1549" s="20">
        <v>3647.2</v>
      </c>
      <c r="I1549" s="20">
        <v>3811.19</v>
      </c>
      <c r="J1549" s="51" t="s">
        <v>6726</v>
      </c>
      <c r="K1549" s="15">
        <v>0</v>
      </c>
      <c r="L1549" s="51" t="s">
        <v>2371</v>
      </c>
      <c r="M1549" s="51" t="s">
        <v>8005</v>
      </c>
      <c r="N1549" s="51" t="s">
        <v>1344</v>
      </c>
      <c r="O1549" s="51" t="s">
        <v>8006</v>
      </c>
      <c r="P1549" s="51" t="s">
        <v>1344</v>
      </c>
      <c r="Q1549" s="45">
        <v>46286.942773252318</v>
      </c>
      <c r="R1549" s="46">
        <v>46304</v>
      </c>
      <c r="S1549" s="46">
        <v>46299</v>
      </c>
      <c r="T1549" s="51" t="s">
        <v>6119</v>
      </c>
      <c r="U1549" s="15"/>
      <c r="V1549" s="15"/>
      <c r="W1549" s="15"/>
      <c r="X1549" s="15"/>
      <c r="Y1549" s="15"/>
      <c r="Z1549" s="15"/>
      <c r="AA1549" s="46"/>
      <c r="AB1549" s="15"/>
      <c r="AC1549" s="15"/>
      <c r="AD1549" s="15"/>
      <c r="AE1549" s="15"/>
      <c r="AF1549" s="15"/>
      <c r="AG1549" s="15"/>
      <c r="AH1549" s="15"/>
      <c r="AI1549" s="46"/>
      <c r="AJ1549" s="51" t="s">
        <v>67</v>
      </c>
      <c r="AK1549" s="51" t="s">
        <v>67</v>
      </c>
      <c r="AL1549" s="15"/>
      <c r="AM1549" s="51" t="s">
        <v>67</v>
      </c>
      <c r="AN1549" s="51" t="s">
        <v>67</v>
      </c>
      <c r="AO1549" s="50" t="s">
        <v>9554</v>
      </c>
    </row>
    <row r="1550" spans="1:41" hidden="1" x14ac:dyDescent="0.25">
      <c r="A1550" s="51" t="s">
        <v>8007</v>
      </c>
      <c r="B1550" s="51" t="s">
        <v>8008</v>
      </c>
      <c r="C1550" s="54" t="s">
        <v>607</v>
      </c>
      <c r="D1550" s="51" t="s">
        <v>8009</v>
      </c>
      <c r="E1550" s="20">
        <v>10000</v>
      </c>
      <c r="F1550" s="20">
        <v>3591.97</v>
      </c>
      <c r="G1550" s="20">
        <v>200.92</v>
      </c>
      <c r="H1550" s="20">
        <v>3616.82</v>
      </c>
      <c r="I1550" s="20">
        <v>4204.07</v>
      </c>
      <c r="J1550" s="51" t="s">
        <v>6726</v>
      </c>
      <c r="K1550" s="15">
        <v>0</v>
      </c>
      <c r="L1550" s="51" t="s">
        <v>2371</v>
      </c>
      <c r="M1550" s="51" t="s">
        <v>67</v>
      </c>
      <c r="N1550" s="51" t="s">
        <v>67</v>
      </c>
      <c r="O1550" s="51" t="s">
        <v>8010</v>
      </c>
      <c r="P1550" s="51" t="s">
        <v>1344</v>
      </c>
      <c r="Q1550" s="45">
        <v>46286.942783819446</v>
      </c>
      <c r="R1550" s="46">
        <v>46310</v>
      </c>
      <c r="S1550" s="46">
        <v>46305</v>
      </c>
      <c r="T1550" s="51" t="s">
        <v>6119</v>
      </c>
      <c r="U1550" s="15"/>
      <c r="V1550" s="15"/>
      <c r="W1550" s="15"/>
      <c r="X1550" s="15"/>
      <c r="Y1550" s="15"/>
      <c r="Z1550" s="15"/>
      <c r="AA1550" s="46"/>
      <c r="AB1550" s="15"/>
      <c r="AC1550" s="15"/>
      <c r="AD1550" s="15"/>
      <c r="AE1550" s="15"/>
      <c r="AF1550" s="15"/>
      <c r="AG1550" s="15"/>
      <c r="AH1550" s="15"/>
      <c r="AI1550" s="46"/>
      <c r="AJ1550" s="51" t="s">
        <v>67</v>
      </c>
      <c r="AK1550" s="51" t="s">
        <v>67</v>
      </c>
      <c r="AL1550" s="15"/>
      <c r="AM1550" s="51" t="s">
        <v>67</v>
      </c>
      <c r="AN1550" s="51" t="s">
        <v>67</v>
      </c>
      <c r="AO1550" s="50" t="s">
        <v>9554</v>
      </c>
    </row>
    <row r="1551" spans="1:41" hidden="1" x14ac:dyDescent="0.25">
      <c r="A1551" s="51" t="s">
        <v>8011</v>
      </c>
      <c r="B1551" s="51" t="s">
        <v>8012</v>
      </c>
      <c r="C1551" s="54" t="s">
        <v>2357</v>
      </c>
      <c r="D1551" s="51" t="s">
        <v>8013</v>
      </c>
      <c r="E1551" s="20">
        <v>10000</v>
      </c>
      <c r="F1551" s="20">
        <v>0</v>
      </c>
      <c r="G1551" s="20">
        <v>16058.54</v>
      </c>
      <c r="H1551" s="20">
        <v>7097.03</v>
      </c>
      <c r="I1551" s="20">
        <v>3131.15</v>
      </c>
      <c r="J1551" s="51" t="s">
        <v>6726</v>
      </c>
      <c r="K1551" s="15">
        <v>0</v>
      </c>
      <c r="L1551" s="51" t="s">
        <v>2371</v>
      </c>
      <c r="M1551" s="51" t="s">
        <v>8014</v>
      </c>
      <c r="N1551" s="51" t="s">
        <v>1340</v>
      </c>
      <c r="O1551" s="51" t="s">
        <v>8015</v>
      </c>
      <c r="P1551" s="51" t="s">
        <v>1340</v>
      </c>
      <c r="Q1551" s="45">
        <v>46286.942793842594</v>
      </c>
      <c r="R1551" s="46">
        <v>46308</v>
      </c>
      <c r="S1551" s="46">
        <v>46303</v>
      </c>
      <c r="T1551" s="51" t="s">
        <v>6119</v>
      </c>
      <c r="U1551" s="15"/>
      <c r="V1551" s="15"/>
      <c r="W1551" s="15"/>
      <c r="X1551" s="15"/>
      <c r="Y1551" s="15"/>
      <c r="Z1551" s="15"/>
      <c r="AA1551" s="46"/>
      <c r="AB1551" s="15"/>
      <c r="AC1551" s="15"/>
      <c r="AD1551" s="15"/>
      <c r="AE1551" s="15"/>
      <c r="AF1551" s="15"/>
      <c r="AG1551" s="15"/>
      <c r="AH1551" s="15"/>
      <c r="AI1551" s="46"/>
      <c r="AJ1551" s="51" t="s">
        <v>67</v>
      </c>
      <c r="AK1551" s="51" t="s">
        <v>67</v>
      </c>
      <c r="AL1551" s="15"/>
      <c r="AM1551" s="51" t="s">
        <v>67</v>
      </c>
      <c r="AN1551" s="51" t="s">
        <v>67</v>
      </c>
      <c r="AO1551" s="50" t="s">
        <v>9554</v>
      </c>
    </row>
    <row r="1552" spans="1:41" hidden="1" x14ac:dyDescent="0.25">
      <c r="A1552" s="51" t="s">
        <v>8016</v>
      </c>
      <c r="B1552" s="51" t="s">
        <v>8017</v>
      </c>
      <c r="C1552" s="54" t="s">
        <v>5596</v>
      </c>
      <c r="D1552" s="51" t="s">
        <v>8018</v>
      </c>
      <c r="E1552" s="20">
        <v>10000</v>
      </c>
      <c r="F1552" s="20">
        <v>850.63</v>
      </c>
      <c r="G1552" s="20">
        <v>12407.32</v>
      </c>
      <c r="H1552" s="20">
        <v>4091.03</v>
      </c>
      <c r="I1552" s="20">
        <v>3121.27</v>
      </c>
      <c r="J1552" s="51" t="s">
        <v>6726</v>
      </c>
      <c r="K1552" s="15">
        <v>0</v>
      </c>
      <c r="L1552" s="51" t="s">
        <v>2371</v>
      </c>
      <c r="M1552" s="51" t="s">
        <v>67</v>
      </c>
      <c r="N1552" s="51" t="s">
        <v>67</v>
      </c>
      <c r="O1552" s="51" t="s">
        <v>8019</v>
      </c>
      <c r="P1552" s="51" t="s">
        <v>1340</v>
      </c>
      <c r="Q1552" s="45">
        <v>46286.943226921299</v>
      </c>
      <c r="R1552" s="46">
        <v>46300</v>
      </c>
      <c r="S1552" s="46">
        <v>46295</v>
      </c>
      <c r="T1552" s="51" t="s">
        <v>6119</v>
      </c>
      <c r="U1552" s="15"/>
      <c r="V1552" s="15"/>
      <c r="W1552" s="15"/>
      <c r="X1552" s="15"/>
      <c r="Y1552" s="15"/>
      <c r="Z1552" s="15"/>
      <c r="AA1552" s="46"/>
      <c r="AB1552" s="15"/>
      <c r="AC1552" s="15"/>
      <c r="AD1552" s="15"/>
      <c r="AE1552" s="15"/>
      <c r="AF1552" s="15"/>
      <c r="AG1552" s="15"/>
      <c r="AH1552" s="15"/>
      <c r="AI1552" s="46"/>
      <c r="AJ1552" s="51" t="s">
        <v>67</v>
      </c>
      <c r="AK1552" s="51" t="s">
        <v>67</v>
      </c>
      <c r="AL1552" s="15"/>
      <c r="AM1552" s="51" t="s">
        <v>67</v>
      </c>
      <c r="AN1552" s="51" t="s">
        <v>67</v>
      </c>
      <c r="AO1552" s="50" t="s">
        <v>9554</v>
      </c>
    </row>
    <row r="1553" spans="1:41" hidden="1" x14ac:dyDescent="0.25">
      <c r="A1553" s="51" t="s">
        <v>8020</v>
      </c>
      <c r="B1553" s="51" t="s">
        <v>8021</v>
      </c>
      <c r="C1553" s="54" t="s">
        <v>605</v>
      </c>
      <c r="D1553" s="51" t="s">
        <v>8022</v>
      </c>
      <c r="E1553" s="20">
        <v>10000</v>
      </c>
      <c r="F1553" s="20">
        <v>0</v>
      </c>
      <c r="G1553" s="20">
        <v>14770.44</v>
      </c>
      <c r="H1553" s="20">
        <v>5566.91</v>
      </c>
      <c r="I1553" s="20">
        <v>1625.4</v>
      </c>
      <c r="J1553" s="51" t="s">
        <v>6726</v>
      </c>
      <c r="K1553" s="15">
        <v>0</v>
      </c>
      <c r="L1553" s="51" t="s">
        <v>2371</v>
      </c>
      <c r="M1553" s="51" t="s">
        <v>8023</v>
      </c>
      <c r="N1553" s="51" t="s">
        <v>1344</v>
      </c>
      <c r="O1553" s="51" t="s">
        <v>67</v>
      </c>
      <c r="P1553" s="51" t="s">
        <v>67</v>
      </c>
      <c r="Q1553" s="45">
        <v>46286.943232557867</v>
      </c>
      <c r="R1553" s="46">
        <v>46305</v>
      </c>
      <c r="S1553" s="46">
        <v>46300</v>
      </c>
      <c r="T1553" s="51" t="s">
        <v>6119</v>
      </c>
      <c r="U1553" s="15"/>
      <c r="V1553" s="15"/>
      <c r="W1553" s="15"/>
      <c r="X1553" s="15"/>
      <c r="Y1553" s="15"/>
      <c r="Z1553" s="15"/>
      <c r="AA1553" s="46"/>
      <c r="AB1553" s="15"/>
      <c r="AC1553" s="15"/>
      <c r="AD1553" s="15"/>
      <c r="AE1553" s="15"/>
      <c r="AF1553" s="15"/>
      <c r="AG1553" s="15"/>
      <c r="AH1553" s="15"/>
      <c r="AI1553" s="46"/>
      <c r="AJ1553" s="51" t="s">
        <v>67</v>
      </c>
      <c r="AK1553" s="51" t="s">
        <v>67</v>
      </c>
      <c r="AL1553" s="15"/>
      <c r="AM1553" s="51" t="s">
        <v>67</v>
      </c>
      <c r="AN1553" s="51" t="s">
        <v>67</v>
      </c>
      <c r="AO1553" s="50" t="s">
        <v>9554</v>
      </c>
    </row>
    <row r="1554" spans="1:41" hidden="1" x14ac:dyDescent="0.25">
      <c r="A1554" s="51" t="s">
        <v>8024</v>
      </c>
      <c r="B1554" s="51" t="s">
        <v>8025</v>
      </c>
      <c r="C1554" s="54" t="s">
        <v>607</v>
      </c>
      <c r="D1554" s="51" t="s">
        <v>8026</v>
      </c>
      <c r="E1554" s="20">
        <v>10000</v>
      </c>
      <c r="F1554" s="20">
        <v>845.28</v>
      </c>
      <c r="G1554" s="20">
        <v>7868.19</v>
      </c>
      <c r="H1554" s="20">
        <v>4220.76</v>
      </c>
      <c r="I1554" s="20">
        <v>1892.39</v>
      </c>
      <c r="J1554" s="51" t="s">
        <v>6726</v>
      </c>
      <c r="K1554" s="15">
        <v>0</v>
      </c>
      <c r="L1554" s="51" t="s">
        <v>2371</v>
      </c>
      <c r="M1554" s="51" t="s">
        <v>8027</v>
      </c>
      <c r="N1554" s="51" t="s">
        <v>1340</v>
      </c>
      <c r="O1554" s="51" t="s">
        <v>67</v>
      </c>
      <c r="P1554" s="51" t="s">
        <v>67</v>
      </c>
      <c r="Q1554" s="45">
        <v>46286.943238680557</v>
      </c>
      <c r="R1554" s="46">
        <v>46310</v>
      </c>
      <c r="S1554" s="46">
        <v>46305</v>
      </c>
      <c r="T1554" s="51" t="s">
        <v>6119</v>
      </c>
      <c r="U1554" s="15"/>
      <c r="V1554" s="15"/>
      <c r="W1554" s="15"/>
      <c r="X1554" s="15"/>
      <c r="Y1554" s="15"/>
      <c r="Z1554" s="15"/>
      <c r="AA1554" s="46"/>
      <c r="AB1554" s="15"/>
      <c r="AC1554" s="15"/>
      <c r="AD1554" s="15"/>
      <c r="AE1554" s="15"/>
      <c r="AF1554" s="15"/>
      <c r="AG1554" s="15"/>
      <c r="AH1554" s="15"/>
      <c r="AI1554" s="46"/>
      <c r="AJ1554" s="51" t="s">
        <v>67</v>
      </c>
      <c r="AK1554" s="51" t="s">
        <v>67</v>
      </c>
      <c r="AL1554" s="15"/>
      <c r="AM1554" s="51" t="s">
        <v>67</v>
      </c>
      <c r="AN1554" s="51" t="s">
        <v>67</v>
      </c>
      <c r="AO1554" s="50" t="s">
        <v>9554</v>
      </c>
    </row>
    <row r="1555" spans="1:41" hidden="1" x14ac:dyDescent="0.25">
      <c r="A1555" s="51" t="s">
        <v>8028</v>
      </c>
      <c r="B1555" s="51" t="s">
        <v>8029</v>
      </c>
      <c r="C1555" s="54" t="s">
        <v>5600</v>
      </c>
      <c r="D1555" s="51" t="s">
        <v>8030</v>
      </c>
      <c r="E1555" s="20">
        <v>10000</v>
      </c>
      <c r="F1555" s="20">
        <v>0</v>
      </c>
      <c r="G1555" s="20">
        <v>21326.880000000001</v>
      </c>
      <c r="H1555" s="20">
        <v>11685.11</v>
      </c>
      <c r="I1555" s="20">
        <v>2782.99</v>
      </c>
      <c r="J1555" s="51" t="s">
        <v>6726</v>
      </c>
      <c r="K1555" s="15">
        <v>0</v>
      </c>
      <c r="L1555" s="51" t="s">
        <v>2371</v>
      </c>
      <c r="M1555" s="51" t="s">
        <v>8031</v>
      </c>
      <c r="N1555" s="51" t="s">
        <v>1340</v>
      </c>
      <c r="O1555" s="51" t="s">
        <v>8032</v>
      </c>
      <c r="P1555" s="51" t="s">
        <v>1340</v>
      </c>
      <c r="Q1555" s="45">
        <v>46286.943244641203</v>
      </c>
      <c r="R1555" s="46">
        <v>46304</v>
      </c>
      <c r="S1555" s="46">
        <v>46299</v>
      </c>
      <c r="T1555" s="51" t="s">
        <v>6119</v>
      </c>
      <c r="U1555" s="15"/>
      <c r="V1555" s="15"/>
      <c r="W1555" s="15"/>
      <c r="X1555" s="15"/>
      <c r="Y1555" s="15"/>
      <c r="Z1555" s="15"/>
      <c r="AA1555" s="46"/>
      <c r="AB1555" s="15"/>
      <c r="AC1555" s="15"/>
      <c r="AD1555" s="15"/>
      <c r="AE1555" s="15"/>
      <c r="AF1555" s="15"/>
      <c r="AG1555" s="15"/>
      <c r="AH1555" s="15"/>
      <c r="AI1555" s="46"/>
      <c r="AJ1555" s="51" t="s">
        <v>67</v>
      </c>
      <c r="AK1555" s="51" t="s">
        <v>67</v>
      </c>
      <c r="AL1555" s="15"/>
      <c r="AM1555" s="51" t="s">
        <v>67</v>
      </c>
      <c r="AN1555" s="51" t="s">
        <v>67</v>
      </c>
      <c r="AO1555" s="50" t="s">
        <v>9554</v>
      </c>
    </row>
    <row r="1556" spans="1:41" hidden="1" x14ac:dyDescent="0.25">
      <c r="A1556" s="51" t="s">
        <v>8033</v>
      </c>
      <c r="B1556" s="51" t="s">
        <v>8034</v>
      </c>
      <c r="C1556" s="54" t="s">
        <v>2345</v>
      </c>
      <c r="D1556" s="51" t="s">
        <v>8035</v>
      </c>
      <c r="E1556" s="20">
        <v>10000</v>
      </c>
      <c r="F1556" s="20">
        <v>0</v>
      </c>
      <c r="G1556" s="20">
        <v>8219.9699999999993</v>
      </c>
      <c r="H1556" s="20">
        <v>15056.17</v>
      </c>
      <c r="I1556" s="20">
        <v>1292.23</v>
      </c>
      <c r="J1556" s="51" t="s">
        <v>6726</v>
      </c>
      <c r="K1556" s="15">
        <v>0</v>
      </c>
      <c r="L1556" s="51" t="s">
        <v>2371</v>
      </c>
      <c r="M1556" s="51" t="s">
        <v>67</v>
      </c>
      <c r="N1556" s="51" t="s">
        <v>67</v>
      </c>
      <c r="O1556" s="51" t="s">
        <v>8036</v>
      </c>
      <c r="P1556" s="51" t="s">
        <v>1340</v>
      </c>
      <c r="Q1556" s="45">
        <v>46286.943250393517</v>
      </c>
      <c r="R1556" s="46">
        <v>46306</v>
      </c>
      <c r="S1556" s="46">
        <v>46301</v>
      </c>
      <c r="T1556" s="51" t="s">
        <v>6119</v>
      </c>
      <c r="U1556" s="15"/>
      <c r="V1556" s="15"/>
      <c r="W1556" s="15"/>
      <c r="X1556" s="15"/>
      <c r="Y1556" s="15"/>
      <c r="Z1556" s="15"/>
      <c r="AA1556" s="46"/>
      <c r="AB1556" s="15"/>
      <c r="AC1556" s="15"/>
      <c r="AD1556" s="15"/>
      <c r="AE1556" s="15"/>
      <c r="AF1556" s="15"/>
      <c r="AG1556" s="15"/>
      <c r="AH1556" s="15"/>
      <c r="AI1556" s="46"/>
      <c r="AJ1556" s="51" t="s">
        <v>67</v>
      </c>
      <c r="AK1556" s="51" t="s">
        <v>67</v>
      </c>
      <c r="AL1556" s="15"/>
      <c r="AM1556" s="51" t="s">
        <v>67</v>
      </c>
      <c r="AN1556" s="51" t="s">
        <v>67</v>
      </c>
      <c r="AO1556" s="50" t="s">
        <v>9554</v>
      </c>
    </row>
    <row r="1557" spans="1:41" hidden="1" x14ac:dyDescent="0.25">
      <c r="A1557" s="51" t="s">
        <v>8037</v>
      </c>
      <c r="B1557" s="51" t="s">
        <v>8038</v>
      </c>
      <c r="C1557" s="54" t="s">
        <v>2694</v>
      </c>
      <c r="D1557" s="51" t="s">
        <v>8039</v>
      </c>
      <c r="E1557" s="20">
        <v>10000</v>
      </c>
      <c r="F1557" s="20">
        <v>0</v>
      </c>
      <c r="G1557" s="20">
        <v>10800.94</v>
      </c>
      <c r="H1557" s="20">
        <v>7995.43</v>
      </c>
      <c r="I1557" s="20">
        <v>2031.37</v>
      </c>
      <c r="J1557" s="51" t="s">
        <v>6726</v>
      </c>
      <c r="K1557" s="15">
        <v>0</v>
      </c>
      <c r="L1557" s="51" t="s">
        <v>2371</v>
      </c>
      <c r="M1557" s="51" t="s">
        <v>8040</v>
      </c>
      <c r="N1557" s="51" t="s">
        <v>1340</v>
      </c>
      <c r="O1557" s="51" t="s">
        <v>67</v>
      </c>
      <c r="P1557" s="51" t="s">
        <v>67</v>
      </c>
      <c r="Q1557" s="45">
        <v>46286.943256689818</v>
      </c>
      <c r="R1557" s="46">
        <v>46312</v>
      </c>
      <c r="S1557" s="46">
        <v>46307</v>
      </c>
      <c r="T1557" s="51" t="s">
        <v>6119</v>
      </c>
      <c r="U1557" s="15"/>
      <c r="V1557" s="15"/>
      <c r="W1557" s="15"/>
      <c r="X1557" s="15"/>
      <c r="Y1557" s="15"/>
      <c r="Z1557" s="15"/>
      <c r="AA1557" s="46"/>
      <c r="AB1557" s="15"/>
      <c r="AC1557" s="15"/>
      <c r="AD1557" s="15"/>
      <c r="AE1557" s="15"/>
      <c r="AF1557" s="15"/>
      <c r="AG1557" s="15"/>
      <c r="AH1557" s="15"/>
      <c r="AI1557" s="46"/>
      <c r="AJ1557" s="51" t="s">
        <v>67</v>
      </c>
      <c r="AK1557" s="51" t="s">
        <v>67</v>
      </c>
      <c r="AL1557" s="15"/>
      <c r="AM1557" s="51" t="s">
        <v>67</v>
      </c>
      <c r="AN1557" s="51" t="s">
        <v>67</v>
      </c>
      <c r="AO1557" s="50" t="s">
        <v>9554</v>
      </c>
    </row>
    <row r="1558" spans="1:41" hidden="1" x14ac:dyDescent="0.25">
      <c r="A1558" s="51" t="s">
        <v>8041</v>
      </c>
      <c r="B1558" s="51" t="s">
        <v>8042</v>
      </c>
      <c r="C1558" s="54" t="s">
        <v>2690</v>
      </c>
      <c r="D1558" s="51" t="s">
        <v>8043</v>
      </c>
      <c r="E1558" s="20">
        <v>10000</v>
      </c>
      <c r="F1558" s="20">
        <v>0</v>
      </c>
      <c r="G1558" s="20">
        <v>10918.25</v>
      </c>
      <c r="H1558" s="20">
        <v>6074.24</v>
      </c>
      <c r="I1558" s="20">
        <v>1415.75</v>
      </c>
      <c r="J1558" s="51" t="s">
        <v>6726</v>
      </c>
      <c r="K1558" s="15">
        <v>0</v>
      </c>
      <c r="L1558" s="51" t="s">
        <v>2371</v>
      </c>
      <c r="M1558" s="51" t="s">
        <v>8044</v>
      </c>
      <c r="N1558" s="51" t="s">
        <v>1344</v>
      </c>
      <c r="O1558" s="51" t="s">
        <v>8045</v>
      </c>
      <c r="P1558" s="51" t="s">
        <v>1344</v>
      </c>
      <c r="Q1558" s="45">
        <v>46286.9432633912</v>
      </c>
      <c r="R1558" s="46">
        <v>46322</v>
      </c>
      <c r="S1558" s="46">
        <v>46317</v>
      </c>
      <c r="T1558" s="51" t="s">
        <v>6119</v>
      </c>
      <c r="U1558" s="15"/>
      <c r="V1558" s="15"/>
      <c r="W1558" s="15"/>
      <c r="X1558" s="15"/>
      <c r="Y1558" s="15"/>
      <c r="Z1558" s="15"/>
      <c r="AA1558" s="46"/>
      <c r="AB1558" s="15"/>
      <c r="AC1558" s="15"/>
      <c r="AD1558" s="15"/>
      <c r="AE1558" s="15"/>
      <c r="AF1558" s="15"/>
      <c r="AG1558" s="15"/>
      <c r="AH1558" s="15"/>
      <c r="AI1558" s="46"/>
      <c r="AJ1558" s="51" t="s">
        <v>67</v>
      </c>
      <c r="AK1558" s="51" t="s">
        <v>67</v>
      </c>
      <c r="AL1558" s="15"/>
      <c r="AM1558" s="51" t="s">
        <v>67</v>
      </c>
      <c r="AN1558" s="51" t="s">
        <v>67</v>
      </c>
      <c r="AO1558" s="50" t="s">
        <v>9554</v>
      </c>
    </row>
    <row r="1559" spans="1:41" hidden="1" x14ac:dyDescent="0.25">
      <c r="A1559" s="51" t="s">
        <v>8046</v>
      </c>
      <c r="B1559" s="51" t="s">
        <v>8047</v>
      </c>
      <c r="C1559" s="54" t="s">
        <v>607</v>
      </c>
      <c r="D1559" s="51" t="s">
        <v>8048</v>
      </c>
      <c r="E1559" s="20">
        <v>10000</v>
      </c>
      <c r="F1559" s="20">
        <v>0</v>
      </c>
      <c r="G1559" s="20">
        <v>16755.939999999999</v>
      </c>
      <c r="H1559" s="20">
        <v>5805.94</v>
      </c>
      <c r="I1559" s="20">
        <v>1349.25</v>
      </c>
      <c r="J1559" s="51" t="s">
        <v>6726</v>
      </c>
      <c r="K1559" s="15">
        <v>0</v>
      </c>
      <c r="L1559" s="51" t="s">
        <v>2371</v>
      </c>
      <c r="M1559" s="51" t="s">
        <v>8049</v>
      </c>
      <c r="N1559" s="51" t="s">
        <v>1340</v>
      </c>
      <c r="O1559" s="51" t="s">
        <v>67</v>
      </c>
      <c r="P1559" s="51" t="s">
        <v>67</v>
      </c>
      <c r="Q1559" s="45">
        <v>46286.943269513889</v>
      </c>
      <c r="R1559" s="46">
        <v>46310</v>
      </c>
      <c r="S1559" s="46">
        <v>46305</v>
      </c>
      <c r="T1559" s="51" t="s">
        <v>6119</v>
      </c>
      <c r="U1559" s="15"/>
      <c r="V1559" s="15"/>
      <c r="W1559" s="15"/>
      <c r="X1559" s="15"/>
      <c r="Y1559" s="15"/>
      <c r="Z1559" s="15"/>
      <c r="AA1559" s="46"/>
      <c r="AB1559" s="15"/>
      <c r="AC1559" s="15"/>
      <c r="AD1559" s="15"/>
      <c r="AE1559" s="15"/>
      <c r="AF1559" s="15"/>
      <c r="AG1559" s="15"/>
      <c r="AH1559" s="15"/>
      <c r="AI1559" s="46"/>
      <c r="AJ1559" s="51" t="s">
        <v>67</v>
      </c>
      <c r="AK1559" s="51" t="s">
        <v>67</v>
      </c>
      <c r="AL1559" s="15"/>
      <c r="AM1559" s="51" t="s">
        <v>67</v>
      </c>
      <c r="AN1559" s="51" t="s">
        <v>67</v>
      </c>
      <c r="AO1559" s="50" t="s">
        <v>9554</v>
      </c>
    </row>
    <row r="1560" spans="1:41" hidden="1" x14ac:dyDescent="0.25">
      <c r="A1560" s="51" t="s">
        <v>8050</v>
      </c>
      <c r="B1560" s="51" t="s">
        <v>8051</v>
      </c>
      <c r="C1560" s="54" t="s">
        <v>5607</v>
      </c>
      <c r="D1560" s="51" t="s">
        <v>8052</v>
      </c>
      <c r="E1560" s="20">
        <v>10000</v>
      </c>
      <c r="F1560" s="20">
        <v>2403.81</v>
      </c>
      <c r="G1560" s="20">
        <v>16893.330000000002</v>
      </c>
      <c r="H1560" s="20">
        <v>15056.17</v>
      </c>
      <c r="I1560" s="20">
        <v>4920.1499999999996</v>
      </c>
      <c r="J1560" s="51" t="s">
        <v>6726</v>
      </c>
      <c r="K1560" s="15">
        <v>0</v>
      </c>
      <c r="L1560" s="51" t="s">
        <v>2371</v>
      </c>
      <c r="M1560" s="51" t="s">
        <v>67</v>
      </c>
      <c r="N1560" s="51" t="s">
        <v>67</v>
      </c>
      <c r="O1560" s="51" t="s">
        <v>8053</v>
      </c>
      <c r="P1560" s="51" t="s">
        <v>1340</v>
      </c>
      <c r="Q1560" s="45">
        <v>46286.943275752317</v>
      </c>
      <c r="R1560" s="46">
        <v>46299</v>
      </c>
      <c r="S1560" s="46">
        <v>46294</v>
      </c>
      <c r="T1560" s="51" t="s">
        <v>6119</v>
      </c>
      <c r="U1560" s="15"/>
      <c r="V1560" s="15"/>
      <c r="W1560" s="15"/>
      <c r="X1560" s="15"/>
      <c r="Y1560" s="15"/>
      <c r="Z1560" s="15"/>
      <c r="AA1560" s="46"/>
      <c r="AB1560" s="15"/>
      <c r="AC1560" s="15"/>
      <c r="AD1560" s="15"/>
      <c r="AE1560" s="15"/>
      <c r="AF1560" s="15"/>
      <c r="AG1560" s="15"/>
      <c r="AH1560" s="15"/>
      <c r="AI1560" s="46"/>
      <c r="AJ1560" s="51" t="s">
        <v>67</v>
      </c>
      <c r="AK1560" s="51" t="s">
        <v>67</v>
      </c>
      <c r="AL1560" s="15"/>
      <c r="AM1560" s="51" t="s">
        <v>67</v>
      </c>
      <c r="AN1560" s="51" t="s">
        <v>67</v>
      </c>
      <c r="AO1560" s="50" t="s">
        <v>9554</v>
      </c>
    </row>
    <row r="1561" spans="1:41" hidden="1" x14ac:dyDescent="0.25">
      <c r="A1561" s="51" t="s">
        <v>8054</v>
      </c>
      <c r="B1561" s="51" t="s">
        <v>8055</v>
      </c>
      <c r="C1561" s="54" t="s">
        <v>5596</v>
      </c>
      <c r="D1561" s="51" t="s">
        <v>8056</v>
      </c>
      <c r="E1561" s="20">
        <v>10000</v>
      </c>
      <c r="F1561" s="20">
        <v>0</v>
      </c>
      <c r="G1561" s="20">
        <v>4034.91</v>
      </c>
      <c r="H1561" s="20">
        <v>7517.68</v>
      </c>
      <c r="I1561" s="20">
        <v>1471.91</v>
      </c>
      <c r="J1561" s="51" t="s">
        <v>6726</v>
      </c>
      <c r="K1561" s="15">
        <v>0</v>
      </c>
      <c r="L1561" s="51" t="s">
        <v>2371</v>
      </c>
      <c r="M1561" s="51" t="s">
        <v>8057</v>
      </c>
      <c r="N1561" s="51" t="s">
        <v>1340</v>
      </c>
      <c r="O1561" s="51" t="s">
        <v>67</v>
      </c>
      <c r="P1561" s="51" t="s">
        <v>67</v>
      </c>
      <c r="Q1561" s="45">
        <v>46286.943282025466</v>
      </c>
      <c r="R1561" s="46">
        <v>46300</v>
      </c>
      <c r="S1561" s="46">
        <v>46295</v>
      </c>
      <c r="T1561" s="51" t="s">
        <v>6119</v>
      </c>
      <c r="U1561" s="15"/>
      <c r="V1561" s="15"/>
      <c r="W1561" s="15"/>
      <c r="X1561" s="15"/>
      <c r="Y1561" s="15"/>
      <c r="Z1561" s="15"/>
      <c r="AA1561" s="46"/>
      <c r="AB1561" s="15"/>
      <c r="AC1561" s="15"/>
      <c r="AD1561" s="15"/>
      <c r="AE1561" s="15"/>
      <c r="AF1561" s="15"/>
      <c r="AG1561" s="15"/>
      <c r="AH1561" s="15"/>
      <c r="AI1561" s="46"/>
      <c r="AJ1561" s="51" t="s">
        <v>67</v>
      </c>
      <c r="AK1561" s="51" t="s">
        <v>67</v>
      </c>
      <c r="AL1561" s="15"/>
      <c r="AM1561" s="51" t="s">
        <v>67</v>
      </c>
      <c r="AN1561" s="51" t="s">
        <v>67</v>
      </c>
      <c r="AO1561" s="50" t="s">
        <v>9554</v>
      </c>
    </row>
    <row r="1562" spans="1:41" hidden="1" x14ac:dyDescent="0.25">
      <c r="A1562" s="51" t="s">
        <v>8058</v>
      </c>
      <c r="B1562" s="51" t="s">
        <v>8059</v>
      </c>
      <c r="C1562" s="54" t="s">
        <v>611</v>
      </c>
      <c r="D1562" s="51" t="s">
        <v>8060</v>
      </c>
      <c r="E1562" s="20">
        <v>10000</v>
      </c>
      <c r="F1562" s="20">
        <v>125.44</v>
      </c>
      <c r="G1562" s="20">
        <v>11983.08</v>
      </c>
      <c r="H1562" s="20">
        <v>8398.74</v>
      </c>
      <c r="I1562" s="20">
        <v>1097.76</v>
      </c>
      <c r="J1562" s="51" t="s">
        <v>6726</v>
      </c>
      <c r="K1562" s="15">
        <v>0</v>
      </c>
      <c r="L1562" s="51" t="s">
        <v>2371</v>
      </c>
      <c r="M1562" s="51" t="s">
        <v>8061</v>
      </c>
      <c r="N1562" s="51" t="s">
        <v>1340</v>
      </c>
      <c r="O1562" s="51" t="s">
        <v>67</v>
      </c>
      <c r="P1562" s="51" t="s">
        <v>67</v>
      </c>
      <c r="Q1562" s="45">
        <v>46286.943287754628</v>
      </c>
      <c r="R1562" s="46">
        <v>46320</v>
      </c>
      <c r="S1562" s="46">
        <v>46315</v>
      </c>
      <c r="T1562" s="51" t="s">
        <v>6119</v>
      </c>
      <c r="U1562" s="15"/>
      <c r="V1562" s="15"/>
      <c r="W1562" s="15"/>
      <c r="X1562" s="15"/>
      <c r="Y1562" s="15"/>
      <c r="Z1562" s="15"/>
      <c r="AA1562" s="46"/>
      <c r="AB1562" s="15"/>
      <c r="AC1562" s="15"/>
      <c r="AD1562" s="15"/>
      <c r="AE1562" s="15"/>
      <c r="AF1562" s="15"/>
      <c r="AG1562" s="15"/>
      <c r="AH1562" s="15"/>
      <c r="AI1562" s="46"/>
      <c r="AJ1562" s="51" t="s">
        <v>67</v>
      </c>
      <c r="AK1562" s="51" t="s">
        <v>67</v>
      </c>
      <c r="AL1562" s="15"/>
      <c r="AM1562" s="51" t="s">
        <v>67</v>
      </c>
      <c r="AN1562" s="51" t="s">
        <v>67</v>
      </c>
      <c r="AO1562" s="50" t="s">
        <v>9554</v>
      </c>
    </row>
    <row r="1563" spans="1:41" hidden="1" x14ac:dyDescent="0.25">
      <c r="A1563" s="51" t="s">
        <v>8062</v>
      </c>
      <c r="B1563" s="51" t="s">
        <v>8063</v>
      </c>
      <c r="C1563" s="54" t="s">
        <v>2345</v>
      </c>
      <c r="D1563" s="51" t="s">
        <v>8064</v>
      </c>
      <c r="E1563" s="20">
        <v>10000</v>
      </c>
      <c r="F1563" s="20">
        <v>0</v>
      </c>
      <c r="G1563" s="20">
        <v>13105</v>
      </c>
      <c r="H1563" s="20">
        <v>3603.18</v>
      </c>
      <c r="I1563" s="20">
        <v>1204.44</v>
      </c>
      <c r="J1563" s="51" t="s">
        <v>6726</v>
      </c>
      <c r="K1563" s="15">
        <v>0</v>
      </c>
      <c r="L1563" s="51" t="s">
        <v>2371</v>
      </c>
      <c r="M1563" s="51" t="s">
        <v>8065</v>
      </c>
      <c r="N1563" s="51" t="s">
        <v>1344</v>
      </c>
      <c r="O1563" s="51" t="s">
        <v>8066</v>
      </c>
      <c r="P1563" s="51" t="s">
        <v>1344</v>
      </c>
      <c r="Q1563" s="45">
        <v>46286.943293865741</v>
      </c>
      <c r="R1563" s="46">
        <v>46306</v>
      </c>
      <c r="S1563" s="46">
        <v>46301</v>
      </c>
      <c r="T1563" s="51" t="s">
        <v>6119</v>
      </c>
      <c r="U1563" s="15"/>
      <c r="V1563" s="15"/>
      <c r="W1563" s="15"/>
      <c r="X1563" s="15"/>
      <c r="Y1563" s="15"/>
      <c r="Z1563" s="15"/>
      <c r="AA1563" s="46"/>
      <c r="AB1563" s="15"/>
      <c r="AC1563" s="15"/>
      <c r="AD1563" s="15"/>
      <c r="AE1563" s="15"/>
      <c r="AF1563" s="15"/>
      <c r="AG1563" s="15"/>
      <c r="AH1563" s="15"/>
      <c r="AI1563" s="46"/>
      <c r="AJ1563" s="51" t="s">
        <v>67</v>
      </c>
      <c r="AK1563" s="51" t="s">
        <v>67</v>
      </c>
      <c r="AL1563" s="15"/>
      <c r="AM1563" s="51" t="s">
        <v>67</v>
      </c>
      <c r="AN1563" s="51" t="s">
        <v>67</v>
      </c>
      <c r="AO1563" s="50" t="s">
        <v>9554</v>
      </c>
    </row>
    <row r="1564" spans="1:41" hidden="1" x14ac:dyDescent="0.25">
      <c r="A1564" s="51" t="s">
        <v>8067</v>
      </c>
      <c r="B1564" s="51" t="s">
        <v>8068</v>
      </c>
      <c r="C1564" s="54" t="s">
        <v>2694</v>
      </c>
      <c r="D1564" s="51" t="s">
        <v>8069</v>
      </c>
      <c r="E1564" s="20">
        <v>10000</v>
      </c>
      <c r="F1564" s="20">
        <v>187.27</v>
      </c>
      <c r="G1564" s="20">
        <v>8305.4599999999991</v>
      </c>
      <c r="H1564" s="20">
        <v>2126.17</v>
      </c>
      <c r="I1564" s="20">
        <v>1191.9000000000001</v>
      </c>
      <c r="J1564" s="51" t="s">
        <v>6726</v>
      </c>
      <c r="K1564" s="15">
        <v>0</v>
      </c>
      <c r="L1564" s="51" t="s">
        <v>2371</v>
      </c>
      <c r="M1564" s="51" t="s">
        <v>67</v>
      </c>
      <c r="N1564" s="51" t="s">
        <v>67</v>
      </c>
      <c r="O1564" s="51" t="s">
        <v>8070</v>
      </c>
      <c r="P1564" s="51" t="s">
        <v>1340</v>
      </c>
      <c r="Q1564" s="45">
        <v>46286.943300520834</v>
      </c>
      <c r="R1564" s="46">
        <v>46312</v>
      </c>
      <c r="S1564" s="46">
        <v>46307</v>
      </c>
      <c r="T1564" s="51" t="s">
        <v>6119</v>
      </c>
      <c r="U1564" s="15"/>
      <c r="V1564" s="15"/>
      <c r="W1564" s="15"/>
      <c r="X1564" s="15"/>
      <c r="Y1564" s="15"/>
      <c r="Z1564" s="15"/>
      <c r="AA1564" s="46"/>
      <c r="AB1564" s="15"/>
      <c r="AC1564" s="15"/>
      <c r="AD1564" s="15"/>
      <c r="AE1564" s="15"/>
      <c r="AF1564" s="15"/>
      <c r="AG1564" s="15"/>
      <c r="AH1564" s="15"/>
      <c r="AI1564" s="46"/>
      <c r="AJ1564" s="51" t="s">
        <v>67</v>
      </c>
      <c r="AK1564" s="51" t="s">
        <v>67</v>
      </c>
      <c r="AL1564" s="15"/>
      <c r="AM1564" s="51" t="s">
        <v>67</v>
      </c>
      <c r="AN1564" s="51" t="s">
        <v>67</v>
      </c>
      <c r="AO1564" s="50" t="s">
        <v>9554</v>
      </c>
    </row>
    <row r="1565" spans="1:41" hidden="1" x14ac:dyDescent="0.25">
      <c r="A1565" s="51" t="s">
        <v>8071</v>
      </c>
      <c r="B1565" s="51" t="s">
        <v>8072</v>
      </c>
      <c r="C1565" s="54" t="s">
        <v>605</v>
      </c>
      <c r="D1565" s="51" t="s">
        <v>8073</v>
      </c>
      <c r="E1565" s="20">
        <v>10000</v>
      </c>
      <c r="F1565" s="20">
        <v>0</v>
      </c>
      <c r="G1565" s="20">
        <v>16485.400000000001</v>
      </c>
      <c r="H1565" s="20">
        <v>4285.41</v>
      </c>
      <c r="I1565" s="20">
        <v>1324.45</v>
      </c>
      <c r="J1565" s="51" t="s">
        <v>6726</v>
      </c>
      <c r="K1565" s="15">
        <v>0</v>
      </c>
      <c r="L1565" s="51" t="s">
        <v>2371</v>
      </c>
      <c r="M1565" s="51" t="s">
        <v>8074</v>
      </c>
      <c r="N1565" s="51" t="s">
        <v>1344</v>
      </c>
      <c r="O1565" s="51" t="s">
        <v>8075</v>
      </c>
      <c r="P1565" s="51" t="s">
        <v>1344</v>
      </c>
      <c r="Q1565" s="45">
        <v>46286.943306446759</v>
      </c>
      <c r="R1565" s="46">
        <v>46305</v>
      </c>
      <c r="S1565" s="46">
        <v>46300</v>
      </c>
      <c r="T1565" s="51" t="s">
        <v>6119</v>
      </c>
      <c r="U1565" s="15"/>
      <c r="V1565" s="15"/>
      <c r="W1565" s="15"/>
      <c r="X1565" s="15"/>
      <c r="Y1565" s="15"/>
      <c r="Z1565" s="15"/>
      <c r="AA1565" s="46"/>
      <c r="AB1565" s="15"/>
      <c r="AC1565" s="15"/>
      <c r="AD1565" s="15"/>
      <c r="AE1565" s="15"/>
      <c r="AF1565" s="15"/>
      <c r="AG1565" s="15"/>
      <c r="AH1565" s="15"/>
      <c r="AI1565" s="46"/>
      <c r="AJ1565" s="51" t="s">
        <v>67</v>
      </c>
      <c r="AK1565" s="51" t="s">
        <v>67</v>
      </c>
      <c r="AL1565" s="15"/>
      <c r="AM1565" s="51" t="s">
        <v>67</v>
      </c>
      <c r="AN1565" s="51" t="s">
        <v>67</v>
      </c>
      <c r="AO1565" s="50" t="s">
        <v>9554</v>
      </c>
    </row>
    <row r="1566" spans="1:41" hidden="1" x14ac:dyDescent="0.25">
      <c r="A1566" s="51" t="s">
        <v>8076</v>
      </c>
      <c r="B1566" s="51" t="s">
        <v>8077</v>
      </c>
      <c r="C1566" s="54" t="s">
        <v>607</v>
      </c>
      <c r="D1566" s="51" t="s">
        <v>8078</v>
      </c>
      <c r="E1566" s="20">
        <v>10000</v>
      </c>
      <c r="F1566" s="20">
        <v>4478.21</v>
      </c>
      <c r="G1566" s="20">
        <v>15042.05</v>
      </c>
      <c r="H1566" s="20">
        <v>2037.83</v>
      </c>
      <c r="I1566" s="20">
        <v>5466.93</v>
      </c>
      <c r="J1566" s="51" t="s">
        <v>6726</v>
      </c>
      <c r="K1566" s="15">
        <v>0</v>
      </c>
      <c r="L1566" s="51" t="s">
        <v>2371</v>
      </c>
      <c r="M1566" s="51" t="s">
        <v>8079</v>
      </c>
      <c r="N1566" s="51" t="s">
        <v>1340</v>
      </c>
      <c r="O1566" s="51" t="s">
        <v>67</v>
      </c>
      <c r="P1566" s="51" t="s">
        <v>67</v>
      </c>
      <c r="Q1566" s="45">
        <v>46286.943312928241</v>
      </c>
      <c r="R1566" s="46">
        <v>46310</v>
      </c>
      <c r="S1566" s="46">
        <v>46305</v>
      </c>
      <c r="T1566" s="51" t="s">
        <v>6119</v>
      </c>
      <c r="U1566" s="15"/>
      <c r="V1566" s="15"/>
      <c r="W1566" s="15"/>
      <c r="X1566" s="15"/>
      <c r="Y1566" s="15"/>
      <c r="Z1566" s="15"/>
      <c r="AA1566" s="46"/>
      <c r="AB1566" s="15"/>
      <c r="AC1566" s="15"/>
      <c r="AD1566" s="15"/>
      <c r="AE1566" s="15"/>
      <c r="AF1566" s="15"/>
      <c r="AG1566" s="15"/>
      <c r="AH1566" s="15"/>
      <c r="AI1566" s="46"/>
      <c r="AJ1566" s="51" t="s">
        <v>67</v>
      </c>
      <c r="AK1566" s="51" t="s">
        <v>67</v>
      </c>
      <c r="AL1566" s="15"/>
      <c r="AM1566" s="51" t="s">
        <v>67</v>
      </c>
      <c r="AN1566" s="51" t="s">
        <v>67</v>
      </c>
      <c r="AO1566" s="50" t="s">
        <v>9554</v>
      </c>
    </row>
    <row r="1567" spans="1:41" hidden="1" x14ac:dyDescent="0.25">
      <c r="A1567" s="51" t="s">
        <v>8080</v>
      </c>
      <c r="B1567" s="51" t="s">
        <v>8081</v>
      </c>
      <c r="C1567" s="54" t="s">
        <v>5601</v>
      </c>
      <c r="D1567" s="51" t="s">
        <v>8082</v>
      </c>
      <c r="E1567" s="20">
        <v>10000</v>
      </c>
      <c r="F1567" s="20">
        <v>0</v>
      </c>
      <c r="G1567" s="20">
        <v>12178.5</v>
      </c>
      <c r="H1567" s="20">
        <v>18963.580000000002</v>
      </c>
      <c r="I1567" s="20">
        <v>1241.54</v>
      </c>
      <c r="J1567" s="51" t="s">
        <v>6726</v>
      </c>
      <c r="K1567" s="15">
        <v>0</v>
      </c>
      <c r="L1567" s="51" t="s">
        <v>2371</v>
      </c>
      <c r="M1567" s="51" t="s">
        <v>8083</v>
      </c>
      <c r="N1567" s="51" t="s">
        <v>1340</v>
      </c>
      <c r="O1567" s="51" t="s">
        <v>67</v>
      </c>
      <c r="P1567" s="51" t="s">
        <v>67</v>
      </c>
      <c r="Q1567" s="45">
        <v>46286.943319895836</v>
      </c>
      <c r="R1567" s="46">
        <v>46316</v>
      </c>
      <c r="S1567" s="46">
        <v>46311</v>
      </c>
      <c r="T1567" s="51" t="s">
        <v>6119</v>
      </c>
      <c r="U1567" s="15"/>
      <c r="V1567" s="15"/>
      <c r="W1567" s="15"/>
      <c r="X1567" s="15"/>
      <c r="Y1567" s="15"/>
      <c r="Z1567" s="15"/>
      <c r="AA1567" s="46"/>
      <c r="AB1567" s="15"/>
      <c r="AC1567" s="15"/>
      <c r="AD1567" s="15"/>
      <c r="AE1567" s="15"/>
      <c r="AF1567" s="15"/>
      <c r="AG1567" s="15"/>
      <c r="AH1567" s="15"/>
      <c r="AI1567" s="46"/>
      <c r="AJ1567" s="51" t="s">
        <v>67</v>
      </c>
      <c r="AK1567" s="51" t="s">
        <v>67</v>
      </c>
      <c r="AL1567" s="15"/>
      <c r="AM1567" s="51" t="s">
        <v>67</v>
      </c>
      <c r="AN1567" s="51" t="s">
        <v>67</v>
      </c>
      <c r="AO1567" s="50" t="s">
        <v>9554</v>
      </c>
    </row>
    <row r="1568" spans="1:41" hidden="1" x14ac:dyDescent="0.25">
      <c r="A1568" s="51" t="s">
        <v>8084</v>
      </c>
      <c r="B1568" s="51" t="s">
        <v>8085</v>
      </c>
      <c r="C1568" s="54" t="s">
        <v>608</v>
      </c>
      <c r="D1568" s="51" t="s">
        <v>8086</v>
      </c>
      <c r="E1568" s="20">
        <v>10000</v>
      </c>
      <c r="F1568" s="20">
        <v>3237.36</v>
      </c>
      <c r="G1568" s="20">
        <v>7654.09</v>
      </c>
      <c r="H1568" s="20">
        <v>3683.58</v>
      </c>
      <c r="I1568" s="20">
        <v>4879.68</v>
      </c>
      <c r="J1568" s="51" t="s">
        <v>6726</v>
      </c>
      <c r="K1568" s="15">
        <v>0</v>
      </c>
      <c r="L1568" s="51" t="s">
        <v>2371</v>
      </c>
      <c r="M1568" s="51" t="s">
        <v>8087</v>
      </c>
      <c r="N1568" s="51" t="s">
        <v>1340</v>
      </c>
      <c r="O1568" s="51" t="s">
        <v>67</v>
      </c>
      <c r="P1568" s="51" t="s">
        <v>67</v>
      </c>
      <c r="Q1568" s="45">
        <v>46286.943329259258</v>
      </c>
      <c r="R1568" s="46">
        <v>46315</v>
      </c>
      <c r="S1568" s="46">
        <v>46310</v>
      </c>
      <c r="T1568" s="51" t="s">
        <v>6119</v>
      </c>
      <c r="U1568" s="15"/>
      <c r="V1568" s="15"/>
      <c r="W1568" s="15"/>
      <c r="X1568" s="15"/>
      <c r="Y1568" s="15"/>
      <c r="Z1568" s="15"/>
      <c r="AA1568" s="46"/>
      <c r="AB1568" s="15"/>
      <c r="AC1568" s="15"/>
      <c r="AD1568" s="15"/>
      <c r="AE1568" s="15"/>
      <c r="AF1568" s="15"/>
      <c r="AG1568" s="15"/>
      <c r="AH1568" s="15"/>
      <c r="AI1568" s="46"/>
      <c r="AJ1568" s="51" t="s">
        <v>67</v>
      </c>
      <c r="AK1568" s="51" t="s">
        <v>67</v>
      </c>
      <c r="AL1568" s="15"/>
      <c r="AM1568" s="51" t="s">
        <v>67</v>
      </c>
      <c r="AN1568" s="51" t="s">
        <v>67</v>
      </c>
      <c r="AO1568" s="50" t="s">
        <v>9554</v>
      </c>
    </row>
    <row r="1569" spans="1:41" hidden="1" x14ac:dyDescent="0.25">
      <c r="A1569" s="51" t="s">
        <v>8088</v>
      </c>
      <c r="B1569" s="51" t="s">
        <v>8089</v>
      </c>
      <c r="C1569" s="54" t="s">
        <v>5606</v>
      </c>
      <c r="D1569" s="51" t="s">
        <v>8090</v>
      </c>
      <c r="E1569" s="20">
        <v>10000</v>
      </c>
      <c r="F1569" s="20">
        <v>0</v>
      </c>
      <c r="G1569" s="20">
        <v>11031.65</v>
      </c>
      <c r="H1569" s="20">
        <v>3394.76</v>
      </c>
      <c r="I1569" s="20">
        <v>898.71</v>
      </c>
      <c r="J1569" s="51" t="s">
        <v>6726</v>
      </c>
      <c r="K1569" s="15">
        <v>0</v>
      </c>
      <c r="L1569" s="51" t="s">
        <v>2371</v>
      </c>
      <c r="M1569" s="51" t="s">
        <v>67</v>
      </c>
      <c r="N1569" s="51" t="s">
        <v>67</v>
      </c>
      <c r="O1569" s="51" t="s">
        <v>8091</v>
      </c>
      <c r="P1569" s="51" t="s">
        <v>1344</v>
      </c>
      <c r="Q1569" s="45">
        <v>46286.943336562501</v>
      </c>
      <c r="R1569" s="46">
        <v>46297</v>
      </c>
      <c r="S1569" s="46">
        <v>46292</v>
      </c>
      <c r="T1569" s="51" t="s">
        <v>6119</v>
      </c>
      <c r="U1569" s="15"/>
      <c r="V1569" s="15"/>
      <c r="W1569" s="15"/>
      <c r="X1569" s="15"/>
      <c r="Y1569" s="15"/>
      <c r="Z1569" s="15"/>
      <c r="AA1569" s="46"/>
      <c r="AB1569" s="15"/>
      <c r="AC1569" s="15"/>
      <c r="AD1569" s="15"/>
      <c r="AE1569" s="15"/>
      <c r="AF1569" s="15"/>
      <c r="AG1569" s="15"/>
      <c r="AH1569" s="15"/>
      <c r="AI1569" s="46"/>
      <c r="AJ1569" s="51" t="s">
        <v>67</v>
      </c>
      <c r="AK1569" s="51" t="s">
        <v>67</v>
      </c>
      <c r="AL1569" s="15"/>
      <c r="AM1569" s="51" t="s">
        <v>67</v>
      </c>
      <c r="AN1569" s="51" t="s">
        <v>67</v>
      </c>
      <c r="AO1569" s="50" t="s">
        <v>9554</v>
      </c>
    </row>
    <row r="1570" spans="1:41" hidden="1" x14ac:dyDescent="0.25">
      <c r="A1570" s="51" t="s">
        <v>8092</v>
      </c>
      <c r="B1570" s="51" t="s">
        <v>8093</v>
      </c>
      <c r="C1570" s="54" t="s">
        <v>2694</v>
      </c>
      <c r="D1570" s="51" t="s">
        <v>8094</v>
      </c>
      <c r="E1570" s="20">
        <v>10000</v>
      </c>
      <c r="F1570" s="20">
        <v>3827.99</v>
      </c>
      <c r="G1570" s="20">
        <v>7861.59</v>
      </c>
      <c r="H1570" s="20">
        <v>5797.43</v>
      </c>
      <c r="I1570" s="20">
        <v>8217.65</v>
      </c>
      <c r="J1570" s="51" t="s">
        <v>6726</v>
      </c>
      <c r="K1570" s="15">
        <v>0</v>
      </c>
      <c r="L1570" s="51" t="s">
        <v>2371</v>
      </c>
      <c r="M1570" s="51" t="s">
        <v>67</v>
      </c>
      <c r="N1570" s="51" t="s">
        <v>67</v>
      </c>
      <c r="O1570" s="51" t="s">
        <v>8095</v>
      </c>
      <c r="P1570" s="51" t="s">
        <v>1340</v>
      </c>
      <c r="Q1570" s="45">
        <v>46286.943342650462</v>
      </c>
      <c r="R1570" s="46">
        <v>46312</v>
      </c>
      <c r="S1570" s="46">
        <v>46307</v>
      </c>
      <c r="T1570" s="51" t="s">
        <v>6119</v>
      </c>
      <c r="U1570" s="15"/>
      <c r="V1570" s="15"/>
      <c r="W1570" s="15"/>
      <c r="X1570" s="15"/>
      <c r="Y1570" s="15"/>
      <c r="Z1570" s="15"/>
      <c r="AA1570" s="46"/>
      <c r="AB1570" s="15"/>
      <c r="AC1570" s="15"/>
      <c r="AD1570" s="15"/>
      <c r="AE1570" s="15"/>
      <c r="AF1570" s="15"/>
      <c r="AG1570" s="15"/>
      <c r="AH1570" s="15"/>
      <c r="AI1570" s="46"/>
      <c r="AJ1570" s="51" t="s">
        <v>67</v>
      </c>
      <c r="AK1570" s="51" t="s">
        <v>67</v>
      </c>
      <c r="AL1570" s="15"/>
      <c r="AM1570" s="51" t="s">
        <v>67</v>
      </c>
      <c r="AN1570" s="51" t="s">
        <v>67</v>
      </c>
      <c r="AO1570" s="50" t="s">
        <v>9554</v>
      </c>
    </row>
    <row r="1571" spans="1:41" hidden="1" x14ac:dyDescent="0.25">
      <c r="A1571" s="51" t="s">
        <v>8096</v>
      </c>
      <c r="B1571" s="51" t="s">
        <v>8097</v>
      </c>
      <c r="C1571" s="54" t="s">
        <v>2694</v>
      </c>
      <c r="D1571" s="51" t="s">
        <v>8098</v>
      </c>
      <c r="E1571" s="20">
        <v>10000</v>
      </c>
      <c r="F1571" s="20">
        <v>0</v>
      </c>
      <c r="G1571" s="20">
        <v>5430.79</v>
      </c>
      <c r="H1571" s="20">
        <v>3529.95</v>
      </c>
      <c r="I1571" s="20">
        <v>1347.59</v>
      </c>
      <c r="J1571" s="51" t="s">
        <v>6726</v>
      </c>
      <c r="K1571" s="15">
        <v>0</v>
      </c>
      <c r="L1571" s="51" t="s">
        <v>2371</v>
      </c>
      <c r="M1571" s="51" t="s">
        <v>8099</v>
      </c>
      <c r="N1571" s="51" t="s">
        <v>1340</v>
      </c>
      <c r="O1571" s="51" t="s">
        <v>67</v>
      </c>
      <c r="P1571" s="51" t="s">
        <v>67</v>
      </c>
      <c r="Q1571" s="45">
        <v>46286.94334917824</v>
      </c>
      <c r="R1571" s="46">
        <v>46312</v>
      </c>
      <c r="S1571" s="46">
        <v>46307</v>
      </c>
      <c r="T1571" s="51" t="s">
        <v>6119</v>
      </c>
      <c r="U1571" s="15"/>
      <c r="V1571" s="15"/>
      <c r="W1571" s="15"/>
      <c r="X1571" s="15"/>
      <c r="Y1571" s="15"/>
      <c r="Z1571" s="15"/>
      <c r="AA1571" s="46"/>
      <c r="AB1571" s="15"/>
      <c r="AC1571" s="15"/>
      <c r="AD1571" s="15"/>
      <c r="AE1571" s="15"/>
      <c r="AF1571" s="15"/>
      <c r="AG1571" s="15"/>
      <c r="AH1571" s="15"/>
      <c r="AI1571" s="46"/>
      <c r="AJ1571" s="51" t="s">
        <v>67</v>
      </c>
      <c r="AK1571" s="51" t="s">
        <v>67</v>
      </c>
      <c r="AL1571" s="15"/>
      <c r="AM1571" s="51" t="s">
        <v>67</v>
      </c>
      <c r="AN1571" s="51" t="s">
        <v>67</v>
      </c>
      <c r="AO1571" s="50" t="s">
        <v>9554</v>
      </c>
    </row>
    <row r="1572" spans="1:41" hidden="1" x14ac:dyDescent="0.25">
      <c r="A1572" s="51" t="s">
        <v>8100</v>
      </c>
      <c r="B1572" s="51" t="s">
        <v>8101</v>
      </c>
      <c r="C1572" s="54" t="s">
        <v>5601</v>
      </c>
      <c r="D1572" s="51" t="s">
        <v>8102</v>
      </c>
      <c r="E1572" s="20">
        <v>10000</v>
      </c>
      <c r="F1572" s="20">
        <v>0</v>
      </c>
      <c r="G1572" s="20">
        <v>17948.509999999998</v>
      </c>
      <c r="H1572" s="20">
        <v>5775.93</v>
      </c>
      <c r="I1572" s="20">
        <v>1312.11</v>
      </c>
      <c r="J1572" s="51" t="s">
        <v>6726</v>
      </c>
      <c r="K1572" s="15">
        <v>0</v>
      </c>
      <c r="L1572" s="51" t="s">
        <v>2371</v>
      </c>
      <c r="M1572" s="51" t="s">
        <v>67</v>
      </c>
      <c r="N1572" s="51" t="s">
        <v>67</v>
      </c>
      <c r="O1572" s="51" t="s">
        <v>8103</v>
      </c>
      <c r="P1572" s="51" t="s">
        <v>1340</v>
      </c>
      <c r="Q1572" s="45">
        <v>46286.943356111115</v>
      </c>
      <c r="R1572" s="46">
        <v>46316</v>
      </c>
      <c r="S1572" s="46">
        <v>46311</v>
      </c>
      <c r="T1572" s="51" t="s">
        <v>6119</v>
      </c>
      <c r="U1572" s="15"/>
      <c r="V1572" s="15"/>
      <c r="W1572" s="15"/>
      <c r="X1572" s="15"/>
      <c r="Y1572" s="15"/>
      <c r="Z1572" s="15"/>
      <c r="AA1572" s="46"/>
      <c r="AB1572" s="15"/>
      <c r="AC1572" s="15"/>
      <c r="AD1572" s="15"/>
      <c r="AE1572" s="15"/>
      <c r="AF1572" s="15"/>
      <c r="AG1572" s="15"/>
      <c r="AH1572" s="15"/>
      <c r="AI1572" s="46"/>
      <c r="AJ1572" s="51" t="s">
        <v>67</v>
      </c>
      <c r="AK1572" s="51" t="s">
        <v>67</v>
      </c>
      <c r="AL1572" s="15"/>
      <c r="AM1572" s="51" t="s">
        <v>67</v>
      </c>
      <c r="AN1572" s="51" t="s">
        <v>67</v>
      </c>
      <c r="AO1572" s="50" t="s">
        <v>9554</v>
      </c>
    </row>
    <row r="1573" spans="1:41" hidden="1" x14ac:dyDescent="0.25">
      <c r="A1573" s="51" t="s">
        <v>8104</v>
      </c>
      <c r="B1573" s="51" t="s">
        <v>8105</v>
      </c>
      <c r="C1573" s="54" t="s">
        <v>611</v>
      </c>
      <c r="D1573" s="51" t="s">
        <v>8106</v>
      </c>
      <c r="E1573" s="20">
        <v>10000</v>
      </c>
      <c r="F1573" s="20">
        <v>648.13</v>
      </c>
      <c r="G1573" s="20">
        <v>11077.27</v>
      </c>
      <c r="H1573" s="20">
        <v>3385.99</v>
      </c>
      <c r="I1573" s="20">
        <v>2420.3200000000002</v>
      </c>
      <c r="J1573" s="51" t="s">
        <v>6726</v>
      </c>
      <c r="K1573" s="15">
        <v>0</v>
      </c>
      <c r="L1573" s="51" t="s">
        <v>2371</v>
      </c>
      <c r="M1573" s="51" t="s">
        <v>8107</v>
      </c>
      <c r="N1573" s="51" t="s">
        <v>1340</v>
      </c>
      <c r="O1573" s="51" t="s">
        <v>67</v>
      </c>
      <c r="P1573" s="51" t="s">
        <v>67</v>
      </c>
      <c r="Q1573" s="45">
        <v>46286.943362800928</v>
      </c>
      <c r="R1573" s="46">
        <v>46320</v>
      </c>
      <c r="S1573" s="46">
        <v>46315</v>
      </c>
      <c r="T1573" s="51" t="s">
        <v>6119</v>
      </c>
      <c r="U1573" s="15"/>
      <c r="V1573" s="15"/>
      <c r="W1573" s="15"/>
      <c r="X1573" s="15"/>
      <c r="Y1573" s="15"/>
      <c r="Z1573" s="15"/>
      <c r="AA1573" s="46"/>
      <c r="AB1573" s="15"/>
      <c r="AC1573" s="15"/>
      <c r="AD1573" s="15"/>
      <c r="AE1573" s="15"/>
      <c r="AF1573" s="15"/>
      <c r="AG1573" s="15"/>
      <c r="AH1573" s="15"/>
      <c r="AI1573" s="46"/>
      <c r="AJ1573" s="51" t="s">
        <v>67</v>
      </c>
      <c r="AK1573" s="51" t="s">
        <v>67</v>
      </c>
      <c r="AL1573" s="15"/>
      <c r="AM1573" s="51" t="s">
        <v>67</v>
      </c>
      <c r="AN1573" s="51" t="s">
        <v>67</v>
      </c>
      <c r="AO1573" s="50" t="s">
        <v>9554</v>
      </c>
    </row>
    <row r="1574" spans="1:41" hidden="1" x14ac:dyDescent="0.25">
      <c r="A1574" s="51" t="s">
        <v>8108</v>
      </c>
      <c r="B1574" s="51" t="s">
        <v>8109</v>
      </c>
      <c r="C1574" s="54" t="s">
        <v>2357</v>
      </c>
      <c r="D1574" s="51" t="s">
        <v>8110</v>
      </c>
      <c r="E1574" s="20">
        <v>10000</v>
      </c>
      <c r="F1574" s="20">
        <v>7095.15</v>
      </c>
      <c r="G1574" s="20">
        <v>12677.33</v>
      </c>
      <c r="H1574" s="20">
        <v>6902.32</v>
      </c>
      <c r="I1574" s="20">
        <v>8211.27</v>
      </c>
      <c r="J1574" s="51" t="s">
        <v>6726</v>
      </c>
      <c r="K1574" s="15">
        <v>0</v>
      </c>
      <c r="L1574" s="51" t="s">
        <v>2371</v>
      </c>
      <c r="M1574" s="51" t="s">
        <v>8111</v>
      </c>
      <c r="N1574" s="51" t="s">
        <v>1340</v>
      </c>
      <c r="O1574" s="51" t="s">
        <v>67</v>
      </c>
      <c r="P1574" s="51" t="s">
        <v>67</v>
      </c>
      <c r="Q1574" s="45">
        <v>46286.943369837965</v>
      </c>
      <c r="R1574" s="46">
        <v>46308</v>
      </c>
      <c r="S1574" s="46">
        <v>46303</v>
      </c>
      <c r="T1574" s="51" t="s">
        <v>6119</v>
      </c>
      <c r="U1574" s="15"/>
      <c r="V1574" s="15"/>
      <c r="W1574" s="15"/>
      <c r="X1574" s="15"/>
      <c r="Y1574" s="15"/>
      <c r="Z1574" s="15"/>
      <c r="AA1574" s="46"/>
      <c r="AB1574" s="15"/>
      <c r="AC1574" s="15"/>
      <c r="AD1574" s="15"/>
      <c r="AE1574" s="15"/>
      <c r="AF1574" s="15"/>
      <c r="AG1574" s="15"/>
      <c r="AH1574" s="15"/>
      <c r="AI1574" s="46"/>
      <c r="AJ1574" s="51" t="s">
        <v>67</v>
      </c>
      <c r="AK1574" s="51" t="s">
        <v>67</v>
      </c>
      <c r="AL1574" s="15"/>
      <c r="AM1574" s="51" t="s">
        <v>67</v>
      </c>
      <c r="AN1574" s="51" t="s">
        <v>67</v>
      </c>
      <c r="AO1574" s="50" t="s">
        <v>9554</v>
      </c>
    </row>
    <row r="1575" spans="1:41" hidden="1" x14ac:dyDescent="0.25">
      <c r="A1575" s="51" t="s">
        <v>8112</v>
      </c>
      <c r="B1575" s="51" t="s">
        <v>8113</v>
      </c>
      <c r="C1575" s="54" t="s">
        <v>5606</v>
      </c>
      <c r="D1575" s="51" t="s">
        <v>8114</v>
      </c>
      <c r="E1575" s="20">
        <v>10000</v>
      </c>
      <c r="F1575" s="20">
        <v>0</v>
      </c>
      <c r="G1575" s="20">
        <v>9436.99</v>
      </c>
      <c r="H1575" s="20">
        <v>8084.26</v>
      </c>
      <c r="I1575" s="20">
        <v>1982.81</v>
      </c>
      <c r="J1575" s="51" t="s">
        <v>6726</v>
      </c>
      <c r="K1575" s="15">
        <v>0</v>
      </c>
      <c r="L1575" s="51" t="s">
        <v>2371</v>
      </c>
      <c r="M1575" s="51" t="s">
        <v>8115</v>
      </c>
      <c r="N1575" s="51" t="s">
        <v>1340</v>
      </c>
      <c r="O1575" s="51" t="s">
        <v>8116</v>
      </c>
      <c r="P1575" s="51" t="s">
        <v>1340</v>
      </c>
      <c r="Q1575" s="45">
        <v>46286.943375960647</v>
      </c>
      <c r="R1575" s="46">
        <v>46297</v>
      </c>
      <c r="S1575" s="46">
        <v>46292</v>
      </c>
      <c r="T1575" s="51" t="s">
        <v>6119</v>
      </c>
      <c r="U1575" s="15"/>
      <c r="V1575" s="15"/>
      <c r="W1575" s="15"/>
      <c r="X1575" s="15"/>
      <c r="Y1575" s="15"/>
      <c r="Z1575" s="15"/>
      <c r="AA1575" s="46"/>
      <c r="AB1575" s="15"/>
      <c r="AC1575" s="15"/>
      <c r="AD1575" s="15"/>
      <c r="AE1575" s="15"/>
      <c r="AF1575" s="15"/>
      <c r="AG1575" s="15"/>
      <c r="AH1575" s="15"/>
      <c r="AI1575" s="46"/>
      <c r="AJ1575" s="51" t="s">
        <v>67</v>
      </c>
      <c r="AK1575" s="51" t="s">
        <v>67</v>
      </c>
      <c r="AL1575" s="15"/>
      <c r="AM1575" s="51" t="s">
        <v>67</v>
      </c>
      <c r="AN1575" s="51" t="s">
        <v>67</v>
      </c>
      <c r="AO1575" s="50" t="s">
        <v>9554</v>
      </c>
    </row>
    <row r="1576" spans="1:41" hidden="1" x14ac:dyDescent="0.25">
      <c r="A1576" s="51" t="s">
        <v>8117</v>
      </c>
      <c r="B1576" s="51" t="s">
        <v>8118</v>
      </c>
      <c r="C1576" s="54" t="s">
        <v>2358</v>
      </c>
      <c r="D1576" s="51" t="s">
        <v>8119</v>
      </c>
      <c r="E1576" s="20">
        <v>10000</v>
      </c>
      <c r="F1576" s="20">
        <v>760.69</v>
      </c>
      <c r="G1576" s="20">
        <v>9738.18</v>
      </c>
      <c r="H1576" s="20">
        <v>6481.57</v>
      </c>
      <c r="I1576" s="20">
        <v>1308.7</v>
      </c>
      <c r="J1576" s="51" t="s">
        <v>6726</v>
      </c>
      <c r="K1576" s="15">
        <v>0</v>
      </c>
      <c r="L1576" s="51" t="s">
        <v>2371</v>
      </c>
      <c r="M1576" s="51" t="s">
        <v>8120</v>
      </c>
      <c r="N1576" s="51" t="s">
        <v>1340</v>
      </c>
      <c r="O1576" s="51" t="s">
        <v>8121</v>
      </c>
      <c r="P1576" s="51" t="s">
        <v>1340</v>
      </c>
      <c r="Q1576" s="45">
        <v>46286.94338178241</v>
      </c>
      <c r="R1576" s="46">
        <v>46309</v>
      </c>
      <c r="S1576" s="46">
        <v>46304</v>
      </c>
      <c r="T1576" s="51" t="s">
        <v>6119</v>
      </c>
      <c r="U1576" s="15"/>
      <c r="V1576" s="15"/>
      <c r="W1576" s="15"/>
      <c r="X1576" s="15"/>
      <c r="Y1576" s="15"/>
      <c r="Z1576" s="15"/>
      <c r="AA1576" s="46"/>
      <c r="AB1576" s="15"/>
      <c r="AC1576" s="15"/>
      <c r="AD1576" s="15"/>
      <c r="AE1576" s="15"/>
      <c r="AF1576" s="15"/>
      <c r="AG1576" s="15"/>
      <c r="AH1576" s="15"/>
      <c r="AI1576" s="46"/>
      <c r="AJ1576" s="51" t="s">
        <v>67</v>
      </c>
      <c r="AK1576" s="51" t="s">
        <v>67</v>
      </c>
      <c r="AL1576" s="15"/>
      <c r="AM1576" s="51" t="s">
        <v>67</v>
      </c>
      <c r="AN1576" s="51" t="s">
        <v>67</v>
      </c>
      <c r="AO1576" s="50" t="s">
        <v>9554</v>
      </c>
    </row>
    <row r="1577" spans="1:41" hidden="1" x14ac:dyDescent="0.25">
      <c r="A1577" s="51" t="s">
        <v>8122</v>
      </c>
      <c r="B1577" s="51" t="s">
        <v>8123</v>
      </c>
      <c r="C1577" s="54" t="s">
        <v>5600</v>
      </c>
      <c r="D1577" s="51" t="s">
        <v>8124</v>
      </c>
      <c r="E1577" s="20">
        <v>10000</v>
      </c>
      <c r="F1577" s="20">
        <v>0</v>
      </c>
      <c r="G1577" s="20">
        <v>21982.83</v>
      </c>
      <c r="H1577" s="20">
        <v>5914.66</v>
      </c>
      <c r="I1577" s="20">
        <v>1870.92</v>
      </c>
      <c r="J1577" s="51" t="s">
        <v>6726</v>
      </c>
      <c r="K1577" s="15">
        <v>0</v>
      </c>
      <c r="L1577" s="51" t="s">
        <v>2371</v>
      </c>
      <c r="M1577" s="51" t="s">
        <v>8125</v>
      </c>
      <c r="N1577" s="51" t="s">
        <v>1340</v>
      </c>
      <c r="O1577" s="51" t="s">
        <v>8126</v>
      </c>
      <c r="P1577" s="51" t="s">
        <v>1340</v>
      </c>
      <c r="Q1577" s="45">
        <v>46286.943386631945</v>
      </c>
      <c r="R1577" s="46">
        <v>46304</v>
      </c>
      <c r="S1577" s="46">
        <v>46299</v>
      </c>
      <c r="T1577" s="51" t="s">
        <v>6119</v>
      </c>
      <c r="U1577" s="15"/>
      <c r="V1577" s="15"/>
      <c r="W1577" s="15"/>
      <c r="X1577" s="15"/>
      <c r="Y1577" s="15"/>
      <c r="Z1577" s="15"/>
      <c r="AA1577" s="46"/>
      <c r="AB1577" s="15"/>
      <c r="AC1577" s="15"/>
      <c r="AD1577" s="15"/>
      <c r="AE1577" s="15"/>
      <c r="AF1577" s="15"/>
      <c r="AG1577" s="15"/>
      <c r="AH1577" s="15"/>
      <c r="AI1577" s="46"/>
      <c r="AJ1577" s="51" t="s">
        <v>67</v>
      </c>
      <c r="AK1577" s="51" t="s">
        <v>67</v>
      </c>
      <c r="AL1577" s="15"/>
      <c r="AM1577" s="51" t="s">
        <v>67</v>
      </c>
      <c r="AN1577" s="51" t="s">
        <v>67</v>
      </c>
      <c r="AO1577" s="50" t="s">
        <v>9554</v>
      </c>
    </row>
    <row r="1578" spans="1:41" hidden="1" x14ac:dyDescent="0.25">
      <c r="A1578" s="51" t="s">
        <v>8127</v>
      </c>
      <c r="B1578" s="51" t="s">
        <v>8128</v>
      </c>
      <c r="C1578" s="54" t="s">
        <v>5601</v>
      </c>
      <c r="D1578" s="51" t="s">
        <v>8129</v>
      </c>
      <c r="E1578" s="20">
        <v>10000</v>
      </c>
      <c r="F1578" s="20">
        <v>0</v>
      </c>
      <c r="G1578" s="20">
        <v>8456.4500000000007</v>
      </c>
      <c r="H1578" s="20">
        <v>7954.24</v>
      </c>
      <c r="I1578" s="20">
        <v>2173.7399999999998</v>
      </c>
      <c r="J1578" s="51" t="s">
        <v>6726</v>
      </c>
      <c r="K1578" s="15">
        <v>0</v>
      </c>
      <c r="L1578" s="51" t="s">
        <v>2371</v>
      </c>
      <c r="M1578" s="51" t="s">
        <v>8130</v>
      </c>
      <c r="N1578" s="51" t="s">
        <v>1340</v>
      </c>
      <c r="O1578" s="51" t="s">
        <v>67</v>
      </c>
      <c r="P1578" s="51" t="s">
        <v>67</v>
      </c>
      <c r="Q1578" s="45">
        <v>46286.94339270833</v>
      </c>
      <c r="R1578" s="46">
        <v>46316</v>
      </c>
      <c r="S1578" s="46">
        <v>46311</v>
      </c>
      <c r="T1578" s="51" t="s">
        <v>6119</v>
      </c>
      <c r="U1578" s="15"/>
      <c r="V1578" s="15"/>
      <c r="W1578" s="15"/>
      <c r="X1578" s="15"/>
      <c r="Y1578" s="15"/>
      <c r="Z1578" s="15"/>
      <c r="AA1578" s="46"/>
      <c r="AB1578" s="15"/>
      <c r="AC1578" s="15"/>
      <c r="AD1578" s="15"/>
      <c r="AE1578" s="15"/>
      <c r="AF1578" s="15"/>
      <c r="AG1578" s="15"/>
      <c r="AH1578" s="15"/>
      <c r="AI1578" s="46"/>
      <c r="AJ1578" s="51" t="s">
        <v>67</v>
      </c>
      <c r="AK1578" s="51" t="s">
        <v>67</v>
      </c>
      <c r="AL1578" s="15"/>
      <c r="AM1578" s="51" t="s">
        <v>67</v>
      </c>
      <c r="AN1578" s="51" t="s">
        <v>67</v>
      </c>
      <c r="AO1578" s="50" t="s">
        <v>9554</v>
      </c>
    </row>
    <row r="1579" spans="1:41" hidden="1" x14ac:dyDescent="0.25">
      <c r="A1579" s="51" t="s">
        <v>8131</v>
      </c>
      <c r="B1579" s="51" t="s">
        <v>8132</v>
      </c>
      <c r="C1579" s="54" t="s">
        <v>2541</v>
      </c>
      <c r="D1579" s="51" t="s">
        <v>8133</v>
      </c>
      <c r="E1579" s="20">
        <v>10000</v>
      </c>
      <c r="F1579" s="20">
        <v>0</v>
      </c>
      <c r="G1579" s="20">
        <v>16638.14</v>
      </c>
      <c r="H1579" s="20">
        <v>4825.62</v>
      </c>
      <c r="I1579" s="20">
        <v>2752.23</v>
      </c>
      <c r="J1579" s="51" t="s">
        <v>6726</v>
      </c>
      <c r="K1579" s="15">
        <v>0</v>
      </c>
      <c r="L1579" s="51" t="s">
        <v>2371</v>
      </c>
      <c r="M1579" s="51" t="s">
        <v>67</v>
      </c>
      <c r="N1579" s="51" t="s">
        <v>67</v>
      </c>
      <c r="O1579" s="51" t="s">
        <v>8134</v>
      </c>
      <c r="P1579" s="51" t="s">
        <v>1340</v>
      </c>
      <c r="Q1579" s="45">
        <v>46286.943398171294</v>
      </c>
      <c r="R1579" s="46">
        <v>46311</v>
      </c>
      <c r="S1579" s="46">
        <v>46306</v>
      </c>
      <c r="T1579" s="51" t="s">
        <v>6119</v>
      </c>
      <c r="U1579" s="15"/>
      <c r="V1579" s="15"/>
      <c r="W1579" s="15"/>
      <c r="X1579" s="15"/>
      <c r="Y1579" s="15"/>
      <c r="Z1579" s="15"/>
      <c r="AA1579" s="46"/>
      <c r="AB1579" s="15"/>
      <c r="AC1579" s="15"/>
      <c r="AD1579" s="15"/>
      <c r="AE1579" s="15"/>
      <c r="AF1579" s="15"/>
      <c r="AG1579" s="15"/>
      <c r="AH1579" s="15"/>
      <c r="AI1579" s="46"/>
      <c r="AJ1579" s="51" t="s">
        <v>67</v>
      </c>
      <c r="AK1579" s="51" t="s">
        <v>67</v>
      </c>
      <c r="AL1579" s="15"/>
      <c r="AM1579" s="51" t="s">
        <v>67</v>
      </c>
      <c r="AN1579" s="51" t="s">
        <v>67</v>
      </c>
      <c r="AO1579" s="50" t="s">
        <v>9554</v>
      </c>
    </row>
    <row r="1580" spans="1:41" hidden="1" x14ac:dyDescent="0.25">
      <c r="A1580" s="51" t="s">
        <v>8135</v>
      </c>
      <c r="B1580" s="51" t="s">
        <v>8136</v>
      </c>
      <c r="C1580" s="54" t="s">
        <v>2694</v>
      </c>
      <c r="D1580" s="51" t="s">
        <v>8137</v>
      </c>
      <c r="E1580" s="20">
        <v>10000</v>
      </c>
      <c r="F1580" s="20">
        <v>0</v>
      </c>
      <c r="G1580" s="20">
        <v>4114.7299999999996</v>
      </c>
      <c r="H1580" s="20">
        <v>3702.83</v>
      </c>
      <c r="I1580" s="20">
        <v>1205.67</v>
      </c>
      <c r="J1580" s="51" t="s">
        <v>6726</v>
      </c>
      <c r="K1580" s="15">
        <v>0</v>
      </c>
      <c r="L1580" s="51" t="s">
        <v>2371</v>
      </c>
      <c r="M1580" s="51" t="s">
        <v>67</v>
      </c>
      <c r="N1580" s="51" t="s">
        <v>67</v>
      </c>
      <c r="O1580" s="51" t="s">
        <v>8138</v>
      </c>
      <c r="P1580" s="51" t="s">
        <v>1340</v>
      </c>
      <c r="Q1580" s="45">
        <v>46286.943403287034</v>
      </c>
      <c r="R1580" s="46">
        <v>46312</v>
      </c>
      <c r="S1580" s="46">
        <v>46307</v>
      </c>
      <c r="T1580" s="51" t="s">
        <v>6119</v>
      </c>
      <c r="U1580" s="15"/>
      <c r="V1580" s="15"/>
      <c r="W1580" s="15"/>
      <c r="X1580" s="15"/>
      <c r="Y1580" s="15"/>
      <c r="Z1580" s="15"/>
      <c r="AA1580" s="46"/>
      <c r="AB1580" s="15"/>
      <c r="AC1580" s="15"/>
      <c r="AD1580" s="15"/>
      <c r="AE1580" s="15"/>
      <c r="AF1580" s="15"/>
      <c r="AG1580" s="15"/>
      <c r="AH1580" s="15"/>
      <c r="AI1580" s="46"/>
      <c r="AJ1580" s="51" t="s">
        <v>67</v>
      </c>
      <c r="AK1580" s="51" t="s">
        <v>67</v>
      </c>
      <c r="AL1580" s="15"/>
      <c r="AM1580" s="51" t="s">
        <v>67</v>
      </c>
      <c r="AN1580" s="51" t="s">
        <v>67</v>
      </c>
      <c r="AO1580" s="50" t="s">
        <v>9554</v>
      </c>
    </row>
    <row r="1581" spans="1:41" hidden="1" x14ac:dyDescent="0.25">
      <c r="A1581" s="51" t="s">
        <v>8139</v>
      </c>
      <c r="B1581" s="51" t="s">
        <v>8140</v>
      </c>
      <c r="C1581" s="54" t="s">
        <v>5596</v>
      </c>
      <c r="D1581" s="51" t="s">
        <v>8141</v>
      </c>
      <c r="E1581" s="20">
        <v>10000</v>
      </c>
      <c r="F1581" s="20">
        <v>4369.91</v>
      </c>
      <c r="G1581" s="20">
        <v>8753.85</v>
      </c>
      <c r="H1581" s="20">
        <v>2788.9</v>
      </c>
      <c r="I1581" s="20">
        <v>5991</v>
      </c>
      <c r="J1581" s="51" t="s">
        <v>6726</v>
      </c>
      <c r="K1581" s="15">
        <v>0</v>
      </c>
      <c r="L1581" s="51" t="s">
        <v>2371</v>
      </c>
      <c r="M1581" s="51" t="s">
        <v>67</v>
      </c>
      <c r="N1581" s="51" t="s">
        <v>67</v>
      </c>
      <c r="O1581" s="51" t="s">
        <v>8142</v>
      </c>
      <c r="P1581" s="51" t="s">
        <v>1344</v>
      </c>
      <c r="Q1581" s="45">
        <v>46286.943408449071</v>
      </c>
      <c r="R1581" s="46">
        <v>46300</v>
      </c>
      <c r="S1581" s="46">
        <v>46295</v>
      </c>
      <c r="T1581" s="51" t="s">
        <v>6119</v>
      </c>
      <c r="U1581" s="15"/>
      <c r="V1581" s="15"/>
      <c r="W1581" s="15"/>
      <c r="X1581" s="15"/>
      <c r="Y1581" s="15"/>
      <c r="Z1581" s="15"/>
      <c r="AA1581" s="46"/>
      <c r="AB1581" s="15"/>
      <c r="AC1581" s="15"/>
      <c r="AD1581" s="15"/>
      <c r="AE1581" s="15"/>
      <c r="AF1581" s="15"/>
      <c r="AG1581" s="15"/>
      <c r="AH1581" s="15"/>
      <c r="AI1581" s="46"/>
      <c r="AJ1581" s="51" t="s">
        <v>67</v>
      </c>
      <c r="AK1581" s="51" t="s">
        <v>67</v>
      </c>
      <c r="AL1581" s="15"/>
      <c r="AM1581" s="51" t="s">
        <v>67</v>
      </c>
      <c r="AN1581" s="51" t="s">
        <v>67</v>
      </c>
      <c r="AO1581" s="50" t="s">
        <v>9554</v>
      </c>
    </row>
    <row r="1582" spans="1:41" hidden="1" x14ac:dyDescent="0.25">
      <c r="A1582" s="51" t="s">
        <v>8143</v>
      </c>
      <c r="B1582" s="51" t="s">
        <v>8144</v>
      </c>
      <c r="C1582" s="54" t="s">
        <v>611</v>
      </c>
      <c r="D1582" s="51" t="s">
        <v>8145</v>
      </c>
      <c r="E1582" s="20">
        <v>10000</v>
      </c>
      <c r="F1582" s="20">
        <v>0</v>
      </c>
      <c r="G1582" s="20">
        <v>13219.7</v>
      </c>
      <c r="H1582" s="20">
        <v>3684.08</v>
      </c>
      <c r="I1582" s="20">
        <v>1149.76</v>
      </c>
      <c r="J1582" s="51" t="s">
        <v>6726</v>
      </c>
      <c r="K1582" s="15">
        <v>0</v>
      </c>
      <c r="L1582" s="51" t="s">
        <v>2371</v>
      </c>
      <c r="M1582" s="51" t="s">
        <v>67</v>
      </c>
      <c r="N1582" s="51" t="s">
        <v>67</v>
      </c>
      <c r="O1582" s="51" t="s">
        <v>8146</v>
      </c>
      <c r="P1582" s="51" t="s">
        <v>1340</v>
      </c>
      <c r="Q1582" s="45">
        <v>46286.943413310182</v>
      </c>
      <c r="R1582" s="46">
        <v>46320</v>
      </c>
      <c r="S1582" s="46">
        <v>46315</v>
      </c>
      <c r="T1582" s="51" t="s">
        <v>6119</v>
      </c>
      <c r="U1582" s="15"/>
      <c r="V1582" s="15"/>
      <c r="W1582" s="15"/>
      <c r="X1582" s="15"/>
      <c r="Y1582" s="15"/>
      <c r="Z1582" s="15"/>
      <c r="AA1582" s="46"/>
      <c r="AB1582" s="15"/>
      <c r="AC1582" s="15"/>
      <c r="AD1582" s="15"/>
      <c r="AE1582" s="15"/>
      <c r="AF1582" s="15"/>
      <c r="AG1582" s="15"/>
      <c r="AH1582" s="15"/>
      <c r="AI1582" s="46"/>
      <c r="AJ1582" s="51" t="s">
        <v>67</v>
      </c>
      <c r="AK1582" s="51" t="s">
        <v>67</v>
      </c>
      <c r="AL1582" s="15"/>
      <c r="AM1582" s="51" t="s">
        <v>67</v>
      </c>
      <c r="AN1582" s="51" t="s">
        <v>67</v>
      </c>
      <c r="AO1582" s="50" t="s">
        <v>9554</v>
      </c>
    </row>
    <row r="1583" spans="1:41" hidden="1" x14ac:dyDescent="0.25">
      <c r="A1583" s="51" t="s">
        <v>8147</v>
      </c>
      <c r="B1583" s="51" t="s">
        <v>8148</v>
      </c>
      <c r="C1583" s="54" t="s">
        <v>2356</v>
      </c>
      <c r="D1583" s="51" t="s">
        <v>8149</v>
      </c>
      <c r="E1583" s="20">
        <v>10000</v>
      </c>
      <c r="F1583" s="20">
        <v>3943.51</v>
      </c>
      <c r="G1583" s="20">
        <v>15303.89</v>
      </c>
      <c r="H1583" s="20">
        <v>2982.74</v>
      </c>
      <c r="I1583" s="20">
        <v>5747.66</v>
      </c>
      <c r="J1583" s="51" t="s">
        <v>6726</v>
      </c>
      <c r="K1583" s="15">
        <v>0</v>
      </c>
      <c r="L1583" s="51" t="s">
        <v>2371</v>
      </c>
      <c r="M1583" s="51" t="s">
        <v>8150</v>
      </c>
      <c r="N1583" s="51" t="s">
        <v>1340</v>
      </c>
      <c r="O1583" s="51" t="s">
        <v>8151</v>
      </c>
      <c r="P1583" s="51" t="s">
        <v>1340</v>
      </c>
      <c r="Q1583" s="45">
        <v>46286.943419027775</v>
      </c>
      <c r="R1583" s="46">
        <v>46307</v>
      </c>
      <c r="S1583" s="46">
        <v>46302</v>
      </c>
      <c r="T1583" s="51" t="s">
        <v>6119</v>
      </c>
      <c r="U1583" s="15"/>
      <c r="V1583" s="15"/>
      <c r="W1583" s="15"/>
      <c r="X1583" s="15"/>
      <c r="Y1583" s="15"/>
      <c r="Z1583" s="15"/>
      <c r="AA1583" s="46"/>
      <c r="AB1583" s="15"/>
      <c r="AC1583" s="15"/>
      <c r="AD1583" s="15"/>
      <c r="AE1583" s="15"/>
      <c r="AF1583" s="15"/>
      <c r="AG1583" s="15"/>
      <c r="AH1583" s="15"/>
      <c r="AI1583" s="46"/>
      <c r="AJ1583" s="51" t="s">
        <v>67</v>
      </c>
      <c r="AK1583" s="51" t="s">
        <v>67</v>
      </c>
      <c r="AL1583" s="15"/>
      <c r="AM1583" s="51" t="s">
        <v>67</v>
      </c>
      <c r="AN1583" s="51" t="s">
        <v>67</v>
      </c>
      <c r="AO1583" s="50" t="s">
        <v>9554</v>
      </c>
    </row>
    <row r="1584" spans="1:41" hidden="1" x14ac:dyDescent="0.25">
      <c r="A1584" s="51" t="s">
        <v>8152</v>
      </c>
      <c r="B1584" s="51" t="s">
        <v>8153</v>
      </c>
      <c r="C1584" s="54" t="s">
        <v>5607</v>
      </c>
      <c r="D1584" s="51" t="s">
        <v>8154</v>
      </c>
      <c r="E1584" s="20">
        <v>10000</v>
      </c>
      <c r="F1584" s="20">
        <v>0</v>
      </c>
      <c r="G1584" s="20">
        <v>8850.2099999999991</v>
      </c>
      <c r="H1584" s="20">
        <v>3858.95</v>
      </c>
      <c r="I1584" s="20">
        <v>1134.97</v>
      </c>
      <c r="J1584" s="51" t="s">
        <v>6726</v>
      </c>
      <c r="K1584" s="15">
        <v>0</v>
      </c>
      <c r="L1584" s="51" t="s">
        <v>2371</v>
      </c>
      <c r="M1584" s="51" t="s">
        <v>8155</v>
      </c>
      <c r="N1584" s="51" t="s">
        <v>1340</v>
      </c>
      <c r="O1584" s="51" t="s">
        <v>8156</v>
      </c>
      <c r="P1584" s="51" t="s">
        <v>1340</v>
      </c>
      <c r="Q1584" s="45">
        <v>46286.943425069447</v>
      </c>
      <c r="R1584" s="46">
        <v>46299</v>
      </c>
      <c r="S1584" s="46">
        <v>46294</v>
      </c>
      <c r="T1584" s="51" t="s">
        <v>6119</v>
      </c>
      <c r="U1584" s="15"/>
      <c r="V1584" s="15"/>
      <c r="W1584" s="15"/>
      <c r="X1584" s="15"/>
      <c r="Y1584" s="15"/>
      <c r="Z1584" s="15"/>
      <c r="AA1584" s="46"/>
      <c r="AB1584" s="15"/>
      <c r="AC1584" s="15"/>
      <c r="AD1584" s="15"/>
      <c r="AE1584" s="15"/>
      <c r="AF1584" s="15"/>
      <c r="AG1584" s="15"/>
      <c r="AH1584" s="15"/>
      <c r="AI1584" s="46"/>
      <c r="AJ1584" s="51" t="s">
        <v>67</v>
      </c>
      <c r="AK1584" s="51" t="s">
        <v>67</v>
      </c>
      <c r="AL1584" s="15"/>
      <c r="AM1584" s="51" t="s">
        <v>67</v>
      </c>
      <c r="AN1584" s="51" t="s">
        <v>67</v>
      </c>
      <c r="AO1584" s="50" t="s">
        <v>9554</v>
      </c>
    </row>
    <row r="1585" spans="1:41" hidden="1" x14ac:dyDescent="0.25">
      <c r="A1585" s="51" t="s">
        <v>8157</v>
      </c>
      <c r="B1585" s="51" t="s">
        <v>8158</v>
      </c>
      <c r="C1585" s="54" t="s">
        <v>5606</v>
      </c>
      <c r="D1585" s="51" t="s">
        <v>8159</v>
      </c>
      <c r="E1585" s="20">
        <v>10000</v>
      </c>
      <c r="F1585" s="20">
        <v>0</v>
      </c>
      <c r="G1585" s="20">
        <v>14307.78</v>
      </c>
      <c r="H1585" s="20">
        <v>8076.07</v>
      </c>
      <c r="I1585" s="20">
        <v>1514.82</v>
      </c>
      <c r="J1585" s="51" t="s">
        <v>6726</v>
      </c>
      <c r="K1585" s="15">
        <v>0</v>
      </c>
      <c r="L1585" s="51" t="s">
        <v>2371</v>
      </c>
      <c r="M1585" s="51" t="s">
        <v>8160</v>
      </c>
      <c r="N1585" s="51" t="s">
        <v>1340</v>
      </c>
      <c r="O1585" s="51" t="s">
        <v>8161</v>
      </c>
      <c r="P1585" s="51" t="s">
        <v>1340</v>
      </c>
      <c r="Q1585" s="45">
        <v>46286.943432083332</v>
      </c>
      <c r="R1585" s="46">
        <v>46297</v>
      </c>
      <c r="S1585" s="46">
        <v>46292</v>
      </c>
      <c r="T1585" s="51" t="s">
        <v>6119</v>
      </c>
      <c r="U1585" s="15"/>
      <c r="V1585" s="15"/>
      <c r="W1585" s="15"/>
      <c r="X1585" s="15"/>
      <c r="Y1585" s="15"/>
      <c r="Z1585" s="15"/>
      <c r="AA1585" s="46"/>
      <c r="AB1585" s="15"/>
      <c r="AC1585" s="15"/>
      <c r="AD1585" s="15"/>
      <c r="AE1585" s="15"/>
      <c r="AF1585" s="15"/>
      <c r="AG1585" s="15"/>
      <c r="AH1585" s="15"/>
      <c r="AI1585" s="46"/>
      <c r="AJ1585" s="51" t="s">
        <v>67</v>
      </c>
      <c r="AK1585" s="51" t="s">
        <v>67</v>
      </c>
      <c r="AL1585" s="15"/>
      <c r="AM1585" s="51" t="s">
        <v>67</v>
      </c>
      <c r="AN1585" s="51" t="s">
        <v>67</v>
      </c>
      <c r="AO1585" s="50" t="s">
        <v>9554</v>
      </c>
    </row>
    <row r="1586" spans="1:41" hidden="1" x14ac:dyDescent="0.25">
      <c r="A1586" s="51" t="s">
        <v>8162</v>
      </c>
      <c r="B1586" s="51" t="s">
        <v>8163</v>
      </c>
      <c r="C1586" s="54" t="s">
        <v>2694</v>
      </c>
      <c r="D1586" s="51" t="s">
        <v>8164</v>
      </c>
      <c r="E1586" s="20">
        <v>10000</v>
      </c>
      <c r="F1586" s="20">
        <v>3650.99</v>
      </c>
      <c r="G1586" s="20">
        <v>14026.31</v>
      </c>
      <c r="H1586" s="20">
        <v>10072.19</v>
      </c>
      <c r="I1586" s="20">
        <v>6341.9</v>
      </c>
      <c r="J1586" s="51" t="s">
        <v>6726</v>
      </c>
      <c r="K1586" s="15">
        <v>0</v>
      </c>
      <c r="L1586" s="51" t="s">
        <v>2371</v>
      </c>
      <c r="M1586" s="51" t="s">
        <v>8165</v>
      </c>
      <c r="N1586" s="51" t="s">
        <v>1340</v>
      </c>
      <c r="O1586" s="51" t="s">
        <v>8166</v>
      </c>
      <c r="P1586" s="51" t="s">
        <v>1340</v>
      </c>
      <c r="Q1586" s="45">
        <v>46286.943439328701</v>
      </c>
      <c r="R1586" s="46">
        <v>46312</v>
      </c>
      <c r="S1586" s="46">
        <v>46307</v>
      </c>
      <c r="T1586" s="51" t="s">
        <v>6119</v>
      </c>
      <c r="U1586" s="15"/>
      <c r="V1586" s="15"/>
      <c r="W1586" s="15"/>
      <c r="X1586" s="15"/>
      <c r="Y1586" s="15"/>
      <c r="Z1586" s="15"/>
      <c r="AA1586" s="46"/>
      <c r="AB1586" s="15"/>
      <c r="AC1586" s="15"/>
      <c r="AD1586" s="15"/>
      <c r="AE1586" s="15"/>
      <c r="AF1586" s="15"/>
      <c r="AG1586" s="15"/>
      <c r="AH1586" s="15"/>
      <c r="AI1586" s="46"/>
      <c r="AJ1586" s="51" t="s">
        <v>67</v>
      </c>
      <c r="AK1586" s="51" t="s">
        <v>67</v>
      </c>
      <c r="AL1586" s="15"/>
      <c r="AM1586" s="51" t="s">
        <v>67</v>
      </c>
      <c r="AN1586" s="51" t="s">
        <v>67</v>
      </c>
      <c r="AO1586" s="50" t="s">
        <v>9554</v>
      </c>
    </row>
    <row r="1587" spans="1:41" hidden="1" x14ac:dyDescent="0.25">
      <c r="A1587" s="51" t="s">
        <v>8167</v>
      </c>
      <c r="B1587" s="51" t="s">
        <v>8168</v>
      </c>
      <c r="C1587" s="54" t="s">
        <v>2691</v>
      </c>
      <c r="D1587" s="51" t="s">
        <v>8169</v>
      </c>
      <c r="E1587" s="20">
        <v>10000</v>
      </c>
      <c r="F1587" s="20">
        <v>0</v>
      </c>
      <c r="G1587" s="20">
        <v>18543.55</v>
      </c>
      <c r="H1587" s="20">
        <v>4209.45</v>
      </c>
      <c r="I1587" s="20">
        <v>981.69</v>
      </c>
      <c r="J1587" s="51" t="s">
        <v>6726</v>
      </c>
      <c r="K1587" s="15">
        <v>0</v>
      </c>
      <c r="L1587" s="51" t="s">
        <v>2371</v>
      </c>
      <c r="M1587" s="51" t="s">
        <v>8170</v>
      </c>
      <c r="N1587" s="51" t="s">
        <v>1340</v>
      </c>
      <c r="O1587" s="51" t="s">
        <v>8171</v>
      </c>
      <c r="P1587" s="51" t="s">
        <v>1340</v>
      </c>
      <c r="Q1587" s="45">
        <v>46286.943446134261</v>
      </c>
      <c r="R1587" s="46">
        <v>46301</v>
      </c>
      <c r="S1587" s="46">
        <v>46296</v>
      </c>
      <c r="T1587" s="51" t="s">
        <v>6119</v>
      </c>
      <c r="U1587" s="15"/>
      <c r="V1587" s="15"/>
      <c r="W1587" s="15"/>
      <c r="X1587" s="15"/>
      <c r="Y1587" s="15"/>
      <c r="Z1587" s="15"/>
      <c r="AA1587" s="46"/>
      <c r="AB1587" s="15"/>
      <c r="AC1587" s="15"/>
      <c r="AD1587" s="15"/>
      <c r="AE1587" s="15"/>
      <c r="AF1587" s="15"/>
      <c r="AG1587" s="15"/>
      <c r="AH1587" s="15"/>
      <c r="AI1587" s="46"/>
      <c r="AJ1587" s="51" t="s">
        <v>67</v>
      </c>
      <c r="AK1587" s="51" t="s">
        <v>67</v>
      </c>
      <c r="AL1587" s="15"/>
      <c r="AM1587" s="51" t="s">
        <v>67</v>
      </c>
      <c r="AN1587" s="51" t="s">
        <v>67</v>
      </c>
      <c r="AO1587" s="50" t="s">
        <v>9554</v>
      </c>
    </row>
    <row r="1588" spans="1:41" hidden="1" x14ac:dyDescent="0.25">
      <c r="A1588" s="51" t="s">
        <v>8172</v>
      </c>
      <c r="B1588" s="51" t="s">
        <v>8173</v>
      </c>
      <c r="C1588" s="54" t="s">
        <v>2693</v>
      </c>
      <c r="D1588" s="51" t="s">
        <v>8174</v>
      </c>
      <c r="E1588" s="20">
        <v>10000</v>
      </c>
      <c r="F1588" s="20">
        <v>0</v>
      </c>
      <c r="G1588" s="20">
        <v>5410.2</v>
      </c>
      <c r="H1588" s="20">
        <v>5905.1</v>
      </c>
      <c r="I1588" s="20">
        <v>1340.26</v>
      </c>
      <c r="J1588" s="51" t="s">
        <v>6726</v>
      </c>
      <c r="K1588" s="15">
        <v>0</v>
      </c>
      <c r="L1588" s="51" t="s">
        <v>2371</v>
      </c>
      <c r="M1588" s="51" t="s">
        <v>8175</v>
      </c>
      <c r="N1588" s="51" t="s">
        <v>1340</v>
      </c>
      <c r="O1588" s="51" t="s">
        <v>8176</v>
      </c>
      <c r="P1588" s="51" t="s">
        <v>1340</v>
      </c>
      <c r="Q1588" s="45">
        <v>46286.943453807871</v>
      </c>
      <c r="R1588" s="46">
        <v>46314</v>
      </c>
      <c r="S1588" s="46">
        <v>46309</v>
      </c>
      <c r="T1588" s="51" t="s">
        <v>6119</v>
      </c>
      <c r="U1588" s="15"/>
      <c r="V1588" s="15"/>
      <c r="W1588" s="15"/>
      <c r="X1588" s="15"/>
      <c r="Y1588" s="15"/>
      <c r="Z1588" s="15"/>
      <c r="AA1588" s="46"/>
      <c r="AB1588" s="15"/>
      <c r="AC1588" s="15"/>
      <c r="AD1588" s="15"/>
      <c r="AE1588" s="15"/>
      <c r="AF1588" s="15"/>
      <c r="AG1588" s="15"/>
      <c r="AH1588" s="15"/>
      <c r="AI1588" s="46"/>
      <c r="AJ1588" s="51" t="s">
        <v>67</v>
      </c>
      <c r="AK1588" s="51" t="s">
        <v>67</v>
      </c>
      <c r="AL1588" s="15"/>
      <c r="AM1588" s="51" t="s">
        <v>67</v>
      </c>
      <c r="AN1588" s="51" t="s">
        <v>67</v>
      </c>
      <c r="AO1588" s="50" t="s">
        <v>9554</v>
      </c>
    </row>
    <row r="1589" spans="1:41" hidden="1" x14ac:dyDescent="0.25">
      <c r="A1589" s="51" t="s">
        <v>8177</v>
      </c>
      <c r="B1589" s="51" t="s">
        <v>8178</v>
      </c>
      <c r="C1589" s="54" t="s">
        <v>608</v>
      </c>
      <c r="D1589" s="51" t="s">
        <v>8179</v>
      </c>
      <c r="E1589" s="20">
        <v>10000</v>
      </c>
      <c r="F1589" s="20">
        <v>0</v>
      </c>
      <c r="G1589" s="20">
        <v>5952.2</v>
      </c>
      <c r="H1589" s="20">
        <v>14075.69</v>
      </c>
      <c r="I1589" s="20">
        <v>1114.8699999999999</v>
      </c>
      <c r="J1589" s="51" t="s">
        <v>6726</v>
      </c>
      <c r="K1589" s="15">
        <v>0</v>
      </c>
      <c r="L1589" s="51" t="s">
        <v>2371</v>
      </c>
      <c r="M1589" s="51" t="s">
        <v>8180</v>
      </c>
      <c r="N1589" s="51" t="s">
        <v>1340</v>
      </c>
      <c r="O1589" s="51" t="s">
        <v>8181</v>
      </c>
      <c r="P1589" s="51" t="s">
        <v>1340</v>
      </c>
      <c r="Q1589" s="45">
        <v>46286.943461111114</v>
      </c>
      <c r="R1589" s="46">
        <v>46315</v>
      </c>
      <c r="S1589" s="46">
        <v>46310</v>
      </c>
      <c r="T1589" s="51" t="s">
        <v>6119</v>
      </c>
      <c r="U1589" s="15"/>
      <c r="V1589" s="15"/>
      <c r="W1589" s="15"/>
      <c r="X1589" s="15"/>
      <c r="Y1589" s="15"/>
      <c r="Z1589" s="15"/>
      <c r="AA1589" s="46"/>
      <c r="AB1589" s="15"/>
      <c r="AC1589" s="15"/>
      <c r="AD1589" s="15"/>
      <c r="AE1589" s="15"/>
      <c r="AF1589" s="15"/>
      <c r="AG1589" s="15"/>
      <c r="AH1589" s="15"/>
      <c r="AI1589" s="46"/>
      <c r="AJ1589" s="51" t="s">
        <v>67</v>
      </c>
      <c r="AK1589" s="51" t="s">
        <v>67</v>
      </c>
      <c r="AL1589" s="15"/>
      <c r="AM1589" s="51" t="s">
        <v>67</v>
      </c>
      <c r="AN1589" s="51" t="s">
        <v>67</v>
      </c>
      <c r="AO1589" s="50" t="s">
        <v>9554</v>
      </c>
    </row>
    <row r="1590" spans="1:41" hidden="1" x14ac:dyDescent="0.25">
      <c r="A1590" s="51" t="s">
        <v>8182</v>
      </c>
      <c r="B1590" s="51" t="s">
        <v>8183</v>
      </c>
      <c r="C1590" s="54" t="s">
        <v>5605</v>
      </c>
      <c r="D1590" s="51" t="s">
        <v>8184</v>
      </c>
      <c r="E1590" s="20">
        <v>10000</v>
      </c>
      <c r="F1590" s="20">
        <v>0</v>
      </c>
      <c r="G1590" s="20">
        <v>7940.11</v>
      </c>
      <c r="H1590" s="20">
        <v>4901.18</v>
      </c>
      <c r="I1590" s="20">
        <v>1435.66</v>
      </c>
      <c r="J1590" s="51" t="s">
        <v>6726</v>
      </c>
      <c r="K1590" s="15">
        <v>0</v>
      </c>
      <c r="L1590" s="51" t="s">
        <v>2371</v>
      </c>
      <c r="M1590" s="51" t="s">
        <v>8185</v>
      </c>
      <c r="N1590" s="51" t="s">
        <v>1340</v>
      </c>
      <c r="O1590" s="51" t="s">
        <v>67</v>
      </c>
      <c r="P1590" s="51" t="s">
        <v>67</v>
      </c>
      <c r="Q1590" s="45">
        <v>46286.94346855324</v>
      </c>
      <c r="R1590" s="46">
        <v>46323</v>
      </c>
      <c r="S1590" s="46">
        <v>46318</v>
      </c>
      <c r="T1590" s="51" t="s">
        <v>6119</v>
      </c>
      <c r="U1590" s="15"/>
      <c r="V1590" s="15"/>
      <c r="W1590" s="15"/>
      <c r="X1590" s="15"/>
      <c r="Y1590" s="15"/>
      <c r="Z1590" s="15"/>
      <c r="AA1590" s="46"/>
      <c r="AB1590" s="15"/>
      <c r="AC1590" s="15"/>
      <c r="AD1590" s="15"/>
      <c r="AE1590" s="15"/>
      <c r="AF1590" s="15"/>
      <c r="AG1590" s="15"/>
      <c r="AH1590" s="15"/>
      <c r="AI1590" s="46"/>
      <c r="AJ1590" s="51" t="s">
        <v>67</v>
      </c>
      <c r="AK1590" s="51" t="s">
        <v>67</v>
      </c>
      <c r="AL1590" s="15"/>
      <c r="AM1590" s="51" t="s">
        <v>67</v>
      </c>
      <c r="AN1590" s="51" t="s">
        <v>67</v>
      </c>
      <c r="AO1590" s="50" t="s">
        <v>9554</v>
      </c>
    </row>
    <row r="1591" spans="1:41" hidden="1" x14ac:dyDescent="0.25">
      <c r="A1591" s="51" t="s">
        <v>8186</v>
      </c>
      <c r="B1591" s="51" t="s">
        <v>8187</v>
      </c>
      <c r="C1591" s="54" t="s">
        <v>5604</v>
      </c>
      <c r="D1591" s="51" t="s">
        <v>8188</v>
      </c>
      <c r="E1591" s="20">
        <v>10000</v>
      </c>
      <c r="F1591" s="20">
        <v>1426.63</v>
      </c>
      <c r="G1591" s="20">
        <v>5511.98</v>
      </c>
      <c r="H1591" s="20">
        <v>2662.35</v>
      </c>
      <c r="I1591" s="20">
        <v>2781.05</v>
      </c>
      <c r="J1591" s="51" t="s">
        <v>6726</v>
      </c>
      <c r="K1591" s="15">
        <v>0</v>
      </c>
      <c r="L1591" s="51" t="s">
        <v>2371</v>
      </c>
      <c r="M1591" s="51" t="s">
        <v>67</v>
      </c>
      <c r="N1591" s="51" t="s">
        <v>67</v>
      </c>
      <c r="O1591" s="51" t="s">
        <v>8189</v>
      </c>
      <c r="P1591" s="51" t="s">
        <v>1340</v>
      </c>
      <c r="Q1591" s="45">
        <v>46286.943476157408</v>
      </c>
      <c r="R1591" s="46">
        <v>46313</v>
      </c>
      <c r="S1591" s="46">
        <v>46308</v>
      </c>
      <c r="T1591" s="51" t="s">
        <v>6119</v>
      </c>
      <c r="U1591" s="15"/>
      <c r="V1591" s="15"/>
      <c r="W1591" s="15"/>
      <c r="X1591" s="15"/>
      <c r="Y1591" s="15"/>
      <c r="Z1591" s="15"/>
      <c r="AA1591" s="46"/>
      <c r="AB1591" s="15"/>
      <c r="AC1591" s="15"/>
      <c r="AD1591" s="15"/>
      <c r="AE1591" s="15"/>
      <c r="AF1591" s="15"/>
      <c r="AG1591" s="15"/>
      <c r="AH1591" s="15"/>
      <c r="AI1591" s="46"/>
      <c r="AJ1591" s="51" t="s">
        <v>67</v>
      </c>
      <c r="AK1591" s="51" t="s">
        <v>67</v>
      </c>
      <c r="AL1591" s="15"/>
      <c r="AM1591" s="51" t="s">
        <v>67</v>
      </c>
      <c r="AN1591" s="51" t="s">
        <v>67</v>
      </c>
      <c r="AO1591" s="50" t="s">
        <v>9554</v>
      </c>
    </row>
    <row r="1592" spans="1:41" hidden="1" x14ac:dyDescent="0.25">
      <c r="A1592" s="51" t="s">
        <v>8190</v>
      </c>
      <c r="B1592" s="51" t="s">
        <v>8191</v>
      </c>
      <c r="C1592" s="54" t="s">
        <v>608</v>
      </c>
      <c r="D1592" s="51" t="s">
        <v>8192</v>
      </c>
      <c r="E1592" s="20">
        <v>10000</v>
      </c>
      <c r="F1592" s="20">
        <v>293.10000000000002</v>
      </c>
      <c r="G1592" s="20">
        <v>10322.19</v>
      </c>
      <c r="H1592" s="20">
        <v>5787.16</v>
      </c>
      <c r="I1592" s="20">
        <v>1019.04</v>
      </c>
      <c r="J1592" s="51" t="s">
        <v>6726</v>
      </c>
      <c r="K1592" s="15">
        <v>0</v>
      </c>
      <c r="L1592" s="51" t="s">
        <v>2371</v>
      </c>
      <c r="M1592" s="51" t="s">
        <v>67</v>
      </c>
      <c r="N1592" s="51" t="s">
        <v>67</v>
      </c>
      <c r="O1592" s="51" t="s">
        <v>8193</v>
      </c>
      <c r="P1592" s="51" t="s">
        <v>1340</v>
      </c>
      <c r="Q1592" s="45">
        <v>46286.943486284719</v>
      </c>
      <c r="R1592" s="46">
        <v>46315</v>
      </c>
      <c r="S1592" s="46">
        <v>46310</v>
      </c>
      <c r="T1592" s="51" t="s">
        <v>6119</v>
      </c>
      <c r="U1592" s="15"/>
      <c r="V1592" s="15"/>
      <c r="W1592" s="15"/>
      <c r="X1592" s="15"/>
      <c r="Y1592" s="15"/>
      <c r="Z1592" s="15"/>
      <c r="AA1592" s="46"/>
      <c r="AB1592" s="15"/>
      <c r="AC1592" s="15"/>
      <c r="AD1592" s="15"/>
      <c r="AE1592" s="15"/>
      <c r="AF1592" s="15"/>
      <c r="AG1592" s="15"/>
      <c r="AH1592" s="15"/>
      <c r="AI1592" s="46"/>
      <c r="AJ1592" s="51" t="s">
        <v>67</v>
      </c>
      <c r="AK1592" s="51" t="s">
        <v>67</v>
      </c>
      <c r="AL1592" s="15"/>
      <c r="AM1592" s="51" t="s">
        <v>67</v>
      </c>
      <c r="AN1592" s="51" t="s">
        <v>67</v>
      </c>
      <c r="AO1592" s="50" t="s">
        <v>9554</v>
      </c>
    </row>
    <row r="1593" spans="1:41" hidden="1" x14ac:dyDescent="0.25">
      <c r="A1593" s="51" t="s">
        <v>8194</v>
      </c>
      <c r="B1593" s="51" t="s">
        <v>8195</v>
      </c>
      <c r="C1593" s="54" t="s">
        <v>5604</v>
      </c>
      <c r="D1593" s="51" t="s">
        <v>8196</v>
      </c>
      <c r="E1593" s="20">
        <v>10000</v>
      </c>
      <c r="F1593" s="20">
        <v>0</v>
      </c>
      <c r="G1593" s="20">
        <v>16525.75</v>
      </c>
      <c r="H1593" s="20">
        <v>9515.23</v>
      </c>
      <c r="I1593" s="20">
        <v>1623.78</v>
      </c>
      <c r="J1593" s="51" t="s">
        <v>6726</v>
      </c>
      <c r="K1593" s="15">
        <v>0</v>
      </c>
      <c r="L1593" s="51" t="s">
        <v>2371</v>
      </c>
      <c r="M1593" s="51" t="s">
        <v>67</v>
      </c>
      <c r="N1593" s="51" t="s">
        <v>67</v>
      </c>
      <c r="O1593" s="51" t="s">
        <v>8197</v>
      </c>
      <c r="P1593" s="51" t="s">
        <v>1340</v>
      </c>
      <c r="Q1593" s="45">
        <v>46286.94349395833</v>
      </c>
      <c r="R1593" s="46">
        <v>46313</v>
      </c>
      <c r="S1593" s="46">
        <v>46308</v>
      </c>
      <c r="T1593" s="51" t="s">
        <v>6119</v>
      </c>
      <c r="U1593" s="15"/>
      <c r="V1593" s="15"/>
      <c r="W1593" s="15"/>
      <c r="X1593" s="15"/>
      <c r="Y1593" s="15"/>
      <c r="Z1593" s="15"/>
      <c r="AA1593" s="46"/>
      <c r="AB1593" s="15"/>
      <c r="AC1593" s="15"/>
      <c r="AD1593" s="15"/>
      <c r="AE1593" s="15"/>
      <c r="AF1593" s="15"/>
      <c r="AG1593" s="15"/>
      <c r="AH1593" s="15"/>
      <c r="AI1593" s="46"/>
      <c r="AJ1593" s="51" t="s">
        <v>67</v>
      </c>
      <c r="AK1593" s="51" t="s">
        <v>67</v>
      </c>
      <c r="AL1593" s="15"/>
      <c r="AM1593" s="51" t="s">
        <v>67</v>
      </c>
      <c r="AN1593" s="51" t="s">
        <v>67</v>
      </c>
      <c r="AO1593" s="50" t="s">
        <v>9554</v>
      </c>
    </row>
    <row r="1594" spans="1:41" hidden="1" x14ac:dyDescent="0.25">
      <c r="A1594" s="51" t="s">
        <v>8198</v>
      </c>
      <c r="B1594" s="51" t="s">
        <v>8199</v>
      </c>
      <c r="C1594" s="54" t="s">
        <v>5606</v>
      </c>
      <c r="D1594" s="51" t="s">
        <v>8200</v>
      </c>
      <c r="E1594" s="20">
        <v>10000</v>
      </c>
      <c r="F1594" s="20">
        <v>846.77</v>
      </c>
      <c r="G1594" s="20">
        <v>10157.14</v>
      </c>
      <c r="H1594" s="20">
        <v>3390.35</v>
      </c>
      <c r="I1594" s="20">
        <v>1776.18</v>
      </c>
      <c r="J1594" s="51" t="s">
        <v>6726</v>
      </c>
      <c r="K1594" s="15">
        <v>0</v>
      </c>
      <c r="L1594" s="51" t="s">
        <v>2371</v>
      </c>
      <c r="M1594" s="51" t="s">
        <v>67</v>
      </c>
      <c r="N1594" s="51" t="s">
        <v>67</v>
      </c>
      <c r="O1594" s="51" t="s">
        <v>8201</v>
      </c>
      <c r="P1594" s="51" t="s">
        <v>1340</v>
      </c>
      <c r="Q1594" s="45">
        <v>46286.943501956019</v>
      </c>
      <c r="R1594" s="46">
        <v>46297</v>
      </c>
      <c r="S1594" s="46">
        <v>46292</v>
      </c>
      <c r="T1594" s="51" t="s">
        <v>6119</v>
      </c>
      <c r="U1594" s="15"/>
      <c r="V1594" s="15"/>
      <c r="W1594" s="15"/>
      <c r="X1594" s="15"/>
      <c r="Y1594" s="15"/>
      <c r="Z1594" s="15"/>
      <c r="AA1594" s="46"/>
      <c r="AB1594" s="15"/>
      <c r="AC1594" s="15"/>
      <c r="AD1594" s="15"/>
      <c r="AE1594" s="15"/>
      <c r="AF1594" s="15"/>
      <c r="AG1594" s="15"/>
      <c r="AH1594" s="15"/>
      <c r="AI1594" s="46"/>
      <c r="AJ1594" s="51" t="s">
        <v>67</v>
      </c>
      <c r="AK1594" s="51" t="s">
        <v>67</v>
      </c>
      <c r="AL1594" s="15"/>
      <c r="AM1594" s="51" t="s">
        <v>67</v>
      </c>
      <c r="AN1594" s="51" t="s">
        <v>67</v>
      </c>
      <c r="AO1594" s="50" t="s">
        <v>9554</v>
      </c>
    </row>
    <row r="1595" spans="1:41" hidden="1" x14ac:dyDescent="0.25">
      <c r="A1595" s="51" t="s">
        <v>8202</v>
      </c>
      <c r="B1595" s="51" t="s">
        <v>8203</v>
      </c>
      <c r="C1595" s="54" t="s">
        <v>608</v>
      </c>
      <c r="D1595" s="51" t="s">
        <v>8204</v>
      </c>
      <c r="E1595" s="20">
        <v>10000</v>
      </c>
      <c r="F1595" s="20">
        <v>0</v>
      </c>
      <c r="G1595" s="20">
        <v>18679.82</v>
      </c>
      <c r="H1595" s="20">
        <v>5186.5200000000004</v>
      </c>
      <c r="I1595" s="20">
        <v>1544.82</v>
      </c>
      <c r="J1595" s="51" t="s">
        <v>6726</v>
      </c>
      <c r="K1595" s="15">
        <v>0</v>
      </c>
      <c r="L1595" s="51" t="s">
        <v>2371</v>
      </c>
      <c r="M1595" s="51" t="s">
        <v>8205</v>
      </c>
      <c r="N1595" s="51" t="s">
        <v>1340</v>
      </c>
      <c r="O1595" s="51" t="s">
        <v>67</v>
      </c>
      <c r="P1595" s="51" t="s">
        <v>67</v>
      </c>
      <c r="Q1595" s="45">
        <v>46286.943509895835</v>
      </c>
      <c r="R1595" s="46">
        <v>46315</v>
      </c>
      <c r="S1595" s="46">
        <v>46310</v>
      </c>
      <c r="T1595" s="51" t="s">
        <v>6119</v>
      </c>
      <c r="U1595" s="15"/>
      <c r="V1595" s="15"/>
      <c r="W1595" s="15"/>
      <c r="X1595" s="15"/>
      <c r="Y1595" s="15"/>
      <c r="Z1595" s="15"/>
      <c r="AA1595" s="46"/>
      <c r="AB1595" s="15"/>
      <c r="AC1595" s="15"/>
      <c r="AD1595" s="15"/>
      <c r="AE1595" s="15"/>
      <c r="AF1595" s="15"/>
      <c r="AG1595" s="15"/>
      <c r="AH1595" s="15"/>
      <c r="AI1595" s="46"/>
      <c r="AJ1595" s="51" t="s">
        <v>67</v>
      </c>
      <c r="AK1595" s="51" t="s">
        <v>67</v>
      </c>
      <c r="AL1595" s="15"/>
      <c r="AM1595" s="51" t="s">
        <v>67</v>
      </c>
      <c r="AN1595" s="51" t="s">
        <v>67</v>
      </c>
      <c r="AO1595" s="50" t="s">
        <v>9554</v>
      </c>
    </row>
    <row r="1596" spans="1:41" hidden="1" x14ac:dyDescent="0.25">
      <c r="A1596" s="51" t="s">
        <v>8206</v>
      </c>
      <c r="B1596" s="51" t="s">
        <v>8207</v>
      </c>
      <c r="C1596" s="54" t="s">
        <v>2345</v>
      </c>
      <c r="D1596" s="51" t="s">
        <v>8208</v>
      </c>
      <c r="E1596" s="20">
        <v>10000</v>
      </c>
      <c r="F1596" s="20">
        <v>123.29</v>
      </c>
      <c r="G1596" s="20">
        <v>20729.080000000002</v>
      </c>
      <c r="H1596" s="20">
        <v>2923.41</v>
      </c>
      <c r="I1596" s="20">
        <v>1568.55</v>
      </c>
      <c r="J1596" s="51" t="s">
        <v>6726</v>
      </c>
      <c r="K1596" s="15">
        <v>0</v>
      </c>
      <c r="L1596" s="51" t="s">
        <v>2371</v>
      </c>
      <c r="M1596" s="51" t="s">
        <v>8209</v>
      </c>
      <c r="N1596" s="51" t="s">
        <v>1340</v>
      </c>
      <c r="O1596" s="51" t="s">
        <v>8210</v>
      </c>
      <c r="P1596" s="51" t="s">
        <v>1340</v>
      </c>
      <c r="Q1596" s="45">
        <v>46286.943520763889</v>
      </c>
      <c r="R1596" s="46">
        <v>46306</v>
      </c>
      <c r="S1596" s="46">
        <v>46301</v>
      </c>
      <c r="T1596" s="51" t="s">
        <v>6119</v>
      </c>
      <c r="U1596" s="15"/>
      <c r="V1596" s="15"/>
      <c r="W1596" s="15"/>
      <c r="X1596" s="15"/>
      <c r="Y1596" s="15"/>
      <c r="Z1596" s="15"/>
      <c r="AA1596" s="46"/>
      <c r="AB1596" s="15"/>
      <c r="AC1596" s="15"/>
      <c r="AD1596" s="15"/>
      <c r="AE1596" s="15"/>
      <c r="AF1596" s="15"/>
      <c r="AG1596" s="15"/>
      <c r="AH1596" s="15"/>
      <c r="AI1596" s="46"/>
      <c r="AJ1596" s="51" t="s">
        <v>67</v>
      </c>
      <c r="AK1596" s="51" t="s">
        <v>67</v>
      </c>
      <c r="AL1596" s="15"/>
      <c r="AM1596" s="51" t="s">
        <v>67</v>
      </c>
      <c r="AN1596" s="51" t="s">
        <v>67</v>
      </c>
      <c r="AO1596" s="50" t="s">
        <v>9554</v>
      </c>
    </row>
    <row r="1597" spans="1:41" hidden="1" x14ac:dyDescent="0.25">
      <c r="A1597" s="51" t="s">
        <v>8211</v>
      </c>
      <c r="B1597" s="51" t="s">
        <v>8212</v>
      </c>
      <c r="C1597" s="54" t="s">
        <v>5598</v>
      </c>
      <c r="D1597" s="51" t="s">
        <v>8213</v>
      </c>
      <c r="E1597" s="20">
        <v>10000</v>
      </c>
      <c r="F1597" s="20">
        <v>0</v>
      </c>
      <c r="G1597" s="20">
        <v>19878.95</v>
      </c>
      <c r="H1597" s="20">
        <v>3642.19</v>
      </c>
      <c r="I1597" s="20">
        <v>2097.12</v>
      </c>
      <c r="J1597" s="51" t="s">
        <v>6726</v>
      </c>
      <c r="K1597" s="15">
        <v>0</v>
      </c>
      <c r="L1597" s="51" t="s">
        <v>2371</v>
      </c>
      <c r="M1597" s="51" t="s">
        <v>8214</v>
      </c>
      <c r="N1597" s="51" t="s">
        <v>1340</v>
      </c>
      <c r="O1597" s="51" t="s">
        <v>67</v>
      </c>
      <c r="P1597" s="51" t="s">
        <v>67</v>
      </c>
      <c r="Q1597" s="45">
        <v>46286.943528518517</v>
      </c>
      <c r="R1597" s="46">
        <v>46318</v>
      </c>
      <c r="S1597" s="46">
        <v>46313</v>
      </c>
      <c r="T1597" s="51" t="s">
        <v>6119</v>
      </c>
      <c r="U1597" s="15"/>
      <c r="V1597" s="15"/>
      <c r="W1597" s="15"/>
      <c r="X1597" s="15"/>
      <c r="Y1597" s="15"/>
      <c r="Z1597" s="15"/>
      <c r="AA1597" s="46"/>
      <c r="AB1597" s="15"/>
      <c r="AC1597" s="15"/>
      <c r="AD1597" s="15"/>
      <c r="AE1597" s="15"/>
      <c r="AF1597" s="15"/>
      <c r="AG1597" s="15"/>
      <c r="AH1597" s="15"/>
      <c r="AI1597" s="46"/>
      <c r="AJ1597" s="51" t="s">
        <v>67</v>
      </c>
      <c r="AK1597" s="51" t="s">
        <v>67</v>
      </c>
      <c r="AL1597" s="15"/>
      <c r="AM1597" s="51" t="s">
        <v>67</v>
      </c>
      <c r="AN1597" s="51" t="s">
        <v>67</v>
      </c>
      <c r="AO1597" s="50" t="s">
        <v>9554</v>
      </c>
    </row>
    <row r="1598" spans="1:41" hidden="1" x14ac:dyDescent="0.25">
      <c r="A1598" s="51" t="s">
        <v>8215</v>
      </c>
      <c r="B1598" s="51" t="s">
        <v>8216</v>
      </c>
      <c r="C1598" s="54" t="s">
        <v>5606</v>
      </c>
      <c r="D1598" s="51" t="s">
        <v>8217</v>
      </c>
      <c r="E1598" s="20">
        <v>10000</v>
      </c>
      <c r="F1598" s="20">
        <v>0</v>
      </c>
      <c r="G1598" s="20">
        <v>21806.28</v>
      </c>
      <c r="H1598" s="20">
        <v>7206.57</v>
      </c>
      <c r="I1598" s="20">
        <v>1051.54</v>
      </c>
      <c r="J1598" s="51" t="s">
        <v>6726</v>
      </c>
      <c r="K1598" s="15">
        <v>0</v>
      </c>
      <c r="L1598" s="51" t="s">
        <v>2371</v>
      </c>
      <c r="M1598" s="51" t="s">
        <v>67</v>
      </c>
      <c r="N1598" s="51" t="s">
        <v>67</v>
      </c>
      <c r="O1598" s="51" t="s">
        <v>8218</v>
      </c>
      <c r="P1598" s="51" t="s">
        <v>1340</v>
      </c>
      <c r="Q1598" s="45">
        <v>46286.943535370374</v>
      </c>
      <c r="R1598" s="46">
        <v>46297</v>
      </c>
      <c r="S1598" s="46">
        <v>46292</v>
      </c>
      <c r="T1598" s="51" t="s">
        <v>6119</v>
      </c>
      <c r="U1598" s="15"/>
      <c r="V1598" s="15"/>
      <c r="W1598" s="15"/>
      <c r="X1598" s="15"/>
      <c r="Y1598" s="15"/>
      <c r="Z1598" s="15"/>
      <c r="AA1598" s="46"/>
      <c r="AB1598" s="15"/>
      <c r="AC1598" s="15"/>
      <c r="AD1598" s="15"/>
      <c r="AE1598" s="15"/>
      <c r="AF1598" s="15"/>
      <c r="AG1598" s="15"/>
      <c r="AH1598" s="15"/>
      <c r="AI1598" s="46"/>
      <c r="AJ1598" s="51" t="s">
        <v>67</v>
      </c>
      <c r="AK1598" s="51" t="s">
        <v>67</v>
      </c>
      <c r="AL1598" s="15"/>
      <c r="AM1598" s="51" t="s">
        <v>67</v>
      </c>
      <c r="AN1598" s="51" t="s">
        <v>67</v>
      </c>
      <c r="AO1598" s="50" t="s">
        <v>9554</v>
      </c>
    </row>
    <row r="1599" spans="1:41" hidden="1" x14ac:dyDescent="0.25">
      <c r="A1599" s="51" t="s">
        <v>8219</v>
      </c>
      <c r="B1599" s="51" t="s">
        <v>8220</v>
      </c>
      <c r="C1599" s="54" t="s">
        <v>2690</v>
      </c>
      <c r="D1599" s="51" t="s">
        <v>8221</v>
      </c>
      <c r="E1599" s="20">
        <v>10000</v>
      </c>
      <c r="F1599" s="20">
        <v>1066.81</v>
      </c>
      <c r="G1599" s="20">
        <v>10565.33</v>
      </c>
      <c r="H1599" s="20">
        <v>5393.95</v>
      </c>
      <c r="I1599" s="20">
        <v>2509.96</v>
      </c>
      <c r="J1599" s="51" t="s">
        <v>6726</v>
      </c>
      <c r="K1599" s="15">
        <v>0</v>
      </c>
      <c r="L1599" s="51" t="s">
        <v>2371</v>
      </c>
      <c r="M1599" s="51" t="s">
        <v>67</v>
      </c>
      <c r="N1599" s="51" t="s">
        <v>67</v>
      </c>
      <c r="O1599" s="51" t="s">
        <v>8222</v>
      </c>
      <c r="P1599" s="51" t="s">
        <v>1340</v>
      </c>
      <c r="Q1599" s="45">
        <v>46286.943542974535</v>
      </c>
      <c r="R1599" s="46">
        <v>46322</v>
      </c>
      <c r="S1599" s="46">
        <v>46317</v>
      </c>
      <c r="T1599" s="51" t="s">
        <v>6119</v>
      </c>
      <c r="U1599" s="15"/>
      <c r="V1599" s="15"/>
      <c r="W1599" s="15"/>
      <c r="X1599" s="15"/>
      <c r="Y1599" s="15"/>
      <c r="Z1599" s="15"/>
      <c r="AA1599" s="46"/>
      <c r="AB1599" s="15"/>
      <c r="AC1599" s="15"/>
      <c r="AD1599" s="15"/>
      <c r="AE1599" s="15"/>
      <c r="AF1599" s="15"/>
      <c r="AG1599" s="15"/>
      <c r="AH1599" s="15"/>
      <c r="AI1599" s="46"/>
      <c r="AJ1599" s="51" t="s">
        <v>67</v>
      </c>
      <c r="AK1599" s="51" t="s">
        <v>67</v>
      </c>
      <c r="AL1599" s="15"/>
      <c r="AM1599" s="51" t="s">
        <v>67</v>
      </c>
      <c r="AN1599" s="51" t="s">
        <v>67</v>
      </c>
      <c r="AO1599" s="50" t="s">
        <v>9554</v>
      </c>
    </row>
    <row r="1600" spans="1:41" hidden="1" x14ac:dyDescent="0.25">
      <c r="A1600" s="51" t="s">
        <v>8223</v>
      </c>
      <c r="B1600" s="51" t="s">
        <v>8224</v>
      </c>
      <c r="C1600" s="54" t="s">
        <v>5604</v>
      </c>
      <c r="D1600" s="51" t="s">
        <v>8225</v>
      </c>
      <c r="E1600" s="20">
        <v>10000</v>
      </c>
      <c r="F1600" s="20">
        <v>0</v>
      </c>
      <c r="G1600" s="20">
        <v>18341.169999999998</v>
      </c>
      <c r="H1600" s="20">
        <v>14840.43</v>
      </c>
      <c r="I1600" s="20">
        <v>1073.67</v>
      </c>
      <c r="J1600" s="51" t="s">
        <v>6726</v>
      </c>
      <c r="K1600" s="15">
        <v>0</v>
      </c>
      <c r="L1600" s="51" t="s">
        <v>2371</v>
      </c>
      <c r="M1600" s="51" t="s">
        <v>8226</v>
      </c>
      <c r="N1600" s="51" t="s">
        <v>1344</v>
      </c>
      <c r="O1600" s="51" t="s">
        <v>67</v>
      </c>
      <c r="P1600" s="51" t="s">
        <v>67</v>
      </c>
      <c r="Q1600" s="45">
        <v>46286.943551226854</v>
      </c>
      <c r="R1600" s="46">
        <v>46313</v>
      </c>
      <c r="S1600" s="46">
        <v>46308</v>
      </c>
      <c r="T1600" s="51" t="s">
        <v>6119</v>
      </c>
      <c r="U1600" s="15"/>
      <c r="V1600" s="15"/>
      <c r="W1600" s="15"/>
      <c r="X1600" s="15"/>
      <c r="Y1600" s="15"/>
      <c r="Z1600" s="15"/>
      <c r="AA1600" s="46"/>
      <c r="AB1600" s="15"/>
      <c r="AC1600" s="15"/>
      <c r="AD1600" s="15"/>
      <c r="AE1600" s="15"/>
      <c r="AF1600" s="15"/>
      <c r="AG1600" s="15"/>
      <c r="AH1600" s="15"/>
      <c r="AI1600" s="46"/>
      <c r="AJ1600" s="51" t="s">
        <v>67</v>
      </c>
      <c r="AK1600" s="51" t="s">
        <v>67</v>
      </c>
      <c r="AL1600" s="15"/>
      <c r="AM1600" s="51" t="s">
        <v>67</v>
      </c>
      <c r="AN1600" s="51" t="s">
        <v>67</v>
      </c>
      <c r="AO1600" s="50" t="s">
        <v>9554</v>
      </c>
    </row>
    <row r="1601" spans="1:41" hidden="1" x14ac:dyDescent="0.25">
      <c r="A1601" s="51" t="s">
        <v>8227</v>
      </c>
      <c r="B1601" s="51" t="s">
        <v>8228</v>
      </c>
      <c r="C1601" s="54" t="s">
        <v>5607</v>
      </c>
      <c r="D1601" s="51" t="s">
        <v>8229</v>
      </c>
      <c r="E1601" s="20">
        <v>10000</v>
      </c>
      <c r="F1601" s="20">
        <v>0</v>
      </c>
      <c r="G1601" s="20">
        <v>16628.509999999998</v>
      </c>
      <c r="H1601" s="20">
        <v>4641.63</v>
      </c>
      <c r="I1601" s="20">
        <v>2740.81</v>
      </c>
      <c r="J1601" s="51" t="s">
        <v>6726</v>
      </c>
      <c r="K1601" s="15">
        <v>0</v>
      </c>
      <c r="L1601" s="51" t="s">
        <v>2371</v>
      </c>
      <c r="M1601" s="51" t="s">
        <v>67</v>
      </c>
      <c r="N1601" s="51" t="s">
        <v>67</v>
      </c>
      <c r="O1601" s="51" t="s">
        <v>8230</v>
      </c>
      <c r="P1601" s="51" t="s">
        <v>1340</v>
      </c>
      <c r="Q1601" s="45">
        <v>46286.943560300926</v>
      </c>
      <c r="R1601" s="46">
        <v>46299</v>
      </c>
      <c r="S1601" s="46">
        <v>46294</v>
      </c>
      <c r="T1601" s="51" t="s">
        <v>6119</v>
      </c>
      <c r="U1601" s="15"/>
      <c r="V1601" s="15"/>
      <c r="W1601" s="15"/>
      <c r="X1601" s="15"/>
      <c r="Y1601" s="15"/>
      <c r="Z1601" s="15"/>
      <c r="AA1601" s="46"/>
      <c r="AB1601" s="15"/>
      <c r="AC1601" s="15"/>
      <c r="AD1601" s="15"/>
      <c r="AE1601" s="15"/>
      <c r="AF1601" s="15"/>
      <c r="AG1601" s="15"/>
      <c r="AH1601" s="15"/>
      <c r="AI1601" s="46"/>
      <c r="AJ1601" s="51" t="s">
        <v>67</v>
      </c>
      <c r="AK1601" s="51" t="s">
        <v>67</v>
      </c>
      <c r="AL1601" s="15"/>
      <c r="AM1601" s="51" t="s">
        <v>67</v>
      </c>
      <c r="AN1601" s="51" t="s">
        <v>67</v>
      </c>
      <c r="AO1601" s="50" t="s">
        <v>9554</v>
      </c>
    </row>
    <row r="1602" spans="1:41" hidden="1" x14ac:dyDescent="0.25">
      <c r="A1602" s="51" t="s">
        <v>8231</v>
      </c>
      <c r="B1602" s="51" t="s">
        <v>8232</v>
      </c>
      <c r="C1602" s="54" t="s">
        <v>5598</v>
      </c>
      <c r="D1602" s="51" t="s">
        <v>8233</v>
      </c>
      <c r="E1602" s="20">
        <v>10000</v>
      </c>
      <c r="F1602" s="20">
        <v>367.2</v>
      </c>
      <c r="G1602" s="20">
        <v>5738.94</v>
      </c>
      <c r="H1602" s="20">
        <v>302.88</v>
      </c>
      <c r="I1602" s="20">
        <v>367.2</v>
      </c>
      <c r="J1602" s="51" t="s">
        <v>6727</v>
      </c>
      <c r="K1602" s="15">
        <v>34</v>
      </c>
      <c r="L1602" s="51" t="s">
        <v>2369</v>
      </c>
      <c r="M1602" s="51" t="s">
        <v>67</v>
      </c>
      <c r="N1602" s="51" t="s">
        <v>67</v>
      </c>
      <c r="O1602" s="51" t="s">
        <v>8234</v>
      </c>
      <c r="P1602" s="51" t="s">
        <v>1340</v>
      </c>
      <c r="Q1602" s="45">
        <v>46287.52251978009</v>
      </c>
      <c r="R1602" s="46">
        <v>46318</v>
      </c>
      <c r="S1602" s="46">
        <v>46313</v>
      </c>
      <c r="T1602" s="51" t="s">
        <v>6119</v>
      </c>
      <c r="U1602" s="15"/>
      <c r="V1602" s="15"/>
      <c r="W1602" s="15"/>
      <c r="X1602" s="15"/>
      <c r="Y1602" s="15"/>
      <c r="Z1602" s="15"/>
      <c r="AA1602" s="46"/>
      <c r="AB1602" s="15"/>
      <c r="AC1602" s="15"/>
      <c r="AD1602" s="15"/>
      <c r="AE1602" s="15"/>
      <c r="AF1602" s="15"/>
      <c r="AG1602" s="15"/>
      <c r="AH1602" s="15"/>
      <c r="AI1602" s="46"/>
      <c r="AJ1602" s="51" t="s">
        <v>6121</v>
      </c>
      <c r="AK1602" s="51" t="s">
        <v>67</v>
      </c>
      <c r="AL1602" s="15"/>
      <c r="AM1602" s="51" t="s">
        <v>67</v>
      </c>
      <c r="AN1602" s="51" t="s">
        <v>67</v>
      </c>
      <c r="AO1602" s="50" t="s">
        <v>9554</v>
      </c>
    </row>
    <row r="1603" spans="1:41" hidden="1" x14ac:dyDescent="0.25">
      <c r="A1603" s="51" t="s">
        <v>8235</v>
      </c>
      <c r="B1603" s="51" t="s">
        <v>8236</v>
      </c>
      <c r="C1603" s="54" t="s">
        <v>5607</v>
      </c>
      <c r="D1603" s="51" t="s">
        <v>8237</v>
      </c>
      <c r="E1603" s="20">
        <v>10000</v>
      </c>
      <c r="F1603" s="20">
        <v>413.81</v>
      </c>
      <c r="G1603" s="20">
        <v>18364.37</v>
      </c>
      <c r="H1603" s="20">
        <v>361.16</v>
      </c>
      <c r="I1603" s="20">
        <v>413.81</v>
      </c>
      <c r="J1603" s="51" t="s">
        <v>6727</v>
      </c>
      <c r="K1603" s="15">
        <v>22</v>
      </c>
      <c r="L1603" s="51" t="s">
        <v>2369</v>
      </c>
      <c r="M1603" s="51" t="s">
        <v>8238</v>
      </c>
      <c r="N1603" s="51" t="s">
        <v>1340</v>
      </c>
      <c r="O1603" s="51" t="s">
        <v>8239</v>
      </c>
      <c r="P1603" s="51" t="s">
        <v>1340</v>
      </c>
      <c r="Q1603" s="45">
        <v>46287.522524722219</v>
      </c>
      <c r="R1603" s="46">
        <v>46299</v>
      </c>
      <c r="S1603" s="46">
        <v>46294</v>
      </c>
      <c r="T1603" s="51" t="s">
        <v>6119</v>
      </c>
      <c r="U1603" s="15"/>
      <c r="V1603" s="15"/>
      <c r="W1603" s="15"/>
      <c r="X1603" s="15"/>
      <c r="Y1603" s="15"/>
      <c r="Z1603" s="15"/>
      <c r="AA1603" s="46"/>
      <c r="AB1603" s="15"/>
      <c r="AC1603" s="15"/>
      <c r="AD1603" s="15"/>
      <c r="AE1603" s="15"/>
      <c r="AF1603" s="15"/>
      <c r="AG1603" s="15"/>
      <c r="AH1603" s="15"/>
      <c r="AI1603" s="46"/>
      <c r="AJ1603" s="51" t="s">
        <v>6121</v>
      </c>
      <c r="AK1603" s="51" t="s">
        <v>67</v>
      </c>
      <c r="AL1603" s="15"/>
      <c r="AM1603" s="51" t="s">
        <v>67</v>
      </c>
      <c r="AN1603" s="51" t="s">
        <v>67</v>
      </c>
      <c r="AO1603" s="50" t="s">
        <v>9554</v>
      </c>
    </row>
    <row r="1604" spans="1:41" hidden="1" x14ac:dyDescent="0.25">
      <c r="A1604" s="51" t="s">
        <v>8240</v>
      </c>
      <c r="B1604" s="51" t="s">
        <v>8241</v>
      </c>
      <c r="C1604" s="54" t="s">
        <v>2689</v>
      </c>
      <c r="D1604" s="51" t="s">
        <v>8242</v>
      </c>
      <c r="E1604" s="20">
        <v>10000</v>
      </c>
      <c r="F1604" s="20">
        <v>433.48</v>
      </c>
      <c r="G1604" s="20">
        <v>19547.29</v>
      </c>
      <c r="H1604" s="20">
        <v>355.93</v>
      </c>
      <c r="I1604" s="20">
        <v>433.48</v>
      </c>
      <c r="J1604" s="51" t="s">
        <v>6727</v>
      </c>
      <c r="K1604" s="15">
        <v>35</v>
      </c>
      <c r="L1604" s="51" t="s">
        <v>2369</v>
      </c>
      <c r="M1604" s="51" t="s">
        <v>67</v>
      </c>
      <c r="N1604" s="51" t="s">
        <v>67</v>
      </c>
      <c r="O1604" s="51" t="s">
        <v>8243</v>
      </c>
      <c r="P1604" s="51" t="s">
        <v>1344</v>
      </c>
      <c r="Q1604" s="45">
        <v>46287.52252903935</v>
      </c>
      <c r="R1604" s="46">
        <v>46317</v>
      </c>
      <c r="S1604" s="46">
        <v>46312</v>
      </c>
      <c r="T1604" s="51" t="s">
        <v>6119</v>
      </c>
      <c r="U1604" s="15"/>
      <c r="V1604" s="15"/>
      <c r="W1604" s="15"/>
      <c r="X1604" s="15"/>
      <c r="Y1604" s="15"/>
      <c r="Z1604" s="15"/>
      <c r="AA1604" s="46"/>
      <c r="AB1604" s="15"/>
      <c r="AC1604" s="15"/>
      <c r="AD1604" s="15"/>
      <c r="AE1604" s="15"/>
      <c r="AF1604" s="15"/>
      <c r="AG1604" s="15"/>
      <c r="AH1604" s="15"/>
      <c r="AI1604" s="46"/>
      <c r="AJ1604" s="51" t="s">
        <v>6121</v>
      </c>
      <c r="AK1604" s="51" t="s">
        <v>67</v>
      </c>
      <c r="AL1604" s="15"/>
      <c r="AM1604" s="51" t="s">
        <v>67</v>
      </c>
      <c r="AN1604" s="51" t="s">
        <v>67</v>
      </c>
      <c r="AO1604" s="50" t="s">
        <v>9554</v>
      </c>
    </row>
    <row r="1605" spans="1:41" hidden="1" x14ac:dyDescent="0.25">
      <c r="A1605" s="51" t="s">
        <v>8244</v>
      </c>
      <c r="B1605" s="51" t="s">
        <v>8245</v>
      </c>
      <c r="C1605" s="54" t="s">
        <v>5596</v>
      </c>
      <c r="D1605" s="51" t="s">
        <v>8246</v>
      </c>
      <c r="E1605" s="20">
        <v>10000</v>
      </c>
      <c r="F1605" s="20">
        <v>492.18</v>
      </c>
      <c r="G1605" s="20">
        <v>3752.03</v>
      </c>
      <c r="H1605" s="20">
        <v>431.65</v>
      </c>
      <c r="I1605" s="20">
        <v>492.18</v>
      </c>
      <c r="J1605" s="51" t="s">
        <v>6727</v>
      </c>
      <c r="K1605" s="15">
        <v>21</v>
      </c>
      <c r="L1605" s="51" t="s">
        <v>2369</v>
      </c>
      <c r="M1605" s="51" t="s">
        <v>67</v>
      </c>
      <c r="N1605" s="51" t="s">
        <v>67</v>
      </c>
      <c r="O1605" s="51" t="s">
        <v>8247</v>
      </c>
      <c r="P1605" s="51" t="s">
        <v>1340</v>
      </c>
      <c r="Q1605" s="45">
        <v>46287.522533229167</v>
      </c>
      <c r="R1605" s="46">
        <v>46300</v>
      </c>
      <c r="S1605" s="46">
        <v>46295</v>
      </c>
      <c r="T1605" s="51" t="s">
        <v>6119</v>
      </c>
      <c r="U1605" s="15"/>
      <c r="V1605" s="15"/>
      <c r="W1605" s="15"/>
      <c r="X1605" s="15"/>
      <c r="Y1605" s="15"/>
      <c r="Z1605" s="15"/>
      <c r="AA1605" s="46"/>
      <c r="AB1605" s="15"/>
      <c r="AC1605" s="15"/>
      <c r="AD1605" s="15"/>
      <c r="AE1605" s="15"/>
      <c r="AF1605" s="15"/>
      <c r="AG1605" s="15"/>
      <c r="AH1605" s="15"/>
      <c r="AI1605" s="46"/>
      <c r="AJ1605" s="51" t="s">
        <v>6121</v>
      </c>
      <c r="AK1605" s="51" t="s">
        <v>67</v>
      </c>
      <c r="AL1605" s="15"/>
      <c r="AM1605" s="51" t="s">
        <v>67</v>
      </c>
      <c r="AN1605" s="51" t="s">
        <v>67</v>
      </c>
      <c r="AO1605" s="50" t="s">
        <v>9554</v>
      </c>
    </row>
    <row r="1606" spans="1:41" hidden="1" x14ac:dyDescent="0.25">
      <c r="A1606" s="51" t="s">
        <v>8248</v>
      </c>
      <c r="B1606" s="51" t="s">
        <v>8249</v>
      </c>
      <c r="C1606" s="54" t="s">
        <v>5608</v>
      </c>
      <c r="D1606" s="51" t="s">
        <v>8250</v>
      </c>
      <c r="E1606" s="20">
        <v>10000</v>
      </c>
      <c r="F1606" s="20">
        <v>491.29</v>
      </c>
      <c r="G1606" s="20">
        <v>13680</v>
      </c>
      <c r="H1606" s="20">
        <v>407.11</v>
      </c>
      <c r="I1606" s="20">
        <v>491.29</v>
      </c>
      <c r="J1606" s="51" t="s">
        <v>6727</v>
      </c>
      <c r="K1606" s="15">
        <v>33</v>
      </c>
      <c r="L1606" s="51" t="s">
        <v>2369</v>
      </c>
      <c r="M1606" s="51" t="s">
        <v>67</v>
      </c>
      <c r="N1606" s="51" t="s">
        <v>67</v>
      </c>
      <c r="O1606" s="51" t="s">
        <v>8251</v>
      </c>
      <c r="P1606" s="51" t="s">
        <v>1340</v>
      </c>
      <c r="Q1606" s="45">
        <v>46287.522537974539</v>
      </c>
      <c r="R1606" s="46">
        <v>46319</v>
      </c>
      <c r="S1606" s="46">
        <v>46314</v>
      </c>
      <c r="T1606" s="51" t="s">
        <v>6119</v>
      </c>
      <c r="U1606" s="15">
        <v>89.38</v>
      </c>
      <c r="V1606" s="15">
        <v>412.51</v>
      </c>
      <c r="W1606" s="15">
        <v>3.83</v>
      </c>
      <c r="X1606" s="15">
        <v>1.57</v>
      </c>
      <c r="Y1606" s="15">
        <v>1.66248</v>
      </c>
      <c r="Z1606" s="15">
        <v>6</v>
      </c>
      <c r="AA1606" s="46">
        <v>46258</v>
      </c>
      <c r="AB1606" s="15"/>
      <c r="AC1606" s="15"/>
      <c r="AD1606" s="15"/>
      <c r="AE1606" s="15"/>
      <c r="AF1606" s="15"/>
      <c r="AG1606" s="15"/>
      <c r="AH1606" s="15"/>
      <c r="AI1606" s="46"/>
      <c r="AJ1606" s="51" t="s">
        <v>6121</v>
      </c>
      <c r="AK1606" s="51" t="s">
        <v>67</v>
      </c>
      <c r="AL1606" s="15"/>
      <c r="AM1606" s="51" t="s">
        <v>67</v>
      </c>
      <c r="AN1606" s="51" t="s">
        <v>67</v>
      </c>
      <c r="AO1606" s="50" t="s">
        <v>9554</v>
      </c>
    </row>
    <row r="1607" spans="1:41" hidden="1" x14ac:dyDescent="0.25">
      <c r="A1607" s="51" t="s">
        <v>8252</v>
      </c>
      <c r="B1607" s="51" t="s">
        <v>8253</v>
      </c>
      <c r="C1607" s="54" t="s">
        <v>2690</v>
      </c>
      <c r="D1607" s="51" t="s">
        <v>8254</v>
      </c>
      <c r="E1607" s="20">
        <v>10000</v>
      </c>
      <c r="F1607" s="20">
        <v>274.91000000000003</v>
      </c>
      <c r="G1607" s="20">
        <v>20156.61</v>
      </c>
      <c r="H1607" s="20">
        <v>230.98</v>
      </c>
      <c r="I1607" s="20">
        <v>274.91000000000003</v>
      </c>
      <c r="J1607" s="51" t="s">
        <v>6727</v>
      </c>
      <c r="K1607" s="15">
        <v>30</v>
      </c>
      <c r="L1607" s="51" t="s">
        <v>2369</v>
      </c>
      <c r="M1607" s="51" t="s">
        <v>8255</v>
      </c>
      <c r="N1607" s="51" t="s">
        <v>1340</v>
      </c>
      <c r="O1607" s="51" t="s">
        <v>8256</v>
      </c>
      <c r="P1607" s="51" t="s">
        <v>1340</v>
      </c>
      <c r="Q1607" s="45">
        <v>46287.522542129627</v>
      </c>
      <c r="R1607" s="46">
        <v>46322</v>
      </c>
      <c r="S1607" s="46">
        <v>46317</v>
      </c>
      <c r="T1607" s="51" t="s">
        <v>6119</v>
      </c>
      <c r="U1607" s="15"/>
      <c r="V1607" s="15"/>
      <c r="W1607" s="15"/>
      <c r="X1607" s="15"/>
      <c r="Y1607" s="15"/>
      <c r="Z1607" s="15"/>
      <c r="AA1607" s="46"/>
      <c r="AB1607" s="15"/>
      <c r="AC1607" s="15"/>
      <c r="AD1607" s="15"/>
      <c r="AE1607" s="15"/>
      <c r="AF1607" s="15"/>
      <c r="AG1607" s="15"/>
      <c r="AH1607" s="15"/>
      <c r="AI1607" s="46"/>
      <c r="AJ1607" s="51" t="s">
        <v>6121</v>
      </c>
      <c r="AK1607" s="51" t="s">
        <v>67</v>
      </c>
      <c r="AL1607" s="15"/>
      <c r="AM1607" s="51" t="s">
        <v>67</v>
      </c>
      <c r="AN1607" s="51" t="s">
        <v>67</v>
      </c>
      <c r="AO1607" s="50" t="s">
        <v>9554</v>
      </c>
    </row>
    <row r="1608" spans="1:41" hidden="1" x14ac:dyDescent="0.25">
      <c r="A1608" s="51" t="s">
        <v>8257</v>
      </c>
      <c r="B1608" s="51" t="s">
        <v>8258</v>
      </c>
      <c r="C1608" s="54" t="s">
        <v>5600</v>
      </c>
      <c r="D1608" s="51" t="s">
        <v>3869</v>
      </c>
      <c r="E1608" s="20">
        <v>10000</v>
      </c>
      <c r="F1608" s="20">
        <v>354.46</v>
      </c>
      <c r="G1608" s="20">
        <v>3367.13</v>
      </c>
      <c r="H1608" s="20">
        <v>274.77999999999997</v>
      </c>
      <c r="I1608" s="20">
        <v>354.46</v>
      </c>
      <c r="J1608" s="51" t="s">
        <v>6727</v>
      </c>
      <c r="K1608" s="15">
        <v>48</v>
      </c>
      <c r="L1608" s="51" t="s">
        <v>2369</v>
      </c>
      <c r="M1608" s="51" t="s">
        <v>67</v>
      </c>
      <c r="N1608" s="51" t="s">
        <v>67</v>
      </c>
      <c r="O1608" s="51" t="s">
        <v>8259</v>
      </c>
      <c r="P1608" s="51" t="s">
        <v>1340</v>
      </c>
      <c r="Q1608" s="45">
        <v>46287.522546655091</v>
      </c>
      <c r="R1608" s="46">
        <v>46304</v>
      </c>
      <c r="S1608" s="46">
        <v>46299</v>
      </c>
      <c r="T1608" s="51" t="s">
        <v>6119</v>
      </c>
      <c r="U1608" s="15"/>
      <c r="V1608" s="15"/>
      <c r="W1608" s="15"/>
      <c r="X1608" s="15"/>
      <c r="Y1608" s="15"/>
      <c r="Z1608" s="15"/>
      <c r="AA1608" s="46"/>
      <c r="AB1608" s="15"/>
      <c r="AC1608" s="15"/>
      <c r="AD1608" s="15"/>
      <c r="AE1608" s="15"/>
      <c r="AF1608" s="15"/>
      <c r="AG1608" s="15"/>
      <c r="AH1608" s="15"/>
      <c r="AI1608" s="46"/>
      <c r="AJ1608" s="51" t="s">
        <v>6121</v>
      </c>
      <c r="AK1608" s="51" t="s">
        <v>67</v>
      </c>
      <c r="AL1608" s="15"/>
      <c r="AM1608" s="51" t="s">
        <v>67</v>
      </c>
      <c r="AN1608" s="51" t="s">
        <v>67</v>
      </c>
      <c r="AO1608" s="50" t="s">
        <v>9554</v>
      </c>
    </row>
    <row r="1609" spans="1:41" hidden="1" x14ac:dyDescent="0.25">
      <c r="A1609" s="51" t="s">
        <v>8260</v>
      </c>
      <c r="B1609" s="51" t="s">
        <v>8261</v>
      </c>
      <c r="C1609" s="54" t="s">
        <v>2690</v>
      </c>
      <c r="D1609" s="51" t="s">
        <v>8262</v>
      </c>
      <c r="E1609" s="20">
        <v>10000</v>
      </c>
      <c r="F1609" s="20">
        <v>594.25</v>
      </c>
      <c r="G1609" s="20">
        <v>12694.61</v>
      </c>
      <c r="H1609" s="20">
        <v>499.3</v>
      </c>
      <c r="I1609" s="20">
        <v>594.25</v>
      </c>
      <c r="J1609" s="51" t="s">
        <v>6727</v>
      </c>
      <c r="K1609" s="15">
        <v>30</v>
      </c>
      <c r="L1609" s="51" t="s">
        <v>2369</v>
      </c>
      <c r="M1609" s="51" t="s">
        <v>67</v>
      </c>
      <c r="N1609" s="51" t="s">
        <v>67</v>
      </c>
      <c r="O1609" s="51" t="s">
        <v>8263</v>
      </c>
      <c r="P1609" s="51" t="s">
        <v>1340</v>
      </c>
      <c r="Q1609" s="45">
        <v>46287.522550891204</v>
      </c>
      <c r="R1609" s="46">
        <v>46322</v>
      </c>
      <c r="S1609" s="46">
        <v>46317</v>
      </c>
      <c r="T1609" s="51" t="s">
        <v>6119</v>
      </c>
      <c r="U1609" s="15"/>
      <c r="V1609" s="15"/>
      <c r="W1609" s="15"/>
      <c r="X1609" s="15"/>
      <c r="Y1609" s="15"/>
      <c r="Z1609" s="15"/>
      <c r="AA1609" s="46"/>
      <c r="AB1609" s="15"/>
      <c r="AC1609" s="15"/>
      <c r="AD1609" s="15"/>
      <c r="AE1609" s="15"/>
      <c r="AF1609" s="15"/>
      <c r="AG1609" s="15"/>
      <c r="AH1609" s="15"/>
      <c r="AI1609" s="46"/>
      <c r="AJ1609" s="51" t="s">
        <v>6121</v>
      </c>
      <c r="AK1609" s="51" t="s">
        <v>67</v>
      </c>
      <c r="AL1609" s="15"/>
      <c r="AM1609" s="51" t="s">
        <v>67</v>
      </c>
      <c r="AN1609" s="51" t="s">
        <v>67</v>
      </c>
      <c r="AO1609" s="50" t="s">
        <v>9554</v>
      </c>
    </row>
    <row r="1610" spans="1:41" hidden="1" x14ac:dyDescent="0.25">
      <c r="A1610" s="51" t="s">
        <v>8264</v>
      </c>
      <c r="B1610" s="51" t="s">
        <v>8265</v>
      </c>
      <c r="C1610" s="54" t="s">
        <v>5600</v>
      </c>
      <c r="D1610" s="51" t="s">
        <v>8266</v>
      </c>
      <c r="E1610" s="20">
        <v>10000</v>
      </c>
      <c r="F1610" s="20">
        <v>392.33</v>
      </c>
      <c r="G1610" s="20">
        <v>10300.49</v>
      </c>
      <c r="H1610" s="20">
        <v>304.14999999999998</v>
      </c>
      <c r="I1610" s="20">
        <v>392.33</v>
      </c>
      <c r="J1610" s="51" t="s">
        <v>6727</v>
      </c>
      <c r="K1610" s="15">
        <v>48</v>
      </c>
      <c r="L1610" s="51" t="s">
        <v>2369</v>
      </c>
      <c r="M1610" s="51" t="s">
        <v>67</v>
      </c>
      <c r="N1610" s="51" t="s">
        <v>67</v>
      </c>
      <c r="O1610" s="51" t="s">
        <v>8267</v>
      </c>
      <c r="P1610" s="51" t="s">
        <v>1340</v>
      </c>
      <c r="Q1610" s="45">
        <v>46287.522554965275</v>
      </c>
      <c r="R1610" s="46">
        <v>46304</v>
      </c>
      <c r="S1610" s="46">
        <v>46299</v>
      </c>
      <c r="T1610" s="51" t="s">
        <v>6119</v>
      </c>
      <c r="U1610" s="15"/>
      <c r="V1610" s="15"/>
      <c r="W1610" s="15"/>
      <c r="X1610" s="15"/>
      <c r="Y1610" s="15"/>
      <c r="Z1610" s="15"/>
      <c r="AA1610" s="46"/>
      <c r="AB1610" s="15"/>
      <c r="AC1610" s="15"/>
      <c r="AD1610" s="15"/>
      <c r="AE1610" s="15"/>
      <c r="AF1610" s="15"/>
      <c r="AG1610" s="15"/>
      <c r="AH1610" s="15"/>
      <c r="AI1610" s="46"/>
      <c r="AJ1610" s="51" t="s">
        <v>6121</v>
      </c>
      <c r="AK1610" s="51" t="s">
        <v>67</v>
      </c>
      <c r="AL1610" s="15"/>
      <c r="AM1610" s="51" t="s">
        <v>67</v>
      </c>
      <c r="AN1610" s="51" t="s">
        <v>67</v>
      </c>
      <c r="AO1610" s="50" t="s">
        <v>9554</v>
      </c>
    </row>
    <row r="1611" spans="1:41" hidden="1" x14ac:dyDescent="0.25">
      <c r="A1611" s="51" t="s">
        <v>8268</v>
      </c>
      <c r="B1611" s="51" t="s">
        <v>8269</v>
      </c>
      <c r="C1611" s="54" t="s">
        <v>5608</v>
      </c>
      <c r="D1611" s="51" t="s">
        <v>3769</v>
      </c>
      <c r="E1611" s="20">
        <v>10000</v>
      </c>
      <c r="F1611" s="20">
        <v>292.05</v>
      </c>
      <c r="G1611" s="20">
        <v>20236.849999999999</v>
      </c>
      <c r="H1611" s="20">
        <v>242.01</v>
      </c>
      <c r="I1611" s="20">
        <v>292.05</v>
      </c>
      <c r="J1611" s="51" t="s">
        <v>6727</v>
      </c>
      <c r="K1611" s="15">
        <v>33</v>
      </c>
      <c r="L1611" s="51" t="s">
        <v>2369</v>
      </c>
      <c r="M1611" s="51" t="s">
        <v>67</v>
      </c>
      <c r="N1611" s="51" t="s">
        <v>67</v>
      </c>
      <c r="O1611" s="51" t="s">
        <v>8270</v>
      </c>
      <c r="P1611" s="51" t="s">
        <v>1340</v>
      </c>
      <c r="Q1611" s="45">
        <v>46287.52256002315</v>
      </c>
      <c r="R1611" s="46">
        <v>46319</v>
      </c>
      <c r="S1611" s="46">
        <v>46314</v>
      </c>
      <c r="T1611" s="51" t="s">
        <v>6119</v>
      </c>
      <c r="U1611" s="15"/>
      <c r="V1611" s="15"/>
      <c r="W1611" s="15"/>
      <c r="X1611" s="15"/>
      <c r="Y1611" s="15"/>
      <c r="Z1611" s="15"/>
      <c r="AA1611" s="46"/>
      <c r="AB1611" s="15"/>
      <c r="AC1611" s="15"/>
      <c r="AD1611" s="15"/>
      <c r="AE1611" s="15"/>
      <c r="AF1611" s="15"/>
      <c r="AG1611" s="15"/>
      <c r="AH1611" s="15"/>
      <c r="AI1611" s="46"/>
      <c r="AJ1611" s="51" t="s">
        <v>6121</v>
      </c>
      <c r="AK1611" s="51" t="s">
        <v>67</v>
      </c>
      <c r="AL1611" s="15"/>
      <c r="AM1611" s="51" t="s">
        <v>67</v>
      </c>
      <c r="AN1611" s="51" t="s">
        <v>67</v>
      </c>
      <c r="AO1611" s="50" t="s">
        <v>9554</v>
      </c>
    </row>
    <row r="1612" spans="1:41" hidden="1" x14ac:dyDescent="0.25">
      <c r="A1612" s="51" t="s">
        <v>8271</v>
      </c>
      <c r="B1612" s="51" t="s">
        <v>8272</v>
      </c>
      <c r="C1612" s="54" t="s">
        <v>2689</v>
      </c>
      <c r="D1612" s="51" t="s">
        <v>8273</v>
      </c>
      <c r="E1612" s="20">
        <v>10000</v>
      </c>
      <c r="F1612" s="20">
        <v>0</v>
      </c>
      <c r="G1612" s="20">
        <v>15394.49</v>
      </c>
      <c r="H1612" s="20">
        <v>4592.92</v>
      </c>
      <c r="I1612" s="20">
        <v>345.4</v>
      </c>
      <c r="J1612" s="51" t="s">
        <v>6726</v>
      </c>
      <c r="K1612" s="15">
        <v>0</v>
      </c>
      <c r="L1612" s="51" t="s">
        <v>2371</v>
      </c>
      <c r="M1612" s="51" t="s">
        <v>8274</v>
      </c>
      <c r="N1612" s="51" t="s">
        <v>1344</v>
      </c>
      <c r="O1612" s="51" t="s">
        <v>8275</v>
      </c>
      <c r="P1612" s="51" t="s">
        <v>1344</v>
      </c>
      <c r="Q1612" s="45">
        <v>46287.522653854168</v>
      </c>
      <c r="R1612" s="46">
        <v>46317</v>
      </c>
      <c r="S1612" s="46">
        <v>46312</v>
      </c>
      <c r="T1612" s="51" t="s">
        <v>6119</v>
      </c>
      <c r="U1612" s="15"/>
      <c r="V1612" s="15"/>
      <c r="W1612" s="15"/>
      <c r="X1612" s="15"/>
      <c r="Y1612" s="15"/>
      <c r="Z1612" s="15"/>
      <c r="AA1612" s="46"/>
      <c r="AB1612" s="15"/>
      <c r="AC1612" s="15"/>
      <c r="AD1612" s="15"/>
      <c r="AE1612" s="15"/>
      <c r="AF1612" s="15"/>
      <c r="AG1612" s="15"/>
      <c r="AH1612" s="15"/>
      <c r="AI1612" s="46"/>
      <c r="AJ1612" s="51" t="s">
        <v>67</v>
      </c>
      <c r="AK1612" s="51" t="s">
        <v>67</v>
      </c>
      <c r="AL1612" s="15"/>
      <c r="AM1612" s="51" t="s">
        <v>67</v>
      </c>
      <c r="AN1612" s="51" t="s">
        <v>67</v>
      </c>
      <c r="AO1612" s="50" t="s">
        <v>9554</v>
      </c>
    </row>
    <row r="1613" spans="1:41" hidden="1" x14ac:dyDescent="0.25">
      <c r="A1613" s="51" t="s">
        <v>8276</v>
      </c>
      <c r="B1613" s="51" t="s">
        <v>8277</v>
      </c>
      <c r="C1613" s="54" t="s">
        <v>5605</v>
      </c>
      <c r="D1613" s="51" t="s">
        <v>8278</v>
      </c>
      <c r="E1613" s="20">
        <v>10000</v>
      </c>
      <c r="F1613" s="20">
        <v>0</v>
      </c>
      <c r="G1613" s="20">
        <v>13539.46</v>
      </c>
      <c r="H1613" s="20">
        <v>6496.62</v>
      </c>
      <c r="I1613" s="20">
        <v>344.31</v>
      </c>
      <c r="J1613" s="51" t="s">
        <v>6726</v>
      </c>
      <c r="K1613" s="15">
        <v>0</v>
      </c>
      <c r="L1613" s="51" t="s">
        <v>2371</v>
      </c>
      <c r="M1613" s="51" t="s">
        <v>67</v>
      </c>
      <c r="N1613" s="51" t="s">
        <v>67</v>
      </c>
      <c r="O1613" s="51" t="s">
        <v>8279</v>
      </c>
      <c r="P1613" s="51" t="s">
        <v>1340</v>
      </c>
      <c r="Q1613" s="45">
        <v>46287.522658958333</v>
      </c>
      <c r="R1613" s="46">
        <v>46323</v>
      </c>
      <c r="S1613" s="46">
        <v>46318</v>
      </c>
      <c r="T1613" s="51" t="s">
        <v>6119</v>
      </c>
      <c r="U1613" s="15"/>
      <c r="V1613" s="15"/>
      <c r="W1613" s="15"/>
      <c r="X1613" s="15"/>
      <c r="Y1613" s="15"/>
      <c r="Z1613" s="15"/>
      <c r="AA1613" s="46"/>
      <c r="AB1613" s="15"/>
      <c r="AC1613" s="15"/>
      <c r="AD1613" s="15"/>
      <c r="AE1613" s="15"/>
      <c r="AF1613" s="15"/>
      <c r="AG1613" s="15"/>
      <c r="AH1613" s="15"/>
      <c r="AI1613" s="46"/>
      <c r="AJ1613" s="51" t="s">
        <v>67</v>
      </c>
      <c r="AK1613" s="51" t="s">
        <v>67</v>
      </c>
      <c r="AL1613" s="15"/>
      <c r="AM1613" s="51" t="s">
        <v>67</v>
      </c>
      <c r="AN1613" s="51" t="s">
        <v>67</v>
      </c>
      <c r="AO1613" s="50" t="s">
        <v>9554</v>
      </c>
    </row>
    <row r="1614" spans="1:41" hidden="1" x14ac:dyDescent="0.25">
      <c r="A1614" s="51" t="s">
        <v>8280</v>
      </c>
      <c r="B1614" s="51" t="s">
        <v>8281</v>
      </c>
      <c r="C1614" s="54" t="s">
        <v>5608</v>
      </c>
      <c r="D1614" s="51" t="s">
        <v>8282</v>
      </c>
      <c r="E1614" s="20">
        <v>10000</v>
      </c>
      <c r="F1614" s="20">
        <v>0</v>
      </c>
      <c r="G1614" s="20">
        <v>15014.93</v>
      </c>
      <c r="H1614" s="20">
        <v>2564.11</v>
      </c>
      <c r="I1614" s="20">
        <v>423.29</v>
      </c>
      <c r="J1614" s="51" t="s">
        <v>6726</v>
      </c>
      <c r="K1614" s="15">
        <v>0</v>
      </c>
      <c r="L1614" s="51" t="s">
        <v>2371</v>
      </c>
      <c r="M1614" s="51" t="s">
        <v>8283</v>
      </c>
      <c r="N1614" s="51" t="s">
        <v>1344</v>
      </c>
      <c r="O1614" s="51" t="s">
        <v>8284</v>
      </c>
      <c r="P1614" s="51" t="s">
        <v>1344</v>
      </c>
      <c r="Q1614" s="45">
        <v>46287.522664756943</v>
      </c>
      <c r="R1614" s="46">
        <v>46319</v>
      </c>
      <c r="S1614" s="46">
        <v>46314</v>
      </c>
      <c r="T1614" s="51" t="s">
        <v>6119</v>
      </c>
      <c r="U1614" s="15"/>
      <c r="V1614" s="15"/>
      <c r="W1614" s="15"/>
      <c r="X1614" s="15"/>
      <c r="Y1614" s="15"/>
      <c r="Z1614" s="15"/>
      <c r="AA1614" s="46"/>
      <c r="AB1614" s="15"/>
      <c r="AC1614" s="15"/>
      <c r="AD1614" s="15"/>
      <c r="AE1614" s="15"/>
      <c r="AF1614" s="15"/>
      <c r="AG1614" s="15"/>
      <c r="AH1614" s="15"/>
      <c r="AI1614" s="46"/>
      <c r="AJ1614" s="51" t="s">
        <v>67</v>
      </c>
      <c r="AK1614" s="51" t="s">
        <v>67</v>
      </c>
      <c r="AL1614" s="15"/>
      <c r="AM1614" s="51" t="s">
        <v>67</v>
      </c>
      <c r="AN1614" s="51" t="s">
        <v>67</v>
      </c>
      <c r="AO1614" s="50" t="s">
        <v>9554</v>
      </c>
    </row>
    <row r="1615" spans="1:41" hidden="1" x14ac:dyDescent="0.25">
      <c r="A1615" s="51" t="s">
        <v>8285</v>
      </c>
      <c r="B1615" s="51" t="s">
        <v>8286</v>
      </c>
      <c r="C1615" s="54" t="s">
        <v>2345</v>
      </c>
      <c r="D1615" s="51" t="s">
        <v>8287</v>
      </c>
      <c r="E1615" s="20">
        <v>10000</v>
      </c>
      <c r="F1615" s="20">
        <v>0</v>
      </c>
      <c r="G1615" s="20">
        <v>16223.48</v>
      </c>
      <c r="H1615" s="20">
        <v>1517.06</v>
      </c>
      <c r="I1615" s="20">
        <v>334.34</v>
      </c>
      <c r="J1615" s="51" t="s">
        <v>6726</v>
      </c>
      <c r="K1615" s="15">
        <v>0</v>
      </c>
      <c r="L1615" s="51" t="s">
        <v>2371</v>
      </c>
      <c r="M1615" s="51" t="s">
        <v>67</v>
      </c>
      <c r="N1615" s="51" t="s">
        <v>67</v>
      </c>
      <c r="O1615" s="51" t="s">
        <v>8288</v>
      </c>
      <c r="P1615" s="51" t="s">
        <v>1340</v>
      </c>
      <c r="Q1615" s="45">
        <v>46287.522670752318</v>
      </c>
      <c r="R1615" s="46">
        <v>46306</v>
      </c>
      <c r="S1615" s="46">
        <v>46301</v>
      </c>
      <c r="T1615" s="51" t="s">
        <v>6119</v>
      </c>
      <c r="U1615" s="15"/>
      <c r="V1615" s="15"/>
      <c r="W1615" s="15"/>
      <c r="X1615" s="15"/>
      <c r="Y1615" s="15"/>
      <c r="Z1615" s="15"/>
      <c r="AA1615" s="46"/>
      <c r="AB1615" s="15"/>
      <c r="AC1615" s="15"/>
      <c r="AD1615" s="15"/>
      <c r="AE1615" s="15"/>
      <c r="AF1615" s="15"/>
      <c r="AG1615" s="15"/>
      <c r="AH1615" s="15"/>
      <c r="AI1615" s="46"/>
      <c r="AJ1615" s="51" t="s">
        <v>67</v>
      </c>
      <c r="AK1615" s="51" t="s">
        <v>67</v>
      </c>
      <c r="AL1615" s="15"/>
      <c r="AM1615" s="51" t="s">
        <v>67</v>
      </c>
      <c r="AN1615" s="51" t="s">
        <v>67</v>
      </c>
      <c r="AO1615" s="50" t="s">
        <v>9554</v>
      </c>
    </row>
    <row r="1616" spans="1:41" hidden="1" x14ac:dyDescent="0.25">
      <c r="A1616" s="51" t="s">
        <v>8289</v>
      </c>
      <c r="B1616" s="51" t="s">
        <v>8290</v>
      </c>
      <c r="C1616" s="54" t="s">
        <v>5602</v>
      </c>
      <c r="D1616" s="51" t="s">
        <v>8291</v>
      </c>
      <c r="E1616" s="20">
        <v>10000</v>
      </c>
      <c r="F1616" s="20">
        <v>0</v>
      </c>
      <c r="G1616" s="20">
        <v>16730.84</v>
      </c>
      <c r="H1616" s="20">
        <v>9485.23</v>
      </c>
      <c r="I1616" s="20">
        <v>429.93</v>
      </c>
      <c r="J1616" s="51" t="s">
        <v>6726</v>
      </c>
      <c r="K1616" s="15">
        <v>0</v>
      </c>
      <c r="L1616" s="51" t="s">
        <v>2371</v>
      </c>
      <c r="M1616" s="51" t="s">
        <v>67</v>
      </c>
      <c r="N1616" s="51" t="s">
        <v>67</v>
      </c>
      <c r="O1616" s="51" t="s">
        <v>8292</v>
      </c>
      <c r="P1616" s="51" t="s">
        <v>1340</v>
      </c>
      <c r="Q1616" s="45">
        <v>46287.522676956018</v>
      </c>
      <c r="R1616" s="46">
        <v>46303</v>
      </c>
      <c r="S1616" s="46">
        <v>46298</v>
      </c>
      <c r="T1616" s="51" t="s">
        <v>6119</v>
      </c>
      <c r="U1616" s="15"/>
      <c r="V1616" s="15"/>
      <c r="W1616" s="15"/>
      <c r="X1616" s="15"/>
      <c r="Y1616" s="15"/>
      <c r="Z1616" s="15"/>
      <c r="AA1616" s="46"/>
      <c r="AB1616" s="15"/>
      <c r="AC1616" s="15"/>
      <c r="AD1616" s="15"/>
      <c r="AE1616" s="15"/>
      <c r="AF1616" s="15"/>
      <c r="AG1616" s="15"/>
      <c r="AH1616" s="15"/>
      <c r="AI1616" s="46"/>
      <c r="AJ1616" s="51" t="s">
        <v>67</v>
      </c>
      <c r="AK1616" s="51" t="s">
        <v>67</v>
      </c>
      <c r="AL1616" s="15"/>
      <c r="AM1616" s="51" t="s">
        <v>67</v>
      </c>
      <c r="AN1616" s="51" t="s">
        <v>67</v>
      </c>
      <c r="AO1616" s="50" t="s">
        <v>9554</v>
      </c>
    </row>
    <row r="1617" spans="1:41" hidden="1" x14ac:dyDescent="0.25">
      <c r="A1617" s="51" t="s">
        <v>8293</v>
      </c>
      <c r="B1617" s="51" t="s">
        <v>8294</v>
      </c>
      <c r="C1617" s="54" t="s">
        <v>5605</v>
      </c>
      <c r="D1617" s="51" t="s">
        <v>8295</v>
      </c>
      <c r="E1617" s="20">
        <v>10000</v>
      </c>
      <c r="F1617" s="20">
        <v>0</v>
      </c>
      <c r="G1617" s="20">
        <v>4241.43</v>
      </c>
      <c r="H1617" s="20">
        <v>2258.61</v>
      </c>
      <c r="I1617" s="20">
        <v>442.95</v>
      </c>
      <c r="J1617" s="51" t="s">
        <v>6726</v>
      </c>
      <c r="K1617" s="15">
        <v>0</v>
      </c>
      <c r="L1617" s="51" t="s">
        <v>2371</v>
      </c>
      <c r="M1617" s="51" t="s">
        <v>8296</v>
      </c>
      <c r="N1617" s="51" t="s">
        <v>1340</v>
      </c>
      <c r="O1617" s="51" t="s">
        <v>67</v>
      </c>
      <c r="P1617" s="51" t="s">
        <v>67</v>
      </c>
      <c r="Q1617" s="45">
        <v>46287.522682291667</v>
      </c>
      <c r="R1617" s="46">
        <v>46323</v>
      </c>
      <c r="S1617" s="46">
        <v>46318</v>
      </c>
      <c r="T1617" s="51" t="s">
        <v>6119</v>
      </c>
      <c r="U1617" s="15"/>
      <c r="V1617" s="15"/>
      <c r="W1617" s="15"/>
      <c r="X1617" s="15"/>
      <c r="Y1617" s="15"/>
      <c r="Z1617" s="15"/>
      <c r="AA1617" s="46"/>
      <c r="AB1617" s="15"/>
      <c r="AC1617" s="15"/>
      <c r="AD1617" s="15"/>
      <c r="AE1617" s="15"/>
      <c r="AF1617" s="15"/>
      <c r="AG1617" s="15"/>
      <c r="AH1617" s="15"/>
      <c r="AI1617" s="46"/>
      <c r="AJ1617" s="51" t="s">
        <v>67</v>
      </c>
      <c r="AK1617" s="51" t="s">
        <v>67</v>
      </c>
      <c r="AL1617" s="15"/>
      <c r="AM1617" s="51" t="s">
        <v>67</v>
      </c>
      <c r="AN1617" s="51" t="s">
        <v>67</v>
      </c>
      <c r="AO1617" s="50" t="s">
        <v>9554</v>
      </c>
    </row>
    <row r="1618" spans="1:41" hidden="1" x14ac:dyDescent="0.25">
      <c r="A1618" s="51" t="s">
        <v>8297</v>
      </c>
      <c r="B1618" s="51" t="s">
        <v>8298</v>
      </c>
      <c r="C1618" s="54" t="s">
        <v>608</v>
      </c>
      <c r="D1618" s="51" t="s">
        <v>8299</v>
      </c>
      <c r="E1618" s="20">
        <v>10000</v>
      </c>
      <c r="F1618" s="20">
        <v>0</v>
      </c>
      <c r="G1618" s="20">
        <v>17805.23</v>
      </c>
      <c r="H1618" s="20">
        <v>4201.87</v>
      </c>
      <c r="I1618" s="20">
        <v>312.27</v>
      </c>
      <c r="J1618" s="51" t="s">
        <v>6726</v>
      </c>
      <c r="K1618" s="15">
        <v>0</v>
      </c>
      <c r="L1618" s="51" t="s">
        <v>2371</v>
      </c>
      <c r="M1618" s="51" t="s">
        <v>67</v>
      </c>
      <c r="N1618" s="51" t="s">
        <v>67</v>
      </c>
      <c r="O1618" s="51" t="s">
        <v>8300</v>
      </c>
      <c r="P1618" s="51" t="s">
        <v>1340</v>
      </c>
      <c r="Q1618" s="45">
        <v>46287.522688946759</v>
      </c>
      <c r="R1618" s="46">
        <v>46315</v>
      </c>
      <c r="S1618" s="46">
        <v>46310</v>
      </c>
      <c r="T1618" s="51" t="s">
        <v>6119</v>
      </c>
      <c r="U1618" s="15"/>
      <c r="V1618" s="15"/>
      <c r="W1618" s="15"/>
      <c r="X1618" s="15"/>
      <c r="Y1618" s="15"/>
      <c r="Z1618" s="15"/>
      <c r="AA1618" s="46"/>
      <c r="AB1618" s="15"/>
      <c r="AC1618" s="15"/>
      <c r="AD1618" s="15"/>
      <c r="AE1618" s="15"/>
      <c r="AF1618" s="15"/>
      <c r="AG1618" s="15"/>
      <c r="AH1618" s="15"/>
      <c r="AI1618" s="46"/>
      <c r="AJ1618" s="51" t="s">
        <v>67</v>
      </c>
      <c r="AK1618" s="51" t="s">
        <v>67</v>
      </c>
      <c r="AL1618" s="15"/>
      <c r="AM1618" s="51" t="s">
        <v>67</v>
      </c>
      <c r="AN1618" s="51" t="s">
        <v>67</v>
      </c>
      <c r="AO1618" s="50" t="s">
        <v>9554</v>
      </c>
    </row>
    <row r="1619" spans="1:41" hidden="1" x14ac:dyDescent="0.25">
      <c r="A1619" s="51" t="s">
        <v>8301</v>
      </c>
      <c r="B1619" s="51" t="s">
        <v>8302</v>
      </c>
      <c r="C1619" s="54" t="s">
        <v>2356</v>
      </c>
      <c r="D1619" s="51" t="s">
        <v>8303</v>
      </c>
      <c r="E1619" s="20">
        <v>10000</v>
      </c>
      <c r="F1619" s="20">
        <v>0</v>
      </c>
      <c r="G1619" s="20">
        <v>15369.64</v>
      </c>
      <c r="H1619" s="20">
        <v>3537.71</v>
      </c>
      <c r="I1619" s="20">
        <v>392.08</v>
      </c>
      <c r="J1619" s="51" t="s">
        <v>6726</v>
      </c>
      <c r="K1619" s="15">
        <v>0</v>
      </c>
      <c r="L1619" s="51" t="s">
        <v>2371</v>
      </c>
      <c r="M1619" s="51" t="s">
        <v>67</v>
      </c>
      <c r="N1619" s="51" t="s">
        <v>67</v>
      </c>
      <c r="O1619" s="51" t="s">
        <v>8304</v>
      </c>
      <c r="P1619" s="51" t="s">
        <v>1340</v>
      </c>
      <c r="Q1619" s="45">
        <v>46287.522695844906</v>
      </c>
      <c r="R1619" s="46">
        <v>46307</v>
      </c>
      <c r="S1619" s="46">
        <v>46302</v>
      </c>
      <c r="T1619" s="51" t="s">
        <v>6119</v>
      </c>
      <c r="U1619" s="15"/>
      <c r="V1619" s="15"/>
      <c r="W1619" s="15"/>
      <c r="X1619" s="15"/>
      <c r="Y1619" s="15"/>
      <c r="Z1619" s="15"/>
      <c r="AA1619" s="46"/>
      <c r="AB1619" s="15"/>
      <c r="AC1619" s="15"/>
      <c r="AD1619" s="15"/>
      <c r="AE1619" s="15"/>
      <c r="AF1619" s="15"/>
      <c r="AG1619" s="15"/>
      <c r="AH1619" s="15"/>
      <c r="AI1619" s="46"/>
      <c r="AJ1619" s="51" t="s">
        <v>67</v>
      </c>
      <c r="AK1619" s="51" t="s">
        <v>67</v>
      </c>
      <c r="AL1619" s="15"/>
      <c r="AM1619" s="51" t="s">
        <v>67</v>
      </c>
      <c r="AN1619" s="51" t="s">
        <v>67</v>
      </c>
      <c r="AO1619" s="50" t="s">
        <v>9554</v>
      </c>
    </row>
    <row r="1620" spans="1:41" hidden="1" x14ac:dyDescent="0.25">
      <c r="A1620" s="51" t="s">
        <v>8305</v>
      </c>
      <c r="B1620" s="51" t="s">
        <v>8306</v>
      </c>
      <c r="C1620" s="54" t="s">
        <v>2345</v>
      </c>
      <c r="D1620" s="51" t="s">
        <v>8307</v>
      </c>
      <c r="E1620" s="20">
        <v>10000</v>
      </c>
      <c r="F1620" s="20">
        <v>0</v>
      </c>
      <c r="G1620" s="20">
        <v>21605.06</v>
      </c>
      <c r="H1620" s="20">
        <v>3306.15</v>
      </c>
      <c r="I1620" s="20">
        <v>453.71</v>
      </c>
      <c r="J1620" s="51" t="s">
        <v>6726</v>
      </c>
      <c r="K1620" s="15">
        <v>0</v>
      </c>
      <c r="L1620" s="51" t="s">
        <v>2371</v>
      </c>
      <c r="M1620" s="51" t="s">
        <v>67</v>
      </c>
      <c r="N1620" s="51" t="s">
        <v>67</v>
      </c>
      <c r="O1620" s="51" t="s">
        <v>8308</v>
      </c>
      <c r="P1620" s="51" t="s">
        <v>1340</v>
      </c>
      <c r="Q1620" s="45">
        <v>46287.522702233793</v>
      </c>
      <c r="R1620" s="46">
        <v>46306</v>
      </c>
      <c r="S1620" s="46">
        <v>46301</v>
      </c>
      <c r="T1620" s="51" t="s">
        <v>6119</v>
      </c>
      <c r="U1620" s="15"/>
      <c r="V1620" s="15"/>
      <c r="W1620" s="15"/>
      <c r="X1620" s="15"/>
      <c r="Y1620" s="15"/>
      <c r="Z1620" s="15"/>
      <c r="AA1620" s="46"/>
      <c r="AB1620" s="15"/>
      <c r="AC1620" s="15"/>
      <c r="AD1620" s="15"/>
      <c r="AE1620" s="15"/>
      <c r="AF1620" s="15"/>
      <c r="AG1620" s="15"/>
      <c r="AH1620" s="15"/>
      <c r="AI1620" s="46"/>
      <c r="AJ1620" s="51" t="s">
        <v>67</v>
      </c>
      <c r="AK1620" s="51" t="s">
        <v>67</v>
      </c>
      <c r="AL1620" s="15"/>
      <c r="AM1620" s="51" t="s">
        <v>67</v>
      </c>
      <c r="AN1620" s="51" t="s">
        <v>67</v>
      </c>
      <c r="AO1620" s="50" t="s">
        <v>9554</v>
      </c>
    </row>
    <row r="1621" spans="1:41" hidden="1" x14ac:dyDescent="0.25">
      <c r="A1621" s="51" t="s">
        <v>8309</v>
      </c>
      <c r="B1621" s="51" t="s">
        <v>8310</v>
      </c>
      <c r="C1621" s="54" t="s">
        <v>2691</v>
      </c>
      <c r="D1621" s="51" t="s">
        <v>8311</v>
      </c>
      <c r="E1621" s="20">
        <v>10000</v>
      </c>
      <c r="F1621" s="20">
        <v>0</v>
      </c>
      <c r="G1621" s="20">
        <v>20998.29</v>
      </c>
      <c r="H1621" s="20">
        <v>7681.52</v>
      </c>
      <c r="I1621" s="20">
        <v>321.68</v>
      </c>
      <c r="J1621" s="51" t="s">
        <v>6726</v>
      </c>
      <c r="K1621" s="15">
        <v>0</v>
      </c>
      <c r="L1621" s="51" t="s">
        <v>2371</v>
      </c>
      <c r="M1621" s="51" t="s">
        <v>8312</v>
      </c>
      <c r="N1621" s="51" t="s">
        <v>1340</v>
      </c>
      <c r="O1621" s="51" t="s">
        <v>8313</v>
      </c>
      <c r="P1621" s="51" t="s">
        <v>1340</v>
      </c>
      <c r="Q1621" s="45">
        <v>46287.522707673612</v>
      </c>
      <c r="R1621" s="46">
        <v>46301</v>
      </c>
      <c r="S1621" s="46">
        <v>46296</v>
      </c>
      <c r="T1621" s="51" t="s">
        <v>6119</v>
      </c>
      <c r="U1621" s="15"/>
      <c r="V1621" s="15"/>
      <c r="W1621" s="15"/>
      <c r="X1621" s="15"/>
      <c r="Y1621" s="15"/>
      <c r="Z1621" s="15"/>
      <c r="AA1621" s="46"/>
      <c r="AB1621" s="15"/>
      <c r="AC1621" s="15"/>
      <c r="AD1621" s="15"/>
      <c r="AE1621" s="15"/>
      <c r="AF1621" s="15"/>
      <c r="AG1621" s="15"/>
      <c r="AH1621" s="15"/>
      <c r="AI1621" s="46"/>
      <c r="AJ1621" s="51" t="s">
        <v>67</v>
      </c>
      <c r="AK1621" s="51" t="s">
        <v>67</v>
      </c>
      <c r="AL1621" s="15"/>
      <c r="AM1621" s="51" t="s">
        <v>67</v>
      </c>
      <c r="AN1621" s="51" t="s">
        <v>67</v>
      </c>
      <c r="AO1621" s="50" t="s">
        <v>9554</v>
      </c>
    </row>
    <row r="1622" spans="1:41" hidden="1" x14ac:dyDescent="0.25">
      <c r="A1622" s="51" t="s">
        <v>8314</v>
      </c>
      <c r="B1622" s="51" t="s">
        <v>8315</v>
      </c>
      <c r="C1622" s="54" t="s">
        <v>5599</v>
      </c>
      <c r="D1622" s="51" t="s">
        <v>8316</v>
      </c>
      <c r="E1622" s="20">
        <v>10000</v>
      </c>
      <c r="F1622" s="20">
        <v>1732.79</v>
      </c>
      <c r="G1622" s="20">
        <v>19153.32</v>
      </c>
      <c r="H1622" s="20">
        <v>1401.4</v>
      </c>
      <c r="I1622" s="20">
        <v>1732.79</v>
      </c>
      <c r="J1622" s="51" t="s">
        <v>6727</v>
      </c>
      <c r="K1622" s="15">
        <v>81</v>
      </c>
      <c r="L1622" s="51" t="s">
        <v>2369</v>
      </c>
      <c r="M1622" s="51" t="s">
        <v>8317</v>
      </c>
      <c r="N1622" s="51" t="s">
        <v>1340</v>
      </c>
      <c r="O1622" s="51" t="s">
        <v>67</v>
      </c>
      <c r="P1622" s="51" t="s">
        <v>67</v>
      </c>
      <c r="Q1622" s="45">
        <v>46287.546819699077</v>
      </c>
      <c r="R1622" s="46">
        <v>46302</v>
      </c>
      <c r="S1622" s="46">
        <v>46297</v>
      </c>
      <c r="T1622" s="51" t="s">
        <v>6119</v>
      </c>
      <c r="U1622" s="15"/>
      <c r="V1622" s="15"/>
      <c r="W1622" s="15"/>
      <c r="X1622" s="15"/>
      <c r="Y1622" s="15"/>
      <c r="Z1622" s="15"/>
      <c r="AA1622" s="46"/>
      <c r="AB1622" s="15"/>
      <c r="AC1622" s="15"/>
      <c r="AD1622" s="15"/>
      <c r="AE1622" s="15"/>
      <c r="AF1622" s="15"/>
      <c r="AG1622" s="15"/>
      <c r="AH1622" s="15"/>
      <c r="AI1622" s="46"/>
      <c r="AJ1622" s="51" t="s">
        <v>6121</v>
      </c>
      <c r="AK1622" s="51" t="s">
        <v>67</v>
      </c>
      <c r="AL1622" s="15"/>
      <c r="AM1622" s="51" t="s">
        <v>67</v>
      </c>
      <c r="AN1622" s="51" t="s">
        <v>67</v>
      </c>
      <c r="AO1622" s="50" t="s">
        <v>9554</v>
      </c>
    </row>
    <row r="1623" spans="1:41" hidden="1" x14ac:dyDescent="0.25">
      <c r="A1623" s="51" t="s">
        <v>8318</v>
      </c>
      <c r="B1623" s="51" t="s">
        <v>8319</v>
      </c>
      <c r="C1623" s="54" t="s">
        <v>2693</v>
      </c>
      <c r="D1623" s="51" t="s">
        <v>8320</v>
      </c>
      <c r="E1623" s="20">
        <v>10000</v>
      </c>
      <c r="F1623" s="20">
        <v>1966.95</v>
      </c>
      <c r="G1623" s="20">
        <v>15665.15</v>
      </c>
      <c r="H1623" s="20">
        <v>1489.6</v>
      </c>
      <c r="I1623" s="20">
        <v>1966.95</v>
      </c>
      <c r="J1623" s="51" t="s">
        <v>6727</v>
      </c>
      <c r="K1623" s="15">
        <v>69</v>
      </c>
      <c r="L1623" s="51" t="s">
        <v>2369</v>
      </c>
      <c r="M1623" s="51" t="s">
        <v>67</v>
      </c>
      <c r="N1623" s="51" t="s">
        <v>67</v>
      </c>
      <c r="O1623" s="51" t="s">
        <v>8321</v>
      </c>
      <c r="P1623" s="51" t="s">
        <v>1344</v>
      </c>
      <c r="Q1623" s="45">
        <v>46287.546825219906</v>
      </c>
      <c r="R1623" s="46">
        <v>46314</v>
      </c>
      <c r="S1623" s="46">
        <v>46309</v>
      </c>
      <c r="T1623" s="51" t="s">
        <v>6119</v>
      </c>
      <c r="U1623" s="15"/>
      <c r="V1623" s="15"/>
      <c r="W1623" s="15"/>
      <c r="X1623" s="15"/>
      <c r="Y1623" s="15"/>
      <c r="Z1623" s="15"/>
      <c r="AA1623" s="46"/>
      <c r="AB1623" s="15"/>
      <c r="AC1623" s="15"/>
      <c r="AD1623" s="15"/>
      <c r="AE1623" s="15"/>
      <c r="AF1623" s="15"/>
      <c r="AG1623" s="15"/>
      <c r="AH1623" s="15"/>
      <c r="AI1623" s="46"/>
      <c r="AJ1623" s="51" t="s">
        <v>6121</v>
      </c>
      <c r="AK1623" s="51" t="s">
        <v>67</v>
      </c>
      <c r="AL1623" s="15"/>
      <c r="AM1623" s="51" t="s">
        <v>67</v>
      </c>
      <c r="AN1623" s="51" t="s">
        <v>67</v>
      </c>
      <c r="AO1623" s="50" t="s">
        <v>9554</v>
      </c>
    </row>
    <row r="1624" spans="1:41" hidden="1" x14ac:dyDescent="0.25">
      <c r="A1624" s="51" t="s">
        <v>8322</v>
      </c>
      <c r="B1624" s="51" t="s">
        <v>8323</v>
      </c>
      <c r="C1624" s="54" t="s">
        <v>2689</v>
      </c>
      <c r="D1624" s="51" t="s">
        <v>8324</v>
      </c>
      <c r="E1624" s="20">
        <v>10000</v>
      </c>
      <c r="F1624" s="20">
        <v>1553.47</v>
      </c>
      <c r="G1624" s="20">
        <v>6950.87</v>
      </c>
      <c r="H1624" s="20">
        <v>1191.48</v>
      </c>
      <c r="I1624" s="20">
        <v>1553.47</v>
      </c>
      <c r="J1624" s="51" t="s">
        <v>6727</v>
      </c>
      <c r="K1624" s="15">
        <v>66</v>
      </c>
      <c r="L1624" s="51" t="s">
        <v>2369</v>
      </c>
      <c r="M1624" s="51" t="s">
        <v>8325</v>
      </c>
      <c r="N1624" s="51" t="s">
        <v>1340</v>
      </c>
      <c r="O1624" s="51" t="s">
        <v>67</v>
      </c>
      <c r="P1624" s="51" t="s">
        <v>67</v>
      </c>
      <c r="Q1624" s="45">
        <v>46287.546830231484</v>
      </c>
      <c r="R1624" s="46">
        <v>46317</v>
      </c>
      <c r="S1624" s="46">
        <v>46312</v>
      </c>
      <c r="T1624" s="51" t="s">
        <v>6119</v>
      </c>
      <c r="U1624" s="15"/>
      <c r="V1624" s="15"/>
      <c r="W1624" s="15"/>
      <c r="X1624" s="15"/>
      <c r="Y1624" s="15"/>
      <c r="Z1624" s="15"/>
      <c r="AA1624" s="46"/>
      <c r="AB1624" s="15"/>
      <c r="AC1624" s="15"/>
      <c r="AD1624" s="15"/>
      <c r="AE1624" s="15"/>
      <c r="AF1624" s="15"/>
      <c r="AG1624" s="15"/>
      <c r="AH1624" s="15"/>
      <c r="AI1624" s="46"/>
      <c r="AJ1624" s="51" t="s">
        <v>6121</v>
      </c>
      <c r="AK1624" s="51" t="s">
        <v>67</v>
      </c>
      <c r="AL1624" s="15"/>
      <c r="AM1624" s="51" t="s">
        <v>67</v>
      </c>
      <c r="AN1624" s="51" t="s">
        <v>67</v>
      </c>
      <c r="AO1624" s="50" t="s">
        <v>9554</v>
      </c>
    </row>
    <row r="1625" spans="1:41" hidden="1" x14ac:dyDescent="0.25">
      <c r="A1625" s="51" t="s">
        <v>8326</v>
      </c>
      <c r="B1625" s="51" t="s">
        <v>8327</v>
      </c>
      <c r="C1625" s="54" t="s">
        <v>608</v>
      </c>
      <c r="D1625" s="51" t="s">
        <v>8328</v>
      </c>
      <c r="E1625" s="20">
        <v>10000</v>
      </c>
      <c r="F1625" s="20">
        <v>1892.76</v>
      </c>
      <c r="G1625" s="20">
        <v>2376.54</v>
      </c>
      <c r="H1625" s="20">
        <v>1439.46</v>
      </c>
      <c r="I1625" s="20">
        <v>1892.76</v>
      </c>
      <c r="J1625" s="51" t="s">
        <v>6727</v>
      </c>
      <c r="K1625" s="15">
        <v>68</v>
      </c>
      <c r="L1625" s="51" t="s">
        <v>2369</v>
      </c>
      <c r="M1625" s="51" t="s">
        <v>8329</v>
      </c>
      <c r="N1625" s="51" t="s">
        <v>1340</v>
      </c>
      <c r="O1625" s="51" t="s">
        <v>67</v>
      </c>
      <c r="P1625" s="51" t="s">
        <v>67</v>
      </c>
      <c r="Q1625" s="45">
        <v>46287.546835601854</v>
      </c>
      <c r="R1625" s="46">
        <v>46315</v>
      </c>
      <c r="S1625" s="46">
        <v>46310</v>
      </c>
      <c r="T1625" s="51" t="s">
        <v>6119</v>
      </c>
      <c r="U1625" s="15"/>
      <c r="V1625" s="15"/>
      <c r="W1625" s="15"/>
      <c r="X1625" s="15"/>
      <c r="Y1625" s="15"/>
      <c r="Z1625" s="15"/>
      <c r="AA1625" s="46"/>
      <c r="AB1625" s="15"/>
      <c r="AC1625" s="15"/>
      <c r="AD1625" s="15"/>
      <c r="AE1625" s="15"/>
      <c r="AF1625" s="15"/>
      <c r="AG1625" s="15"/>
      <c r="AH1625" s="15"/>
      <c r="AI1625" s="46"/>
      <c r="AJ1625" s="51" t="s">
        <v>6121</v>
      </c>
      <c r="AK1625" s="51" t="s">
        <v>67</v>
      </c>
      <c r="AL1625" s="15"/>
      <c r="AM1625" s="51" t="s">
        <v>67</v>
      </c>
      <c r="AN1625" s="51" t="s">
        <v>67</v>
      </c>
      <c r="AO1625" s="50" t="s">
        <v>9554</v>
      </c>
    </row>
    <row r="1626" spans="1:41" hidden="1" x14ac:dyDescent="0.25">
      <c r="A1626" s="51" t="s">
        <v>8330</v>
      </c>
      <c r="B1626" s="51" t="s">
        <v>8331</v>
      </c>
      <c r="C1626" s="54" t="s">
        <v>607</v>
      </c>
      <c r="D1626" s="51" t="s">
        <v>8332</v>
      </c>
      <c r="E1626" s="20">
        <v>10000</v>
      </c>
      <c r="F1626" s="20">
        <v>1471.92</v>
      </c>
      <c r="G1626" s="20">
        <v>1635.24</v>
      </c>
      <c r="H1626" s="20">
        <v>1096.3</v>
      </c>
      <c r="I1626" s="20">
        <v>1471.92</v>
      </c>
      <c r="J1626" s="51" t="s">
        <v>6727</v>
      </c>
      <c r="K1626" s="15">
        <v>73</v>
      </c>
      <c r="L1626" s="51" t="s">
        <v>2369</v>
      </c>
      <c r="M1626" s="51" t="s">
        <v>67</v>
      </c>
      <c r="N1626" s="51" t="s">
        <v>67</v>
      </c>
      <c r="O1626" s="51" t="s">
        <v>8333</v>
      </c>
      <c r="P1626" s="51" t="s">
        <v>1340</v>
      </c>
      <c r="Q1626" s="45">
        <v>46287.546840925927</v>
      </c>
      <c r="R1626" s="46">
        <v>46310</v>
      </c>
      <c r="S1626" s="46">
        <v>46305</v>
      </c>
      <c r="T1626" s="51" t="s">
        <v>6119</v>
      </c>
      <c r="U1626" s="15"/>
      <c r="V1626" s="15"/>
      <c r="W1626" s="15"/>
      <c r="X1626" s="15"/>
      <c r="Y1626" s="15"/>
      <c r="Z1626" s="15"/>
      <c r="AA1626" s="46"/>
      <c r="AB1626" s="15"/>
      <c r="AC1626" s="15"/>
      <c r="AD1626" s="15"/>
      <c r="AE1626" s="15"/>
      <c r="AF1626" s="15"/>
      <c r="AG1626" s="15"/>
      <c r="AH1626" s="15"/>
      <c r="AI1626" s="46"/>
      <c r="AJ1626" s="51" t="s">
        <v>6121</v>
      </c>
      <c r="AK1626" s="51" t="s">
        <v>67</v>
      </c>
      <c r="AL1626" s="15"/>
      <c r="AM1626" s="51" t="s">
        <v>67</v>
      </c>
      <c r="AN1626" s="51" t="s">
        <v>67</v>
      </c>
      <c r="AO1626" s="50" t="s">
        <v>9554</v>
      </c>
    </row>
    <row r="1627" spans="1:41" hidden="1" x14ac:dyDescent="0.25">
      <c r="A1627" s="51" t="s">
        <v>8334</v>
      </c>
      <c r="B1627" s="51" t="s">
        <v>8335</v>
      </c>
      <c r="C1627" s="54" t="s">
        <v>2694</v>
      </c>
      <c r="D1627" s="51" t="s">
        <v>8336</v>
      </c>
      <c r="E1627" s="20">
        <v>10000</v>
      </c>
      <c r="F1627" s="20">
        <v>1355.95</v>
      </c>
      <c r="G1627" s="20">
        <v>3355.85</v>
      </c>
      <c r="H1627" s="20">
        <v>1018.34</v>
      </c>
      <c r="I1627" s="20">
        <v>1355.95</v>
      </c>
      <c r="J1627" s="51" t="s">
        <v>6727</v>
      </c>
      <c r="K1627" s="15">
        <v>71</v>
      </c>
      <c r="L1627" s="51" t="s">
        <v>2369</v>
      </c>
      <c r="M1627" s="51" t="s">
        <v>8337</v>
      </c>
      <c r="N1627" s="51" t="s">
        <v>1344</v>
      </c>
      <c r="O1627" s="51" t="s">
        <v>8338</v>
      </c>
      <c r="P1627" s="51" t="s">
        <v>1344</v>
      </c>
      <c r="Q1627" s="45">
        <v>46287.546844745368</v>
      </c>
      <c r="R1627" s="46">
        <v>46312</v>
      </c>
      <c r="S1627" s="46">
        <v>46307</v>
      </c>
      <c r="T1627" s="51" t="s">
        <v>6119</v>
      </c>
      <c r="U1627" s="15"/>
      <c r="V1627" s="15"/>
      <c r="W1627" s="15"/>
      <c r="X1627" s="15"/>
      <c r="Y1627" s="15"/>
      <c r="Z1627" s="15"/>
      <c r="AA1627" s="46"/>
      <c r="AB1627" s="15"/>
      <c r="AC1627" s="15"/>
      <c r="AD1627" s="15"/>
      <c r="AE1627" s="15"/>
      <c r="AF1627" s="15"/>
      <c r="AG1627" s="15"/>
      <c r="AH1627" s="15"/>
      <c r="AI1627" s="46"/>
      <c r="AJ1627" s="51" t="s">
        <v>6121</v>
      </c>
      <c r="AK1627" s="51" t="s">
        <v>67</v>
      </c>
      <c r="AL1627" s="15"/>
      <c r="AM1627" s="51" t="s">
        <v>67</v>
      </c>
      <c r="AN1627" s="51" t="s">
        <v>67</v>
      </c>
      <c r="AO1627" s="50" t="s">
        <v>9554</v>
      </c>
    </row>
    <row r="1628" spans="1:41" hidden="1" x14ac:dyDescent="0.25">
      <c r="A1628" s="51" t="s">
        <v>8339</v>
      </c>
      <c r="B1628" s="51" t="s">
        <v>8340</v>
      </c>
      <c r="C1628" s="54" t="s">
        <v>5600</v>
      </c>
      <c r="D1628" s="51" t="s">
        <v>8341</v>
      </c>
      <c r="E1628" s="20">
        <v>10000</v>
      </c>
      <c r="F1628" s="20">
        <v>2173.37</v>
      </c>
      <c r="G1628" s="20">
        <v>5775.55</v>
      </c>
      <c r="H1628" s="20">
        <v>1579.58</v>
      </c>
      <c r="I1628" s="20">
        <v>2173.37</v>
      </c>
      <c r="J1628" s="51" t="s">
        <v>6727</v>
      </c>
      <c r="K1628" s="15">
        <v>79</v>
      </c>
      <c r="L1628" s="51" t="s">
        <v>2369</v>
      </c>
      <c r="M1628" s="51" t="s">
        <v>8342</v>
      </c>
      <c r="N1628" s="51" t="s">
        <v>1340</v>
      </c>
      <c r="O1628" s="51" t="s">
        <v>8343</v>
      </c>
      <c r="P1628" s="51" t="s">
        <v>1340</v>
      </c>
      <c r="Q1628" s="45">
        <v>46287.546849317128</v>
      </c>
      <c r="R1628" s="46">
        <v>46304</v>
      </c>
      <c r="S1628" s="46">
        <v>46299</v>
      </c>
      <c r="T1628" s="51" t="s">
        <v>6119</v>
      </c>
      <c r="U1628" s="15"/>
      <c r="V1628" s="15"/>
      <c r="W1628" s="15"/>
      <c r="X1628" s="15"/>
      <c r="Y1628" s="15"/>
      <c r="Z1628" s="15"/>
      <c r="AA1628" s="46"/>
      <c r="AB1628" s="15"/>
      <c r="AC1628" s="15"/>
      <c r="AD1628" s="15"/>
      <c r="AE1628" s="15"/>
      <c r="AF1628" s="15"/>
      <c r="AG1628" s="15"/>
      <c r="AH1628" s="15"/>
      <c r="AI1628" s="46"/>
      <c r="AJ1628" s="51" t="s">
        <v>6121</v>
      </c>
      <c r="AK1628" s="51" t="s">
        <v>67</v>
      </c>
      <c r="AL1628" s="15"/>
      <c r="AM1628" s="51" t="s">
        <v>67</v>
      </c>
      <c r="AN1628" s="51" t="s">
        <v>67</v>
      </c>
      <c r="AO1628" s="50" t="s">
        <v>9554</v>
      </c>
    </row>
    <row r="1629" spans="1:41" hidden="1" x14ac:dyDescent="0.25">
      <c r="A1629" s="51" t="s">
        <v>8344</v>
      </c>
      <c r="B1629" s="51" t="s">
        <v>8345</v>
      </c>
      <c r="C1629" s="54" t="s">
        <v>2693</v>
      </c>
      <c r="D1629" s="51" t="s">
        <v>8346</v>
      </c>
      <c r="E1629" s="20">
        <v>10000</v>
      </c>
      <c r="F1629" s="20">
        <v>1583.72</v>
      </c>
      <c r="G1629" s="20">
        <v>7388.74</v>
      </c>
      <c r="H1629" s="20">
        <v>1199.3800000000001</v>
      </c>
      <c r="I1629" s="20">
        <v>1583.72</v>
      </c>
      <c r="J1629" s="51" t="s">
        <v>6727</v>
      </c>
      <c r="K1629" s="15">
        <v>69</v>
      </c>
      <c r="L1629" s="51" t="s">
        <v>2369</v>
      </c>
      <c r="M1629" s="51" t="s">
        <v>8347</v>
      </c>
      <c r="N1629" s="51" t="s">
        <v>1344</v>
      </c>
      <c r="O1629" s="51" t="s">
        <v>8348</v>
      </c>
      <c r="P1629" s="51" t="s">
        <v>1344</v>
      </c>
      <c r="Q1629" s="45">
        <v>46287.546854074077</v>
      </c>
      <c r="R1629" s="46">
        <v>46314</v>
      </c>
      <c r="S1629" s="46">
        <v>46309</v>
      </c>
      <c r="T1629" s="51" t="s">
        <v>6119</v>
      </c>
      <c r="U1629" s="15">
        <v>131.16</v>
      </c>
      <c r="V1629" s="15">
        <v>605.33000000000004</v>
      </c>
      <c r="W1629" s="15">
        <v>5.62</v>
      </c>
      <c r="X1629" s="15">
        <v>0.02</v>
      </c>
      <c r="Y1629" s="15">
        <v>1.625418</v>
      </c>
      <c r="Z1629" s="15">
        <v>6</v>
      </c>
      <c r="AA1629" s="46">
        <v>46253</v>
      </c>
      <c r="AB1629" s="15"/>
      <c r="AC1629" s="15"/>
      <c r="AD1629" s="15"/>
      <c r="AE1629" s="15"/>
      <c r="AF1629" s="15"/>
      <c r="AG1629" s="15"/>
      <c r="AH1629" s="15"/>
      <c r="AI1629" s="46"/>
      <c r="AJ1629" s="51" t="s">
        <v>6121</v>
      </c>
      <c r="AK1629" s="51" t="s">
        <v>67</v>
      </c>
      <c r="AL1629" s="15"/>
      <c r="AM1629" s="51" t="s">
        <v>67</v>
      </c>
      <c r="AN1629" s="51" t="s">
        <v>67</v>
      </c>
      <c r="AO1629" s="50" t="s">
        <v>9554</v>
      </c>
    </row>
    <row r="1630" spans="1:41" hidden="1" x14ac:dyDescent="0.25">
      <c r="A1630" s="51" t="s">
        <v>8349</v>
      </c>
      <c r="B1630" s="51" t="s">
        <v>8350</v>
      </c>
      <c r="C1630" s="54" t="s">
        <v>5598</v>
      </c>
      <c r="D1630" s="51" t="s">
        <v>8351</v>
      </c>
      <c r="E1630" s="20">
        <v>10000</v>
      </c>
      <c r="F1630" s="20">
        <v>1740.29</v>
      </c>
      <c r="G1630" s="20">
        <v>18313.3</v>
      </c>
      <c r="H1630" s="20">
        <v>1340.46</v>
      </c>
      <c r="I1630" s="20">
        <v>1740.29</v>
      </c>
      <c r="J1630" s="51" t="s">
        <v>6727</v>
      </c>
      <c r="K1630" s="15">
        <v>65</v>
      </c>
      <c r="L1630" s="51" t="s">
        <v>2369</v>
      </c>
      <c r="M1630" s="51" t="s">
        <v>8352</v>
      </c>
      <c r="N1630" s="51" t="s">
        <v>1344</v>
      </c>
      <c r="O1630" s="51" t="s">
        <v>67</v>
      </c>
      <c r="P1630" s="51" t="s">
        <v>67</v>
      </c>
      <c r="Q1630" s="45">
        <v>46287.546858692127</v>
      </c>
      <c r="R1630" s="46">
        <v>46318</v>
      </c>
      <c r="S1630" s="46">
        <v>46313</v>
      </c>
      <c r="T1630" s="51" t="s">
        <v>6119</v>
      </c>
      <c r="U1630" s="15"/>
      <c r="V1630" s="15"/>
      <c r="W1630" s="15"/>
      <c r="X1630" s="15"/>
      <c r="Y1630" s="15"/>
      <c r="Z1630" s="15"/>
      <c r="AA1630" s="46"/>
      <c r="AB1630" s="15"/>
      <c r="AC1630" s="15"/>
      <c r="AD1630" s="15"/>
      <c r="AE1630" s="15"/>
      <c r="AF1630" s="15"/>
      <c r="AG1630" s="15"/>
      <c r="AH1630" s="15"/>
      <c r="AI1630" s="46"/>
      <c r="AJ1630" s="51" t="s">
        <v>6121</v>
      </c>
      <c r="AK1630" s="51" t="s">
        <v>67</v>
      </c>
      <c r="AL1630" s="15"/>
      <c r="AM1630" s="51" t="s">
        <v>67</v>
      </c>
      <c r="AN1630" s="51" t="s">
        <v>67</v>
      </c>
      <c r="AO1630" s="50" t="s">
        <v>9554</v>
      </c>
    </row>
    <row r="1631" spans="1:41" hidden="1" x14ac:dyDescent="0.25">
      <c r="A1631" s="51" t="s">
        <v>8353</v>
      </c>
      <c r="B1631" s="51" t="s">
        <v>8354</v>
      </c>
      <c r="C1631" s="54" t="s">
        <v>2691</v>
      </c>
      <c r="D1631" s="51" t="s">
        <v>8355</v>
      </c>
      <c r="E1631" s="20">
        <v>10000</v>
      </c>
      <c r="F1631" s="20">
        <v>2452.08</v>
      </c>
      <c r="G1631" s="20">
        <v>7259.14</v>
      </c>
      <c r="H1631" s="20">
        <v>1760.86</v>
      </c>
      <c r="I1631" s="20">
        <v>2452.08</v>
      </c>
      <c r="J1631" s="51" t="s">
        <v>6727</v>
      </c>
      <c r="K1631" s="15">
        <v>82</v>
      </c>
      <c r="L1631" s="51" t="s">
        <v>2369</v>
      </c>
      <c r="M1631" s="51" t="s">
        <v>8356</v>
      </c>
      <c r="N1631" s="51" t="s">
        <v>1340</v>
      </c>
      <c r="O1631" s="51" t="s">
        <v>67</v>
      </c>
      <c r="P1631" s="51" t="s">
        <v>67</v>
      </c>
      <c r="Q1631" s="45">
        <v>46287.546863252312</v>
      </c>
      <c r="R1631" s="46">
        <v>46301</v>
      </c>
      <c r="S1631" s="46">
        <v>46296</v>
      </c>
      <c r="T1631" s="51" t="s">
        <v>6119</v>
      </c>
      <c r="U1631" s="15"/>
      <c r="V1631" s="15"/>
      <c r="W1631" s="15"/>
      <c r="X1631" s="15"/>
      <c r="Y1631" s="15"/>
      <c r="Z1631" s="15"/>
      <c r="AA1631" s="46"/>
      <c r="AB1631" s="15"/>
      <c r="AC1631" s="15"/>
      <c r="AD1631" s="15"/>
      <c r="AE1631" s="15"/>
      <c r="AF1631" s="15"/>
      <c r="AG1631" s="15"/>
      <c r="AH1631" s="15"/>
      <c r="AI1631" s="46"/>
      <c r="AJ1631" s="51" t="s">
        <v>6121</v>
      </c>
      <c r="AK1631" s="51" t="s">
        <v>67</v>
      </c>
      <c r="AL1631" s="15"/>
      <c r="AM1631" s="51" t="s">
        <v>67</v>
      </c>
      <c r="AN1631" s="51" t="s">
        <v>67</v>
      </c>
      <c r="AO1631" s="50" t="s">
        <v>9554</v>
      </c>
    </row>
    <row r="1632" spans="1:41" hidden="1" x14ac:dyDescent="0.25">
      <c r="A1632" s="51" t="s">
        <v>8357</v>
      </c>
      <c r="B1632" s="51" t="s">
        <v>8358</v>
      </c>
      <c r="C1632" s="54" t="s">
        <v>5604</v>
      </c>
      <c r="D1632" s="51" t="s">
        <v>8359</v>
      </c>
      <c r="E1632" s="20">
        <v>10000</v>
      </c>
      <c r="F1632" s="20">
        <v>2115.98</v>
      </c>
      <c r="G1632" s="20">
        <v>14184.4</v>
      </c>
      <c r="H1632" s="20">
        <v>1595.76</v>
      </c>
      <c r="I1632" s="20">
        <v>2115.98</v>
      </c>
      <c r="J1632" s="51" t="s">
        <v>6727</v>
      </c>
      <c r="K1632" s="15">
        <v>70</v>
      </c>
      <c r="L1632" s="51" t="s">
        <v>2369</v>
      </c>
      <c r="M1632" s="51" t="s">
        <v>67</v>
      </c>
      <c r="N1632" s="51" t="s">
        <v>67</v>
      </c>
      <c r="O1632" s="51" t="s">
        <v>8360</v>
      </c>
      <c r="P1632" s="51" t="s">
        <v>1344</v>
      </c>
      <c r="Q1632" s="45">
        <v>46287.546868182872</v>
      </c>
      <c r="R1632" s="46">
        <v>46313</v>
      </c>
      <c r="S1632" s="46">
        <v>46308</v>
      </c>
      <c r="T1632" s="51" t="s">
        <v>6119</v>
      </c>
      <c r="U1632" s="15"/>
      <c r="V1632" s="15"/>
      <c r="W1632" s="15"/>
      <c r="X1632" s="15"/>
      <c r="Y1632" s="15"/>
      <c r="Z1632" s="15"/>
      <c r="AA1632" s="46"/>
      <c r="AB1632" s="15"/>
      <c r="AC1632" s="15"/>
      <c r="AD1632" s="15"/>
      <c r="AE1632" s="15"/>
      <c r="AF1632" s="15"/>
      <c r="AG1632" s="15"/>
      <c r="AH1632" s="15"/>
      <c r="AI1632" s="46"/>
      <c r="AJ1632" s="51" t="s">
        <v>6121</v>
      </c>
      <c r="AK1632" s="51" t="s">
        <v>67</v>
      </c>
      <c r="AL1632" s="15"/>
      <c r="AM1632" s="51" t="s">
        <v>67</v>
      </c>
      <c r="AN1632" s="51" t="s">
        <v>67</v>
      </c>
      <c r="AO1632" s="50" t="s">
        <v>9554</v>
      </c>
    </row>
    <row r="1633" spans="1:41" hidden="1" x14ac:dyDescent="0.25">
      <c r="A1633" s="51" t="s">
        <v>8361</v>
      </c>
      <c r="B1633" s="51" t="s">
        <v>8362</v>
      </c>
      <c r="C1633" s="54" t="s">
        <v>5599</v>
      </c>
      <c r="D1633" s="51" t="s">
        <v>8363</v>
      </c>
      <c r="E1633" s="20">
        <v>10000</v>
      </c>
      <c r="F1633" s="20">
        <v>1573.75</v>
      </c>
      <c r="G1633" s="20">
        <v>14611.55</v>
      </c>
      <c r="H1633" s="20">
        <v>1134.6400000000001</v>
      </c>
      <c r="I1633" s="20">
        <v>1573.75</v>
      </c>
      <c r="J1633" s="51" t="s">
        <v>6727</v>
      </c>
      <c r="K1633" s="15">
        <v>81</v>
      </c>
      <c r="L1633" s="51" t="s">
        <v>2369</v>
      </c>
      <c r="M1633" s="51" t="s">
        <v>8364</v>
      </c>
      <c r="N1633" s="51" t="s">
        <v>1340</v>
      </c>
      <c r="O1633" s="51" t="s">
        <v>8365</v>
      </c>
      <c r="P1633" s="51" t="s">
        <v>1340</v>
      </c>
      <c r="Q1633" s="45">
        <v>46287.54687215278</v>
      </c>
      <c r="R1633" s="46">
        <v>46302</v>
      </c>
      <c r="S1633" s="46">
        <v>46297</v>
      </c>
      <c r="T1633" s="51" t="s">
        <v>6119</v>
      </c>
      <c r="U1633" s="15"/>
      <c r="V1633" s="15"/>
      <c r="W1633" s="15"/>
      <c r="X1633" s="15"/>
      <c r="Y1633" s="15"/>
      <c r="Z1633" s="15"/>
      <c r="AA1633" s="46"/>
      <c r="AB1633" s="15"/>
      <c r="AC1633" s="15"/>
      <c r="AD1633" s="15"/>
      <c r="AE1633" s="15"/>
      <c r="AF1633" s="15"/>
      <c r="AG1633" s="15"/>
      <c r="AH1633" s="15"/>
      <c r="AI1633" s="46"/>
      <c r="AJ1633" s="51" t="s">
        <v>6121</v>
      </c>
      <c r="AK1633" s="51" t="s">
        <v>67</v>
      </c>
      <c r="AL1633" s="15"/>
      <c r="AM1633" s="51" t="s">
        <v>67</v>
      </c>
      <c r="AN1633" s="51" t="s">
        <v>67</v>
      </c>
      <c r="AO1633" s="50" t="s">
        <v>9554</v>
      </c>
    </row>
    <row r="1634" spans="1:41" hidden="1" x14ac:dyDescent="0.25">
      <c r="A1634" s="51" t="s">
        <v>8366</v>
      </c>
      <c r="B1634" s="51" t="s">
        <v>8367</v>
      </c>
      <c r="C1634" s="54" t="s">
        <v>2345</v>
      </c>
      <c r="D1634" s="51" t="s">
        <v>8368</v>
      </c>
      <c r="E1634" s="20">
        <v>10000</v>
      </c>
      <c r="F1634" s="20">
        <v>2562.3000000000002</v>
      </c>
      <c r="G1634" s="20">
        <v>12623.26</v>
      </c>
      <c r="H1634" s="20">
        <v>1877.4</v>
      </c>
      <c r="I1634" s="20">
        <v>2562.3000000000002</v>
      </c>
      <c r="J1634" s="51" t="s">
        <v>6727</v>
      </c>
      <c r="K1634" s="15">
        <v>77</v>
      </c>
      <c r="L1634" s="51" t="s">
        <v>2369</v>
      </c>
      <c r="M1634" s="51" t="s">
        <v>67</v>
      </c>
      <c r="N1634" s="51" t="s">
        <v>67</v>
      </c>
      <c r="O1634" s="51" t="s">
        <v>8369</v>
      </c>
      <c r="P1634" s="51" t="s">
        <v>1340</v>
      </c>
      <c r="Q1634" s="45">
        <v>46287.546877048611</v>
      </c>
      <c r="R1634" s="46">
        <v>46306</v>
      </c>
      <c r="S1634" s="46">
        <v>46301</v>
      </c>
      <c r="T1634" s="51" t="s">
        <v>6119</v>
      </c>
      <c r="U1634" s="15"/>
      <c r="V1634" s="15"/>
      <c r="W1634" s="15"/>
      <c r="X1634" s="15"/>
      <c r="Y1634" s="15"/>
      <c r="Z1634" s="15"/>
      <c r="AA1634" s="46"/>
      <c r="AB1634" s="15"/>
      <c r="AC1634" s="15"/>
      <c r="AD1634" s="15"/>
      <c r="AE1634" s="15"/>
      <c r="AF1634" s="15"/>
      <c r="AG1634" s="15"/>
      <c r="AH1634" s="15"/>
      <c r="AI1634" s="46"/>
      <c r="AJ1634" s="51" t="s">
        <v>6121</v>
      </c>
      <c r="AK1634" s="51" t="s">
        <v>67</v>
      </c>
      <c r="AL1634" s="15"/>
      <c r="AM1634" s="51" t="s">
        <v>67</v>
      </c>
      <c r="AN1634" s="51" t="s">
        <v>67</v>
      </c>
      <c r="AO1634" s="50" t="s">
        <v>9554</v>
      </c>
    </row>
    <row r="1635" spans="1:41" hidden="1" x14ac:dyDescent="0.25">
      <c r="A1635" s="51" t="s">
        <v>8370</v>
      </c>
      <c r="B1635" s="51" t="s">
        <v>8371</v>
      </c>
      <c r="C1635" s="54" t="s">
        <v>5600</v>
      </c>
      <c r="D1635" s="51" t="s">
        <v>8372</v>
      </c>
      <c r="E1635" s="20">
        <v>10000</v>
      </c>
      <c r="F1635" s="20">
        <v>1737.05</v>
      </c>
      <c r="G1635" s="20">
        <v>7425.19</v>
      </c>
      <c r="H1635" s="20">
        <v>1262.48</v>
      </c>
      <c r="I1635" s="20">
        <v>1737.05</v>
      </c>
      <c r="J1635" s="51" t="s">
        <v>6727</v>
      </c>
      <c r="K1635" s="15">
        <v>79</v>
      </c>
      <c r="L1635" s="51" t="s">
        <v>2369</v>
      </c>
      <c r="M1635" s="51" t="s">
        <v>8373</v>
      </c>
      <c r="N1635" s="51" t="s">
        <v>1340</v>
      </c>
      <c r="O1635" s="51" t="s">
        <v>8374</v>
      </c>
      <c r="P1635" s="51" t="s">
        <v>1340</v>
      </c>
      <c r="Q1635" s="45">
        <v>46287.546881469905</v>
      </c>
      <c r="R1635" s="46">
        <v>46304</v>
      </c>
      <c r="S1635" s="46">
        <v>46299</v>
      </c>
      <c r="T1635" s="51" t="s">
        <v>6119</v>
      </c>
      <c r="U1635" s="15"/>
      <c r="V1635" s="15"/>
      <c r="W1635" s="15"/>
      <c r="X1635" s="15"/>
      <c r="Y1635" s="15"/>
      <c r="Z1635" s="15"/>
      <c r="AA1635" s="46"/>
      <c r="AB1635" s="15"/>
      <c r="AC1635" s="15"/>
      <c r="AD1635" s="15"/>
      <c r="AE1635" s="15"/>
      <c r="AF1635" s="15"/>
      <c r="AG1635" s="15"/>
      <c r="AH1635" s="15"/>
      <c r="AI1635" s="46"/>
      <c r="AJ1635" s="51" t="s">
        <v>6121</v>
      </c>
      <c r="AK1635" s="51" t="s">
        <v>67</v>
      </c>
      <c r="AL1635" s="15"/>
      <c r="AM1635" s="51" t="s">
        <v>67</v>
      </c>
      <c r="AN1635" s="51" t="s">
        <v>67</v>
      </c>
      <c r="AO1635" s="50" t="s">
        <v>9554</v>
      </c>
    </row>
    <row r="1636" spans="1:41" hidden="1" x14ac:dyDescent="0.25">
      <c r="A1636" s="51" t="s">
        <v>8375</v>
      </c>
      <c r="B1636" s="51" t="s">
        <v>8376</v>
      </c>
      <c r="C1636" s="54" t="s">
        <v>2541</v>
      </c>
      <c r="D1636" s="51" t="s">
        <v>8377</v>
      </c>
      <c r="E1636" s="20">
        <v>10000</v>
      </c>
      <c r="F1636" s="20">
        <v>1857.65</v>
      </c>
      <c r="G1636" s="20">
        <v>19693.96</v>
      </c>
      <c r="H1636" s="20">
        <v>1389.32</v>
      </c>
      <c r="I1636" s="20">
        <v>1857.65</v>
      </c>
      <c r="J1636" s="51" t="s">
        <v>6727</v>
      </c>
      <c r="K1636" s="15">
        <v>72</v>
      </c>
      <c r="L1636" s="51" t="s">
        <v>2369</v>
      </c>
      <c r="M1636" s="51" t="s">
        <v>8378</v>
      </c>
      <c r="N1636" s="51" t="s">
        <v>1340</v>
      </c>
      <c r="O1636" s="51" t="s">
        <v>8379</v>
      </c>
      <c r="P1636" s="51" t="s">
        <v>1340</v>
      </c>
      <c r="Q1636" s="45">
        <v>46287.546886203701</v>
      </c>
      <c r="R1636" s="46">
        <v>46311</v>
      </c>
      <c r="S1636" s="46">
        <v>46306</v>
      </c>
      <c r="T1636" s="51" t="s">
        <v>6119</v>
      </c>
      <c r="U1636" s="15"/>
      <c r="V1636" s="15"/>
      <c r="W1636" s="15"/>
      <c r="X1636" s="15"/>
      <c r="Y1636" s="15"/>
      <c r="Z1636" s="15"/>
      <c r="AA1636" s="46"/>
      <c r="AB1636" s="15"/>
      <c r="AC1636" s="15"/>
      <c r="AD1636" s="15"/>
      <c r="AE1636" s="15"/>
      <c r="AF1636" s="15"/>
      <c r="AG1636" s="15"/>
      <c r="AH1636" s="15"/>
      <c r="AI1636" s="46"/>
      <c r="AJ1636" s="51" t="s">
        <v>6121</v>
      </c>
      <c r="AK1636" s="51" t="s">
        <v>67</v>
      </c>
      <c r="AL1636" s="15"/>
      <c r="AM1636" s="51" t="s">
        <v>67</v>
      </c>
      <c r="AN1636" s="51" t="s">
        <v>67</v>
      </c>
      <c r="AO1636" s="50" t="s">
        <v>9554</v>
      </c>
    </row>
    <row r="1637" spans="1:41" hidden="1" x14ac:dyDescent="0.25">
      <c r="A1637" s="51" t="s">
        <v>8380</v>
      </c>
      <c r="B1637" s="51" t="s">
        <v>8381</v>
      </c>
      <c r="C1637" s="54" t="s">
        <v>5605</v>
      </c>
      <c r="D1637" s="51" t="s">
        <v>8382</v>
      </c>
      <c r="E1637" s="20">
        <v>9118.14</v>
      </c>
      <c r="F1637" s="20">
        <v>307.95</v>
      </c>
      <c r="G1637" s="20">
        <v>2130.5300000000002</v>
      </c>
      <c r="H1637" s="20">
        <v>1175.82</v>
      </c>
      <c r="I1637" s="20">
        <v>307.95</v>
      </c>
      <c r="J1637" s="51" t="s">
        <v>6726</v>
      </c>
      <c r="K1637" s="15">
        <v>0</v>
      </c>
      <c r="L1637" s="51" t="s">
        <v>2371</v>
      </c>
      <c r="M1637" s="51" t="s">
        <v>8383</v>
      </c>
      <c r="N1637" s="51" t="s">
        <v>1340</v>
      </c>
      <c r="O1637" s="51" t="s">
        <v>8384</v>
      </c>
      <c r="P1637" s="51" t="s">
        <v>1340</v>
      </c>
      <c r="Q1637" s="45">
        <v>46287.546891273145</v>
      </c>
      <c r="R1637" s="46">
        <v>46323</v>
      </c>
      <c r="S1637" s="46">
        <v>46318</v>
      </c>
      <c r="T1637" s="51" t="s">
        <v>6119</v>
      </c>
      <c r="U1637" s="15"/>
      <c r="V1637" s="15"/>
      <c r="W1637" s="15"/>
      <c r="X1637" s="15"/>
      <c r="Y1637" s="15"/>
      <c r="Z1637" s="15"/>
      <c r="AA1637" s="46"/>
      <c r="AB1637" s="15"/>
      <c r="AC1637" s="15"/>
      <c r="AD1637" s="15"/>
      <c r="AE1637" s="15"/>
      <c r="AF1637" s="15"/>
      <c r="AG1637" s="15"/>
      <c r="AH1637" s="15"/>
      <c r="AI1637" s="46"/>
      <c r="AJ1637" s="51" t="s">
        <v>67</v>
      </c>
      <c r="AK1637" s="51" t="s">
        <v>67</v>
      </c>
      <c r="AL1637" s="15"/>
      <c r="AM1637" s="51" t="s">
        <v>67</v>
      </c>
      <c r="AN1637" s="51" t="s">
        <v>67</v>
      </c>
      <c r="AO1637" s="50" t="s">
        <v>9554</v>
      </c>
    </row>
    <row r="1638" spans="1:41" hidden="1" x14ac:dyDescent="0.25">
      <c r="A1638" s="51" t="s">
        <v>8385</v>
      </c>
      <c r="B1638" s="51" t="s">
        <v>8386</v>
      </c>
      <c r="C1638" s="54" t="s">
        <v>2691</v>
      </c>
      <c r="D1638" s="51" t="s">
        <v>8387</v>
      </c>
      <c r="E1638" s="20">
        <v>10000</v>
      </c>
      <c r="F1638" s="20">
        <v>2277.17</v>
      </c>
      <c r="G1638" s="20">
        <v>10519.8</v>
      </c>
      <c r="H1638" s="20">
        <v>1635.26</v>
      </c>
      <c r="I1638" s="20">
        <v>2277.17</v>
      </c>
      <c r="J1638" s="51" t="s">
        <v>6727</v>
      </c>
      <c r="K1638" s="15">
        <v>82</v>
      </c>
      <c r="L1638" s="51" t="s">
        <v>2369</v>
      </c>
      <c r="M1638" s="51" t="s">
        <v>8388</v>
      </c>
      <c r="N1638" s="51" t="s">
        <v>1344</v>
      </c>
      <c r="O1638" s="51" t="s">
        <v>67</v>
      </c>
      <c r="P1638" s="51" t="s">
        <v>67</v>
      </c>
      <c r="Q1638" s="45">
        <v>46287.546896018517</v>
      </c>
      <c r="R1638" s="46">
        <v>46301</v>
      </c>
      <c r="S1638" s="46">
        <v>46296</v>
      </c>
      <c r="T1638" s="51" t="s">
        <v>6119</v>
      </c>
      <c r="U1638" s="15"/>
      <c r="V1638" s="15"/>
      <c r="W1638" s="15"/>
      <c r="X1638" s="15"/>
      <c r="Y1638" s="15"/>
      <c r="Z1638" s="15"/>
      <c r="AA1638" s="46"/>
      <c r="AB1638" s="15"/>
      <c r="AC1638" s="15"/>
      <c r="AD1638" s="15"/>
      <c r="AE1638" s="15"/>
      <c r="AF1638" s="15"/>
      <c r="AG1638" s="15"/>
      <c r="AH1638" s="15"/>
      <c r="AI1638" s="46"/>
      <c r="AJ1638" s="51" t="s">
        <v>6121</v>
      </c>
      <c r="AK1638" s="51" t="s">
        <v>67</v>
      </c>
      <c r="AL1638" s="15"/>
      <c r="AM1638" s="51" t="s">
        <v>67</v>
      </c>
      <c r="AN1638" s="51" t="s">
        <v>67</v>
      </c>
      <c r="AO1638" s="50" t="s">
        <v>9554</v>
      </c>
    </row>
    <row r="1639" spans="1:41" hidden="1" x14ac:dyDescent="0.25">
      <c r="A1639" s="51" t="s">
        <v>8389</v>
      </c>
      <c r="B1639" s="51" t="s">
        <v>8390</v>
      </c>
      <c r="C1639" s="54" t="s">
        <v>2358</v>
      </c>
      <c r="D1639" s="51" t="s">
        <v>8391</v>
      </c>
      <c r="E1639" s="20">
        <v>10000</v>
      </c>
      <c r="F1639" s="20">
        <v>1751.24</v>
      </c>
      <c r="G1639" s="20">
        <v>17599.11</v>
      </c>
      <c r="H1639" s="20">
        <v>1298.96</v>
      </c>
      <c r="I1639" s="20">
        <v>1751.24</v>
      </c>
      <c r="J1639" s="51" t="s">
        <v>6727</v>
      </c>
      <c r="K1639" s="15">
        <v>74</v>
      </c>
      <c r="L1639" s="51" t="s">
        <v>2369</v>
      </c>
      <c r="M1639" s="51" t="s">
        <v>8392</v>
      </c>
      <c r="N1639" s="51" t="s">
        <v>1340</v>
      </c>
      <c r="O1639" s="51" t="s">
        <v>8393</v>
      </c>
      <c r="P1639" s="51" t="s">
        <v>1340</v>
      </c>
      <c r="Q1639" s="45">
        <v>46287.546900694448</v>
      </c>
      <c r="R1639" s="46">
        <v>46309</v>
      </c>
      <c r="S1639" s="46">
        <v>46304</v>
      </c>
      <c r="T1639" s="51" t="s">
        <v>6119</v>
      </c>
      <c r="U1639" s="15"/>
      <c r="V1639" s="15"/>
      <c r="W1639" s="15"/>
      <c r="X1639" s="15"/>
      <c r="Y1639" s="15"/>
      <c r="Z1639" s="15"/>
      <c r="AA1639" s="46"/>
      <c r="AB1639" s="15"/>
      <c r="AC1639" s="15"/>
      <c r="AD1639" s="15"/>
      <c r="AE1639" s="15"/>
      <c r="AF1639" s="15"/>
      <c r="AG1639" s="15"/>
      <c r="AH1639" s="15"/>
      <c r="AI1639" s="46"/>
      <c r="AJ1639" s="51" t="s">
        <v>6121</v>
      </c>
      <c r="AK1639" s="51" t="s">
        <v>67</v>
      </c>
      <c r="AL1639" s="15"/>
      <c r="AM1639" s="51" t="s">
        <v>67</v>
      </c>
      <c r="AN1639" s="51" t="s">
        <v>67</v>
      </c>
      <c r="AO1639" s="50" t="s">
        <v>9554</v>
      </c>
    </row>
    <row r="1640" spans="1:41" hidden="1" x14ac:dyDescent="0.25">
      <c r="A1640" s="51" t="s">
        <v>8394</v>
      </c>
      <c r="B1640" s="51" t="s">
        <v>8395</v>
      </c>
      <c r="C1640" s="54" t="s">
        <v>611</v>
      </c>
      <c r="D1640" s="51" t="s">
        <v>8396</v>
      </c>
      <c r="E1640" s="20">
        <v>8315.2199999999993</v>
      </c>
      <c r="F1640" s="20">
        <v>20.05</v>
      </c>
      <c r="G1640" s="20">
        <v>11101.21</v>
      </c>
      <c r="H1640" s="20">
        <v>1684.78</v>
      </c>
      <c r="I1640" s="20">
        <v>20.05</v>
      </c>
      <c r="J1640" s="51" t="s">
        <v>6724</v>
      </c>
      <c r="K1640" s="15">
        <v>0</v>
      </c>
      <c r="L1640" s="51" t="s">
        <v>2371</v>
      </c>
      <c r="M1640" s="51" t="s">
        <v>67</v>
      </c>
      <c r="N1640" s="51" t="s">
        <v>67</v>
      </c>
      <c r="O1640" s="51" t="s">
        <v>8397</v>
      </c>
      <c r="P1640" s="51" t="s">
        <v>1340</v>
      </c>
      <c r="Q1640" s="45">
        <v>46287.546905416668</v>
      </c>
      <c r="R1640" s="46">
        <v>46320</v>
      </c>
      <c r="S1640" s="46">
        <v>46315</v>
      </c>
      <c r="T1640" s="51" t="s">
        <v>6119</v>
      </c>
      <c r="U1640" s="15"/>
      <c r="V1640" s="15"/>
      <c r="W1640" s="15"/>
      <c r="X1640" s="15"/>
      <c r="Y1640" s="15"/>
      <c r="Z1640" s="15"/>
      <c r="AA1640" s="46"/>
      <c r="AB1640" s="15"/>
      <c r="AC1640" s="15"/>
      <c r="AD1640" s="15"/>
      <c r="AE1640" s="15"/>
      <c r="AF1640" s="15"/>
      <c r="AG1640" s="15"/>
      <c r="AH1640" s="15"/>
      <c r="AI1640" s="46"/>
      <c r="AJ1640" s="51" t="s">
        <v>67</v>
      </c>
      <c r="AK1640" s="51" t="s">
        <v>67</v>
      </c>
      <c r="AL1640" s="15"/>
      <c r="AM1640" s="51" t="s">
        <v>67</v>
      </c>
      <c r="AN1640" s="51" t="s">
        <v>67</v>
      </c>
      <c r="AO1640" s="50" t="s">
        <v>9554</v>
      </c>
    </row>
    <row r="1641" spans="1:41" hidden="1" x14ac:dyDescent="0.25">
      <c r="A1641" s="51" t="s">
        <v>8398</v>
      </c>
      <c r="B1641" s="51" t="s">
        <v>8399</v>
      </c>
      <c r="C1641" s="54" t="s">
        <v>5603</v>
      </c>
      <c r="D1641" s="51" t="s">
        <v>8400</v>
      </c>
      <c r="E1641" s="20">
        <v>9896.9599999999991</v>
      </c>
      <c r="F1641" s="20">
        <v>1509.23</v>
      </c>
      <c r="G1641" s="20">
        <v>11468.23</v>
      </c>
      <c r="H1641" s="20">
        <v>1373.88</v>
      </c>
      <c r="I1641" s="20">
        <v>1509.23</v>
      </c>
      <c r="J1641" s="51" t="s">
        <v>6726</v>
      </c>
      <c r="K1641" s="15">
        <v>0</v>
      </c>
      <c r="L1641" s="51" t="s">
        <v>2371</v>
      </c>
      <c r="M1641" s="51" t="s">
        <v>8401</v>
      </c>
      <c r="N1641" s="51" t="s">
        <v>1340</v>
      </c>
      <c r="O1641" s="51" t="s">
        <v>8402</v>
      </c>
      <c r="P1641" s="51" t="s">
        <v>1340</v>
      </c>
      <c r="Q1641" s="45">
        <v>46287.54690976852</v>
      </c>
      <c r="R1641" s="46">
        <v>46298</v>
      </c>
      <c r="S1641" s="46">
        <v>46293</v>
      </c>
      <c r="T1641" s="51" t="s">
        <v>6119</v>
      </c>
      <c r="U1641" s="15"/>
      <c r="V1641" s="15"/>
      <c r="W1641" s="15"/>
      <c r="X1641" s="15"/>
      <c r="Y1641" s="15"/>
      <c r="Z1641" s="15"/>
      <c r="AA1641" s="46"/>
      <c r="AB1641" s="15"/>
      <c r="AC1641" s="15"/>
      <c r="AD1641" s="15"/>
      <c r="AE1641" s="15"/>
      <c r="AF1641" s="15"/>
      <c r="AG1641" s="15"/>
      <c r="AH1641" s="15"/>
      <c r="AI1641" s="46"/>
      <c r="AJ1641" s="51" t="s">
        <v>67</v>
      </c>
      <c r="AK1641" s="51" t="s">
        <v>67</v>
      </c>
      <c r="AL1641" s="15"/>
      <c r="AM1641" s="51" t="s">
        <v>67</v>
      </c>
      <c r="AN1641" s="51" t="s">
        <v>67</v>
      </c>
      <c r="AO1641" s="50" t="s">
        <v>9554</v>
      </c>
    </row>
    <row r="1642" spans="1:41" hidden="1" x14ac:dyDescent="0.25">
      <c r="A1642" s="51" t="s">
        <v>8403</v>
      </c>
      <c r="B1642" s="51" t="s">
        <v>8404</v>
      </c>
      <c r="C1642" s="54" t="s">
        <v>5604</v>
      </c>
      <c r="D1642" s="51" t="s">
        <v>8405</v>
      </c>
      <c r="E1642" s="20">
        <v>10000</v>
      </c>
      <c r="F1642" s="20">
        <v>2026.6</v>
      </c>
      <c r="G1642" s="20">
        <v>14352.59</v>
      </c>
      <c r="H1642" s="20">
        <v>1528.36</v>
      </c>
      <c r="I1642" s="20">
        <v>2026.6</v>
      </c>
      <c r="J1642" s="51" t="s">
        <v>6727</v>
      </c>
      <c r="K1642" s="15">
        <v>70</v>
      </c>
      <c r="L1642" s="51" t="s">
        <v>2369</v>
      </c>
      <c r="M1642" s="51" t="s">
        <v>8406</v>
      </c>
      <c r="N1642" s="51" t="s">
        <v>1340</v>
      </c>
      <c r="O1642" s="51" t="s">
        <v>67</v>
      </c>
      <c r="P1642" s="51" t="s">
        <v>67</v>
      </c>
      <c r="Q1642" s="45">
        <v>46287.546914120372</v>
      </c>
      <c r="R1642" s="46">
        <v>46313</v>
      </c>
      <c r="S1642" s="46">
        <v>46308</v>
      </c>
      <c r="T1642" s="51" t="s">
        <v>6119</v>
      </c>
      <c r="U1642" s="15"/>
      <c r="V1642" s="15"/>
      <c r="W1642" s="15"/>
      <c r="X1642" s="15"/>
      <c r="Y1642" s="15"/>
      <c r="Z1642" s="15"/>
      <c r="AA1642" s="46"/>
      <c r="AB1642" s="15"/>
      <c r="AC1642" s="15"/>
      <c r="AD1642" s="15"/>
      <c r="AE1642" s="15"/>
      <c r="AF1642" s="15"/>
      <c r="AG1642" s="15"/>
      <c r="AH1642" s="15"/>
      <c r="AI1642" s="46"/>
      <c r="AJ1642" s="51" t="s">
        <v>6121</v>
      </c>
      <c r="AK1642" s="51" t="s">
        <v>67</v>
      </c>
      <c r="AL1642" s="15"/>
      <c r="AM1642" s="51" t="s">
        <v>67</v>
      </c>
      <c r="AN1642" s="51" t="s">
        <v>67</v>
      </c>
      <c r="AO1642" s="50" t="s">
        <v>9554</v>
      </c>
    </row>
    <row r="1643" spans="1:41" hidden="1" x14ac:dyDescent="0.25">
      <c r="A1643" s="51" t="s">
        <v>8407</v>
      </c>
      <c r="B1643" s="51" t="s">
        <v>8408</v>
      </c>
      <c r="C1643" s="54" t="s">
        <v>5607</v>
      </c>
      <c r="D1643" s="51" t="s">
        <v>8409</v>
      </c>
      <c r="E1643" s="20">
        <v>10000</v>
      </c>
      <c r="F1643" s="20">
        <v>1622.74</v>
      </c>
      <c r="G1643" s="20">
        <v>13557.99</v>
      </c>
      <c r="H1643" s="20">
        <v>1156.0999999999999</v>
      </c>
      <c r="I1643" s="20">
        <v>1622.74</v>
      </c>
      <c r="J1643" s="51" t="s">
        <v>6727</v>
      </c>
      <c r="K1643" s="15">
        <v>84</v>
      </c>
      <c r="L1643" s="51" t="s">
        <v>2369</v>
      </c>
      <c r="M1643" s="51" t="s">
        <v>8410</v>
      </c>
      <c r="N1643" s="51" t="s">
        <v>1340</v>
      </c>
      <c r="O1643" s="51" t="s">
        <v>8411</v>
      </c>
      <c r="P1643" s="51" t="s">
        <v>1340</v>
      </c>
      <c r="Q1643" s="45">
        <v>46287.54691967593</v>
      </c>
      <c r="R1643" s="46">
        <v>46299</v>
      </c>
      <c r="S1643" s="46">
        <v>46294</v>
      </c>
      <c r="T1643" s="51" t="s">
        <v>6119</v>
      </c>
      <c r="U1643" s="15"/>
      <c r="V1643" s="15"/>
      <c r="W1643" s="15"/>
      <c r="X1643" s="15"/>
      <c r="Y1643" s="15"/>
      <c r="Z1643" s="15"/>
      <c r="AA1643" s="46"/>
      <c r="AB1643" s="15"/>
      <c r="AC1643" s="15"/>
      <c r="AD1643" s="15"/>
      <c r="AE1643" s="15"/>
      <c r="AF1643" s="15"/>
      <c r="AG1643" s="15"/>
      <c r="AH1643" s="15"/>
      <c r="AI1643" s="46"/>
      <c r="AJ1643" s="51" t="s">
        <v>6121</v>
      </c>
      <c r="AK1643" s="51" t="s">
        <v>67</v>
      </c>
      <c r="AL1643" s="15"/>
      <c r="AM1643" s="51" t="s">
        <v>67</v>
      </c>
      <c r="AN1643" s="51" t="s">
        <v>67</v>
      </c>
      <c r="AO1643" s="50" t="s">
        <v>9554</v>
      </c>
    </row>
    <row r="1644" spans="1:41" hidden="1" x14ac:dyDescent="0.25">
      <c r="A1644" s="51" t="s">
        <v>8412</v>
      </c>
      <c r="B1644" s="51" t="s">
        <v>8413</v>
      </c>
      <c r="C1644" s="54" t="s">
        <v>2345</v>
      </c>
      <c r="D1644" s="51" t="s">
        <v>8414</v>
      </c>
      <c r="E1644" s="20">
        <v>10000</v>
      </c>
      <c r="F1644" s="20">
        <v>1783.88</v>
      </c>
      <c r="G1644" s="20">
        <v>9411.91</v>
      </c>
      <c r="H1644" s="20">
        <v>1307.04</v>
      </c>
      <c r="I1644" s="20">
        <v>1783.88</v>
      </c>
      <c r="J1644" s="51" t="s">
        <v>6727</v>
      </c>
      <c r="K1644" s="15">
        <v>77</v>
      </c>
      <c r="L1644" s="51" t="s">
        <v>2369</v>
      </c>
      <c r="M1644" s="51" t="s">
        <v>67</v>
      </c>
      <c r="N1644" s="51" t="s">
        <v>67</v>
      </c>
      <c r="O1644" s="51" t="s">
        <v>8415</v>
      </c>
      <c r="P1644" s="51" t="s">
        <v>1340</v>
      </c>
      <c r="Q1644" s="45">
        <v>46287.546924050926</v>
      </c>
      <c r="R1644" s="46">
        <v>46306</v>
      </c>
      <c r="S1644" s="46">
        <v>46301</v>
      </c>
      <c r="T1644" s="51" t="s">
        <v>6119</v>
      </c>
      <c r="U1644" s="15"/>
      <c r="V1644" s="15"/>
      <c r="W1644" s="15"/>
      <c r="X1644" s="15"/>
      <c r="Y1644" s="15"/>
      <c r="Z1644" s="15"/>
      <c r="AA1644" s="46"/>
      <c r="AB1644" s="15"/>
      <c r="AC1644" s="15"/>
      <c r="AD1644" s="15"/>
      <c r="AE1644" s="15"/>
      <c r="AF1644" s="15"/>
      <c r="AG1644" s="15"/>
      <c r="AH1644" s="15"/>
      <c r="AI1644" s="46"/>
      <c r="AJ1644" s="51" t="s">
        <v>6121</v>
      </c>
      <c r="AK1644" s="51" t="s">
        <v>67</v>
      </c>
      <c r="AL1644" s="15"/>
      <c r="AM1644" s="51" t="s">
        <v>67</v>
      </c>
      <c r="AN1644" s="51" t="s">
        <v>67</v>
      </c>
      <c r="AO1644" s="50" t="s">
        <v>9554</v>
      </c>
    </row>
    <row r="1645" spans="1:41" hidden="1" x14ac:dyDescent="0.25">
      <c r="A1645" s="51" t="s">
        <v>8416</v>
      </c>
      <c r="B1645" s="51" t="s">
        <v>8417</v>
      </c>
      <c r="C1645" s="54" t="s">
        <v>2693</v>
      </c>
      <c r="D1645" s="51" t="s">
        <v>8418</v>
      </c>
      <c r="E1645" s="20">
        <v>10000</v>
      </c>
      <c r="F1645" s="20">
        <v>1934.88</v>
      </c>
      <c r="G1645" s="20">
        <v>11035.33</v>
      </c>
      <c r="H1645" s="20">
        <v>1465.32</v>
      </c>
      <c r="I1645" s="20">
        <v>1934.88</v>
      </c>
      <c r="J1645" s="51" t="s">
        <v>6727</v>
      </c>
      <c r="K1645" s="15">
        <v>69</v>
      </c>
      <c r="L1645" s="51" t="s">
        <v>2369</v>
      </c>
      <c r="M1645" s="51" t="s">
        <v>8419</v>
      </c>
      <c r="N1645" s="51" t="s">
        <v>1340</v>
      </c>
      <c r="O1645" s="51" t="s">
        <v>67</v>
      </c>
      <c r="P1645" s="51" t="s">
        <v>67</v>
      </c>
      <c r="Q1645" s="45">
        <v>46287.546928321761</v>
      </c>
      <c r="R1645" s="46">
        <v>46314</v>
      </c>
      <c r="S1645" s="46">
        <v>46309</v>
      </c>
      <c r="T1645" s="51" t="s">
        <v>6119</v>
      </c>
      <c r="U1645" s="15"/>
      <c r="V1645" s="15"/>
      <c r="W1645" s="15"/>
      <c r="X1645" s="15"/>
      <c r="Y1645" s="15"/>
      <c r="Z1645" s="15"/>
      <c r="AA1645" s="46"/>
      <c r="AB1645" s="15"/>
      <c r="AC1645" s="15"/>
      <c r="AD1645" s="15"/>
      <c r="AE1645" s="15"/>
      <c r="AF1645" s="15"/>
      <c r="AG1645" s="15"/>
      <c r="AH1645" s="15"/>
      <c r="AI1645" s="46"/>
      <c r="AJ1645" s="51" t="s">
        <v>6121</v>
      </c>
      <c r="AK1645" s="51" t="s">
        <v>67</v>
      </c>
      <c r="AL1645" s="15"/>
      <c r="AM1645" s="51" t="s">
        <v>67</v>
      </c>
      <c r="AN1645" s="51" t="s">
        <v>67</v>
      </c>
      <c r="AO1645" s="50" t="s">
        <v>9554</v>
      </c>
    </row>
    <row r="1646" spans="1:41" hidden="1" x14ac:dyDescent="0.25">
      <c r="A1646" s="51" t="s">
        <v>8420</v>
      </c>
      <c r="B1646" s="51" t="s">
        <v>8421</v>
      </c>
      <c r="C1646" s="54" t="s">
        <v>2691</v>
      </c>
      <c r="D1646" s="51" t="s">
        <v>8422</v>
      </c>
      <c r="E1646" s="20">
        <v>10000</v>
      </c>
      <c r="F1646" s="20">
        <v>1540.23</v>
      </c>
      <c r="G1646" s="20">
        <v>760.85</v>
      </c>
      <c r="H1646" s="20">
        <v>1106.06</v>
      </c>
      <c r="I1646" s="20">
        <v>1540.23</v>
      </c>
      <c r="J1646" s="51" t="s">
        <v>6727</v>
      </c>
      <c r="K1646" s="15">
        <v>82</v>
      </c>
      <c r="L1646" s="51" t="s">
        <v>2369</v>
      </c>
      <c r="M1646" s="51" t="s">
        <v>67</v>
      </c>
      <c r="N1646" s="51" t="s">
        <v>67</v>
      </c>
      <c r="O1646" s="51" t="s">
        <v>8423</v>
      </c>
      <c r="P1646" s="51" t="s">
        <v>1340</v>
      </c>
      <c r="Q1646" s="45">
        <v>46287.54693315972</v>
      </c>
      <c r="R1646" s="46">
        <v>46301</v>
      </c>
      <c r="S1646" s="46">
        <v>46296</v>
      </c>
      <c r="T1646" s="51" t="s">
        <v>6119</v>
      </c>
      <c r="U1646" s="15"/>
      <c r="V1646" s="15"/>
      <c r="W1646" s="15"/>
      <c r="X1646" s="15"/>
      <c r="Y1646" s="15"/>
      <c r="Z1646" s="15"/>
      <c r="AA1646" s="46"/>
      <c r="AB1646" s="15"/>
      <c r="AC1646" s="15"/>
      <c r="AD1646" s="15"/>
      <c r="AE1646" s="15"/>
      <c r="AF1646" s="15"/>
      <c r="AG1646" s="15"/>
      <c r="AH1646" s="15"/>
      <c r="AI1646" s="46"/>
      <c r="AJ1646" s="51" t="s">
        <v>6121</v>
      </c>
      <c r="AK1646" s="51" t="s">
        <v>67</v>
      </c>
      <c r="AL1646" s="15"/>
      <c r="AM1646" s="51" t="s">
        <v>67</v>
      </c>
      <c r="AN1646" s="51" t="s">
        <v>67</v>
      </c>
      <c r="AO1646" s="50" t="s">
        <v>9554</v>
      </c>
    </row>
    <row r="1647" spans="1:41" hidden="1" x14ac:dyDescent="0.25">
      <c r="A1647" s="51" t="s">
        <v>8424</v>
      </c>
      <c r="B1647" s="51" t="s">
        <v>8425</v>
      </c>
      <c r="C1647" s="54" t="s">
        <v>5603</v>
      </c>
      <c r="D1647" s="51" t="s">
        <v>8426</v>
      </c>
      <c r="E1647" s="20">
        <v>8536.7199999999993</v>
      </c>
      <c r="F1647" s="20">
        <v>17.41</v>
      </c>
      <c r="G1647" s="20">
        <v>4075.13</v>
      </c>
      <c r="H1647" s="20">
        <v>1463.28</v>
      </c>
      <c r="I1647" s="20">
        <v>17.41</v>
      </c>
      <c r="J1647" s="51" t="s">
        <v>6724</v>
      </c>
      <c r="K1647" s="15">
        <v>0</v>
      </c>
      <c r="L1647" s="51" t="s">
        <v>2371</v>
      </c>
      <c r="M1647" s="51" t="s">
        <v>67</v>
      </c>
      <c r="N1647" s="51" t="s">
        <v>67</v>
      </c>
      <c r="O1647" s="51" t="s">
        <v>8427</v>
      </c>
      <c r="P1647" s="51" t="s">
        <v>1340</v>
      </c>
      <c r="Q1647" s="45">
        <v>46287.546937534724</v>
      </c>
      <c r="R1647" s="46">
        <v>46298</v>
      </c>
      <c r="S1647" s="46">
        <v>46293</v>
      </c>
      <c r="T1647" s="51" t="s">
        <v>6119</v>
      </c>
      <c r="U1647" s="15"/>
      <c r="V1647" s="15"/>
      <c r="W1647" s="15"/>
      <c r="X1647" s="15"/>
      <c r="Y1647" s="15"/>
      <c r="Z1647" s="15"/>
      <c r="AA1647" s="46"/>
      <c r="AB1647" s="15"/>
      <c r="AC1647" s="15"/>
      <c r="AD1647" s="15"/>
      <c r="AE1647" s="15"/>
      <c r="AF1647" s="15"/>
      <c r="AG1647" s="15"/>
      <c r="AH1647" s="15"/>
      <c r="AI1647" s="46"/>
      <c r="AJ1647" s="51" t="s">
        <v>67</v>
      </c>
      <c r="AK1647" s="51" t="s">
        <v>67</v>
      </c>
      <c r="AL1647" s="15"/>
      <c r="AM1647" s="51" t="s">
        <v>67</v>
      </c>
      <c r="AN1647" s="51" t="s">
        <v>67</v>
      </c>
      <c r="AO1647" s="50" t="s">
        <v>9554</v>
      </c>
    </row>
    <row r="1648" spans="1:41" hidden="1" x14ac:dyDescent="0.25">
      <c r="A1648" s="51" t="s">
        <v>8428</v>
      </c>
      <c r="B1648" s="51" t="s">
        <v>8429</v>
      </c>
      <c r="C1648" s="54" t="s">
        <v>5597</v>
      </c>
      <c r="D1648" s="51" t="s">
        <v>8430</v>
      </c>
      <c r="E1648" s="20">
        <v>8816.1200000000008</v>
      </c>
      <c r="F1648" s="20">
        <v>14.09</v>
      </c>
      <c r="G1648" s="20">
        <v>13858.03</v>
      </c>
      <c r="H1648" s="20">
        <v>1183.8800000000001</v>
      </c>
      <c r="I1648" s="20">
        <v>14.09</v>
      </c>
      <c r="J1648" s="51" t="s">
        <v>6724</v>
      </c>
      <c r="K1648" s="15">
        <v>0</v>
      </c>
      <c r="L1648" s="51" t="s">
        <v>2371</v>
      </c>
      <c r="M1648" s="51" t="s">
        <v>8431</v>
      </c>
      <c r="N1648" s="51" t="s">
        <v>1340</v>
      </c>
      <c r="O1648" s="51" t="s">
        <v>8432</v>
      </c>
      <c r="P1648" s="51" t="s">
        <v>1340</v>
      </c>
      <c r="Q1648" s="45">
        <v>46287.546942094908</v>
      </c>
      <c r="R1648" s="46">
        <v>46321</v>
      </c>
      <c r="S1648" s="46">
        <v>46316</v>
      </c>
      <c r="T1648" s="51" t="s">
        <v>6119</v>
      </c>
      <c r="U1648" s="15"/>
      <c r="V1648" s="15"/>
      <c r="W1648" s="15"/>
      <c r="X1648" s="15"/>
      <c r="Y1648" s="15"/>
      <c r="Z1648" s="15"/>
      <c r="AA1648" s="46"/>
      <c r="AB1648" s="15"/>
      <c r="AC1648" s="15"/>
      <c r="AD1648" s="15"/>
      <c r="AE1648" s="15"/>
      <c r="AF1648" s="15"/>
      <c r="AG1648" s="15"/>
      <c r="AH1648" s="15"/>
      <c r="AI1648" s="46"/>
      <c r="AJ1648" s="51" t="s">
        <v>67</v>
      </c>
      <c r="AK1648" s="51" t="s">
        <v>67</v>
      </c>
      <c r="AL1648" s="15"/>
      <c r="AM1648" s="51" t="s">
        <v>67</v>
      </c>
      <c r="AN1648" s="51" t="s">
        <v>67</v>
      </c>
      <c r="AO1648" s="50" t="s">
        <v>9554</v>
      </c>
    </row>
    <row r="1649" spans="1:41" hidden="1" x14ac:dyDescent="0.25">
      <c r="A1649" s="51" t="s">
        <v>8433</v>
      </c>
      <c r="B1649" s="51" t="s">
        <v>8434</v>
      </c>
      <c r="C1649" s="54" t="s">
        <v>5607</v>
      </c>
      <c r="D1649" s="51" t="s">
        <v>8435</v>
      </c>
      <c r="E1649" s="20">
        <v>10000</v>
      </c>
      <c r="F1649" s="20">
        <v>1598.24</v>
      </c>
      <c r="G1649" s="20">
        <v>15298.5</v>
      </c>
      <c r="H1649" s="20">
        <v>1138.6400000000001</v>
      </c>
      <c r="I1649" s="20">
        <v>1598.24</v>
      </c>
      <c r="J1649" s="51" t="s">
        <v>6727</v>
      </c>
      <c r="K1649" s="15">
        <v>84</v>
      </c>
      <c r="L1649" s="51" t="s">
        <v>2369</v>
      </c>
      <c r="M1649" s="51" t="s">
        <v>67</v>
      </c>
      <c r="N1649" s="51" t="s">
        <v>67</v>
      </c>
      <c r="O1649" s="51" t="s">
        <v>8436</v>
      </c>
      <c r="P1649" s="51" t="s">
        <v>1340</v>
      </c>
      <c r="Q1649" s="45">
        <v>46287.546946724535</v>
      </c>
      <c r="R1649" s="46">
        <v>46299</v>
      </c>
      <c r="S1649" s="46">
        <v>46294</v>
      </c>
      <c r="T1649" s="51" t="s">
        <v>6119</v>
      </c>
      <c r="U1649" s="15"/>
      <c r="V1649" s="15"/>
      <c r="W1649" s="15"/>
      <c r="X1649" s="15"/>
      <c r="Y1649" s="15"/>
      <c r="Z1649" s="15"/>
      <c r="AA1649" s="46"/>
      <c r="AB1649" s="15"/>
      <c r="AC1649" s="15"/>
      <c r="AD1649" s="15"/>
      <c r="AE1649" s="15"/>
      <c r="AF1649" s="15"/>
      <c r="AG1649" s="15"/>
      <c r="AH1649" s="15"/>
      <c r="AI1649" s="46"/>
      <c r="AJ1649" s="51" t="s">
        <v>6121</v>
      </c>
      <c r="AK1649" s="51" t="s">
        <v>67</v>
      </c>
      <c r="AL1649" s="15"/>
      <c r="AM1649" s="51" t="s">
        <v>67</v>
      </c>
      <c r="AN1649" s="51" t="s">
        <v>67</v>
      </c>
      <c r="AO1649" s="50" t="s">
        <v>9554</v>
      </c>
    </row>
    <row r="1650" spans="1:41" hidden="1" x14ac:dyDescent="0.25">
      <c r="A1650" s="51" t="s">
        <v>8437</v>
      </c>
      <c r="B1650" s="51" t="s">
        <v>8438</v>
      </c>
      <c r="C1650" s="54" t="s">
        <v>607</v>
      </c>
      <c r="D1650" s="51" t="s">
        <v>8439</v>
      </c>
      <c r="E1650" s="20">
        <v>10000</v>
      </c>
      <c r="F1650" s="20">
        <v>1740.95</v>
      </c>
      <c r="G1650" s="20">
        <v>8189.38</v>
      </c>
      <c r="H1650" s="20">
        <v>1296.6600000000001</v>
      </c>
      <c r="I1650" s="20">
        <v>1740.95</v>
      </c>
      <c r="J1650" s="51" t="s">
        <v>6727</v>
      </c>
      <c r="K1650" s="15">
        <v>73</v>
      </c>
      <c r="L1650" s="51" t="s">
        <v>2369</v>
      </c>
      <c r="M1650" s="51" t="s">
        <v>8440</v>
      </c>
      <c r="N1650" s="51" t="s">
        <v>1344</v>
      </c>
      <c r="O1650" s="51" t="s">
        <v>67</v>
      </c>
      <c r="P1650" s="51" t="s">
        <v>67</v>
      </c>
      <c r="Q1650" s="45">
        <v>46287.546950891207</v>
      </c>
      <c r="R1650" s="46">
        <v>46310</v>
      </c>
      <c r="S1650" s="46">
        <v>46305</v>
      </c>
      <c r="T1650" s="51" t="s">
        <v>6119</v>
      </c>
      <c r="U1650" s="15"/>
      <c r="V1650" s="15"/>
      <c r="W1650" s="15"/>
      <c r="X1650" s="15"/>
      <c r="Y1650" s="15"/>
      <c r="Z1650" s="15"/>
      <c r="AA1650" s="46"/>
      <c r="AB1650" s="15"/>
      <c r="AC1650" s="15"/>
      <c r="AD1650" s="15"/>
      <c r="AE1650" s="15"/>
      <c r="AF1650" s="15"/>
      <c r="AG1650" s="15"/>
      <c r="AH1650" s="15"/>
      <c r="AI1650" s="46"/>
      <c r="AJ1650" s="51" t="s">
        <v>6121</v>
      </c>
      <c r="AK1650" s="51" t="s">
        <v>67</v>
      </c>
      <c r="AL1650" s="15"/>
      <c r="AM1650" s="51" t="s">
        <v>67</v>
      </c>
      <c r="AN1650" s="51" t="s">
        <v>67</v>
      </c>
      <c r="AO1650" s="50" t="s">
        <v>9554</v>
      </c>
    </row>
    <row r="1651" spans="1:41" hidden="1" x14ac:dyDescent="0.25">
      <c r="A1651" s="51" t="s">
        <v>8441</v>
      </c>
      <c r="B1651" s="51" t="s">
        <v>8442</v>
      </c>
      <c r="C1651" s="54" t="s">
        <v>2690</v>
      </c>
      <c r="D1651" s="51" t="s">
        <v>8443</v>
      </c>
      <c r="E1651" s="20">
        <v>9899.84</v>
      </c>
      <c r="F1651" s="20">
        <v>1094.72</v>
      </c>
      <c r="G1651" s="20">
        <v>8116.37</v>
      </c>
      <c r="H1651" s="20">
        <v>1001.64</v>
      </c>
      <c r="I1651" s="20">
        <v>1094.72</v>
      </c>
      <c r="J1651" s="51" t="s">
        <v>6725</v>
      </c>
      <c r="K1651" s="15">
        <v>0</v>
      </c>
      <c r="L1651" s="51" t="s">
        <v>2371</v>
      </c>
      <c r="M1651" s="51" t="s">
        <v>8444</v>
      </c>
      <c r="N1651" s="51" t="s">
        <v>1340</v>
      </c>
      <c r="O1651" s="51" t="s">
        <v>67</v>
      </c>
      <c r="P1651" s="51" t="s">
        <v>67</v>
      </c>
      <c r="Q1651" s="45">
        <v>46287.546956550927</v>
      </c>
      <c r="R1651" s="46">
        <v>46322</v>
      </c>
      <c r="S1651" s="46">
        <v>46317</v>
      </c>
      <c r="T1651" s="51" t="s">
        <v>6119</v>
      </c>
      <c r="U1651" s="15"/>
      <c r="V1651" s="15"/>
      <c r="W1651" s="15"/>
      <c r="X1651" s="15"/>
      <c r="Y1651" s="15"/>
      <c r="Z1651" s="15"/>
      <c r="AA1651" s="46"/>
      <c r="AB1651" s="15"/>
      <c r="AC1651" s="15"/>
      <c r="AD1651" s="15"/>
      <c r="AE1651" s="15"/>
      <c r="AF1651" s="15"/>
      <c r="AG1651" s="15"/>
      <c r="AH1651" s="15"/>
      <c r="AI1651" s="46"/>
      <c r="AJ1651" s="51" t="s">
        <v>67</v>
      </c>
      <c r="AK1651" s="51" t="s">
        <v>67</v>
      </c>
      <c r="AL1651" s="15"/>
      <c r="AM1651" s="51" t="s">
        <v>67</v>
      </c>
      <c r="AN1651" s="51" t="s">
        <v>67</v>
      </c>
      <c r="AO1651" s="50" t="s">
        <v>9554</v>
      </c>
    </row>
    <row r="1652" spans="1:41" hidden="1" x14ac:dyDescent="0.25">
      <c r="A1652" s="51" t="s">
        <v>8445</v>
      </c>
      <c r="B1652" s="51" t="s">
        <v>8446</v>
      </c>
      <c r="C1652" s="54" t="s">
        <v>2358</v>
      </c>
      <c r="D1652" s="51" t="s">
        <v>8447</v>
      </c>
      <c r="E1652" s="20">
        <v>10000</v>
      </c>
      <c r="F1652" s="20">
        <v>449.01</v>
      </c>
      <c r="G1652" s="20">
        <v>6758.9</v>
      </c>
      <c r="H1652" s="20">
        <v>353.22</v>
      </c>
      <c r="I1652" s="20">
        <v>449.01</v>
      </c>
      <c r="J1652" s="51" t="s">
        <v>6724</v>
      </c>
      <c r="K1652" s="15">
        <v>0</v>
      </c>
      <c r="L1652" s="51" t="s">
        <v>2371</v>
      </c>
      <c r="M1652" s="51" t="s">
        <v>8448</v>
      </c>
      <c r="N1652" s="51" t="s">
        <v>1340</v>
      </c>
      <c r="O1652" s="51" t="s">
        <v>8449</v>
      </c>
      <c r="P1652" s="51" t="s">
        <v>1340</v>
      </c>
      <c r="Q1652" s="45">
        <v>46287.58749460648</v>
      </c>
      <c r="R1652" s="46">
        <v>46309</v>
      </c>
      <c r="S1652" s="46">
        <v>46304</v>
      </c>
      <c r="T1652" s="51" t="s">
        <v>6119</v>
      </c>
      <c r="U1652" s="15"/>
      <c r="V1652" s="15"/>
      <c r="W1652" s="15"/>
      <c r="X1652" s="15"/>
      <c r="Y1652" s="15"/>
      <c r="Z1652" s="15"/>
      <c r="AA1652" s="46"/>
      <c r="AB1652" s="15"/>
      <c r="AC1652" s="15"/>
      <c r="AD1652" s="15"/>
      <c r="AE1652" s="15"/>
      <c r="AF1652" s="15"/>
      <c r="AG1652" s="15"/>
      <c r="AH1652" s="15"/>
      <c r="AI1652" s="46"/>
      <c r="AJ1652" s="51" t="s">
        <v>67</v>
      </c>
      <c r="AK1652" s="51" t="s">
        <v>67</v>
      </c>
      <c r="AL1652" s="15"/>
      <c r="AM1652" s="51" t="s">
        <v>67</v>
      </c>
      <c r="AN1652" s="51" t="s">
        <v>67</v>
      </c>
      <c r="AO1652" s="50" t="s">
        <v>9554</v>
      </c>
    </row>
    <row r="1653" spans="1:41" hidden="1" x14ac:dyDescent="0.25">
      <c r="A1653" s="51" t="s">
        <v>8450</v>
      </c>
      <c r="B1653" s="51" t="s">
        <v>8451</v>
      </c>
      <c r="C1653" s="54" t="s">
        <v>5604</v>
      </c>
      <c r="D1653" s="51" t="s">
        <v>8452</v>
      </c>
      <c r="E1653" s="20">
        <v>10000</v>
      </c>
      <c r="F1653" s="20">
        <v>3461.18</v>
      </c>
      <c r="G1653" s="20">
        <v>7314.2</v>
      </c>
      <c r="H1653" s="20">
        <v>2770.93</v>
      </c>
      <c r="I1653" s="20">
        <v>3461.18</v>
      </c>
      <c r="J1653" s="51" t="s">
        <v>6724</v>
      </c>
      <c r="K1653" s="15">
        <v>0</v>
      </c>
      <c r="L1653" s="51" t="s">
        <v>2371</v>
      </c>
      <c r="M1653" s="51" t="s">
        <v>8453</v>
      </c>
      <c r="N1653" s="51" t="s">
        <v>1340</v>
      </c>
      <c r="O1653" s="51" t="s">
        <v>8454</v>
      </c>
      <c r="P1653" s="51" t="s">
        <v>1340</v>
      </c>
      <c r="Q1653" s="45">
        <v>46287.587580023152</v>
      </c>
      <c r="R1653" s="46">
        <v>46313</v>
      </c>
      <c r="S1653" s="46">
        <v>46308</v>
      </c>
      <c r="T1653" s="51" t="s">
        <v>6119</v>
      </c>
      <c r="U1653" s="15"/>
      <c r="V1653" s="15"/>
      <c r="W1653" s="15"/>
      <c r="X1653" s="15"/>
      <c r="Y1653" s="15"/>
      <c r="Z1653" s="15"/>
      <c r="AA1653" s="46"/>
      <c r="AB1653" s="15"/>
      <c r="AC1653" s="15"/>
      <c r="AD1653" s="15"/>
      <c r="AE1653" s="15"/>
      <c r="AF1653" s="15"/>
      <c r="AG1653" s="15"/>
      <c r="AH1653" s="15"/>
      <c r="AI1653" s="46"/>
      <c r="AJ1653" s="51" t="s">
        <v>67</v>
      </c>
      <c r="AK1653" s="51" t="s">
        <v>67</v>
      </c>
      <c r="AL1653" s="15"/>
      <c r="AM1653" s="51" t="s">
        <v>67</v>
      </c>
      <c r="AN1653" s="51" t="s">
        <v>67</v>
      </c>
      <c r="AO1653" s="50" t="s">
        <v>9554</v>
      </c>
    </row>
    <row r="1654" spans="1:41" hidden="1" x14ac:dyDescent="0.25">
      <c r="A1654" s="51" t="s">
        <v>8455</v>
      </c>
      <c r="B1654" s="51" t="s">
        <v>8456</v>
      </c>
      <c r="C1654" s="54" t="s">
        <v>5600</v>
      </c>
      <c r="D1654" s="51" t="s">
        <v>8457</v>
      </c>
      <c r="E1654" s="20">
        <v>10000</v>
      </c>
      <c r="F1654" s="20">
        <v>1371.49</v>
      </c>
      <c r="G1654" s="20">
        <v>17822.48</v>
      </c>
      <c r="H1654" s="20">
        <v>373.22</v>
      </c>
      <c r="I1654" s="20">
        <v>1371.49</v>
      </c>
      <c r="J1654" s="51" t="s">
        <v>6724</v>
      </c>
      <c r="K1654" s="15">
        <v>0</v>
      </c>
      <c r="L1654" s="51" t="s">
        <v>2371</v>
      </c>
      <c r="M1654" s="51" t="s">
        <v>67</v>
      </c>
      <c r="N1654" s="51" t="s">
        <v>67</v>
      </c>
      <c r="O1654" s="51" t="s">
        <v>8458</v>
      </c>
      <c r="P1654" s="51" t="s">
        <v>1340</v>
      </c>
      <c r="Q1654" s="45">
        <v>46287.587617060184</v>
      </c>
      <c r="R1654" s="46">
        <v>46304</v>
      </c>
      <c r="S1654" s="46">
        <v>46299</v>
      </c>
      <c r="T1654" s="51" t="s">
        <v>6119</v>
      </c>
      <c r="U1654" s="15"/>
      <c r="V1654" s="15"/>
      <c r="W1654" s="15"/>
      <c r="X1654" s="15"/>
      <c r="Y1654" s="15"/>
      <c r="Z1654" s="15"/>
      <c r="AA1654" s="46"/>
      <c r="AB1654" s="15"/>
      <c r="AC1654" s="15"/>
      <c r="AD1654" s="15"/>
      <c r="AE1654" s="15"/>
      <c r="AF1654" s="15"/>
      <c r="AG1654" s="15"/>
      <c r="AH1654" s="15"/>
      <c r="AI1654" s="46"/>
      <c r="AJ1654" s="51" t="s">
        <v>67</v>
      </c>
      <c r="AK1654" s="51" t="s">
        <v>67</v>
      </c>
      <c r="AL1654" s="15"/>
      <c r="AM1654" s="51" t="s">
        <v>67</v>
      </c>
      <c r="AN1654" s="51" t="s">
        <v>67</v>
      </c>
      <c r="AO1654" s="50" t="s">
        <v>9554</v>
      </c>
    </row>
    <row r="1655" spans="1:41" hidden="1" x14ac:dyDescent="0.25">
      <c r="A1655" s="51" t="s">
        <v>8459</v>
      </c>
      <c r="B1655" s="51" t="s">
        <v>8460</v>
      </c>
      <c r="C1655" s="54" t="s">
        <v>2693</v>
      </c>
      <c r="D1655" s="51" t="s">
        <v>8461</v>
      </c>
      <c r="E1655" s="20">
        <v>10000</v>
      </c>
      <c r="F1655" s="20">
        <v>383.97</v>
      </c>
      <c r="G1655" s="20">
        <v>17255.96</v>
      </c>
      <c r="H1655" s="20">
        <v>1122.31</v>
      </c>
      <c r="I1655" s="20">
        <v>383.97</v>
      </c>
      <c r="J1655" s="51" t="s">
        <v>6724</v>
      </c>
      <c r="K1655" s="15">
        <v>0</v>
      </c>
      <c r="L1655" s="51" t="s">
        <v>2371</v>
      </c>
      <c r="M1655" s="51" t="s">
        <v>8462</v>
      </c>
      <c r="N1655" s="51" t="s">
        <v>1340</v>
      </c>
      <c r="O1655" s="51" t="s">
        <v>67</v>
      </c>
      <c r="P1655" s="51" t="s">
        <v>67</v>
      </c>
      <c r="Q1655" s="45">
        <v>46287.587637152777</v>
      </c>
      <c r="R1655" s="46">
        <v>46314</v>
      </c>
      <c r="S1655" s="46">
        <v>46309</v>
      </c>
      <c r="T1655" s="51" t="s">
        <v>6119</v>
      </c>
      <c r="U1655" s="15"/>
      <c r="V1655" s="15"/>
      <c r="W1655" s="15"/>
      <c r="X1655" s="15"/>
      <c r="Y1655" s="15"/>
      <c r="Z1655" s="15"/>
      <c r="AA1655" s="46"/>
      <c r="AB1655" s="15"/>
      <c r="AC1655" s="15"/>
      <c r="AD1655" s="15"/>
      <c r="AE1655" s="15"/>
      <c r="AF1655" s="15"/>
      <c r="AG1655" s="15"/>
      <c r="AH1655" s="15"/>
      <c r="AI1655" s="46"/>
      <c r="AJ1655" s="51" t="s">
        <v>67</v>
      </c>
      <c r="AK1655" s="51" t="s">
        <v>67</v>
      </c>
      <c r="AL1655" s="15"/>
      <c r="AM1655" s="51" t="s">
        <v>67</v>
      </c>
      <c r="AN1655" s="51" t="s">
        <v>67</v>
      </c>
      <c r="AO1655" s="50" t="s">
        <v>9554</v>
      </c>
    </row>
    <row r="1656" spans="1:41" hidden="1" x14ac:dyDescent="0.25">
      <c r="A1656" s="51" t="s">
        <v>8463</v>
      </c>
      <c r="B1656" s="51" t="s">
        <v>8464</v>
      </c>
      <c r="C1656" s="54" t="s">
        <v>2357</v>
      </c>
      <c r="D1656" s="51" t="s">
        <v>8465</v>
      </c>
      <c r="E1656" s="20">
        <v>10000</v>
      </c>
      <c r="F1656" s="20">
        <v>4039.95</v>
      </c>
      <c r="G1656" s="20">
        <v>15416.19</v>
      </c>
      <c r="H1656" s="20">
        <v>388.68</v>
      </c>
      <c r="I1656" s="20">
        <v>4039.95</v>
      </c>
      <c r="J1656" s="51" t="s">
        <v>6724</v>
      </c>
      <c r="K1656" s="15">
        <v>0</v>
      </c>
      <c r="L1656" s="51" t="s">
        <v>2371</v>
      </c>
      <c r="M1656" s="51" t="s">
        <v>8466</v>
      </c>
      <c r="N1656" s="51" t="s">
        <v>1344</v>
      </c>
      <c r="O1656" s="51" t="s">
        <v>8467</v>
      </c>
      <c r="P1656" s="51" t="s">
        <v>1344</v>
      </c>
      <c r="Q1656" s="45">
        <v>46287.587714606481</v>
      </c>
      <c r="R1656" s="46">
        <v>46308</v>
      </c>
      <c r="S1656" s="46">
        <v>46303</v>
      </c>
      <c r="T1656" s="51" t="s">
        <v>6119</v>
      </c>
      <c r="U1656" s="15"/>
      <c r="V1656" s="15"/>
      <c r="W1656" s="15"/>
      <c r="X1656" s="15"/>
      <c r="Y1656" s="15"/>
      <c r="Z1656" s="15"/>
      <c r="AA1656" s="46"/>
      <c r="AB1656" s="15"/>
      <c r="AC1656" s="15"/>
      <c r="AD1656" s="15"/>
      <c r="AE1656" s="15"/>
      <c r="AF1656" s="15"/>
      <c r="AG1656" s="15"/>
      <c r="AH1656" s="15"/>
      <c r="AI1656" s="46"/>
      <c r="AJ1656" s="51" t="s">
        <v>67</v>
      </c>
      <c r="AK1656" s="51" t="s">
        <v>67</v>
      </c>
      <c r="AL1656" s="15"/>
      <c r="AM1656" s="51" t="s">
        <v>67</v>
      </c>
      <c r="AN1656" s="51" t="s">
        <v>67</v>
      </c>
      <c r="AO1656" s="50" t="s">
        <v>9554</v>
      </c>
    </row>
    <row r="1657" spans="1:41" hidden="1" x14ac:dyDescent="0.25">
      <c r="A1657" s="51" t="s">
        <v>8468</v>
      </c>
      <c r="B1657" s="51" t="s">
        <v>8469</v>
      </c>
      <c r="C1657" s="54" t="s">
        <v>5599</v>
      </c>
      <c r="D1657" s="51" t="s">
        <v>8470</v>
      </c>
      <c r="E1657" s="20">
        <v>10000</v>
      </c>
      <c r="F1657" s="20">
        <v>466.76</v>
      </c>
      <c r="G1657" s="20">
        <v>7547.67</v>
      </c>
      <c r="H1657" s="20">
        <v>277.49</v>
      </c>
      <c r="I1657" s="20">
        <v>466.76</v>
      </c>
      <c r="J1657" s="51" t="s">
        <v>6724</v>
      </c>
      <c r="K1657" s="15">
        <v>0</v>
      </c>
      <c r="L1657" s="51" t="s">
        <v>2371</v>
      </c>
      <c r="M1657" s="51" t="s">
        <v>8471</v>
      </c>
      <c r="N1657" s="51" t="s">
        <v>1340</v>
      </c>
      <c r="O1657" s="51" t="s">
        <v>67</v>
      </c>
      <c r="P1657" s="51" t="s">
        <v>67</v>
      </c>
      <c r="Q1657" s="45">
        <v>46287.587749074075</v>
      </c>
      <c r="R1657" s="46">
        <v>46302</v>
      </c>
      <c r="S1657" s="46">
        <v>46297</v>
      </c>
      <c r="T1657" s="51" t="s">
        <v>6119</v>
      </c>
      <c r="U1657" s="15"/>
      <c r="V1657" s="15"/>
      <c r="W1657" s="15"/>
      <c r="X1657" s="15"/>
      <c r="Y1657" s="15"/>
      <c r="Z1657" s="15"/>
      <c r="AA1657" s="46"/>
      <c r="AB1657" s="15"/>
      <c r="AC1657" s="15"/>
      <c r="AD1657" s="15"/>
      <c r="AE1657" s="15"/>
      <c r="AF1657" s="15"/>
      <c r="AG1657" s="15"/>
      <c r="AH1657" s="15"/>
      <c r="AI1657" s="46"/>
      <c r="AJ1657" s="51" t="s">
        <v>67</v>
      </c>
      <c r="AK1657" s="51" t="s">
        <v>67</v>
      </c>
      <c r="AL1657" s="15"/>
      <c r="AM1657" s="51" t="s">
        <v>67</v>
      </c>
      <c r="AN1657" s="51" t="s">
        <v>67</v>
      </c>
      <c r="AO1657" s="50" t="s">
        <v>9554</v>
      </c>
    </row>
    <row r="1658" spans="1:41" hidden="1" x14ac:dyDescent="0.25">
      <c r="A1658" s="51" t="s">
        <v>8472</v>
      </c>
      <c r="B1658" s="51" t="s">
        <v>8473</v>
      </c>
      <c r="C1658" s="54" t="s">
        <v>5599</v>
      </c>
      <c r="D1658" s="51" t="s">
        <v>8474</v>
      </c>
      <c r="E1658" s="20">
        <v>10000</v>
      </c>
      <c r="F1658" s="20">
        <v>3682.49</v>
      </c>
      <c r="G1658" s="20">
        <v>-729.33</v>
      </c>
      <c r="H1658" s="20">
        <v>469.75</v>
      </c>
      <c r="I1658" s="20">
        <v>3682.49</v>
      </c>
      <c r="J1658" s="51" t="s">
        <v>6724</v>
      </c>
      <c r="K1658" s="15">
        <v>0</v>
      </c>
      <c r="L1658" s="51" t="s">
        <v>2371</v>
      </c>
      <c r="M1658" s="51" t="s">
        <v>8475</v>
      </c>
      <c r="N1658" s="51" t="s">
        <v>1340</v>
      </c>
      <c r="O1658" s="51" t="s">
        <v>8476</v>
      </c>
      <c r="P1658" s="51" t="s">
        <v>1340</v>
      </c>
      <c r="Q1658" s="45">
        <v>46287.587859861109</v>
      </c>
      <c r="R1658" s="46">
        <v>46302</v>
      </c>
      <c r="S1658" s="46">
        <v>46297</v>
      </c>
      <c r="T1658" s="51" t="s">
        <v>6119</v>
      </c>
      <c r="U1658" s="15"/>
      <c r="V1658" s="15"/>
      <c r="W1658" s="15"/>
      <c r="X1658" s="15"/>
      <c r="Y1658" s="15"/>
      <c r="Z1658" s="15"/>
      <c r="AA1658" s="46"/>
      <c r="AB1658" s="15"/>
      <c r="AC1658" s="15"/>
      <c r="AD1658" s="15"/>
      <c r="AE1658" s="15"/>
      <c r="AF1658" s="15"/>
      <c r="AG1658" s="15"/>
      <c r="AH1658" s="15"/>
      <c r="AI1658" s="46"/>
      <c r="AJ1658" s="51" t="s">
        <v>67</v>
      </c>
      <c r="AK1658" s="51" t="s">
        <v>67</v>
      </c>
      <c r="AL1658" s="15"/>
      <c r="AM1658" s="51" t="s">
        <v>67</v>
      </c>
      <c r="AN1658" s="51" t="s">
        <v>67</v>
      </c>
      <c r="AO1658" s="50" t="s">
        <v>9554</v>
      </c>
    </row>
    <row r="1659" spans="1:41" hidden="1" x14ac:dyDescent="0.25">
      <c r="A1659" s="51" t="s">
        <v>8477</v>
      </c>
      <c r="B1659" s="51" t="s">
        <v>8478</v>
      </c>
      <c r="C1659" s="54" t="s">
        <v>2690</v>
      </c>
      <c r="D1659" s="51" t="s">
        <v>8479</v>
      </c>
      <c r="E1659" s="20">
        <v>10000</v>
      </c>
      <c r="F1659" s="20">
        <v>0</v>
      </c>
      <c r="G1659" s="20">
        <v>7317.15</v>
      </c>
      <c r="H1659" s="20">
        <v>825.29</v>
      </c>
      <c r="I1659" s="20">
        <v>244.67</v>
      </c>
      <c r="J1659" s="51" t="s">
        <v>6726</v>
      </c>
      <c r="K1659" s="15">
        <v>0</v>
      </c>
      <c r="L1659" s="51" t="s">
        <v>2371</v>
      </c>
      <c r="M1659" s="51" t="s">
        <v>67</v>
      </c>
      <c r="N1659" s="51" t="s">
        <v>67</v>
      </c>
      <c r="O1659" s="51" t="s">
        <v>8480</v>
      </c>
      <c r="P1659" s="51" t="s">
        <v>1344</v>
      </c>
      <c r="Q1659" s="45">
        <v>46287.587913506941</v>
      </c>
      <c r="R1659" s="46">
        <v>46322</v>
      </c>
      <c r="S1659" s="46">
        <v>46317</v>
      </c>
      <c r="T1659" s="51" t="s">
        <v>6119</v>
      </c>
      <c r="U1659" s="15"/>
      <c r="V1659" s="15"/>
      <c r="W1659" s="15"/>
      <c r="X1659" s="15"/>
      <c r="Y1659" s="15"/>
      <c r="Z1659" s="15"/>
      <c r="AA1659" s="46"/>
      <c r="AB1659" s="15"/>
      <c r="AC1659" s="15"/>
      <c r="AD1659" s="15"/>
      <c r="AE1659" s="15"/>
      <c r="AF1659" s="15"/>
      <c r="AG1659" s="15"/>
      <c r="AH1659" s="15"/>
      <c r="AI1659" s="46"/>
      <c r="AJ1659" s="51" t="s">
        <v>67</v>
      </c>
      <c r="AK1659" s="51" t="s">
        <v>67</v>
      </c>
      <c r="AL1659" s="15"/>
      <c r="AM1659" s="51" t="s">
        <v>67</v>
      </c>
      <c r="AN1659" s="51" t="s">
        <v>67</v>
      </c>
      <c r="AO1659" s="50" t="s">
        <v>9554</v>
      </c>
    </row>
    <row r="1660" spans="1:41" hidden="1" x14ac:dyDescent="0.25">
      <c r="A1660" s="51" t="s">
        <v>8481</v>
      </c>
      <c r="B1660" s="51" t="s">
        <v>8482</v>
      </c>
      <c r="C1660" s="54" t="s">
        <v>2690</v>
      </c>
      <c r="D1660" s="51" t="s">
        <v>8483</v>
      </c>
      <c r="E1660" s="20">
        <v>10000</v>
      </c>
      <c r="F1660" s="20">
        <v>0</v>
      </c>
      <c r="G1660" s="20">
        <v>8656.7099999999991</v>
      </c>
      <c r="H1660" s="20">
        <v>3406.4</v>
      </c>
      <c r="I1660" s="20">
        <v>283.01</v>
      </c>
      <c r="J1660" s="51" t="s">
        <v>6726</v>
      </c>
      <c r="K1660" s="15">
        <v>0</v>
      </c>
      <c r="L1660" s="51" t="s">
        <v>2371</v>
      </c>
      <c r="M1660" s="51" t="s">
        <v>67</v>
      </c>
      <c r="N1660" s="51" t="s">
        <v>67</v>
      </c>
      <c r="O1660" s="51" t="s">
        <v>8484</v>
      </c>
      <c r="P1660" s="51" t="s">
        <v>1340</v>
      </c>
      <c r="Q1660" s="45">
        <v>46287.587946516207</v>
      </c>
      <c r="R1660" s="46">
        <v>46322</v>
      </c>
      <c r="S1660" s="46">
        <v>46317</v>
      </c>
      <c r="T1660" s="51" t="s">
        <v>6119</v>
      </c>
      <c r="U1660" s="15"/>
      <c r="V1660" s="15"/>
      <c r="W1660" s="15"/>
      <c r="X1660" s="15"/>
      <c r="Y1660" s="15"/>
      <c r="Z1660" s="15"/>
      <c r="AA1660" s="46"/>
      <c r="AB1660" s="15"/>
      <c r="AC1660" s="15"/>
      <c r="AD1660" s="15"/>
      <c r="AE1660" s="15"/>
      <c r="AF1660" s="15"/>
      <c r="AG1660" s="15"/>
      <c r="AH1660" s="15"/>
      <c r="AI1660" s="46"/>
      <c r="AJ1660" s="51" t="s">
        <v>67</v>
      </c>
      <c r="AK1660" s="51" t="s">
        <v>67</v>
      </c>
      <c r="AL1660" s="15"/>
      <c r="AM1660" s="51" t="s">
        <v>67</v>
      </c>
      <c r="AN1660" s="51" t="s">
        <v>67</v>
      </c>
      <c r="AO1660" s="50" t="s">
        <v>9554</v>
      </c>
    </row>
    <row r="1661" spans="1:41" hidden="1" x14ac:dyDescent="0.25">
      <c r="A1661" s="51" t="s">
        <v>8485</v>
      </c>
      <c r="B1661" s="51" t="s">
        <v>8486</v>
      </c>
      <c r="C1661" s="54" t="s">
        <v>2541</v>
      </c>
      <c r="D1661" s="51" t="s">
        <v>8487</v>
      </c>
      <c r="E1661" s="20">
        <v>10000</v>
      </c>
      <c r="F1661" s="20">
        <v>436.86</v>
      </c>
      <c r="G1661" s="20">
        <v>7360.5</v>
      </c>
      <c r="H1661" s="20">
        <v>1436.62</v>
      </c>
      <c r="I1661" s="20">
        <v>436.86</v>
      </c>
      <c r="J1661" s="51" t="s">
        <v>6724</v>
      </c>
      <c r="K1661" s="15">
        <v>0</v>
      </c>
      <c r="L1661" s="51" t="s">
        <v>2371</v>
      </c>
      <c r="M1661" s="51" t="s">
        <v>8488</v>
      </c>
      <c r="N1661" s="51" t="s">
        <v>1344</v>
      </c>
      <c r="O1661" s="51" t="s">
        <v>67</v>
      </c>
      <c r="P1661" s="51" t="s">
        <v>67</v>
      </c>
      <c r="Q1661" s="45">
        <v>46287.587974282411</v>
      </c>
      <c r="R1661" s="46">
        <v>46311</v>
      </c>
      <c r="S1661" s="46">
        <v>46306</v>
      </c>
      <c r="T1661" s="51" t="s">
        <v>6119</v>
      </c>
      <c r="U1661" s="15"/>
      <c r="V1661" s="15"/>
      <c r="W1661" s="15"/>
      <c r="X1661" s="15"/>
      <c r="Y1661" s="15"/>
      <c r="Z1661" s="15"/>
      <c r="AA1661" s="46"/>
      <c r="AB1661" s="15"/>
      <c r="AC1661" s="15"/>
      <c r="AD1661" s="15"/>
      <c r="AE1661" s="15"/>
      <c r="AF1661" s="15"/>
      <c r="AG1661" s="15"/>
      <c r="AH1661" s="15"/>
      <c r="AI1661" s="46"/>
      <c r="AJ1661" s="51" t="s">
        <v>67</v>
      </c>
      <c r="AK1661" s="51" t="s">
        <v>67</v>
      </c>
      <c r="AL1661" s="15"/>
      <c r="AM1661" s="51" t="s">
        <v>67</v>
      </c>
      <c r="AN1661" s="51" t="s">
        <v>67</v>
      </c>
      <c r="AO1661" s="50" t="s">
        <v>9554</v>
      </c>
    </row>
    <row r="1662" spans="1:41" hidden="1" x14ac:dyDescent="0.25">
      <c r="A1662" s="51" t="s">
        <v>8489</v>
      </c>
      <c r="B1662" s="51" t="s">
        <v>8490</v>
      </c>
      <c r="C1662" s="54" t="s">
        <v>5605</v>
      </c>
      <c r="D1662" s="51" t="s">
        <v>8491</v>
      </c>
      <c r="E1662" s="20">
        <v>10000</v>
      </c>
      <c r="F1662" s="20">
        <v>4301.3999999999996</v>
      </c>
      <c r="G1662" s="20">
        <v>11657.55</v>
      </c>
      <c r="H1662" s="20">
        <v>5999.12</v>
      </c>
      <c r="I1662" s="20">
        <v>5222.05</v>
      </c>
      <c r="J1662" s="51" t="s">
        <v>6726</v>
      </c>
      <c r="K1662" s="15">
        <v>0</v>
      </c>
      <c r="L1662" s="51" t="s">
        <v>2371</v>
      </c>
      <c r="M1662" s="51" t="s">
        <v>8492</v>
      </c>
      <c r="N1662" s="51" t="s">
        <v>1340</v>
      </c>
      <c r="O1662" s="51" t="s">
        <v>8493</v>
      </c>
      <c r="P1662" s="51" t="s">
        <v>1340</v>
      </c>
      <c r="Q1662" s="45">
        <v>46287.588012141205</v>
      </c>
      <c r="R1662" s="46">
        <v>46323</v>
      </c>
      <c r="S1662" s="46">
        <v>46318</v>
      </c>
      <c r="T1662" s="51" t="s">
        <v>6119</v>
      </c>
      <c r="U1662" s="15"/>
      <c r="V1662" s="15"/>
      <c r="W1662" s="15"/>
      <c r="X1662" s="15"/>
      <c r="Y1662" s="15"/>
      <c r="Z1662" s="15"/>
      <c r="AA1662" s="46"/>
      <c r="AB1662" s="15"/>
      <c r="AC1662" s="15"/>
      <c r="AD1662" s="15"/>
      <c r="AE1662" s="15"/>
      <c r="AF1662" s="15"/>
      <c r="AG1662" s="15"/>
      <c r="AH1662" s="15"/>
      <c r="AI1662" s="46"/>
      <c r="AJ1662" s="51" t="s">
        <v>67</v>
      </c>
      <c r="AK1662" s="51" t="s">
        <v>67</v>
      </c>
      <c r="AL1662" s="15"/>
      <c r="AM1662" s="51" t="s">
        <v>67</v>
      </c>
      <c r="AN1662" s="51" t="s">
        <v>67</v>
      </c>
      <c r="AO1662" s="50" t="s">
        <v>9554</v>
      </c>
    </row>
    <row r="1663" spans="1:41" hidden="1" x14ac:dyDescent="0.25">
      <c r="A1663" s="51" t="s">
        <v>8494</v>
      </c>
      <c r="B1663" s="51" t="s">
        <v>8495</v>
      </c>
      <c r="C1663" s="54" t="s">
        <v>607</v>
      </c>
      <c r="D1663" s="51" t="s">
        <v>8496</v>
      </c>
      <c r="E1663" s="20">
        <v>10000</v>
      </c>
      <c r="F1663" s="20">
        <v>326.24</v>
      </c>
      <c r="G1663" s="20">
        <v>10514.32</v>
      </c>
      <c r="H1663" s="20">
        <v>7180.38</v>
      </c>
      <c r="I1663" s="20">
        <v>326.24</v>
      </c>
      <c r="J1663" s="51" t="s">
        <v>6724</v>
      </c>
      <c r="K1663" s="15">
        <v>0</v>
      </c>
      <c r="L1663" s="51" t="s">
        <v>2371</v>
      </c>
      <c r="M1663" s="51" t="s">
        <v>8497</v>
      </c>
      <c r="N1663" s="51" t="s">
        <v>1340</v>
      </c>
      <c r="O1663" s="51" t="s">
        <v>67</v>
      </c>
      <c r="P1663" s="51" t="s">
        <v>67</v>
      </c>
      <c r="Q1663" s="45">
        <v>46287.588033460648</v>
      </c>
      <c r="R1663" s="46">
        <v>46310</v>
      </c>
      <c r="S1663" s="46">
        <v>46305</v>
      </c>
      <c r="T1663" s="51" t="s">
        <v>6119</v>
      </c>
      <c r="U1663" s="15"/>
      <c r="V1663" s="15"/>
      <c r="W1663" s="15"/>
      <c r="X1663" s="15"/>
      <c r="Y1663" s="15"/>
      <c r="Z1663" s="15"/>
      <c r="AA1663" s="46"/>
      <c r="AB1663" s="15"/>
      <c r="AC1663" s="15"/>
      <c r="AD1663" s="15"/>
      <c r="AE1663" s="15"/>
      <c r="AF1663" s="15"/>
      <c r="AG1663" s="15"/>
      <c r="AH1663" s="15"/>
      <c r="AI1663" s="46"/>
      <c r="AJ1663" s="51" t="s">
        <v>67</v>
      </c>
      <c r="AK1663" s="51" t="s">
        <v>67</v>
      </c>
      <c r="AL1663" s="15"/>
      <c r="AM1663" s="51" t="s">
        <v>67</v>
      </c>
      <c r="AN1663" s="51" t="s">
        <v>67</v>
      </c>
      <c r="AO1663" s="50" t="s">
        <v>9554</v>
      </c>
    </row>
    <row r="1664" spans="1:41" hidden="1" x14ac:dyDescent="0.25">
      <c r="A1664" s="51" t="s">
        <v>8498</v>
      </c>
      <c r="B1664" s="51" t="s">
        <v>8499</v>
      </c>
      <c r="C1664" s="54" t="s">
        <v>5602</v>
      </c>
      <c r="D1664" s="51" t="s">
        <v>8500</v>
      </c>
      <c r="E1664" s="20">
        <v>10000</v>
      </c>
      <c r="F1664" s="20">
        <v>1054.08</v>
      </c>
      <c r="G1664" s="20">
        <v>17571.12</v>
      </c>
      <c r="H1664" s="20">
        <v>6193.78</v>
      </c>
      <c r="I1664" s="20">
        <v>1054.08</v>
      </c>
      <c r="J1664" s="51" t="s">
        <v>6724</v>
      </c>
      <c r="K1664" s="15">
        <v>0</v>
      </c>
      <c r="L1664" s="51" t="s">
        <v>2371</v>
      </c>
      <c r="M1664" s="51" t="s">
        <v>8501</v>
      </c>
      <c r="N1664" s="51" t="s">
        <v>1344</v>
      </c>
      <c r="O1664" s="51" t="s">
        <v>8502</v>
      </c>
      <c r="P1664" s="51" t="s">
        <v>1344</v>
      </c>
      <c r="Q1664" s="45">
        <v>46287.588071597223</v>
      </c>
      <c r="R1664" s="46">
        <v>46303</v>
      </c>
      <c r="S1664" s="46">
        <v>46298</v>
      </c>
      <c r="T1664" s="51" t="s">
        <v>6119</v>
      </c>
      <c r="U1664" s="15"/>
      <c r="V1664" s="15"/>
      <c r="W1664" s="15"/>
      <c r="X1664" s="15"/>
      <c r="Y1664" s="15"/>
      <c r="Z1664" s="15"/>
      <c r="AA1664" s="46"/>
      <c r="AB1664" s="15"/>
      <c r="AC1664" s="15"/>
      <c r="AD1664" s="15"/>
      <c r="AE1664" s="15"/>
      <c r="AF1664" s="15"/>
      <c r="AG1664" s="15"/>
      <c r="AH1664" s="15"/>
      <c r="AI1664" s="46"/>
      <c r="AJ1664" s="51" t="s">
        <v>67</v>
      </c>
      <c r="AK1664" s="51" t="s">
        <v>67</v>
      </c>
      <c r="AL1664" s="15"/>
      <c r="AM1664" s="51" t="s">
        <v>67</v>
      </c>
      <c r="AN1664" s="51" t="s">
        <v>67</v>
      </c>
      <c r="AO1664" s="50" t="s">
        <v>9554</v>
      </c>
    </row>
    <row r="1665" spans="1:41" hidden="1" x14ac:dyDescent="0.25">
      <c r="A1665" s="51" t="s">
        <v>8503</v>
      </c>
      <c r="B1665" s="51" t="s">
        <v>8504</v>
      </c>
      <c r="C1665" s="54" t="s">
        <v>608</v>
      </c>
      <c r="D1665" s="51" t="s">
        <v>8505</v>
      </c>
      <c r="E1665" s="20">
        <v>10000</v>
      </c>
      <c r="F1665" s="20">
        <v>240.19</v>
      </c>
      <c r="G1665" s="20">
        <v>21416.18</v>
      </c>
      <c r="H1665" s="20">
        <v>543.49</v>
      </c>
      <c r="I1665" s="20">
        <v>195.29</v>
      </c>
      <c r="J1665" s="51" t="s">
        <v>6724</v>
      </c>
      <c r="K1665" s="15">
        <v>0</v>
      </c>
      <c r="L1665" s="51" t="s">
        <v>2371</v>
      </c>
      <c r="M1665" s="51" t="s">
        <v>8506</v>
      </c>
      <c r="N1665" s="51" t="s">
        <v>1344</v>
      </c>
      <c r="O1665" s="51" t="s">
        <v>8507</v>
      </c>
      <c r="P1665" s="51" t="s">
        <v>1344</v>
      </c>
      <c r="Q1665" s="45">
        <v>46287.58809769676</v>
      </c>
      <c r="R1665" s="46">
        <v>46315</v>
      </c>
      <c r="S1665" s="46">
        <v>46310</v>
      </c>
      <c r="T1665" s="51" t="s">
        <v>6119</v>
      </c>
      <c r="U1665" s="15"/>
      <c r="V1665" s="15"/>
      <c r="W1665" s="15"/>
      <c r="X1665" s="15"/>
      <c r="Y1665" s="15"/>
      <c r="Z1665" s="15"/>
      <c r="AA1665" s="46"/>
      <c r="AB1665" s="15"/>
      <c r="AC1665" s="15"/>
      <c r="AD1665" s="15"/>
      <c r="AE1665" s="15"/>
      <c r="AF1665" s="15"/>
      <c r="AG1665" s="15"/>
      <c r="AH1665" s="15"/>
      <c r="AI1665" s="46"/>
      <c r="AJ1665" s="51" t="s">
        <v>67</v>
      </c>
      <c r="AK1665" s="51" t="s">
        <v>67</v>
      </c>
      <c r="AL1665" s="15"/>
      <c r="AM1665" s="51" t="s">
        <v>67</v>
      </c>
      <c r="AN1665" s="51" t="s">
        <v>67</v>
      </c>
      <c r="AO1665" s="50" t="s">
        <v>9554</v>
      </c>
    </row>
    <row r="1666" spans="1:41" hidden="1" x14ac:dyDescent="0.25">
      <c r="A1666" s="51" t="s">
        <v>8508</v>
      </c>
      <c r="B1666" s="51" t="s">
        <v>8509</v>
      </c>
      <c r="C1666" s="54" t="s">
        <v>2689</v>
      </c>
      <c r="D1666" s="51" t="s">
        <v>8510</v>
      </c>
      <c r="E1666" s="20">
        <v>10000</v>
      </c>
      <c r="F1666" s="20">
        <v>607.80999999999995</v>
      </c>
      <c r="G1666" s="20">
        <v>2900.45</v>
      </c>
      <c r="H1666" s="20">
        <v>610.25</v>
      </c>
      <c r="I1666" s="20">
        <v>0</v>
      </c>
      <c r="J1666" s="51" t="s">
        <v>6724</v>
      </c>
      <c r="K1666" s="15">
        <v>0</v>
      </c>
      <c r="L1666" s="51" t="s">
        <v>2371</v>
      </c>
      <c r="M1666" s="51" t="s">
        <v>67</v>
      </c>
      <c r="N1666" s="51" t="s">
        <v>67</v>
      </c>
      <c r="O1666" s="51" t="s">
        <v>8511</v>
      </c>
      <c r="P1666" s="51" t="s">
        <v>1344</v>
      </c>
      <c r="Q1666" s="45">
        <v>46287.588129143522</v>
      </c>
      <c r="R1666" s="46">
        <v>46317</v>
      </c>
      <c r="S1666" s="46">
        <v>46312</v>
      </c>
      <c r="T1666" s="51" t="s">
        <v>6119</v>
      </c>
      <c r="U1666" s="15"/>
      <c r="V1666" s="15"/>
      <c r="W1666" s="15"/>
      <c r="X1666" s="15"/>
      <c r="Y1666" s="15"/>
      <c r="Z1666" s="15"/>
      <c r="AA1666" s="46"/>
      <c r="AB1666" s="15"/>
      <c r="AC1666" s="15"/>
      <c r="AD1666" s="15"/>
      <c r="AE1666" s="15"/>
      <c r="AF1666" s="15"/>
      <c r="AG1666" s="15"/>
      <c r="AH1666" s="15"/>
      <c r="AI1666" s="46"/>
      <c r="AJ1666" s="51" t="s">
        <v>67</v>
      </c>
      <c r="AK1666" s="51" t="s">
        <v>67</v>
      </c>
      <c r="AL1666" s="15"/>
      <c r="AM1666" s="51" t="s">
        <v>67</v>
      </c>
      <c r="AN1666" s="51" t="s">
        <v>67</v>
      </c>
      <c r="AO1666" s="50" t="s">
        <v>9554</v>
      </c>
    </row>
    <row r="1667" spans="1:41" hidden="1" x14ac:dyDescent="0.25">
      <c r="A1667" s="51" t="s">
        <v>8512</v>
      </c>
      <c r="B1667" s="51" t="s">
        <v>8513</v>
      </c>
      <c r="C1667" s="54" t="s">
        <v>5602</v>
      </c>
      <c r="D1667" s="51" t="s">
        <v>8514</v>
      </c>
      <c r="E1667" s="20">
        <v>10000</v>
      </c>
      <c r="F1667" s="20">
        <v>6264.1</v>
      </c>
      <c r="G1667" s="20">
        <v>94.03</v>
      </c>
      <c r="H1667" s="20">
        <v>5600.01</v>
      </c>
      <c r="I1667" s="20">
        <v>6264.1</v>
      </c>
      <c r="J1667" s="51" t="s">
        <v>6724</v>
      </c>
      <c r="K1667" s="15">
        <v>0</v>
      </c>
      <c r="L1667" s="51" t="s">
        <v>2371</v>
      </c>
      <c r="M1667" s="51" t="s">
        <v>8515</v>
      </c>
      <c r="N1667" s="51" t="s">
        <v>1340</v>
      </c>
      <c r="O1667" s="51" t="s">
        <v>67</v>
      </c>
      <c r="P1667" s="51" t="s">
        <v>67</v>
      </c>
      <c r="Q1667" s="45">
        <v>46287.588178831022</v>
      </c>
      <c r="R1667" s="46">
        <v>46303</v>
      </c>
      <c r="S1667" s="46">
        <v>46298</v>
      </c>
      <c r="T1667" s="51" t="s">
        <v>6119</v>
      </c>
      <c r="U1667" s="15"/>
      <c r="V1667" s="15"/>
      <c r="W1667" s="15"/>
      <c r="X1667" s="15"/>
      <c r="Y1667" s="15"/>
      <c r="Z1667" s="15"/>
      <c r="AA1667" s="46"/>
      <c r="AB1667" s="15"/>
      <c r="AC1667" s="15"/>
      <c r="AD1667" s="15"/>
      <c r="AE1667" s="15"/>
      <c r="AF1667" s="15"/>
      <c r="AG1667" s="15"/>
      <c r="AH1667" s="15"/>
      <c r="AI1667" s="46"/>
      <c r="AJ1667" s="51" t="s">
        <v>67</v>
      </c>
      <c r="AK1667" s="51" t="s">
        <v>67</v>
      </c>
      <c r="AL1667" s="15"/>
      <c r="AM1667" s="51" t="s">
        <v>67</v>
      </c>
      <c r="AN1667" s="51" t="s">
        <v>67</v>
      </c>
      <c r="AO1667" s="50" t="s">
        <v>9554</v>
      </c>
    </row>
    <row r="1668" spans="1:41" hidden="1" x14ac:dyDescent="0.25">
      <c r="A1668" s="51" t="s">
        <v>8516</v>
      </c>
      <c r="B1668" s="51" t="s">
        <v>8517</v>
      </c>
      <c r="C1668" s="54" t="s">
        <v>5600</v>
      </c>
      <c r="D1668" s="51" t="s">
        <v>8518</v>
      </c>
      <c r="E1668" s="20">
        <v>10000</v>
      </c>
      <c r="F1668" s="20">
        <v>598.87</v>
      </c>
      <c r="G1668" s="20">
        <v>18855.18</v>
      </c>
      <c r="H1668" s="20">
        <v>586.62</v>
      </c>
      <c r="I1668" s="20">
        <v>598.87</v>
      </c>
      <c r="J1668" s="51" t="s">
        <v>6724</v>
      </c>
      <c r="K1668" s="15">
        <v>0</v>
      </c>
      <c r="L1668" s="51" t="s">
        <v>2371</v>
      </c>
      <c r="M1668" s="51" t="s">
        <v>67</v>
      </c>
      <c r="N1668" s="51" t="s">
        <v>67</v>
      </c>
      <c r="O1668" s="51" t="s">
        <v>8519</v>
      </c>
      <c r="P1668" s="51" t="s">
        <v>1344</v>
      </c>
      <c r="Q1668" s="45">
        <v>46287.588224305553</v>
      </c>
      <c r="R1668" s="46">
        <v>46304</v>
      </c>
      <c r="S1668" s="46">
        <v>46299</v>
      </c>
      <c r="T1668" s="51" t="s">
        <v>6119</v>
      </c>
      <c r="U1668" s="15"/>
      <c r="V1668" s="15"/>
      <c r="W1668" s="15"/>
      <c r="X1668" s="15"/>
      <c r="Y1668" s="15"/>
      <c r="Z1668" s="15"/>
      <c r="AA1668" s="46"/>
      <c r="AB1668" s="15"/>
      <c r="AC1668" s="15"/>
      <c r="AD1668" s="15"/>
      <c r="AE1668" s="15"/>
      <c r="AF1668" s="15"/>
      <c r="AG1668" s="15"/>
      <c r="AH1668" s="15"/>
      <c r="AI1668" s="46"/>
      <c r="AJ1668" s="51" t="s">
        <v>67</v>
      </c>
      <c r="AK1668" s="51" t="s">
        <v>67</v>
      </c>
      <c r="AL1668" s="15"/>
      <c r="AM1668" s="51" t="s">
        <v>67</v>
      </c>
      <c r="AN1668" s="51" t="s">
        <v>67</v>
      </c>
      <c r="AO1668" s="50" t="s">
        <v>9554</v>
      </c>
    </row>
    <row r="1669" spans="1:41" hidden="1" x14ac:dyDescent="0.25">
      <c r="A1669" s="51" t="s">
        <v>8520</v>
      </c>
      <c r="B1669" s="51" t="s">
        <v>8521</v>
      </c>
      <c r="C1669" s="54" t="s">
        <v>2356</v>
      </c>
      <c r="D1669" s="51" t="s">
        <v>8522</v>
      </c>
      <c r="E1669" s="20">
        <v>10000</v>
      </c>
      <c r="F1669" s="20">
        <v>260.86</v>
      </c>
      <c r="G1669" s="20">
        <v>5076.5200000000004</v>
      </c>
      <c r="H1669" s="20">
        <v>528.15</v>
      </c>
      <c r="I1669" s="20">
        <v>260.86</v>
      </c>
      <c r="J1669" s="51" t="s">
        <v>6724</v>
      </c>
      <c r="K1669" s="15">
        <v>0</v>
      </c>
      <c r="L1669" s="51" t="s">
        <v>2371</v>
      </c>
      <c r="M1669" s="51" t="s">
        <v>67</v>
      </c>
      <c r="N1669" s="51" t="s">
        <v>67</v>
      </c>
      <c r="O1669" s="51" t="s">
        <v>8523</v>
      </c>
      <c r="P1669" s="51" t="s">
        <v>1340</v>
      </c>
      <c r="Q1669" s="45">
        <v>46287.588285543985</v>
      </c>
      <c r="R1669" s="46">
        <v>46307</v>
      </c>
      <c r="S1669" s="46">
        <v>46302</v>
      </c>
      <c r="T1669" s="51" t="s">
        <v>6119</v>
      </c>
      <c r="U1669" s="15"/>
      <c r="V1669" s="15"/>
      <c r="W1669" s="15"/>
      <c r="X1669" s="15"/>
      <c r="Y1669" s="15"/>
      <c r="Z1669" s="15"/>
      <c r="AA1669" s="46"/>
      <c r="AB1669" s="15"/>
      <c r="AC1669" s="15"/>
      <c r="AD1669" s="15"/>
      <c r="AE1669" s="15"/>
      <c r="AF1669" s="15"/>
      <c r="AG1669" s="15"/>
      <c r="AH1669" s="15"/>
      <c r="AI1669" s="46"/>
      <c r="AJ1669" s="51" t="s">
        <v>67</v>
      </c>
      <c r="AK1669" s="51" t="s">
        <v>67</v>
      </c>
      <c r="AL1669" s="15"/>
      <c r="AM1669" s="51" t="s">
        <v>67</v>
      </c>
      <c r="AN1669" s="51" t="s">
        <v>67</v>
      </c>
      <c r="AO1669" s="50" t="s">
        <v>9554</v>
      </c>
    </row>
    <row r="1670" spans="1:41" hidden="1" x14ac:dyDescent="0.25">
      <c r="A1670" s="51" t="s">
        <v>8524</v>
      </c>
      <c r="B1670" s="51" t="s">
        <v>8525</v>
      </c>
      <c r="C1670" s="54" t="s">
        <v>2689</v>
      </c>
      <c r="D1670" s="51" t="s">
        <v>8526</v>
      </c>
      <c r="E1670" s="20">
        <v>10000</v>
      </c>
      <c r="F1670" s="20">
        <v>749.56</v>
      </c>
      <c r="G1670" s="20">
        <v>4998.8</v>
      </c>
      <c r="H1670" s="20">
        <v>12326.07</v>
      </c>
      <c r="I1670" s="20">
        <v>0</v>
      </c>
      <c r="J1670" s="51" t="s">
        <v>6724</v>
      </c>
      <c r="K1670" s="15">
        <v>0</v>
      </c>
      <c r="L1670" s="51" t="s">
        <v>2371</v>
      </c>
      <c r="M1670" s="51" t="s">
        <v>8527</v>
      </c>
      <c r="N1670" s="51" t="s">
        <v>1344</v>
      </c>
      <c r="O1670" s="51" t="s">
        <v>8528</v>
      </c>
      <c r="P1670" s="51" t="s">
        <v>1344</v>
      </c>
      <c r="Q1670" s="45">
        <v>46287.588308599537</v>
      </c>
      <c r="R1670" s="46">
        <v>46317</v>
      </c>
      <c r="S1670" s="46">
        <v>46312</v>
      </c>
      <c r="T1670" s="51" t="s">
        <v>6119</v>
      </c>
      <c r="U1670" s="15"/>
      <c r="V1670" s="15"/>
      <c r="W1670" s="15"/>
      <c r="X1670" s="15"/>
      <c r="Y1670" s="15"/>
      <c r="Z1670" s="15"/>
      <c r="AA1670" s="46"/>
      <c r="AB1670" s="15"/>
      <c r="AC1670" s="15"/>
      <c r="AD1670" s="15"/>
      <c r="AE1670" s="15"/>
      <c r="AF1670" s="15"/>
      <c r="AG1670" s="15"/>
      <c r="AH1670" s="15"/>
      <c r="AI1670" s="46"/>
      <c r="AJ1670" s="51" t="s">
        <v>67</v>
      </c>
      <c r="AK1670" s="51" t="s">
        <v>67</v>
      </c>
      <c r="AL1670" s="15"/>
      <c r="AM1670" s="51" t="s">
        <v>67</v>
      </c>
      <c r="AN1670" s="51" t="s">
        <v>67</v>
      </c>
      <c r="AO1670" s="50" t="s">
        <v>9554</v>
      </c>
    </row>
    <row r="1671" spans="1:41" hidden="1" x14ac:dyDescent="0.25">
      <c r="A1671" s="51" t="s">
        <v>8529</v>
      </c>
      <c r="B1671" s="51" t="s">
        <v>8530</v>
      </c>
      <c r="C1671" s="54" t="s">
        <v>2691</v>
      </c>
      <c r="D1671" s="51" t="s">
        <v>8531</v>
      </c>
      <c r="E1671" s="20">
        <v>10000</v>
      </c>
      <c r="F1671" s="20">
        <v>576.1</v>
      </c>
      <c r="G1671" s="20">
        <v>11645.1</v>
      </c>
      <c r="H1671" s="20">
        <v>419.36</v>
      </c>
      <c r="I1671" s="20">
        <v>576.1</v>
      </c>
      <c r="J1671" s="51" t="s">
        <v>6724</v>
      </c>
      <c r="K1671" s="15">
        <v>0</v>
      </c>
      <c r="L1671" s="51" t="s">
        <v>2371</v>
      </c>
      <c r="M1671" s="51" t="s">
        <v>8532</v>
      </c>
      <c r="N1671" s="51" t="s">
        <v>1340</v>
      </c>
      <c r="O1671" s="51" t="s">
        <v>8533</v>
      </c>
      <c r="P1671" s="51" t="s">
        <v>1340</v>
      </c>
      <c r="Q1671" s="45">
        <v>46287.588358472225</v>
      </c>
      <c r="R1671" s="46">
        <v>46301</v>
      </c>
      <c r="S1671" s="46">
        <v>46296</v>
      </c>
      <c r="T1671" s="51" t="s">
        <v>6119</v>
      </c>
      <c r="U1671" s="15"/>
      <c r="V1671" s="15"/>
      <c r="W1671" s="15"/>
      <c r="X1671" s="15"/>
      <c r="Y1671" s="15"/>
      <c r="Z1671" s="15"/>
      <c r="AA1671" s="46"/>
      <c r="AB1671" s="15"/>
      <c r="AC1671" s="15"/>
      <c r="AD1671" s="15"/>
      <c r="AE1671" s="15"/>
      <c r="AF1671" s="15"/>
      <c r="AG1671" s="15"/>
      <c r="AH1671" s="15"/>
      <c r="AI1671" s="46"/>
      <c r="AJ1671" s="51" t="s">
        <v>67</v>
      </c>
      <c r="AK1671" s="51" t="s">
        <v>67</v>
      </c>
      <c r="AL1671" s="15"/>
      <c r="AM1671" s="51" t="s">
        <v>67</v>
      </c>
      <c r="AN1671" s="51" t="s">
        <v>67</v>
      </c>
      <c r="AO1671" s="50" t="s">
        <v>9554</v>
      </c>
    </row>
    <row r="1672" spans="1:41" hidden="1" x14ac:dyDescent="0.25">
      <c r="A1672" s="51" t="s">
        <v>8534</v>
      </c>
      <c r="B1672" s="51" t="s">
        <v>8535</v>
      </c>
      <c r="C1672" s="54" t="s">
        <v>5608</v>
      </c>
      <c r="D1672" s="51" t="s">
        <v>8536</v>
      </c>
      <c r="E1672" s="20">
        <v>10000</v>
      </c>
      <c r="F1672" s="20">
        <v>6804.37</v>
      </c>
      <c r="G1672" s="20">
        <v>307.68</v>
      </c>
      <c r="H1672" s="20">
        <v>525.79999999999995</v>
      </c>
      <c r="I1672" s="20">
        <v>6804.37</v>
      </c>
      <c r="J1672" s="51" t="s">
        <v>6724</v>
      </c>
      <c r="K1672" s="15">
        <v>0</v>
      </c>
      <c r="L1672" s="51" t="s">
        <v>2371</v>
      </c>
      <c r="M1672" s="51" t="s">
        <v>67</v>
      </c>
      <c r="N1672" s="51" t="s">
        <v>67</v>
      </c>
      <c r="O1672" s="51" t="s">
        <v>8537</v>
      </c>
      <c r="P1672" s="51" t="s">
        <v>1340</v>
      </c>
      <c r="Q1672" s="45">
        <v>46287.588376006941</v>
      </c>
      <c r="R1672" s="46">
        <v>46319</v>
      </c>
      <c r="S1672" s="46">
        <v>46314</v>
      </c>
      <c r="T1672" s="51" t="s">
        <v>6119</v>
      </c>
      <c r="U1672" s="15"/>
      <c r="V1672" s="15"/>
      <c r="W1672" s="15"/>
      <c r="X1672" s="15"/>
      <c r="Y1672" s="15"/>
      <c r="Z1672" s="15"/>
      <c r="AA1672" s="46"/>
      <c r="AB1672" s="15"/>
      <c r="AC1672" s="15"/>
      <c r="AD1672" s="15"/>
      <c r="AE1672" s="15"/>
      <c r="AF1672" s="15"/>
      <c r="AG1672" s="15"/>
      <c r="AH1672" s="15"/>
      <c r="AI1672" s="46"/>
      <c r="AJ1672" s="51" t="s">
        <v>67</v>
      </c>
      <c r="AK1672" s="51" t="s">
        <v>67</v>
      </c>
      <c r="AL1672" s="15"/>
      <c r="AM1672" s="51" t="s">
        <v>67</v>
      </c>
      <c r="AN1672" s="51" t="s">
        <v>67</v>
      </c>
      <c r="AO1672" s="50" t="s">
        <v>9554</v>
      </c>
    </row>
    <row r="1673" spans="1:41" hidden="1" x14ac:dyDescent="0.25">
      <c r="A1673" s="51" t="s">
        <v>8538</v>
      </c>
      <c r="B1673" s="51" t="s">
        <v>8539</v>
      </c>
      <c r="C1673" s="54" t="s">
        <v>611</v>
      </c>
      <c r="D1673" s="51" t="s">
        <v>8540</v>
      </c>
      <c r="E1673" s="20">
        <v>10000</v>
      </c>
      <c r="F1673" s="20">
        <v>1364.59</v>
      </c>
      <c r="G1673" s="20">
        <v>3461.89</v>
      </c>
      <c r="H1673" s="20">
        <v>2944.6</v>
      </c>
      <c r="I1673" s="20">
        <v>1364.59</v>
      </c>
      <c r="J1673" s="51" t="s">
        <v>6724</v>
      </c>
      <c r="K1673" s="15">
        <v>0</v>
      </c>
      <c r="L1673" s="51" t="s">
        <v>2371</v>
      </c>
      <c r="M1673" s="51" t="s">
        <v>67</v>
      </c>
      <c r="N1673" s="51" t="s">
        <v>67</v>
      </c>
      <c r="O1673" s="51" t="s">
        <v>8541</v>
      </c>
      <c r="P1673" s="51" t="s">
        <v>1340</v>
      </c>
      <c r="Q1673" s="45">
        <v>46287.588394907405</v>
      </c>
      <c r="R1673" s="46">
        <v>46320</v>
      </c>
      <c r="S1673" s="46">
        <v>46315</v>
      </c>
      <c r="T1673" s="51" t="s">
        <v>6119</v>
      </c>
      <c r="U1673" s="15"/>
      <c r="V1673" s="15"/>
      <c r="W1673" s="15"/>
      <c r="X1673" s="15"/>
      <c r="Y1673" s="15"/>
      <c r="Z1673" s="15"/>
      <c r="AA1673" s="46"/>
      <c r="AB1673" s="15"/>
      <c r="AC1673" s="15"/>
      <c r="AD1673" s="15"/>
      <c r="AE1673" s="15"/>
      <c r="AF1673" s="15"/>
      <c r="AG1673" s="15"/>
      <c r="AH1673" s="15"/>
      <c r="AI1673" s="46"/>
      <c r="AJ1673" s="51" t="s">
        <v>67</v>
      </c>
      <c r="AK1673" s="51" t="s">
        <v>67</v>
      </c>
      <c r="AL1673" s="15"/>
      <c r="AM1673" s="51" t="s">
        <v>67</v>
      </c>
      <c r="AN1673" s="51" t="s">
        <v>67</v>
      </c>
      <c r="AO1673" s="50" t="s">
        <v>9554</v>
      </c>
    </row>
    <row r="1674" spans="1:41" hidden="1" x14ac:dyDescent="0.25">
      <c r="A1674" s="51" t="s">
        <v>8542</v>
      </c>
      <c r="B1674" s="51" t="s">
        <v>8543</v>
      </c>
      <c r="C1674" s="54" t="s">
        <v>5606</v>
      </c>
      <c r="D1674" s="51" t="s">
        <v>8544</v>
      </c>
      <c r="E1674" s="20">
        <v>10000</v>
      </c>
      <c r="F1674" s="20">
        <v>4471.75</v>
      </c>
      <c r="G1674" s="20">
        <v>13525.73</v>
      </c>
      <c r="H1674" s="20">
        <v>1446.08</v>
      </c>
      <c r="I1674" s="20">
        <v>4471.75</v>
      </c>
      <c r="J1674" s="51" t="s">
        <v>6724</v>
      </c>
      <c r="K1674" s="15">
        <v>0</v>
      </c>
      <c r="L1674" s="51" t="s">
        <v>2371</v>
      </c>
      <c r="M1674" s="51" t="s">
        <v>8545</v>
      </c>
      <c r="N1674" s="51" t="s">
        <v>1340</v>
      </c>
      <c r="O1674" s="51" t="s">
        <v>8546</v>
      </c>
      <c r="P1674" s="51" t="s">
        <v>1340</v>
      </c>
      <c r="Q1674" s="45">
        <v>46287.588421805558</v>
      </c>
      <c r="R1674" s="46">
        <v>46297</v>
      </c>
      <c r="S1674" s="46">
        <v>46292</v>
      </c>
      <c r="T1674" s="51" t="s">
        <v>6119</v>
      </c>
      <c r="U1674" s="15"/>
      <c r="V1674" s="15"/>
      <c r="W1674" s="15"/>
      <c r="X1674" s="15"/>
      <c r="Y1674" s="15"/>
      <c r="Z1674" s="15"/>
      <c r="AA1674" s="46"/>
      <c r="AB1674" s="15"/>
      <c r="AC1674" s="15"/>
      <c r="AD1674" s="15"/>
      <c r="AE1674" s="15"/>
      <c r="AF1674" s="15"/>
      <c r="AG1674" s="15"/>
      <c r="AH1674" s="15"/>
      <c r="AI1674" s="46"/>
      <c r="AJ1674" s="51" t="s">
        <v>67</v>
      </c>
      <c r="AK1674" s="51" t="s">
        <v>67</v>
      </c>
      <c r="AL1674" s="15"/>
      <c r="AM1674" s="51" t="s">
        <v>67</v>
      </c>
      <c r="AN1674" s="51" t="s">
        <v>67</v>
      </c>
      <c r="AO1674" s="50" t="s">
        <v>9554</v>
      </c>
    </row>
    <row r="1675" spans="1:41" hidden="1" x14ac:dyDescent="0.25">
      <c r="A1675" s="51" t="s">
        <v>8547</v>
      </c>
      <c r="B1675" s="51" t="s">
        <v>8548</v>
      </c>
      <c r="C1675" s="54" t="s">
        <v>2358</v>
      </c>
      <c r="D1675" s="51" t="s">
        <v>8549</v>
      </c>
      <c r="E1675" s="20">
        <v>10000</v>
      </c>
      <c r="F1675" s="20">
        <v>1272.76</v>
      </c>
      <c r="G1675" s="20">
        <v>11168.94</v>
      </c>
      <c r="H1675" s="20">
        <v>572.71</v>
      </c>
      <c r="I1675" s="20">
        <v>1272.76</v>
      </c>
      <c r="J1675" s="51" t="s">
        <v>6724</v>
      </c>
      <c r="K1675" s="15">
        <v>0</v>
      </c>
      <c r="L1675" s="51" t="s">
        <v>2371</v>
      </c>
      <c r="M1675" s="51" t="s">
        <v>67</v>
      </c>
      <c r="N1675" s="51" t="s">
        <v>67</v>
      </c>
      <c r="O1675" s="51" t="s">
        <v>8550</v>
      </c>
      <c r="P1675" s="51" t="s">
        <v>1340</v>
      </c>
      <c r="Q1675" s="45">
        <v>46287.588452962962</v>
      </c>
      <c r="R1675" s="46">
        <v>46309</v>
      </c>
      <c r="S1675" s="46">
        <v>46304</v>
      </c>
      <c r="T1675" s="51" t="s">
        <v>6119</v>
      </c>
      <c r="U1675" s="15"/>
      <c r="V1675" s="15"/>
      <c r="W1675" s="15"/>
      <c r="X1675" s="15"/>
      <c r="Y1675" s="15"/>
      <c r="Z1675" s="15"/>
      <c r="AA1675" s="46"/>
      <c r="AB1675" s="15"/>
      <c r="AC1675" s="15"/>
      <c r="AD1675" s="15"/>
      <c r="AE1675" s="15"/>
      <c r="AF1675" s="15"/>
      <c r="AG1675" s="15"/>
      <c r="AH1675" s="15"/>
      <c r="AI1675" s="46"/>
      <c r="AJ1675" s="51" t="s">
        <v>67</v>
      </c>
      <c r="AK1675" s="51" t="s">
        <v>67</v>
      </c>
      <c r="AL1675" s="15"/>
      <c r="AM1675" s="51" t="s">
        <v>67</v>
      </c>
      <c r="AN1675" s="51" t="s">
        <v>67</v>
      </c>
      <c r="AO1675" s="50" t="s">
        <v>9554</v>
      </c>
    </row>
    <row r="1676" spans="1:41" hidden="1" x14ac:dyDescent="0.25">
      <c r="A1676" s="51" t="s">
        <v>8551</v>
      </c>
      <c r="B1676" s="51" t="s">
        <v>8552</v>
      </c>
      <c r="C1676" s="54" t="s">
        <v>5604</v>
      </c>
      <c r="D1676" s="51" t="s">
        <v>8553</v>
      </c>
      <c r="E1676" s="20">
        <v>10000</v>
      </c>
      <c r="F1676" s="20">
        <v>399.1</v>
      </c>
      <c r="G1676" s="20">
        <v>1715.03</v>
      </c>
      <c r="H1676" s="20">
        <v>619.67999999999995</v>
      </c>
      <c r="I1676" s="20">
        <v>185</v>
      </c>
      <c r="J1676" s="51" t="s">
        <v>6724</v>
      </c>
      <c r="K1676" s="15">
        <v>0</v>
      </c>
      <c r="L1676" s="51" t="s">
        <v>2371</v>
      </c>
      <c r="M1676" s="51" t="s">
        <v>67</v>
      </c>
      <c r="N1676" s="51" t="s">
        <v>67</v>
      </c>
      <c r="O1676" s="51" t="s">
        <v>8554</v>
      </c>
      <c r="P1676" s="51" t="s">
        <v>1340</v>
      </c>
      <c r="Q1676" s="45">
        <v>46287.588487511573</v>
      </c>
      <c r="R1676" s="46">
        <v>46313</v>
      </c>
      <c r="S1676" s="46">
        <v>46308</v>
      </c>
      <c r="T1676" s="51" t="s">
        <v>6119</v>
      </c>
      <c r="U1676" s="15"/>
      <c r="V1676" s="15"/>
      <c r="W1676" s="15"/>
      <c r="X1676" s="15"/>
      <c r="Y1676" s="15"/>
      <c r="Z1676" s="15"/>
      <c r="AA1676" s="46"/>
      <c r="AB1676" s="15"/>
      <c r="AC1676" s="15"/>
      <c r="AD1676" s="15"/>
      <c r="AE1676" s="15"/>
      <c r="AF1676" s="15"/>
      <c r="AG1676" s="15"/>
      <c r="AH1676" s="15"/>
      <c r="AI1676" s="46"/>
      <c r="AJ1676" s="51" t="s">
        <v>67</v>
      </c>
      <c r="AK1676" s="51" t="s">
        <v>67</v>
      </c>
      <c r="AL1676" s="15"/>
      <c r="AM1676" s="51" t="s">
        <v>67</v>
      </c>
      <c r="AN1676" s="51" t="s">
        <v>67</v>
      </c>
      <c r="AO1676" s="50" t="s">
        <v>9554</v>
      </c>
    </row>
    <row r="1677" spans="1:41" hidden="1" x14ac:dyDescent="0.25">
      <c r="A1677" s="51" t="s">
        <v>8555</v>
      </c>
      <c r="B1677" s="51" t="s">
        <v>8556</v>
      </c>
      <c r="C1677" s="54" t="s">
        <v>5600</v>
      </c>
      <c r="D1677" s="51" t="s">
        <v>8557</v>
      </c>
      <c r="E1677" s="20">
        <v>10000</v>
      </c>
      <c r="F1677" s="20">
        <v>300.42</v>
      </c>
      <c r="G1677" s="20">
        <v>3535.72</v>
      </c>
      <c r="H1677" s="20">
        <v>1160.93</v>
      </c>
      <c r="I1677" s="20">
        <v>300.42</v>
      </c>
      <c r="J1677" s="51" t="s">
        <v>6724</v>
      </c>
      <c r="K1677" s="15">
        <v>0</v>
      </c>
      <c r="L1677" s="51" t="s">
        <v>2371</v>
      </c>
      <c r="M1677" s="51" t="s">
        <v>8558</v>
      </c>
      <c r="N1677" s="51" t="s">
        <v>1340</v>
      </c>
      <c r="O1677" s="51" t="s">
        <v>8559</v>
      </c>
      <c r="P1677" s="51" t="s">
        <v>1340</v>
      </c>
      <c r="Q1677" s="45">
        <v>46287.588529166664</v>
      </c>
      <c r="R1677" s="46">
        <v>46304</v>
      </c>
      <c r="S1677" s="46">
        <v>46299</v>
      </c>
      <c r="T1677" s="51" t="s">
        <v>6119</v>
      </c>
      <c r="U1677" s="15"/>
      <c r="V1677" s="15"/>
      <c r="W1677" s="15"/>
      <c r="X1677" s="15"/>
      <c r="Y1677" s="15"/>
      <c r="Z1677" s="15"/>
      <c r="AA1677" s="46"/>
      <c r="AB1677" s="15"/>
      <c r="AC1677" s="15"/>
      <c r="AD1677" s="15"/>
      <c r="AE1677" s="15"/>
      <c r="AF1677" s="15"/>
      <c r="AG1677" s="15"/>
      <c r="AH1677" s="15"/>
      <c r="AI1677" s="46"/>
      <c r="AJ1677" s="51" t="s">
        <v>67</v>
      </c>
      <c r="AK1677" s="51" t="s">
        <v>67</v>
      </c>
      <c r="AL1677" s="15"/>
      <c r="AM1677" s="51" t="s">
        <v>67</v>
      </c>
      <c r="AN1677" s="51" t="s">
        <v>67</v>
      </c>
      <c r="AO1677" s="50" t="s">
        <v>9554</v>
      </c>
    </row>
    <row r="1678" spans="1:41" hidden="1" x14ac:dyDescent="0.25">
      <c r="A1678" s="51" t="s">
        <v>8560</v>
      </c>
      <c r="B1678" s="51" t="s">
        <v>8561</v>
      </c>
      <c r="C1678" s="54" t="s">
        <v>611</v>
      </c>
      <c r="D1678" s="51" t="s">
        <v>8562</v>
      </c>
      <c r="E1678" s="20">
        <v>10000</v>
      </c>
      <c r="F1678" s="20">
        <v>833.22</v>
      </c>
      <c r="G1678" s="20">
        <v>14096.47</v>
      </c>
      <c r="H1678" s="20">
        <v>494.05</v>
      </c>
      <c r="I1678" s="20">
        <v>833.22</v>
      </c>
      <c r="J1678" s="51" t="s">
        <v>6724</v>
      </c>
      <c r="K1678" s="15">
        <v>0</v>
      </c>
      <c r="L1678" s="51" t="s">
        <v>2371</v>
      </c>
      <c r="M1678" s="51" t="s">
        <v>67</v>
      </c>
      <c r="N1678" s="51" t="s">
        <v>67</v>
      </c>
      <c r="O1678" s="51" t="s">
        <v>8563</v>
      </c>
      <c r="P1678" s="51" t="s">
        <v>1340</v>
      </c>
      <c r="Q1678" s="45">
        <v>46287.588551354165</v>
      </c>
      <c r="R1678" s="46">
        <v>46320</v>
      </c>
      <c r="S1678" s="46">
        <v>46315</v>
      </c>
      <c r="T1678" s="51" t="s">
        <v>6119</v>
      </c>
      <c r="U1678" s="15"/>
      <c r="V1678" s="15"/>
      <c r="W1678" s="15"/>
      <c r="X1678" s="15"/>
      <c r="Y1678" s="15"/>
      <c r="Z1678" s="15"/>
      <c r="AA1678" s="46"/>
      <c r="AB1678" s="15"/>
      <c r="AC1678" s="15"/>
      <c r="AD1678" s="15"/>
      <c r="AE1678" s="15"/>
      <c r="AF1678" s="15"/>
      <c r="AG1678" s="15"/>
      <c r="AH1678" s="15"/>
      <c r="AI1678" s="46"/>
      <c r="AJ1678" s="51" t="s">
        <v>67</v>
      </c>
      <c r="AK1678" s="51" t="s">
        <v>67</v>
      </c>
      <c r="AL1678" s="15"/>
      <c r="AM1678" s="51" t="s">
        <v>67</v>
      </c>
      <c r="AN1678" s="51" t="s">
        <v>67</v>
      </c>
      <c r="AO1678" s="50" t="s">
        <v>9554</v>
      </c>
    </row>
    <row r="1679" spans="1:41" hidden="1" x14ac:dyDescent="0.25">
      <c r="A1679" s="51" t="s">
        <v>8564</v>
      </c>
      <c r="B1679" s="51" t="s">
        <v>8565</v>
      </c>
      <c r="C1679" s="54" t="s">
        <v>5602</v>
      </c>
      <c r="D1679" s="51" t="s">
        <v>3922</v>
      </c>
      <c r="E1679" s="20">
        <v>10000</v>
      </c>
      <c r="F1679" s="20">
        <v>1181.53</v>
      </c>
      <c r="G1679" s="20">
        <v>12117.31</v>
      </c>
      <c r="H1679" s="20">
        <v>256.08999999999997</v>
      </c>
      <c r="I1679" s="20">
        <v>1181.53</v>
      </c>
      <c r="J1679" s="51" t="s">
        <v>6724</v>
      </c>
      <c r="K1679" s="15">
        <v>0</v>
      </c>
      <c r="L1679" s="51" t="s">
        <v>2371</v>
      </c>
      <c r="M1679" s="51" t="s">
        <v>8566</v>
      </c>
      <c r="N1679" s="51" t="s">
        <v>1340</v>
      </c>
      <c r="O1679" s="51" t="s">
        <v>8567</v>
      </c>
      <c r="P1679" s="51" t="s">
        <v>1340</v>
      </c>
      <c r="Q1679" s="45">
        <v>46287.588571145832</v>
      </c>
      <c r="R1679" s="46">
        <v>46303</v>
      </c>
      <c r="S1679" s="46">
        <v>46298</v>
      </c>
      <c r="T1679" s="51" t="s">
        <v>6119</v>
      </c>
      <c r="U1679" s="15"/>
      <c r="V1679" s="15"/>
      <c r="W1679" s="15"/>
      <c r="X1679" s="15"/>
      <c r="Y1679" s="15"/>
      <c r="Z1679" s="15"/>
      <c r="AA1679" s="46"/>
      <c r="AB1679" s="15"/>
      <c r="AC1679" s="15"/>
      <c r="AD1679" s="15"/>
      <c r="AE1679" s="15"/>
      <c r="AF1679" s="15"/>
      <c r="AG1679" s="15"/>
      <c r="AH1679" s="15"/>
      <c r="AI1679" s="46"/>
      <c r="AJ1679" s="51" t="s">
        <v>67</v>
      </c>
      <c r="AK1679" s="51" t="s">
        <v>67</v>
      </c>
      <c r="AL1679" s="15"/>
      <c r="AM1679" s="51" t="s">
        <v>67</v>
      </c>
      <c r="AN1679" s="51" t="s">
        <v>67</v>
      </c>
      <c r="AO1679" s="50" t="s">
        <v>9554</v>
      </c>
    </row>
    <row r="1680" spans="1:41" hidden="1" x14ac:dyDescent="0.25">
      <c r="A1680" s="51" t="s">
        <v>8568</v>
      </c>
      <c r="B1680" s="51" t="s">
        <v>8569</v>
      </c>
      <c r="C1680" s="54" t="s">
        <v>611</v>
      </c>
      <c r="D1680" s="51" t="s">
        <v>8570</v>
      </c>
      <c r="E1680" s="20">
        <v>10000</v>
      </c>
      <c r="F1680" s="20">
        <v>466.72</v>
      </c>
      <c r="G1680" s="20">
        <v>8250.77</v>
      </c>
      <c r="H1680" s="20">
        <v>1191.8900000000001</v>
      </c>
      <c r="I1680" s="20">
        <v>466.72</v>
      </c>
      <c r="J1680" s="51" t="s">
        <v>6724</v>
      </c>
      <c r="K1680" s="15">
        <v>0</v>
      </c>
      <c r="L1680" s="51" t="s">
        <v>2371</v>
      </c>
      <c r="M1680" s="51" t="s">
        <v>8571</v>
      </c>
      <c r="N1680" s="51" t="s">
        <v>1340</v>
      </c>
      <c r="O1680" s="51" t="s">
        <v>67</v>
      </c>
      <c r="P1680" s="51" t="s">
        <v>67</v>
      </c>
      <c r="Q1680" s="45">
        <v>46287.58859619213</v>
      </c>
      <c r="R1680" s="46">
        <v>46320</v>
      </c>
      <c r="S1680" s="46">
        <v>46315</v>
      </c>
      <c r="T1680" s="51" t="s">
        <v>6119</v>
      </c>
      <c r="U1680" s="15"/>
      <c r="V1680" s="15"/>
      <c r="W1680" s="15"/>
      <c r="X1680" s="15"/>
      <c r="Y1680" s="15"/>
      <c r="Z1680" s="15"/>
      <c r="AA1680" s="46"/>
      <c r="AB1680" s="15"/>
      <c r="AC1680" s="15"/>
      <c r="AD1680" s="15"/>
      <c r="AE1680" s="15"/>
      <c r="AF1680" s="15"/>
      <c r="AG1680" s="15"/>
      <c r="AH1680" s="15"/>
      <c r="AI1680" s="46"/>
      <c r="AJ1680" s="51" t="s">
        <v>67</v>
      </c>
      <c r="AK1680" s="51" t="s">
        <v>67</v>
      </c>
      <c r="AL1680" s="15"/>
      <c r="AM1680" s="51" t="s">
        <v>67</v>
      </c>
      <c r="AN1680" s="51" t="s">
        <v>67</v>
      </c>
      <c r="AO1680" s="50" t="s">
        <v>9554</v>
      </c>
    </row>
    <row r="1681" spans="1:41" hidden="1" x14ac:dyDescent="0.25">
      <c r="A1681" s="51" t="s">
        <v>8572</v>
      </c>
      <c r="B1681" s="51" t="s">
        <v>8573</v>
      </c>
      <c r="C1681" s="54" t="s">
        <v>2691</v>
      </c>
      <c r="D1681" s="51" t="s">
        <v>8574</v>
      </c>
      <c r="E1681" s="20">
        <v>10000</v>
      </c>
      <c r="F1681" s="20">
        <v>1912.02</v>
      </c>
      <c r="G1681" s="20">
        <v>16954.28</v>
      </c>
      <c r="H1681" s="20">
        <v>6118.22</v>
      </c>
      <c r="I1681" s="20">
        <v>1912.02</v>
      </c>
      <c r="J1681" s="51" t="s">
        <v>6724</v>
      </c>
      <c r="K1681" s="15">
        <v>0</v>
      </c>
      <c r="L1681" s="51" t="s">
        <v>2371</v>
      </c>
      <c r="M1681" s="51" t="s">
        <v>67</v>
      </c>
      <c r="N1681" s="51" t="s">
        <v>67</v>
      </c>
      <c r="O1681" s="51" t="s">
        <v>8575</v>
      </c>
      <c r="P1681" s="51" t="s">
        <v>1340</v>
      </c>
      <c r="Q1681" s="45">
        <v>46287.588614166663</v>
      </c>
      <c r="R1681" s="46">
        <v>46301</v>
      </c>
      <c r="S1681" s="46">
        <v>46296</v>
      </c>
      <c r="T1681" s="51" t="s">
        <v>6119</v>
      </c>
      <c r="U1681" s="15"/>
      <c r="V1681" s="15"/>
      <c r="W1681" s="15"/>
      <c r="X1681" s="15"/>
      <c r="Y1681" s="15"/>
      <c r="Z1681" s="15"/>
      <c r="AA1681" s="46"/>
      <c r="AB1681" s="15"/>
      <c r="AC1681" s="15"/>
      <c r="AD1681" s="15"/>
      <c r="AE1681" s="15"/>
      <c r="AF1681" s="15"/>
      <c r="AG1681" s="15"/>
      <c r="AH1681" s="15"/>
      <c r="AI1681" s="46"/>
      <c r="AJ1681" s="51" t="s">
        <v>67</v>
      </c>
      <c r="AK1681" s="51" t="s">
        <v>67</v>
      </c>
      <c r="AL1681" s="15"/>
      <c r="AM1681" s="51" t="s">
        <v>67</v>
      </c>
      <c r="AN1681" s="51" t="s">
        <v>67</v>
      </c>
      <c r="AO1681" s="50" t="s">
        <v>9554</v>
      </c>
    </row>
    <row r="1682" spans="1:41" hidden="1" x14ac:dyDescent="0.25">
      <c r="A1682" s="51" t="s">
        <v>8576</v>
      </c>
      <c r="B1682" s="51" t="s">
        <v>8577</v>
      </c>
      <c r="C1682" s="54" t="s">
        <v>5601</v>
      </c>
      <c r="D1682" s="51" t="s">
        <v>8578</v>
      </c>
      <c r="E1682" s="20">
        <v>10000</v>
      </c>
      <c r="F1682" s="20">
        <v>563.72</v>
      </c>
      <c r="G1682" s="20">
        <v>6145.29</v>
      </c>
      <c r="H1682" s="20">
        <v>442.01</v>
      </c>
      <c r="I1682" s="20">
        <v>0</v>
      </c>
      <c r="J1682" s="51" t="s">
        <v>6724</v>
      </c>
      <c r="K1682" s="15">
        <v>0</v>
      </c>
      <c r="L1682" s="51" t="s">
        <v>2371</v>
      </c>
      <c r="M1682" s="51" t="s">
        <v>8579</v>
      </c>
      <c r="N1682" s="51" t="s">
        <v>1340</v>
      </c>
      <c r="O1682" s="51" t="s">
        <v>67</v>
      </c>
      <c r="P1682" s="51" t="s">
        <v>67</v>
      </c>
      <c r="Q1682" s="45">
        <v>46287.588684606482</v>
      </c>
      <c r="R1682" s="46">
        <v>46316</v>
      </c>
      <c r="S1682" s="46">
        <v>46311</v>
      </c>
      <c r="T1682" s="51" t="s">
        <v>6119</v>
      </c>
      <c r="U1682" s="15"/>
      <c r="V1682" s="15"/>
      <c r="W1682" s="15"/>
      <c r="X1682" s="15"/>
      <c r="Y1682" s="15"/>
      <c r="Z1682" s="15"/>
      <c r="AA1682" s="46"/>
      <c r="AB1682" s="15"/>
      <c r="AC1682" s="15"/>
      <c r="AD1682" s="15"/>
      <c r="AE1682" s="15"/>
      <c r="AF1682" s="15"/>
      <c r="AG1682" s="15"/>
      <c r="AH1682" s="15"/>
      <c r="AI1682" s="46"/>
      <c r="AJ1682" s="51" t="s">
        <v>67</v>
      </c>
      <c r="AK1682" s="51" t="s">
        <v>67</v>
      </c>
      <c r="AL1682" s="15"/>
      <c r="AM1682" s="51" t="s">
        <v>67</v>
      </c>
      <c r="AN1682" s="51" t="s">
        <v>67</v>
      </c>
      <c r="AO1682" s="50" t="s">
        <v>9554</v>
      </c>
    </row>
    <row r="1683" spans="1:41" hidden="1" x14ac:dyDescent="0.25">
      <c r="A1683" s="51" t="s">
        <v>8580</v>
      </c>
      <c r="B1683" s="51" t="s">
        <v>8581</v>
      </c>
      <c r="C1683" s="54" t="s">
        <v>5608</v>
      </c>
      <c r="D1683" s="51" t="s">
        <v>8582</v>
      </c>
      <c r="E1683" s="20">
        <v>10000</v>
      </c>
      <c r="F1683" s="20">
        <v>749.68</v>
      </c>
      <c r="G1683" s="20">
        <v>15610.55</v>
      </c>
      <c r="H1683" s="20">
        <v>5310.55</v>
      </c>
      <c r="I1683" s="20">
        <v>749.68</v>
      </c>
      <c r="J1683" s="51" t="s">
        <v>6724</v>
      </c>
      <c r="K1683" s="15">
        <v>0</v>
      </c>
      <c r="L1683" s="51" t="s">
        <v>2371</v>
      </c>
      <c r="M1683" s="51" t="s">
        <v>67</v>
      </c>
      <c r="N1683" s="51" t="s">
        <v>67</v>
      </c>
      <c r="O1683" s="51" t="s">
        <v>8583</v>
      </c>
      <c r="P1683" s="51" t="s">
        <v>1340</v>
      </c>
      <c r="Q1683" s="45">
        <v>46287.58872226852</v>
      </c>
      <c r="R1683" s="46">
        <v>46319</v>
      </c>
      <c r="S1683" s="46">
        <v>46314</v>
      </c>
      <c r="T1683" s="51" t="s">
        <v>6119</v>
      </c>
      <c r="U1683" s="15"/>
      <c r="V1683" s="15"/>
      <c r="W1683" s="15"/>
      <c r="X1683" s="15"/>
      <c r="Y1683" s="15"/>
      <c r="Z1683" s="15"/>
      <c r="AA1683" s="46"/>
      <c r="AB1683" s="15"/>
      <c r="AC1683" s="15"/>
      <c r="AD1683" s="15"/>
      <c r="AE1683" s="15"/>
      <c r="AF1683" s="15"/>
      <c r="AG1683" s="15"/>
      <c r="AH1683" s="15"/>
      <c r="AI1683" s="46"/>
      <c r="AJ1683" s="51" t="s">
        <v>67</v>
      </c>
      <c r="AK1683" s="51" t="s">
        <v>67</v>
      </c>
      <c r="AL1683" s="15"/>
      <c r="AM1683" s="51" t="s">
        <v>67</v>
      </c>
      <c r="AN1683" s="51" t="s">
        <v>67</v>
      </c>
      <c r="AO1683" s="50" t="s">
        <v>9554</v>
      </c>
    </row>
    <row r="1684" spans="1:41" hidden="1" x14ac:dyDescent="0.25">
      <c r="A1684" s="51" t="s">
        <v>8584</v>
      </c>
      <c r="B1684" s="51" t="s">
        <v>8585</v>
      </c>
      <c r="C1684" s="54" t="s">
        <v>5607</v>
      </c>
      <c r="D1684" s="51" t="s">
        <v>8586</v>
      </c>
      <c r="E1684" s="20">
        <v>10000</v>
      </c>
      <c r="F1684" s="20">
        <v>547.64</v>
      </c>
      <c r="G1684" s="20">
        <v>1948.73</v>
      </c>
      <c r="H1684" s="20">
        <v>662.43</v>
      </c>
      <c r="I1684" s="20">
        <v>547.64</v>
      </c>
      <c r="J1684" s="51" t="s">
        <v>6724</v>
      </c>
      <c r="K1684" s="15">
        <v>0</v>
      </c>
      <c r="L1684" s="51" t="s">
        <v>2371</v>
      </c>
      <c r="M1684" s="51" t="s">
        <v>8587</v>
      </c>
      <c r="N1684" s="51" t="s">
        <v>1344</v>
      </c>
      <c r="O1684" s="51" t="s">
        <v>8588</v>
      </c>
      <c r="P1684" s="51" t="s">
        <v>1344</v>
      </c>
      <c r="Q1684" s="45">
        <v>46287.588747106478</v>
      </c>
      <c r="R1684" s="46">
        <v>46299</v>
      </c>
      <c r="S1684" s="46">
        <v>46294</v>
      </c>
      <c r="T1684" s="51" t="s">
        <v>6119</v>
      </c>
      <c r="U1684" s="15"/>
      <c r="V1684" s="15"/>
      <c r="W1684" s="15"/>
      <c r="X1684" s="15"/>
      <c r="Y1684" s="15"/>
      <c r="Z1684" s="15"/>
      <c r="AA1684" s="46"/>
      <c r="AB1684" s="15"/>
      <c r="AC1684" s="15"/>
      <c r="AD1684" s="15"/>
      <c r="AE1684" s="15"/>
      <c r="AF1684" s="15"/>
      <c r="AG1684" s="15"/>
      <c r="AH1684" s="15"/>
      <c r="AI1684" s="46"/>
      <c r="AJ1684" s="51" t="s">
        <v>67</v>
      </c>
      <c r="AK1684" s="51" t="s">
        <v>67</v>
      </c>
      <c r="AL1684" s="15"/>
      <c r="AM1684" s="51" t="s">
        <v>67</v>
      </c>
      <c r="AN1684" s="51" t="s">
        <v>67</v>
      </c>
      <c r="AO1684" s="50" t="s">
        <v>9554</v>
      </c>
    </row>
    <row r="1685" spans="1:41" hidden="1" x14ac:dyDescent="0.25">
      <c r="A1685" s="51" t="s">
        <v>8589</v>
      </c>
      <c r="B1685" s="51" t="s">
        <v>8590</v>
      </c>
      <c r="C1685" s="54" t="s">
        <v>2691</v>
      </c>
      <c r="D1685" s="51" t="s">
        <v>8591</v>
      </c>
      <c r="E1685" s="20">
        <v>10000</v>
      </c>
      <c r="F1685" s="20">
        <v>339.65</v>
      </c>
      <c r="G1685" s="20">
        <v>3803.09</v>
      </c>
      <c r="H1685" s="20">
        <v>799.55</v>
      </c>
      <c r="I1685" s="20">
        <v>339.65</v>
      </c>
      <c r="J1685" s="51" t="s">
        <v>6724</v>
      </c>
      <c r="K1685" s="15">
        <v>0</v>
      </c>
      <c r="L1685" s="51" t="s">
        <v>2371</v>
      </c>
      <c r="M1685" s="51" t="s">
        <v>8592</v>
      </c>
      <c r="N1685" s="51" t="s">
        <v>1340</v>
      </c>
      <c r="O1685" s="51" t="s">
        <v>8593</v>
      </c>
      <c r="P1685" s="51" t="s">
        <v>1340</v>
      </c>
      <c r="Q1685" s="45">
        <v>46287.588760648148</v>
      </c>
      <c r="R1685" s="46">
        <v>46301</v>
      </c>
      <c r="S1685" s="46">
        <v>46296</v>
      </c>
      <c r="T1685" s="51" t="s">
        <v>6119</v>
      </c>
      <c r="U1685" s="15"/>
      <c r="V1685" s="15"/>
      <c r="W1685" s="15"/>
      <c r="X1685" s="15"/>
      <c r="Y1685" s="15"/>
      <c r="Z1685" s="15"/>
      <c r="AA1685" s="46"/>
      <c r="AB1685" s="15"/>
      <c r="AC1685" s="15"/>
      <c r="AD1685" s="15"/>
      <c r="AE1685" s="15"/>
      <c r="AF1685" s="15"/>
      <c r="AG1685" s="15"/>
      <c r="AH1685" s="15"/>
      <c r="AI1685" s="46"/>
      <c r="AJ1685" s="51" t="s">
        <v>67</v>
      </c>
      <c r="AK1685" s="51" t="s">
        <v>67</v>
      </c>
      <c r="AL1685" s="15"/>
      <c r="AM1685" s="51" t="s">
        <v>67</v>
      </c>
      <c r="AN1685" s="51" t="s">
        <v>67</v>
      </c>
      <c r="AO1685" s="50" t="s">
        <v>9554</v>
      </c>
    </row>
    <row r="1686" spans="1:41" hidden="1" x14ac:dyDescent="0.25">
      <c r="A1686" s="51" t="s">
        <v>8594</v>
      </c>
      <c r="B1686" s="51" t="s">
        <v>8595</v>
      </c>
      <c r="C1686" s="54" t="s">
        <v>5601</v>
      </c>
      <c r="D1686" s="51" t="s">
        <v>8596</v>
      </c>
      <c r="E1686" s="20">
        <v>10000</v>
      </c>
      <c r="F1686" s="20">
        <v>392.97</v>
      </c>
      <c r="G1686" s="20">
        <v>13424.19</v>
      </c>
      <c r="H1686" s="20">
        <v>1062.67</v>
      </c>
      <c r="I1686" s="20">
        <v>119.05</v>
      </c>
      <c r="J1686" s="51" t="s">
        <v>6724</v>
      </c>
      <c r="K1686" s="15">
        <v>0</v>
      </c>
      <c r="L1686" s="51" t="s">
        <v>2371</v>
      </c>
      <c r="M1686" s="51" t="s">
        <v>67</v>
      </c>
      <c r="N1686" s="51" t="s">
        <v>67</v>
      </c>
      <c r="O1686" s="51" t="s">
        <v>8597</v>
      </c>
      <c r="P1686" s="51" t="s">
        <v>1340</v>
      </c>
      <c r="Q1686" s="45">
        <v>46287.588771504626</v>
      </c>
      <c r="R1686" s="46">
        <v>46316</v>
      </c>
      <c r="S1686" s="46">
        <v>46311</v>
      </c>
      <c r="T1686" s="51" t="s">
        <v>6119</v>
      </c>
      <c r="U1686" s="15"/>
      <c r="V1686" s="15"/>
      <c r="W1686" s="15"/>
      <c r="X1686" s="15"/>
      <c r="Y1686" s="15"/>
      <c r="Z1686" s="15"/>
      <c r="AA1686" s="46"/>
      <c r="AB1686" s="15"/>
      <c r="AC1686" s="15"/>
      <c r="AD1686" s="15"/>
      <c r="AE1686" s="15"/>
      <c r="AF1686" s="15"/>
      <c r="AG1686" s="15"/>
      <c r="AH1686" s="15"/>
      <c r="AI1686" s="46"/>
      <c r="AJ1686" s="51" t="s">
        <v>67</v>
      </c>
      <c r="AK1686" s="51" t="s">
        <v>67</v>
      </c>
      <c r="AL1686" s="15"/>
      <c r="AM1686" s="51" t="s">
        <v>67</v>
      </c>
      <c r="AN1686" s="51" t="s">
        <v>67</v>
      </c>
      <c r="AO1686" s="50" t="s">
        <v>9554</v>
      </c>
    </row>
    <row r="1687" spans="1:41" hidden="1" x14ac:dyDescent="0.25">
      <c r="A1687" s="51" t="s">
        <v>8598</v>
      </c>
      <c r="B1687" s="51" t="s">
        <v>8599</v>
      </c>
      <c r="C1687" s="54" t="s">
        <v>2692</v>
      </c>
      <c r="D1687" s="51" t="s">
        <v>8600</v>
      </c>
      <c r="E1687" s="20">
        <v>10000</v>
      </c>
      <c r="F1687" s="20">
        <v>468.62</v>
      </c>
      <c r="G1687" s="20">
        <v>16618.54</v>
      </c>
      <c r="H1687" s="20">
        <v>344.2</v>
      </c>
      <c r="I1687" s="20">
        <v>468.62</v>
      </c>
      <c r="J1687" s="51" t="s">
        <v>6724</v>
      </c>
      <c r="K1687" s="15">
        <v>0</v>
      </c>
      <c r="L1687" s="51" t="s">
        <v>2371</v>
      </c>
      <c r="M1687" s="51" t="s">
        <v>8601</v>
      </c>
      <c r="N1687" s="51" t="s">
        <v>1340</v>
      </c>
      <c r="O1687" s="51" t="s">
        <v>67</v>
      </c>
      <c r="P1687" s="51" t="s">
        <v>67</v>
      </c>
      <c r="Q1687" s="45">
        <v>46287.588803356484</v>
      </c>
      <c r="R1687" s="46">
        <v>46296</v>
      </c>
      <c r="S1687" s="46">
        <v>46291</v>
      </c>
      <c r="T1687" s="51" t="s">
        <v>6119</v>
      </c>
      <c r="U1687" s="15"/>
      <c r="V1687" s="15"/>
      <c r="W1687" s="15"/>
      <c r="X1687" s="15"/>
      <c r="Y1687" s="15"/>
      <c r="Z1687" s="15"/>
      <c r="AA1687" s="46"/>
      <c r="AB1687" s="15"/>
      <c r="AC1687" s="15"/>
      <c r="AD1687" s="15"/>
      <c r="AE1687" s="15"/>
      <c r="AF1687" s="15"/>
      <c r="AG1687" s="15"/>
      <c r="AH1687" s="15"/>
      <c r="AI1687" s="46"/>
      <c r="AJ1687" s="51" t="s">
        <v>67</v>
      </c>
      <c r="AK1687" s="51" t="s">
        <v>67</v>
      </c>
      <c r="AL1687" s="15"/>
      <c r="AM1687" s="51" t="s">
        <v>67</v>
      </c>
      <c r="AN1687" s="51" t="s">
        <v>67</v>
      </c>
      <c r="AO1687" s="50" t="s">
        <v>9554</v>
      </c>
    </row>
    <row r="1688" spans="1:41" hidden="1" x14ac:dyDescent="0.25">
      <c r="A1688" s="51" t="s">
        <v>8602</v>
      </c>
      <c r="B1688" s="51" t="s">
        <v>8603</v>
      </c>
      <c r="C1688" s="54" t="s">
        <v>5606</v>
      </c>
      <c r="D1688" s="51" t="s">
        <v>8604</v>
      </c>
      <c r="E1688" s="20">
        <v>10000</v>
      </c>
      <c r="F1688" s="20">
        <v>369.94</v>
      </c>
      <c r="G1688" s="20">
        <v>16379.29</v>
      </c>
      <c r="H1688" s="20">
        <v>492.51</v>
      </c>
      <c r="I1688" s="20">
        <v>369.94</v>
      </c>
      <c r="J1688" s="51" t="s">
        <v>6724</v>
      </c>
      <c r="K1688" s="15">
        <v>0</v>
      </c>
      <c r="L1688" s="51" t="s">
        <v>2371</v>
      </c>
      <c r="M1688" s="51" t="s">
        <v>8605</v>
      </c>
      <c r="N1688" s="51" t="s">
        <v>1340</v>
      </c>
      <c r="O1688" s="51" t="s">
        <v>8606</v>
      </c>
      <c r="P1688" s="51" t="s">
        <v>1340</v>
      </c>
      <c r="Q1688" s="45">
        <v>46287.588826122686</v>
      </c>
      <c r="R1688" s="46">
        <v>46297</v>
      </c>
      <c r="S1688" s="46">
        <v>46292</v>
      </c>
      <c r="T1688" s="51" t="s">
        <v>6119</v>
      </c>
      <c r="U1688" s="15"/>
      <c r="V1688" s="15"/>
      <c r="W1688" s="15"/>
      <c r="X1688" s="15"/>
      <c r="Y1688" s="15"/>
      <c r="Z1688" s="15"/>
      <c r="AA1688" s="46"/>
      <c r="AB1688" s="15"/>
      <c r="AC1688" s="15"/>
      <c r="AD1688" s="15"/>
      <c r="AE1688" s="15"/>
      <c r="AF1688" s="15"/>
      <c r="AG1688" s="15"/>
      <c r="AH1688" s="15"/>
      <c r="AI1688" s="46"/>
      <c r="AJ1688" s="51" t="s">
        <v>67</v>
      </c>
      <c r="AK1688" s="51" t="s">
        <v>67</v>
      </c>
      <c r="AL1688" s="15"/>
      <c r="AM1688" s="51" t="s">
        <v>67</v>
      </c>
      <c r="AN1688" s="51" t="s">
        <v>67</v>
      </c>
      <c r="AO1688" s="50" t="s">
        <v>9554</v>
      </c>
    </row>
    <row r="1689" spans="1:41" hidden="1" x14ac:dyDescent="0.25">
      <c r="A1689" s="51" t="s">
        <v>8607</v>
      </c>
      <c r="B1689" s="51" t="s">
        <v>8608</v>
      </c>
      <c r="C1689" s="54" t="s">
        <v>611</v>
      </c>
      <c r="D1689" s="51" t="s">
        <v>8609</v>
      </c>
      <c r="E1689" s="20">
        <v>10000</v>
      </c>
      <c r="F1689" s="20">
        <v>604.20000000000005</v>
      </c>
      <c r="G1689" s="20">
        <v>4685.8500000000004</v>
      </c>
      <c r="H1689" s="20">
        <v>533.55999999999995</v>
      </c>
      <c r="I1689" s="20">
        <v>604.20000000000005</v>
      </c>
      <c r="J1689" s="51" t="s">
        <v>6724</v>
      </c>
      <c r="K1689" s="15">
        <v>0</v>
      </c>
      <c r="L1689" s="51" t="s">
        <v>2371</v>
      </c>
      <c r="M1689" s="51" t="s">
        <v>67</v>
      </c>
      <c r="N1689" s="51" t="s">
        <v>67</v>
      </c>
      <c r="O1689" s="51" t="s">
        <v>8610</v>
      </c>
      <c r="P1689" s="51" t="s">
        <v>1340</v>
      </c>
      <c r="Q1689" s="45">
        <v>46287.588841180557</v>
      </c>
      <c r="R1689" s="46">
        <v>46320</v>
      </c>
      <c r="S1689" s="46">
        <v>46315</v>
      </c>
      <c r="T1689" s="51" t="s">
        <v>6119</v>
      </c>
      <c r="U1689" s="15"/>
      <c r="V1689" s="15"/>
      <c r="W1689" s="15"/>
      <c r="X1689" s="15"/>
      <c r="Y1689" s="15"/>
      <c r="Z1689" s="15"/>
      <c r="AA1689" s="46"/>
      <c r="AB1689" s="15"/>
      <c r="AC1689" s="15"/>
      <c r="AD1689" s="15"/>
      <c r="AE1689" s="15"/>
      <c r="AF1689" s="15"/>
      <c r="AG1689" s="15"/>
      <c r="AH1689" s="15"/>
      <c r="AI1689" s="46"/>
      <c r="AJ1689" s="51" t="s">
        <v>67</v>
      </c>
      <c r="AK1689" s="51" t="s">
        <v>67</v>
      </c>
      <c r="AL1689" s="15"/>
      <c r="AM1689" s="51" t="s">
        <v>67</v>
      </c>
      <c r="AN1689" s="51" t="s">
        <v>67</v>
      </c>
      <c r="AO1689" s="50" t="s">
        <v>9554</v>
      </c>
    </row>
    <row r="1690" spans="1:41" hidden="1" x14ac:dyDescent="0.25">
      <c r="A1690" s="51" t="s">
        <v>8611</v>
      </c>
      <c r="B1690" s="51" t="s">
        <v>8612</v>
      </c>
      <c r="C1690" s="54" t="s">
        <v>2357</v>
      </c>
      <c r="D1690" s="51" t="s">
        <v>8613</v>
      </c>
      <c r="E1690" s="20">
        <v>10000</v>
      </c>
      <c r="F1690" s="20">
        <v>5721.39</v>
      </c>
      <c r="G1690" s="20">
        <v>14483</v>
      </c>
      <c r="H1690" s="20">
        <v>3242.91</v>
      </c>
      <c r="I1690" s="20">
        <v>5721.39</v>
      </c>
      <c r="J1690" s="51" t="s">
        <v>6724</v>
      </c>
      <c r="K1690" s="15">
        <v>0</v>
      </c>
      <c r="L1690" s="51" t="s">
        <v>2371</v>
      </c>
      <c r="M1690" s="51" t="s">
        <v>67</v>
      </c>
      <c r="N1690" s="51" t="s">
        <v>67</v>
      </c>
      <c r="O1690" s="51" t="s">
        <v>8614</v>
      </c>
      <c r="P1690" s="51" t="s">
        <v>1344</v>
      </c>
      <c r="Q1690" s="45">
        <v>46287.588847303239</v>
      </c>
      <c r="R1690" s="46">
        <v>46308</v>
      </c>
      <c r="S1690" s="46">
        <v>46303</v>
      </c>
      <c r="T1690" s="51" t="s">
        <v>6119</v>
      </c>
      <c r="U1690" s="15"/>
      <c r="V1690" s="15"/>
      <c r="W1690" s="15"/>
      <c r="X1690" s="15"/>
      <c r="Y1690" s="15"/>
      <c r="Z1690" s="15"/>
      <c r="AA1690" s="46"/>
      <c r="AB1690" s="15"/>
      <c r="AC1690" s="15"/>
      <c r="AD1690" s="15"/>
      <c r="AE1690" s="15"/>
      <c r="AF1690" s="15"/>
      <c r="AG1690" s="15"/>
      <c r="AH1690" s="15"/>
      <c r="AI1690" s="46"/>
      <c r="AJ1690" s="51" t="s">
        <v>67</v>
      </c>
      <c r="AK1690" s="51" t="s">
        <v>67</v>
      </c>
      <c r="AL1690" s="15"/>
      <c r="AM1690" s="51" t="s">
        <v>67</v>
      </c>
      <c r="AN1690" s="51" t="s">
        <v>67</v>
      </c>
      <c r="AO1690" s="50" t="s">
        <v>9554</v>
      </c>
    </row>
    <row r="1691" spans="1:41" hidden="1" x14ac:dyDescent="0.25">
      <c r="A1691" s="51" t="s">
        <v>8615</v>
      </c>
      <c r="B1691" s="51" t="s">
        <v>8616</v>
      </c>
      <c r="C1691" s="54" t="s">
        <v>2541</v>
      </c>
      <c r="D1691" s="51" t="s">
        <v>8617</v>
      </c>
      <c r="E1691" s="20">
        <v>10000</v>
      </c>
      <c r="F1691" s="20">
        <v>382.51</v>
      </c>
      <c r="G1691" s="20">
        <v>7139.22</v>
      </c>
      <c r="H1691" s="20">
        <v>1570.6</v>
      </c>
      <c r="I1691" s="20">
        <v>382.51</v>
      </c>
      <c r="J1691" s="51" t="s">
        <v>6724</v>
      </c>
      <c r="K1691" s="15">
        <v>0</v>
      </c>
      <c r="L1691" s="51" t="s">
        <v>2371</v>
      </c>
      <c r="M1691" s="51" t="s">
        <v>8618</v>
      </c>
      <c r="N1691" s="51" t="s">
        <v>1340</v>
      </c>
      <c r="O1691" s="51" t="s">
        <v>67</v>
      </c>
      <c r="P1691" s="51" t="s">
        <v>67</v>
      </c>
      <c r="Q1691" s="45">
        <v>46287.588855069444</v>
      </c>
      <c r="R1691" s="46">
        <v>46311</v>
      </c>
      <c r="S1691" s="46">
        <v>46306</v>
      </c>
      <c r="T1691" s="51" t="s">
        <v>6119</v>
      </c>
      <c r="U1691" s="15"/>
      <c r="V1691" s="15"/>
      <c r="W1691" s="15"/>
      <c r="X1691" s="15"/>
      <c r="Y1691" s="15"/>
      <c r="Z1691" s="15"/>
      <c r="AA1691" s="46"/>
      <c r="AB1691" s="15"/>
      <c r="AC1691" s="15"/>
      <c r="AD1691" s="15"/>
      <c r="AE1691" s="15"/>
      <c r="AF1691" s="15"/>
      <c r="AG1691" s="15"/>
      <c r="AH1691" s="15"/>
      <c r="AI1691" s="46"/>
      <c r="AJ1691" s="51" t="s">
        <v>67</v>
      </c>
      <c r="AK1691" s="51" t="s">
        <v>67</v>
      </c>
      <c r="AL1691" s="15"/>
      <c r="AM1691" s="51" t="s">
        <v>67</v>
      </c>
      <c r="AN1691" s="51" t="s">
        <v>67</v>
      </c>
      <c r="AO1691" s="50" t="s">
        <v>9554</v>
      </c>
    </row>
    <row r="1692" spans="1:41" hidden="1" x14ac:dyDescent="0.25">
      <c r="A1692" s="51" t="s">
        <v>8619</v>
      </c>
      <c r="B1692" s="51" t="s">
        <v>8620</v>
      </c>
      <c r="C1692" s="54" t="s">
        <v>2358</v>
      </c>
      <c r="D1692" s="51" t="s">
        <v>8621</v>
      </c>
      <c r="E1692" s="20">
        <v>10000</v>
      </c>
      <c r="F1692" s="20">
        <v>2500.2399999999998</v>
      </c>
      <c r="G1692" s="20">
        <v>19445.349999999999</v>
      </c>
      <c r="H1692" s="20">
        <v>403.04</v>
      </c>
      <c r="I1692" s="20">
        <v>2500.2399999999998</v>
      </c>
      <c r="J1692" s="51" t="s">
        <v>6724</v>
      </c>
      <c r="K1692" s="15">
        <v>0</v>
      </c>
      <c r="L1692" s="51" t="s">
        <v>2371</v>
      </c>
      <c r="M1692" s="51" t="s">
        <v>8622</v>
      </c>
      <c r="N1692" s="51" t="s">
        <v>1340</v>
      </c>
      <c r="O1692" s="51" t="s">
        <v>8623</v>
      </c>
      <c r="P1692" s="51" t="s">
        <v>1340</v>
      </c>
      <c r="Q1692" s="45">
        <v>46287.588860625001</v>
      </c>
      <c r="R1692" s="46">
        <v>46309</v>
      </c>
      <c r="S1692" s="46">
        <v>46304</v>
      </c>
      <c r="T1692" s="51" t="s">
        <v>6119</v>
      </c>
      <c r="U1692" s="15"/>
      <c r="V1692" s="15"/>
      <c r="W1692" s="15"/>
      <c r="X1692" s="15"/>
      <c r="Y1692" s="15"/>
      <c r="Z1692" s="15"/>
      <c r="AA1692" s="46"/>
      <c r="AB1692" s="15"/>
      <c r="AC1692" s="15"/>
      <c r="AD1692" s="15"/>
      <c r="AE1692" s="15"/>
      <c r="AF1692" s="15"/>
      <c r="AG1692" s="15"/>
      <c r="AH1692" s="15"/>
      <c r="AI1692" s="46"/>
      <c r="AJ1692" s="51" t="s">
        <v>67</v>
      </c>
      <c r="AK1692" s="51" t="s">
        <v>67</v>
      </c>
      <c r="AL1692" s="15"/>
      <c r="AM1692" s="51" t="s">
        <v>67</v>
      </c>
      <c r="AN1692" s="51" t="s">
        <v>67</v>
      </c>
      <c r="AO1692" s="50" t="s">
        <v>9554</v>
      </c>
    </row>
    <row r="1693" spans="1:41" hidden="1" x14ac:dyDescent="0.25">
      <c r="A1693" s="51" t="s">
        <v>8624</v>
      </c>
      <c r="B1693" s="51" t="s">
        <v>8625</v>
      </c>
      <c r="C1693" s="54" t="s">
        <v>2693</v>
      </c>
      <c r="D1693" s="51" t="s">
        <v>8626</v>
      </c>
      <c r="E1693" s="20">
        <v>10000</v>
      </c>
      <c r="F1693" s="20">
        <v>795.13</v>
      </c>
      <c r="G1693" s="20">
        <v>20331.62</v>
      </c>
      <c r="H1693" s="20">
        <v>380.48</v>
      </c>
      <c r="I1693" s="20">
        <v>303.12</v>
      </c>
      <c r="J1693" s="51" t="s">
        <v>6724</v>
      </c>
      <c r="K1693" s="15">
        <v>0</v>
      </c>
      <c r="L1693" s="51" t="s">
        <v>2371</v>
      </c>
      <c r="M1693" s="51" t="s">
        <v>8627</v>
      </c>
      <c r="N1693" s="51" t="s">
        <v>1344</v>
      </c>
      <c r="O1693" s="51" t="s">
        <v>67</v>
      </c>
      <c r="P1693" s="51" t="s">
        <v>67</v>
      </c>
      <c r="Q1693" s="45">
        <v>46287.588870474538</v>
      </c>
      <c r="R1693" s="46">
        <v>46314</v>
      </c>
      <c r="S1693" s="46">
        <v>46309</v>
      </c>
      <c r="T1693" s="51" t="s">
        <v>6119</v>
      </c>
      <c r="U1693" s="15"/>
      <c r="V1693" s="15"/>
      <c r="W1693" s="15"/>
      <c r="X1693" s="15"/>
      <c r="Y1693" s="15"/>
      <c r="Z1693" s="15"/>
      <c r="AA1693" s="46"/>
      <c r="AB1693" s="15"/>
      <c r="AC1693" s="15"/>
      <c r="AD1693" s="15"/>
      <c r="AE1693" s="15"/>
      <c r="AF1693" s="15"/>
      <c r="AG1693" s="15"/>
      <c r="AH1693" s="15"/>
      <c r="AI1693" s="46"/>
      <c r="AJ1693" s="51" t="s">
        <v>67</v>
      </c>
      <c r="AK1693" s="51" t="s">
        <v>67</v>
      </c>
      <c r="AL1693" s="15"/>
      <c r="AM1693" s="51" t="s">
        <v>67</v>
      </c>
      <c r="AN1693" s="51" t="s">
        <v>67</v>
      </c>
      <c r="AO1693" s="50" t="s">
        <v>9554</v>
      </c>
    </row>
    <row r="1694" spans="1:41" hidden="1" x14ac:dyDescent="0.25">
      <c r="A1694" s="51" t="s">
        <v>8628</v>
      </c>
      <c r="B1694" s="51" t="s">
        <v>8629</v>
      </c>
      <c r="C1694" s="54" t="s">
        <v>2691</v>
      </c>
      <c r="D1694" s="51" t="s">
        <v>8630</v>
      </c>
      <c r="E1694" s="20">
        <v>10000</v>
      </c>
      <c r="F1694" s="20">
        <v>5100.76</v>
      </c>
      <c r="G1694" s="20">
        <v>7357.87</v>
      </c>
      <c r="H1694" s="20">
        <v>2010.55</v>
      </c>
      <c r="I1694" s="20">
        <v>5100.76</v>
      </c>
      <c r="J1694" s="51" t="s">
        <v>6724</v>
      </c>
      <c r="K1694" s="15">
        <v>0</v>
      </c>
      <c r="L1694" s="51" t="s">
        <v>2371</v>
      </c>
      <c r="M1694" s="51" t="s">
        <v>8631</v>
      </c>
      <c r="N1694" s="51" t="s">
        <v>1340</v>
      </c>
      <c r="O1694" s="51" t="s">
        <v>8632</v>
      </c>
      <c r="P1694" s="51" t="s">
        <v>1340</v>
      </c>
      <c r="Q1694" s="45">
        <v>46287.588874918983</v>
      </c>
      <c r="R1694" s="46">
        <v>46301</v>
      </c>
      <c r="S1694" s="46">
        <v>46296</v>
      </c>
      <c r="T1694" s="51" t="s">
        <v>6119</v>
      </c>
      <c r="U1694" s="15"/>
      <c r="V1694" s="15"/>
      <c r="W1694" s="15"/>
      <c r="X1694" s="15"/>
      <c r="Y1694" s="15"/>
      <c r="Z1694" s="15"/>
      <c r="AA1694" s="46"/>
      <c r="AB1694" s="15"/>
      <c r="AC1694" s="15"/>
      <c r="AD1694" s="15"/>
      <c r="AE1694" s="15"/>
      <c r="AF1694" s="15"/>
      <c r="AG1694" s="15"/>
      <c r="AH1694" s="15"/>
      <c r="AI1694" s="46"/>
      <c r="AJ1694" s="51" t="s">
        <v>67</v>
      </c>
      <c r="AK1694" s="51" t="s">
        <v>67</v>
      </c>
      <c r="AL1694" s="15"/>
      <c r="AM1694" s="51" t="s">
        <v>67</v>
      </c>
      <c r="AN1694" s="51" t="s">
        <v>67</v>
      </c>
      <c r="AO1694" s="50" t="s">
        <v>9554</v>
      </c>
    </row>
    <row r="1695" spans="1:41" hidden="1" x14ac:dyDescent="0.25">
      <c r="A1695" s="51" t="s">
        <v>8633</v>
      </c>
      <c r="B1695" s="51" t="s">
        <v>8634</v>
      </c>
      <c r="C1695" s="54" t="s">
        <v>2357</v>
      </c>
      <c r="D1695" s="51" t="s">
        <v>8635</v>
      </c>
      <c r="E1695" s="20">
        <v>10000</v>
      </c>
      <c r="F1695" s="20">
        <v>582.61</v>
      </c>
      <c r="G1695" s="20">
        <v>21330.5</v>
      </c>
      <c r="H1695" s="20">
        <v>233.39</v>
      </c>
      <c r="I1695" s="20">
        <v>582.61</v>
      </c>
      <c r="J1695" s="51" t="s">
        <v>6724</v>
      </c>
      <c r="K1695" s="15">
        <v>0</v>
      </c>
      <c r="L1695" s="51" t="s">
        <v>2371</v>
      </c>
      <c r="M1695" s="51" t="s">
        <v>8636</v>
      </c>
      <c r="N1695" s="51" t="s">
        <v>1340</v>
      </c>
      <c r="O1695" s="51" t="s">
        <v>8637</v>
      </c>
      <c r="P1695" s="51" t="s">
        <v>1340</v>
      </c>
      <c r="Q1695" s="45">
        <v>46287.588885185185</v>
      </c>
      <c r="R1695" s="46">
        <v>46308</v>
      </c>
      <c r="S1695" s="46">
        <v>46303</v>
      </c>
      <c r="T1695" s="51" t="s">
        <v>6119</v>
      </c>
      <c r="U1695" s="15"/>
      <c r="V1695" s="15"/>
      <c r="W1695" s="15"/>
      <c r="X1695" s="15"/>
      <c r="Y1695" s="15"/>
      <c r="Z1695" s="15"/>
      <c r="AA1695" s="46"/>
      <c r="AB1695" s="15"/>
      <c r="AC1695" s="15"/>
      <c r="AD1695" s="15"/>
      <c r="AE1695" s="15"/>
      <c r="AF1695" s="15"/>
      <c r="AG1695" s="15"/>
      <c r="AH1695" s="15"/>
      <c r="AI1695" s="46"/>
      <c r="AJ1695" s="51" t="s">
        <v>67</v>
      </c>
      <c r="AK1695" s="51" t="s">
        <v>67</v>
      </c>
      <c r="AL1695" s="15"/>
      <c r="AM1695" s="51" t="s">
        <v>67</v>
      </c>
      <c r="AN1695" s="51" t="s">
        <v>67</v>
      </c>
      <c r="AO1695" s="50" t="s">
        <v>9554</v>
      </c>
    </row>
    <row r="1696" spans="1:41" hidden="1" x14ac:dyDescent="0.25">
      <c r="A1696" s="51" t="s">
        <v>8638</v>
      </c>
      <c r="B1696" s="51" t="s">
        <v>8639</v>
      </c>
      <c r="C1696" s="54" t="s">
        <v>2694</v>
      </c>
      <c r="D1696" s="51" t="s">
        <v>8640</v>
      </c>
      <c r="E1696" s="20">
        <v>10000</v>
      </c>
      <c r="F1696" s="20">
        <v>2626.67</v>
      </c>
      <c r="G1696" s="20">
        <v>7360.04</v>
      </c>
      <c r="H1696" s="20">
        <v>1818.77</v>
      </c>
      <c r="I1696" s="20">
        <v>2626.67</v>
      </c>
      <c r="J1696" s="51" t="s">
        <v>6724</v>
      </c>
      <c r="K1696" s="15">
        <v>0</v>
      </c>
      <c r="L1696" s="51" t="s">
        <v>2371</v>
      </c>
      <c r="M1696" s="51" t="s">
        <v>8641</v>
      </c>
      <c r="N1696" s="51" t="s">
        <v>1340</v>
      </c>
      <c r="O1696" s="51" t="s">
        <v>67</v>
      </c>
      <c r="P1696" s="51" t="s">
        <v>67</v>
      </c>
      <c r="Q1696" s="45">
        <v>46287.588889791667</v>
      </c>
      <c r="R1696" s="46">
        <v>46312</v>
      </c>
      <c r="S1696" s="46">
        <v>46307</v>
      </c>
      <c r="T1696" s="51" t="s">
        <v>6119</v>
      </c>
      <c r="U1696" s="15"/>
      <c r="V1696" s="15"/>
      <c r="W1696" s="15"/>
      <c r="X1696" s="15"/>
      <c r="Y1696" s="15"/>
      <c r="Z1696" s="15"/>
      <c r="AA1696" s="46"/>
      <c r="AB1696" s="15"/>
      <c r="AC1696" s="15"/>
      <c r="AD1696" s="15"/>
      <c r="AE1696" s="15"/>
      <c r="AF1696" s="15"/>
      <c r="AG1696" s="15"/>
      <c r="AH1696" s="15"/>
      <c r="AI1696" s="46"/>
      <c r="AJ1696" s="51" t="s">
        <v>67</v>
      </c>
      <c r="AK1696" s="51" t="s">
        <v>67</v>
      </c>
      <c r="AL1696" s="15"/>
      <c r="AM1696" s="51" t="s">
        <v>67</v>
      </c>
      <c r="AN1696" s="51" t="s">
        <v>67</v>
      </c>
      <c r="AO1696" s="50" t="s">
        <v>9554</v>
      </c>
    </row>
    <row r="1697" spans="1:41" hidden="1" x14ac:dyDescent="0.25">
      <c r="A1697" s="51" t="s">
        <v>8642</v>
      </c>
      <c r="B1697" s="51" t="s">
        <v>8643</v>
      </c>
      <c r="C1697" s="54" t="s">
        <v>2694</v>
      </c>
      <c r="D1697" s="51" t="s">
        <v>8644</v>
      </c>
      <c r="E1697" s="20">
        <v>10000</v>
      </c>
      <c r="F1697" s="20">
        <v>984.92</v>
      </c>
      <c r="G1697" s="20">
        <v>14907.48</v>
      </c>
      <c r="H1697" s="20">
        <v>1573.56</v>
      </c>
      <c r="I1697" s="20">
        <v>984.92</v>
      </c>
      <c r="J1697" s="51" t="s">
        <v>6724</v>
      </c>
      <c r="K1697" s="15">
        <v>0</v>
      </c>
      <c r="L1697" s="51" t="s">
        <v>2371</v>
      </c>
      <c r="M1697" s="51" t="s">
        <v>67</v>
      </c>
      <c r="N1697" s="51" t="s">
        <v>67</v>
      </c>
      <c r="O1697" s="51" t="s">
        <v>8645</v>
      </c>
      <c r="P1697" s="51" t="s">
        <v>1340</v>
      </c>
      <c r="Q1697" s="45">
        <v>46287.588903043979</v>
      </c>
      <c r="R1697" s="46">
        <v>46312</v>
      </c>
      <c r="S1697" s="46">
        <v>46307</v>
      </c>
      <c r="T1697" s="51" t="s">
        <v>6119</v>
      </c>
      <c r="U1697" s="15"/>
      <c r="V1697" s="15"/>
      <c r="W1697" s="15"/>
      <c r="X1697" s="15"/>
      <c r="Y1697" s="15"/>
      <c r="Z1697" s="15"/>
      <c r="AA1697" s="46"/>
      <c r="AB1697" s="15"/>
      <c r="AC1697" s="15"/>
      <c r="AD1697" s="15"/>
      <c r="AE1697" s="15"/>
      <c r="AF1697" s="15"/>
      <c r="AG1697" s="15"/>
      <c r="AH1697" s="15"/>
      <c r="AI1697" s="46"/>
      <c r="AJ1697" s="51" t="s">
        <v>67</v>
      </c>
      <c r="AK1697" s="51" t="s">
        <v>67</v>
      </c>
      <c r="AL1697" s="15"/>
      <c r="AM1697" s="51" t="s">
        <v>67</v>
      </c>
      <c r="AN1697" s="51" t="s">
        <v>67</v>
      </c>
      <c r="AO1697" s="50" t="s">
        <v>9554</v>
      </c>
    </row>
    <row r="1698" spans="1:41" hidden="1" x14ac:dyDescent="0.25">
      <c r="A1698" s="51" t="s">
        <v>8646</v>
      </c>
      <c r="B1698" s="51" t="s">
        <v>8647</v>
      </c>
      <c r="C1698" s="54" t="s">
        <v>2690</v>
      </c>
      <c r="D1698" s="51" t="s">
        <v>8648</v>
      </c>
      <c r="E1698" s="20">
        <v>10000</v>
      </c>
      <c r="F1698" s="20">
        <v>384.51</v>
      </c>
      <c r="G1698" s="20">
        <v>2436.19</v>
      </c>
      <c r="H1698" s="20">
        <v>1519.1</v>
      </c>
      <c r="I1698" s="20">
        <v>963.97</v>
      </c>
      <c r="J1698" s="51" t="s">
        <v>6726</v>
      </c>
      <c r="K1698" s="15">
        <v>0</v>
      </c>
      <c r="L1698" s="51" t="s">
        <v>2371</v>
      </c>
      <c r="M1698" s="51" t="s">
        <v>8649</v>
      </c>
      <c r="N1698" s="51" t="s">
        <v>1344</v>
      </c>
      <c r="O1698" s="51" t="s">
        <v>8650</v>
      </c>
      <c r="P1698" s="51" t="s">
        <v>1344</v>
      </c>
      <c r="Q1698" s="45">
        <v>46287.588919872687</v>
      </c>
      <c r="R1698" s="46">
        <v>46322</v>
      </c>
      <c r="S1698" s="46">
        <v>46317</v>
      </c>
      <c r="T1698" s="51" t="s">
        <v>6119</v>
      </c>
      <c r="U1698" s="15"/>
      <c r="V1698" s="15"/>
      <c r="W1698" s="15"/>
      <c r="X1698" s="15"/>
      <c r="Y1698" s="15"/>
      <c r="Z1698" s="15"/>
      <c r="AA1698" s="46"/>
      <c r="AB1698" s="15"/>
      <c r="AC1698" s="15"/>
      <c r="AD1698" s="15"/>
      <c r="AE1698" s="15"/>
      <c r="AF1698" s="15"/>
      <c r="AG1698" s="15"/>
      <c r="AH1698" s="15"/>
      <c r="AI1698" s="46"/>
      <c r="AJ1698" s="51" t="s">
        <v>67</v>
      </c>
      <c r="AK1698" s="51" t="s">
        <v>67</v>
      </c>
      <c r="AL1698" s="15"/>
      <c r="AM1698" s="51" t="s">
        <v>67</v>
      </c>
      <c r="AN1698" s="51" t="s">
        <v>67</v>
      </c>
      <c r="AO1698" s="50" t="s">
        <v>9554</v>
      </c>
    </row>
    <row r="1699" spans="1:41" hidden="1" x14ac:dyDescent="0.25">
      <c r="A1699" s="51" t="s">
        <v>8651</v>
      </c>
      <c r="B1699" s="51" t="s">
        <v>8652</v>
      </c>
      <c r="C1699" s="54" t="s">
        <v>2691</v>
      </c>
      <c r="D1699" s="51" t="s">
        <v>8653</v>
      </c>
      <c r="E1699" s="20">
        <v>10000</v>
      </c>
      <c r="F1699" s="20">
        <v>338.39</v>
      </c>
      <c r="G1699" s="20">
        <v>16526.150000000001</v>
      </c>
      <c r="H1699" s="20">
        <v>4233.6499999999996</v>
      </c>
      <c r="I1699" s="20">
        <v>338.39</v>
      </c>
      <c r="J1699" s="51" t="s">
        <v>6724</v>
      </c>
      <c r="K1699" s="15">
        <v>0</v>
      </c>
      <c r="L1699" s="51" t="s">
        <v>2371</v>
      </c>
      <c r="M1699" s="51" t="s">
        <v>8654</v>
      </c>
      <c r="N1699" s="51" t="s">
        <v>1340</v>
      </c>
      <c r="O1699" s="51" t="s">
        <v>8655</v>
      </c>
      <c r="P1699" s="51" t="s">
        <v>1340</v>
      </c>
      <c r="Q1699" s="45">
        <v>46287.588934687497</v>
      </c>
      <c r="R1699" s="46">
        <v>46301</v>
      </c>
      <c r="S1699" s="46">
        <v>46296</v>
      </c>
      <c r="T1699" s="51" t="s">
        <v>6119</v>
      </c>
      <c r="U1699" s="15"/>
      <c r="V1699" s="15"/>
      <c r="W1699" s="15"/>
      <c r="X1699" s="15"/>
      <c r="Y1699" s="15"/>
      <c r="Z1699" s="15"/>
      <c r="AA1699" s="46"/>
      <c r="AB1699" s="15"/>
      <c r="AC1699" s="15"/>
      <c r="AD1699" s="15"/>
      <c r="AE1699" s="15"/>
      <c r="AF1699" s="15"/>
      <c r="AG1699" s="15"/>
      <c r="AH1699" s="15"/>
      <c r="AI1699" s="46"/>
      <c r="AJ1699" s="51" t="s">
        <v>67</v>
      </c>
      <c r="AK1699" s="51" t="s">
        <v>67</v>
      </c>
      <c r="AL1699" s="15"/>
      <c r="AM1699" s="51" t="s">
        <v>67</v>
      </c>
      <c r="AN1699" s="51" t="s">
        <v>67</v>
      </c>
      <c r="AO1699" s="50" t="s">
        <v>9554</v>
      </c>
    </row>
    <row r="1700" spans="1:41" hidden="1" x14ac:dyDescent="0.25">
      <c r="A1700" s="51" t="s">
        <v>8656</v>
      </c>
      <c r="B1700" s="51" t="s">
        <v>8657</v>
      </c>
      <c r="C1700" s="54" t="s">
        <v>2541</v>
      </c>
      <c r="D1700" s="51" t="s">
        <v>8658</v>
      </c>
      <c r="E1700" s="20">
        <v>10000</v>
      </c>
      <c r="F1700" s="20">
        <v>1438.49</v>
      </c>
      <c r="G1700" s="20">
        <v>4972.41</v>
      </c>
      <c r="H1700" s="20">
        <v>257.14999999999998</v>
      </c>
      <c r="I1700" s="20">
        <v>1438.49</v>
      </c>
      <c r="J1700" s="51" t="s">
        <v>6724</v>
      </c>
      <c r="K1700" s="15">
        <v>0</v>
      </c>
      <c r="L1700" s="51" t="s">
        <v>2371</v>
      </c>
      <c r="M1700" s="51" t="s">
        <v>8659</v>
      </c>
      <c r="N1700" s="51" t="s">
        <v>1340</v>
      </c>
      <c r="O1700" s="51" t="s">
        <v>67</v>
      </c>
      <c r="P1700" s="51" t="s">
        <v>67</v>
      </c>
      <c r="Q1700" s="45">
        <v>46287.588941331021</v>
      </c>
      <c r="R1700" s="46">
        <v>46311</v>
      </c>
      <c r="S1700" s="46">
        <v>46306</v>
      </c>
      <c r="T1700" s="51" t="s">
        <v>6119</v>
      </c>
      <c r="U1700" s="15"/>
      <c r="V1700" s="15"/>
      <c r="W1700" s="15"/>
      <c r="X1700" s="15"/>
      <c r="Y1700" s="15"/>
      <c r="Z1700" s="15"/>
      <c r="AA1700" s="46"/>
      <c r="AB1700" s="15"/>
      <c r="AC1700" s="15"/>
      <c r="AD1700" s="15"/>
      <c r="AE1700" s="15"/>
      <c r="AF1700" s="15"/>
      <c r="AG1700" s="15"/>
      <c r="AH1700" s="15"/>
      <c r="AI1700" s="46"/>
      <c r="AJ1700" s="51" t="s">
        <v>67</v>
      </c>
      <c r="AK1700" s="51" t="s">
        <v>67</v>
      </c>
      <c r="AL1700" s="15"/>
      <c r="AM1700" s="51" t="s">
        <v>67</v>
      </c>
      <c r="AN1700" s="51" t="s">
        <v>67</v>
      </c>
      <c r="AO1700" s="50" t="s">
        <v>9554</v>
      </c>
    </row>
    <row r="1701" spans="1:41" hidden="1" x14ac:dyDescent="0.25">
      <c r="A1701" s="51" t="s">
        <v>8660</v>
      </c>
      <c r="B1701" s="51" t="s">
        <v>8661</v>
      </c>
      <c r="C1701" s="54" t="s">
        <v>2541</v>
      </c>
      <c r="D1701" s="51" t="s">
        <v>8662</v>
      </c>
      <c r="E1701" s="20">
        <v>10000</v>
      </c>
      <c r="F1701" s="20">
        <v>1363.31</v>
      </c>
      <c r="G1701" s="20">
        <v>6776.05</v>
      </c>
      <c r="H1701" s="20">
        <v>1402.61</v>
      </c>
      <c r="I1701" s="20">
        <v>1363.31</v>
      </c>
      <c r="J1701" s="51" t="s">
        <v>6724</v>
      </c>
      <c r="K1701" s="15">
        <v>0</v>
      </c>
      <c r="L1701" s="51" t="s">
        <v>2371</v>
      </c>
      <c r="M1701" s="51" t="s">
        <v>8663</v>
      </c>
      <c r="N1701" s="51" t="s">
        <v>1340</v>
      </c>
      <c r="O1701" s="51" t="s">
        <v>67</v>
      </c>
      <c r="P1701" s="51" t="s">
        <v>67</v>
      </c>
      <c r="Q1701" s="45">
        <v>46287.588951666665</v>
      </c>
      <c r="R1701" s="46">
        <v>46311</v>
      </c>
      <c r="S1701" s="46">
        <v>46306</v>
      </c>
      <c r="T1701" s="51" t="s">
        <v>6119</v>
      </c>
      <c r="U1701" s="15"/>
      <c r="V1701" s="15"/>
      <c r="W1701" s="15"/>
      <c r="X1701" s="15"/>
      <c r="Y1701" s="15"/>
      <c r="Z1701" s="15"/>
      <c r="AA1701" s="46"/>
      <c r="AB1701" s="15"/>
      <c r="AC1701" s="15"/>
      <c r="AD1701" s="15"/>
      <c r="AE1701" s="15"/>
      <c r="AF1701" s="15"/>
      <c r="AG1701" s="15"/>
      <c r="AH1701" s="15"/>
      <c r="AI1701" s="46"/>
      <c r="AJ1701" s="51" t="s">
        <v>67</v>
      </c>
      <c r="AK1701" s="51" t="s">
        <v>67</v>
      </c>
      <c r="AL1701" s="15"/>
      <c r="AM1701" s="51" t="s">
        <v>67</v>
      </c>
      <c r="AN1701" s="51" t="s">
        <v>67</v>
      </c>
      <c r="AO1701" s="50" t="s">
        <v>9554</v>
      </c>
    </row>
    <row r="1702" spans="1:41" hidden="1" x14ac:dyDescent="0.25">
      <c r="A1702" s="51" t="s">
        <v>8664</v>
      </c>
      <c r="B1702" s="51" t="s">
        <v>8665</v>
      </c>
      <c r="C1702" s="54" t="s">
        <v>5604</v>
      </c>
      <c r="D1702" s="51" t="s">
        <v>8666</v>
      </c>
      <c r="E1702" s="20">
        <v>10000</v>
      </c>
      <c r="F1702" s="20">
        <v>403.09</v>
      </c>
      <c r="G1702" s="20">
        <v>10485.709999999999</v>
      </c>
      <c r="H1702" s="20">
        <v>740.08</v>
      </c>
      <c r="I1702" s="20">
        <v>403.09</v>
      </c>
      <c r="J1702" s="51" t="s">
        <v>6724</v>
      </c>
      <c r="K1702" s="15">
        <v>0</v>
      </c>
      <c r="L1702" s="51" t="s">
        <v>2371</v>
      </c>
      <c r="M1702" s="51" t="s">
        <v>8667</v>
      </c>
      <c r="N1702" s="51" t="s">
        <v>1344</v>
      </c>
      <c r="O1702" s="51" t="s">
        <v>67</v>
      </c>
      <c r="P1702" s="51" t="s">
        <v>67</v>
      </c>
      <c r="Q1702" s="45">
        <v>46287.590607222221</v>
      </c>
      <c r="R1702" s="46">
        <v>46313</v>
      </c>
      <c r="S1702" s="46">
        <v>46308</v>
      </c>
      <c r="T1702" s="51" t="s">
        <v>6119</v>
      </c>
      <c r="U1702" s="15"/>
      <c r="V1702" s="15"/>
      <c r="W1702" s="15"/>
      <c r="X1702" s="15"/>
      <c r="Y1702" s="15"/>
      <c r="Z1702" s="15"/>
      <c r="AA1702" s="46"/>
      <c r="AB1702" s="15"/>
      <c r="AC1702" s="15"/>
      <c r="AD1702" s="15"/>
      <c r="AE1702" s="15"/>
      <c r="AF1702" s="15"/>
      <c r="AG1702" s="15"/>
      <c r="AH1702" s="15"/>
      <c r="AI1702" s="46"/>
      <c r="AJ1702" s="51" t="s">
        <v>67</v>
      </c>
      <c r="AK1702" s="51" t="s">
        <v>67</v>
      </c>
      <c r="AL1702" s="15"/>
      <c r="AM1702" s="51" t="s">
        <v>67</v>
      </c>
      <c r="AN1702" s="51" t="s">
        <v>67</v>
      </c>
      <c r="AO1702" s="50" t="s">
        <v>9554</v>
      </c>
    </row>
    <row r="1703" spans="1:41" hidden="1" x14ac:dyDescent="0.25">
      <c r="A1703" s="51" t="s">
        <v>8668</v>
      </c>
      <c r="B1703" s="51" t="s">
        <v>8669</v>
      </c>
      <c r="C1703" s="54" t="s">
        <v>2689</v>
      </c>
      <c r="D1703" s="51" t="s">
        <v>8670</v>
      </c>
      <c r="E1703" s="20">
        <v>10000</v>
      </c>
      <c r="F1703" s="20">
        <v>278.68</v>
      </c>
      <c r="G1703" s="20">
        <v>3055.78</v>
      </c>
      <c r="H1703" s="20">
        <v>3831.61</v>
      </c>
      <c r="I1703" s="20">
        <v>0</v>
      </c>
      <c r="J1703" s="51" t="s">
        <v>6724</v>
      </c>
      <c r="K1703" s="15">
        <v>0</v>
      </c>
      <c r="L1703" s="51" t="s">
        <v>2371</v>
      </c>
      <c r="M1703" s="51" t="s">
        <v>8671</v>
      </c>
      <c r="N1703" s="51" t="s">
        <v>1344</v>
      </c>
      <c r="O1703" s="51" t="s">
        <v>67</v>
      </c>
      <c r="P1703" s="51" t="s">
        <v>67</v>
      </c>
      <c r="Q1703" s="45">
        <v>46287.592042847224</v>
      </c>
      <c r="R1703" s="46">
        <v>46317</v>
      </c>
      <c r="S1703" s="46">
        <v>46312</v>
      </c>
      <c r="T1703" s="51" t="s">
        <v>6119</v>
      </c>
      <c r="U1703" s="15"/>
      <c r="V1703" s="15"/>
      <c r="W1703" s="15"/>
      <c r="X1703" s="15"/>
      <c r="Y1703" s="15"/>
      <c r="Z1703" s="15"/>
      <c r="AA1703" s="46"/>
      <c r="AB1703" s="15"/>
      <c r="AC1703" s="15"/>
      <c r="AD1703" s="15"/>
      <c r="AE1703" s="15"/>
      <c r="AF1703" s="15"/>
      <c r="AG1703" s="15"/>
      <c r="AH1703" s="15"/>
      <c r="AI1703" s="46"/>
      <c r="AJ1703" s="51" t="s">
        <v>67</v>
      </c>
      <c r="AK1703" s="51" t="s">
        <v>67</v>
      </c>
      <c r="AL1703" s="15"/>
      <c r="AM1703" s="51" t="s">
        <v>67</v>
      </c>
      <c r="AN1703" s="51" t="s">
        <v>67</v>
      </c>
      <c r="AO1703" s="50" t="s">
        <v>9554</v>
      </c>
    </row>
    <row r="1704" spans="1:41" hidden="1" x14ac:dyDescent="0.25">
      <c r="A1704" s="51" t="s">
        <v>8672</v>
      </c>
      <c r="B1704" s="51" t="s">
        <v>8673</v>
      </c>
      <c r="C1704" s="54" t="s">
        <v>2356</v>
      </c>
      <c r="D1704" s="51" t="s">
        <v>8674</v>
      </c>
      <c r="E1704" s="20">
        <v>10000</v>
      </c>
      <c r="F1704" s="20">
        <v>1148.71</v>
      </c>
      <c r="G1704" s="20">
        <v>8015.65</v>
      </c>
      <c r="H1704" s="20">
        <v>717.21</v>
      </c>
      <c r="I1704" s="20">
        <v>1148.71</v>
      </c>
      <c r="J1704" s="51" t="s">
        <v>6724</v>
      </c>
      <c r="K1704" s="15">
        <v>0</v>
      </c>
      <c r="L1704" s="51" t="s">
        <v>2371</v>
      </c>
      <c r="M1704" s="51" t="s">
        <v>8675</v>
      </c>
      <c r="N1704" s="51" t="s">
        <v>1340</v>
      </c>
      <c r="O1704" s="51" t="s">
        <v>8676</v>
      </c>
      <c r="P1704" s="51" t="s">
        <v>1340</v>
      </c>
      <c r="Q1704" s="45">
        <v>46287.592058483795</v>
      </c>
      <c r="R1704" s="46">
        <v>46307</v>
      </c>
      <c r="S1704" s="46">
        <v>46302</v>
      </c>
      <c r="T1704" s="51" t="s">
        <v>6119</v>
      </c>
      <c r="U1704" s="15"/>
      <c r="V1704" s="15"/>
      <c r="W1704" s="15"/>
      <c r="X1704" s="15"/>
      <c r="Y1704" s="15"/>
      <c r="Z1704" s="15"/>
      <c r="AA1704" s="46"/>
      <c r="AB1704" s="15"/>
      <c r="AC1704" s="15"/>
      <c r="AD1704" s="15"/>
      <c r="AE1704" s="15"/>
      <c r="AF1704" s="15"/>
      <c r="AG1704" s="15"/>
      <c r="AH1704" s="15"/>
      <c r="AI1704" s="46"/>
      <c r="AJ1704" s="51" t="s">
        <v>67</v>
      </c>
      <c r="AK1704" s="51" t="s">
        <v>67</v>
      </c>
      <c r="AL1704" s="15"/>
      <c r="AM1704" s="51" t="s">
        <v>67</v>
      </c>
      <c r="AN1704" s="51" t="s">
        <v>67</v>
      </c>
      <c r="AO1704" s="50" t="s">
        <v>9554</v>
      </c>
    </row>
    <row r="1705" spans="1:41" hidden="1" x14ac:dyDescent="0.25">
      <c r="A1705" s="51" t="s">
        <v>8677</v>
      </c>
      <c r="B1705" s="51" t="s">
        <v>8678</v>
      </c>
      <c r="C1705" s="54" t="s">
        <v>2694</v>
      </c>
      <c r="D1705" s="51" t="s">
        <v>8679</v>
      </c>
      <c r="E1705" s="20">
        <v>10000</v>
      </c>
      <c r="F1705" s="20">
        <v>2934.88</v>
      </c>
      <c r="G1705" s="20">
        <v>6923.19</v>
      </c>
      <c r="H1705" s="20">
        <v>507.71</v>
      </c>
      <c r="I1705" s="20">
        <v>2934.88</v>
      </c>
      <c r="J1705" s="51" t="s">
        <v>6724</v>
      </c>
      <c r="K1705" s="15">
        <v>0</v>
      </c>
      <c r="L1705" s="51" t="s">
        <v>2371</v>
      </c>
      <c r="M1705" s="51" t="s">
        <v>8680</v>
      </c>
      <c r="N1705" s="51" t="s">
        <v>1340</v>
      </c>
      <c r="O1705" s="51" t="s">
        <v>67</v>
      </c>
      <c r="P1705" s="51" t="s">
        <v>67</v>
      </c>
      <c r="Q1705" s="45">
        <v>46287.592069062499</v>
      </c>
      <c r="R1705" s="46">
        <v>46312</v>
      </c>
      <c r="S1705" s="46">
        <v>46307</v>
      </c>
      <c r="T1705" s="51" t="s">
        <v>6119</v>
      </c>
      <c r="U1705" s="15"/>
      <c r="V1705" s="15"/>
      <c r="W1705" s="15"/>
      <c r="X1705" s="15"/>
      <c r="Y1705" s="15"/>
      <c r="Z1705" s="15"/>
      <c r="AA1705" s="46"/>
      <c r="AB1705" s="15"/>
      <c r="AC1705" s="15"/>
      <c r="AD1705" s="15"/>
      <c r="AE1705" s="15"/>
      <c r="AF1705" s="15"/>
      <c r="AG1705" s="15"/>
      <c r="AH1705" s="15"/>
      <c r="AI1705" s="46"/>
      <c r="AJ1705" s="51" t="s">
        <v>67</v>
      </c>
      <c r="AK1705" s="51" t="s">
        <v>67</v>
      </c>
      <c r="AL1705" s="15"/>
      <c r="AM1705" s="51" t="s">
        <v>67</v>
      </c>
      <c r="AN1705" s="51" t="s">
        <v>67</v>
      </c>
      <c r="AO1705" s="50" t="s">
        <v>9554</v>
      </c>
    </row>
    <row r="1706" spans="1:41" hidden="1" x14ac:dyDescent="0.25">
      <c r="A1706" s="51" t="s">
        <v>8681</v>
      </c>
      <c r="B1706" s="51" t="s">
        <v>8682</v>
      </c>
      <c r="C1706" s="54" t="s">
        <v>605</v>
      </c>
      <c r="D1706" s="51" t="s">
        <v>8683</v>
      </c>
      <c r="E1706" s="20">
        <v>10000</v>
      </c>
      <c r="F1706" s="20">
        <v>439.72</v>
      </c>
      <c r="G1706" s="20">
        <v>11877.46</v>
      </c>
      <c r="H1706" s="20">
        <v>702.82</v>
      </c>
      <c r="I1706" s="20">
        <v>439.72</v>
      </c>
      <c r="J1706" s="51" t="s">
        <v>6724</v>
      </c>
      <c r="K1706" s="15">
        <v>0</v>
      </c>
      <c r="L1706" s="51" t="s">
        <v>2371</v>
      </c>
      <c r="M1706" s="51" t="s">
        <v>8684</v>
      </c>
      <c r="N1706" s="51" t="s">
        <v>1340</v>
      </c>
      <c r="O1706" s="51" t="s">
        <v>8685</v>
      </c>
      <c r="P1706" s="51" t="s">
        <v>1340</v>
      </c>
      <c r="Q1706" s="45">
        <v>46287.592077847221</v>
      </c>
      <c r="R1706" s="46">
        <v>46305</v>
      </c>
      <c r="S1706" s="46">
        <v>46300</v>
      </c>
      <c r="T1706" s="51" t="s">
        <v>6119</v>
      </c>
      <c r="U1706" s="15"/>
      <c r="V1706" s="15"/>
      <c r="W1706" s="15"/>
      <c r="X1706" s="15"/>
      <c r="Y1706" s="15"/>
      <c r="Z1706" s="15"/>
      <c r="AA1706" s="46"/>
      <c r="AB1706" s="15"/>
      <c r="AC1706" s="15"/>
      <c r="AD1706" s="15"/>
      <c r="AE1706" s="15"/>
      <c r="AF1706" s="15"/>
      <c r="AG1706" s="15"/>
      <c r="AH1706" s="15"/>
      <c r="AI1706" s="46"/>
      <c r="AJ1706" s="51" t="s">
        <v>67</v>
      </c>
      <c r="AK1706" s="51" t="s">
        <v>67</v>
      </c>
      <c r="AL1706" s="15"/>
      <c r="AM1706" s="51" t="s">
        <v>67</v>
      </c>
      <c r="AN1706" s="51" t="s">
        <v>67</v>
      </c>
      <c r="AO1706" s="50" t="s">
        <v>9554</v>
      </c>
    </row>
    <row r="1707" spans="1:41" hidden="1" x14ac:dyDescent="0.25">
      <c r="A1707" s="51" t="s">
        <v>8686</v>
      </c>
      <c r="B1707" s="51" t="s">
        <v>8687</v>
      </c>
      <c r="C1707" s="54" t="s">
        <v>5608</v>
      </c>
      <c r="D1707" s="51" t="s">
        <v>4048</v>
      </c>
      <c r="E1707" s="20">
        <v>10000</v>
      </c>
      <c r="F1707" s="20">
        <v>5349.82</v>
      </c>
      <c r="G1707" s="20">
        <v>4098.6899999999996</v>
      </c>
      <c r="H1707" s="20">
        <v>686.39</v>
      </c>
      <c r="I1707" s="20">
        <v>5349.82</v>
      </c>
      <c r="J1707" s="51" t="s">
        <v>6724</v>
      </c>
      <c r="K1707" s="15">
        <v>0</v>
      </c>
      <c r="L1707" s="51" t="s">
        <v>2371</v>
      </c>
      <c r="M1707" s="51" t="s">
        <v>67</v>
      </c>
      <c r="N1707" s="51" t="s">
        <v>67</v>
      </c>
      <c r="O1707" s="51" t="s">
        <v>8688</v>
      </c>
      <c r="P1707" s="51" t="s">
        <v>1340</v>
      </c>
      <c r="Q1707" s="45">
        <v>46287.592086249999</v>
      </c>
      <c r="R1707" s="46">
        <v>46319</v>
      </c>
      <c r="S1707" s="46">
        <v>46314</v>
      </c>
      <c r="T1707" s="51" t="s">
        <v>6119</v>
      </c>
      <c r="U1707" s="15"/>
      <c r="V1707" s="15"/>
      <c r="W1707" s="15"/>
      <c r="X1707" s="15"/>
      <c r="Y1707" s="15"/>
      <c r="Z1707" s="15"/>
      <c r="AA1707" s="46"/>
      <c r="AB1707" s="15"/>
      <c r="AC1707" s="15"/>
      <c r="AD1707" s="15"/>
      <c r="AE1707" s="15"/>
      <c r="AF1707" s="15"/>
      <c r="AG1707" s="15"/>
      <c r="AH1707" s="15"/>
      <c r="AI1707" s="46"/>
      <c r="AJ1707" s="51" t="s">
        <v>67</v>
      </c>
      <c r="AK1707" s="51" t="s">
        <v>67</v>
      </c>
      <c r="AL1707" s="15"/>
      <c r="AM1707" s="51" t="s">
        <v>67</v>
      </c>
      <c r="AN1707" s="51" t="s">
        <v>67</v>
      </c>
      <c r="AO1707" s="50" t="s">
        <v>9554</v>
      </c>
    </row>
    <row r="1708" spans="1:41" hidden="1" x14ac:dyDescent="0.25">
      <c r="A1708" s="51" t="s">
        <v>8689</v>
      </c>
      <c r="B1708" s="51" t="s">
        <v>8690</v>
      </c>
      <c r="C1708" s="54" t="s">
        <v>5608</v>
      </c>
      <c r="D1708" s="51" t="s">
        <v>8691</v>
      </c>
      <c r="E1708" s="20">
        <v>10000</v>
      </c>
      <c r="F1708" s="20">
        <v>749.54</v>
      </c>
      <c r="G1708" s="20">
        <v>10818.61</v>
      </c>
      <c r="H1708" s="20">
        <v>2613.19</v>
      </c>
      <c r="I1708" s="20">
        <v>749.54</v>
      </c>
      <c r="J1708" s="51" t="s">
        <v>6724</v>
      </c>
      <c r="K1708" s="15">
        <v>0</v>
      </c>
      <c r="L1708" s="51" t="s">
        <v>2371</v>
      </c>
      <c r="M1708" s="51" t="s">
        <v>67</v>
      </c>
      <c r="N1708" s="51" t="s">
        <v>67</v>
      </c>
      <c r="O1708" s="51" t="s">
        <v>8692</v>
      </c>
      <c r="P1708" s="51" t="s">
        <v>1340</v>
      </c>
      <c r="Q1708" s="45">
        <v>46287.592092326391</v>
      </c>
      <c r="R1708" s="46">
        <v>46319</v>
      </c>
      <c r="S1708" s="46">
        <v>46314</v>
      </c>
      <c r="T1708" s="51" t="s">
        <v>6119</v>
      </c>
      <c r="U1708" s="15"/>
      <c r="V1708" s="15"/>
      <c r="W1708" s="15"/>
      <c r="X1708" s="15"/>
      <c r="Y1708" s="15"/>
      <c r="Z1708" s="15"/>
      <c r="AA1708" s="46"/>
      <c r="AB1708" s="15"/>
      <c r="AC1708" s="15"/>
      <c r="AD1708" s="15"/>
      <c r="AE1708" s="15"/>
      <c r="AF1708" s="15"/>
      <c r="AG1708" s="15"/>
      <c r="AH1708" s="15"/>
      <c r="AI1708" s="46"/>
      <c r="AJ1708" s="51" t="s">
        <v>67</v>
      </c>
      <c r="AK1708" s="51" t="s">
        <v>67</v>
      </c>
      <c r="AL1708" s="15"/>
      <c r="AM1708" s="51" t="s">
        <v>67</v>
      </c>
      <c r="AN1708" s="51" t="s">
        <v>67</v>
      </c>
      <c r="AO1708" s="50" t="s">
        <v>9554</v>
      </c>
    </row>
    <row r="1709" spans="1:41" hidden="1" x14ac:dyDescent="0.25">
      <c r="A1709" s="51" t="s">
        <v>8693</v>
      </c>
      <c r="B1709" s="51" t="s">
        <v>8694</v>
      </c>
      <c r="C1709" s="54" t="s">
        <v>608</v>
      </c>
      <c r="D1709" s="51" t="s">
        <v>8695</v>
      </c>
      <c r="E1709" s="20">
        <v>10000</v>
      </c>
      <c r="F1709" s="20">
        <v>1743.84</v>
      </c>
      <c r="G1709" s="20">
        <v>19539.939999999999</v>
      </c>
      <c r="H1709" s="20">
        <v>666.71</v>
      </c>
      <c r="I1709" s="20">
        <v>1164.78</v>
      </c>
      <c r="J1709" s="51" t="s">
        <v>6724</v>
      </c>
      <c r="K1709" s="15">
        <v>0</v>
      </c>
      <c r="L1709" s="51" t="s">
        <v>2371</v>
      </c>
      <c r="M1709" s="51" t="s">
        <v>8696</v>
      </c>
      <c r="N1709" s="51" t="s">
        <v>1340</v>
      </c>
      <c r="O1709" s="51" t="s">
        <v>8697</v>
      </c>
      <c r="P1709" s="51" t="s">
        <v>1340</v>
      </c>
      <c r="Q1709" s="45">
        <v>46287.59209859954</v>
      </c>
      <c r="R1709" s="46">
        <v>46315</v>
      </c>
      <c r="S1709" s="46">
        <v>46310</v>
      </c>
      <c r="T1709" s="51" t="s">
        <v>6119</v>
      </c>
      <c r="U1709" s="15"/>
      <c r="V1709" s="15"/>
      <c r="W1709" s="15"/>
      <c r="X1709" s="15"/>
      <c r="Y1709" s="15"/>
      <c r="Z1709" s="15"/>
      <c r="AA1709" s="46"/>
      <c r="AB1709" s="15"/>
      <c r="AC1709" s="15"/>
      <c r="AD1709" s="15"/>
      <c r="AE1709" s="15"/>
      <c r="AF1709" s="15"/>
      <c r="AG1709" s="15"/>
      <c r="AH1709" s="15"/>
      <c r="AI1709" s="46"/>
      <c r="AJ1709" s="51" t="s">
        <v>67</v>
      </c>
      <c r="AK1709" s="51" t="s">
        <v>67</v>
      </c>
      <c r="AL1709" s="15"/>
      <c r="AM1709" s="51" t="s">
        <v>67</v>
      </c>
      <c r="AN1709" s="51" t="s">
        <v>67</v>
      </c>
      <c r="AO1709" s="50" t="s">
        <v>9554</v>
      </c>
    </row>
    <row r="1710" spans="1:41" hidden="1" x14ac:dyDescent="0.25">
      <c r="A1710" s="51" t="s">
        <v>8698</v>
      </c>
      <c r="B1710" s="51" t="s">
        <v>8699</v>
      </c>
      <c r="C1710" s="54" t="s">
        <v>5601</v>
      </c>
      <c r="D1710" s="51" t="s">
        <v>8700</v>
      </c>
      <c r="E1710" s="20">
        <v>10000</v>
      </c>
      <c r="F1710" s="20">
        <v>5519.84</v>
      </c>
      <c r="G1710" s="20">
        <v>15680.64</v>
      </c>
      <c r="H1710" s="20">
        <v>680.62</v>
      </c>
      <c r="I1710" s="20">
        <v>468.17</v>
      </c>
      <c r="J1710" s="51" t="s">
        <v>6724</v>
      </c>
      <c r="K1710" s="15">
        <v>0</v>
      </c>
      <c r="L1710" s="51" t="s">
        <v>2371</v>
      </c>
      <c r="M1710" s="51" t="s">
        <v>8701</v>
      </c>
      <c r="N1710" s="51" t="s">
        <v>1344</v>
      </c>
      <c r="O1710" s="51" t="s">
        <v>67</v>
      </c>
      <c r="P1710" s="51" t="s">
        <v>67</v>
      </c>
      <c r="Q1710" s="45">
        <v>46287.592120532405</v>
      </c>
      <c r="R1710" s="46">
        <v>46316</v>
      </c>
      <c r="S1710" s="46">
        <v>46311</v>
      </c>
      <c r="T1710" s="51" t="s">
        <v>6119</v>
      </c>
      <c r="U1710" s="15"/>
      <c r="V1710" s="15"/>
      <c r="W1710" s="15"/>
      <c r="X1710" s="15"/>
      <c r="Y1710" s="15"/>
      <c r="Z1710" s="15"/>
      <c r="AA1710" s="46"/>
      <c r="AB1710" s="15"/>
      <c r="AC1710" s="15"/>
      <c r="AD1710" s="15"/>
      <c r="AE1710" s="15"/>
      <c r="AF1710" s="15"/>
      <c r="AG1710" s="15"/>
      <c r="AH1710" s="15"/>
      <c r="AI1710" s="46"/>
      <c r="AJ1710" s="51" t="s">
        <v>67</v>
      </c>
      <c r="AK1710" s="51" t="s">
        <v>67</v>
      </c>
      <c r="AL1710" s="15"/>
      <c r="AM1710" s="51" t="s">
        <v>67</v>
      </c>
      <c r="AN1710" s="51" t="s">
        <v>67</v>
      </c>
      <c r="AO1710" s="50" t="s">
        <v>9554</v>
      </c>
    </row>
    <row r="1711" spans="1:41" hidden="1" x14ac:dyDescent="0.25">
      <c r="A1711" s="51" t="s">
        <v>8702</v>
      </c>
      <c r="B1711" s="51" t="s">
        <v>8703</v>
      </c>
      <c r="C1711" s="54" t="s">
        <v>5598</v>
      </c>
      <c r="D1711" s="51" t="s">
        <v>8704</v>
      </c>
      <c r="E1711" s="20">
        <v>10000</v>
      </c>
      <c r="F1711" s="20">
        <v>915.71</v>
      </c>
      <c r="G1711" s="20">
        <v>1263.9100000000001</v>
      </c>
      <c r="H1711" s="20">
        <v>715.27</v>
      </c>
      <c r="I1711" s="20">
        <v>915.71</v>
      </c>
      <c r="J1711" s="51" t="s">
        <v>6724</v>
      </c>
      <c r="K1711" s="15">
        <v>0</v>
      </c>
      <c r="L1711" s="51" t="s">
        <v>2371</v>
      </c>
      <c r="M1711" s="51" t="s">
        <v>67</v>
      </c>
      <c r="N1711" s="51" t="s">
        <v>67</v>
      </c>
      <c r="O1711" s="51" t="s">
        <v>8705</v>
      </c>
      <c r="P1711" s="51" t="s">
        <v>1340</v>
      </c>
      <c r="Q1711" s="45">
        <v>46287.592135810184</v>
      </c>
      <c r="R1711" s="46">
        <v>46318</v>
      </c>
      <c r="S1711" s="46">
        <v>46313</v>
      </c>
      <c r="T1711" s="51" t="s">
        <v>6119</v>
      </c>
      <c r="U1711" s="15"/>
      <c r="V1711" s="15"/>
      <c r="W1711" s="15"/>
      <c r="X1711" s="15"/>
      <c r="Y1711" s="15"/>
      <c r="Z1711" s="15"/>
      <c r="AA1711" s="46"/>
      <c r="AB1711" s="15"/>
      <c r="AC1711" s="15"/>
      <c r="AD1711" s="15"/>
      <c r="AE1711" s="15"/>
      <c r="AF1711" s="15"/>
      <c r="AG1711" s="15"/>
      <c r="AH1711" s="15"/>
      <c r="AI1711" s="46"/>
      <c r="AJ1711" s="51" t="s">
        <v>67</v>
      </c>
      <c r="AK1711" s="51" t="s">
        <v>67</v>
      </c>
      <c r="AL1711" s="15"/>
      <c r="AM1711" s="51" t="s">
        <v>67</v>
      </c>
      <c r="AN1711" s="51" t="s">
        <v>67</v>
      </c>
      <c r="AO1711" s="50" t="s">
        <v>9554</v>
      </c>
    </row>
    <row r="1712" spans="1:41" hidden="1" x14ac:dyDescent="0.25">
      <c r="A1712" s="51" t="s">
        <v>8706</v>
      </c>
      <c r="B1712" s="51" t="s">
        <v>8707</v>
      </c>
      <c r="C1712" s="54" t="s">
        <v>2690</v>
      </c>
      <c r="D1712" s="51" t="s">
        <v>8708</v>
      </c>
      <c r="E1712" s="20">
        <v>10000</v>
      </c>
      <c r="F1712" s="20">
        <v>3167.66</v>
      </c>
      <c r="G1712" s="20">
        <v>14545.93</v>
      </c>
      <c r="H1712" s="20">
        <v>4876.2</v>
      </c>
      <c r="I1712" s="20">
        <v>4077.48</v>
      </c>
      <c r="J1712" s="51" t="s">
        <v>6726</v>
      </c>
      <c r="K1712" s="15">
        <v>0</v>
      </c>
      <c r="L1712" s="51" t="s">
        <v>2371</v>
      </c>
      <c r="M1712" s="51" t="s">
        <v>8709</v>
      </c>
      <c r="N1712" s="51" t="s">
        <v>1340</v>
      </c>
      <c r="O1712" s="51" t="s">
        <v>8710</v>
      </c>
      <c r="P1712" s="51" t="s">
        <v>1340</v>
      </c>
      <c r="Q1712" s="45">
        <v>46287.592143310183</v>
      </c>
      <c r="R1712" s="46">
        <v>46322</v>
      </c>
      <c r="S1712" s="46">
        <v>46317</v>
      </c>
      <c r="T1712" s="51" t="s">
        <v>6119</v>
      </c>
      <c r="U1712" s="15"/>
      <c r="V1712" s="15"/>
      <c r="W1712" s="15"/>
      <c r="X1712" s="15"/>
      <c r="Y1712" s="15"/>
      <c r="Z1712" s="15"/>
      <c r="AA1712" s="46"/>
      <c r="AB1712" s="15"/>
      <c r="AC1712" s="15"/>
      <c r="AD1712" s="15"/>
      <c r="AE1712" s="15"/>
      <c r="AF1712" s="15"/>
      <c r="AG1712" s="15"/>
      <c r="AH1712" s="15"/>
      <c r="AI1712" s="46"/>
      <c r="AJ1712" s="51" t="s">
        <v>67</v>
      </c>
      <c r="AK1712" s="51" t="s">
        <v>67</v>
      </c>
      <c r="AL1712" s="15"/>
      <c r="AM1712" s="51" t="s">
        <v>67</v>
      </c>
      <c r="AN1712" s="51" t="s">
        <v>67</v>
      </c>
      <c r="AO1712" s="50" t="s">
        <v>9554</v>
      </c>
    </row>
    <row r="1713" spans="1:41" hidden="1" x14ac:dyDescent="0.25">
      <c r="A1713" s="51" t="s">
        <v>8711</v>
      </c>
      <c r="B1713" s="51" t="s">
        <v>8712</v>
      </c>
      <c r="C1713" s="54" t="s">
        <v>2690</v>
      </c>
      <c r="D1713" s="51" t="s">
        <v>2758</v>
      </c>
      <c r="E1713" s="20">
        <v>10000</v>
      </c>
      <c r="F1713" s="20">
        <v>0</v>
      </c>
      <c r="G1713" s="20">
        <v>7343.3</v>
      </c>
      <c r="H1713" s="20">
        <v>5776.2</v>
      </c>
      <c r="I1713" s="20">
        <v>951.6</v>
      </c>
      <c r="J1713" s="51" t="s">
        <v>6726</v>
      </c>
      <c r="K1713" s="15">
        <v>0</v>
      </c>
      <c r="L1713" s="51" t="s">
        <v>2371</v>
      </c>
      <c r="M1713" s="51" t="s">
        <v>8713</v>
      </c>
      <c r="N1713" s="51" t="s">
        <v>1340</v>
      </c>
      <c r="O1713" s="51" t="s">
        <v>8714</v>
      </c>
      <c r="P1713" s="51" t="s">
        <v>1340</v>
      </c>
      <c r="Q1713" s="45">
        <v>46287.592156956016</v>
      </c>
      <c r="R1713" s="46">
        <v>46322</v>
      </c>
      <c r="S1713" s="46">
        <v>46317</v>
      </c>
      <c r="T1713" s="51" t="s">
        <v>6119</v>
      </c>
      <c r="U1713" s="15"/>
      <c r="V1713" s="15"/>
      <c r="W1713" s="15"/>
      <c r="X1713" s="15"/>
      <c r="Y1713" s="15"/>
      <c r="Z1713" s="15"/>
      <c r="AA1713" s="46"/>
      <c r="AB1713" s="15"/>
      <c r="AC1713" s="15"/>
      <c r="AD1713" s="15"/>
      <c r="AE1713" s="15"/>
      <c r="AF1713" s="15"/>
      <c r="AG1713" s="15"/>
      <c r="AH1713" s="15"/>
      <c r="AI1713" s="46"/>
      <c r="AJ1713" s="51" t="s">
        <v>67</v>
      </c>
      <c r="AK1713" s="51" t="s">
        <v>67</v>
      </c>
      <c r="AL1713" s="15"/>
      <c r="AM1713" s="51" t="s">
        <v>67</v>
      </c>
      <c r="AN1713" s="51" t="s">
        <v>67</v>
      </c>
      <c r="AO1713" s="50" t="s">
        <v>9554</v>
      </c>
    </row>
    <row r="1714" spans="1:41" hidden="1" x14ac:dyDescent="0.25">
      <c r="A1714" s="51" t="s">
        <v>8715</v>
      </c>
      <c r="B1714" s="51" t="s">
        <v>8716</v>
      </c>
      <c r="C1714" s="54" t="s">
        <v>5604</v>
      </c>
      <c r="D1714" s="51" t="s">
        <v>8717</v>
      </c>
      <c r="E1714" s="20">
        <v>10000</v>
      </c>
      <c r="F1714" s="20">
        <v>880.21</v>
      </c>
      <c r="G1714" s="20">
        <v>21029.33</v>
      </c>
      <c r="H1714" s="20">
        <v>1075.03</v>
      </c>
      <c r="I1714" s="20">
        <v>880.21</v>
      </c>
      <c r="J1714" s="51" t="s">
        <v>6724</v>
      </c>
      <c r="K1714" s="15">
        <v>0</v>
      </c>
      <c r="L1714" s="51" t="s">
        <v>2371</v>
      </c>
      <c r="M1714" s="51" t="s">
        <v>67</v>
      </c>
      <c r="N1714" s="51" t="s">
        <v>67</v>
      </c>
      <c r="O1714" s="51" t="s">
        <v>8718</v>
      </c>
      <c r="P1714" s="51" t="s">
        <v>1340</v>
      </c>
      <c r="Q1714" s="45">
        <v>46287.592163541667</v>
      </c>
      <c r="R1714" s="46">
        <v>46313</v>
      </c>
      <c r="S1714" s="46">
        <v>46308</v>
      </c>
      <c r="T1714" s="51" t="s">
        <v>6119</v>
      </c>
      <c r="U1714" s="15"/>
      <c r="V1714" s="15"/>
      <c r="W1714" s="15"/>
      <c r="X1714" s="15"/>
      <c r="Y1714" s="15"/>
      <c r="Z1714" s="15"/>
      <c r="AA1714" s="46"/>
      <c r="AB1714" s="15"/>
      <c r="AC1714" s="15"/>
      <c r="AD1714" s="15"/>
      <c r="AE1714" s="15"/>
      <c r="AF1714" s="15"/>
      <c r="AG1714" s="15"/>
      <c r="AH1714" s="15"/>
      <c r="AI1714" s="46"/>
      <c r="AJ1714" s="51" t="s">
        <v>67</v>
      </c>
      <c r="AK1714" s="51" t="s">
        <v>67</v>
      </c>
      <c r="AL1714" s="15"/>
      <c r="AM1714" s="51" t="s">
        <v>67</v>
      </c>
      <c r="AN1714" s="51" t="s">
        <v>67</v>
      </c>
      <c r="AO1714" s="50" t="s">
        <v>9554</v>
      </c>
    </row>
    <row r="1715" spans="1:41" hidden="1" x14ac:dyDescent="0.25">
      <c r="A1715" s="51" t="s">
        <v>8719</v>
      </c>
      <c r="B1715" s="51" t="s">
        <v>8720</v>
      </c>
      <c r="C1715" s="54" t="s">
        <v>2693</v>
      </c>
      <c r="D1715" s="51" t="s">
        <v>8721</v>
      </c>
      <c r="E1715" s="20">
        <v>10000</v>
      </c>
      <c r="F1715" s="20">
        <v>2757.46</v>
      </c>
      <c r="G1715" s="20">
        <v>13211.24</v>
      </c>
      <c r="H1715" s="20">
        <v>655.01</v>
      </c>
      <c r="I1715" s="20">
        <v>2757.46</v>
      </c>
      <c r="J1715" s="51" t="s">
        <v>6724</v>
      </c>
      <c r="K1715" s="15">
        <v>0</v>
      </c>
      <c r="L1715" s="51" t="s">
        <v>2371</v>
      </c>
      <c r="M1715" s="51" t="s">
        <v>8722</v>
      </c>
      <c r="N1715" s="51" t="s">
        <v>1344</v>
      </c>
      <c r="O1715" s="51" t="s">
        <v>67</v>
      </c>
      <c r="P1715" s="51" t="s">
        <v>67</v>
      </c>
      <c r="Q1715" s="45">
        <v>46287.592170185184</v>
      </c>
      <c r="R1715" s="46">
        <v>46314</v>
      </c>
      <c r="S1715" s="46">
        <v>46309</v>
      </c>
      <c r="T1715" s="51" t="s">
        <v>6119</v>
      </c>
      <c r="U1715" s="15"/>
      <c r="V1715" s="15"/>
      <c r="W1715" s="15"/>
      <c r="X1715" s="15"/>
      <c r="Y1715" s="15"/>
      <c r="Z1715" s="15"/>
      <c r="AA1715" s="46"/>
      <c r="AB1715" s="15"/>
      <c r="AC1715" s="15"/>
      <c r="AD1715" s="15"/>
      <c r="AE1715" s="15"/>
      <c r="AF1715" s="15"/>
      <c r="AG1715" s="15"/>
      <c r="AH1715" s="15"/>
      <c r="AI1715" s="46"/>
      <c r="AJ1715" s="51" t="s">
        <v>67</v>
      </c>
      <c r="AK1715" s="51" t="s">
        <v>67</v>
      </c>
      <c r="AL1715" s="15"/>
      <c r="AM1715" s="51" t="s">
        <v>67</v>
      </c>
      <c r="AN1715" s="51" t="s">
        <v>67</v>
      </c>
      <c r="AO1715" s="50" t="s">
        <v>9554</v>
      </c>
    </row>
    <row r="1716" spans="1:41" hidden="1" x14ac:dyDescent="0.25">
      <c r="A1716" s="51" t="s">
        <v>8723</v>
      </c>
      <c r="B1716" s="51" t="s">
        <v>8724</v>
      </c>
      <c r="C1716" s="54" t="s">
        <v>5603</v>
      </c>
      <c r="D1716" s="51" t="s">
        <v>8725</v>
      </c>
      <c r="E1716" s="20">
        <v>10000</v>
      </c>
      <c r="F1716" s="20">
        <v>416.4</v>
      </c>
      <c r="G1716" s="20">
        <v>6053.19</v>
      </c>
      <c r="H1716" s="20">
        <v>3747.88</v>
      </c>
      <c r="I1716" s="20">
        <v>416.4</v>
      </c>
      <c r="J1716" s="51" t="s">
        <v>6724</v>
      </c>
      <c r="K1716" s="15">
        <v>0</v>
      </c>
      <c r="L1716" s="51" t="s">
        <v>2371</v>
      </c>
      <c r="M1716" s="51" t="s">
        <v>8726</v>
      </c>
      <c r="N1716" s="51" t="s">
        <v>1340</v>
      </c>
      <c r="O1716" s="51" t="s">
        <v>8727</v>
      </c>
      <c r="P1716" s="51" t="s">
        <v>1340</v>
      </c>
      <c r="Q1716" s="45">
        <v>46287.592177604165</v>
      </c>
      <c r="R1716" s="46">
        <v>46298</v>
      </c>
      <c r="S1716" s="46">
        <v>46293</v>
      </c>
      <c r="T1716" s="51" t="s">
        <v>6119</v>
      </c>
      <c r="U1716" s="15"/>
      <c r="V1716" s="15"/>
      <c r="W1716" s="15"/>
      <c r="X1716" s="15"/>
      <c r="Y1716" s="15"/>
      <c r="Z1716" s="15"/>
      <c r="AA1716" s="46"/>
      <c r="AB1716" s="15"/>
      <c r="AC1716" s="15"/>
      <c r="AD1716" s="15"/>
      <c r="AE1716" s="15"/>
      <c r="AF1716" s="15"/>
      <c r="AG1716" s="15"/>
      <c r="AH1716" s="15"/>
      <c r="AI1716" s="46"/>
      <c r="AJ1716" s="51" t="s">
        <v>67</v>
      </c>
      <c r="AK1716" s="51" t="s">
        <v>67</v>
      </c>
      <c r="AL1716" s="15"/>
      <c r="AM1716" s="51" t="s">
        <v>67</v>
      </c>
      <c r="AN1716" s="51" t="s">
        <v>67</v>
      </c>
      <c r="AO1716" s="50" t="s">
        <v>9554</v>
      </c>
    </row>
    <row r="1717" spans="1:41" hidden="1" x14ac:dyDescent="0.25">
      <c r="A1717" s="51" t="s">
        <v>8728</v>
      </c>
      <c r="B1717" s="51" t="s">
        <v>8729</v>
      </c>
      <c r="C1717" s="54" t="s">
        <v>2358</v>
      </c>
      <c r="D1717" s="51" t="s">
        <v>8730</v>
      </c>
      <c r="E1717" s="20">
        <v>10000</v>
      </c>
      <c r="F1717" s="20">
        <v>1360.46</v>
      </c>
      <c r="G1717" s="20">
        <v>16397.490000000002</v>
      </c>
      <c r="H1717" s="20">
        <v>3272.51</v>
      </c>
      <c r="I1717" s="20">
        <v>1360.46</v>
      </c>
      <c r="J1717" s="51" t="s">
        <v>6724</v>
      </c>
      <c r="K1717" s="15">
        <v>0</v>
      </c>
      <c r="L1717" s="51" t="s">
        <v>2371</v>
      </c>
      <c r="M1717" s="51" t="s">
        <v>8731</v>
      </c>
      <c r="N1717" s="51" t="s">
        <v>1340</v>
      </c>
      <c r="O1717" s="51" t="s">
        <v>67</v>
      </c>
      <c r="P1717" s="51" t="s">
        <v>67</v>
      </c>
      <c r="Q1717" s="45">
        <v>46287.592182743057</v>
      </c>
      <c r="R1717" s="46">
        <v>46309</v>
      </c>
      <c r="S1717" s="46">
        <v>46304</v>
      </c>
      <c r="T1717" s="51" t="s">
        <v>6119</v>
      </c>
      <c r="U1717" s="15"/>
      <c r="V1717" s="15"/>
      <c r="W1717" s="15"/>
      <c r="X1717" s="15"/>
      <c r="Y1717" s="15"/>
      <c r="Z1717" s="15"/>
      <c r="AA1717" s="46"/>
      <c r="AB1717" s="15"/>
      <c r="AC1717" s="15"/>
      <c r="AD1717" s="15"/>
      <c r="AE1717" s="15"/>
      <c r="AF1717" s="15"/>
      <c r="AG1717" s="15"/>
      <c r="AH1717" s="15"/>
      <c r="AI1717" s="46"/>
      <c r="AJ1717" s="51" t="s">
        <v>67</v>
      </c>
      <c r="AK1717" s="51" t="s">
        <v>67</v>
      </c>
      <c r="AL1717" s="15"/>
      <c r="AM1717" s="51" t="s">
        <v>67</v>
      </c>
      <c r="AN1717" s="51" t="s">
        <v>67</v>
      </c>
      <c r="AO1717" s="50" t="s">
        <v>9554</v>
      </c>
    </row>
    <row r="1718" spans="1:41" hidden="1" x14ac:dyDescent="0.25">
      <c r="A1718" s="51" t="s">
        <v>8732</v>
      </c>
      <c r="B1718" s="51" t="s">
        <v>8733</v>
      </c>
      <c r="C1718" s="54" t="s">
        <v>2693</v>
      </c>
      <c r="D1718" s="51" t="s">
        <v>8734</v>
      </c>
      <c r="E1718" s="20">
        <v>10000</v>
      </c>
      <c r="F1718" s="20">
        <v>435.95</v>
      </c>
      <c r="G1718" s="20">
        <v>15112.47</v>
      </c>
      <c r="H1718" s="20">
        <v>899.23</v>
      </c>
      <c r="I1718" s="20">
        <v>40.39</v>
      </c>
      <c r="J1718" s="51" t="s">
        <v>6724</v>
      </c>
      <c r="K1718" s="15">
        <v>0</v>
      </c>
      <c r="L1718" s="51" t="s">
        <v>2371</v>
      </c>
      <c r="M1718" s="51" t="s">
        <v>8735</v>
      </c>
      <c r="N1718" s="51" t="s">
        <v>1340</v>
      </c>
      <c r="O1718" s="51" t="s">
        <v>8736</v>
      </c>
      <c r="P1718" s="51" t="s">
        <v>1340</v>
      </c>
      <c r="Q1718" s="45">
        <v>46287.592190115742</v>
      </c>
      <c r="R1718" s="46">
        <v>46314</v>
      </c>
      <c r="S1718" s="46">
        <v>46309</v>
      </c>
      <c r="T1718" s="51" t="s">
        <v>6119</v>
      </c>
      <c r="U1718" s="15"/>
      <c r="V1718" s="15"/>
      <c r="W1718" s="15"/>
      <c r="X1718" s="15"/>
      <c r="Y1718" s="15"/>
      <c r="Z1718" s="15"/>
      <c r="AA1718" s="46"/>
      <c r="AB1718" s="15"/>
      <c r="AC1718" s="15"/>
      <c r="AD1718" s="15"/>
      <c r="AE1718" s="15"/>
      <c r="AF1718" s="15"/>
      <c r="AG1718" s="15"/>
      <c r="AH1718" s="15"/>
      <c r="AI1718" s="46"/>
      <c r="AJ1718" s="51" t="s">
        <v>67</v>
      </c>
      <c r="AK1718" s="51" t="s">
        <v>67</v>
      </c>
      <c r="AL1718" s="15"/>
      <c r="AM1718" s="51" t="s">
        <v>67</v>
      </c>
      <c r="AN1718" s="51" t="s">
        <v>67</v>
      </c>
      <c r="AO1718" s="50" t="s">
        <v>9554</v>
      </c>
    </row>
    <row r="1719" spans="1:41" hidden="1" x14ac:dyDescent="0.25">
      <c r="A1719" s="51" t="s">
        <v>8737</v>
      </c>
      <c r="B1719" s="51" t="s">
        <v>8738</v>
      </c>
      <c r="C1719" s="54" t="s">
        <v>608</v>
      </c>
      <c r="D1719" s="51" t="s">
        <v>8739</v>
      </c>
      <c r="E1719" s="20">
        <v>10000</v>
      </c>
      <c r="F1719" s="20">
        <v>557.61</v>
      </c>
      <c r="G1719" s="20">
        <v>11776.55</v>
      </c>
      <c r="H1719" s="20">
        <v>1786.29</v>
      </c>
      <c r="I1719" s="20">
        <v>379.56</v>
      </c>
      <c r="J1719" s="51" t="s">
        <v>6724</v>
      </c>
      <c r="K1719" s="15">
        <v>0</v>
      </c>
      <c r="L1719" s="51" t="s">
        <v>2371</v>
      </c>
      <c r="M1719" s="51" t="s">
        <v>8740</v>
      </c>
      <c r="N1719" s="51" t="s">
        <v>1340</v>
      </c>
      <c r="O1719" s="51" t="s">
        <v>67</v>
      </c>
      <c r="P1719" s="51" t="s">
        <v>67</v>
      </c>
      <c r="Q1719" s="45">
        <v>46287.592196574071</v>
      </c>
      <c r="R1719" s="46">
        <v>46315</v>
      </c>
      <c r="S1719" s="46">
        <v>46310</v>
      </c>
      <c r="T1719" s="51" t="s">
        <v>6119</v>
      </c>
      <c r="U1719" s="15"/>
      <c r="V1719" s="15"/>
      <c r="W1719" s="15"/>
      <c r="X1719" s="15"/>
      <c r="Y1719" s="15"/>
      <c r="Z1719" s="15"/>
      <c r="AA1719" s="46"/>
      <c r="AB1719" s="15"/>
      <c r="AC1719" s="15"/>
      <c r="AD1719" s="15"/>
      <c r="AE1719" s="15"/>
      <c r="AF1719" s="15"/>
      <c r="AG1719" s="15"/>
      <c r="AH1719" s="15"/>
      <c r="AI1719" s="46"/>
      <c r="AJ1719" s="51" t="s">
        <v>67</v>
      </c>
      <c r="AK1719" s="51" t="s">
        <v>67</v>
      </c>
      <c r="AL1719" s="15"/>
      <c r="AM1719" s="51" t="s">
        <v>67</v>
      </c>
      <c r="AN1719" s="51" t="s">
        <v>67</v>
      </c>
      <c r="AO1719" s="50" t="s">
        <v>9554</v>
      </c>
    </row>
    <row r="1720" spans="1:41" hidden="1" x14ac:dyDescent="0.25">
      <c r="A1720" s="51" t="s">
        <v>8741</v>
      </c>
      <c r="B1720" s="51" t="s">
        <v>8742</v>
      </c>
      <c r="C1720" s="54" t="s">
        <v>5600</v>
      </c>
      <c r="D1720" s="51" t="s">
        <v>8743</v>
      </c>
      <c r="E1720" s="20">
        <v>10000</v>
      </c>
      <c r="F1720" s="20">
        <v>3538.32</v>
      </c>
      <c r="G1720" s="20">
        <v>15534.51</v>
      </c>
      <c r="H1720" s="20">
        <v>652.27</v>
      </c>
      <c r="I1720" s="20">
        <v>3538.32</v>
      </c>
      <c r="J1720" s="51" t="s">
        <v>6724</v>
      </c>
      <c r="K1720" s="15">
        <v>0</v>
      </c>
      <c r="L1720" s="51" t="s">
        <v>2371</v>
      </c>
      <c r="M1720" s="51" t="s">
        <v>67</v>
      </c>
      <c r="N1720" s="51" t="s">
        <v>67</v>
      </c>
      <c r="O1720" s="51" t="s">
        <v>8744</v>
      </c>
      <c r="P1720" s="51" t="s">
        <v>1340</v>
      </c>
      <c r="Q1720" s="45">
        <v>46287.592203819448</v>
      </c>
      <c r="R1720" s="46">
        <v>46304</v>
      </c>
      <c r="S1720" s="46">
        <v>46299</v>
      </c>
      <c r="T1720" s="51" t="s">
        <v>6119</v>
      </c>
      <c r="U1720" s="15"/>
      <c r="V1720" s="15"/>
      <c r="W1720" s="15"/>
      <c r="X1720" s="15"/>
      <c r="Y1720" s="15"/>
      <c r="Z1720" s="15"/>
      <c r="AA1720" s="46"/>
      <c r="AB1720" s="15"/>
      <c r="AC1720" s="15"/>
      <c r="AD1720" s="15"/>
      <c r="AE1720" s="15"/>
      <c r="AF1720" s="15"/>
      <c r="AG1720" s="15"/>
      <c r="AH1720" s="15"/>
      <c r="AI1720" s="46"/>
      <c r="AJ1720" s="51" t="s">
        <v>67</v>
      </c>
      <c r="AK1720" s="51" t="s">
        <v>67</v>
      </c>
      <c r="AL1720" s="15"/>
      <c r="AM1720" s="51" t="s">
        <v>67</v>
      </c>
      <c r="AN1720" s="51" t="s">
        <v>67</v>
      </c>
      <c r="AO1720" s="50" t="s">
        <v>9554</v>
      </c>
    </row>
    <row r="1721" spans="1:41" hidden="1" x14ac:dyDescent="0.25">
      <c r="A1721" s="51" t="s">
        <v>8745</v>
      </c>
      <c r="B1721" s="51" t="s">
        <v>8746</v>
      </c>
      <c r="C1721" s="54" t="s">
        <v>2694</v>
      </c>
      <c r="D1721" s="51" t="s">
        <v>8747</v>
      </c>
      <c r="E1721" s="20">
        <v>10000</v>
      </c>
      <c r="F1721" s="20">
        <v>463.45</v>
      </c>
      <c r="G1721" s="20">
        <v>14402.99</v>
      </c>
      <c r="H1721" s="20">
        <v>901.97</v>
      </c>
      <c r="I1721" s="20">
        <v>463.45</v>
      </c>
      <c r="J1721" s="51" t="s">
        <v>6724</v>
      </c>
      <c r="K1721" s="15">
        <v>0</v>
      </c>
      <c r="L1721" s="51" t="s">
        <v>2371</v>
      </c>
      <c r="M1721" s="51" t="s">
        <v>67</v>
      </c>
      <c r="N1721" s="51" t="s">
        <v>67</v>
      </c>
      <c r="O1721" s="51" t="s">
        <v>8748</v>
      </c>
      <c r="P1721" s="51" t="s">
        <v>1340</v>
      </c>
      <c r="Q1721" s="45">
        <v>46287.592210381947</v>
      </c>
      <c r="R1721" s="46">
        <v>46312</v>
      </c>
      <c r="S1721" s="46">
        <v>46307</v>
      </c>
      <c r="T1721" s="51" t="s">
        <v>6119</v>
      </c>
      <c r="U1721" s="15"/>
      <c r="V1721" s="15"/>
      <c r="W1721" s="15"/>
      <c r="X1721" s="15"/>
      <c r="Y1721" s="15"/>
      <c r="Z1721" s="15"/>
      <c r="AA1721" s="46"/>
      <c r="AB1721" s="15"/>
      <c r="AC1721" s="15"/>
      <c r="AD1721" s="15"/>
      <c r="AE1721" s="15"/>
      <c r="AF1721" s="15"/>
      <c r="AG1721" s="15"/>
      <c r="AH1721" s="15"/>
      <c r="AI1721" s="46"/>
      <c r="AJ1721" s="51" t="s">
        <v>67</v>
      </c>
      <c r="AK1721" s="51" t="s">
        <v>67</v>
      </c>
      <c r="AL1721" s="15"/>
      <c r="AM1721" s="51" t="s">
        <v>67</v>
      </c>
      <c r="AN1721" s="51" t="s">
        <v>67</v>
      </c>
      <c r="AO1721" s="50" t="s">
        <v>9554</v>
      </c>
    </row>
    <row r="1722" spans="1:41" hidden="1" x14ac:dyDescent="0.25">
      <c r="A1722" s="51" t="s">
        <v>8749</v>
      </c>
      <c r="B1722" s="51" t="s">
        <v>8750</v>
      </c>
      <c r="C1722" s="54" t="s">
        <v>608</v>
      </c>
      <c r="D1722" s="51" t="s">
        <v>8751</v>
      </c>
      <c r="E1722" s="20">
        <v>10000</v>
      </c>
      <c r="F1722" s="20">
        <v>371.47</v>
      </c>
      <c r="G1722" s="20">
        <v>14657.94</v>
      </c>
      <c r="H1722" s="20">
        <v>703.38</v>
      </c>
      <c r="I1722" s="20">
        <v>0</v>
      </c>
      <c r="J1722" s="51" t="s">
        <v>6724</v>
      </c>
      <c r="K1722" s="15">
        <v>0</v>
      </c>
      <c r="L1722" s="51" t="s">
        <v>2371</v>
      </c>
      <c r="M1722" s="51" t="s">
        <v>8752</v>
      </c>
      <c r="N1722" s="51" t="s">
        <v>1340</v>
      </c>
      <c r="O1722" s="51" t="s">
        <v>67</v>
      </c>
      <c r="P1722" s="51" t="s">
        <v>67</v>
      </c>
      <c r="Q1722" s="45">
        <v>46287.592216840276</v>
      </c>
      <c r="R1722" s="46">
        <v>46315</v>
      </c>
      <c r="S1722" s="46">
        <v>46310</v>
      </c>
      <c r="T1722" s="51" t="s">
        <v>6119</v>
      </c>
      <c r="U1722" s="15"/>
      <c r="V1722" s="15"/>
      <c r="W1722" s="15"/>
      <c r="X1722" s="15"/>
      <c r="Y1722" s="15"/>
      <c r="Z1722" s="15"/>
      <c r="AA1722" s="46"/>
      <c r="AB1722" s="15"/>
      <c r="AC1722" s="15"/>
      <c r="AD1722" s="15"/>
      <c r="AE1722" s="15"/>
      <c r="AF1722" s="15"/>
      <c r="AG1722" s="15"/>
      <c r="AH1722" s="15"/>
      <c r="AI1722" s="46"/>
      <c r="AJ1722" s="51" t="s">
        <v>67</v>
      </c>
      <c r="AK1722" s="51" t="s">
        <v>67</v>
      </c>
      <c r="AL1722" s="15"/>
      <c r="AM1722" s="51" t="s">
        <v>67</v>
      </c>
      <c r="AN1722" s="51" t="s">
        <v>67</v>
      </c>
      <c r="AO1722" s="50" t="s">
        <v>9554</v>
      </c>
    </row>
    <row r="1723" spans="1:41" hidden="1" x14ac:dyDescent="0.25">
      <c r="A1723" s="51" t="s">
        <v>8753</v>
      </c>
      <c r="B1723" s="51" t="s">
        <v>8754</v>
      </c>
      <c r="C1723" s="54" t="s">
        <v>5598</v>
      </c>
      <c r="D1723" s="51" t="s">
        <v>8755</v>
      </c>
      <c r="E1723" s="20">
        <v>10000</v>
      </c>
      <c r="F1723" s="20">
        <v>1731.74</v>
      </c>
      <c r="G1723" s="20">
        <v>371.72</v>
      </c>
      <c r="H1723" s="20">
        <v>735.71</v>
      </c>
      <c r="I1723" s="20">
        <v>1731.74</v>
      </c>
      <c r="J1723" s="51" t="s">
        <v>6724</v>
      </c>
      <c r="K1723" s="15">
        <v>0</v>
      </c>
      <c r="L1723" s="51" t="s">
        <v>2371</v>
      </c>
      <c r="M1723" s="51" t="s">
        <v>8756</v>
      </c>
      <c r="N1723" s="51" t="s">
        <v>1344</v>
      </c>
      <c r="O1723" s="51" t="s">
        <v>8757</v>
      </c>
      <c r="P1723" s="51" t="s">
        <v>1344</v>
      </c>
      <c r="Q1723" s="45">
        <v>46287.592238483798</v>
      </c>
      <c r="R1723" s="46">
        <v>46318</v>
      </c>
      <c r="S1723" s="46">
        <v>46313</v>
      </c>
      <c r="T1723" s="51" t="s">
        <v>6119</v>
      </c>
      <c r="U1723" s="15"/>
      <c r="V1723" s="15"/>
      <c r="W1723" s="15"/>
      <c r="X1723" s="15"/>
      <c r="Y1723" s="15"/>
      <c r="Z1723" s="15"/>
      <c r="AA1723" s="46"/>
      <c r="AB1723" s="15"/>
      <c r="AC1723" s="15"/>
      <c r="AD1723" s="15"/>
      <c r="AE1723" s="15"/>
      <c r="AF1723" s="15"/>
      <c r="AG1723" s="15"/>
      <c r="AH1723" s="15"/>
      <c r="AI1723" s="46"/>
      <c r="AJ1723" s="51" t="s">
        <v>67</v>
      </c>
      <c r="AK1723" s="51" t="s">
        <v>67</v>
      </c>
      <c r="AL1723" s="15"/>
      <c r="AM1723" s="51" t="s">
        <v>67</v>
      </c>
      <c r="AN1723" s="51" t="s">
        <v>67</v>
      </c>
      <c r="AO1723" s="50" t="s">
        <v>9554</v>
      </c>
    </row>
    <row r="1724" spans="1:41" hidden="1" x14ac:dyDescent="0.25">
      <c r="A1724" s="51" t="s">
        <v>8758</v>
      </c>
      <c r="B1724" s="51" t="s">
        <v>8759</v>
      </c>
      <c r="C1724" s="54" t="s">
        <v>2358</v>
      </c>
      <c r="D1724" s="51" t="s">
        <v>8760</v>
      </c>
      <c r="E1724" s="20">
        <v>10000</v>
      </c>
      <c r="F1724" s="20">
        <v>237.48</v>
      </c>
      <c r="G1724" s="20">
        <v>18637.28</v>
      </c>
      <c r="H1724" s="20">
        <v>358.9</v>
      </c>
      <c r="I1724" s="20">
        <v>237.48</v>
      </c>
      <c r="J1724" s="51" t="s">
        <v>6724</v>
      </c>
      <c r="K1724" s="15">
        <v>0</v>
      </c>
      <c r="L1724" s="51" t="s">
        <v>2371</v>
      </c>
      <c r="M1724" s="51" t="s">
        <v>8761</v>
      </c>
      <c r="N1724" s="51" t="s">
        <v>1340</v>
      </c>
      <c r="O1724" s="51" t="s">
        <v>67</v>
      </c>
      <c r="P1724" s="51" t="s">
        <v>67</v>
      </c>
      <c r="Q1724" s="45">
        <v>46287.592254930554</v>
      </c>
      <c r="R1724" s="46">
        <v>46309</v>
      </c>
      <c r="S1724" s="46">
        <v>46304</v>
      </c>
      <c r="T1724" s="51" t="s">
        <v>6119</v>
      </c>
      <c r="U1724" s="15"/>
      <c r="V1724" s="15"/>
      <c r="W1724" s="15"/>
      <c r="X1724" s="15"/>
      <c r="Y1724" s="15"/>
      <c r="Z1724" s="15"/>
      <c r="AA1724" s="46"/>
      <c r="AB1724" s="15"/>
      <c r="AC1724" s="15"/>
      <c r="AD1724" s="15"/>
      <c r="AE1724" s="15"/>
      <c r="AF1724" s="15"/>
      <c r="AG1724" s="15"/>
      <c r="AH1724" s="15"/>
      <c r="AI1724" s="46"/>
      <c r="AJ1724" s="51" t="s">
        <v>67</v>
      </c>
      <c r="AK1724" s="51" t="s">
        <v>67</v>
      </c>
      <c r="AL1724" s="15"/>
      <c r="AM1724" s="51" t="s">
        <v>67</v>
      </c>
      <c r="AN1724" s="51" t="s">
        <v>67</v>
      </c>
      <c r="AO1724" s="50" t="s">
        <v>9554</v>
      </c>
    </row>
    <row r="1725" spans="1:41" hidden="1" x14ac:dyDescent="0.25">
      <c r="A1725" s="51" t="s">
        <v>8762</v>
      </c>
      <c r="B1725" s="51" t="s">
        <v>8763</v>
      </c>
      <c r="C1725" s="54" t="s">
        <v>607</v>
      </c>
      <c r="D1725" s="51" t="s">
        <v>8764</v>
      </c>
      <c r="E1725" s="20">
        <v>10000</v>
      </c>
      <c r="F1725" s="20">
        <v>5039.82</v>
      </c>
      <c r="G1725" s="20">
        <v>6575.48</v>
      </c>
      <c r="H1725" s="20">
        <v>3241.76</v>
      </c>
      <c r="I1725" s="20">
        <v>5039.82</v>
      </c>
      <c r="J1725" s="51" t="s">
        <v>6724</v>
      </c>
      <c r="K1725" s="15">
        <v>0</v>
      </c>
      <c r="L1725" s="51" t="s">
        <v>2371</v>
      </c>
      <c r="M1725" s="51" t="s">
        <v>67</v>
      </c>
      <c r="N1725" s="51" t="s">
        <v>67</v>
      </c>
      <c r="O1725" s="51" t="s">
        <v>8765</v>
      </c>
      <c r="P1725" s="51" t="s">
        <v>1340</v>
      </c>
      <c r="Q1725" s="45">
        <v>46287.592263287035</v>
      </c>
      <c r="R1725" s="46">
        <v>46310</v>
      </c>
      <c r="S1725" s="46">
        <v>46305</v>
      </c>
      <c r="T1725" s="51" t="s">
        <v>6119</v>
      </c>
      <c r="U1725" s="15"/>
      <c r="V1725" s="15"/>
      <c r="W1725" s="15"/>
      <c r="X1725" s="15"/>
      <c r="Y1725" s="15"/>
      <c r="Z1725" s="15"/>
      <c r="AA1725" s="46"/>
      <c r="AB1725" s="15"/>
      <c r="AC1725" s="15"/>
      <c r="AD1725" s="15"/>
      <c r="AE1725" s="15"/>
      <c r="AF1725" s="15"/>
      <c r="AG1725" s="15"/>
      <c r="AH1725" s="15"/>
      <c r="AI1725" s="46"/>
      <c r="AJ1725" s="51" t="s">
        <v>67</v>
      </c>
      <c r="AK1725" s="51" t="s">
        <v>67</v>
      </c>
      <c r="AL1725" s="15"/>
      <c r="AM1725" s="51" t="s">
        <v>67</v>
      </c>
      <c r="AN1725" s="51" t="s">
        <v>67</v>
      </c>
      <c r="AO1725" s="50" t="s">
        <v>9554</v>
      </c>
    </row>
    <row r="1726" spans="1:41" hidden="1" x14ac:dyDescent="0.25">
      <c r="A1726" s="51" t="s">
        <v>8766</v>
      </c>
      <c r="B1726" s="51" t="s">
        <v>8767</v>
      </c>
      <c r="C1726" s="54" t="s">
        <v>5608</v>
      </c>
      <c r="D1726" s="51" t="s">
        <v>8768</v>
      </c>
      <c r="E1726" s="20">
        <v>10000</v>
      </c>
      <c r="F1726" s="20">
        <v>412.84</v>
      </c>
      <c r="G1726" s="20">
        <v>12687.26</v>
      </c>
      <c r="H1726" s="20">
        <v>484.47</v>
      </c>
      <c r="I1726" s="20">
        <v>412.84</v>
      </c>
      <c r="J1726" s="51" t="s">
        <v>6724</v>
      </c>
      <c r="K1726" s="15">
        <v>0</v>
      </c>
      <c r="L1726" s="51" t="s">
        <v>2371</v>
      </c>
      <c r="M1726" s="51" t="s">
        <v>67</v>
      </c>
      <c r="N1726" s="51" t="s">
        <v>67</v>
      </c>
      <c r="O1726" s="51" t="s">
        <v>8769</v>
      </c>
      <c r="P1726" s="51" t="s">
        <v>1340</v>
      </c>
      <c r="Q1726" s="45">
        <v>46287.592274351853</v>
      </c>
      <c r="R1726" s="46">
        <v>46319</v>
      </c>
      <c r="S1726" s="46">
        <v>46314</v>
      </c>
      <c r="T1726" s="51" t="s">
        <v>6119</v>
      </c>
      <c r="U1726" s="15"/>
      <c r="V1726" s="15"/>
      <c r="W1726" s="15"/>
      <c r="X1726" s="15"/>
      <c r="Y1726" s="15"/>
      <c r="Z1726" s="15"/>
      <c r="AA1726" s="46"/>
      <c r="AB1726" s="15"/>
      <c r="AC1726" s="15"/>
      <c r="AD1726" s="15"/>
      <c r="AE1726" s="15"/>
      <c r="AF1726" s="15"/>
      <c r="AG1726" s="15"/>
      <c r="AH1726" s="15"/>
      <c r="AI1726" s="46"/>
      <c r="AJ1726" s="51" t="s">
        <v>67</v>
      </c>
      <c r="AK1726" s="51" t="s">
        <v>67</v>
      </c>
      <c r="AL1726" s="15"/>
      <c r="AM1726" s="51" t="s">
        <v>67</v>
      </c>
      <c r="AN1726" s="51" t="s">
        <v>67</v>
      </c>
      <c r="AO1726" s="50" t="s">
        <v>9554</v>
      </c>
    </row>
    <row r="1727" spans="1:41" hidden="1" x14ac:dyDescent="0.25">
      <c r="A1727" s="51" t="s">
        <v>8770</v>
      </c>
      <c r="B1727" s="51" t="s">
        <v>8771</v>
      </c>
      <c r="C1727" s="54" t="s">
        <v>607</v>
      </c>
      <c r="D1727" s="51" t="s">
        <v>8772</v>
      </c>
      <c r="E1727" s="20">
        <v>10000</v>
      </c>
      <c r="F1727" s="20">
        <v>3981.29</v>
      </c>
      <c r="G1727" s="20">
        <v>2427.9</v>
      </c>
      <c r="H1727" s="20">
        <v>404.79</v>
      </c>
      <c r="I1727" s="20">
        <v>3981.29</v>
      </c>
      <c r="J1727" s="51" t="s">
        <v>6724</v>
      </c>
      <c r="K1727" s="15">
        <v>0</v>
      </c>
      <c r="L1727" s="51" t="s">
        <v>2371</v>
      </c>
      <c r="M1727" s="51" t="s">
        <v>8773</v>
      </c>
      <c r="N1727" s="51" t="s">
        <v>1340</v>
      </c>
      <c r="O1727" s="51" t="s">
        <v>67</v>
      </c>
      <c r="P1727" s="51" t="s">
        <v>67</v>
      </c>
      <c r="Q1727" s="45">
        <v>46287.592291493056</v>
      </c>
      <c r="R1727" s="46">
        <v>46310</v>
      </c>
      <c r="S1727" s="46">
        <v>46305</v>
      </c>
      <c r="T1727" s="51" t="s">
        <v>6119</v>
      </c>
      <c r="U1727" s="15"/>
      <c r="V1727" s="15"/>
      <c r="W1727" s="15"/>
      <c r="X1727" s="15"/>
      <c r="Y1727" s="15"/>
      <c r="Z1727" s="15"/>
      <c r="AA1727" s="46"/>
      <c r="AB1727" s="15"/>
      <c r="AC1727" s="15"/>
      <c r="AD1727" s="15"/>
      <c r="AE1727" s="15"/>
      <c r="AF1727" s="15"/>
      <c r="AG1727" s="15"/>
      <c r="AH1727" s="15"/>
      <c r="AI1727" s="46"/>
      <c r="AJ1727" s="51" t="s">
        <v>67</v>
      </c>
      <c r="AK1727" s="51" t="s">
        <v>67</v>
      </c>
      <c r="AL1727" s="15"/>
      <c r="AM1727" s="51" t="s">
        <v>67</v>
      </c>
      <c r="AN1727" s="51" t="s">
        <v>67</v>
      </c>
      <c r="AO1727" s="50" t="s">
        <v>9554</v>
      </c>
    </row>
    <row r="1728" spans="1:41" hidden="1" x14ac:dyDescent="0.25">
      <c r="A1728" s="51" t="s">
        <v>8774</v>
      </c>
      <c r="B1728" s="51" t="s">
        <v>8775</v>
      </c>
      <c r="C1728" s="54" t="s">
        <v>608</v>
      </c>
      <c r="D1728" s="51" t="s">
        <v>8776</v>
      </c>
      <c r="E1728" s="20">
        <v>10000</v>
      </c>
      <c r="F1728" s="20">
        <v>449.47</v>
      </c>
      <c r="G1728" s="20">
        <v>9226.52</v>
      </c>
      <c r="H1728" s="20">
        <v>624.64</v>
      </c>
      <c r="I1728" s="20">
        <v>0</v>
      </c>
      <c r="J1728" s="51" t="s">
        <v>6724</v>
      </c>
      <c r="K1728" s="15">
        <v>0</v>
      </c>
      <c r="L1728" s="51" t="s">
        <v>2371</v>
      </c>
      <c r="M1728" s="51" t="s">
        <v>67</v>
      </c>
      <c r="N1728" s="51" t="s">
        <v>67</v>
      </c>
      <c r="O1728" s="51" t="s">
        <v>8777</v>
      </c>
      <c r="P1728" s="51" t="s">
        <v>1340</v>
      </c>
      <c r="Q1728" s="45">
        <v>46287.592308692132</v>
      </c>
      <c r="R1728" s="46">
        <v>46315</v>
      </c>
      <c r="S1728" s="46">
        <v>46310</v>
      </c>
      <c r="T1728" s="51" t="s">
        <v>6119</v>
      </c>
      <c r="U1728" s="15"/>
      <c r="V1728" s="15"/>
      <c r="W1728" s="15"/>
      <c r="X1728" s="15"/>
      <c r="Y1728" s="15"/>
      <c r="Z1728" s="15"/>
      <c r="AA1728" s="46"/>
      <c r="AB1728" s="15"/>
      <c r="AC1728" s="15"/>
      <c r="AD1728" s="15"/>
      <c r="AE1728" s="15"/>
      <c r="AF1728" s="15"/>
      <c r="AG1728" s="15"/>
      <c r="AH1728" s="15"/>
      <c r="AI1728" s="46"/>
      <c r="AJ1728" s="51" t="s">
        <v>67</v>
      </c>
      <c r="AK1728" s="51" t="s">
        <v>67</v>
      </c>
      <c r="AL1728" s="15"/>
      <c r="AM1728" s="51" t="s">
        <v>67</v>
      </c>
      <c r="AN1728" s="51" t="s">
        <v>67</v>
      </c>
      <c r="AO1728" s="50" t="s">
        <v>9554</v>
      </c>
    </row>
    <row r="1729" spans="1:41" hidden="1" x14ac:dyDescent="0.25">
      <c r="A1729" s="51" t="s">
        <v>8778</v>
      </c>
      <c r="B1729" s="51" t="s">
        <v>8779</v>
      </c>
      <c r="C1729" s="54" t="s">
        <v>2356</v>
      </c>
      <c r="D1729" s="51" t="s">
        <v>8254</v>
      </c>
      <c r="E1729" s="20">
        <v>10000</v>
      </c>
      <c r="F1729" s="20">
        <v>1874.87</v>
      </c>
      <c r="G1729" s="20">
        <v>9886.3799999999992</v>
      </c>
      <c r="H1729" s="20">
        <v>627.29999999999995</v>
      </c>
      <c r="I1729" s="20">
        <v>1874.87</v>
      </c>
      <c r="J1729" s="51" t="s">
        <v>6724</v>
      </c>
      <c r="K1729" s="15">
        <v>0</v>
      </c>
      <c r="L1729" s="51" t="s">
        <v>2371</v>
      </c>
      <c r="M1729" s="51" t="s">
        <v>8780</v>
      </c>
      <c r="N1729" s="51" t="s">
        <v>1340</v>
      </c>
      <c r="O1729" s="51" t="s">
        <v>67</v>
      </c>
      <c r="P1729" s="51" t="s">
        <v>67</v>
      </c>
      <c r="Q1729" s="45">
        <v>46287.592315601854</v>
      </c>
      <c r="R1729" s="46">
        <v>46307</v>
      </c>
      <c r="S1729" s="46">
        <v>46302</v>
      </c>
      <c r="T1729" s="51" t="s">
        <v>6119</v>
      </c>
      <c r="U1729" s="15"/>
      <c r="V1729" s="15"/>
      <c r="W1729" s="15"/>
      <c r="X1729" s="15"/>
      <c r="Y1729" s="15"/>
      <c r="Z1729" s="15"/>
      <c r="AA1729" s="46"/>
      <c r="AB1729" s="15"/>
      <c r="AC1729" s="15"/>
      <c r="AD1729" s="15"/>
      <c r="AE1729" s="15"/>
      <c r="AF1729" s="15"/>
      <c r="AG1729" s="15"/>
      <c r="AH1729" s="15"/>
      <c r="AI1729" s="46"/>
      <c r="AJ1729" s="51" t="s">
        <v>67</v>
      </c>
      <c r="AK1729" s="51" t="s">
        <v>67</v>
      </c>
      <c r="AL1729" s="15"/>
      <c r="AM1729" s="51" t="s">
        <v>67</v>
      </c>
      <c r="AN1729" s="51" t="s">
        <v>67</v>
      </c>
      <c r="AO1729" s="50" t="s">
        <v>9554</v>
      </c>
    </row>
    <row r="1730" spans="1:41" hidden="1" x14ac:dyDescent="0.25">
      <c r="A1730" s="51" t="s">
        <v>8781</v>
      </c>
      <c r="B1730" s="51" t="s">
        <v>8782</v>
      </c>
      <c r="C1730" s="54" t="s">
        <v>5599</v>
      </c>
      <c r="D1730" s="51" t="s">
        <v>8783</v>
      </c>
      <c r="E1730" s="20">
        <v>10000</v>
      </c>
      <c r="F1730" s="20">
        <v>447.04</v>
      </c>
      <c r="G1730" s="20">
        <v>5186.57</v>
      </c>
      <c r="H1730" s="20">
        <v>800.47</v>
      </c>
      <c r="I1730" s="20">
        <v>447.04</v>
      </c>
      <c r="J1730" s="51" t="s">
        <v>6724</v>
      </c>
      <c r="K1730" s="15">
        <v>0</v>
      </c>
      <c r="L1730" s="51" t="s">
        <v>2371</v>
      </c>
      <c r="M1730" s="51" t="s">
        <v>8784</v>
      </c>
      <c r="N1730" s="51" t="s">
        <v>1340</v>
      </c>
      <c r="O1730" s="51" t="s">
        <v>67</v>
      </c>
      <c r="P1730" s="51" t="s">
        <v>67</v>
      </c>
      <c r="Q1730" s="45">
        <v>46287.59232077546</v>
      </c>
      <c r="R1730" s="46">
        <v>46302</v>
      </c>
      <c r="S1730" s="46">
        <v>46297</v>
      </c>
      <c r="T1730" s="51" t="s">
        <v>6119</v>
      </c>
      <c r="U1730" s="15"/>
      <c r="V1730" s="15"/>
      <c r="W1730" s="15"/>
      <c r="X1730" s="15"/>
      <c r="Y1730" s="15"/>
      <c r="Z1730" s="15"/>
      <c r="AA1730" s="46"/>
      <c r="AB1730" s="15"/>
      <c r="AC1730" s="15"/>
      <c r="AD1730" s="15"/>
      <c r="AE1730" s="15"/>
      <c r="AF1730" s="15"/>
      <c r="AG1730" s="15"/>
      <c r="AH1730" s="15"/>
      <c r="AI1730" s="46"/>
      <c r="AJ1730" s="51" t="s">
        <v>67</v>
      </c>
      <c r="AK1730" s="51" t="s">
        <v>67</v>
      </c>
      <c r="AL1730" s="15"/>
      <c r="AM1730" s="51" t="s">
        <v>67</v>
      </c>
      <c r="AN1730" s="51" t="s">
        <v>67</v>
      </c>
      <c r="AO1730" s="50" t="s">
        <v>9554</v>
      </c>
    </row>
    <row r="1731" spans="1:41" hidden="1" x14ac:dyDescent="0.25">
      <c r="A1731" s="51" t="s">
        <v>8785</v>
      </c>
      <c r="B1731" s="51" t="s">
        <v>8786</v>
      </c>
      <c r="C1731" s="54" t="s">
        <v>5603</v>
      </c>
      <c r="D1731" s="51" t="s">
        <v>8787</v>
      </c>
      <c r="E1731" s="20">
        <v>10000</v>
      </c>
      <c r="F1731" s="20">
        <v>5772.84</v>
      </c>
      <c r="G1731" s="20">
        <v>5272.64</v>
      </c>
      <c r="H1731" s="20">
        <v>1243.3800000000001</v>
      </c>
      <c r="I1731" s="20">
        <v>5772.84</v>
      </c>
      <c r="J1731" s="51" t="s">
        <v>6724</v>
      </c>
      <c r="K1731" s="15">
        <v>0</v>
      </c>
      <c r="L1731" s="51" t="s">
        <v>2371</v>
      </c>
      <c r="M1731" s="51" t="s">
        <v>8788</v>
      </c>
      <c r="N1731" s="51" t="s">
        <v>1340</v>
      </c>
      <c r="O1731" s="51" t="s">
        <v>8789</v>
      </c>
      <c r="P1731" s="51" t="s">
        <v>1340</v>
      </c>
      <c r="Q1731" s="45">
        <v>46287.592326516206</v>
      </c>
      <c r="R1731" s="46">
        <v>46298</v>
      </c>
      <c r="S1731" s="46">
        <v>46293</v>
      </c>
      <c r="T1731" s="51" t="s">
        <v>6119</v>
      </c>
      <c r="U1731" s="15"/>
      <c r="V1731" s="15"/>
      <c r="W1731" s="15"/>
      <c r="X1731" s="15"/>
      <c r="Y1731" s="15"/>
      <c r="Z1731" s="15"/>
      <c r="AA1731" s="46"/>
      <c r="AB1731" s="15"/>
      <c r="AC1731" s="15"/>
      <c r="AD1731" s="15"/>
      <c r="AE1731" s="15"/>
      <c r="AF1731" s="15"/>
      <c r="AG1731" s="15"/>
      <c r="AH1731" s="15"/>
      <c r="AI1731" s="46"/>
      <c r="AJ1731" s="51" t="s">
        <v>67</v>
      </c>
      <c r="AK1731" s="51" t="s">
        <v>67</v>
      </c>
      <c r="AL1731" s="15"/>
      <c r="AM1731" s="51" t="s">
        <v>67</v>
      </c>
      <c r="AN1731" s="51" t="s">
        <v>67</v>
      </c>
      <c r="AO1731" s="50" t="s">
        <v>9554</v>
      </c>
    </row>
    <row r="1732" spans="1:41" hidden="1" x14ac:dyDescent="0.25">
      <c r="A1732" s="51" t="s">
        <v>8790</v>
      </c>
      <c r="B1732" s="51" t="s">
        <v>8791</v>
      </c>
      <c r="C1732" s="54" t="s">
        <v>5608</v>
      </c>
      <c r="D1732" s="51" t="s">
        <v>8792</v>
      </c>
      <c r="E1732" s="20">
        <v>10000</v>
      </c>
      <c r="F1732" s="20">
        <v>347.84</v>
      </c>
      <c r="G1732" s="20">
        <v>1703.77</v>
      </c>
      <c r="H1732" s="20">
        <v>4717.5</v>
      </c>
      <c r="I1732" s="20">
        <v>347.84</v>
      </c>
      <c r="J1732" s="51" t="s">
        <v>6724</v>
      </c>
      <c r="K1732" s="15">
        <v>0</v>
      </c>
      <c r="L1732" s="51" t="s">
        <v>2371</v>
      </c>
      <c r="M1732" s="51" t="s">
        <v>67</v>
      </c>
      <c r="N1732" s="51" t="s">
        <v>67</v>
      </c>
      <c r="O1732" s="51" t="s">
        <v>8793</v>
      </c>
      <c r="P1732" s="51" t="s">
        <v>1340</v>
      </c>
      <c r="Q1732" s="45">
        <v>46287.592332384258</v>
      </c>
      <c r="R1732" s="46">
        <v>46319</v>
      </c>
      <c r="S1732" s="46">
        <v>46314</v>
      </c>
      <c r="T1732" s="51" t="s">
        <v>6119</v>
      </c>
      <c r="U1732" s="15"/>
      <c r="V1732" s="15"/>
      <c r="W1732" s="15"/>
      <c r="X1732" s="15"/>
      <c r="Y1732" s="15"/>
      <c r="Z1732" s="15"/>
      <c r="AA1732" s="46"/>
      <c r="AB1732" s="15"/>
      <c r="AC1732" s="15"/>
      <c r="AD1732" s="15"/>
      <c r="AE1732" s="15"/>
      <c r="AF1732" s="15"/>
      <c r="AG1732" s="15"/>
      <c r="AH1732" s="15"/>
      <c r="AI1732" s="46"/>
      <c r="AJ1732" s="51" t="s">
        <v>67</v>
      </c>
      <c r="AK1732" s="51" t="s">
        <v>67</v>
      </c>
      <c r="AL1732" s="15"/>
      <c r="AM1732" s="51" t="s">
        <v>67</v>
      </c>
      <c r="AN1732" s="51" t="s">
        <v>67</v>
      </c>
      <c r="AO1732" s="50" t="s">
        <v>9554</v>
      </c>
    </row>
    <row r="1733" spans="1:41" hidden="1" x14ac:dyDescent="0.25">
      <c r="A1733" s="51" t="s">
        <v>8794</v>
      </c>
      <c r="B1733" s="51" t="s">
        <v>8795</v>
      </c>
      <c r="C1733" s="54" t="s">
        <v>5605</v>
      </c>
      <c r="D1733" s="51" t="s">
        <v>8796</v>
      </c>
      <c r="E1733" s="20">
        <v>10000</v>
      </c>
      <c r="F1733" s="20">
        <v>6022.37</v>
      </c>
      <c r="G1733" s="20">
        <v>-2639.28</v>
      </c>
      <c r="H1733" s="20">
        <v>7376.89</v>
      </c>
      <c r="I1733" s="20">
        <v>6794.16</v>
      </c>
      <c r="J1733" s="51" t="s">
        <v>6726</v>
      </c>
      <c r="K1733" s="15">
        <v>0</v>
      </c>
      <c r="L1733" s="51" t="s">
        <v>2371</v>
      </c>
      <c r="M1733" s="51" t="s">
        <v>8797</v>
      </c>
      <c r="N1733" s="51" t="s">
        <v>1340</v>
      </c>
      <c r="O1733" s="51" t="s">
        <v>67</v>
      </c>
      <c r="P1733" s="51" t="s">
        <v>67</v>
      </c>
      <c r="Q1733" s="45">
        <v>46287.592337442133</v>
      </c>
      <c r="R1733" s="46">
        <v>46323</v>
      </c>
      <c r="S1733" s="46">
        <v>46318</v>
      </c>
      <c r="T1733" s="51" t="s">
        <v>6119</v>
      </c>
      <c r="U1733" s="15"/>
      <c r="V1733" s="15"/>
      <c r="W1733" s="15"/>
      <c r="X1733" s="15"/>
      <c r="Y1733" s="15"/>
      <c r="Z1733" s="15"/>
      <c r="AA1733" s="46"/>
      <c r="AB1733" s="15"/>
      <c r="AC1733" s="15"/>
      <c r="AD1733" s="15"/>
      <c r="AE1733" s="15"/>
      <c r="AF1733" s="15"/>
      <c r="AG1733" s="15"/>
      <c r="AH1733" s="15"/>
      <c r="AI1733" s="46"/>
      <c r="AJ1733" s="51" t="s">
        <v>67</v>
      </c>
      <c r="AK1733" s="51" t="s">
        <v>67</v>
      </c>
      <c r="AL1733" s="15"/>
      <c r="AM1733" s="51" t="s">
        <v>67</v>
      </c>
      <c r="AN1733" s="51" t="s">
        <v>67</v>
      </c>
      <c r="AO1733" s="50" t="s">
        <v>9554</v>
      </c>
    </row>
    <row r="1734" spans="1:41" hidden="1" x14ac:dyDescent="0.25">
      <c r="A1734" s="51" t="s">
        <v>8798</v>
      </c>
      <c r="B1734" s="51" t="s">
        <v>8799</v>
      </c>
      <c r="C1734" s="54" t="s">
        <v>2345</v>
      </c>
      <c r="D1734" s="51" t="s">
        <v>8800</v>
      </c>
      <c r="E1734" s="20">
        <v>10000</v>
      </c>
      <c r="F1734" s="20">
        <v>1195.22</v>
      </c>
      <c r="G1734" s="20">
        <v>13558.34</v>
      </c>
      <c r="H1734" s="20">
        <v>865.14</v>
      </c>
      <c r="I1734" s="20">
        <v>1195.22</v>
      </c>
      <c r="J1734" s="51" t="s">
        <v>6724</v>
      </c>
      <c r="K1734" s="15">
        <v>0</v>
      </c>
      <c r="L1734" s="51" t="s">
        <v>2371</v>
      </c>
      <c r="M1734" s="51" t="s">
        <v>8801</v>
      </c>
      <c r="N1734" s="51" t="s">
        <v>1340</v>
      </c>
      <c r="O1734" s="51" t="s">
        <v>8802</v>
      </c>
      <c r="P1734" s="51" t="s">
        <v>1340</v>
      </c>
      <c r="Q1734" s="45">
        <v>46287.592345254627</v>
      </c>
      <c r="R1734" s="46">
        <v>46306</v>
      </c>
      <c r="S1734" s="46">
        <v>46301</v>
      </c>
      <c r="T1734" s="51" t="s">
        <v>6119</v>
      </c>
      <c r="U1734" s="15"/>
      <c r="V1734" s="15"/>
      <c r="W1734" s="15"/>
      <c r="X1734" s="15"/>
      <c r="Y1734" s="15"/>
      <c r="Z1734" s="15"/>
      <c r="AA1734" s="46"/>
      <c r="AB1734" s="15"/>
      <c r="AC1734" s="15"/>
      <c r="AD1734" s="15"/>
      <c r="AE1734" s="15"/>
      <c r="AF1734" s="15"/>
      <c r="AG1734" s="15"/>
      <c r="AH1734" s="15"/>
      <c r="AI1734" s="46"/>
      <c r="AJ1734" s="51" t="s">
        <v>67</v>
      </c>
      <c r="AK1734" s="51" t="s">
        <v>67</v>
      </c>
      <c r="AL1734" s="15"/>
      <c r="AM1734" s="51" t="s">
        <v>67</v>
      </c>
      <c r="AN1734" s="51" t="s">
        <v>67</v>
      </c>
      <c r="AO1734" s="50" t="s">
        <v>9554</v>
      </c>
    </row>
    <row r="1735" spans="1:41" hidden="1" x14ac:dyDescent="0.25">
      <c r="A1735" s="51" t="s">
        <v>8803</v>
      </c>
      <c r="B1735" s="51" t="s">
        <v>8804</v>
      </c>
      <c r="C1735" s="54" t="s">
        <v>2690</v>
      </c>
      <c r="D1735" s="51" t="s">
        <v>8805</v>
      </c>
      <c r="E1735" s="20">
        <v>10000</v>
      </c>
      <c r="F1735" s="20">
        <v>422.32</v>
      </c>
      <c r="G1735" s="20">
        <v>15019.05</v>
      </c>
      <c r="H1735" s="20">
        <v>1638.53</v>
      </c>
      <c r="I1735" s="20">
        <v>1043.6099999999999</v>
      </c>
      <c r="J1735" s="51" t="s">
        <v>6726</v>
      </c>
      <c r="K1735" s="15">
        <v>0</v>
      </c>
      <c r="L1735" s="51" t="s">
        <v>2371</v>
      </c>
      <c r="M1735" s="51" t="s">
        <v>8806</v>
      </c>
      <c r="N1735" s="51" t="s">
        <v>1344</v>
      </c>
      <c r="O1735" s="51" t="s">
        <v>67</v>
      </c>
      <c r="P1735" s="51" t="s">
        <v>67</v>
      </c>
      <c r="Q1735" s="45">
        <v>46287.592368229169</v>
      </c>
      <c r="R1735" s="46">
        <v>46322</v>
      </c>
      <c r="S1735" s="46">
        <v>46317</v>
      </c>
      <c r="T1735" s="51" t="s">
        <v>6119</v>
      </c>
      <c r="U1735" s="15"/>
      <c r="V1735" s="15"/>
      <c r="W1735" s="15"/>
      <c r="X1735" s="15"/>
      <c r="Y1735" s="15"/>
      <c r="Z1735" s="15"/>
      <c r="AA1735" s="46"/>
      <c r="AB1735" s="15"/>
      <c r="AC1735" s="15"/>
      <c r="AD1735" s="15"/>
      <c r="AE1735" s="15"/>
      <c r="AF1735" s="15"/>
      <c r="AG1735" s="15"/>
      <c r="AH1735" s="15"/>
      <c r="AI1735" s="46"/>
      <c r="AJ1735" s="51" t="s">
        <v>67</v>
      </c>
      <c r="AK1735" s="51" t="s">
        <v>67</v>
      </c>
      <c r="AL1735" s="15"/>
      <c r="AM1735" s="51" t="s">
        <v>67</v>
      </c>
      <c r="AN1735" s="51" t="s">
        <v>67</v>
      </c>
      <c r="AO1735" s="50" t="s">
        <v>9554</v>
      </c>
    </row>
    <row r="1736" spans="1:41" hidden="1" x14ac:dyDescent="0.25">
      <c r="A1736" s="51" t="s">
        <v>8807</v>
      </c>
      <c r="B1736" s="51" t="s">
        <v>8808</v>
      </c>
      <c r="C1736" s="54" t="s">
        <v>2541</v>
      </c>
      <c r="D1736" s="51" t="s">
        <v>8809</v>
      </c>
      <c r="E1736" s="20">
        <v>10000</v>
      </c>
      <c r="F1736" s="20">
        <v>548.30999999999995</v>
      </c>
      <c r="G1736" s="20">
        <v>3528.77</v>
      </c>
      <c r="H1736" s="20">
        <v>571.29</v>
      </c>
      <c r="I1736" s="20">
        <v>548.30999999999995</v>
      </c>
      <c r="J1736" s="51" t="s">
        <v>6724</v>
      </c>
      <c r="K1736" s="15">
        <v>0</v>
      </c>
      <c r="L1736" s="51" t="s">
        <v>2371</v>
      </c>
      <c r="M1736" s="51" t="s">
        <v>8810</v>
      </c>
      <c r="N1736" s="51" t="s">
        <v>1340</v>
      </c>
      <c r="O1736" s="51" t="s">
        <v>8811</v>
      </c>
      <c r="P1736" s="51" t="s">
        <v>1340</v>
      </c>
      <c r="Q1736" s="45">
        <v>46287.592380995367</v>
      </c>
      <c r="R1736" s="46">
        <v>46311</v>
      </c>
      <c r="S1736" s="46">
        <v>46306</v>
      </c>
      <c r="T1736" s="51" t="s">
        <v>6119</v>
      </c>
      <c r="U1736" s="15"/>
      <c r="V1736" s="15"/>
      <c r="W1736" s="15"/>
      <c r="X1736" s="15"/>
      <c r="Y1736" s="15"/>
      <c r="Z1736" s="15"/>
      <c r="AA1736" s="46"/>
      <c r="AB1736" s="15"/>
      <c r="AC1736" s="15"/>
      <c r="AD1736" s="15"/>
      <c r="AE1736" s="15"/>
      <c r="AF1736" s="15"/>
      <c r="AG1736" s="15"/>
      <c r="AH1736" s="15"/>
      <c r="AI1736" s="46"/>
      <c r="AJ1736" s="51" t="s">
        <v>67</v>
      </c>
      <c r="AK1736" s="51" t="s">
        <v>67</v>
      </c>
      <c r="AL1736" s="15"/>
      <c r="AM1736" s="51" t="s">
        <v>67</v>
      </c>
      <c r="AN1736" s="51" t="s">
        <v>67</v>
      </c>
      <c r="AO1736" s="50" t="s">
        <v>9554</v>
      </c>
    </row>
    <row r="1737" spans="1:41" hidden="1" x14ac:dyDescent="0.25">
      <c r="A1737" s="51" t="s">
        <v>8812</v>
      </c>
      <c r="B1737" s="51" t="s">
        <v>8813</v>
      </c>
      <c r="C1737" s="54" t="s">
        <v>5602</v>
      </c>
      <c r="D1737" s="51" t="s">
        <v>8814</v>
      </c>
      <c r="E1737" s="20">
        <v>10000</v>
      </c>
      <c r="F1737" s="20">
        <v>4597.51</v>
      </c>
      <c r="G1737" s="20">
        <v>5411.33</v>
      </c>
      <c r="H1737" s="20">
        <v>45</v>
      </c>
      <c r="I1737" s="20">
        <v>4597.51</v>
      </c>
      <c r="J1737" s="51" t="s">
        <v>6724</v>
      </c>
      <c r="K1737" s="15">
        <v>0</v>
      </c>
      <c r="L1737" s="51" t="s">
        <v>2371</v>
      </c>
      <c r="M1737" s="51" t="s">
        <v>8815</v>
      </c>
      <c r="N1737" s="51" t="s">
        <v>1340</v>
      </c>
      <c r="O1737" s="51" t="s">
        <v>67</v>
      </c>
      <c r="P1737" s="51" t="s">
        <v>67</v>
      </c>
      <c r="Q1737" s="45">
        <v>46287.592386481483</v>
      </c>
      <c r="R1737" s="46">
        <v>46303</v>
      </c>
      <c r="S1737" s="46">
        <v>46298</v>
      </c>
      <c r="T1737" s="51" t="s">
        <v>6119</v>
      </c>
      <c r="U1737" s="15"/>
      <c r="V1737" s="15"/>
      <c r="W1737" s="15"/>
      <c r="X1737" s="15"/>
      <c r="Y1737" s="15"/>
      <c r="Z1737" s="15"/>
      <c r="AA1737" s="46"/>
      <c r="AB1737" s="15"/>
      <c r="AC1737" s="15"/>
      <c r="AD1737" s="15"/>
      <c r="AE1737" s="15"/>
      <c r="AF1737" s="15"/>
      <c r="AG1737" s="15"/>
      <c r="AH1737" s="15"/>
      <c r="AI1737" s="46"/>
      <c r="AJ1737" s="51" t="s">
        <v>67</v>
      </c>
      <c r="AK1737" s="51" t="s">
        <v>67</v>
      </c>
      <c r="AL1737" s="15"/>
      <c r="AM1737" s="51" t="s">
        <v>67</v>
      </c>
      <c r="AN1737" s="51" t="s">
        <v>67</v>
      </c>
      <c r="AO1737" s="50" t="s">
        <v>9554</v>
      </c>
    </row>
    <row r="1738" spans="1:41" hidden="1" x14ac:dyDescent="0.25">
      <c r="A1738" s="51" t="s">
        <v>8816</v>
      </c>
      <c r="B1738" s="51" t="s">
        <v>8817</v>
      </c>
      <c r="C1738" s="54" t="s">
        <v>5607</v>
      </c>
      <c r="D1738" s="51" t="s">
        <v>1348</v>
      </c>
      <c r="E1738" s="20">
        <v>10000</v>
      </c>
      <c r="F1738" s="20">
        <v>602.85</v>
      </c>
      <c r="G1738" s="20">
        <v>12055.69</v>
      </c>
      <c r="H1738" s="20">
        <v>1276.1600000000001</v>
      </c>
      <c r="I1738" s="20">
        <v>602.85</v>
      </c>
      <c r="J1738" s="51" t="s">
        <v>6724</v>
      </c>
      <c r="K1738" s="15">
        <v>0</v>
      </c>
      <c r="L1738" s="51" t="s">
        <v>2371</v>
      </c>
      <c r="M1738" s="51" t="s">
        <v>67</v>
      </c>
      <c r="N1738" s="51" t="s">
        <v>67</v>
      </c>
      <c r="O1738" s="51" t="s">
        <v>8818</v>
      </c>
      <c r="P1738" s="51" t="s">
        <v>1340</v>
      </c>
      <c r="Q1738" s="45">
        <v>46287.592395092594</v>
      </c>
      <c r="R1738" s="46">
        <v>46299</v>
      </c>
      <c r="S1738" s="46">
        <v>46294</v>
      </c>
      <c r="T1738" s="51" t="s">
        <v>6119</v>
      </c>
      <c r="U1738" s="15"/>
      <c r="V1738" s="15"/>
      <c r="W1738" s="15"/>
      <c r="X1738" s="15"/>
      <c r="Y1738" s="15"/>
      <c r="Z1738" s="15"/>
      <c r="AA1738" s="46"/>
      <c r="AB1738" s="15"/>
      <c r="AC1738" s="15"/>
      <c r="AD1738" s="15"/>
      <c r="AE1738" s="15"/>
      <c r="AF1738" s="15"/>
      <c r="AG1738" s="15"/>
      <c r="AH1738" s="15"/>
      <c r="AI1738" s="46"/>
      <c r="AJ1738" s="51" t="s">
        <v>67</v>
      </c>
      <c r="AK1738" s="51" t="s">
        <v>67</v>
      </c>
      <c r="AL1738" s="15"/>
      <c r="AM1738" s="51" t="s">
        <v>67</v>
      </c>
      <c r="AN1738" s="51" t="s">
        <v>67</v>
      </c>
      <c r="AO1738" s="50" t="s">
        <v>9554</v>
      </c>
    </row>
    <row r="1739" spans="1:41" hidden="1" x14ac:dyDescent="0.25">
      <c r="A1739" s="51" t="s">
        <v>8819</v>
      </c>
      <c r="B1739" s="51" t="s">
        <v>8820</v>
      </c>
      <c r="C1739" s="54" t="s">
        <v>5596</v>
      </c>
      <c r="D1739" s="51" t="s">
        <v>3004</v>
      </c>
      <c r="E1739" s="20">
        <v>10000</v>
      </c>
      <c r="F1739" s="20">
        <v>269.25</v>
      </c>
      <c r="G1739" s="20">
        <v>11134.31</v>
      </c>
      <c r="H1739" s="20">
        <v>641.53</v>
      </c>
      <c r="I1739" s="20">
        <v>269.25</v>
      </c>
      <c r="J1739" s="51" t="s">
        <v>6724</v>
      </c>
      <c r="K1739" s="15">
        <v>0</v>
      </c>
      <c r="L1739" s="51" t="s">
        <v>2371</v>
      </c>
      <c r="M1739" s="51" t="s">
        <v>8821</v>
      </c>
      <c r="N1739" s="51" t="s">
        <v>1340</v>
      </c>
      <c r="O1739" s="51" t="s">
        <v>67</v>
      </c>
      <c r="P1739" s="51" t="s">
        <v>67</v>
      </c>
      <c r="Q1739" s="45">
        <v>46287.592402268521</v>
      </c>
      <c r="R1739" s="46">
        <v>46300</v>
      </c>
      <c r="S1739" s="46">
        <v>46295</v>
      </c>
      <c r="T1739" s="51" t="s">
        <v>6119</v>
      </c>
      <c r="U1739" s="15"/>
      <c r="V1739" s="15"/>
      <c r="W1739" s="15"/>
      <c r="X1739" s="15"/>
      <c r="Y1739" s="15"/>
      <c r="Z1739" s="15"/>
      <c r="AA1739" s="46"/>
      <c r="AB1739" s="15"/>
      <c r="AC1739" s="15"/>
      <c r="AD1739" s="15"/>
      <c r="AE1739" s="15"/>
      <c r="AF1739" s="15"/>
      <c r="AG1739" s="15"/>
      <c r="AH1739" s="15"/>
      <c r="AI1739" s="46"/>
      <c r="AJ1739" s="51" t="s">
        <v>67</v>
      </c>
      <c r="AK1739" s="51" t="s">
        <v>67</v>
      </c>
      <c r="AL1739" s="15"/>
      <c r="AM1739" s="51" t="s">
        <v>67</v>
      </c>
      <c r="AN1739" s="51" t="s">
        <v>67</v>
      </c>
      <c r="AO1739" s="50" t="s">
        <v>9554</v>
      </c>
    </row>
    <row r="1740" spans="1:41" hidden="1" x14ac:dyDescent="0.25">
      <c r="A1740" s="51" t="s">
        <v>8822</v>
      </c>
      <c r="B1740" s="51" t="s">
        <v>8823</v>
      </c>
      <c r="C1740" s="54" t="s">
        <v>5600</v>
      </c>
      <c r="D1740" s="51" t="s">
        <v>8824</v>
      </c>
      <c r="E1740" s="20">
        <v>10000</v>
      </c>
      <c r="F1740" s="20">
        <v>6822.27</v>
      </c>
      <c r="G1740" s="20">
        <v>-1118.3900000000001</v>
      </c>
      <c r="H1740" s="20">
        <v>616.14</v>
      </c>
      <c r="I1740" s="20">
        <v>6822.27</v>
      </c>
      <c r="J1740" s="51" t="s">
        <v>6724</v>
      </c>
      <c r="K1740" s="15">
        <v>0</v>
      </c>
      <c r="L1740" s="51" t="s">
        <v>2371</v>
      </c>
      <c r="M1740" s="51" t="s">
        <v>8825</v>
      </c>
      <c r="N1740" s="51" t="s">
        <v>1340</v>
      </c>
      <c r="O1740" s="51" t="s">
        <v>8826</v>
      </c>
      <c r="P1740" s="51" t="s">
        <v>1340</v>
      </c>
      <c r="Q1740" s="45">
        <v>46287.592407835647</v>
      </c>
      <c r="R1740" s="46">
        <v>46304</v>
      </c>
      <c r="S1740" s="46">
        <v>46299</v>
      </c>
      <c r="T1740" s="51" t="s">
        <v>6119</v>
      </c>
      <c r="U1740" s="15"/>
      <c r="V1740" s="15"/>
      <c r="W1740" s="15"/>
      <c r="X1740" s="15"/>
      <c r="Y1740" s="15"/>
      <c r="Z1740" s="15"/>
      <c r="AA1740" s="46"/>
      <c r="AB1740" s="15"/>
      <c r="AC1740" s="15"/>
      <c r="AD1740" s="15"/>
      <c r="AE1740" s="15"/>
      <c r="AF1740" s="15"/>
      <c r="AG1740" s="15"/>
      <c r="AH1740" s="15"/>
      <c r="AI1740" s="46"/>
      <c r="AJ1740" s="51" t="s">
        <v>67</v>
      </c>
      <c r="AK1740" s="51" t="s">
        <v>67</v>
      </c>
      <c r="AL1740" s="15"/>
      <c r="AM1740" s="51" t="s">
        <v>67</v>
      </c>
      <c r="AN1740" s="51" t="s">
        <v>67</v>
      </c>
      <c r="AO1740" s="50" t="s">
        <v>9554</v>
      </c>
    </row>
    <row r="1741" spans="1:41" hidden="1" x14ac:dyDescent="0.25">
      <c r="A1741" s="51" t="s">
        <v>866</v>
      </c>
      <c r="B1741" s="51" t="s">
        <v>8827</v>
      </c>
      <c r="C1741" s="54" t="s">
        <v>5605</v>
      </c>
      <c r="D1741" s="51" t="s">
        <v>8828</v>
      </c>
      <c r="E1741" s="20">
        <v>10000</v>
      </c>
      <c r="F1741" s="20">
        <v>0</v>
      </c>
      <c r="G1741" s="20">
        <v>8398.34</v>
      </c>
      <c r="H1741" s="20">
        <v>4622.57</v>
      </c>
      <c r="I1741" s="20">
        <v>160.06</v>
      </c>
      <c r="J1741" s="51" t="s">
        <v>6726</v>
      </c>
      <c r="K1741" s="15">
        <v>0</v>
      </c>
      <c r="L1741" s="51" t="s">
        <v>2371</v>
      </c>
      <c r="M1741" s="51" t="s">
        <v>8829</v>
      </c>
      <c r="N1741" s="51" t="s">
        <v>1340</v>
      </c>
      <c r="O1741" s="51" t="s">
        <v>67</v>
      </c>
      <c r="P1741" s="51" t="s">
        <v>67</v>
      </c>
      <c r="Q1741" s="45">
        <v>46287.592415740743</v>
      </c>
      <c r="R1741" s="46">
        <v>46323</v>
      </c>
      <c r="S1741" s="46">
        <v>46318</v>
      </c>
      <c r="T1741" s="51" t="s">
        <v>6119</v>
      </c>
      <c r="U1741" s="15"/>
      <c r="V1741" s="15"/>
      <c r="W1741" s="15"/>
      <c r="X1741" s="15"/>
      <c r="Y1741" s="15"/>
      <c r="Z1741" s="15"/>
      <c r="AA1741" s="46"/>
      <c r="AB1741" s="15"/>
      <c r="AC1741" s="15"/>
      <c r="AD1741" s="15"/>
      <c r="AE1741" s="15"/>
      <c r="AF1741" s="15"/>
      <c r="AG1741" s="15"/>
      <c r="AH1741" s="15"/>
      <c r="AI1741" s="46"/>
      <c r="AJ1741" s="51" t="s">
        <v>67</v>
      </c>
      <c r="AK1741" s="51" t="s">
        <v>67</v>
      </c>
      <c r="AL1741" s="15"/>
      <c r="AM1741" s="51" t="s">
        <v>67</v>
      </c>
      <c r="AN1741" s="51" t="s">
        <v>67</v>
      </c>
      <c r="AO1741" s="50" t="s">
        <v>9554</v>
      </c>
    </row>
    <row r="1742" spans="1:41" hidden="1" x14ac:dyDescent="0.25">
      <c r="A1742" s="51" t="s">
        <v>8830</v>
      </c>
      <c r="B1742" s="51" t="s">
        <v>8831</v>
      </c>
      <c r="C1742" s="54" t="s">
        <v>611</v>
      </c>
      <c r="D1742" s="51" t="s">
        <v>8832</v>
      </c>
      <c r="E1742" s="20">
        <v>10000</v>
      </c>
      <c r="F1742" s="20">
        <v>333.39</v>
      </c>
      <c r="G1742" s="20">
        <v>14573.71</v>
      </c>
      <c r="H1742" s="20">
        <v>353.22</v>
      </c>
      <c r="I1742" s="20">
        <v>333.39</v>
      </c>
      <c r="J1742" s="51" t="s">
        <v>6724</v>
      </c>
      <c r="K1742" s="15">
        <v>0</v>
      </c>
      <c r="L1742" s="51" t="s">
        <v>2371</v>
      </c>
      <c r="M1742" s="51" t="s">
        <v>8833</v>
      </c>
      <c r="N1742" s="51" t="s">
        <v>1340</v>
      </c>
      <c r="O1742" s="51" t="s">
        <v>8834</v>
      </c>
      <c r="P1742" s="51" t="s">
        <v>1340</v>
      </c>
      <c r="Q1742" s="45">
        <v>46287.592421134257</v>
      </c>
      <c r="R1742" s="46">
        <v>46320</v>
      </c>
      <c r="S1742" s="46">
        <v>46315</v>
      </c>
      <c r="T1742" s="51" t="s">
        <v>6119</v>
      </c>
      <c r="U1742" s="15"/>
      <c r="V1742" s="15"/>
      <c r="W1742" s="15"/>
      <c r="X1742" s="15"/>
      <c r="Y1742" s="15"/>
      <c r="Z1742" s="15"/>
      <c r="AA1742" s="46"/>
      <c r="AB1742" s="15"/>
      <c r="AC1742" s="15"/>
      <c r="AD1742" s="15"/>
      <c r="AE1742" s="15"/>
      <c r="AF1742" s="15"/>
      <c r="AG1742" s="15"/>
      <c r="AH1742" s="15"/>
      <c r="AI1742" s="46"/>
      <c r="AJ1742" s="51" t="s">
        <v>67</v>
      </c>
      <c r="AK1742" s="51" t="s">
        <v>67</v>
      </c>
      <c r="AL1742" s="15"/>
      <c r="AM1742" s="51" t="s">
        <v>67</v>
      </c>
      <c r="AN1742" s="51" t="s">
        <v>67</v>
      </c>
      <c r="AO1742" s="50" t="s">
        <v>9554</v>
      </c>
    </row>
    <row r="1743" spans="1:41" hidden="1" x14ac:dyDescent="0.25">
      <c r="A1743" s="51" t="s">
        <v>8835</v>
      </c>
      <c r="B1743" s="51" t="s">
        <v>8836</v>
      </c>
      <c r="C1743" s="54" t="s">
        <v>607</v>
      </c>
      <c r="D1743" s="51" t="s">
        <v>8483</v>
      </c>
      <c r="E1743" s="20">
        <v>10000</v>
      </c>
      <c r="F1743" s="20">
        <v>723.37</v>
      </c>
      <c r="G1743" s="20">
        <v>5810.28</v>
      </c>
      <c r="H1743" s="20">
        <v>253.08</v>
      </c>
      <c r="I1743" s="20">
        <v>723.37</v>
      </c>
      <c r="J1743" s="51" t="s">
        <v>6724</v>
      </c>
      <c r="K1743" s="15">
        <v>0</v>
      </c>
      <c r="L1743" s="51" t="s">
        <v>2371</v>
      </c>
      <c r="M1743" s="51" t="s">
        <v>8837</v>
      </c>
      <c r="N1743" s="51" t="s">
        <v>1340</v>
      </c>
      <c r="O1743" s="51" t="s">
        <v>8838</v>
      </c>
      <c r="P1743" s="51" t="s">
        <v>1340</v>
      </c>
      <c r="Q1743" s="45">
        <v>46287.592428055556</v>
      </c>
      <c r="R1743" s="46">
        <v>46310</v>
      </c>
      <c r="S1743" s="46">
        <v>46305</v>
      </c>
      <c r="T1743" s="51" t="s">
        <v>6119</v>
      </c>
      <c r="U1743" s="15"/>
      <c r="V1743" s="15"/>
      <c r="W1743" s="15"/>
      <c r="X1743" s="15"/>
      <c r="Y1743" s="15"/>
      <c r="Z1743" s="15"/>
      <c r="AA1743" s="46"/>
      <c r="AB1743" s="15"/>
      <c r="AC1743" s="15"/>
      <c r="AD1743" s="15"/>
      <c r="AE1743" s="15"/>
      <c r="AF1743" s="15"/>
      <c r="AG1743" s="15"/>
      <c r="AH1743" s="15"/>
      <c r="AI1743" s="46"/>
      <c r="AJ1743" s="51" t="s">
        <v>67</v>
      </c>
      <c r="AK1743" s="51" t="s">
        <v>67</v>
      </c>
      <c r="AL1743" s="15"/>
      <c r="AM1743" s="51" t="s">
        <v>67</v>
      </c>
      <c r="AN1743" s="51" t="s">
        <v>67</v>
      </c>
      <c r="AO1743" s="50" t="s">
        <v>9554</v>
      </c>
    </row>
    <row r="1744" spans="1:41" hidden="1" x14ac:dyDescent="0.25">
      <c r="A1744" s="51" t="s">
        <v>8839</v>
      </c>
      <c r="B1744" s="51" t="s">
        <v>8840</v>
      </c>
      <c r="C1744" s="54" t="s">
        <v>605</v>
      </c>
      <c r="D1744" s="51" t="s">
        <v>8841</v>
      </c>
      <c r="E1744" s="20">
        <v>10000</v>
      </c>
      <c r="F1744" s="20">
        <v>279.77999999999997</v>
      </c>
      <c r="G1744" s="20">
        <v>9683.2000000000007</v>
      </c>
      <c r="H1744" s="20">
        <v>373.47</v>
      </c>
      <c r="I1744" s="20">
        <v>279.77999999999997</v>
      </c>
      <c r="J1744" s="51" t="s">
        <v>6724</v>
      </c>
      <c r="K1744" s="15">
        <v>0</v>
      </c>
      <c r="L1744" s="51" t="s">
        <v>2371</v>
      </c>
      <c r="M1744" s="51" t="s">
        <v>8842</v>
      </c>
      <c r="N1744" s="51" t="s">
        <v>1344</v>
      </c>
      <c r="O1744" s="51" t="s">
        <v>67</v>
      </c>
      <c r="P1744" s="51" t="s">
        <v>67</v>
      </c>
      <c r="Q1744" s="45">
        <v>46287.592433425925</v>
      </c>
      <c r="R1744" s="46">
        <v>46305</v>
      </c>
      <c r="S1744" s="46">
        <v>46300</v>
      </c>
      <c r="T1744" s="51" t="s">
        <v>6119</v>
      </c>
      <c r="U1744" s="15"/>
      <c r="V1744" s="15"/>
      <c r="W1744" s="15"/>
      <c r="X1744" s="15"/>
      <c r="Y1744" s="15"/>
      <c r="Z1744" s="15"/>
      <c r="AA1744" s="46"/>
      <c r="AB1744" s="15"/>
      <c r="AC1744" s="15"/>
      <c r="AD1744" s="15"/>
      <c r="AE1744" s="15"/>
      <c r="AF1744" s="15"/>
      <c r="AG1744" s="15"/>
      <c r="AH1744" s="15"/>
      <c r="AI1744" s="46"/>
      <c r="AJ1744" s="51" t="s">
        <v>67</v>
      </c>
      <c r="AK1744" s="51" t="s">
        <v>67</v>
      </c>
      <c r="AL1744" s="15"/>
      <c r="AM1744" s="51" t="s">
        <v>67</v>
      </c>
      <c r="AN1744" s="51" t="s">
        <v>67</v>
      </c>
      <c r="AO1744" s="50" t="s">
        <v>9554</v>
      </c>
    </row>
    <row r="1745" spans="1:41" hidden="1" x14ac:dyDescent="0.25">
      <c r="A1745" s="51" t="s">
        <v>8843</v>
      </c>
      <c r="B1745" s="51" t="s">
        <v>8844</v>
      </c>
      <c r="C1745" s="54" t="s">
        <v>2693</v>
      </c>
      <c r="D1745" s="51" t="s">
        <v>8845</v>
      </c>
      <c r="E1745" s="20">
        <v>10000</v>
      </c>
      <c r="F1745" s="20">
        <v>942.9</v>
      </c>
      <c r="G1745" s="20">
        <v>10649.32</v>
      </c>
      <c r="H1745" s="20">
        <v>394.95</v>
      </c>
      <c r="I1745" s="20">
        <v>756.46</v>
      </c>
      <c r="J1745" s="51" t="s">
        <v>6724</v>
      </c>
      <c r="K1745" s="15">
        <v>0</v>
      </c>
      <c r="L1745" s="51" t="s">
        <v>2371</v>
      </c>
      <c r="M1745" s="51" t="s">
        <v>8846</v>
      </c>
      <c r="N1745" s="51" t="s">
        <v>1340</v>
      </c>
      <c r="O1745" s="51" t="s">
        <v>67</v>
      </c>
      <c r="P1745" s="51" t="s">
        <v>67</v>
      </c>
      <c r="Q1745" s="45">
        <v>46287.592439571759</v>
      </c>
      <c r="R1745" s="46">
        <v>46314</v>
      </c>
      <c r="S1745" s="46">
        <v>46309</v>
      </c>
      <c r="T1745" s="51" t="s">
        <v>6119</v>
      </c>
      <c r="U1745" s="15"/>
      <c r="V1745" s="15"/>
      <c r="W1745" s="15"/>
      <c r="X1745" s="15"/>
      <c r="Y1745" s="15"/>
      <c r="Z1745" s="15"/>
      <c r="AA1745" s="46"/>
      <c r="AB1745" s="15"/>
      <c r="AC1745" s="15"/>
      <c r="AD1745" s="15"/>
      <c r="AE1745" s="15"/>
      <c r="AF1745" s="15"/>
      <c r="AG1745" s="15"/>
      <c r="AH1745" s="15"/>
      <c r="AI1745" s="46"/>
      <c r="AJ1745" s="51" t="s">
        <v>67</v>
      </c>
      <c r="AK1745" s="51" t="s">
        <v>67</v>
      </c>
      <c r="AL1745" s="15"/>
      <c r="AM1745" s="51" t="s">
        <v>67</v>
      </c>
      <c r="AN1745" s="51" t="s">
        <v>67</v>
      </c>
      <c r="AO1745" s="50" t="s">
        <v>9554</v>
      </c>
    </row>
    <row r="1746" spans="1:41" hidden="1" x14ac:dyDescent="0.25">
      <c r="A1746" s="51" t="s">
        <v>8847</v>
      </c>
      <c r="B1746" s="51" t="s">
        <v>8848</v>
      </c>
      <c r="C1746" s="54" t="s">
        <v>5604</v>
      </c>
      <c r="D1746" s="51" t="s">
        <v>8849</v>
      </c>
      <c r="E1746" s="20">
        <v>10000</v>
      </c>
      <c r="F1746" s="20">
        <v>179.27</v>
      </c>
      <c r="G1746" s="20">
        <v>21569.37</v>
      </c>
      <c r="H1746" s="20">
        <v>434.96</v>
      </c>
      <c r="I1746" s="20">
        <v>15</v>
      </c>
      <c r="J1746" s="51" t="s">
        <v>6724</v>
      </c>
      <c r="K1746" s="15">
        <v>0</v>
      </c>
      <c r="L1746" s="51" t="s">
        <v>2371</v>
      </c>
      <c r="M1746" s="51" t="s">
        <v>67</v>
      </c>
      <c r="N1746" s="51" t="s">
        <v>67</v>
      </c>
      <c r="O1746" s="51" t="s">
        <v>8850</v>
      </c>
      <c r="P1746" s="51" t="s">
        <v>1340</v>
      </c>
      <c r="Q1746" s="45">
        <v>46287.592444664355</v>
      </c>
      <c r="R1746" s="46">
        <v>46313</v>
      </c>
      <c r="S1746" s="46">
        <v>46308</v>
      </c>
      <c r="T1746" s="51" t="s">
        <v>6119</v>
      </c>
      <c r="U1746" s="15"/>
      <c r="V1746" s="15"/>
      <c r="W1746" s="15"/>
      <c r="X1746" s="15"/>
      <c r="Y1746" s="15"/>
      <c r="Z1746" s="15"/>
      <c r="AA1746" s="46"/>
      <c r="AB1746" s="15"/>
      <c r="AC1746" s="15"/>
      <c r="AD1746" s="15"/>
      <c r="AE1746" s="15"/>
      <c r="AF1746" s="15"/>
      <c r="AG1746" s="15"/>
      <c r="AH1746" s="15"/>
      <c r="AI1746" s="46"/>
      <c r="AJ1746" s="51" t="s">
        <v>67</v>
      </c>
      <c r="AK1746" s="51" t="s">
        <v>67</v>
      </c>
      <c r="AL1746" s="15"/>
      <c r="AM1746" s="51" t="s">
        <v>67</v>
      </c>
      <c r="AN1746" s="51" t="s">
        <v>67</v>
      </c>
      <c r="AO1746" s="50" t="s">
        <v>9554</v>
      </c>
    </row>
    <row r="1747" spans="1:41" hidden="1" x14ac:dyDescent="0.25">
      <c r="A1747" s="51" t="s">
        <v>8851</v>
      </c>
      <c r="B1747" s="51" t="s">
        <v>8852</v>
      </c>
      <c r="C1747" s="54" t="s">
        <v>608</v>
      </c>
      <c r="D1747" s="51" t="s">
        <v>8853</v>
      </c>
      <c r="E1747" s="20">
        <v>10000</v>
      </c>
      <c r="F1747" s="20">
        <v>767.77</v>
      </c>
      <c r="G1747" s="20">
        <v>12099.52</v>
      </c>
      <c r="H1747" s="20">
        <v>4172.87</v>
      </c>
      <c r="I1747" s="20">
        <v>722.87</v>
      </c>
      <c r="J1747" s="51" t="s">
        <v>6724</v>
      </c>
      <c r="K1747" s="15">
        <v>0</v>
      </c>
      <c r="L1747" s="51" t="s">
        <v>2371</v>
      </c>
      <c r="M1747" s="51" t="s">
        <v>8854</v>
      </c>
      <c r="N1747" s="51" t="s">
        <v>1340</v>
      </c>
      <c r="O1747" s="51" t="s">
        <v>8855</v>
      </c>
      <c r="P1747" s="51" t="s">
        <v>1340</v>
      </c>
      <c r="Q1747" s="45">
        <v>46287.592451921293</v>
      </c>
      <c r="R1747" s="46">
        <v>46315</v>
      </c>
      <c r="S1747" s="46">
        <v>46310</v>
      </c>
      <c r="T1747" s="51" t="s">
        <v>6119</v>
      </c>
      <c r="U1747" s="15"/>
      <c r="V1747" s="15"/>
      <c r="W1747" s="15"/>
      <c r="X1747" s="15"/>
      <c r="Y1747" s="15"/>
      <c r="Z1747" s="15"/>
      <c r="AA1747" s="46"/>
      <c r="AB1747" s="15"/>
      <c r="AC1747" s="15"/>
      <c r="AD1747" s="15"/>
      <c r="AE1747" s="15"/>
      <c r="AF1747" s="15"/>
      <c r="AG1747" s="15"/>
      <c r="AH1747" s="15"/>
      <c r="AI1747" s="46"/>
      <c r="AJ1747" s="51" t="s">
        <v>67</v>
      </c>
      <c r="AK1747" s="51" t="s">
        <v>67</v>
      </c>
      <c r="AL1747" s="15"/>
      <c r="AM1747" s="51" t="s">
        <v>67</v>
      </c>
      <c r="AN1747" s="51" t="s">
        <v>67</v>
      </c>
      <c r="AO1747" s="50" t="s">
        <v>9554</v>
      </c>
    </row>
    <row r="1748" spans="1:41" hidden="1" x14ac:dyDescent="0.25">
      <c r="A1748" s="51" t="s">
        <v>8856</v>
      </c>
      <c r="B1748" s="51" t="s">
        <v>8857</v>
      </c>
      <c r="C1748" s="54" t="s">
        <v>2358</v>
      </c>
      <c r="D1748" s="51" t="s">
        <v>8858</v>
      </c>
      <c r="E1748" s="20">
        <v>10000</v>
      </c>
      <c r="F1748" s="20">
        <v>506.57</v>
      </c>
      <c r="G1748" s="20">
        <v>8298.59</v>
      </c>
      <c r="H1748" s="20">
        <v>650.97</v>
      </c>
      <c r="I1748" s="20">
        <v>506.57</v>
      </c>
      <c r="J1748" s="51" t="s">
        <v>6724</v>
      </c>
      <c r="K1748" s="15">
        <v>0</v>
      </c>
      <c r="L1748" s="51" t="s">
        <v>2371</v>
      </c>
      <c r="M1748" s="51" t="s">
        <v>8859</v>
      </c>
      <c r="N1748" s="51" t="s">
        <v>1340</v>
      </c>
      <c r="O1748" s="51" t="s">
        <v>8860</v>
      </c>
      <c r="P1748" s="51" t="s">
        <v>1340</v>
      </c>
      <c r="Q1748" s="45">
        <v>46287.592459548614</v>
      </c>
      <c r="R1748" s="46">
        <v>46309</v>
      </c>
      <c r="S1748" s="46">
        <v>46304</v>
      </c>
      <c r="T1748" s="51" t="s">
        <v>6119</v>
      </c>
      <c r="U1748" s="15"/>
      <c r="V1748" s="15"/>
      <c r="W1748" s="15"/>
      <c r="X1748" s="15"/>
      <c r="Y1748" s="15"/>
      <c r="Z1748" s="15"/>
      <c r="AA1748" s="46"/>
      <c r="AB1748" s="15"/>
      <c r="AC1748" s="15"/>
      <c r="AD1748" s="15"/>
      <c r="AE1748" s="15"/>
      <c r="AF1748" s="15"/>
      <c r="AG1748" s="15"/>
      <c r="AH1748" s="15"/>
      <c r="AI1748" s="46"/>
      <c r="AJ1748" s="51" t="s">
        <v>67</v>
      </c>
      <c r="AK1748" s="51" t="s">
        <v>67</v>
      </c>
      <c r="AL1748" s="15"/>
      <c r="AM1748" s="51" t="s">
        <v>67</v>
      </c>
      <c r="AN1748" s="51" t="s">
        <v>67</v>
      </c>
      <c r="AO1748" s="50" t="s">
        <v>9554</v>
      </c>
    </row>
    <row r="1749" spans="1:41" hidden="1" x14ac:dyDescent="0.25">
      <c r="A1749" s="51" t="s">
        <v>8861</v>
      </c>
      <c r="B1749" s="51" t="s">
        <v>8862</v>
      </c>
      <c r="C1749" s="54" t="s">
        <v>2693</v>
      </c>
      <c r="D1749" s="51" t="s">
        <v>8863</v>
      </c>
      <c r="E1749" s="20">
        <v>10000</v>
      </c>
      <c r="F1749" s="20">
        <v>1508.88</v>
      </c>
      <c r="G1749" s="20">
        <v>14194.52</v>
      </c>
      <c r="H1749" s="20">
        <v>856.75</v>
      </c>
      <c r="I1749" s="20">
        <v>1493.88</v>
      </c>
      <c r="J1749" s="51" t="s">
        <v>6724</v>
      </c>
      <c r="K1749" s="15">
        <v>0</v>
      </c>
      <c r="L1749" s="51" t="s">
        <v>2371</v>
      </c>
      <c r="M1749" s="51" t="s">
        <v>8864</v>
      </c>
      <c r="N1749" s="51" t="s">
        <v>1340</v>
      </c>
      <c r="O1749" s="51" t="s">
        <v>8865</v>
      </c>
      <c r="P1749" s="51" t="s">
        <v>1340</v>
      </c>
      <c r="Q1749" s="45">
        <v>46287.592467245369</v>
      </c>
      <c r="R1749" s="46">
        <v>46314</v>
      </c>
      <c r="S1749" s="46">
        <v>46309</v>
      </c>
      <c r="T1749" s="51" t="s">
        <v>6119</v>
      </c>
      <c r="U1749" s="15"/>
      <c r="V1749" s="15"/>
      <c r="W1749" s="15"/>
      <c r="X1749" s="15"/>
      <c r="Y1749" s="15"/>
      <c r="Z1749" s="15"/>
      <c r="AA1749" s="46"/>
      <c r="AB1749" s="15"/>
      <c r="AC1749" s="15"/>
      <c r="AD1749" s="15"/>
      <c r="AE1749" s="15"/>
      <c r="AF1749" s="15"/>
      <c r="AG1749" s="15"/>
      <c r="AH1749" s="15"/>
      <c r="AI1749" s="46"/>
      <c r="AJ1749" s="51" t="s">
        <v>67</v>
      </c>
      <c r="AK1749" s="51" t="s">
        <v>67</v>
      </c>
      <c r="AL1749" s="15"/>
      <c r="AM1749" s="51" t="s">
        <v>67</v>
      </c>
      <c r="AN1749" s="51" t="s">
        <v>67</v>
      </c>
      <c r="AO1749" s="50" t="s">
        <v>9554</v>
      </c>
    </row>
    <row r="1750" spans="1:41" hidden="1" x14ac:dyDescent="0.25">
      <c r="A1750" s="51" t="s">
        <v>8866</v>
      </c>
      <c r="B1750" s="51" t="s">
        <v>8867</v>
      </c>
      <c r="C1750" s="54" t="s">
        <v>5605</v>
      </c>
      <c r="D1750" s="51" t="s">
        <v>8868</v>
      </c>
      <c r="E1750" s="20">
        <v>10000</v>
      </c>
      <c r="F1750" s="20">
        <v>205.25</v>
      </c>
      <c r="G1750" s="20">
        <v>11703.35</v>
      </c>
      <c r="H1750" s="20">
        <v>912.47</v>
      </c>
      <c r="I1750" s="20">
        <v>565.95000000000005</v>
      </c>
      <c r="J1750" s="51" t="s">
        <v>6726</v>
      </c>
      <c r="K1750" s="15">
        <v>0</v>
      </c>
      <c r="L1750" s="51" t="s">
        <v>2371</v>
      </c>
      <c r="M1750" s="51" t="s">
        <v>8869</v>
      </c>
      <c r="N1750" s="51" t="s">
        <v>1344</v>
      </c>
      <c r="O1750" s="51" t="s">
        <v>67</v>
      </c>
      <c r="P1750" s="51" t="s">
        <v>67</v>
      </c>
      <c r="Q1750" s="45">
        <v>46287.592475509256</v>
      </c>
      <c r="R1750" s="46">
        <v>46323</v>
      </c>
      <c r="S1750" s="46">
        <v>46318</v>
      </c>
      <c r="T1750" s="51" t="s">
        <v>6119</v>
      </c>
      <c r="U1750" s="15"/>
      <c r="V1750" s="15"/>
      <c r="W1750" s="15"/>
      <c r="X1750" s="15"/>
      <c r="Y1750" s="15"/>
      <c r="Z1750" s="15"/>
      <c r="AA1750" s="46"/>
      <c r="AB1750" s="15"/>
      <c r="AC1750" s="15"/>
      <c r="AD1750" s="15"/>
      <c r="AE1750" s="15"/>
      <c r="AF1750" s="15"/>
      <c r="AG1750" s="15"/>
      <c r="AH1750" s="15"/>
      <c r="AI1750" s="46"/>
      <c r="AJ1750" s="51" t="s">
        <v>67</v>
      </c>
      <c r="AK1750" s="51" t="s">
        <v>67</v>
      </c>
      <c r="AL1750" s="15"/>
      <c r="AM1750" s="51" t="s">
        <v>67</v>
      </c>
      <c r="AN1750" s="51" t="s">
        <v>67</v>
      </c>
      <c r="AO1750" s="50" t="s">
        <v>9554</v>
      </c>
    </row>
    <row r="1751" spans="1:41" hidden="1" x14ac:dyDescent="0.25">
      <c r="A1751" s="51" t="s">
        <v>8870</v>
      </c>
      <c r="B1751" s="51" t="s">
        <v>8871</v>
      </c>
      <c r="C1751" s="54" t="s">
        <v>5602</v>
      </c>
      <c r="D1751" s="51" t="s">
        <v>8872</v>
      </c>
      <c r="E1751" s="20">
        <v>10000</v>
      </c>
      <c r="F1751" s="20">
        <v>605.15</v>
      </c>
      <c r="G1751" s="20">
        <v>14858.14</v>
      </c>
      <c r="H1751" s="20">
        <v>1744.67</v>
      </c>
      <c r="I1751" s="20">
        <v>605.15</v>
      </c>
      <c r="J1751" s="51" t="s">
        <v>6724</v>
      </c>
      <c r="K1751" s="15">
        <v>0</v>
      </c>
      <c r="L1751" s="51" t="s">
        <v>2371</v>
      </c>
      <c r="M1751" s="51" t="s">
        <v>67</v>
      </c>
      <c r="N1751" s="51" t="s">
        <v>67</v>
      </c>
      <c r="O1751" s="51" t="s">
        <v>8873</v>
      </c>
      <c r="P1751" s="51" t="s">
        <v>1344</v>
      </c>
      <c r="Q1751" s="45">
        <v>46287.592483611108</v>
      </c>
      <c r="R1751" s="46">
        <v>46303</v>
      </c>
      <c r="S1751" s="46">
        <v>46298</v>
      </c>
      <c r="T1751" s="51" t="s">
        <v>6119</v>
      </c>
      <c r="U1751" s="15"/>
      <c r="V1751" s="15"/>
      <c r="W1751" s="15"/>
      <c r="X1751" s="15"/>
      <c r="Y1751" s="15"/>
      <c r="Z1751" s="15"/>
      <c r="AA1751" s="46"/>
      <c r="AB1751" s="15"/>
      <c r="AC1751" s="15"/>
      <c r="AD1751" s="15"/>
      <c r="AE1751" s="15"/>
      <c r="AF1751" s="15"/>
      <c r="AG1751" s="15"/>
      <c r="AH1751" s="15"/>
      <c r="AI1751" s="46"/>
      <c r="AJ1751" s="51" t="s">
        <v>67</v>
      </c>
      <c r="AK1751" s="51" t="s">
        <v>67</v>
      </c>
      <c r="AL1751" s="15"/>
      <c r="AM1751" s="51" t="s">
        <v>67</v>
      </c>
      <c r="AN1751" s="51" t="s">
        <v>67</v>
      </c>
      <c r="AO1751" s="50" t="s">
        <v>9554</v>
      </c>
    </row>
    <row r="1752" spans="1:41" hidden="1" x14ac:dyDescent="0.25">
      <c r="A1752" s="51" t="s">
        <v>8874</v>
      </c>
      <c r="B1752" s="51" t="s">
        <v>8875</v>
      </c>
      <c r="C1752" s="54" t="s">
        <v>5601</v>
      </c>
      <c r="D1752" s="51" t="s">
        <v>8876</v>
      </c>
      <c r="E1752" s="20">
        <v>10000</v>
      </c>
      <c r="F1752" s="20">
        <v>717.24</v>
      </c>
      <c r="G1752" s="20">
        <v>8021.15</v>
      </c>
      <c r="H1752" s="20">
        <v>6336.17</v>
      </c>
      <c r="I1752" s="20">
        <v>133.62</v>
      </c>
      <c r="J1752" s="51" t="s">
        <v>6724</v>
      </c>
      <c r="K1752" s="15">
        <v>0</v>
      </c>
      <c r="L1752" s="51" t="s">
        <v>2371</v>
      </c>
      <c r="M1752" s="51" t="s">
        <v>8877</v>
      </c>
      <c r="N1752" s="51" t="s">
        <v>1344</v>
      </c>
      <c r="O1752" s="51" t="s">
        <v>8878</v>
      </c>
      <c r="P1752" s="51" t="s">
        <v>1344</v>
      </c>
      <c r="Q1752" s="45">
        <v>46287.592489884257</v>
      </c>
      <c r="R1752" s="46">
        <v>46316</v>
      </c>
      <c r="S1752" s="46">
        <v>46311</v>
      </c>
      <c r="T1752" s="51" t="s">
        <v>6119</v>
      </c>
      <c r="U1752" s="15"/>
      <c r="V1752" s="15"/>
      <c r="W1752" s="15"/>
      <c r="X1752" s="15"/>
      <c r="Y1752" s="15"/>
      <c r="Z1752" s="15"/>
      <c r="AA1752" s="46"/>
      <c r="AB1752" s="15"/>
      <c r="AC1752" s="15"/>
      <c r="AD1752" s="15"/>
      <c r="AE1752" s="15"/>
      <c r="AF1752" s="15"/>
      <c r="AG1752" s="15"/>
      <c r="AH1752" s="15"/>
      <c r="AI1752" s="46"/>
      <c r="AJ1752" s="51" t="s">
        <v>67</v>
      </c>
      <c r="AK1752" s="51" t="s">
        <v>67</v>
      </c>
      <c r="AL1752" s="15"/>
      <c r="AM1752" s="51" t="s">
        <v>67</v>
      </c>
      <c r="AN1752" s="51" t="s">
        <v>67</v>
      </c>
      <c r="AO1752" s="50" t="s">
        <v>9554</v>
      </c>
    </row>
    <row r="1753" spans="1:41" hidden="1" x14ac:dyDescent="0.25">
      <c r="A1753" s="51" t="s">
        <v>8879</v>
      </c>
      <c r="B1753" s="51" t="s">
        <v>8880</v>
      </c>
      <c r="C1753" s="54" t="s">
        <v>2690</v>
      </c>
      <c r="D1753" s="51" t="s">
        <v>8881</v>
      </c>
      <c r="E1753" s="20">
        <v>10000</v>
      </c>
      <c r="F1753" s="20">
        <v>0</v>
      </c>
      <c r="G1753" s="20">
        <v>13801.01</v>
      </c>
      <c r="H1753" s="20">
        <v>1055.75</v>
      </c>
      <c r="I1753" s="20">
        <v>364.48</v>
      </c>
      <c r="J1753" s="51" t="s">
        <v>6726</v>
      </c>
      <c r="K1753" s="15">
        <v>0</v>
      </c>
      <c r="L1753" s="51" t="s">
        <v>2371</v>
      </c>
      <c r="M1753" s="51" t="s">
        <v>8882</v>
      </c>
      <c r="N1753" s="51" t="s">
        <v>1344</v>
      </c>
      <c r="O1753" s="51" t="s">
        <v>67</v>
      </c>
      <c r="P1753" s="51" t="s">
        <v>67</v>
      </c>
      <c r="Q1753" s="45">
        <v>46287.593057430553</v>
      </c>
      <c r="R1753" s="46">
        <v>46322</v>
      </c>
      <c r="S1753" s="46">
        <v>46317</v>
      </c>
      <c r="T1753" s="51" t="s">
        <v>6119</v>
      </c>
      <c r="U1753" s="15"/>
      <c r="V1753" s="15"/>
      <c r="W1753" s="15"/>
      <c r="X1753" s="15"/>
      <c r="Y1753" s="15"/>
      <c r="Z1753" s="15"/>
      <c r="AA1753" s="46"/>
      <c r="AB1753" s="15"/>
      <c r="AC1753" s="15"/>
      <c r="AD1753" s="15"/>
      <c r="AE1753" s="15"/>
      <c r="AF1753" s="15"/>
      <c r="AG1753" s="15"/>
      <c r="AH1753" s="15"/>
      <c r="AI1753" s="46"/>
      <c r="AJ1753" s="51" t="s">
        <v>67</v>
      </c>
      <c r="AK1753" s="51" t="s">
        <v>67</v>
      </c>
      <c r="AL1753" s="15"/>
      <c r="AM1753" s="51" t="s">
        <v>67</v>
      </c>
      <c r="AN1753" s="51" t="s">
        <v>67</v>
      </c>
      <c r="AO1753" s="50" t="s">
        <v>9554</v>
      </c>
    </row>
    <row r="1754" spans="1:41" hidden="1" x14ac:dyDescent="0.25">
      <c r="A1754" s="51" t="s">
        <v>8883</v>
      </c>
      <c r="B1754" s="51" t="s">
        <v>8884</v>
      </c>
      <c r="C1754" s="54" t="s">
        <v>2693</v>
      </c>
      <c r="D1754" s="51" t="s">
        <v>8885</v>
      </c>
      <c r="E1754" s="20">
        <v>10000</v>
      </c>
      <c r="F1754" s="20">
        <v>593.49</v>
      </c>
      <c r="G1754" s="20">
        <v>16717.52</v>
      </c>
      <c r="H1754" s="20">
        <v>877.96</v>
      </c>
      <c r="I1754" s="20">
        <v>220.02</v>
      </c>
      <c r="J1754" s="51" t="s">
        <v>6724</v>
      </c>
      <c r="K1754" s="15">
        <v>0</v>
      </c>
      <c r="L1754" s="51" t="s">
        <v>2371</v>
      </c>
      <c r="M1754" s="51" t="s">
        <v>8886</v>
      </c>
      <c r="N1754" s="51" t="s">
        <v>1340</v>
      </c>
      <c r="O1754" s="51" t="s">
        <v>67</v>
      </c>
      <c r="P1754" s="51" t="s">
        <v>67</v>
      </c>
      <c r="Q1754" s="45">
        <v>46287.593062071763</v>
      </c>
      <c r="R1754" s="46">
        <v>46314</v>
      </c>
      <c r="S1754" s="46">
        <v>46309</v>
      </c>
      <c r="T1754" s="51" t="s">
        <v>6119</v>
      </c>
      <c r="U1754" s="15"/>
      <c r="V1754" s="15"/>
      <c r="W1754" s="15"/>
      <c r="X1754" s="15"/>
      <c r="Y1754" s="15"/>
      <c r="Z1754" s="15"/>
      <c r="AA1754" s="46"/>
      <c r="AB1754" s="15"/>
      <c r="AC1754" s="15"/>
      <c r="AD1754" s="15"/>
      <c r="AE1754" s="15"/>
      <c r="AF1754" s="15"/>
      <c r="AG1754" s="15"/>
      <c r="AH1754" s="15"/>
      <c r="AI1754" s="46"/>
      <c r="AJ1754" s="51" t="s">
        <v>67</v>
      </c>
      <c r="AK1754" s="51" t="s">
        <v>67</v>
      </c>
      <c r="AL1754" s="15"/>
      <c r="AM1754" s="51" t="s">
        <v>67</v>
      </c>
      <c r="AN1754" s="51" t="s">
        <v>67</v>
      </c>
      <c r="AO1754" s="50" t="s">
        <v>9554</v>
      </c>
    </row>
    <row r="1755" spans="1:41" hidden="1" x14ac:dyDescent="0.25">
      <c r="A1755" s="51" t="s">
        <v>8887</v>
      </c>
      <c r="B1755" s="51" t="s">
        <v>8888</v>
      </c>
      <c r="C1755" s="54" t="s">
        <v>2357</v>
      </c>
      <c r="D1755" s="51" t="s">
        <v>8889</v>
      </c>
      <c r="E1755" s="20">
        <v>10000</v>
      </c>
      <c r="F1755" s="20">
        <v>1348.98</v>
      </c>
      <c r="G1755" s="20">
        <v>1676.96</v>
      </c>
      <c r="H1755" s="20">
        <v>8111.23</v>
      </c>
      <c r="I1755" s="20">
        <v>1348.98</v>
      </c>
      <c r="J1755" s="51" t="s">
        <v>6724</v>
      </c>
      <c r="K1755" s="15">
        <v>0</v>
      </c>
      <c r="L1755" s="51" t="s">
        <v>2371</v>
      </c>
      <c r="M1755" s="51" t="s">
        <v>8890</v>
      </c>
      <c r="N1755" s="51" t="s">
        <v>1340</v>
      </c>
      <c r="O1755" s="51" t="s">
        <v>8891</v>
      </c>
      <c r="P1755" s="51" t="s">
        <v>1340</v>
      </c>
      <c r="Q1755" s="45">
        <v>46287.593066701389</v>
      </c>
      <c r="R1755" s="46">
        <v>46308</v>
      </c>
      <c r="S1755" s="46">
        <v>46303</v>
      </c>
      <c r="T1755" s="51" t="s">
        <v>6119</v>
      </c>
      <c r="U1755" s="15"/>
      <c r="V1755" s="15"/>
      <c r="W1755" s="15"/>
      <c r="X1755" s="15"/>
      <c r="Y1755" s="15"/>
      <c r="Z1755" s="15"/>
      <c r="AA1755" s="46"/>
      <c r="AB1755" s="15"/>
      <c r="AC1755" s="15"/>
      <c r="AD1755" s="15"/>
      <c r="AE1755" s="15"/>
      <c r="AF1755" s="15"/>
      <c r="AG1755" s="15"/>
      <c r="AH1755" s="15"/>
      <c r="AI1755" s="46"/>
      <c r="AJ1755" s="51" t="s">
        <v>67</v>
      </c>
      <c r="AK1755" s="51" t="s">
        <v>67</v>
      </c>
      <c r="AL1755" s="15"/>
      <c r="AM1755" s="51" t="s">
        <v>67</v>
      </c>
      <c r="AN1755" s="51" t="s">
        <v>67</v>
      </c>
      <c r="AO1755" s="50" t="s">
        <v>9554</v>
      </c>
    </row>
    <row r="1756" spans="1:41" hidden="1" x14ac:dyDescent="0.25">
      <c r="A1756" s="51" t="s">
        <v>8892</v>
      </c>
      <c r="B1756" s="51" t="s">
        <v>8893</v>
      </c>
      <c r="C1756" s="54" t="s">
        <v>5597</v>
      </c>
      <c r="D1756" s="51" t="s">
        <v>8894</v>
      </c>
      <c r="E1756" s="20">
        <v>10000</v>
      </c>
      <c r="F1756" s="20">
        <v>378.48</v>
      </c>
      <c r="G1756" s="20">
        <v>4225.8100000000004</v>
      </c>
      <c r="H1756" s="20">
        <v>1847.12</v>
      </c>
      <c r="I1756" s="20">
        <v>378.48</v>
      </c>
      <c r="J1756" s="51" t="s">
        <v>6724</v>
      </c>
      <c r="K1756" s="15">
        <v>0</v>
      </c>
      <c r="L1756" s="51" t="s">
        <v>2371</v>
      </c>
      <c r="M1756" s="51" t="s">
        <v>67</v>
      </c>
      <c r="N1756" s="51" t="s">
        <v>67</v>
      </c>
      <c r="O1756" s="51" t="s">
        <v>8895</v>
      </c>
      <c r="P1756" s="51" t="s">
        <v>1340</v>
      </c>
      <c r="Q1756" s="45">
        <v>46287.593072662035</v>
      </c>
      <c r="R1756" s="46">
        <v>46321</v>
      </c>
      <c r="S1756" s="46">
        <v>46316</v>
      </c>
      <c r="T1756" s="51" t="s">
        <v>6119</v>
      </c>
      <c r="U1756" s="15"/>
      <c r="V1756" s="15"/>
      <c r="W1756" s="15"/>
      <c r="X1756" s="15"/>
      <c r="Y1756" s="15"/>
      <c r="Z1756" s="15"/>
      <c r="AA1756" s="46"/>
      <c r="AB1756" s="15"/>
      <c r="AC1756" s="15"/>
      <c r="AD1756" s="15"/>
      <c r="AE1756" s="15"/>
      <c r="AF1756" s="15"/>
      <c r="AG1756" s="15"/>
      <c r="AH1756" s="15"/>
      <c r="AI1756" s="46"/>
      <c r="AJ1756" s="51" t="s">
        <v>67</v>
      </c>
      <c r="AK1756" s="51" t="s">
        <v>67</v>
      </c>
      <c r="AL1756" s="15"/>
      <c r="AM1756" s="51" t="s">
        <v>67</v>
      </c>
      <c r="AN1756" s="51" t="s">
        <v>67</v>
      </c>
      <c r="AO1756" s="50" t="s">
        <v>9554</v>
      </c>
    </row>
    <row r="1757" spans="1:41" hidden="1" x14ac:dyDescent="0.25">
      <c r="A1757" s="51" t="s">
        <v>8896</v>
      </c>
      <c r="B1757" s="51" t="s">
        <v>8897</v>
      </c>
      <c r="C1757" s="54" t="s">
        <v>5606</v>
      </c>
      <c r="D1757" s="51" t="s">
        <v>8898</v>
      </c>
      <c r="E1757" s="20">
        <v>10000</v>
      </c>
      <c r="F1757" s="20">
        <v>5365.19</v>
      </c>
      <c r="G1757" s="20">
        <v>11319.56</v>
      </c>
      <c r="H1757" s="20">
        <v>782.65</v>
      </c>
      <c r="I1757" s="20">
        <v>5365.19</v>
      </c>
      <c r="J1757" s="51" t="s">
        <v>6724</v>
      </c>
      <c r="K1757" s="15">
        <v>0</v>
      </c>
      <c r="L1757" s="51" t="s">
        <v>2371</v>
      </c>
      <c r="M1757" s="51" t="s">
        <v>8899</v>
      </c>
      <c r="N1757" s="51" t="s">
        <v>1344</v>
      </c>
      <c r="O1757" s="51" t="s">
        <v>8900</v>
      </c>
      <c r="P1757" s="51" t="s">
        <v>1344</v>
      </c>
      <c r="Q1757" s="45">
        <v>46287.593077743055</v>
      </c>
      <c r="R1757" s="46">
        <v>46297</v>
      </c>
      <c r="S1757" s="46">
        <v>46292</v>
      </c>
      <c r="T1757" s="51" t="s">
        <v>6119</v>
      </c>
      <c r="U1757" s="15"/>
      <c r="V1757" s="15"/>
      <c r="W1757" s="15"/>
      <c r="X1757" s="15"/>
      <c r="Y1757" s="15"/>
      <c r="Z1757" s="15"/>
      <c r="AA1757" s="46"/>
      <c r="AB1757" s="15"/>
      <c r="AC1757" s="15"/>
      <c r="AD1757" s="15"/>
      <c r="AE1757" s="15"/>
      <c r="AF1757" s="15"/>
      <c r="AG1757" s="15"/>
      <c r="AH1757" s="15"/>
      <c r="AI1757" s="46"/>
      <c r="AJ1757" s="51" t="s">
        <v>67</v>
      </c>
      <c r="AK1757" s="51" t="s">
        <v>67</v>
      </c>
      <c r="AL1757" s="15"/>
      <c r="AM1757" s="51" t="s">
        <v>67</v>
      </c>
      <c r="AN1757" s="51" t="s">
        <v>67</v>
      </c>
      <c r="AO1757" s="50" t="s">
        <v>9554</v>
      </c>
    </row>
    <row r="1758" spans="1:41" hidden="1" x14ac:dyDescent="0.25">
      <c r="A1758" s="51" t="s">
        <v>8901</v>
      </c>
      <c r="B1758" s="51" t="s">
        <v>8902</v>
      </c>
      <c r="C1758" s="54" t="s">
        <v>5606</v>
      </c>
      <c r="D1758" s="51" t="s">
        <v>8903</v>
      </c>
      <c r="E1758" s="20">
        <v>10000</v>
      </c>
      <c r="F1758" s="20">
        <v>3906.88</v>
      </c>
      <c r="G1758" s="20">
        <v>16831.55</v>
      </c>
      <c r="H1758" s="20">
        <v>474.11</v>
      </c>
      <c r="I1758" s="20">
        <v>3906.88</v>
      </c>
      <c r="J1758" s="51" t="s">
        <v>6724</v>
      </c>
      <c r="K1758" s="15">
        <v>0</v>
      </c>
      <c r="L1758" s="51" t="s">
        <v>2371</v>
      </c>
      <c r="M1758" s="51" t="s">
        <v>8904</v>
      </c>
      <c r="N1758" s="51" t="s">
        <v>1340</v>
      </c>
      <c r="O1758" s="51" t="s">
        <v>8905</v>
      </c>
      <c r="P1758" s="51" t="s">
        <v>1340</v>
      </c>
      <c r="Q1758" s="45">
        <v>46287.593083148146</v>
      </c>
      <c r="R1758" s="46">
        <v>46297</v>
      </c>
      <c r="S1758" s="46">
        <v>46292</v>
      </c>
      <c r="T1758" s="51" t="s">
        <v>6119</v>
      </c>
      <c r="U1758" s="15"/>
      <c r="V1758" s="15"/>
      <c r="W1758" s="15"/>
      <c r="X1758" s="15"/>
      <c r="Y1758" s="15"/>
      <c r="Z1758" s="15"/>
      <c r="AA1758" s="46"/>
      <c r="AB1758" s="15"/>
      <c r="AC1758" s="15"/>
      <c r="AD1758" s="15"/>
      <c r="AE1758" s="15"/>
      <c r="AF1758" s="15"/>
      <c r="AG1758" s="15"/>
      <c r="AH1758" s="15"/>
      <c r="AI1758" s="46"/>
      <c r="AJ1758" s="51" t="s">
        <v>67</v>
      </c>
      <c r="AK1758" s="51" t="s">
        <v>67</v>
      </c>
      <c r="AL1758" s="15"/>
      <c r="AM1758" s="51" t="s">
        <v>67</v>
      </c>
      <c r="AN1758" s="51" t="s">
        <v>67</v>
      </c>
      <c r="AO1758" s="50" t="s">
        <v>9554</v>
      </c>
    </row>
    <row r="1759" spans="1:41" hidden="1" x14ac:dyDescent="0.25">
      <c r="A1759" s="51" t="s">
        <v>8906</v>
      </c>
      <c r="B1759" s="51" t="s">
        <v>8907</v>
      </c>
      <c r="C1759" s="54" t="s">
        <v>5596</v>
      </c>
      <c r="D1759" s="51" t="s">
        <v>8908</v>
      </c>
      <c r="E1759" s="20">
        <v>10000</v>
      </c>
      <c r="F1759" s="20">
        <v>294</v>
      </c>
      <c r="G1759" s="20">
        <v>15600.05</v>
      </c>
      <c r="H1759" s="20">
        <v>5573.31</v>
      </c>
      <c r="I1759" s="20">
        <v>294</v>
      </c>
      <c r="J1759" s="51" t="s">
        <v>6724</v>
      </c>
      <c r="K1759" s="15">
        <v>0</v>
      </c>
      <c r="L1759" s="51" t="s">
        <v>2371</v>
      </c>
      <c r="M1759" s="51" t="s">
        <v>8909</v>
      </c>
      <c r="N1759" s="51" t="s">
        <v>1340</v>
      </c>
      <c r="O1759" s="51" t="s">
        <v>67</v>
      </c>
      <c r="P1759" s="51" t="s">
        <v>67</v>
      </c>
      <c r="Q1759" s="45">
        <v>46287.593089062502</v>
      </c>
      <c r="R1759" s="46">
        <v>46300</v>
      </c>
      <c r="S1759" s="46">
        <v>46295</v>
      </c>
      <c r="T1759" s="51" t="s">
        <v>6119</v>
      </c>
      <c r="U1759" s="15"/>
      <c r="V1759" s="15"/>
      <c r="W1759" s="15"/>
      <c r="X1759" s="15"/>
      <c r="Y1759" s="15"/>
      <c r="Z1759" s="15"/>
      <c r="AA1759" s="46"/>
      <c r="AB1759" s="15"/>
      <c r="AC1759" s="15"/>
      <c r="AD1759" s="15"/>
      <c r="AE1759" s="15"/>
      <c r="AF1759" s="15"/>
      <c r="AG1759" s="15"/>
      <c r="AH1759" s="15"/>
      <c r="AI1759" s="46"/>
      <c r="AJ1759" s="51" t="s">
        <v>67</v>
      </c>
      <c r="AK1759" s="51" t="s">
        <v>67</v>
      </c>
      <c r="AL1759" s="15"/>
      <c r="AM1759" s="51" t="s">
        <v>67</v>
      </c>
      <c r="AN1759" s="51" t="s">
        <v>67</v>
      </c>
      <c r="AO1759" s="50" t="s">
        <v>9554</v>
      </c>
    </row>
    <row r="1760" spans="1:41" hidden="1" x14ac:dyDescent="0.25">
      <c r="A1760" s="51" t="s">
        <v>8910</v>
      </c>
      <c r="B1760" s="51" t="s">
        <v>8911</v>
      </c>
      <c r="C1760" s="54" t="s">
        <v>5599</v>
      </c>
      <c r="D1760" s="51" t="s">
        <v>8912</v>
      </c>
      <c r="E1760" s="20">
        <v>10000</v>
      </c>
      <c r="F1760" s="20">
        <v>1775.26</v>
      </c>
      <c r="G1760" s="20">
        <v>16478.97</v>
      </c>
      <c r="H1760" s="20">
        <v>1199.83</v>
      </c>
      <c r="I1760" s="20">
        <v>1775.26</v>
      </c>
      <c r="J1760" s="51" t="s">
        <v>6724</v>
      </c>
      <c r="K1760" s="15">
        <v>0</v>
      </c>
      <c r="L1760" s="51" t="s">
        <v>2371</v>
      </c>
      <c r="M1760" s="51" t="s">
        <v>67</v>
      </c>
      <c r="N1760" s="51" t="s">
        <v>67</v>
      </c>
      <c r="O1760" s="51" t="s">
        <v>8913</v>
      </c>
      <c r="P1760" s="51" t="s">
        <v>1340</v>
      </c>
      <c r="Q1760" s="45">
        <v>46287.593104085645</v>
      </c>
      <c r="R1760" s="46">
        <v>46302</v>
      </c>
      <c r="S1760" s="46">
        <v>46297</v>
      </c>
      <c r="T1760" s="51" t="s">
        <v>6119</v>
      </c>
      <c r="U1760" s="15"/>
      <c r="V1760" s="15"/>
      <c r="W1760" s="15"/>
      <c r="X1760" s="15"/>
      <c r="Y1760" s="15"/>
      <c r="Z1760" s="15"/>
      <c r="AA1760" s="46"/>
      <c r="AB1760" s="15"/>
      <c r="AC1760" s="15"/>
      <c r="AD1760" s="15"/>
      <c r="AE1760" s="15"/>
      <c r="AF1760" s="15"/>
      <c r="AG1760" s="15"/>
      <c r="AH1760" s="15"/>
      <c r="AI1760" s="46"/>
      <c r="AJ1760" s="51" t="s">
        <v>67</v>
      </c>
      <c r="AK1760" s="51" t="s">
        <v>67</v>
      </c>
      <c r="AL1760" s="15"/>
      <c r="AM1760" s="51" t="s">
        <v>67</v>
      </c>
      <c r="AN1760" s="51" t="s">
        <v>67</v>
      </c>
      <c r="AO1760" s="50" t="s">
        <v>9554</v>
      </c>
    </row>
    <row r="1761" spans="1:41" hidden="1" x14ac:dyDescent="0.25">
      <c r="A1761" s="51" t="s">
        <v>8914</v>
      </c>
      <c r="B1761" s="51" t="s">
        <v>8915</v>
      </c>
      <c r="C1761" s="54" t="s">
        <v>2356</v>
      </c>
      <c r="D1761" s="51" t="s">
        <v>8916</v>
      </c>
      <c r="E1761" s="20">
        <v>10000</v>
      </c>
      <c r="F1761" s="20">
        <v>351.92</v>
      </c>
      <c r="G1761" s="20">
        <v>12090.95</v>
      </c>
      <c r="H1761" s="20">
        <v>480.25</v>
      </c>
      <c r="I1761" s="20">
        <v>351.92</v>
      </c>
      <c r="J1761" s="51" t="s">
        <v>6724</v>
      </c>
      <c r="K1761" s="15">
        <v>0</v>
      </c>
      <c r="L1761" s="51" t="s">
        <v>2371</v>
      </c>
      <c r="M1761" s="51" t="s">
        <v>67</v>
      </c>
      <c r="N1761" s="51" t="s">
        <v>67</v>
      </c>
      <c r="O1761" s="51" t="s">
        <v>8917</v>
      </c>
      <c r="P1761" s="51" t="s">
        <v>1340</v>
      </c>
      <c r="Q1761" s="45">
        <v>46287.593109074071</v>
      </c>
      <c r="R1761" s="46">
        <v>46307</v>
      </c>
      <c r="S1761" s="46">
        <v>46302</v>
      </c>
      <c r="T1761" s="51" t="s">
        <v>6119</v>
      </c>
      <c r="U1761" s="15"/>
      <c r="V1761" s="15"/>
      <c r="W1761" s="15"/>
      <c r="X1761" s="15"/>
      <c r="Y1761" s="15"/>
      <c r="Z1761" s="15"/>
      <c r="AA1761" s="46"/>
      <c r="AB1761" s="15"/>
      <c r="AC1761" s="15"/>
      <c r="AD1761" s="15"/>
      <c r="AE1761" s="15"/>
      <c r="AF1761" s="15"/>
      <c r="AG1761" s="15"/>
      <c r="AH1761" s="15"/>
      <c r="AI1761" s="46"/>
      <c r="AJ1761" s="51" t="s">
        <v>67</v>
      </c>
      <c r="AK1761" s="51" t="s">
        <v>67</v>
      </c>
      <c r="AL1761" s="15"/>
      <c r="AM1761" s="51" t="s">
        <v>67</v>
      </c>
      <c r="AN1761" s="51" t="s">
        <v>67</v>
      </c>
      <c r="AO1761" s="50" t="s">
        <v>9554</v>
      </c>
    </row>
    <row r="1762" spans="1:41" hidden="1" x14ac:dyDescent="0.25">
      <c r="A1762" s="51" t="s">
        <v>8918</v>
      </c>
      <c r="B1762" s="51" t="s">
        <v>8919</v>
      </c>
      <c r="C1762" s="54" t="s">
        <v>5605</v>
      </c>
      <c r="D1762" s="51" t="s">
        <v>8920</v>
      </c>
      <c r="E1762" s="20">
        <v>10000</v>
      </c>
      <c r="F1762" s="20">
        <v>0</v>
      </c>
      <c r="G1762" s="20">
        <v>17064.009999999998</v>
      </c>
      <c r="H1762" s="20">
        <v>2066.09</v>
      </c>
      <c r="I1762" s="20">
        <v>716.46</v>
      </c>
      <c r="J1762" s="51" t="s">
        <v>6726</v>
      </c>
      <c r="K1762" s="15">
        <v>0</v>
      </c>
      <c r="L1762" s="51" t="s">
        <v>2371</v>
      </c>
      <c r="M1762" s="51" t="s">
        <v>8921</v>
      </c>
      <c r="N1762" s="51" t="s">
        <v>1340</v>
      </c>
      <c r="O1762" s="51" t="s">
        <v>8922</v>
      </c>
      <c r="P1762" s="51" t="s">
        <v>1340</v>
      </c>
      <c r="Q1762" s="45">
        <v>46287.593114710646</v>
      </c>
      <c r="R1762" s="46">
        <v>46323</v>
      </c>
      <c r="S1762" s="46">
        <v>46318</v>
      </c>
      <c r="T1762" s="51" t="s">
        <v>6119</v>
      </c>
      <c r="U1762" s="15"/>
      <c r="V1762" s="15"/>
      <c r="W1762" s="15"/>
      <c r="X1762" s="15"/>
      <c r="Y1762" s="15"/>
      <c r="Z1762" s="15"/>
      <c r="AA1762" s="46"/>
      <c r="AB1762" s="15"/>
      <c r="AC1762" s="15"/>
      <c r="AD1762" s="15"/>
      <c r="AE1762" s="15"/>
      <c r="AF1762" s="15"/>
      <c r="AG1762" s="15"/>
      <c r="AH1762" s="15"/>
      <c r="AI1762" s="46"/>
      <c r="AJ1762" s="51" t="s">
        <v>67</v>
      </c>
      <c r="AK1762" s="51" t="s">
        <v>67</v>
      </c>
      <c r="AL1762" s="15"/>
      <c r="AM1762" s="51" t="s">
        <v>67</v>
      </c>
      <c r="AN1762" s="51" t="s">
        <v>67</v>
      </c>
      <c r="AO1762" s="50" t="s">
        <v>9554</v>
      </c>
    </row>
    <row r="1763" spans="1:41" hidden="1" x14ac:dyDescent="0.25">
      <c r="A1763" s="51" t="s">
        <v>8923</v>
      </c>
      <c r="B1763" s="51" t="s">
        <v>8924</v>
      </c>
      <c r="C1763" s="54" t="s">
        <v>5604</v>
      </c>
      <c r="D1763" s="51" t="s">
        <v>8925</v>
      </c>
      <c r="E1763" s="20">
        <v>10000</v>
      </c>
      <c r="F1763" s="20">
        <v>559.89</v>
      </c>
      <c r="G1763" s="20">
        <v>6600.97</v>
      </c>
      <c r="H1763" s="20">
        <v>545.36</v>
      </c>
      <c r="I1763" s="20">
        <v>559.89</v>
      </c>
      <c r="J1763" s="51" t="s">
        <v>6724</v>
      </c>
      <c r="K1763" s="15">
        <v>0</v>
      </c>
      <c r="L1763" s="51" t="s">
        <v>2371</v>
      </c>
      <c r="M1763" s="51" t="s">
        <v>8926</v>
      </c>
      <c r="N1763" s="51" t="s">
        <v>1340</v>
      </c>
      <c r="O1763" s="51" t="s">
        <v>67</v>
      </c>
      <c r="P1763" s="51" t="s">
        <v>67</v>
      </c>
      <c r="Q1763" s="45">
        <v>46287.593122881946</v>
      </c>
      <c r="R1763" s="46">
        <v>46313</v>
      </c>
      <c r="S1763" s="46">
        <v>46308</v>
      </c>
      <c r="T1763" s="51" t="s">
        <v>6119</v>
      </c>
      <c r="U1763" s="15"/>
      <c r="V1763" s="15"/>
      <c r="W1763" s="15"/>
      <c r="X1763" s="15"/>
      <c r="Y1763" s="15"/>
      <c r="Z1763" s="15"/>
      <c r="AA1763" s="46"/>
      <c r="AB1763" s="15"/>
      <c r="AC1763" s="15"/>
      <c r="AD1763" s="15"/>
      <c r="AE1763" s="15"/>
      <c r="AF1763" s="15"/>
      <c r="AG1763" s="15"/>
      <c r="AH1763" s="15"/>
      <c r="AI1763" s="46"/>
      <c r="AJ1763" s="51" t="s">
        <v>67</v>
      </c>
      <c r="AK1763" s="51" t="s">
        <v>67</v>
      </c>
      <c r="AL1763" s="15"/>
      <c r="AM1763" s="51" t="s">
        <v>67</v>
      </c>
      <c r="AN1763" s="51" t="s">
        <v>67</v>
      </c>
      <c r="AO1763" s="50" t="s">
        <v>9554</v>
      </c>
    </row>
    <row r="1764" spans="1:41" hidden="1" x14ac:dyDescent="0.25">
      <c r="A1764" s="51" t="s">
        <v>8927</v>
      </c>
      <c r="B1764" s="51" t="s">
        <v>8928</v>
      </c>
      <c r="C1764" s="54" t="s">
        <v>5601</v>
      </c>
      <c r="D1764" s="51" t="s">
        <v>8929</v>
      </c>
      <c r="E1764" s="20">
        <v>10000</v>
      </c>
      <c r="F1764" s="20">
        <v>290.3</v>
      </c>
      <c r="G1764" s="20">
        <v>14093.05</v>
      </c>
      <c r="H1764" s="20">
        <v>484.49</v>
      </c>
      <c r="I1764" s="20">
        <v>0</v>
      </c>
      <c r="J1764" s="51" t="s">
        <v>6724</v>
      </c>
      <c r="K1764" s="15">
        <v>0</v>
      </c>
      <c r="L1764" s="51" t="s">
        <v>2371</v>
      </c>
      <c r="M1764" s="51" t="s">
        <v>8930</v>
      </c>
      <c r="N1764" s="51" t="s">
        <v>1344</v>
      </c>
      <c r="O1764" s="51" t="s">
        <v>8931</v>
      </c>
      <c r="P1764" s="51" t="s">
        <v>1344</v>
      </c>
      <c r="Q1764" s="45">
        <v>46287.593129872686</v>
      </c>
      <c r="R1764" s="46">
        <v>46316</v>
      </c>
      <c r="S1764" s="46">
        <v>46311</v>
      </c>
      <c r="T1764" s="51" t="s">
        <v>6119</v>
      </c>
      <c r="U1764" s="15"/>
      <c r="V1764" s="15"/>
      <c r="W1764" s="15"/>
      <c r="X1764" s="15"/>
      <c r="Y1764" s="15"/>
      <c r="Z1764" s="15"/>
      <c r="AA1764" s="46"/>
      <c r="AB1764" s="15"/>
      <c r="AC1764" s="15"/>
      <c r="AD1764" s="15"/>
      <c r="AE1764" s="15"/>
      <c r="AF1764" s="15"/>
      <c r="AG1764" s="15"/>
      <c r="AH1764" s="15"/>
      <c r="AI1764" s="46"/>
      <c r="AJ1764" s="51" t="s">
        <v>67</v>
      </c>
      <c r="AK1764" s="51" t="s">
        <v>67</v>
      </c>
      <c r="AL1764" s="15"/>
      <c r="AM1764" s="51" t="s">
        <v>67</v>
      </c>
      <c r="AN1764" s="51" t="s">
        <v>67</v>
      </c>
      <c r="AO1764" s="50" t="s">
        <v>9554</v>
      </c>
    </row>
    <row r="1765" spans="1:41" hidden="1" x14ac:dyDescent="0.25">
      <c r="A1765" s="51" t="s">
        <v>8932</v>
      </c>
      <c r="B1765" s="51" t="s">
        <v>8933</v>
      </c>
      <c r="C1765" s="54" t="s">
        <v>2690</v>
      </c>
      <c r="D1765" s="51" t="s">
        <v>4072</v>
      </c>
      <c r="E1765" s="20">
        <v>10000</v>
      </c>
      <c r="F1765" s="20">
        <v>0</v>
      </c>
      <c r="G1765" s="20">
        <v>17104.04</v>
      </c>
      <c r="H1765" s="20">
        <v>8595.2000000000007</v>
      </c>
      <c r="I1765" s="20">
        <v>800.42</v>
      </c>
      <c r="J1765" s="51" t="s">
        <v>6726</v>
      </c>
      <c r="K1765" s="15">
        <v>0</v>
      </c>
      <c r="L1765" s="51" t="s">
        <v>2371</v>
      </c>
      <c r="M1765" s="51" t="s">
        <v>8934</v>
      </c>
      <c r="N1765" s="51" t="s">
        <v>1340</v>
      </c>
      <c r="O1765" s="51" t="s">
        <v>8935</v>
      </c>
      <c r="P1765" s="51" t="s">
        <v>1340</v>
      </c>
      <c r="Q1765" s="45">
        <v>46287.593138692129</v>
      </c>
      <c r="R1765" s="46">
        <v>46322</v>
      </c>
      <c r="S1765" s="46">
        <v>46317</v>
      </c>
      <c r="T1765" s="51" t="s">
        <v>6119</v>
      </c>
      <c r="U1765" s="15"/>
      <c r="V1765" s="15"/>
      <c r="W1765" s="15"/>
      <c r="X1765" s="15"/>
      <c r="Y1765" s="15"/>
      <c r="Z1765" s="15"/>
      <c r="AA1765" s="46"/>
      <c r="AB1765" s="15"/>
      <c r="AC1765" s="15"/>
      <c r="AD1765" s="15"/>
      <c r="AE1765" s="15"/>
      <c r="AF1765" s="15"/>
      <c r="AG1765" s="15"/>
      <c r="AH1765" s="15"/>
      <c r="AI1765" s="46"/>
      <c r="AJ1765" s="51" t="s">
        <v>67</v>
      </c>
      <c r="AK1765" s="51" t="s">
        <v>67</v>
      </c>
      <c r="AL1765" s="15"/>
      <c r="AM1765" s="51" t="s">
        <v>67</v>
      </c>
      <c r="AN1765" s="51" t="s">
        <v>67</v>
      </c>
      <c r="AO1765" s="50" t="s">
        <v>9554</v>
      </c>
    </row>
    <row r="1766" spans="1:41" hidden="1" x14ac:dyDescent="0.25">
      <c r="A1766" s="51" t="s">
        <v>8936</v>
      </c>
      <c r="B1766" s="51" t="s">
        <v>8937</v>
      </c>
      <c r="C1766" s="54" t="s">
        <v>2691</v>
      </c>
      <c r="D1766" s="51" t="s">
        <v>8938</v>
      </c>
      <c r="E1766" s="20">
        <v>10000</v>
      </c>
      <c r="F1766" s="20">
        <v>192.37</v>
      </c>
      <c r="G1766" s="20">
        <v>10182.06</v>
      </c>
      <c r="H1766" s="20">
        <v>5115.8</v>
      </c>
      <c r="I1766" s="20">
        <v>192.37</v>
      </c>
      <c r="J1766" s="51" t="s">
        <v>6724</v>
      </c>
      <c r="K1766" s="15">
        <v>0</v>
      </c>
      <c r="L1766" s="51" t="s">
        <v>2371</v>
      </c>
      <c r="M1766" s="51" t="s">
        <v>67</v>
      </c>
      <c r="N1766" s="51" t="s">
        <v>67</v>
      </c>
      <c r="O1766" s="51" t="s">
        <v>8939</v>
      </c>
      <c r="P1766" s="51" t="s">
        <v>1340</v>
      </c>
      <c r="Q1766" s="45">
        <v>46287.593148101849</v>
      </c>
      <c r="R1766" s="46">
        <v>46301</v>
      </c>
      <c r="S1766" s="46">
        <v>46296</v>
      </c>
      <c r="T1766" s="51" t="s">
        <v>6119</v>
      </c>
      <c r="U1766" s="15"/>
      <c r="V1766" s="15"/>
      <c r="W1766" s="15"/>
      <c r="X1766" s="15"/>
      <c r="Y1766" s="15"/>
      <c r="Z1766" s="15"/>
      <c r="AA1766" s="46"/>
      <c r="AB1766" s="15"/>
      <c r="AC1766" s="15"/>
      <c r="AD1766" s="15"/>
      <c r="AE1766" s="15"/>
      <c r="AF1766" s="15"/>
      <c r="AG1766" s="15"/>
      <c r="AH1766" s="15"/>
      <c r="AI1766" s="46"/>
      <c r="AJ1766" s="51" t="s">
        <v>67</v>
      </c>
      <c r="AK1766" s="51" t="s">
        <v>67</v>
      </c>
      <c r="AL1766" s="15"/>
      <c r="AM1766" s="51" t="s">
        <v>67</v>
      </c>
      <c r="AN1766" s="51" t="s">
        <v>67</v>
      </c>
      <c r="AO1766" s="50" t="s">
        <v>9554</v>
      </c>
    </row>
    <row r="1767" spans="1:41" hidden="1" x14ac:dyDescent="0.25">
      <c r="A1767" s="51" t="s">
        <v>8940</v>
      </c>
      <c r="B1767" s="51" t="s">
        <v>8941</v>
      </c>
      <c r="C1767" s="54" t="s">
        <v>608</v>
      </c>
      <c r="D1767" s="51" t="s">
        <v>8942</v>
      </c>
      <c r="E1767" s="20">
        <v>10000</v>
      </c>
      <c r="F1767" s="20">
        <v>702.22</v>
      </c>
      <c r="G1767" s="20">
        <v>8391.64</v>
      </c>
      <c r="H1767" s="20">
        <v>832.83</v>
      </c>
      <c r="I1767" s="20">
        <v>436.5</v>
      </c>
      <c r="J1767" s="51" t="s">
        <v>6724</v>
      </c>
      <c r="K1767" s="15">
        <v>0</v>
      </c>
      <c r="L1767" s="51" t="s">
        <v>2371</v>
      </c>
      <c r="M1767" s="51" t="s">
        <v>8943</v>
      </c>
      <c r="N1767" s="51" t="s">
        <v>1340</v>
      </c>
      <c r="O1767" s="51" t="s">
        <v>67</v>
      </c>
      <c r="P1767" s="51" t="s">
        <v>67</v>
      </c>
      <c r="Q1767" s="45">
        <v>46287.593157372685</v>
      </c>
      <c r="R1767" s="46">
        <v>46315</v>
      </c>
      <c r="S1767" s="46">
        <v>46310</v>
      </c>
      <c r="T1767" s="51" t="s">
        <v>6119</v>
      </c>
      <c r="U1767" s="15"/>
      <c r="V1767" s="15"/>
      <c r="W1767" s="15"/>
      <c r="X1767" s="15"/>
      <c r="Y1767" s="15"/>
      <c r="Z1767" s="15"/>
      <c r="AA1767" s="46"/>
      <c r="AB1767" s="15"/>
      <c r="AC1767" s="15"/>
      <c r="AD1767" s="15"/>
      <c r="AE1767" s="15"/>
      <c r="AF1767" s="15"/>
      <c r="AG1767" s="15"/>
      <c r="AH1767" s="15"/>
      <c r="AI1767" s="46"/>
      <c r="AJ1767" s="51" t="s">
        <v>67</v>
      </c>
      <c r="AK1767" s="51" t="s">
        <v>67</v>
      </c>
      <c r="AL1767" s="15"/>
      <c r="AM1767" s="51" t="s">
        <v>67</v>
      </c>
      <c r="AN1767" s="51" t="s">
        <v>67</v>
      </c>
      <c r="AO1767" s="50" t="s">
        <v>9554</v>
      </c>
    </row>
    <row r="1768" spans="1:41" hidden="1" x14ac:dyDescent="0.25">
      <c r="A1768" s="51" t="s">
        <v>8944</v>
      </c>
      <c r="B1768" s="51" t="s">
        <v>8945</v>
      </c>
      <c r="C1768" s="54" t="s">
        <v>2693</v>
      </c>
      <c r="D1768" s="51" t="s">
        <v>8946</v>
      </c>
      <c r="E1768" s="20">
        <v>10000</v>
      </c>
      <c r="F1768" s="20">
        <v>316.23</v>
      </c>
      <c r="G1768" s="20">
        <v>21528.98</v>
      </c>
      <c r="H1768" s="20">
        <v>8216.49</v>
      </c>
      <c r="I1768" s="20">
        <v>271.33</v>
      </c>
      <c r="J1768" s="51" t="s">
        <v>6724</v>
      </c>
      <c r="K1768" s="15">
        <v>0</v>
      </c>
      <c r="L1768" s="51" t="s">
        <v>2371</v>
      </c>
      <c r="M1768" s="51" t="s">
        <v>67</v>
      </c>
      <c r="N1768" s="51" t="s">
        <v>67</v>
      </c>
      <c r="O1768" s="51" t="s">
        <v>8947</v>
      </c>
      <c r="P1768" s="51" t="s">
        <v>1340</v>
      </c>
      <c r="Q1768" s="45">
        <v>46287.59317162037</v>
      </c>
      <c r="R1768" s="46">
        <v>46314</v>
      </c>
      <c r="S1768" s="46">
        <v>46309</v>
      </c>
      <c r="T1768" s="51" t="s">
        <v>6119</v>
      </c>
      <c r="U1768" s="15"/>
      <c r="V1768" s="15"/>
      <c r="W1768" s="15"/>
      <c r="X1768" s="15"/>
      <c r="Y1768" s="15"/>
      <c r="Z1768" s="15"/>
      <c r="AA1768" s="46"/>
      <c r="AB1768" s="15"/>
      <c r="AC1768" s="15"/>
      <c r="AD1768" s="15"/>
      <c r="AE1768" s="15"/>
      <c r="AF1768" s="15"/>
      <c r="AG1768" s="15"/>
      <c r="AH1768" s="15"/>
      <c r="AI1768" s="46"/>
      <c r="AJ1768" s="51" t="s">
        <v>67</v>
      </c>
      <c r="AK1768" s="51" t="s">
        <v>67</v>
      </c>
      <c r="AL1768" s="15"/>
      <c r="AM1768" s="51" t="s">
        <v>67</v>
      </c>
      <c r="AN1768" s="51" t="s">
        <v>67</v>
      </c>
      <c r="AO1768" s="50" t="s">
        <v>9554</v>
      </c>
    </row>
    <row r="1769" spans="1:41" hidden="1" x14ac:dyDescent="0.25">
      <c r="A1769" s="51" t="s">
        <v>8948</v>
      </c>
      <c r="B1769" s="51" t="s">
        <v>8949</v>
      </c>
      <c r="C1769" s="54" t="s">
        <v>2356</v>
      </c>
      <c r="D1769" s="51" t="s">
        <v>8950</v>
      </c>
      <c r="E1769" s="20">
        <v>10000</v>
      </c>
      <c r="F1769" s="20">
        <v>722.94</v>
      </c>
      <c r="G1769" s="20">
        <v>9685.77</v>
      </c>
      <c r="H1769" s="20">
        <v>675.94</v>
      </c>
      <c r="I1769" s="20">
        <v>722.94</v>
      </c>
      <c r="J1769" s="51" t="s">
        <v>6724</v>
      </c>
      <c r="K1769" s="15">
        <v>0</v>
      </c>
      <c r="L1769" s="51" t="s">
        <v>2371</v>
      </c>
      <c r="M1769" s="51" t="s">
        <v>67</v>
      </c>
      <c r="N1769" s="51" t="s">
        <v>67</v>
      </c>
      <c r="O1769" s="51" t="s">
        <v>8951</v>
      </c>
      <c r="P1769" s="51" t="s">
        <v>1340</v>
      </c>
      <c r="Q1769" s="45">
        <v>46287.593177557872</v>
      </c>
      <c r="R1769" s="46">
        <v>46307</v>
      </c>
      <c r="S1769" s="46">
        <v>46302</v>
      </c>
      <c r="T1769" s="51" t="s">
        <v>6119</v>
      </c>
      <c r="U1769" s="15"/>
      <c r="V1769" s="15"/>
      <c r="W1769" s="15"/>
      <c r="X1769" s="15"/>
      <c r="Y1769" s="15"/>
      <c r="Z1769" s="15"/>
      <c r="AA1769" s="46"/>
      <c r="AB1769" s="15"/>
      <c r="AC1769" s="15"/>
      <c r="AD1769" s="15"/>
      <c r="AE1769" s="15"/>
      <c r="AF1769" s="15"/>
      <c r="AG1769" s="15"/>
      <c r="AH1769" s="15"/>
      <c r="AI1769" s="46"/>
      <c r="AJ1769" s="51" t="s">
        <v>67</v>
      </c>
      <c r="AK1769" s="51" t="s">
        <v>67</v>
      </c>
      <c r="AL1769" s="15"/>
      <c r="AM1769" s="51" t="s">
        <v>67</v>
      </c>
      <c r="AN1769" s="51" t="s">
        <v>67</v>
      </c>
      <c r="AO1769" s="50" t="s">
        <v>9554</v>
      </c>
    </row>
    <row r="1770" spans="1:41" hidden="1" x14ac:dyDescent="0.25">
      <c r="A1770" s="51" t="s">
        <v>8952</v>
      </c>
      <c r="B1770" s="51" t="s">
        <v>8953</v>
      </c>
      <c r="C1770" s="54" t="s">
        <v>5602</v>
      </c>
      <c r="D1770" s="51" t="s">
        <v>8954</v>
      </c>
      <c r="E1770" s="20">
        <v>10000</v>
      </c>
      <c r="F1770" s="20">
        <v>365.94</v>
      </c>
      <c r="G1770" s="20">
        <v>10749.25</v>
      </c>
      <c r="H1770" s="20">
        <v>1486.67</v>
      </c>
      <c r="I1770" s="20">
        <v>365.94</v>
      </c>
      <c r="J1770" s="51" t="s">
        <v>6724</v>
      </c>
      <c r="K1770" s="15">
        <v>0</v>
      </c>
      <c r="L1770" s="51" t="s">
        <v>2371</v>
      </c>
      <c r="M1770" s="51" t="s">
        <v>8955</v>
      </c>
      <c r="N1770" s="51" t="s">
        <v>1344</v>
      </c>
      <c r="O1770" s="51" t="s">
        <v>8956</v>
      </c>
      <c r="P1770" s="51" t="s">
        <v>1344</v>
      </c>
      <c r="Q1770" s="45">
        <v>46287.593184837962</v>
      </c>
      <c r="R1770" s="46">
        <v>46303</v>
      </c>
      <c r="S1770" s="46">
        <v>46298</v>
      </c>
      <c r="T1770" s="51" t="s">
        <v>6119</v>
      </c>
      <c r="U1770" s="15"/>
      <c r="V1770" s="15"/>
      <c r="W1770" s="15"/>
      <c r="X1770" s="15"/>
      <c r="Y1770" s="15"/>
      <c r="Z1770" s="15"/>
      <c r="AA1770" s="46"/>
      <c r="AB1770" s="15"/>
      <c r="AC1770" s="15"/>
      <c r="AD1770" s="15"/>
      <c r="AE1770" s="15"/>
      <c r="AF1770" s="15"/>
      <c r="AG1770" s="15"/>
      <c r="AH1770" s="15"/>
      <c r="AI1770" s="46"/>
      <c r="AJ1770" s="51" t="s">
        <v>67</v>
      </c>
      <c r="AK1770" s="51" t="s">
        <v>67</v>
      </c>
      <c r="AL1770" s="15"/>
      <c r="AM1770" s="51" t="s">
        <v>67</v>
      </c>
      <c r="AN1770" s="51" t="s">
        <v>67</v>
      </c>
      <c r="AO1770" s="50" t="s">
        <v>9554</v>
      </c>
    </row>
    <row r="1771" spans="1:41" hidden="1" x14ac:dyDescent="0.25">
      <c r="A1771" s="51" t="s">
        <v>8957</v>
      </c>
      <c r="B1771" s="51" t="s">
        <v>8958</v>
      </c>
      <c r="C1771" s="54" t="s">
        <v>5606</v>
      </c>
      <c r="D1771" s="51" t="s">
        <v>8959</v>
      </c>
      <c r="E1771" s="20">
        <v>10000</v>
      </c>
      <c r="F1771" s="20">
        <v>1181.8399999999999</v>
      </c>
      <c r="G1771" s="20">
        <v>13319.01</v>
      </c>
      <c r="H1771" s="20">
        <v>2872.8</v>
      </c>
      <c r="I1771" s="20">
        <v>1181.8399999999999</v>
      </c>
      <c r="J1771" s="51" t="s">
        <v>6724</v>
      </c>
      <c r="K1771" s="15">
        <v>0</v>
      </c>
      <c r="L1771" s="51" t="s">
        <v>2371</v>
      </c>
      <c r="M1771" s="51" t="s">
        <v>67</v>
      </c>
      <c r="N1771" s="51" t="s">
        <v>67</v>
      </c>
      <c r="O1771" s="51" t="s">
        <v>8960</v>
      </c>
      <c r="P1771" s="51" t="s">
        <v>1344</v>
      </c>
      <c r="Q1771" s="45">
        <v>46287.59319284722</v>
      </c>
      <c r="R1771" s="46">
        <v>46297</v>
      </c>
      <c r="S1771" s="46">
        <v>46292</v>
      </c>
      <c r="T1771" s="51" t="s">
        <v>6119</v>
      </c>
      <c r="U1771" s="15"/>
      <c r="V1771" s="15"/>
      <c r="W1771" s="15"/>
      <c r="X1771" s="15"/>
      <c r="Y1771" s="15"/>
      <c r="Z1771" s="15"/>
      <c r="AA1771" s="46"/>
      <c r="AB1771" s="15"/>
      <c r="AC1771" s="15"/>
      <c r="AD1771" s="15"/>
      <c r="AE1771" s="15"/>
      <c r="AF1771" s="15"/>
      <c r="AG1771" s="15"/>
      <c r="AH1771" s="15"/>
      <c r="AI1771" s="46"/>
      <c r="AJ1771" s="51" t="s">
        <v>67</v>
      </c>
      <c r="AK1771" s="51" t="s">
        <v>67</v>
      </c>
      <c r="AL1771" s="15"/>
      <c r="AM1771" s="51" t="s">
        <v>67</v>
      </c>
      <c r="AN1771" s="51" t="s">
        <v>67</v>
      </c>
      <c r="AO1771" s="50" t="s">
        <v>9554</v>
      </c>
    </row>
    <row r="1772" spans="1:41" hidden="1" x14ac:dyDescent="0.25">
      <c r="A1772" s="51" t="s">
        <v>8961</v>
      </c>
      <c r="B1772" s="51" t="s">
        <v>8962</v>
      </c>
      <c r="C1772" s="54" t="s">
        <v>2690</v>
      </c>
      <c r="D1772" s="51" t="s">
        <v>8963</v>
      </c>
      <c r="E1772" s="20">
        <v>10000</v>
      </c>
      <c r="F1772" s="20">
        <v>153.6</v>
      </c>
      <c r="G1772" s="20">
        <v>19202.96</v>
      </c>
      <c r="H1772" s="20">
        <v>2197.2800000000002</v>
      </c>
      <c r="I1772" s="20">
        <v>1189.5999999999999</v>
      </c>
      <c r="J1772" s="51" t="s">
        <v>6726</v>
      </c>
      <c r="K1772" s="15">
        <v>0</v>
      </c>
      <c r="L1772" s="51" t="s">
        <v>2371</v>
      </c>
      <c r="M1772" s="51" t="s">
        <v>8964</v>
      </c>
      <c r="N1772" s="51" t="s">
        <v>1344</v>
      </c>
      <c r="O1772" s="51" t="s">
        <v>67</v>
      </c>
      <c r="P1772" s="51" t="s">
        <v>67</v>
      </c>
      <c r="Q1772" s="45">
        <v>46287.593201122683</v>
      </c>
      <c r="R1772" s="46">
        <v>46322</v>
      </c>
      <c r="S1772" s="46">
        <v>46317</v>
      </c>
      <c r="T1772" s="51" t="s">
        <v>6119</v>
      </c>
      <c r="U1772" s="15"/>
      <c r="V1772" s="15"/>
      <c r="W1772" s="15"/>
      <c r="X1772" s="15"/>
      <c r="Y1772" s="15"/>
      <c r="Z1772" s="15"/>
      <c r="AA1772" s="46"/>
      <c r="AB1772" s="15"/>
      <c r="AC1772" s="15"/>
      <c r="AD1772" s="15"/>
      <c r="AE1772" s="15"/>
      <c r="AF1772" s="15"/>
      <c r="AG1772" s="15"/>
      <c r="AH1772" s="15"/>
      <c r="AI1772" s="46"/>
      <c r="AJ1772" s="51" t="s">
        <v>67</v>
      </c>
      <c r="AK1772" s="51" t="s">
        <v>67</v>
      </c>
      <c r="AL1772" s="15"/>
      <c r="AM1772" s="51" t="s">
        <v>67</v>
      </c>
      <c r="AN1772" s="51" t="s">
        <v>67</v>
      </c>
      <c r="AO1772" s="50" t="s">
        <v>9554</v>
      </c>
    </row>
    <row r="1773" spans="1:41" hidden="1" x14ac:dyDescent="0.25">
      <c r="A1773" s="51" t="s">
        <v>8965</v>
      </c>
      <c r="B1773" s="51" t="s">
        <v>8966</v>
      </c>
      <c r="C1773" s="54" t="s">
        <v>611</v>
      </c>
      <c r="D1773" s="51" t="s">
        <v>8967</v>
      </c>
      <c r="E1773" s="20">
        <v>10000</v>
      </c>
      <c r="F1773" s="20">
        <v>280.02</v>
      </c>
      <c r="G1773" s="20">
        <v>5603.78</v>
      </c>
      <c r="H1773" s="20">
        <v>1641.61</v>
      </c>
      <c r="I1773" s="20">
        <v>280.02</v>
      </c>
      <c r="J1773" s="51" t="s">
        <v>6724</v>
      </c>
      <c r="K1773" s="15">
        <v>0</v>
      </c>
      <c r="L1773" s="51" t="s">
        <v>2371</v>
      </c>
      <c r="M1773" s="51" t="s">
        <v>67</v>
      </c>
      <c r="N1773" s="51" t="s">
        <v>67</v>
      </c>
      <c r="O1773" s="51" t="s">
        <v>8968</v>
      </c>
      <c r="P1773" s="51" t="s">
        <v>1340</v>
      </c>
      <c r="Q1773" s="45">
        <v>46287.59320758102</v>
      </c>
      <c r="R1773" s="46">
        <v>46320</v>
      </c>
      <c r="S1773" s="46">
        <v>46315</v>
      </c>
      <c r="T1773" s="51" t="s">
        <v>6119</v>
      </c>
      <c r="U1773" s="15"/>
      <c r="V1773" s="15"/>
      <c r="W1773" s="15"/>
      <c r="X1773" s="15"/>
      <c r="Y1773" s="15"/>
      <c r="Z1773" s="15"/>
      <c r="AA1773" s="46"/>
      <c r="AB1773" s="15"/>
      <c r="AC1773" s="15"/>
      <c r="AD1773" s="15"/>
      <c r="AE1773" s="15"/>
      <c r="AF1773" s="15"/>
      <c r="AG1773" s="15"/>
      <c r="AH1773" s="15"/>
      <c r="AI1773" s="46"/>
      <c r="AJ1773" s="51" t="s">
        <v>67</v>
      </c>
      <c r="AK1773" s="51" t="s">
        <v>67</v>
      </c>
      <c r="AL1773" s="15"/>
      <c r="AM1773" s="51" t="s">
        <v>67</v>
      </c>
      <c r="AN1773" s="51" t="s">
        <v>67</v>
      </c>
      <c r="AO1773" s="50" t="s">
        <v>9554</v>
      </c>
    </row>
    <row r="1774" spans="1:41" hidden="1" x14ac:dyDescent="0.25">
      <c r="A1774" s="51" t="s">
        <v>8969</v>
      </c>
      <c r="B1774" s="51" t="s">
        <v>8970</v>
      </c>
      <c r="C1774" s="54" t="s">
        <v>611</v>
      </c>
      <c r="D1774" s="51" t="s">
        <v>8971</v>
      </c>
      <c r="E1774" s="20">
        <v>10000</v>
      </c>
      <c r="F1774" s="20">
        <v>5630.98</v>
      </c>
      <c r="G1774" s="20">
        <v>7182.91</v>
      </c>
      <c r="H1774" s="20">
        <v>1019.44</v>
      </c>
      <c r="I1774" s="20">
        <v>5630.98</v>
      </c>
      <c r="J1774" s="51" t="s">
        <v>6724</v>
      </c>
      <c r="K1774" s="15">
        <v>0</v>
      </c>
      <c r="L1774" s="51" t="s">
        <v>2371</v>
      </c>
      <c r="M1774" s="51" t="s">
        <v>8972</v>
      </c>
      <c r="N1774" s="51" t="s">
        <v>1340</v>
      </c>
      <c r="O1774" s="51" t="s">
        <v>8973</v>
      </c>
      <c r="P1774" s="51" t="s">
        <v>1340</v>
      </c>
      <c r="Q1774" s="45">
        <v>46287.593213958331</v>
      </c>
      <c r="R1774" s="46">
        <v>46320</v>
      </c>
      <c r="S1774" s="46">
        <v>46315</v>
      </c>
      <c r="T1774" s="51" t="s">
        <v>6119</v>
      </c>
      <c r="U1774" s="15"/>
      <c r="V1774" s="15"/>
      <c r="W1774" s="15"/>
      <c r="X1774" s="15"/>
      <c r="Y1774" s="15"/>
      <c r="Z1774" s="15"/>
      <c r="AA1774" s="46"/>
      <c r="AB1774" s="15"/>
      <c r="AC1774" s="15"/>
      <c r="AD1774" s="15"/>
      <c r="AE1774" s="15"/>
      <c r="AF1774" s="15"/>
      <c r="AG1774" s="15"/>
      <c r="AH1774" s="15"/>
      <c r="AI1774" s="46"/>
      <c r="AJ1774" s="51" t="s">
        <v>67</v>
      </c>
      <c r="AK1774" s="51" t="s">
        <v>67</v>
      </c>
      <c r="AL1774" s="15"/>
      <c r="AM1774" s="51" t="s">
        <v>67</v>
      </c>
      <c r="AN1774" s="51" t="s">
        <v>67</v>
      </c>
      <c r="AO1774" s="50" t="s">
        <v>9554</v>
      </c>
    </row>
    <row r="1775" spans="1:41" hidden="1" x14ac:dyDescent="0.25">
      <c r="A1775" s="51" t="s">
        <v>8974</v>
      </c>
      <c r="B1775" s="51" t="s">
        <v>8975</v>
      </c>
      <c r="C1775" s="54" t="s">
        <v>2693</v>
      </c>
      <c r="D1775" s="51" t="s">
        <v>8976</v>
      </c>
      <c r="E1775" s="20">
        <v>10000</v>
      </c>
      <c r="F1775" s="20">
        <v>909.46</v>
      </c>
      <c r="G1775" s="20">
        <v>19910.32</v>
      </c>
      <c r="H1775" s="20">
        <v>2236.5300000000002</v>
      </c>
      <c r="I1775" s="20">
        <v>15</v>
      </c>
      <c r="J1775" s="51" t="s">
        <v>6724</v>
      </c>
      <c r="K1775" s="15">
        <v>0</v>
      </c>
      <c r="L1775" s="51" t="s">
        <v>2371</v>
      </c>
      <c r="M1775" s="51" t="s">
        <v>67</v>
      </c>
      <c r="N1775" s="51" t="s">
        <v>67</v>
      </c>
      <c r="O1775" s="51" t="s">
        <v>8977</v>
      </c>
      <c r="P1775" s="51" t="s">
        <v>1340</v>
      </c>
      <c r="Q1775" s="45">
        <v>46287.593220416667</v>
      </c>
      <c r="R1775" s="46">
        <v>46314</v>
      </c>
      <c r="S1775" s="46">
        <v>46309</v>
      </c>
      <c r="T1775" s="51" t="s">
        <v>6119</v>
      </c>
      <c r="U1775" s="15"/>
      <c r="V1775" s="15"/>
      <c r="W1775" s="15"/>
      <c r="X1775" s="15"/>
      <c r="Y1775" s="15"/>
      <c r="Z1775" s="15"/>
      <c r="AA1775" s="46"/>
      <c r="AB1775" s="15"/>
      <c r="AC1775" s="15"/>
      <c r="AD1775" s="15"/>
      <c r="AE1775" s="15"/>
      <c r="AF1775" s="15"/>
      <c r="AG1775" s="15"/>
      <c r="AH1775" s="15"/>
      <c r="AI1775" s="46"/>
      <c r="AJ1775" s="51" t="s">
        <v>67</v>
      </c>
      <c r="AK1775" s="51" t="s">
        <v>67</v>
      </c>
      <c r="AL1775" s="15"/>
      <c r="AM1775" s="51" t="s">
        <v>67</v>
      </c>
      <c r="AN1775" s="51" t="s">
        <v>67</v>
      </c>
      <c r="AO1775" s="50" t="s">
        <v>9554</v>
      </c>
    </row>
    <row r="1776" spans="1:41" hidden="1" x14ac:dyDescent="0.25">
      <c r="A1776" s="51" t="s">
        <v>8978</v>
      </c>
      <c r="B1776" s="51" t="s">
        <v>8979</v>
      </c>
      <c r="C1776" s="54" t="s">
        <v>2357</v>
      </c>
      <c r="D1776" s="51" t="s">
        <v>8980</v>
      </c>
      <c r="E1776" s="20">
        <v>10000</v>
      </c>
      <c r="F1776" s="20">
        <v>771.2</v>
      </c>
      <c r="G1776" s="20">
        <v>20076.810000000001</v>
      </c>
      <c r="H1776" s="20">
        <v>471.19</v>
      </c>
      <c r="I1776" s="20">
        <v>771.2</v>
      </c>
      <c r="J1776" s="51" t="s">
        <v>6724</v>
      </c>
      <c r="K1776" s="15">
        <v>0</v>
      </c>
      <c r="L1776" s="51" t="s">
        <v>2371</v>
      </c>
      <c r="M1776" s="51" t="s">
        <v>8981</v>
      </c>
      <c r="N1776" s="51" t="s">
        <v>1340</v>
      </c>
      <c r="O1776" s="51" t="s">
        <v>67</v>
      </c>
      <c r="P1776" s="51" t="s">
        <v>67</v>
      </c>
      <c r="Q1776" s="45">
        <v>46287.593229456019</v>
      </c>
      <c r="R1776" s="46">
        <v>46308</v>
      </c>
      <c r="S1776" s="46">
        <v>46303</v>
      </c>
      <c r="T1776" s="51" t="s">
        <v>6119</v>
      </c>
      <c r="U1776" s="15"/>
      <c r="V1776" s="15"/>
      <c r="W1776" s="15"/>
      <c r="X1776" s="15"/>
      <c r="Y1776" s="15"/>
      <c r="Z1776" s="15"/>
      <c r="AA1776" s="46"/>
      <c r="AB1776" s="15"/>
      <c r="AC1776" s="15"/>
      <c r="AD1776" s="15"/>
      <c r="AE1776" s="15"/>
      <c r="AF1776" s="15"/>
      <c r="AG1776" s="15"/>
      <c r="AH1776" s="15"/>
      <c r="AI1776" s="46"/>
      <c r="AJ1776" s="51" t="s">
        <v>67</v>
      </c>
      <c r="AK1776" s="51" t="s">
        <v>67</v>
      </c>
      <c r="AL1776" s="15"/>
      <c r="AM1776" s="51" t="s">
        <v>67</v>
      </c>
      <c r="AN1776" s="51" t="s">
        <v>67</v>
      </c>
      <c r="AO1776" s="50" t="s">
        <v>9554</v>
      </c>
    </row>
    <row r="1777" spans="1:41" hidden="1" x14ac:dyDescent="0.25">
      <c r="A1777" s="51" t="s">
        <v>8982</v>
      </c>
      <c r="B1777" s="51" t="s">
        <v>8983</v>
      </c>
      <c r="C1777" s="54" t="s">
        <v>5603</v>
      </c>
      <c r="D1777" s="51" t="s">
        <v>8984</v>
      </c>
      <c r="E1777" s="20">
        <v>10000</v>
      </c>
      <c r="F1777" s="20">
        <v>429.53</v>
      </c>
      <c r="G1777" s="20">
        <v>6024.6</v>
      </c>
      <c r="H1777" s="20">
        <v>675.23</v>
      </c>
      <c r="I1777" s="20">
        <v>429.53</v>
      </c>
      <c r="J1777" s="51" t="s">
        <v>6724</v>
      </c>
      <c r="K1777" s="15">
        <v>0</v>
      </c>
      <c r="L1777" s="51" t="s">
        <v>2371</v>
      </c>
      <c r="M1777" s="51" t="s">
        <v>8985</v>
      </c>
      <c r="N1777" s="51" t="s">
        <v>1340</v>
      </c>
      <c r="O1777" s="51" t="s">
        <v>8986</v>
      </c>
      <c r="P1777" s="51" t="s">
        <v>1340</v>
      </c>
      <c r="Q1777" s="45">
        <v>46287.593236712964</v>
      </c>
      <c r="R1777" s="46">
        <v>46298</v>
      </c>
      <c r="S1777" s="46">
        <v>46293</v>
      </c>
      <c r="T1777" s="51" t="s">
        <v>6119</v>
      </c>
      <c r="U1777" s="15"/>
      <c r="V1777" s="15"/>
      <c r="W1777" s="15"/>
      <c r="X1777" s="15"/>
      <c r="Y1777" s="15"/>
      <c r="Z1777" s="15"/>
      <c r="AA1777" s="46"/>
      <c r="AB1777" s="15"/>
      <c r="AC1777" s="15"/>
      <c r="AD1777" s="15"/>
      <c r="AE1777" s="15"/>
      <c r="AF1777" s="15"/>
      <c r="AG1777" s="15"/>
      <c r="AH1777" s="15"/>
      <c r="AI1777" s="46"/>
      <c r="AJ1777" s="51" t="s">
        <v>67</v>
      </c>
      <c r="AK1777" s="51" t="s">
        <v>67</v>
      </c>
      <c r="AL1777" s="15"/>
      <c r="AM1777" s="51" t="s">
        <v>67</v>
      </c>
      <c r="AN1777" s="51" t="s">
        <v>67</v>
      </c>
      <c r="AO1777" s="50" t="s">
        <v>9554</v>
      </c>
    </row>
    <row r="1778" spans="1:41" hidden="1" x14ac:dyDescent="0.25">
      <c r="A1778" s="51" t="s">
        <v>8987</v>
      </c>
      <c r="B1778" s="51" t="s">
        <v>8988</v>
      </c>
      <c r="C1778" s="54" t="s">
        <v>5598</v>
      </c>
      <c r="D1778" s="51" t="s">
        <v>8989</v>
      </c>
      <c r="E1778" s="20">
        <v>10000</v>
      </c>
      <c r="F1778" s="20">
        <v>649.76</v>
      </c>
      <c r="G1778" s="20">
        <v>20059.509999999998</v>
      </c>
      <c r="H1778" s="20">
        <v>910.6</v>
      </c>
      <c r="I1778" s="20">
        <v>649.76</v>
      </c>
      <c r="J1778" s="51" t="s">
        <v>6724</v>
      </c>
      <c r="K1778" s="15">
        <v>0</v>
      </c>
      <c r="L1778" s="51" t="s">
        <v>2371</v>
      </c>
      <c r="M1778" s="51" t="s">
        <v>8990</v>
      </c>
      <c r="N1778" s="51" t="s">
        <v>1340</v>
      </c>
      <c r="O1778" s="51" t="s">
        <v>67</v>
      </c>
      <c r="P1778" s="51" t="s">
        <v>67</v>
      </c>
      <c r="Q1778" s="45">
        <v>46287.593240787035</v>
      </c>
      <c r="R1778" s="46">
        <v>46318</v>
      </c>
      <c r="S1778" s="46">
        <v>46313</v>
      </c>
      <c r="T1778" s="51" t="s">
        <v>6119</v>
      </c>
      <c r="U1778" s="15"/>
      <c r="V1778" s="15"/>
      <c r="W1778" s="15"/>
      <c r="X1778" s="15"/>
      <c r="Y1778" s="15"/>
      <c r="Z1778" s="15"/>
      <c r="AA1778" s="46"/>
      <c r="AB1778" s="15"/>
      <c r="AC1778" s="15"/>
      <c r="AD1778" s="15"/>
      <c r="AE1778" s="15"/>
      <c r="AF1778" s="15"/>
      <c r="AG1778" s="15"/>
      <c r="AH1778" s="15"/>
      <c r="AI1778" s="46"/>
      <c r="AJ1778" s="51" t="s">
        <v>67</v>
      </c>
      <c r="AK1778" s="51" t="s">
        <v>67</v>
      </c>
      <c r="AL1778" s="15"/>
      <c r="AM1778" s="51" t="s">
        <v>67</v>
      </c>
      <c r="AN1778" s="51" t="s">
        <v>67</v>
      </c>
      <c r="AO1778" s="50" t="s">
        <v>9554</v>
      </c>
    </row>
    <row r="1779" spans="1:41" hidden="1" x14ac:dyDescent="0.25">
      <c r="A1779" s="51" t="s">
        <v>8991</v>
      </c>
      <c r="B1779" s="51" t="s">
        <v>8992</v>
      </c>
      <c r="C1779" s="54" t="s">
        <v>5608</v>
      </c>
      <c r="D1779" s="51" t="s">
        <v>8993</v>
      </c>
      <c r="E1779" s="20">
        <v>10000</v>
      </c>
      <c r="F1779" s="20">
        <v>1396.79</v>
      </c>
      <c r="G1779" s="20">
        <v>3357.8</v>
      </c>
      <c r="H1779" s="20">
        <v>814.77</v>
      </c>
      <c r="I1779" s="20">
        <v>1396.79</v>
      </c>
      <c r="J1779" s="51" t="s">
        <v>6724</v>
      </c>
      <c r="K1779" s="15">
        <v>0</v>
      </c>
      <c r="L1779" s="51" t="s">
        <v>2371</v>
      </c>
      <c r="M1779" s="51" t="s">
        <v>8994</v>
      </c>
      <c r="N1779" s="51" t="s">
        <v>1340</v>
      </c>
      <c r="O1779" s="51" t="s">
        <v>8995</v>
      </c>
      <c r="P1779" s="51" t="s">
        <v>1340</v>
      </c>
      <c r="Q1779" s="45">
        <v>46287.593248715275</v>
      </c>
      <c r="R1779" s="46">
        <v>46319</v>
      </c>
      <c r="S1779" s="46">
        <v>46314</v>
      </c>
      <c r="T1779" s="51" t="s">
        <v>6119</v>
      </c>
      <c r="U1779" s="15"/>
      <c r="V1779" s="15"/>
      <c r="W1779" s="15"/>
      <c r="X1779" s="15"/>
      <c r="Y1779" s="15"/>
      <c r="Z1779" s="15"/>
      <c r="AA1779" s="46"/>
      <c r="AB1779" s="15"/>
      <c r="AC1779" s="15"/>
      <c r="AD1779" s="15"/>
      <c r="AE1779" s="15"/>
      <c r="AF1779" s="15"/>
      <c r="AG1779" s="15"/>
      <c r="AH1779" s="15"/>
      <c r="AI1779" s="46"/>
      <c r="AJ1779" s="51" t="s">
        <v>67</v>
      </c>
      <c r="AK1779" s="51" t="s">
        <v>67</v>
      </c>
      <c r="AL1779" s="15"/>
      <c r="AM1779" s="51" t="s">
        <v>67</v>
      </c>
      <c r="AN1779" s="51" t="s">
        <v>67</v>
      </c>
      <c r="AO1779" s="50" t="s">
        <v>9554</v>
      </c>
    </row>
    <row r="1780" spans="1:41" hidden="1" x14ac:dyDescent="0.25">
      <c r="A1780" s="51" t="s">
        <v>8996</v>
      </c>
      <c r="B1780" s="51" t="s">
        <v>8997</v>
      </c>
      <c r="C1780" s="54" t="s">
        <v>5600</v>
      </c>
      <c r="D1780" s="51" t="s">
        <v>8998</v>
      </c>
      <c r="E1780" s="20">
        <v>10000</v>
      </c>
      <c r="F1780" s="20">
        <v>251.28</v>
      </c>
      <c r="G1780" s="20">
        <v>9982.18</v>
      </c>
      <c r="H1780" s="20">
        <v>100.29</v>
      </c>
      <c r="I1780" s="20">
        <v>251.28</v>
      </c>
      <c r="J1780" s="51" t="s">
        <v>6724</v>
      </c>
      <c r="K1780" s="15">
        <v>0</v>
      </c>
      <c r="L1780" s="51" t="s">
        <v>2371</v>
      </c>
      <c r="M1780" s="51" t="s">
        <v>8999</v>
      </c>
      <c r="N1780" s="51" t="s">
        <v>1340</v>
      </c>
      <c r="O1780" s="51" t="s">
        <v>67</v>
      </c>
      <c r="P1780" s="51" t="s">
        <v>67</v>
      </c>
      <c r="Q1780" s="45">
        <v>46287.593254918982</v>
      </c>
      <c r="R1780" s="46">
        <v>46304</v>
      </c>
      <c r="S1780" s="46">
        <v>46299</v>
      </c>
      <c r="T1780" s="51" t="s">
        <v>6119</v>
      </c>
      <c r="U1780" s="15"/>
      <c r="V1780" s="15"/>
      <c r="W1780" s="15"/>
      <c r="X1780" s="15"/>
      <c r="Y1780" s="15"/>
      <c r="Z1780" s="15"/>
      <c r="AA1780" s="46"/>
      <c r="AB1780" s="15"/>
      <c r="AC1780" s="15"/>
      <c r="AD1780" s="15"/>
      <c r="AE1780" s="15"/>
      <c r="AF1780" s="15"/>
      <c r="AG1780" s="15"/>
      <c r="AH1780" s="15"/>
      <c r="AI1780" s="46"/>
      <c r="AJ1780" s="51" t="s">
        <v>67</v>
      </c>
      <c r="AK1780" s="51" t="s">
        <v>67</v>
      </c>
      <c r="AL1780" s="15"/>
      <c r="AM1780" s="51" t="s">
        <v>67</v>
      </c>
      <c r="AN1780" s="51" t="s">
        <v>67</v>
      </c>
      <c r="AO1780" s="50" t="s">
        <v>9554</v>
      </c>
    </row>
    <row r="1781" spans="1:41" hidden="1" x14ac:dyDescent="0.25">
      <c r="A1781" s="51" t="s">
        <v>9000</v>
      </c>
      <c r="B1781" s="51" t="s">
        <v>9001</v>
      </c>
      <c r="C1781" s="54" t="s">
        <v>5606</v>
      </c>
      <c r="D1781" s="51" t="s">
        <v>9002</v>
      </c>
      <c r="E1781" s="20">
        <v>10000</v>
      </c>
      <c r="F1781" s="20">
        <v>491.84</v>
      </c>
      <c r="G1781" s="20">
        <v>19960.43</v>
      </c>
      <c r="H1781" s="20">
        <v>1469.45</v>
      </c>
      <c r="I1781" s="20">
        <v>491.84</v>
      </c>
      <c r="J1781" s="51" t="s">
        <v>6724</v>
      </c>
      <c r="K1781" s="15">
        <v>0</v>
      </c>
      <c r="L1781" s="51" t="s">
        <v>2371</v>
      </c>
      <c r="M1781" s="51" t="s">
        <v>67</v>
      </c>
      <c r="N1781" s="51" t="s">
        <v>67</v>
      </c>
      <c r="O1781" s="51" t="s">
        <v>9003</v>
      </c>
      <c r="P1781" s="51" t="s">
        <v>1340</v>
      </c>
      <c r="Q1781" s="45">
        <v>46287.593263796298</v>
      </c>
      <c r="R1781" s="46">
        <v>46297</v>
      </c>
      <c r="S1781" s="46">
        <v>46292</v>
      </c>
      <c r="T1781" s="51" t="s">
        <v>6119</v>
      </c>
      <c r="U1781" s="15"/>
      <c r="V1781" s="15"/>
      <c r="W1781" s="15"/>
      <c r="X1781" s="15"/>
      <c r="Y1781" s="15"/>
      <c r="Z1781" s="15"/>
      <c r="AA1781" s="46"/>
      <c r="AB1781" s="15"/>
      <c r="AC1781" s="15"/>
      <c r="AD1781" s="15"/>
      <c r="AE1781" s="15"/>
      <c r="AF1781" s="15"/>
      <c r="AG1781" s="15"/>
      <c r="AH1781" s="15"/>
      <c r="AI1781" s="46"/>
      <c r="AJ1781" s="51" t="s">
        <v>67</v>
      </c>
      <c r="AK1781" s="51" t="s">
        <v>67</v>
      </c>
      <c r="AL1781" s="15"/>
      <c r="AM1781" s="51" t="s">
        <v>67</v>
      </c>
      <c r="AN1781" s="51" t="s">
        <v>67</v>
      </c>
      <c r="AO1781" s="50" t="s">
        <v>9554</v>
      </c>
    </row>
    <row r="1782" spans="1:41" hidden="1" x14ac:dyDescent="0.25">
      <c r="A1782" s="51" t="s">
        <v>9004</v>
      </c>
      <c r="B1782" s="51" t="s">
        <v>9005</v>
      </c>
      <c r="C1782" s="54" t="s">
        <v>605</v>
      </c>
      <c r="D1782" s="51" t="s">
        <v>9006</v>
      </c>
      <c r="E1782" s="20">
        <v>10000</v>
      </c>
      <c r="F1782" s="20">
        <v>2114.2399999999998</v>
      </c>
      <c r="G1782" s="20">
        <v>12678.21</v>
      </c>
      <c r="H1782" s="20">
        <v>1005.94</v>
      </c>
      <c r="I1782" s="20">
        <v>2114.2399999999998</v>
      </c>
      <c r="J1782" s="51" t="s">
        <v>6724</v>
      </c>
      <c r="K1782" s="15">
        <v>0</v>
      </c>
      <c r="L1782" s="51" t="s">
        <v>2371</v>
      </c>
      <c r="M1782" s="51" t="s">
        <v>9007</v>
      </c>
      <c r="N1782" s="51" t="s">
        <v>1344</v>
      </c>
      <c r="O1782" s="51" t="s">
        <v>9008</v>
      </c>
      <c r="P1782" s="51" t="s">
        <v>1344</v>
      </c>
      <c r="Q1782" s="45">
        <v>46287.593269467594</v>
      </c>
      <c r="R1782" s="46">
        <v>46305</v>
      </c>
      <c r="S1782" s="46">
        <v>46300</v>
      </c>
      <c r="T1782" s="51" t="s">
        <v>6119</v>
      </c>
      <c r="U1782" s="15"/>
      <c r="V1782" s="15"/>
      <c r="W1782" s="15"/>
      <c r="X1782" s="15"/>
      <c r="Y1782" s="15"/>
      <c r="Z1782" s="15"/>
      <c r="AA1782" s="46"/>
      <c r="AB1782" s="15"/>
      <c r="AC1782" s="15"/>
      <c r="AD1782" s="15"/>
      <c r="AE1782" s="15"/>
      <c r="AF1782" s="15"/>
      <c r="AG1782" s="15"/>
      <c r="AH1782" s="15"/>
      <c r="AI1782" s="46"/>
      <c r="AJ1782" s="51" t="s">
        <v>67</v>
      </c>
      <c r="AK1782" s="51" t="s">
        <v>67</v>
      </c>
      <c r="AL1782" s="15"/>
      <c r="AM1782" s="51" t="s">
        <v>67</v>
      </c>
      <c r="AN1782" s="51" t="s">
        <v>67</v>
      </c>
      <c r="AO1782" s="50" t="s">
        <v>9554</v>
      </c>
    </row>
    <row r="1783" spans="1:41" hidden="1" x14ac:dyDescent="0.25">
      <c r="A1783" s="51" t="s">
        <v>9009</v>
      </c>
      <c r="B1783" s="51" t="s">
        <v>9010</v>
      </c>
      <c r="C1783" s="54" t="s">
        <v>2689</v>
      </c>
      <c r="D1783" s="51" t="s">
        <v>9011</v>
      </c>
      <c r="E1783" s="20">
        <v>10000</v>
      </c>
      <c r="F1783" s="20">
        <v>1262.48</v>
      </c>
      <c r="G1783" s="20">
        <v>19367.16</v>
      </c>
      <c r="H1783" s="20">
        <v>768.47</v>
      </c>
      <c r="I1783" s="20">
        <v>0</v>
      </c>
      <c r="J1783" s="51" t="s">
        <v>6724</v>
      </c>
      <c r="K1783" s="15">
        <v>0</v>
      </c>
      <c r="L1783" s="51" t="s">
        <v>2371</v>
      </c>
      <c r="M1783" s="51" t="s">
        <v>67</v>
      </c>
      <c r="N1783" s="51" t="s">
        <v>67</v>
      </c>
      <c r="O1783" s="51" t="s">
        <v>9012</v>
      </c>
      <c r="P1783" s="51" t="s">
        <v>1340</v>
      </c>
      <c r="Q1783" s="45">
        <v>46287.593274398147</v>
      </c>
      <c r="R1783" s="46">
        <v>46317</v>
      </c>
      <c r="S1783" s="46">
        <v>46312</v>
      </c>
      <c r="T1783" s="51" t="s">
        <v>6119</v>
      </c>
      <c r="U1783" s="15"/>
      <c r="V1783" s="15"/>
      <c r="W1783" s="15"/>
      <c r="X1783" s="15"/>
      <c r="Y1783" s="15"/>
      <c r="Z1783" s="15"/>
      <c r="AA1783" s="46"/>
      <c r="AB1783" s="15"/>
      <c r="AC1783" s="15"/>
      <c r="AD1783" s="15"/>
      <c r="AE1783" s="15"/>
      <c r="AF1783" s="15"/>
      <c r="AG1783" s="15"/>
      <c r="AH1783" s="15"/>
      <c r="AI1783" s="46"/>
      <c r="AJ1783" s="51" t="s">
        <v>67</v>
      </c>
      <c r="AK1783" s="51" t="s">
        <v>67</v>
      </c>
      <c r="AL1783" s="15"/>
      <c r="AM1783" s="51" t="s">
        <v>67</v>
      </c>
      <c r="AN1783" s="51" t="s">
        <v>67</v>
      </c>
      <c r="AO1783" s="50" t="s">
        <v>9554</v>
      </c>
    </row>
    <row r="1784" spans="1:41" hidden="1" x14ac:dyDescent="0.25">
      <c r="A1784" s="51" t="s">
        <v>9013</v>
      </c>
      <c r="B1784" s="51" t="s">
        <v>9014</v>
      </c>
      <c r="C1784" s="54" t="s">
        <v>5607</v>
      </c>
      <c r="D1784" s="51" t="s">
        <v>9015</v>
      </c>
      <c r="E1784" s="20">
        <v>10000</v>
      </c>
      <c r="F1784" s="20">
        <v>1235.1300000000001</v>
      </c>
      <c r="G1784" s="20">
        <v>16906.07</v>
      </c>
      <c r="H1784" s="20">
        <v>374.88</v>
      </c>
      <c r="I1784" s="20">
        <v>1235.1300000000001</v>
      </c>
      <c r="J1784" s="51" t="s">
        <v>6724</v>
      </c>
      <c r="K1784" s="15">
        <v>0</v>
      </c>
      <c r="L1784" s="51" t="s">
        <v>2371</v>
      </c>
      <c r="M1784" s="51" t="s">
        <v>67</v>
      </c>
      <c r="N1784" s="51" t="s">
        <v>67</v>
      </c>
      <c r="O1784" s="51" t="s">
        <v>9016</v>
      </c>
      <c r="P1784" s="51" t="s">
        <v>1340</v>
      </c>
      <c r="Q1784" s="45">
        <v>46287.593279259258</v>
      </c>
      <c r="R1784" s="46">
        <v>46299</v>
      </c>
      <c r="S1784" s="46">
        <v>46294</v>
      </c>
      <c r="T1784" s="51" t="s">
        <v>6119</v>
      </c>
      <c r="U1784" s="15"/>
      <c r="V1784" s="15"/>
      <c r="W1784" s="15"/>
      <c r="X1784" s="15"/>
      <c r="Y1784" s="15"/>
      <c r="Z1784" s="15"/>
      <c r="AA1784" s="46"/>
      <c r="AB1784" s="15"/>
      <c r="AC1784" s="15"/>
      <c r="AD1784" s="15"/>
      <c r="AE1784" s="15"/>
      <c r="AF1784" s="15"/>
      <c r="AG1784" s="15"/>
      <c r="AH1784" s="15"/>
      <c r="AI1784" s="46"/>
      <c r="AJ1784" s="51" t="s">
        <v>67</v>
      </c>
      <c r="AK1784" s="51" t="s">
        <v>67</v>
      </c>
      <c r="AL1784" s="15"/>
      <c r="AM1784" s="51" t="s">
        <v>67</v>
      </c>
      <c r="AN1784" s="51" t="s">
        <v>67</v>
      </c>
      <c r="AO1784" s="50" t="s">
        <v>9554</v>
      </c>
    </row>
    <row r="1785" spans="1:41" hidden="1" x14ac:dyDescent="0.25">
      <c r="A1785" s="51" t="s">
        <v>9017</v>
      </c>
      <c r="B1785" s="51" t="s">
        <v>9018</v>
      </c>
      <c r="C1785" s="54" t="s">
        <v>5601</v>
      </c>
      <c r="D1785" s="51" t="s">
        <v>9019</v>
      </c>
      <c r="E1785" s="20">
        <v>10000</v>
      </c>
      <c r="F1785" s="20">
        <v>1512.78</v>
      </c>
      <c r="G1785" s="20">
        <v>6620.71</v>
      </c>
      <c r="H1785" s="20">
        <v>424.29</v>
      </c>
      <c r="I1785" s="20">
        <v>149.38</v>
      </c>
      <c r="J1785" s="51" t="s">
        <v>6724</v>
      </c>
      <c r="K1785" s="15">
        <v>0</v>
      </c>
      <c r="L1785" s="51" t="s">
        <v>2371</v>
      </c>
      <c r="M1785" s="51" t="s">
        <v>9020</v>
      </c>
      <c r="N1785" s="51" t="s">
        <v>1340</v>
      </c>
      <c r="O1785" s="51" t="s">
        <v>9021</v>
      </c>
      <c r="P1785" s="51" t="s">
        <v>1340</v>
      </c>
      <c r="Q1785" s="45">
        <v>46287.59328390046</v>
      </c>
      <c r="R1785" s="46">
        <v>46316</v>
      </c>
      <c r="S1785" s="46">
        <v>46311</v>
      </c>
      <c r="T1785" s="51" t="s">
        <v>6119</v>
      </c>
      <c r="U1785" s="15"/>
      <c r="V1785" s="15"/>
      <c r="W1785" s="15"/>
      <c r="X1785" s="15"/>
      <c r="Y1785" s="15"/>
      <c r="Z1785" s="15"/>
      <c r="AA1785" s="46"/>
      <c r="AB1785" s="15"/>
      <c r="AC1785" s="15"/>
      <c r="AD1785" s="15"/>
      <c r="AE1785" s="15"/>
      <c r="AF1785" s="15"/>
      <c r="AG1785" s="15"/>
      <c r="AH1785" s="15"/>
      <c r="AI1785" s="46"/>
      <c r="AJ1785" s="51" t="s">
        <v>67</v>
      </c>
      <c r="AK1785" s="51" t="s">
        <v>67</v>
      </c>
      <c r="AL1785" s="15"/>
      <c r="AM1785" s="51" t="s">
        <v>67</v>
      </c>
      <c r="AN1785" s="51" t="s">
        <v>67</v>
      </c>
      <c r="AO1785" s="50" t="s">
        <v>9554</v>
      </c>
    </row>
    <row r="1786" spans="1:41" hidden="1" x14ac:dyDescent="0.25">
      <c r="A1786" s="51" t="s">
        <v>9022</v>
      </c>
      <c r="B1786" s="51" t="s">
        <v>9023</v>
      </c>
      <c r="C1786" s="54" t="s">
        <v>608</v>
      </c>
      <c r="D1786" s="51" t="s">
        <v>9024</v>
      </c>
      <c r="E1786" s="20">
        <v>10000</v>
      </c>
      <c r="F1786" s="20">
        <v>163.59</v>
      </c>
      <c r="G1786" s="20">
        <v>4885.49</v>
      </c>
      <c r="H1786" s="20">
        <v>1961.37</v>
      </c>
      <c r="I1786" s="20">
        <v>15</v>
      </c>
      <c r="J1786" s="51" t="s">
        <v>6724</v>
      </c>
      <c r="K1786" s="15">
        <v>0</v>
      </c>
      <c r="L1786" s="51" t="s">
        <v>2371</v>
      </c>
      <c r="M1786" s="51" t="s">
        <v>9025</v>
      </c>
      <c r="N1786" s="51" t="s">
        <v>1340</v>
      </c>
      <c r="O1786" s="51" t="s">
        <v>9026</v>
      </c>
      <c r="P1786" s="51" t="s">
        <v>1340</v>
      </c>
      <c r="Q1786" s="45">
        <v>46287.593288032411</v>
      </c>
      <c r="R1786" s="46">
        <v>46315</v>
      </c>
      <c r="S1786" s="46">
        <v>46310</v>
      </c>
      <c r="T1786" s="51" t="s">
        <v>6119</v>
      </c>
      <c r="U1786" s="15"/>
      <c r="V1786" s="15"/>
      <c r="W1786" s="15"/>
      <c r="X1786" s="15"/>
      <c r="Y1786" s="15"/>
      <c r="Z1786" s="15"/>
      <c r="AA1786" s="46"/>
      <c r="AB1786" s="15"/>
      <c r="AC1786" s="15"/>
      <c r="AD1786" s="15"/>
      <c r="AE1786" s="15"/>
      <c r="AF1786" s="15"/>
      <c r="AG1786" s="15"/>
      <c r="AH1786" s="15"/>
      <c r="AI1786" s="46"/>
      <c r="AJ1786" s="51" t="s">
        <v>67</v>
      </c>
      <c r="AK1786" s="51" t="s">
        <v>67</v>
      </c>
      <c r="AL1786" s="15"/>
      <c r="AM1786" s="51" t="s">
        <v>67</v>
      </c>
      <c r="AN1786" s="51" t="s">
        <v>67</v>
      </c>
      <c r="AO1786" s="50" t="s">
        <v>9554</v>
      </c>
    </row>
    <row r="1787" spans="1:41" hidden="1" x14ac:dyDescent="0.25">
      <c r="A1787" s="51" t="s">
        <v>9027</v>
      </c>
      <c r="B1787" s="51" t="s">
        <v>9028</v>
      </c>
      <c r="C1787" s="54" t="s">
        <v>2692</v>
      </c>
      <c r="D1787" s="51" t="s">
        <v>9029</v>
      </c>
      <c r="E1787" s="20">
        <v>10000</v>
      </c>
      <c r="F1787" s="20">
        <v>601.48</v>
      </c>
      <c r="G1787" s="20">
        <v>5925.72</v>
      </c>
      <c r="H1787" s="20">
        <v>2250.5300000000002</v>
      </c>
      <c r="I1787" s="20">
        <v>601.48</v>
      </c>
      <c r="J1787" s="51" t="s">
        <v>6724</v>
      </c>
      <c r="K1787" s="15">
        <v>0</v>
      </c>
      <c r="L1787" s="51" t="s">
        <v>2371</v>
      </c>
      <c r="M1787" s="51" t="s">
        <v>67</v>
      </c>
      <c r="N1787" s="51" t="s">
        <v>67</v>
      </c>
      <c r="O1787" s="51" t="s">
        <v>9030</v>
      </c>
      <c r="P1787" s="51" t="s">
        <v>1340</v>
      </c>
      <c r="Q1787" s="45">
        <v>46287.593301851855</v>
      </c>
      <c r="R1787" s="46">
        <v>46296</v>
      </c>
      <c r="S1787" s="46">
        <v>46291</v>
      </c>
      <c r="T1787" s="51" t="s">
        <v>6119</v>
      </c>
      <c r="U1787" s="15"/>
      <c r="V1787" s="15"/>
      <c r="W1787" s="15"/>
      <c r="X1787" s="15"/>
      <c r="Y1787" s="15"/>
      <c r="Z1787" s="15"/>
      <c r="AA1787" s="46"/>
      <c r="AB1787" s="15"/>
      <c r="AC1787" s="15"/>
      <c r="AD1787" s="15"/>
      <c r="AE1787" s="15"/>
      <c r="AF1787" s="15"/>
      <c r="AG1787" s="15"/>
      <c r="AH1787" s="15"/>
      <c r="AI1787" s="46"/>
      <c r="AJ1787" s="51" t="s">
        <v>67</v>
      </c>
      <c r="AK1787" s="51" t="s">
        <v>67</v>
      </c>
      <c r="AL1787" s="15"/>
      <c r="AM1787" s="51" t="s">
        <v>67</v>
      </c>
      <c r="AN1787" s="51" t="s">
        <v>67</v>
      </c>
      <c r="AO1787" s="50" t="s">
        <v>9554</v>
      </c>
    </row>
    <row r="1788" spans="1:41" hidden="1" x14ac:dyDescent="0.25">
      <c r="A1788" s="51" t="s">
        <v>9031</v>
      </c>
      <c r="B1788" s="51" t="s">
        <v>9032</v>
      </c>
      <c r="C1788" s="54" t="s">
        <v>605</v>
      </c>
      <c r="D1788" s="51" t="s">
        <v>9033</v>
      </c>
      <c r="E1788" s="20">
        <v>10000</v>
      </c>
      <c r="F1788" s="20">
        <v>1656.06</v>
      </c>
      <c r="G1788" s="20">
        <v>2172.87</v>
      </c>
      <c r="H1788" s="20">
        <v>643.54999999999995</v>
      </c>
      <c r="I1788" s="20">
        <v>1656.06</v>
      </c>
      <c r="J1788" s="51" t="s">
        <v>6724</v>
      </c>
      <c r="K1788" s="15">
        <v>0</v>
      </c>
      <c r="L1788" s="51" t="s">
        <v>2371</v>
      </c>
      <c r="M1788" s="51" t="s">
        <v>9034</v>
      </c>
      <c r="N1788" s="51" t="s">
        <v>1344</v>
      </c>
      <c r="O1788" s="51" t="s">
        <v>9035</v>
      </c>
      <c r="P1788" s="51" t="s">
        <v>1344</v>
      </c>
      <c r="Q1788" s="45">
        <v>46287.593313379628</v>
      </c>
      <c r="R1788" s="46">
        <v>46305</v>
      </c>
      <c r="S1788" s="46">
        <v>46300</v>
      </c>
      <c r="T1788" s="51" t="s">
        <v>6119</v>
      </c>
      <c r="U1788" s="15"/>
      <c r="V1788" s="15"/>
      <c r="W1788" s="15"/>
      <c r="X1788" s="15"/>
      <c r="Y1788" s="15"/>
      <c r="Z1788" s="15"/>
      <c r="AA1788" s="46"/>
      <c r="AB1788" s="15"/>
      <c r="AC1788" s="15"/>
      <c r="AD1788" s="15"/>
      <c r="AE1788" s="15"/>
      <c r="AF1788" s="15"/>
      <c r="AG1788" s="15"/>
      <c r="AH1788" s="15"/>
      <c r="AI1788" s="46"/>
      <c r="AJ1788" s="51" t="s">
        <v>67</v>
      </c>
      <c r="AK1788" s="51" t="s">
        <v>67</v>
      </c>
      <c r="AL1788" s="15"/>
      <c r="AM1788" s="51" t="s">
        <v>67</v>
      </c>
      <c r="AN1788" s="51" t="s">
        <v>67</v>
      </c>
      <c r="AO1788" s="50" t="s">
        <v>9554</v>
      </c>
    </row>
    <row r="1789" spans="1:41" hidden="1" x14ac:dyDescent="0.25">
      <c r="A1789" s="51" t="s">
        <v>9036</v>
      </c>
      <c r="B1789" s="51" t="s">
        <v>9037</v>
      </c>
      <c r="C1789" s="54" t="s">
        <v>605</v>
      </c>
      <c r="D1789" s="51" t="s">
        <v>9038</v>
      </c>
      <c r="E1789" s="20">
        <v>10000</v>
      </c>
      <c r="F1789" s="20">
        <v>413.13</v>
      </c>
      <c r="G1789" s="20">
        <v>17538.82</v>
      </c>
      <c r="H1789" s="20">
        <v>587.33000000000004</v>
      </c>
      <c r="I1789" s="20">
        <v>413.13</v>
      </c>
      <c r="J1789" s="51" t="s">
        <v>6724</v>
      </c>
      <c r="K1789" s="15">
        <v>0</v>
      </c>
      <c r="L1789" s="51" t="s">
        <v>2371</v>
      </c>
      <c r="M1789" s="51" t="s">
        <v>9039</v>
      </c>
      <c r="N1789" s="51" t="s">
        <v>1340</v>
      </c>
      <c r="O1789" s="51" t="s">
        <v>67</v>
      </c>
      <c r="P1789" s="51" t="s">
        <v>67</v>
      </c>
      <c r="Q1789" s="45">
        <v>46287.593323518522</v>
      </c>
      <c r="R1789" s="46">
        <v>46305</v>
      </c>
      <c r="S1789" s="46">
        <v>46300</v>
      </c>
      <c r="T1789" s="51" t="s">
        <v>6119</v>
      </c>
      <c r="U1789" s="15"/>
      <c r="V1789" s="15"/>
      <c r="W1789" s="15"/>
      <c r="X1789" s="15"/>
      <c r="Y1789" s="15"/>
      <c r="Z1789" s="15"/>
      <c r="AA1789" s="46"/>
      <c r="AB1789" s="15"/>
      <c r="AC1789" s="15"/>
      <c r="AD1789" s="15"/>
      <c r="AE1789" s="15"/>
      <c r="AF1789" s="15"/>
      <c r="AG1789" s="15"/>
      <c r="AH1789" s="15"/>
      <c r="AI1789" s="46"/>
      <c r="AJ1789" s="51" t="s">
        <v>67</v>
      </c>
      <c r="AK1789" s="51" t="s">
        <v>67</v>
      </c>
      <c r="AL1789" s="15"/>
      <c r="AM1789" s="51" t="s">
        <v>67</v>
      </c>
      <c r="AN1789" s="51" t="s">
        <v>67</v>
      </c>
      <c r="AO1789" s="50" t="s">
        <v>9554</v>
      </c>
    </row>
    <row r="1790" spans="1:41" hidden="1" x14ac:dyDescent="0.25">
      <c r="A1790" s="51" t="s">
        <v>9040</v>
      </c>
      <c r="B1790" s="51" t="s">
        <v>9041</v>
      </c>
      <c r="C1790" s="54" t="s">
        <v>5597</v>
      </c>
      <c r="D1790" s="51" t="s">
        <v>9042</v>
      </c>
      <c r="E1790" s="20">
        <v>10000</v>
      </c>
      <c r="F1790" s="20">
        <v>4487.04</v>
      </c>
      <c r="G1790" s="20">
        <v>10812.45</v>
      </c>
      <c r="H1790" s="20">
        <v>2039.44</v>
      </c>
      <c r="I1790" s="20">
        <v>4487.04</v>
      </c>
      <c r="J1790" s="51" t="s">
        <v>6724</v>
      </c>
      <c r="K1790" s="15">
        <v>0</v>
      </c>
      <c r="L1790" s="51" t="s">
        <v>2371</v>
      </c>
      <c r="M1790" s="51" t="s">
        <v>9043</v>
      </c>
      <c r="N1790" s="51" t="s">
        <v>1340</v>
      </c>
      <c r="O1790" s="51" t="s">
        <v>9044</v>
      </c>
      <c r="P1790" s="51" t="s">
        <v>1340</v>
      </c>
      <c r="Q1790" s="45">
        <v>46287.593331643518</v>
      </c>
      <c r="R1790" s="46">
        <v>46321</v>
      </c>
      <c r="S1790" s="46">
        <v>46316</v>
      </c>
      <c r="T1790" s="51" t="s">
        <v>6119</v>
      </c>
      <c r="U1790" s="15"/>
      <c r="V1790" s="15"/>
      <c r="W1790" s="15"/>
      <c r="X1790" s="15"/>
      <c r="Y1790" s="15"/>
      <c r="Z1790" s="15"/>
      <c r="AA1790" s="46"/>
      <c r="AB1790" s="15"/>
      <c r="AC1790" s="15"/>
      <c r="AD1790" s="15"/>
      <c r="AE1790" s="15"/>
      <c r="AF1790" s="15"/>
      <c r="AG1790" s="15"/>
      <c r="AH1790" s="15"/>
      <c r="AI1790" s="46"/>
      <c r="AJ1790" s="51" t="s">
        <v>67</v>
      </c>
      <c r="AK1790" s="51" t="s">
        <v>67</v>
      </c>
      <c r="AL1790" s="15"/>
      <c r="AM1790" s="51" t="s">
        <v>67</v>
      </c>
      <c r="AN1790" s="51" t="s">
        <v>67</v>
      </c>
      <c r="AO1790" s="50" t="s">
        <v>9554</v>
      </c>
    </row>
    <row r="1791" spans="1:41" hidden="1" x14ac:dyDescent="0.25">
      <c r="A1791" s="51" t="s">
        <v>9045</v>
      </c>
      <c r="B1791" s="51" t="s">
        <v>9046</v>
      </c>
      <c r="C1791" s="54" t="s">
        <v>5606</v>
      </c>
      <c r="D1791" s="51" t="s">
        <v>9047</v>
      </c>
      <c r="E1791" s="20">
        <v>10000</v>
      </c>
      <c r="F1791" s="20">
        <v>7237</v>
      </c>
      <c r="G1791" s="20">
        <v>8474.2900000000009</v>
      </c>
      <c r="H1791" s="20">
        <v>627.44000000000005</v>
      </c>
      <c r="I1791" s="20">
        <v>7237</v>
      </c>
      <c r="J1791" s="51" t="s">
        <v>6724</v>
      </c>
      <c r="K1791" s="15">
        <v>0</v>
      </c>
      <c r="L1791" s="51" t="s">
        <v>2371</v>
      </c>
      <c r="M1791" s="51" t="s">
        <v>9048</v>
      </c>
      <c r="N1791" s="51" t="s">
        <v>1340</v>
      </c>
      <c r="O1791" s="51" t="s">
        <v>9049</v>
      </c>
      <c r="P1791" s="51" t="s">
        <v>1340</v>
      </c>
      <c r="Q1791" s="45">
        <v>46287.59334172454</v>
      </c>
      <c r="R1791" s="46">
        <v>46297</v>
      </c>
      <c r="S1791" s="46">
        <v>46292</v>
      </c>
      <c r="T1791" s="51" t="s">
        <v>6119</v>
      </c>
      <c r="U1791" s="15"/>
      <c r="V1791" s="15"/>
      <c r="W1791" s="15"/>
      <c r="X1791" s="15"/>
      <c r="Y1791" s="15"/>
      <c r="Z1791" s="15"/>
      <c r="AA1791" s="46"/>
      <c r="AB1791" s="15"/>
      <c r="AC1791" s="15"/>
      <c r="AD1791" s="15"/>
      <c r="AE1791" s="15"/>
      <c r="AF1791" s="15"/>
      <c r="AG1791" s="15"/>
      <c r="AH1791" s="15"/>
      <c r="AI1791" s="46"/>
      <c r="AJ1791" s="51" t="s">
        <v>67</v>
      </c>
      <c r="AK1791" s="51" t="s">
        <v>67</v>
      </c>
      <c r="AL1791" s="15"/>
      <c r="AM1791" s="51" t="s">
        <v>67</v>
      </c>
      <c r="AN1791" s="51" t="s">
        <v>67</v>
      </c>
      <c r="AO1791" s="50" t="s">
        <v>9554</v>
      </c>
    </row>
    <row r="1792" spans="1:41" hidden="1" x14ac:dyDescent="0.25">
      <c r="A1792" s="51" t="s">
        <v>9050</v>
      </c>
      <c r="B1792" s="51" t="s">
        <v>9051</v>
      </c>
      <c r="C1792" s="54" t="s">
        <v>2345</v>
      </c>
      <c r="D1792" s="51" t="s">
        <v>9052</v>
      </c>
      <c r="E1792" s="20">
        <v>10000</v>
      </c>
      <c r="F1792" s="20">
        <v>814.14</v>
      </c>
      <c r="G1792" s="20">
        <v>12234.15</v>
      </c>
      <c r="H1792" s="20">
        <v>619.88</v>
      </c>
      <c r="I1792" s="20">
        <v>814.14</v>
      </c>
      <c r="J1792" s="51" t="s">
        <v>6724</v>
      </c>
      <c r="K1792" s="15">
        <v>0</v>
      </c>
      <c r="L1792" s="51" t="s">
        <v>2371</v>
      </c>
      <c r="M1792" s="51" t="s">
        <v>67</v>
      </c>
      <c r="N1792" s="51" t="s">
        <v>67</v>
      </c>
      <c r="O1792" s="51" t="s">
        <v>9053</v>
      </c>
      <c r="P1792" s="51" t="s">
        <v>1340</v>
      </c>
      <c r="Q1792" s="45">
        <v>46287.593349247683</v>
      </c>
      <c r="R1792" s="46">
        <v>46306</v>
      </c>
      <c r="S1792" s="46">
        <v>46301</v>
      </c>
      <c r="T1792" s="51" t="s">
        <v>6119</v>
      </c>
      <c r="U1792" s="15"/>
      <c r="V1792" s="15"/>
      <c r="W1792" s="15"/>
      <c r="X1792" s="15"/>
      <c r="Y1792" s="15"/>
      <c r="Z1792" s="15"/>
      <c r="AA1792" s="46"/>
      <c r="AB1792" s="15"/>
      <c r="AC1792" s="15"/>
      <c r="AD1792" s="15"/>
      <c r="AE1792" s="15"/>
      <c r="AF1792" s="15"/>
      <c r="AG1792" s="15"/>
      <c r="AH1792" s="15"/>
      <c r="AI1792" s="46"/>
      <c r="AJ1792" s="51" t="s">
        <v>67</v>
      </c>
      <c r="AK1792" s="51" t="s">
        <v>67</v>
      </c>
      <c r="AL1792" s="15"/>
      <c r="AM1792" s="51" t="s">
        <v>67</v>
      </c>
      <c r="AN1792" s="51" t="s">
        <v>67</v>
      </c>
      <c r="AO1792" s="50" t="s">
        <v>9554</v>
      </c>
    </row>
    <row r="1793" spans="1:41" hidden="1" x14ac:dyDescent="0.25">
      <c r="A1793" s="51" t="s">
        <v>9054</v>
      </c>
      <c r="B1793" s="51" t="s">
        <v>9055</v>
      </c>
      <c r="C1793" s="54" t="s">
        <v>5605</v>
      </c>
      <c r="D1793" s="51" t="s">
        <v>9056</v>
      </c>
      <c r="E1793" s="20">
        <v>10000</v>
      </c>
      <c r="F1793" s="20">
        <v>414.39</v>
      </c>
      <c r="G1793" s="20">
        <v>13707.85</v>
      </c>
      <c r="H1793" s="20">
        <v>9177.56</v>
      </c>
      <c r="I1793" s="20">
        <v>4853.1899999999996</v>
      </c>
      <c r="J1793" s="51" t="s">
        <v>6726</v>
      </c>
      <c r="K1793" s="15">
        <v>0</v>
      </c>
      <c r="L1793" s="51" t="s">
        <v>2371</v>
      </c>
      <c r="M1793" s="51" t="s">
        <v>67</v>
      </c>
      <c r="N1793" s="51" t="s">
        <v>67</v>
      </c>
      <c r="O1793" s="51" t="s">
        <v>9057</v>
      </c>
      <c r="P1793" s="51" t="s">
        <v>1340</v>
      </c>
      <c r="Q1793" s="45">
        <v>46287.593360381943</v>
      </c>
      <c r="R1793" s="46">
        <v>46323</v>
      </c>
      <c r="S1793" s="46">
        <v>46318</v>
      </c>
      <c r="T1793" s="51" t="s">
        <v>6119</v>
      </c>
      <c r="U1793" s="15"/>
      <c r="V1793" s="15"/>
      <c r="W1793" s="15"/>
      <c r="X1793" s="15"/>
      <c r="Y1793" s="15"/>
      <c r="Z1793" s="15"/>
      <c r="AA1793" s="46"/>
      <c r="AB1793" s="15"/>
      <c r="AC1793" s="15"/>
      <c r="AD1793" s="15"/>
      <c r="AE1793" s="15"/>
      <c r="AF1793" s="15"/>
      <c r="AG1793" s="15"/>
      <c r="AH1793" s="15"/>
      <c r="AI1793" s="46"/>
      <c r="AJ1793" s="51" t="s">
        <v>67</v>
      </c>
      <c r="AK1793" s="51" t="s">
        <v>67</v>
      </c>
      <c r="AL1793" s="15"/>
      <c r="AM1793" s="51" t="s">
        <v>67</v>
      </c>
      <c r="AN1793" s="51" t="s">
        <v>67</v>
      </c>
      <c r="AO1793" s="50" t="s">
        <v>9554</v>
      </c>
    </row>
    <row r="1794" spans="1:41" hidden="1" x14ac:dyDescent="0.25">
      <c r="A1794" s="51" t="s">
        <v>9058</v>
      </c>
      <c r="B1794" s="51" t="s">
        <v>9059</v>
      </c>
      <c r="C1794" s="54" t="s">
        <v>5605</v>
      </c>
      <c r="D1794" s="51" t="s">
        <v>9060</v>
      </c>
      <c r="E1794" s="20">
        <v>10000</v>
      </c>
      <c r="F1794" s="20">
        <v>1651.56</v>
      </c>
      <c r="G1794" s="20">
        <v>13608.94</v>
      </c>
      <c r="H1794" s="20">
        <v>9733.15</v>
      </c>
      <c r="I1794" s="20">
        <v>5763.37</v>
      </c>
      <c r="J1794" s="51" t="s">
        <v>6726</v>
      </c>
      <c r="K1794" s="15">
        <v>0</v>
      </c>
      <c r="L1794" s="51" t="s">
        <v>2371</v>
      </c>
      <c r="M1794" s="51" t="s">
        <v>9061</v>
      </c>
      <c r="N1794" s="51" t="s">
        <v>1340</v>
      </c>
      <c r="O1794" s="51" t="s">
        <v>67</v>
      </c>
      <c r="P1794" s="51" t="s">
        <v>67</v>
      </c>
      <c r="Q1794" s="45">
        <v>46287.593366377318</v>
      </c>
      <c r="R1794" s="46">
        <v>46323</v>
      </c>
      <c r="S1794" s="46">
        <v>46318</v>
      </c>
      <c r="T1794" s="51" t="s">
        <v>6119</v>
      </c>
      <c r="U1794" s="15">
        <v>330.72</v>
      </c>
      <c r="V1794" s="15">
        <v>1529.41</v>
      </c>
      <c r="W1794" s="15">
        <v>14.07</v>
      </c>
      <c r="X1794" s="15">
        <v>5.81</v>
      </c>
      <c r="Y1794" s="15">
        <v>1.662415</v>
      </c>
      <c r="Z1794" s="15">
        <v>6</v>
      </c>
      <c r="AA1794" s="46">
        <v>46293</v>
      </c>
      <c r="AB1794" s="15"/>
      <c r="AC1794" s="15"/>
      <c r="AD1794" s="15"/>
      <c r="AE1794" s="15"/>
      <c r="AF1794" s="15"/>
      <c r="AG1794" s="15"/>
      <c r="AH1794" s="15"/>
      <c r="AI1794" s="46"/>
      <c r="AJ1794" s="51" t="s">
        <v>67</v>
      </c>
      <c r="AK1794" s="51" t="s">
        <v>67</v>
      </c>
      <c r="AL1794" s="15"/>
      <c r="AM1794" s="51" t="s">
        <v>67</v>
      </c>
      <c r="AN1794" s="51" t="s">
        <v>67</v>
      </c>
      <c r="AO1794" s="50" t="s">
        <v>9554</v>
      </c>
    </row>
    <row r="1795" spans="1:41" hidden="1" x14ac:dyDescent="0.25">
      <c r="A1795" s="51" t="s">
        <v>9062</v>
      </c>
      <c r="B1795" s="51" t="s">
        <v>9063</v>
      </c>
      <c r="C1795" s="54" t="s">
        <v>5597</v>
      </c>
      <c r="D1795" s="51" t="s">
        <v>9064</v>
      </c>
      <c r="E1795" s="20">
        <v>10000</v>
      </c>
      <c r="F1795" s="20">
        <v>476.49</v>
      </c>
      <c r="G1795" s="20">
        <v>11762.75</v>
      </c>
      <c r="H1795" s="20">
        <v>840.03</v>
      </c>
      <c r="I1795" s="20">
        <v>476.49</v>
      </c>
      <c r="J1795" s="51" t="s">
        <v>6724</v>
      </c>
      <c r="K1795" s="15">
        <v>0</v>
      </c>
      <c r="L1795" s="51" t="s">
        <v>2371</v>
      </c>
      <c r="M1795" s="51" t="s">
        <v>9065</v>
      </c>
      <c r="N1795" s="51" t="s">
        <v>1340</v>
      </c>
      <c r="O1795" s="51" t="s">
        <v>9066</v>
      </c>
      <c r="P1795" s="51" t="s">
        <v>1340</v>
      </c>
      <c r="Q1795" s="45">
        <v>46287.593376759258</v>
      </c>
      <c r="R1795" s="46">
        <v>46321</v>
      </c>
      <c r="S1795" s="46">
        <v>46316</v>
      </c>
      <c r="T1795" s="51" t="s">
        <v>6119</v>
      </c>
      <c r="U1795" s="15"/>
      <c r="V1795" s="15"/>
      <c r="W1795" s="15"/>
      <c r="X1795" s="15"/>
      <c r="Y1795" s="15"/>
      <c r="Z1795" s="15"/>
      <c r="AA1795" s="46"/>
      <c r="AB1795" s="15"/>
      <c r="AC1795" s="15"/>
      <c r="AD1795" s="15"/>
      <c r="AE1795" s="15"/>
      <c r="AF1795" s="15"/>
      <c r="AG1795" s="15"/>
      <c r="AH1795" s="15"/>
      <c r="AI1795" s="46"/>
      <c r="AJ1795" s="51" t="s">
        <v>67</v>
      </c>
      <c r="AK1795" s="51" t="s">
        <v>67</v>
      </c>
      <c r="AL1795" s="15"/>
      <c r="AM1795" s="51" t="s">
        <v>67</v>
      </c>
      <c r="AN1795" s="51" t="s">
        <v>67</v>
      </c>
      <c r="AO1795" s="50" t="s">
        <v>9554</v>
      </c>
    </row>
    <row r="1796" spans="1:41" hidden="1" x14ac:dyDescent="0.25">
      <c r="A1796" s="51" t="s">
        <v>9067</v>
      </c>
      <c r="B1796" s="51" t="s">
        <v>9068</v>
      </c>
      <c r="C1796" s="54" t="s">
        <v>2345</v>
      </c>
      <c r="D1796" s="51" t="s">
        <v>9069</v>
      </c>
      <c r="E1796" s="20">
        <v>10000</v>
      </c>
      <c r="F1796" s="20">
        <v>1179.6199999999999</v>
      </c>
      <c r="G1796" s="20">
        <v>19370.02</v>
      </c>
      <c r="H1796" s="20">
        <v>1307.55</v>
      </c>
      <c r="I1796" s="20">
        <v>1179.6199999999999</v>
      </c>
      <c r="J1796" s="51" t="s">
        <v>6724</v>
      </c>
      <c r="K1796" s="15">
        <v>0</v>
      </c>
      <c r="L1796" s="51" t="s">
        <v>2371</v>
      </c>
      <c r="M1796" s="51" t="s">
        <v>9070</v>
      </c>
      <c r="N1796" s="51" t="s">
        <v>1344</v>
      </c>
      <c r="O1796" s="51" t="s">
        <v>67</v>
      </c>
      <c r="P1796" s="51" t="s">
        <v>67</v>
      </c>
      <c r="Q1796" s="45">
        <v>46287.593384363427</v>
      </c>
      <c r="R1796" s="46">
        <v>46306</v>
      </c>
      <c r="S1796" s="46">
        <v>46301</v>
      </c>
      <c r="T1796" s="51" t="s">
        <v>6119</v>
      </c>
      <c r="U1796" s="15"/>
      <c r="V1796" s="15"/>
      <c r="W1796" s="15"/>
      <c r="X1796" s="15"/>
      <c r="Y1796" s="15"/>
      <c r="Z1796" s="15"/>
      <c r="AA1796" s="46"/>
      <c r="AB1796" s="15"/>
      <c r="AC1796" s="15"/>
      <c r="AD1796" s="15"/>
      <c r="AE1796" s="15"/>
      <c r="AF1796" s="15"/>
      <c r="AG1796" s="15"/>
      <c r="AH1796" s="15"/>
      <c r="AI1796" s="46"/>
      <c r="AJ1796" s="51" t="s">
        <v>67</v>
      </c>
      <c r="AK1796" s="51" t="s">
        <v>67</v>
      </c>
      <c r="AL1796" s="15"/>
      <c r="AM1796" s="51" t="s">
        <v>67</v>
      </c>
      <c r="AN1796" s="51" t="s">
        <v>67</v>
      </c>
      <c r="AO1796" s="50" t="s">
        <v>9554</v>
      </c>
    </row>
    <row r="1797" spans="1:41" hidden="1" x14ac:dyDescent="0.25">
      <c r="A1797" s="51" t="s">
        <v>9071</v>
      </c>
      <c r="B1797" s="51" t="s">
        <v>9072</v>
      </c>
      <c r="C1797" s="54" t="s">
        <v>5602</v>
      </c>
      <c r="D1797" s="51" t="s">
        <v>8295</v>
      </c>
      <c r="E1797" s="20">
        <v>10000</v>
      </c>
      <c r="F1797" s="20">
        <v>573.27</v>
      </c>
      <c r="G1797" s="20">
        <v>2095.42</v>
      </c>
      <c r="H1797" s="20">
        <v>665.23</v>
      </c>
      <c r="I1797" s="20">
        <v>573.27</v>
      </c>
      <c r="J1797" s="51" t="s">
        <v>6724</v>
      </c>
      <c r="K1797" s="15">
        <v>0</v>
      </c>
      <c r="L1797" s="51" t="s">
        <v>2371</v>
      </c>
      <c r="M1797" s="51" t="s">
        <v>9073</v>
      </c>
      <c r="N1797" s="51" t="s">
        <v>1340</v>
      </c>
      <c r="O1797" s="51" t="s">
        <v>9074</v>
      </c>
      <c r="P1797" s="51" t="s">
        <v>1340</v>
      </c>
      <c r="Q1797" s="45">
        <v>46287.59339130787</v>
      </c>
      <c r="R1797" s="46">
        <v>46303</v>
      </c>
      <c r="S1797" s="46">
        <v>46298</v>
      </c>
      <c r="T1797" s="51" t="s">
        <v>6119</v>
      </c>
      <c r="U1797" s="15"/>
      <c r="V1797" s="15"/>
      <c r="W1797" s="15"/>
      <c r="X1797" s="15"/>
      <c r="Y1797" s="15"/>
      <c r="Z1797" s="15"/>
      <c r="AA1797" s="46"/>
      <c r="AB1797" s="15"/>
      <c r="AC1797" s="15"/>
      <c r="AD1797" s="15"/>
      <c r="AE1797" s="15"/>
      <c r="AF1797" s="15"/>
      <c r="AG1797" s="15"/>
      <c r="AH1797" s="15"/>
      <c r="AI1797" s="46"/>
      <c r="AJ1797" s="51" t="s">
        <v>67</v>
      </c>
      <c r="AK1797" s="51" t="s">
        <v>67</v>
      </c>
      <c r="AL1797" s="15"/>
      <c r="AM1797" s="51" t="s">
        <v>67</v>
      </c>
      <c r="AN1797" s="51" t="s">
        <v>67</v>
      </c>
      <c r="AO1797" s="50" t="s">
        <v>9554</v>
      </c>
    </row>
    <row r="1798" spans="1:41" hidden="1" x14ac:dyDescent="0.25">
      <c r="A1798" s="51" t="s">
        <v>9075</v>
      </c>
      <c r="B1798" s="51" t="s">
        <v>9076</v>
      </c>
      <c r="C1798" s="54" t="s">
        <v>2693</v>
      </c>
      <c r="D1798" s="51" t="s">
        <v>9077</v>
      </c>
      <c r="E1798" s="20">
        <v>10000</v>
      </c>
      <c r="F1798" s="20">
        <v>1112.6199999999999</v>
      </c>
      <c r="G1798" s="20">
        <v>18682.96</v>
      </c>
      <c r="H1798" s="20">
        <v>3317.67</v>
      </c>
      <c r="I1798" s="20">
        <v>1097.6199999999999</v>
      </c>
      <c r="J1798" s="51" t="s">
        <v>6724</v>
      </c>
      <c r="K1798" s="15">
        <v>0</v>
      </c>
      <c r="L1798" s="51" t="s">
        <v>2371</v>
      </c>
      <c r="M1798" s="51" t="s">
        <v>9078</v>
      </c>
      <c r="N1798" s="51" t="s">
        <v>1340</v>
      </c>
      <c r="O1798" s="51" t="s">
        <v>67</v>
      </c>
      <c r="P1798" s="51" t="s">
        <v>67</v>
      </c>
      <c r="Q1798" s="45">
        <v>46287.593407523149</v>
      </c>
      <c r="R1798" s="46">
        <v>46314</v>
      </c>
      <c r="S1798" s="46">
        <v>46309</v>
      </c>
      <c r="T1798" s="51" t="s">
        <v>6119</v>
      </c>
      <c r="U1798" s="15"/>
      <c r="V1798" s="15"/>
      <c r="W1798" s="15"/>
      <c r="X1798" s="15"/>
      <c r="Y1798" s="15"/>
      <c r="Z1798" s="15"/>
      <c r="AA1798" s="46"/>
      <c r="AB1798" s="15"/>
      <c r="AC1798" s="15"/>
      <c r="AD1798" s="15"/>
      <c r="AE1798" s="15"/>
      <c r="AF1798" s="15"/>
      <c r="AG1798" s="15"/>
      <c r="AH1798" s="15"/>
      <c r="AI1798" s="46"/>
      <c r="AJ1798" s="51" t="s">
        <v>67</v>
      </c>
      <c r="AK1798" s="51" t="s">
        <v>67</v>
      </c>
      <c r="AL1798" s="15"/>
      <c r="AM1798" s="51" t="s">
        <v>67</v>
      </c>
      <c r="AN1798" s="51" t="s">
        <v>67</v>
      </c>
      <c r="AO1798" s="50" t="s">
        <v>9554</v>
      </c>
    </row>
    <row r="1799" spans="1:41" hidden="1" x14ac:dyDescent="0.25">
      <c r="A1799" s="51" t="s">
        <v>9079</v>
      </c>
      <c r="B1799" s="51" t="s">
        <v>9080</v>
      </c>
      <c r="C1799" s="54" t="s">
        <v>5600</v>
      </c>
      <c r="D1799" s="51" t="s">
        <v>9081</v>
      </c>
      <c r="E1799" s="20">
        <v>10000</v>
      </c>
      <c r="F1799" s="20">
        <v>3366.51</v>
      </c>
      <c r="G1799" s="20">
        <v>10759.34</v>
      </c>
      <c r="H1799" s="20">
        <v>1945.39</v>
      </c>
      <c r="I1799" s="20">
        <v>3366.51</v>
      </c>
      <c r="J1799" s="51" t="s">
        <v>6724</v>
      </c>
      <c r="K1799" s="15">
        <v>0</v>
      </c>
      <c r="L1799" s="51" t="s">
        <v>2371</v>
      </c>
      <c r="M1799" s="51" t="s">
        <v>9082</v>
      </c>
      <c r="N1799" s="51" t="s">
        <v>1340</v>
      </c>
      <c r="O1799" s="51" t="s">
        <v>9083</v>
      </c>
      <c r="P1799" s="51" t="s">
        <v>1340</v>
      </c>
      <c r="Q1799" s="45">
        <v>46287.593415185183</v>
      </c>
      <c r="R1799" s="46">
        <v>46304</v>
      </c>
      <c r="S1799" s="46">
        <v>46299</v>
      </c>
      <c r="T1799" s="51" t="s">
        <v>6119</v>
      </c>
      <c r="U1799" s="15"/>
      <c r="V1799" s="15"/>
      <c r="W1799" s="15"/>
      <c r="X1799" s="15"/>
      <c r="Y1799" s="15"/>
      <c r="Z1799" s="15"/>
      <c r="AA1799" s="46"/>
      <c r="AB1799" s="15"/>
      <c r="AC1799" s="15"/>
      <c r="AD1799" s="15"/>
      <c r="AE1799" s="15"/>
      <c r="AF1799" s="15"/>
      <c r="AG1799" s="15"/>
      <c r="AH1799" s="15"/>
      <c r="AI1799" s="46"/>
      <c r="AJ1799" s="51" t="s">
        <v>67</v>
      </c>
      <c r="AK1799" s="51" t="s">
        <v>67</v>
      </c>
      <c r="AL1799" s="15"/>
      <c r="AM1799" s="51" t="s">
        <v>67</v>
      </c>
      <c r="AN1799" s="51" t="s">
        <v>67</v>
      </c>
      <c r="AO1799" s="50" t="s">
        <v>9554</v>
      </c>
    </row>
    <row r="1800" spans="1:41" hidden="1" x14ac:dyDescent="0.25">
      <c r="A1800" s="51" t="s">
        <v>9084</v>
      </c>
      <c r="B1800" s="51" t="s">
        <v>9085</v>
      </c>
      <c r="C1800" s="54" t="s">
        <v>2345</v>
      </c>
      <c r="D1800" s="51" t="s">
        <v>9086</v>
      </c>
      <c r="E1800" s="20">
        <v>10000</v>
      </c>
      <c r="F1800" s="20">
        <v>497.23</v>
      </c>
      <c r="G1800" s="20">
        <v>1866.18</v>
      </c>
      <c r="H1800" s="20">
        <v>100.29</v>
      </c>
      <c r="I1800" s="20">
        <v>497.23</v>
      </c>
      <c r="J1800" s="51" t="s">
        <v>6724</v>
      </c>
      <c r="K1800" s="15">
        <v>0</v>
      </c>
      <c r="L1800" s="51" t="s">
        <v>2371</v>
      </c>
      <c r="M1800" s="51" t="s">
        <v>9087</v>
      </c>
      <c r="N1800" s="51" t="s">
        <v>1340</v>
      </c>
      <c r="O1800" s="51" t="s">
        <v>9088</v>
      </c>
      <c r="P1800" s="51" t="s">
        <v>1340</v>
      </c>
      <c r="Q1800" s="45">
        <v>46287.593424513892</v>
      </c>
      <c r="R1800" s="46">
        <v>46306</v>
      </c>
      <c r="S1800" s="46">
        <v>46301</v>
      </c>
      <c r="T1800" s="51" t="s">
        <v>6119</v>
      </c>
      <c r="U1800" s="15"/>
      <c r="V1800" s="15"/>
      <c r="W1800" s="15"/>
      <c r="X1800" s="15"/>
      <c r="Y1800" s="15"/>
      <c r="Z1800" s="15"/>
      <c r="AA1800" s="46"/>
      <c r="AB1800" s="15"/>
      <c r="AC1800" s="15"/>
      <c r="AD1800" s="15"/>
      <c r="AE1800" s="15"/>
      <c r="AF1800" s="15"/>
      <c r="AG1800" s="15"/>
      <c r="AH1800" s="15"/>
      <c r="AI1800" s="46"/>
      <c r="AJ1800" s="51" t="s">
        <v>67</v>
      </c>
      <c r="AK1800" s="51" t="s">
        <v>67</v>
      </c>
      <c r="AL1800" s="15"/>
      <c r="AM1800" s="51" t="s">
        <v>67</v>
      </c>
      <c r="AN1800" s="51" t="s">
        <v>67</v>
      </c>
      <c r="AO1800" s="50" t="s">
        <v>9554</v>
      </c>
    </row>
    <row r="1801" spans="1:41" hidden="1" x14ac:dyDescent="0.25">
      <c r="A1801" s="51" t="s">
        <v>9089</v>
      </c>
      <c r="B1801" s="51" t="s">
        <v>9090</v>
      </c>
      <c r="C1801" s="54" t="s">
        <v>607</v>
      </c>
      <c r="D1801" s="51" t="s">
        <v>203</v>
      </c>
      <c r="E1801" s="20">
        <v>10000</v>
      </c>
      <c r="F1801" s="20">
        <v>277.11</v>
      </c>
      <c r="G1801" s="20">
        <v>20053.22</v>
      </c>
      <c r="H1801" s="20">
        <v>70.39</v>
      </c>
      <c r="I1801" s="20">
        <v>277.11</v>
      </c>
      <c r="J1801" s="51" t="s">
        <v>6724</v>
      </c>
      <c r="K1801" s="15">
        <v>0</v>
      </c>
      <c r="L1801" s="51" t="s">
        <v>2371</v>
      </c>
      <c r="M1801" s="51" t="s">
        <v>9091</v>
      </c>
      <c r="N1801" s="51" t="s">
        <v>1340</v>
      </c>
      <c r="O1801" s="51" t="s">
        <v>9092</v>
      </c>
      <c r="P1801" s="51" t="s">
        <v>1340</v>
      </c>
      <c r="Q1801" s="45">
        <v>46287.593429189816</v>
      </c>
      <c r="R1801" s="46">
        <v>46310</v>
      </c>
      <c r="S1801" s="46">
        <v>46305</v>
      </c>
      <c r="T1801" s="51" t="s">
        <v>6119</v>
      </c>
      <c r="U1801" s="15"/>
      <c r="V1801" s="15"/>
      <c r="W1801" s="15"/>
      <c r="X1801" s="15"/>
      <c r="Y1801" s="15"/>
      <c r="Z1801" s="15"/>
      <c r="AA1801" s="46"/>
      <c r="AB1801" s="15"/>
      <c r="AC1801" s="15"/>
      <c r="AD1801" s="15"/>
      <c r="AE1801" s="15"/>
      <c r="AF1801" s="15"/>
      <c r="AG1801" s="15"/>
      <c r="AH1801" s="15"/>
      <c r="AI1801" s="46"/>
      <c r="AJ1801" s="51" t="s">
        <v>67</v>
      </c>
      <c r="AK1801" s="51" t="s">
        <v>67</v>
      </c>
      <c r="AL1801" s="15"/>
      <c r="AM1801" s="51" t="s">
        <v>67</v>
      </c>
      <c r="AN1801" s="51" t="s">
        <v>67</v>
      </c>
      <c r="AO1801" s="50" t="s">
        <v>9554</v>
      </c>
    </row>
    <row r="1802" spans="1:41" hidden="1" x14ac:dyDescent="0.25">
      <c r="A1802" s="51" t="s">
        <v>9093</v>
      </c>
      <c r="B1802" s="51" t="s">
        <v>9094</v>
      </c>
      <c r="C1802" s="54" t="s">
        <v>605</v>
      </c>
      <c r="D1802" s="51" t="s">
        <v>9095</v>
      </c>
      <c r="E1802" s="20">
        <v>10000</v>
      </c>
      <c r="F1802" s="20">
        <v>0</v>
      </c>
      <c r="G1802" s="20">
        <v>5000</v>
      </c>
      <c r="H1802" s="20">
        <v>537.97</v>
      </c>
      <c r="I1802" s="20">
        <v>125.76</v>
      </c>
      <c r="J1802" s="51" t="s">
        <v>6726</v>
      </c>
      <c r="K1802" s="15">
        <v>0</v>
      </c>
      <c r="L1802" s="51" t="s">
        <v>2371</v>
      </c>
      <c r="M1802" s="51" t="s">
        <v>9096</v>
      </c>
      <c r="N1802" s="51" t="s">
        <v>1340</v>
      </c>
      <c r="O1802" s="51" t="s">
        <v>67</v>
      </c>
      <c r="P1802" s="51" t="s">
        <v>67</v>
      </c>
      <c r="Q1802" s="45">
        <v>46288.596234861114</v>
      </c>
      <c r="R1802" s="46">
        <v>46305</v>
      </c>
      <c r="S1802" s="46">
        <v>46300</v>
      </c>
      <c r="T1802" s="51" t="s">
        <v>6119</v>
      </c>
      <c r="U1802" s="15"/>
      <c r="V1802" s="15"/>
      <c r="W1802" s="15"/>
      <c r="X1802" s="15"/>
      <c r="Y1802" s="15"/>
      <c r="Z1802" s="15"/>
      <c r="AA1802" s="46"/>
      <c r="AB1802" s="15"/>
      <c r="AC1802" s="15"/>
      <c r="AD1802" s="15"/>
      <c r="AE1802" s="15"/>
      <c r="AF1802" s="15"/>
      <c r="AG1802" s="15"/>
      <c r="AH1802" s="15"/>
      <c r="AI1802" s="46"/>
      <c r="AJ1802" s="51" t="s">
        <v>67</v>
      </c>
      <c r="AK1802" s="51" t="s">
        <v>67</v>
      </c>
      <c r="AL1802" s="15"/>
      <c r="AM1802" s="51" t="s">
        <v>67</v>
      </c>
      <c r="AN1802" s="51" t="s">
        <v>67</v>
      </c>
      <c r="AO1802" s="50" t="s">
        <v>9554</v>
      </c>
    </row>
    <row r="1803" spans="1:41" hidden="1" x14ac:dyDescent="0.25">
      <c r="A1803" s="51" t="s">
        <v>9097</v>
      </c>
      <c r="B1803" s="51" t="s">
        <v>9098</v>
      </c>
      <c r="C1803" s="54" t="s">
        <v>2356</v>
      </c>
      <c r="D1803" s="51" t="s">
        <v>9099</v>
      </c>
      <c r="E1803" s="20">
        <v>10000</v>
      </c>
      <c r="F1803" s="20">
        <v>412.82</v>
      </c>
      <c r="G1803" s="20">
        <v>4587.18</v>
      </c>
      <c r="H1803" s="20">
        <v>337.66</v>
      </c>
      <c r="I1803" s="20">
        <v>412.82</v>
      </c>
      <c r="J1803" s="51" t="s">
        <v>6727</v>
      </c>
      <c r="K1803" s="15">
        <v>76</v>
      </c>
      <c r="L1803" s="51" t="s">
        <v>2369</v>
      </c>
      <c r="M1803" s="51" t="s">
        <v>9100</v>
      </c>
      <c r="N1803" s="51" t="s">
        <v>1340</v>
      </c>
      <c r="O1803" s="51" t="s">
        <v>67</v>
      </c>
      <c r="P1803" s="51" t="s">
        <v>67</v>
      </c>
      <c r="Q1803" s="45">
        <v>46288.598152060185</v>
      </c>
      <c r="R1803" s="46">
        <v>46307</v>
      </c>
      <c r="S1803" s="46">
        <v>46302</v>
      </c>
      <c r="T1803" s="51" t="s">
        <v>6119</v>
      </c>
      <c r="U1803" s="15"/>
      <c r="V1803" s="15"/>
      <c r="W1803" s="15"/>
      <c r="X1803" s="15"/>
      <c r="Y1803" s="15"/>
      <c r="Z1803" s="15"/>
      <c r="AA1803" s="46"/>
      <c r="AB1803" s="15"/>
      <c r="AC1803" s="15"/>
      <c r="AD1803" s="15"/>
      <c r="AE1803" s="15"/>
      <c r="AF1803" s="15"/>
      <c r="AG1803" s="15"/>
      <c r="AH1803" s="15"/>
      <c r="AI1803" s="46"/>
      <c r="AJ1803" s="51" t="s">
        <v>6121</v>
      </c>
      <c r="AK1803" s="51" t="s">
        <v>67</v>
      </c>
      <c r="AL1803" s="15"/>
      <c r="AM1803" s="51" t="s">
        <v>67</v>
      </c>
      <c r="AN1803" s="51" t="s">
        <v>67</v>
      </c>
      <c r="AO1803" s="50" t="s">
        <v>9554</v>
      </c>
    </row>
    <row r="1804" spans="1:41" hidden="1" x14ac:dyDescent="0.25">
      <c r="A1804" s="51" t="s">
        <v>9101</v>
      </c>
      <c r="B1804" s="51" t="s">
        <v>9102</v>
      </c>
      <c r="C1804" s="54" t="s">
        <v>2692</v>
      </c>
      <c r="D1804" s="51" t="s">
        <v>9103</v>
      </c>
      <c r="E1804" s="20">
        <v>10000</v>
      </c>
      <c r="F1804" s="20">
        <v>919.19</v>
      </c>
      <c r="G1804" s="20">
        <v>17424.5</v>
      </c>
      <c r="H1804" s="20">
        <v>688.89</v>
      </c>
      <c r="I1804" s="20">
        <v>919.19</v>
      </c>
      <c r="J1804" s="51" t="s">
        <v>6727</v>
      </c>
      <c r="K1804" s="15">
        <v>87</v>
      </c>
      <c r="L1804" s="51" t="s">
        <v>2369</v>
      </c>
      <c r="M1804" s="51" t="s">
        <v>67</v>
      </c>
      <c r="N1804" s="51" t="s">
        <v>67</v>
      </c>
      <c r="O1804" s="51" t="s">
        <v>9104</v>
      </c>
      <c r="P1804" s="51" t="s">
        <v>1340</v>
      </c>
      <c r="Q1804" s="45">
        <v>46288.603157094905</v>
      </c>
      <c r="R1804" s="46">
        <v>46296</v>
      </c>
      <c r="S1804" s="46">
        <v>46291</v>
      </c>
      <c r="T1804" s="51" t="s">
        <v>6119</v>
      </c>
      <c r="U1804" s="15"/>
      <c r="V1804" s="15"/>
      <c r="W1804" s="15"/>
      <c r="X1804" s="15"/>
      <c r="Y1804" s="15"/>
      <c r="Z1804" s="15"/>
      <c r="AA1804" s="46"/>
      <c r="AB1804" s="15"/>
      <c r="AC1804" s="15"/>
      <c r="AD1804" s="15"/>
      <c r="AE1804" s="15"/>
      <c r="AF1804" s="15"/>
      <c r="AG1804" s="15"/>
      <c r="AH1804" s="15"/>
      <c r="AI1804" s="46"/>
      <c r="AJ1804" s="51" t="s">
        <v>6121</v>
      </c>
      <c r="AK1804" s="51" t="s">
        <v>67</v>
      </c>
      <c r="AL1804" s="15"/>
      <c r="AM1804" s="51" t="s">
        <v>67</v>
      </c>
      <c r="AN1804" s="51" t="s">
        <v>67</v>
      </c>
      <c r="AO1804" s="50" t="s">
        <v>9554</v>
      </c>
    </row>
    <row r="1805" spans="1:41" hidden="1" x14ac:dyDescent="0.25">
      <c r="A1805" s="51" t="s">
        <v>9105</v>
      </c>
      <c r="B1805" s="51" t="s">
        <v>9106</v>
      </c>
      <c r="C1805" s="54" t="s">
        <v>5608</v>
      </c>
      <c r="D1805" s="51" t="s">
        <v>9107</v>
      </c>
      <c r="E1805" s="20">
        <v>10000</v>
      </c>
      <c r="F1805" s="20">
        <v>1180.71</v>
      </c>
      <c r="G1805" s="20">
        <v>8973.73</v>
      </c>
      <c r="H1805" s="20">
        <v>857.55</v>
      </c>
      <c r="I1805" s="20">
        <v>1180.71</v>
      </c>
      <c r="J1805" s="51" t="s">
        <v>6727</v>
      </c>
      <c r="K1805" s="15">
        <v>94</v>
      </c>
      <c r="L1805" s="51" t="s">
        <v>2369</v>
      </c>
      <c r="M1805" s="51" t="s">
        <v>9108</v>
      </c>
      <c r="N1805" s="51" t="s">
        <v>1340</v>
      </c>
      <c r="O1805" s="51" t="s">
        <v>67</v>
      </c>
      <c r="P1805" s="51" t="s">
        <v>67</v>
      </c>
      <c r="Q1805" s="45">
        <v>46288.603412905089</v>
      </c>
      <c r="R1805" s="46">
        <v>46319</v>
      </c>
      <c r="S1805" s="46">
        <v>46314</v>
      </c>
      <c r="T1805" s="51" t="s">
        <v>6119</v>
      </c>
      <c r="U1805" s="15"/>
      <c r="V1805" s="15"/>
      <c r="W1805" s="15"/>
      <c r="X1805" s="15"/>
      <c r="Y1805" s="15"/>
      <c r="Z1805" s="15"/>
      <c r="AA1805" s="46"/>
      <c r="AB1805" s="15"/>
      <c r="AC1805" s="15"/>
      <c r="AD1805" s="15"/>
      <c r="AE1805" s="15"/>
      <c r="AF1805" s="15"/>
      <c r="AG1805" s="15"/>
      <c r="AH1805" s="15"/>
      <c r="AI1805" s="46"/>
      <c r="AJ1805" s="51" t="s">
        <v>6121</v>
      </c>
      <c r="AK1805" s="51" t="s">
        <v>67</v>
      </c>
      <c r="AL1805" s="15"/>
      <c r="AM1805" s="51" t="s">
        <v>67</v>
      </c>
      <c r="AN1805" s="51" t="s">
        <v>67</v>
      </c>
      <c r="AO1805" s="50" t="s">
        <v>9554</v>
      </c>
    </row>
    <row r="1806" spans="1:41" hidden="1" x14ac:dyDescent="0.25">
      <c r="A1806" s="51" t="s">
        <v>9109</v>
      </c>
      <c r="B1806" s="51" t="s">
        <v>9110</v>
      </c>
      <c r="C1806" s="54" t="s">
        <v>611</v>
      </c>
      <c r="D1806" s="51" t="s">
        <v>9111</v>
      </c>
      <c r="E1806" s="20">
        <v>10000</v>
      </c>
      <c r="F1806" s="20">
        <v>1034.3499999999999</v>
      </c>
      <c r="G1806" s="20">
        <v>11266.07</v>
      </c>
      <c r="H1806" s="20">
        <v>829.53</v>
      </c>
      <c r="I1806" s="20">
        <v>1034.3499999999999</v>
      </c>
      <c r="J1806" s="51" t="s">
        <v>6727</v>
      </c>
      <c r="K1806" s="15">
        <v>93</v>
      </c>
      <c r="L1806" s="51" t="s">
        <v>2369</v>
      </c>
      <c r="M1806" s="51" t="s">
        <v>67</v>
      </c>
      <c r="N1806" s="51" t="s">
        <v>67</v>
      </c>
      <c r="O1806" s="51" t="s">
        <v>9112</v>
      </c>
      <c r="P1806" s="51" t="s">
        <v>1344</v>
      </c>
      <c r="Q1806" s="45">
        <v>46288.603430532406</v>
      </c>
      <c r="R1806" s="46">
        <v>46320</v>
      </c>
      <c r="S1806" s="46">
        <v>46315</v>
      </c>
      <c r="T1806" s="51" t="s">
        <v>6119</v>
      </c>
      <c r="U1806" s="15"/>
      <c r="V1806" s="15"/>
      <c r="W1806" s="15"/>
      <c r="X1806" s="15"/>
      <c r="Y1806" s="15"/>
      <c r="Z1806" s="15"/>
      <c r="AA1806" s="46"/>
      <c r="AB1806" s="15"/>
      <c r="AC1806" s="15"/>
      <c r="AD1806" s="15"/>
      <c r="AE1806" s="15"/>
      <c r="AF1806" s="15"/>
      <c r="AG1806" s="15"/>
      <c r="AH1806" s="15"/>
      <c r="AI1806" s="46"/>
      <c r="AJ1806" s="51" t="s">
        <v>6121</v>
      </c>
      <c r="AK1806" s="51" t="s">
        <v>67</v>
      </c>
      <c r="AL1806" s="15"/>
      <c r="AM1806" s="51" t="s">
        <v>67</v>
      </c>
      <c r="AN1806" s="51" t="s">
        <v>67</v>
      </c>
      <c r="AO1806" s="50" t="s">
        <v>9554</v>
      </c>
    </row>
    <row r="1807" spans="1:41" hidden="1" x14ac:dyDescent="0.25">
      <c r="A1807" s="51" t="s">
        <v>9113</v>
      </c>
      <c r="B1807" s="51" t="s">
        <v>9114</v>
      </c>
      <c r="C1807" s="54" t="s">
        <v>5599</v>
      </c>
      <c r="D1807" s="51" t="s">
        <v>9115</v>
      </c>
      <c r="E1807" s="20">
        <v>10000</v>
      </c>
      <c r="F1807" s="20">
        <v>1175.58</v>
      </c>
      <c r="G1807" s="20">
        <v>19797.55</v>
      </c>
      <c r="H1807" s="20">
        <v>979.08</v>
      </c>
      <c r="I1807" s="20">
        <v>1175.58</v>
      </c>
      <c r="J1807" s="51" t="s">
        <v>6727</v>
      </c>
      <c r="K1807" s="15">
        <v>81</v>
      </c>
      <c r="L1807" s="51" t="s">
        <v>2369</v>
      </c>
      <c r="M1807" s="51" t="s">
        <v>9116</v>
      </c>
      <c r="N1807" s="51" t="s">
        <v>1340</v>
      </c>
      <c r="O1807" s="51" t="s">
        <v>67</v>
      </c>
      <c r="P1807" s="51" t="s">
        <v>67</v>
      </c>
      <c r="Q1807" s="45">
        <v>46288.603443981483</v>
      </c>
      <c r="R1807" s="46">
        <v>46302</v>
      </c>
      <c r="S1807" s="46">
        <v>46297</v>
      </c>
      <c r="T1807" s="51" t="s">
        <v>6119</v>
      </c>
      <c r="U1807" s="15"/>
      <c r="V1807" s="15"/>
      <c r="W1807" s="15"/>
      <c r="X1807" s="15"/>
      <c r="Y1807" s="15"/>
      <c r="Z1807" s="15"/>
      <c r="AA1807" s="46"/>
      <c r="AB1807" s="15"/>
      <c r="AC1807" s="15"/>
      <c r="AD1807" s="15"/>
      <c r="AE1807" s="15"/>
      <c r="AF1807" s="15"/>
      <c r="AG1807" s="15"/>
      <c r="AH1807" s="15"/>
      <c r="AI1807" s="46"/>
      <c r="AJ1807" s="51" t="s">
        <v>6121</v>
      </c>
      <c r="AK1807" s="51" t="s">
        <v>67</v>
      </c>
      <c r="AL1807" s="15"/>
      <c r="AM1807" s="51" t="s">
        <v>67</v>
      </c>
      <c r="AN1807" s="51" t="s">
        <v>67</v>
      </c>
      <c r="AO1807" s="50" t="s">
        <v>9554</v>
      </c>
    </row>
    <row r="1808" spans="1:41" hidden="1" x14ac:dyDescent="0.25">
      <c r="A1808" s="51" t="s">
        <v>9117</v>
      </c>
      <c r="B1808" s="51" t="s">
        <v>9118</v>
      </c>
      <c r="C1808" s="54" t="s">
        <v>605</v>
      </c>
      <c r="D1808" s="51" t="s">
        <v>9119</v>
      </c>
      <c r="E1808" s="20">
        <v>10000</v>
      </c>
      <c r="F1808" s="20">
        <v>915.41</v>
      </c>
      <c r="G1808" s="20">
        <v>6909.91</v>
      </c>
      <c r="H1808" s="20">
        <v>673.26</v>
      </c>
      <c r="I1808" s="20">
        <v>915.41</v>
      </c>
      <c r="J1808" s="51" t="s">
        <v>6727</v>
      </c>
      <c r="K1808" s="15">
        <v>108</v>
      </c>
      <c r="L1808" s="51" t="s">
        <v>2369</v>
      </c>
      <c r="M1808" s="51" t="s">
        <v>67</v>
      </c>
      <c r="N1808" s="51" t="s">
        <v>67</v>
      </c>
      <c r="O1808" s="51" t="s">
        <v>9120</v>
      </c>
      <c r="P1808" s="51" t="s">
        <v>1340</v>
      </c>
      <c r="Q1808" s="45">
        <v>46288.603450138886</v>
      </c>
      <c r="R1808" s="46">
        <v>46305</v>
      </c>
      <c r="S1808" s="46">
        <v>46300</v>
      </c>
      <c r="T1808" s="51" t="s">
        <v>6119</v>
      </c>
      <c r="U1808" s="15"/>
      <c r="V1808" s="15"/>
      <c r="W1808" s="15"/>
      <c r="X1808" s="15"/>
      <c r="Y1808" s="15"/>
      <c r="Z1808" s="15"/>
      <c r="AA1808" s="46"/>
      <c r="AB1808" s="15"/>
      <c r="AC1808" s="15"/>
      <c r="AD1808" s="15"/>
      <c r="AE1808" s="15"/>
      <c r="AF1808" s="15"/>
      <c r="AG1808" s="15"/>
      <c r="AH1808" s="15"/>
      <c r="AI1808" s="46"/>
      <c r="AJ1808" s="51" t="s">
        <v>6121</v>
      </c>
      <c r="AK1808" s="51" t="s">
        <v>67</v>
      </c>
      <c r="AL1808" s="15"/>
      <c r="AM1808" s="51" t="s">
        <v>67</v>
      </c>
      <c r="AN1808" s="51" t="s">
        <v>67</v>
      </c>
      <c r="AO1808" s="50" t="s">
        <v>9554</v>
      </c>
    </row>
    <row r="1809" spans="1:41" hidden="1" x14ac:dyDescent="0.25">
      <c r="A1809" s="51" t="s">
        <v>9121</v>
      </c>
      <c r="B1809" s="51" t="s">
        <v>9122</v>
      </c>
      <c r="C1809" s="54" t="s">
        <v>2691</v>
      </c>
      <c r="D1809" s="51" t="s">
        <v>9123</v>
      </c>
      <c r="E1809" s="20">
        <v>10000</v>
      </c>
      <c r="F1809" s="20">
        <v>1594.09</v>
      </c>
      <c r="G1809" s="20">
        <v>16766.45</v>
      </c>
      <c r="H1809" s="20">
        <v>1220.04</v>
      </c>
      <c r="I1809" s="20">
        <v>1594.09</v>
      </c>
      <c r="J1809" s="51" t="s">
        <v>6727</v>
      </c>
      <c r="K1809" s="15">
        <v>82</v>
      </c>
      <c r="L1809" s="51" t="s">
        <v>2369</v>
      </c>
      <c r="M1809" s="51" t="s">
        <v>9124</v>
      </c>
      <c r="N1809" s="51" t="s">
        <v>1340</v>
      </c>
      <c r="O1809" s="51" t="s">
        <v>9125</v>
      </c>
      <c r="P1809" s="51" t="s">
        <v>1340</v>
      </c>
      <c r="Q1809" s="45">
        <v>46288.603456342593</v>
      </c>
      <c r="R1809" s="46">
        <v>46301</v>
      </c>
      <c r="S1809" s="46">
        <v>46296</v>
      </c>
      <c r="T1809" s="51" t="s">
        <v>6119</v>
      </c>
      <c r="U1809" s="15"/>
      <c r="V1809" s="15"/>
      <c r="W1809" s="15"/>
      <c r="X1809" s="15"/>
      <c r="Y1809" s="15"/>
      <c r="Z1809" s="15"/>
      <c r="AA1809" s="46"/>
      <c r="AB1809" s="15"/>
      <c r="AC1809" s="15"/>
      <c r="AD1809" s="15"/>
      <c r="AE1809" s="15"/>
      <c r="AF1809" s="15"/>
      <c r="AG1809" s="15"/>
      <c r="AH1809" s="15"/>
      <c r="AI1809" s="46"/>
      <c r="AJ1809" s="51" t="s">
        <v>6121</v>
      </c>
      <c r="AK1809" s="51" t="s">
        <v>67</v>
      </c>
      <c r="AL1809" s="15"/>
      <c r="AM1809" s="51" t="s">
        <v>67</v>
      </c>
      <c r="AN1809" s="51" t="s">
        <v>67</v>
      </c>
      <c r="AO1809" s="50" t="s">
        <v>9554</v>
      </c>
    </row>
    <row r="1810" spans="1:41" hidden="1" x14ac:dyDescent="0.25">
      <c r="A1810" s="51" t="s">
        <v>9126</v>
      </c>
      <c r="B1810" s="51" t="s">
        <v>9127</v>
      </c>
      <c r="C1810" s="54" t="s">
        <v>2345</v>
      </c>
      <c r="D1810" s="51" t="s">
        <v>9128</v>
      </c>
      <c r="E1810" s="20">
        <v>10000</v>
      </c>
      <c r="F1810" s="20">
        <v>1817.08</v>
      </c>
      <c r="G1810" s="20">
        <v>13121.59</v>
      </c>
      <c r="H1810" s="20">
        <v>1254.0899999999999</v>
      </c>
      <c r="I1810" s="20">
        <v>1817.08</v>
      </c>
      <c r="J1810" s="51" t="s">
        <v>6727</v>
      </c>
      <c r="K1810" s="15">
        <v>107</v>
      </c>
      <c r="L1810" s="51" t="s">
        <v>2369</v>
      </c>
      <c r="M1810" s="51" t="s">
        <v>9129</v>
      </c>
      <c r="N1810" s="51" t="s">
        <v>1340</v>
      </c>
      <c r="O1810" s="51" t="s">
        <v>9130</v>
      </c>
      <c r="P1810" s="51" t="s">
        <v>1340</v>
      </c>
      <c r="Q1810" s="45">
        <v>46288.603462824074</v>
      </c>
      <c r="R1810" s="46">
        <v>46306</v>
      </c>
      <c r="S1810" s="46">
        <v>46301</v>
      </c>
      <c r="T1810" s="51" t="s">
        <v>6119</v>
      </c>
      <c r="U1810" s="15"/>
      <c r="V1810" s="15"/>
      <c r="W1810" s="15"/>
      <c r="X1810" s="15"/>
      <c r="Y1810" s="15"/>
      <c r="Z1810" s="15"/>
      <c r="AA1810" s="46"/>
      <c r="AB1810" s="15"/>
      <c r="AC1810" s="15"/>
      <c r="AD1810" s="15"/>
      <c r="AE1810" s="15"/>
      <c r="AF1810" s="15"/>
      <c r="AG1810" s="15"/>
      <c r="AH1810" s="15"/>
      <c r="AI1810" s="46"/>
      <c r="AJ1810" s="51" t="s">
        <v>6121</v>
      </c>
      <c r="AK1810" s="51" t="s">
        <v>67</v>
      </c>
      <c r="AL1810" s="15"/>
      <c r="AM1810" s="51" t="s">
        <v>67</v>
      </c>
      <c r="AN1810" s="51" t="s">
        <v>67</v>
      </c>
      <c r="AO1810" s="50" t="s">
        <v>9554</v>
      </c>
    </row>
    <row r="1811" spans="1:41" hidden="1" x14ac:dyDescent="0.25">
      <c r="A1811" s="51" t="s">
        <v>9131</v>
      </c>
      <c r="B1811" s="51" t="s">
        <v>9132</v>
      </c>
      <c r="C1811" s="54" t="s">
        <v>2693</v>
      </c>
      <c r="D1811" s="51" t="s">
        <v>9133</v>
      </c>
      <c r="E1811" s="20">
        <v>10000</v>
      </c>
      <c r="F1811" s="20">
        <v>1752.88</v>
      </c>
      <c r="G1811" s="20">
        <v>12191.54</v>
      </c>
      <c r="H1811" s="20">
        <v>1248</v>
      </c>
      <c r="I1811" s="20">
        <v>1752.88</v>
      </c>
      <c r="J1811" s="51" t="s">
        <v>6727</v>
      </c>
      <c r="K1811" s="15">
        <v>99</v>
      </c>
      <c r="L1811" s="51" t="s">
        <v>2369</v>
      </c>
      <c r="M1811" s="51" t="s">
        <v>9134</v>
      </c>
      <c r="N1811" s="51" t="s">
        <v>1340</v>
      </c>
      <c r="O1811" s="51" t="s">
        <v>67</v>
      </c>
      <c r="P1811" s="51" t="s">
        <v>67</v>
      </c>
      <c r="Q1811" s="45">
        <v>46288.603472291667</v>
      </c>
      <c r="R1811" s="46">
        <v>46314</v>
      </c>
      <c r="S1811" s="46">
        <v>46309</v>
      </c>
      <c r="T1811" s="51" t="s">
        <v>6119</v>
      </c>
      <c r="U1811" s="15"/>
      <c r="V1811" s="15"/>
      <c r="W1811" s="15"/>
      <c r="X1811" s="15"/>
      <c r="Y1811" s="15"/>
      <c r="Z1811" s="15"/>
      <c r="AA1811" s="46"/>
      <c r="AB1811" s="15"/>
      <c r="AC1811" s="15"/>
      <c r="AD1811" s="15"/>
      <c r="AE1811" s="15"/>
      <c r="AF1811" s="15"/>
      <c r="AG1811" s="15"/>
      <c r="AH1811" s="15"/>
      <c r="AI1811" s="46"/>
      <c r="AJ1811" s="51" t="s">
        <v>6121</v>
      </c>
      <c r="AK1811" s="51" t="s">
        <v>67</v>
      </c>
      <c r="AL1811" s="15"/>
      <c r="AM1811" s="51" t="s">
        <v>67</v>
      </c>
      <c r="AN1811" s="51" t="s">
        <v>67</v>
      </c>
      <c r="AO1811" s="50" t="s">
        <v>9554</v>
      </c>
    </row>
    <row r="1812" spans="1:41" hidden="1" x14ac:dyDescent="0.25">
      <c r="A1812" s="51" t="s">
        <v>9135</v>
      </c>
      <c r="B1812" s="51" t="s">
        <v>9136</v>
      </c>
      <c r="C1812" s="54" t="s">
        <v>2541</v>
      </c>
      <c r="D1812" s="51" t="s">
        <v>9137</v>
      </c>
      <c r="E1812" s="20">
        <v>10000</v>
      </c>
      <c r="F1812" s="20">
        <v>990.11</v>
      </c>
      <c r="G1812" s="20">
        <v>19537.330000000002</v>
      </c>
      <c r="H1812" s="20">
        <v>696.69</v>
      </c>
      <c r="I1812" s="20">
        <v>990.11</v>
      </c>
      <c r="J1812" s="51" t="s">
        <v>6727</v>
      </c>
      <c r="K1812" s="15">
        <v>102</v>
      </c>
      <c r="L1812" s="51" t="s">
        <v>2369</v>
      </c>
      <c r="M1812" s="51" t="s">
        <v>67</v>
      </c>
      <c r="N1812" s="51" t="s">
        <v>67</v>
      </c>
      <c r="O1812" s="51" t="s">
        <v>9138</v>
      </c>
      <c r="P1812" s="51" t="s">
        <v>1340</v>
      </c>
      <c r="Q1812" s="45">
        <v>46288.60347898148</v>
      </c>
      <c r="R1812" s="46">
        <v>46311</v>
      </c>
      <c r="S1812" s="46">
        <v>46306</v>
      </c>
      <c r="T1812" s="51" t="s">
        <v>6119</v>
      </c>
      <c r="U1812" s="15"/>
      <c r="V1812" s="15"/>
      <c r="W1812" s="15"/>
      <c r="X1812" s="15"/>
      <c r="Y1812" s="15"/>
      <c r="Z1812" s="15"/>
      <c r="AA1812" s="46"/>
      <c r="AB1812" s="15"/>
      <c r="AC1812" s="15"/>
      <c r="AD1812" s="15"/>
      <c r="AE1812" s="15"/>
      <c r="AF1812" s="15"/>
      <c r="AG1812" s="15"/>
      <c r="AH1812" s="15"/>
      <c r="AI1812" s="46"/>
      <c r="AJ1812" s="51" t="s">
        <v>6121</v>
      </c>
      <c r="AK1812" s="51" t="s">
        <v>67</v>
      </c>
      <c r="AL1812" s="15"/>
      <c r="AM1812" s="51" t="s">
        <v>67</v>
      </c>
      <c r="AN1812" s="51" t="s">
        <v>67</v>
      </c>
      <c r="AO1812" s="50" t="s">
        <v>9554</v>
      </c>
    </row>
    <row r="1813" spans="1:41" hidden="1" x14ac:dyDescent="0.25">
      <c r="A1813" s="51" t="s">
        <v>9139</v>
      </c>
      <c r="B1813" s="51" t="s">
        <v>9140</v>
      </c>
      <c r="C1813" s="54" t="s">
        <v>5606</v>
      </c>
      <c r="D1813" s="51" t="s">
        <v>9141</v>
      </c>
      <c r="E1813" s="20">
        <v>10000</v>
      </c>
      <c r="F1813" s="20">
        <v>1367.72</v>
      </c>
      <c r="G1813" s="20">
        <v>7991.45</v>
      </c>
      <c r="H1813" s="20">
        <v>1071.48</v>
      </c>
      <c r="I1813" s="20">
        <v>1367.72</v>
      </c>
      <c r="J1813" s="51" t="s">
        <v>6727</v>
      </c>
      <c r="K1813" s="15">
        <v>86</v>
      </c>
      <c r="L1813" s="51" t="s">
        <v>2369</v>
      </c>
      <c r="M1813" s="51" t="s">
        <v>9142</v>
      </c>
      <c r="N1813" s="51" t="s">
        <v>1340</v>
      </c>
      <c r="O1813" s="51" t="s">
        <v>9143</v>
      </c>
      <c r="P1813" s="51" t="s">
        <v>1340</v>
      </c>
      <c r="Q1813" s="45">
        <v>46288.603493553244</v>
      </c>
      <c r="R1813" s="46">
        <v>46297</v>
      </c>
      <c r="S1813" s="46">
        <v>46292</v>
      </c>
      <c r="T1813" s="51" t="s">
        <v>6119</v>
      </c>
      <c r="U1813" s="15"/>
      <c r="V1813" s="15"/>
      <c r="W1813" s="15"/>
      <c r="X1813" s="15"/>
      <c r="Y1813" s="15"/>
      <c r="Z1813" s="15"/>
      <c r="AA1813" s="46"/>
      <c r="AB1813" s="15"/>
      <c r="AC1813" s="15"/>
      <c r="AD1813" s="15"/>
      <c r="AE1813" s="15"/>
      <c r="AF1813" s="15"/>
      <c r="AG1813" s="15"/>
      <c r="AH1813" s="15"/>
      <c r="AI1813" s="46"/>
      <c r="AJ1813" s="51" t="s">
        <v>6121</v>
      </c>
      <c r="AK1813" s="51" t="s">
        <v>67</v>
      </c>
      <c r="AL1813" s="15"/>
      <c r="AM1813" s="51" t="s">
        <v>67</v>
      </c>
      <c r="AN1813" s="51" t="s">
        <v>67</v>
      </c>
      <c r="AO1813" s="50" t="s">
        <v>9554</v>
      </c>
    </row>
    <row r="1814" spans="1:41" hidden="1" x14ac:dyDescent="0.25">
      <c r="A1814" s="51" t="s">
        <v>9144</v>
      </c>
      <c r="B1814" s="51" t="s">
        <v>9145</v>
      </c>
      <c r="C1814" s="54" t="s">
        <v>5597</v>
      </c>
      <c r="D1814" s="51" t="s">
        <v>9146</v>
      </c>
      <c r="E1814" s="20">
        <v>10000</v>
      </c>
      <c r="F1814" s="20">
        <v>1038.5</v>
      </c>
      <c r="G1814" s="20">
        <v>19454.37</v>
      </c>
      <c r="H1814" s="20">
        <v>798.54</v>
      </c>
      <c r="I1814" s="20">
        <v>1038.5</v>
      </c>
      <c r="J1814" s="51" t="s">
        <v>6727</v>
      </c>
      <c r="K1814" s="15">
        <v>92</v>
      </c>
      <c r="L1814" s="51" t="s">
        <v>2369</v>
      </c>
      <c r="M1814" s="51" t="s">
        <v>67</v>
      </c>
      <c r="N1814" s="51" t="s">
        <v>67</v>
      </c>
      <c r="O1814" s="51" t="s">
        <v>9147</v>
      </c>
      <c r="P1814" s="51" t="s">
        <v>1344</v>
      </c>
      <c r="Q1814" s="45">
        <v>46288.603520092591</v>
      </c>
      <c r="R1814" s="46">
        <v>46321</v>
      </c>
      <c r="S1814" s="46">
        <v>46316</v>
      </c>
      <c r="T1814" s="51" t="s">
        <v>6119</v>
      </c>
      <c r="U1814" s="15"/>
      <c r="V1814" s="15"/>
      <c r="W1814" s="15"/>
      <c r="X1814" s="15"/>
      <c r="Y1814" s="15"/>
      <c r="Z1814" s="15"/>
      <c r="AA1814" s="46"/>
      <c r="AB1814" s="15"/>
      <c r="AC1814" s="15"/>
      <c r="AD1814" s="15"/>
      <c r="AE1814" s="15"/>
      <c r="AF1814" s="15"/>
      <c r="AG1814" s="15"/>
      <c r="AH1814" s="15"/>
      <c r="AI1814" s="46"/>
      <c r="AJ1814" s="51" t="s">
        <v>6121</v>
      </c>
      <c r="AK1814" s="51" t="s">
        <v>67</v>
      </c>
      <c r="AL1814" s="15"/>
      <c r="AM1814" s="51" t="s">
        <v>67</v>
      </c>
      <c r="AN1814" s="51" t="s">
        <v>67</v>
      </c>
      <c r="AO1814" s="50" t="s">
        <v>9554</v>
      </c>
    </row>
    <row r="1815" spans="1:41" hidden="1" x14ac:dyDescent="0.25">
      <c r="A1815" s="51" t="s">
        <v>9148</v>
      </c>
      <c r="B1815" s="51" t="s">
        <v>9149</v>
      </c>
      <c r="C1815" s="54" t="s">
        <v>5605</v>
      </c>
      <c r="D1815" s="51" t="s">
        <v>9150</v>
      </c>
      <c r="E1815" s="20">
        <v>8945.77</v>
      </c>
      <c r="F1815" s="20">
        <v>8.3699999999999992</v>
      </c>
      <c r="G1815" s="20">
        <v>2109.4</v>
      </c>
      <c r="H1815" s="20">
        <v>1054.23</v>
      </c>
      <c r="I1815" s="20">
        <v>8.3699999999999992</v>
      </c>
      <c r="J1815" s="51" t="s">
        <v>6724</v>
      </c>
      <c r="K1815" s="15">
        <v>0</v>
      </c>
      <c r="L1815" s="51" t="s">
        <v>2371</v>
      </c>
      <c r="M1815" s="51" t="s">
        <v>9151</v>
      </c>
      <c r="N1815" s="51" t="s">
        <v>1344</v>
      </c>
      <c r="O1815" s="51" t="s">
        <v>67</v>
      </c>
      <c r="P1815" s="51" t="s">
        <v>67</v>
      </c>
      <c r="Q1815" s="45">
        <v>46288.603526736108</v>
      </c>
      <c r="R1815" s="46">
        <v>46323</v>
      </c>
      <c r="S1815" s="46">
        <v>46318</v>
      </c>
      <c r="T1815" s="51" t="s">
        <v>6119</v>
      </c>
      <c r="U1815" s="15"/>
      <c r="V1815" s="15"/>
      <c r="W1815" s="15"/>
      <c r="X1815" s="15"/>
      <c r="Y1815" s="15"/>
      <c r="Z1815" s="15"/>
      <c r="AA1815" s="46"/>
      <c r="AB1815" s="15"/>
      <c r="AC1815" s="15"/>
      <c r="AD1815" s="15"/>
      <c r="AE1815" s="15"/>
      <c r="AF1815" s="15"/>
      <c r="AG1815" s="15"/>
      <c r="AH1815" s="15"/>
      <c r="AI1815" s="46"/>
      <c r="AJ1815" s="51" t="s">
        <v>67</v>
      </c>
      <c r="AK1815" s="51" t="s">
        <v>67</v>
      </c>
      <c r="AL1815" s="15"/>
      <c r="AM1815" s="51" t="s">
        <v>67</v>
      </c>
      <c r="AN1815" s="51" t="s">
        <v>67</v>
      </c>
      <c r="AO1815" s="50" t="s">
        <v>9554</v>
      </c>
    </row>
    <row r="1816" spans="1:41" hidden="1" x14ac:dyDescent="0.25">
      <c r="A1816" s="51" t="s">
        <v>9152</v>
      </c>
      <c r="B1816" s="51" t="s">
        <v>9153</v>
      </c>
      <c r="C1816" s="54" t="s">
        <v>2691</v>
      </c>
      <c r="D1816" s="51" t="s">
        <v>9154</v>
      </c>
      <c r="E1816" s="20">
        <v>10000</v>
      </c>
      <c r="F1816" s="20">
        <v>1149.67</v>
      </c>
      <c r="G1816" s="20">
        <v>6668.72</v>
      </c>
      <c r="H1816" s="20">
        <v>997.41</v>
      </c>
      <c r="I1816" s="20">
        <v>1149.67</v>
      </c>
      <c r="J1816" s="51" t="s">
        <v>6727</v>
      </c>
      <c r="K1816" s="15">
        <v>82</v>
      </c>
      <c r="L1816" s="51" t="s">
        <v>2369</v>
      </c>
      <c r="M1816" s="51" t="s">
        <v>9155</v>
      </c>
      <c r="N1816" s="51" t="s">
        <v>1340</v>
      </c>
      <c r="O1816" s="51" t="s">
        <v>9156</v>
      </c>
      <c r="P1816" s="51" t="s">
        <v>1340</v>
      </c>
      <c r="Q1816" s="45">
        <v>46288.603539386575</v>
      </c>
      <c r="R1816" s="46">
        <v>46301</v>
      </c>
      <c r="S1816" s="46">
        <v>46296</v>
      </c>
      <c r="T1816" s="51" t="s">
        <v>6119</v>
      </c>
      <c r="U1816" s="15"/>
      <c r="V1816" s="15"/>
      <c r="W1816" s="15"/>
      <c r="X1816" s="15"/>
      <c r="Y1816" s="15"/>
      <c r="Z1816" s="15"/>
      <c r="AA1816" s="46"/>
      <c r="AB1816" s="15"/>
      <c r="AC1816" s="15"/>
      <c r="AD1816" s="15"/>
      <c r="AE1816" s="15"/>
      <c r="AF1816" s="15"/>
      <c r="AG1816" s="15"/>
      <c r="AH1816" s="15"/>
      <c r="AI1816" s="46"/>
      <c r="AJ1816" s="51" t="s">
        <v>6121</v>
      </c>
      <c r="AK1816" s="51" t="s">
        <v>67</v>
      </c>
      <c r="AL1816" s="15"/>
      <c r="AM1816" s="51" t="s">
        <v>67</v>
      </c>
      <c r="AN1816" s="51" t="s">
        <v>67</v>
      </c>
      <c r="AO1816" s="50" t="s">
        <v>9554</v>
      </c>
    </row>
    <row r="1817" spans="1:41" hidden="1" x14ac:dyDescent="0.25">
      <c r="A1817" s="51" t="s">
        <v>9157</v>
      </c>
      <c r="B1817" s="51" t="s">
        <v>9158</v>
      </c>
      <c r="C1817" s="54" t="s">
        <v>5604</v>
      </c>
      <c r="D1817" s="51" t="s">
        <v>9159</v>
      </c>
      <c r="E1817" s="20">
        <v>10000</v>
      </c>
      <c r="F1817" s="20">
        <v>1080.42</v>
      </c>
      <c r="G1817" s="20">
        <v>18615.900000000001</v>
      </c>
      <c r="H1817" s="20">
        <v>766.2</v>
      </c>
      <c r="I1817" s="20">
        <v>1080.42</v>
      </c>
      <c r="J1817" s="51" t="s">
        <v>6727</v>
      </c>
      <c r="K1817" s="15">
        <v>100</v>
      </c>
      <c r="L1817" s="51" t="s">
        <v>2369</v>
      </c>
      <c r="M1817" s="51" t="s">
        <v>9160</v>
      </c>
      <c r="N1817" s="51" t="s">
        <v>1344</v>
      </c>
      <c r="O1817" s="51" t="s">
        <v>9161</v>
      </c>
      <c r="P1817" s="51" t="s">
        <v>1344</v>
      </c>
      <c r="Q1817" s="45">
        <v>46288.603547696759</v>
      </c>
      <c r="R1817" s="46">
        <v>46313</v>
      </c>
      <c r="S1817" s="46">
        <v>46308</v>
      </c>
      <c r="T1817" s="51" t="s">
        <v>6119</v>
      </c>
      <c r="U1817" s="15"/>
      <c r="V1817" s="15"/>
      <c r="W1817" s="15"/>
      <c r="X1817" s="15"/>
      <c r="Y1817" s="15"/>
      <c r="Z1817" s="15"/>
      <c r="AA1817" s="46"/>
      <c r="AB1817" s="15"/>
      <c r="AC1817" s="15"/>
      <c r="AD1817" s="15"/>
      <c r="AE1817" s="15"/>
      <c r="AF1817" s="15"/>
      <c r="AG1817" s="15"/>
      <c r="AH1817" s="15"/>
      <c r="AI1817" s="46"/>
      <c r="AJ1817" s="51" t="s">
        <v>6121</v>
      </c>
      <c r="AK1817" s="51" t="s">
        <v>67</v>
      </c>
      <c r="AL1817" s="15"/>
      <c r="AM1817" s="51" t="s">
        <v>67</v>
      </c>
      <c r="AN1817" s="51" t="s">
        <v>67</v>
      </c>
      <c r="AO1817" s="50" t="s">
        <v>9554</v>
      </c>
    </row>
    <row r="1818" spans="1:41" hidden="1" x14ac:dyDescent="0.25">
      <c r="A1818" s="51" t="s">
        <v>9162</v>
      </c>
      <c r="B1818" s="51" t="s">
        <v>9163</v>
      </c>
      <c r="C1818" s="54" t="s">
        <v>5606</v>
      </c>
      <c r="D1818" s="51" t="s">
        <v>9164</v>
      </c>
      <c r="E1818" s="20">
        <v>10000</v>
      </c>
      <c r="F1818" s="20">
        <v>1182.96</v>
      </c>
      <c r="G1818" s="20">
        <v>14460.76</v>
      </c>
      <c r="H1818" s="20">
        <v>890.25</v>
      </c>
      <c r="I1818" s="20">
        <v>1182.96</v>
      </c>
      <c r="J1818" s="51" t="s">
        <v>6727</v>
      </c>
      <c r="K1818" s="15">
        <v>86</v>
      </c>
      <c r="L1818" s="51" t="s">
        <v>2369</v>
      </c>
      <c r="M1818" s="51" t="s">
        <v>9165</v>
      </c>
      <c r="N1818" s="51" t="s">
        <v>1340</v>
      </c>
      <c r="O1818" s="51" t="s">
        <v>67</v>
      </c>
      <c r="P1818" s="51" t="s">
        <v>67</v>
      </c>
      <c r="Q1818" s="45">
        <v>46288.603553726854</v>
      </c>
      <c r="R1818" s="46">
        <v>46297</v>
      </c>
      <c r="S1818" s="46">
        <v>46292</v>
      </c>
      <c r="T1818" s="51" t="s">
        <v>6119</v>
      </c>
      <c r="U1818" s="15"/>
      <c r="V1818" s="15"/>
      <c r="W1818" s="15"/>
      <c r="X1818" s="15"/>
      <c r="Y1818" s="15"/>
      <c r="Z1818" s="15"/>
      <c r="AA1818" s="46"/>
      <c r="AB1818" s="15"/>
      <c r="AC1818" s="15"/>
      <c r="AD1818" s="15"/>
      <c r="AE1818" s="15"/>
      <c r="AF1818" s="15"/>
      <c r="AG1818" s="15"/>
      <c r="AH1818" s="15"/>
      <c r="AI1818" s="46"/>
      <c r="AJ1818" s="51" t="s">
        <v>6121</v>
      </c>
      <c r="AK1818" s="51" t="s">
        <v>67</v>
      </c>
      <c r="AL1818" s="15"/>
      <c r="AM1818" s="51" t="s">
        <v>67</v>
      </c>
      <c r="AN1818" s="51" t="s">
        <v>67</v>
      </c>
      <c r="AO1818" s="50" t="s">
        <v>9554</v>
      </c>
    </row>
    <row r="1819" spans="1:41" hidden="1" x14ac:dyDescent="0.25">
      <c r="A1819" s="51" t="s">
        <v>9166</v>
      </c>
      <c r="B1819" s="51" t="s">
        <v>9167</v>
      </c>
      <c r="C1819" s="54" t="s">
        <v>5600</v>
      </c>
      <c r="D1819" s="51" t="s">
        <v>9168</v>
      </c>
      <c r="E1819" s="20">
        <v>9665.26</v>
      </c>
      <c r="F1819" s="20">
        <v>457.61</v>
      </c>
      <c r="G1819" s="20">
        <v>9692.9599999999991</v>
      </c>
      <c r="H1819" s="20">
        <v>717.33</v>
      </c>
      <c r="I1819" s="20">
        <v>457.61</v>
      </c>
      <c r="J1819" s="51" t="s">
        <v>6726</v>
      </c>
      <c r="K1819" s="15">
        <v>0</v>
      </c>
      <c r="L1819" s="51" t="s">
        <v>2371</v>
      </c>
      <c r="M1819" s="51" t="s">
        <v>67</v>
      </c>
      <c r="N1819" s="51" t="s">
        <v>67</v>
      </c>
      <c r="O1819" s="51" t="s">
        <v>9169</v>
      </c>
      <c r="P1819" s="51" t="s">
        <v>1340</v>
      </c>
      <c r="Q1819" s="45">
        <v>46288.603559143521</v>
      </c>
      <c r="R1819" s="46">
        <v>46304</v>
      </c>
      <c r="S1819" s="46">
        <v>46299</v>
      </c>
      <c r="T1819" s="51" t="s">
        <v>6119</v>
      </c>
      <c r="U1819" s="15"/>
      <c r="V1819" s="15"/>
      <c r="W1819" s="15"/>
      <c r="X1819" s="15"/>
      <c r="Y1819" s="15"/>
      <c r="Z1819" s="15"/>
      <c r="AA1819" s="46"/>
      <c r="AB1819" s="15"/>
      <c r="AC1819" s="15"/>
      <c r="AD1819" s="15"/>
      <c r="AE1819" s="15"/>
      <c r="AF1819" s="15"/>
      <c r="AG1819" s="15"/>
      <c r="AH1819" s="15"/>
      <c r="AI1819" s="46"/>
      <c r="AJ1819" s="51" t="s">
        <v>67</v>
      </c>
      <c r="AK1819" s="51" t="s">
        <v>67</v>
      </c>
      <c r="AL1819" s="15"/>
      <c r="AM1819" s="51" t="s">
        <v>67</v>
      </c>
      <c r="AN1819" s="51" t="s">
        <v>67</v>
      </c>
      <c r="AO1819" s="50" t="s">
        <v>9555</v>
      </c>
    </row>
    <row r="1820" spans="1:41" hidden="1" x14ac:dyDescent="0.25">
      <c r="A1820" s="51" t="s">
        <v>9170</v>
      </c>
      <c r="B1820" s="51" t="s">
        <v>9171</v>
      </c>
      <c r="C1820" s="54" t="s">
        <v>5601</v>
      </c>
      <c r="D1820" s="51" t="s">
        <v>9172</v>
      </c>
      <c r="E1820" s="20">
        <v>10000</v>
      </c>
      <c r="F1820" s="20">
        <v>1228.2</v>
      </c>
      <c r="G1820" s="20">
        <v>4052.22</v>
      </c>
      <c r="H1820" s="20">
        <v>881.4</v>
      </c>
      <c r="I1820" s="20">
        <v>1228.2</v>
      </c>
      <c r="J1820" s="51" t="s">
        <v>6727</v>
      </c>
      <c r="K1820" s="15">
        <v>97</v>
      </c>
      <c r="L1820" s="51" t="s">
        <v>2369</v>
      </c>
      <c r="M1820" s="51" t="s">
        <v>9173</v>
      </c>
      <c r="N1820" s="51" t="s">
        <v>1340</v>
      </c>
      <c r="O1820" s="51" t="s">
        <v>67</v>
      </c>
      <c r="P1820" s="51" t="s">
        <v>67</v>
      </c>
      <c r="Q1820" s="45">
        <v>46288.603573356479</v>
      </c>
      <c r="R1820" s="46">
        <v>46316</v>
      </c>
      <c r="S1820" s="46">
        <v>46311</v>
      </c>
      <c r="T1820" s="51" t="s">
        <v>6119</v>
      </c>
      <c r="U1820" s="15"/>
      <c r="V1820" s="15"/>
      <c r="W1820" s="15"/>
      <c r="X1820" s="15"/>
      <c r="Y1820" s="15"/>
      <c r="Z1820" s="15"/>
      <c r="AA1820" s="46"/>
      <c r="AB1820" s="15"/>
      <c r="AC1820" s="15"/>
      <c r="AD1820" s="15"/>
      <c r="AE1820" s="15"/>
      <c r="AF1820" s="15"/>
      <c r="AG1820" s="15"/>
      <c r="AH1820" s="15"/>
      <c r="AI1820" s="46"/>
      <c r="AJ1820" s="51" t="s">
        <v>6121</v>
      </c>
      <c r="AK1820" s="51" t="s">
        <v>67</v>
      </c>
      <c r="AL1820" s="15"/>
      <c r="AM1820" s="51" t="s">
        <v>67</v>
      </c>
      <c r="AN1820" s="51" t="s">
        <v>67</v>
      </c>
      <c r="AO1820" s="50" t="s">
        <v>9554</v>
      </c>
    </row>
    <row r="1821" spans="1:41" hidden="1" x14ac:dyDescent="0.25">
      <c r="A1821" s="51" t="s">
        <v>9174</v>
      </c>
      <c r="B1821" s="51" t="s">
        <v>9175</v>
      </c>
      <c r="C1821" s="54" t="s">
        <v>5598</v>
      </c>
      <c r="D1821" s="51" t="s">
        <v>9176</v>
      </c>
      <c r="E1821" s="20">
        <v>10000</v>
      </c>
      <c r="F1821" s="20">
        <v>1468.2</v>
      </c>
      <c r="G1821" s="20">
        <v>18217</v>
      </c>
      <c r="H1821" s="20">
        <v>1062.0899999999999</v>
      </c>
      <c r="I1821" s="20">
        <v>1468.2</v>
      </c>
      <c r="J1821" s="51" t="s">
        <v>6727</v>
      </c>
      <c r="K1821" s="15">
        <v>95</v>
      </c>
      <c r="L1821" s="51" t="s">
        <v>2369</v>
      </c>
      <c r="M1821" s="51" t="s">
        <v>9177</v>
      </c>
      <c r="N1821" s="51" t="s">
        <v>1340</v>
      </c>
      <c r="O1821" s="51" t="s">
        <v>9178</v>
      </c>
      <c r="P1821" s="51" t="s">
        <v>1340</v>
      </c>
      <c r="Q1821" s="45">
        <v>46288.603579085648</v>
      </c>
      <c r="R1821" s="46">
        <v>46318</v>
      </c>
      <c r="S1821" s="46">
        <v>46313</v>
      </c>
      <c r="T1821" s="51" t="s">
        <v>6119</v>
      </c>
      <c r="U1821" s="15"/>
      <c r="V1821" s="15"/>
      <c r="W1821" s="15"/>
      <c r="X1821" s="15"/>
      <c r="Y1821" s="15"/>
      <c r="Z1821" s="15"/>
      <c r="AA1821" s="46"/>
      <c r="AB1821" s="15"/>
      <c r="AC1821" s="15"/>
      <c r="AD1821" s="15"/>
      <c r="AE1821" s="15"/>
      <c r="AF1821" s="15"/>
      <c r="AG1821" s="15"/>
      <c r="AH1821" s="15"/>
      <c r="AI1821" s="46"/>
      <c r="AJ1821" s="51" t="s">
        <v>6121</v>
      </c>
      <c r="AK1821" s="51" t="s">
        <v>67</v>
      </c>
      <c r="AL1821" s="15"/>
      <c r="AM1821" s="51" t="s">
        <v>67</v>
      </c>
      <c r="AN1821" s="51" t="s">
        <v>67</v>
      </c>
      <c r="AO1821" s="50" t="s">
        <v>9554</v>
      </c>
    </row>
    <row r="1822" spans="1:41" hidden="1" x14ac:dyDescent="0.25">
      <c r="A1822" s="51" t="s">
        <v>9179</v>
      </c>
      <c r="B1822" s="51" t="s">
        <v>9180</v>
      </c>
      <c r="C1822" s="54" t="s">
        <v>5598</v>
      </c>
      <c r="D1822" s="51" t="s">
        <v>9181</v>
      </c>
      <c r="E1822" s="20">
        <v>10000</v>
      </c>
      <c r="F1822" s="20">
        <v>1142.6199999999999</v>
      </c>
      <c r="G1822" s="20">
        <v>16771.54</v>
      </c>
      <c r="H1822" s="20">
        <v>826.56</v>
      </c>
      <c r="I1822" s="20">
        <v>1142.6199999999999</v>
      </c>
      <c r="J1822" s="51" t="s">
        <v>6727</v>
      </c>
      <c r="K1822" s="15">
        <v>95</v>
      </c>
      <c r="L1822" s="51" t="s">
        <v>2369</v>
      </c>
      <c r="M1822" s="51" t="s">
        <v>67</v>
      </c>
      <c r="N1822" s="51" t="s">
        <v>67</v>
      </c>
      <c r="O1822" s="51" t="s">
        <v>9182</v>
      </c>
      <c r="P1822" s="51" t="s">
        <v>1340</v>
      </c>
      <c r="Q1822" s="45">
        <v>46288.603585138888</v>
      </c>
      <c r="R1822" s="46">
        <v>46318</v>
      </c>
      <c r="S1822" s="46">
        <v>46313</v>
      </c>
      <c r="T1822" s="51" t="s">
        <v>6119</v>
      </c>
      <c r="U1822" s="15"/>
      <c r="V1822" s="15"/>
      <c r="W1822" s="15"/>
      <c r="X1822" s="15"/>
      <c r="Y1822" s="15"/>
      <c r="Z1822" s="15"/>
      <c r="AA1822" s="46"/>
      <c r="AB1822" s="15"/>
      <c r="AC1822" s="15"/>
      <c r="AD1822" s="15"/>
      <c r="AE1822" s="15"/>
      <c r="AF1822" s="15"/>
      <c r="AG1822" s="15"/>
      <c r="AH1822" s="15"/>
      <c r="AI1822" s="46"/>
      <c r="AJ1822" s="51" t="s">
        <v>6121</v>
      </c>
      <c r="AK1822" s="51" t="s">
        <v>67</v>
      </c>
      <c r="AL1822" s="15"/>
      <c r="AM1822" s="51" t="s">
        <v>67</v>
      </c>
      <c r="AN1822" s="51" t="s">
        <v>67</v>
      </c>
      <c r="AO1822" s="50" t="s">
        <v>9554</v>
      </c>
    </row>
    <row r="1823" spans="1:41" hidden="1" x14ac:dyDescent="0.25">
      <c r="A1823" s="51" t="s">
        <v>9183</v>
      </c>
      <c r="B1823" s="51" t="s">
        <v>9184</v>
      </c>
      <c r="C1823" s="54" t="s">
        <v>605</v>
      </c>
      <c r="D1823" s="51" t="s">
        <v>9185</v>
      </c>
      <c r="E1823" s="20">
        <v>10000</v>
      </c>
      <c r="F1823" s="20">
        <v>1647.7</v>
      </c>
      <c r="G1823" s="20">
        <v>19742.05</v>
      </c>
      <c r="H1823" s="20">
        <v>1211.8499999999999</v>
      </c>
      <c r="I1823" s="20">
        <v>1647.7</v>
      </c>
      <c r="J1823" s="51" t="s">
        <v>6727</v>
      </c>
      <c r="K1823" s="15">
        <v>108</v>
      </c>
      <c r="L1823" s="51" t="s">
        <v>2369</v>
      </c>
      <c r="M1823" s="51" t="s">
        <v>9186</v>
      </c>
      <c r="N1823" s="51" t="s">
        <v>1340</v>
      </c>
      <c r="O1823" s="51" t="s">
        <v>67</v>
      </c>
      <c r="P1823" s="51" t="s">
        <v>67</v>
      </c>
      <c r="Q1823" s="45">
        <v>46288.603591967592</v>
      </c>
      <c r="R1823" s="46">
        <v>46305</v>
      </c>
      <c r="S1823" s="46">
        <v>46300</v>
      </c>
      <c r="T1823" s="51" t="s">
        <v>6119</v>
      </c>
      <c r="U1823" s="15"/>
      <c r="V1823" s="15"/>
      <c r="W1823" s="15"/>
      <c r="X1823" s="15"/>
      <c r="Y1823" s="15"/>
      <c r="Z1823" s="15"/>
      <c r="AA1823" s="46"/>
      <c r="AB1823" s="15"/>
      <c r="AC1823" s="15"/>
      <c r="AD1823" s="15"/>
      <c r="AE1823" s="15"/>
      <c r="AF1823" s="15"/>
      <c r="AG1823" s="15"/>
      <c r="AH1823" s="15"/>
      <c r="AI1823" s="46"/>
      <c r="AJ1823" s="51" t="s">
        <v>6121</v>
      </c>
      <c r="AK1823" s="51" t="s">
        <v>67</v>
      </c>
      <c r="AL1823" s="15"/>
      <c r="AM1823" s="51" t="s">
        <v>67</v>
      </c>
      <c r="AN1823" s="51" t="s">
        <v>67</v>
      </c>
      <c r="AO1823" s="50" t="s">
        <v>9554</v>
      </c>
    </row>
    <row r="1824" spans="1:41" hidden="1" x14ac:dyDescent="0.25">
      <c r="A1824" s="51" t="s">
        <v>9187</v>
      </c>
      <c r="B1824" s="51" t="s">
        <v>9188</v>
      </c>
      <c r="C1824" s="54" t="s">
        <v>5603</v>
      </c>
      <c r="D1824" s="51" t="s">
        <v>9189</v>
      </c>
      <c r="E1824" s="20">
        <v>10000</v>
      </c>
      <c r="F1824" s="20">
        <v>981.56</v>
      </c>
      <c r="G1824" s="20">
        <v>8548.49</v>
      </c>
      <c r="H1824" s="20">
        <v>741.78</v>
      </c>
      <c r="I1824" s="20">
        <v>981.56</v>
      </c>
      <c r="J1824" s="51" t="s">
        <v>6727</v>
      </c>
      <c r="K1824" s="15">
        <v>85</v>
      </c>
      <c r="L1824" s="51" t="s">
        <v>2369</v>
      </c>
      <c r="M1824" s="51" t="s">
        <v>67</v>
      </c>
      <c r="N1824" s="51" t="s">
        <v>67</v>
      </c>
      <c r="O1824" s="51" t="s">
        <v>9190</v>
      </c>
      <c r="P1824" s="51" t="s">
        <v>1340</v>
      </c>
      <c r="Q1824" s="45">
        <v>46288.603603020834</v>
      </c>
      <c r="R1824" s="46">
        <v>46298</v>
      </c>
      <c r="S1824" s="46">
        <v>46293</v>
      </c>
      <c r="T1824" s="51" t="s">
        <v>6119</v>
      </c>
      <c r="U1824" s="15">
        <v>53.96</v>
      </c>
      <c r="V1824" s="15">
        <v>249.54</v>
      </c>
      <c r="W1824" s="15">
        <v>2.2799999999999998</v>
      </c>
      <c r="X1824" s="15">
        <v>0</v>
      </c>
      <c r="Y1824" s="15">
        <v>1.624036</v>
      </c>
      <c r="Z1824" s="15">
        <v>6</v>
      </c>
      <c r="AA1824" s="46">
        <v>46268</v>
      </c>
      <c r="AB1824" s="15"/>
      <c r="AC1824" s="15"/>
      <c r="AD1824" s="15"/>
      <c r="AE1824" s="15"/>
      <c r="AF1824" s="15"/>
      <c r="AG1824" s="15"/>
      <c r="AH1824" s="15"/>
      <c r="AI1824" s="46"/>
      <c r="AJ1824" s="51" t="s">
        <v>6121</v>
      </c>
      <c r="AK1824" s="51" t="s">
        <v>67</v>
      </c>
      <c r="AL1824" s="15"/>
      <c r="AM1824" s="51" t="s">
        <v>67</v>
      </c>
      <c r="AN1824" s="51" t="s">
        <v>67</v>
      </c>
      <c r="AO1824" s="50" t="s">
        <v>9554</v>
      </c>
    </row>
    <row r="1825" spans="1:41" hidden="1" x14ac:dyDescent="0.25">
      <c r="A1825" s="51" t="s">
        <v>9191</v>
      </c>
      <c r="B1825" s="51" t="s">
        <v>9192</v>
      </c>
      <c r="C1825" s="54" t="s">
        <v>2691</v>
      </c>
      <c r="D1825" s="51" t="s">
        <v>9193</v>
      </c>
      <c r="E1825" s="20">
        <v>10000</v>
      </c>
      <c r="F1825" s="20">
        <v>1040.3900000000001</v>
      </c>
      <c r="G1825" s="20">
        <v>12263.23</v>
      </c>
      <c r="H1825" s="20">
        <v>796.26</v>
      </c>
      <c r="I1825" s="20">
        <v>1040.3900000000001</v>
      </c>
      <c r="J1825" s="51" t="s">
        <v>6727</v>
      </c>
      <c r="K1825" s="15">
        <v>82</v>
      </c>
      <c r="L1825" s="51" t="s">
        <v>2369</v>
      </c>
      <c r="M1825" s="51" t="s">
        <v>9194</v>
      </c>
      <c r="N1825" s="51" t="s">
        <v>1340</v>
      </c>
      <c r="O1825" s="51" t="s">
        <v>67</v>
      </c>
      <c r="P1825" s="51" t="s">
        <v>67</v>
      </c>
      <c r="Q1825" s="45">
        <v>46288.603620138892</v>
      </c>
      <c r="R1825" s="46">
        <v>46301</v>
      </c>
      <c r="S1825" s="46">
        <v>46296</v>
      </c>
      <c r="T1825" s="51" t="s">
        <v>6119</v>
      </c>
      <c r="U1825" s="15"/>
      <c r="V1825" s="15"/>
      <c r="W1825" s="15"/>
      <c r="X1825" s="15"/>
      <c r="Y1825" s="15"/>
      <c r="Z1825" s="15"/>
      <c r="AA1825" s="46"/>
      <c r="AB1825" s="15"/>
      <c r="AC1825" s="15"/>
      <c r="AD1825" s="15"/>
      <c r="AE1825" s="15"/>
      <c r="AF1825" s="15"/>
      <c r="AG1825" s="15"/>
      <c r="AH1825" s="15"/>
      <c r="AI1825" s="46"/>
      <c r="AJ1825" s="51" t="s">
        <v>6121</v>
      </c>
      <c r="AK1825" s="51" t="s">
        <v>67</v>
      </c>
      <c r="AL1825" s="15"/>
      <c r="AM1825" s="51" t="s">
        <v>67</v>
      </c>
      <c r="AN1825" s="51" t="s">
        <v>67</v>
      </c>
      <c r="AO1825" s="50" t="s">
        <v>9554</v>
      </c>
    </row>
    <row r="1826" spans="1:41" hidden="1" x14ac:dyDescent="0.25">
      <c r="A1826" s="51" t="s">
        <v>398</v>
      </c>
      <c r="B1826" s="51" t="s">
        <v>9195</v>
      </c>
      <c r="C1826" s="54" t="s">
        <v>5603</v>
      </c>
      <c r="D1826" s="51" t="s">
        <v>9196</v>
      </c>
      <c r="E1826" s="20">
        <v>10000</v>
      </c>
      <c r="F1826" s="20">
        <v>920.51</v>
      </c>
      <c r="G1826" s="20">
        <v>4755.16</v>
      </c>
      <c r="H1826" s="20">
        <v>695.64</v>
      </c>
      <c r="I1826" s="20">
        <v>920.51</v>
      </c>
      <c r="J1826" s="51" t="s">
        <v>6727</v>
      </c>
      <c r="K1826" s="15">
        <v>85</v>
      </c>
      <c r="L1826" s="51" t="s">
        <v>2369</v>
      </c>
      <c r="M1826" s="51" t="s">
        <v>67</v>
      </c>
      <c r="N1826" s="51" t="s">
        <v>67</v>
      </c>
      <c r="O1826" s="51" t="s">
        <v>9197</v>
      </c>
      <c r="P1826" s="51" t="s">
        <v>1340</v>
      </c>
      <c r="Q1826" s="45">
        <v>46288.603625370371</v>
      </c>
      <c r="R1826" s="46">
        <v>46298</v>
      </c>
      <c r="S1826" s="46">
        <v>46293</v>
      </c>
      <c r="T1826" s="51" t="s">
        <v>6119</v>
      </c>
      <c r="U1826" s="15"/>
      <c r="V1826" s="15"/>
      <c r="W1826" s="15"/>
      <c r="X1826" s="15"/>
      <c r="Y1826" s="15"/>
      <c r="Z1826" s="15"/>
      <c r="AA1826" s="46"/>
      <c r="AB1826" s="15"/>
      <c r="AC1826" s="15"/>
      <c r="AD1826" s="15"/>
      <c r="AE1826" s="15"/>
      <c r="AF1826" s="15"/>
      <c r="AG1826" s="15"/>
      <c r="AH1826" s="15"/>
      <c r="AI1826" s="46"/>
      <c r="AJ1826" s="51" t="s">
        <v>6121</v>
      </c>
      <c r="AK1826" s="51" t="s">
        <v>67</v>
      </c>
      <c r="AL1826" s="15"/>
      <c r="AM1826" s="51" t="s">
        <v>67</v>
      </c>
      <c r="AN1826" s="51" t="s">
        <v>67</v>
      </c>
      <c r="AO1826" s="50" t="s">
        <v>9554</v>
      </c>
    </row>
    <row r="1827" spans="1:41" hidden="1" x14ac:dyDescent="0.25">
      <c r="A1827" s="51" t="s">
        <v>9198</v>
      </c>
      <c r="B1827" s="51" t="s">
        <v>9199</v>
      </c>
      <c r="C1827" s="54" t="s">
        <v>5600</v>
      </c>
      <c r="D1827" s="51" t="s">
        <v>9200</v>
      </c>
      <c r="E1827" s="20">
        <v>10000</v>
      </c>
      <c r="F1827" s="20">
        <v>1520.85</v>
      </c>
      <c r="G1827" s="20">
        <v>18398.95</v>
      </c>
      <c r="H1827" s="20">
        <v>1041.69</v>
      </c>
      <c r="I1827" s="20">
        <v>1520.85</v>
      </c>
      <c r="J1827" s="51" t="s">
        <v>6727</v>
      </c>
      <c r="K1827" s="15">
        <v>109</v>
      </c>
      <c r="L1827" s="51" t="s">
        <v>2369</v>
      </c>
      <c r="M1827" s="51" t="s">
        <v>9201</v>
      </c>
      <c r="N1827" s="51" t="s">
        <v>1340</v>
      </c>
      <c r="O1827" s="51" t="s">
        <v>9202</v>
      </c>
      <c r="P1827" s="51" t="s">
        <v>1340</v>
      </c>
      <c r="Q1827" s="45">
        <v>46288.603630937498</v>
      </c>
      <c r="R1827" s="46">
        <v>46304</v>
      </c>
      <c r="S1827" s="46">
        <v>46299</v>
      </c>
      <c r="T1827" s="51" t="s">
        <v>6119</v>
      </c>
      <c r="U1827" s="15"/>
      <c r="V1827" s="15"/>
      <c r="W1827" s="15"/>
      <c r="X1827" s="15"/>
      <c r="Y1827" s="15"/>
      <c r="Z1827" s="15"/>
      <c r="AA1827" s="46"/>
      <c r="AB1827" s="15"/>
      <c r="AC1827" s="15"/>
      <c r="AD1827" s="15"/>
      <c r="AE1827" s="15"/>
      <c r="AF1827" s="15"/>
      <c r="AG1827" s="15"/>
      <c r="AH1827" s="15"/>
      <c r="AI1827" s="46"/>
      <c r="AJ1827" s="51" t="s">
        <v>6121</v>
      </c>
      <c r="AK1827" s="51" t="s">
        <v>67</v>
      </c>
      <c r="AL1827" s="15"/>
      <c r="AM1827" s="51" t="s">
        <v>67</v>
      </c>
      <c r="AN1827" s="51" t="s">
        <v>67</v>
      </c>
      <c r="AO1827" s="50" t="s">
        <v>9554</v>
      </c>
    </row>
    <row r="1828" spans="1:41" hidden="1" x14ac:dyDescent="0.25">
      <c r="A1828" s="51" t="s">
        <v>9203</v>
      </c>
      <c r="B1828" s="51" t="s">
        <v>9204</v>
      </c>
      <c r="C1828" s="54" t="s">
        <v>2358</v>
      </c>
      <c r="D1828" s="51" t="s">
        <v>9205</v>
      </c>
      <c r="E1828" s="20">
        <v>10000</v>
      </c>
      <c r="F1828" s="20">
        <v>883.56</v>
      </c>
      <c r="G1828" s="20">
        <v>9244.4500000000007</v>
      </c>
      <c r="H1828" s="20">
        <v>616.89</v>
      </c>
      <c r="I1828" s="20">
        <v>883.56</v>
      </c>
      <c r="J1828" s="51" t="s">
        <v>6727</v>
      </c>
      <c r="K1828" s="15">
        <v>104</v>
      </c>
      <c r="L1828" s="51" t="s">
        <v>2369</v>
      </c>
      <c r="M1828" s="51" t="s">
        <v>9206</v>
      </c>
      <c r="N1828" s="51" t="s">
        <v>1340</v>
      </c>
      <c r="O1828" s="51" t="s">
        <v>67</v>
      </c>
      <c r="P1828" s="51" t="s">
        <v>67</v>
      </c>
      <c r="Q1828" s="45">
        <v>46288.603636284723</v>
      </c>
      <c r="R1828" s="46">
        <v>46309</v>
      </c>
      <c r="S1828" s="46">
        <v>46304</v>
      </c>
      <c r="T1828" s="51" t="s">
        <v>6119</v>
      </c>
      <c r="U1828" s="15"/>
      <c r="V1828" s="15"/>
      <c r="W1828" s="15"/>
      <c r="X1828" s="15"/>
      <c r="Y1828" s="15"/>
      <c r="Z1828" s="15"/>
      <c r="AA1828" s="46"/>
      <c r="AB1828" s="15"/>
      <c r="AC1828" s="15"/>
      <c r="AD1828" s="15"/>
      <c r="AE1828" s="15"/>
      <c r="AF1828" s="15"/>
      <c r="AG1828" s="15"/>
      <c r="AH1828" s="15"/>
      <c r="AI1828" s="46"/>
      <c r="AJ1828" s="51" t="s">
        <v>6121</v>
      </c>
      <c r="AK1828" s="51" t="s">
        <v>67</v>
      </c>
      <c r="AL1828" s="15"/>
      <c r="AM1828" s="51" t="s">
        <v>67</v>
      </c>
      <c r="AN1828" s="51" t="s">
        <v>67</v>
      </c>
      <c r="AO1828" s="50" t="s">
        <v>9554</v>
      </c>
    </row>
    <row r="1829" spans="1:41" hidden="1" x14ac:dyDescent="0.25">
      <c r="A1829" s="51" t="s">
        <v>9207</v>
      </c>
      <c r="B1829" s="51" t="s">
        <v>9208</v>
      </c>
      <c r="C1829" s="54" t="s">
        <v>2356</v>
      </c>
      <c r="D1829" s="51" t="s">
        <v>9209</v>
      </c>
      <c r="E1829" s="20">
        <v>10000</v>
      </c>
      <c r="F1829" s="20">
        <v>1382.4</v>
      </c>
      <c r="G1829" s="20">
        <v>20482.400000000001</v>
      </c>
      <c r="H1829" s="20">
        <v>957.75</v>
      </c>
      <c r="I1829" s="20">
        <v>1382.4</v>
      </c>
      <c r="J1829" s="51" t="s">
        <v>6727</v>
      </c>
      <c r="K1829" s="15">
        <v>106</v>
      </c>
      <c r="L1829" s="51" t="s">
        <v>2369</v>
      </c>
      <c r="M1829" s="51" t="s">
        <v>9210</v>
      </c>
      <c r="N1829" s="51" t="s">
        <v>1340</v>
      </c>
      <c r="O1829" s="51" t="s">
        <v>9211</v>
      </c>
      <c r="P1829" s="51" t="s">
        <v>1340</v>
      </c>
      <c r="Q1829" s="45">
        <v>46288.603644675924</v>
      </c>
      <c r="R1829" s="46">
        <v>46307</v>
      </c>
      <c r="S1829" s="46">
        <v>46302</v>
      </c>
      <c r="T1829" s="51" t="s">
        <v>6119</v>
      </c>
      <c r="U1829" s="15"/>
      <c r="V1829" s="15"/>
      <c r="W1829" s="15"/>
      <c r="X1829" s="15"/>
      <c r="Y1829" s="15"/>
      <c r="Z1829" s="15"/>
      <c r="AA1829" s="46"/>
      <c r="AB1829" s="15"/>
      <c r="AC1829" s="15"/>
      <c r="AD1829" s="15"/>
      <c r="AE1829" s="15"/>
      <c r="AF1829" s="15"/>
      <c r="AG1829" s="15"/>
      <c r="AH1829" s="15"/>
      <c r="AI1829" s="46"/>
      <c r="AJ1829" s="51" t="s">
        <v>6121</v>
      </c>
      <c r="AK1829" s="51" t="s">
        <v>67</v>
      </c>
      <c r="AL1829" s="15"/>
      <c r="AM1829" s="51" t="s">
        <v>67</v>
      </c>
      <c r="AN1829" s="51" t="s">
        <v>67</v>
      </c>
      <c r="AO1829" s="50" t="s">
        <v>9554</v>
      </c>
    </row>
    <row r="1830" spans="1:41" hidden="1" x14ac:dyDescent="0.25">
      <c r="A1830" s="51" t="s">
        <v>9212</v>
      </c>
      <c r="B1830" s="51" t="s">
        <v>9213</v>
      </c>
      <c r="C1830" s="54" t="s">
        <v>2357</v>
      </c>
      <c r="D1830" s="51" t="s">
        <v>9214</v>
      </c>
      <c r="E1830" s="20">
        <v>10000</v>
      </c>
      <c r="F1830" s="20">
        <v>964.05</v>
      </c>
      <c r="G1830" s="20">
        <v>12077.64</v>
      </c>
      <c r="H1830" s="20">
        <v>670.5</v>
      </c>
      <c r="I1830" s="20">
        <v>964.05</v>
      </c>
      <c r="J1830" s="51" t="s">
        <v>6727</v>
      </c>
      <c r="K1830" s="15">
        <v>105</v>
      </c>
      <c r="L1830" s="51" t="s">
        <v>2369</v>
      </c>
      <c r="M1830" s="51" t="s">
        <v>67</v>
      </c>
      <c r="N1830" s="51" t="s">
        <v>67</v>
      </c>
      <c r="O1830" s="51" t="s">
        <v>9215</v>
      </c>
      <c r="P1830" s="51" t="s">
        <v>1340</v>
      </c>
      <c r="Q1830" s="45">
        <v>46288.603650393517</v>
      </c>
      <c r="R1830" s="46">
        <v>46308</v>
      </c>
      <c r="S1830" s="46">
        <v>46303</v>
      </c>
      <c r="T1830" s="51" t="s">
        <v>6119</v>
      </c>
      <c r="U1830" s="15"/>
      <c r="V1830" s="15"/>
      <c r="W1830" s="15"/>
      <c r="X1830" s="15"/>
      <c r="Y1830" s="15"/>
      <c r="Z1830" s="15"/>
      <c r="AA1830" s="46"/>
      <c r="AB1830" s="15"/>
      <c r="AC1830" s="15"/>
      <c r="AD1830" s="15"/>
      <c r="AE1830" s="15"/>
      <c r="AF1830" s="15"/>
      <c r="AG1830" s="15"/>
      <c r="AH1830" s="15"/>
      <c r="AI1830" s="46"/>
      <c r="AJ1830" s="51" t="s">
        <v>6121</v>
      </c>
      <c r="AK1830" s="51" t="s">
        <v>67</v>
      </c>
      <c r="AL1830" s="15"/>
      <c r="AM1830" s="51" t="s">
        <v>67</v>
      </c>
      <c r="AN1830" s="51" t="s">
        <v>67</v>
      </c>
      <c r="AO1830" s="50" t="s">
        <v>9554</v>
      </c>
    </row>
    <row r="1831" spans="1:41" hidden="1" x14ac:dyDescent="0.25">
      <c r="A1831" s="51" t="s">
        <v>9216</v>
      </c>
      <c r="B1831" s="51" t="s">
        <v>9217</v>
      </c>
      <c r="C1831" s="54" t="s">
        <v>2356</v>
      </c>
      <c r="D1831" s="51" t="s">
        <v>9218</v>
      </c>
      <c r="E1831" s="20">
        <v>10000</v>
      </c>
      <c r="F1831" s="20">
        <v>2105.25</v>
      </c>
      <c r="G1831" s="20">
        <v>17445.03</v>
      </c>
      <c r="H1831" s="20">
        <v>1458.57</v>
      </c>
      <c r="I1831" s="20">
        <v>2105.25</v>
      </c>
      <c r="J1831" s="51" t="s">
        <v>6727</v>
      </c>
      <c r="K1831" s="15">
        <v>106</v>
      </c>
      <c r="L1831" s="51" t="s">
        <v>2369</v>
      </c>
      <c r="M1831" s="51" t="s">
        <v>9219</v>
      </c>
      <c r="N1831" s="51" t="s">
        <v>1344</v>
      </c>
      <c r="O1831" s="51" t="s">
        <v>9220</v>
      </c>
      <c r="P1831" s="51" t="s">
        <v>1344</v>
      </c>
      <c r="Q1831" s="45">
        <v>46288.603658611108</v>
      </c>
      <c r="R1831" s="46">
        <v>46307</v>
      </c>
      <c r="S1831" s="46">
        <v>46302</v>
      </c>
      <c r="T1831" s="51" t="s">
        <v>6119</v>
      </c>
      <c r="U1831" s="15"/>
      <c r="V1831" s="15"/>
      <c r="W1831" s="15"/>
      <c r="X1831" s="15"/>
      <c r="Y1831" s="15"/>
      <c r="Z1831" s="15"/>
      <c r="AA1831" s="46"/>
      <c r="AB1831" s="15"/>
      <c r="AC1831" s="15"/>
      <c r="AD1831" s="15"/>
      <c r="AE1831" s="15"/>
      <c r="AF1831" s="15"/>
      <c r="AG1831" s="15"/>
      <c r="AH1831" s="15"/>
      <c r="AI1831" s="46"/>
      <c r="AJ1831" s="51" t="s">
        <v>6121</v>
      </c>
      <c r="AK1831" s="51" t="s">
        <v>67</v>
      </c>
      <c r="AL1831" s="15"/>
      <c r="AM1831" s="51" t="s">
        <v>67</v>
      </c>
      <c r="AN1831" s="51" t="s">
        <v>67</v>
      </c>
      <c r="AO1831" s="50" t="s">
        <v>9554</v>
      </c>
    </row>
    <row r="1832" spans="1:41" hidden="1" x14ac:dyDescent="0.25">
      <c r="A1832" s="51" t="s">
        <v>9221</v>
      </c>
      <c r="B1832" s="51" t="s">
        <v>9222</v>
      </c>
      <c r="C1832" s="54" t="s">
        <v>605</v>
      </c>
      <c r="D1832" s="51" t="s">
        <v>9223</v>
      </c>
      <c r="E1832" s="20">
        <v>10000</v>
      </c>
      <c r="F1832" s="20">
        <v>1167.31</v>
      </c>
      <c r="G1832" s="20">
        <v>3048.11</v>
      </c>
      <c r="H1832" s="20">
        <v>802.56</v>
      </c>
      <c r="I1832" s="20">
        <v>1167.31</v>
      </c>
      <c r="J1832" s="51" t="s">
        <v>6727</v>
      </c>
      <c r="K1832" s="15">
        <v>108</v>
      </c>
      <c r="L1832" s="51" t="s">
        <v>2369</v>
      </c>
      <c r="M1832" s="51" t="s">
        <v>67</v>
      </c>
      <c r="N1832" s="51" t="s">
        <v>67</v>
      </c>
      <c r="O1832" s="51" t="s">
        <v>9224</v>
      </c>
      <c r="P1832" s="51" t="s">
        <v>1340</v>
      </c>
      <c r="Q1832" s="45">
        <v>46288.603664097223</v>
      </c>
      <c r="R1832" s="46">
        <v>46305</v>
      </c>
      <c r="S1832" s="46">
        <v>46300</v>
      </c>
      <c r="T1832" s="51" t="s">
        <v>6119</v>
      </c>
      <c r="U1832" s="15"/>
      <c r="V1832" s="15"/>
      <c r="W1832" s="15"/>
      <c r="X1832" s="15"/>
      <c r="Y1832" s="15"/>
      <c r="Z1832" s="15"/>
      <c r="AA1832" s="46"/>
      <c r="AB1832" s="15"/>
      <c r="AC1832" s="15"/>
      <c r="AD1832" s="15"/>
      <c r="AE1832" s="15"/>
      <c r="AF1832" s="15"/>
      <c r="AG1832" s="15"/>
      <c r="AH1832" s="15"/>
      <c r="AI1832" s="46"/>
      <c r="AJ1832" s="51" t="s">
        <v>6121</v>
      </c>
      <c r="AK1832" s="51" t="s">
        <v>67</v>
      </c>
      <c r="AL1832" s="15"/>
      <c r="AM1832" s="51" t="s">
        <v>67</v>
      </c>
      <c r="AN1832" s="51" t="s">
        <v>67</v>
      </c>
      <c r="AO1832" s="50" t="s">
        <v>9554</v>
      </c>
    </row>
    <row r="1833" spans="1:41" hidden="1" x14ac:dyDescent="0.25">
      <c r="A1833" s="51" t="s">
        <v>9225</v>
      </c>
      <c r="B1833" s="51" t="s">
        <v>9226</v>
      </c>
      <c r="C1833" s="54" t="s">
        <v>605</v>
      </c>
      <c r="D1833" s="51" t="s">
        <v>9227</v>
      </c>
      <c r="E1833" s="20">
        <v>10000</v>
      </c>
      <c r="F1833" s="20">
        <v>1607.05</v>
      </c>
      <c r="G1833" s="20">
        <v>13062.75</v>
      </c>
      <c r="H1833" s="20">
        <v>1104.9000000000001</v>
      </c>
      <c r="I1833" s="20">
        <v>1607.05</v>
      </c>
      <c r="J1833" s="51" t="s">
        <v>6727</v>
      </c>
      <c r="K1833" s="15">
        <v>108</v>
      </c>
      <c r="L1833" s="51" t="s">
        <v>2369</v>
      </c>
      <c r="M1833" s="51" t="s">
        <v>9228</v>
      </c>
      <c r="N1833" s="51" t="s">
        <v>1340</v>
      </c>
      <c r="O1833" s="51" t="s">
        <v>67</v>
      </c>
      <c r="P1833" s="51" t="s">
        <v>67</v>
      </c>
      <c r="Q1833" s="45">
        <v>46288.603669814816</v>
      </c>
      <c r="R1833" s="46">
        <v>46305</v>
      </c>
      <c r="S1833" s="46">
        <v>46300</v>
      </c>
      <c r="T1833" s="51" t="s">
        <v>6119</v>
      </c>
      <c r="U1833" s="15"/>
      <c r="V1833" s="15"/>
      <c r="W1833" s="15"/>
      <c r="X1833" s="15"/>
      <c r="Y1833" s="15"/>
      <c r="Z1833" s="15"/>
      <c r="AA1833" s="46"/>
      <c r="AB1833" s="15"/>
      <c r="AC1833" s="15"/>
      <c r="AD1833" s="15"/>
      <c r="AE1833" s="15"/>
      <c r="AF1833" s="15"/>
      <c r="AG1833" s="15"/>
      <c r="AH1833" s="15"/>
      <c r="AI1833" s="46"/>
      <c r="AJ1833" s="51" t="s">
        <v>6121</v>
      </c>
      <c r="AK1833" s="51" t="s">
        <v>67</v>
      </c>
      <c r="AL1833" s="15"/>
      <c r="AM1833" s="51" t="s">
        <v>67</v>
      </c>
      <c r="AN1833" s="51" t="s">
        <v>67</v>
      </c>
      <c r="AO1833" s="50" t="s">
        <v>9554</v>
      </c>
    </row>
    <row r="1834" spans="1:41" hidden="1" x14ac:dyDescent="0.25">
      <c r="A1834" s="51" t="s">
        <v>9229</v>
      </c>
      <c r="B1834" s="51" t="s">
        <v>9230</v>
      </c>
      <c r="C1834" s="54" t="s">
        <v>5608</v>
      </c>
      <c r="D1834" s="51" t="s">
        <v>9231</v>
      </c>
      <c r="E1834" s="20">
        <v>10000</v>
      </c>
      <c r="F1834" s="20">
        <v>993.92</v>
      </c>
      <c r="G1834" s="20">
        <v>16126.54</v>
      </c>
      <c r="H1834" s="20">
        <v>721.89</v>
      </c>
      <c r="I1834" s="20">
        <v>993.92</v>
      </c>
      <c r="J1834" s="51" t="s">
        <v>6727</v>
      </c>
      <c r="K1834" s="15">
        <v>94</v>
      </c>
      <c r="L1834" s="51" t="s">
        <v>2369</v>
      </c>
      <c r="M1834" s="51" t="s">
        <v>9232</v>
      </c>
      <c r="N1834" s="51" t="s">
        <v>1344</v>
      </c>
      <c r="O1834" s="51" t="s">
        <v>67</v>
      </c>
      <c r="P1834" s="51" t="s">
        <v>67</v>
      </c>
      <c r="Q1834" s="45">
        <v>46288.603679097221</v>
      </c>
      <c r="R1834" s="46">
        <v>46319</v>
      </c>
      <c r="S1834" s="46">
        <v>46314</v>
      </c>
      <c r="T1834" s="51" t="s">
        <v>6119</v>
      </c>
      <c r="U1834" s="15"/>
      <c r="V1834" s="15"/>
      <c r="W1834" s="15"/>
      <c r="X1834" s="15"/>
      <c r="Y1834" s="15"/>
      <c r="Z1834" s="15"/>
      <c r="AA1834" s="46"/>
      <c r="AB1834" s="15"/>
      <c r="AC1834" s="15"/>
      <c r="AD1834" s="15"/>
      <c r="AE1834" s="15"/>
      <c r="AF1834" s="15"/>
      <c r="AG1834" s="15"/>
      <c r="AH1834" s="15"/>
      <c r="AI1834" s="46"/>
      <c r="AJ1834" s="51" t="s">
        <v>6121</v>
      </c>
      <c r="AK1834" s="51" t="s">
        <v>67</v>
      </c>
      <c r="AL1834" s="15"/>
      <c r="AM1834" s="51" t="s">
        <v>67</v>
      </c>
      <c r="AN1834" s="51" t="s">
        <v>67</v>
      </c>
      <c r="AO1834" s="50" t="s">
        <v>9554</v>
      </c>
    </row>
    <row r="1835" spans="1:41" hidden="1" x14ac:dyDescent="0.25">
      <c r="A1835" s="51" t="s">
        <v>9233</v>
      </c>
      <c r="B1835" s="51" t="s">
        <v>9234</v>
      </c>
      <c r="C1835" s="54" t="s">
        <v>5603</v>
      </c>
      <c r="D1835" s="51" t="s">
        <v>9235</v>
      </c>
      <c r="E1835" s="20">
        <v>10000</v>
      </c>
      <c r="F1835" s="20">
        <v>1744.29</v>
      </c>
      <c r="G1835" s="20">
        <v>795.97</v>
      </c>
      <c r="H1835" s="20">
        <v>1318.2</v>
      </c>
      <c r="I1835" s="20">
        <v>1744.29</v>
      </c>
      <c r="J1835" s="51" t="s">
        <v>6727</v>
      </c>
      <c r="K1835" s="15">
        <v>85</v>
      </c>
      <c r="L1835" s="51" t="s">
        <v>2369</v>
      </c>
      <c r="M1835" s="51" t="s">
        <v>9236</v>
      </c>
      <c r="N1835" s="51" t="s">
        <v>1340</v>
      </c>
      <c r="O1835" s="51" t="s">
        <v>67</v>
      </c>
      <c r="P1835" s="51" t="s">
        <v>67</v>
      </c>
      <c r="Q1835" s="45">
        <v>46288.603685185182</v>
      </c>
      <c r="R1835" s="46">
        <v>46298</v>
      </c>
      <c r="S1835" s="46">
        <v>46293</v>
      </c>
      <c r="T1835" s="51" t="s">
        <v>6119</v>
      </c>
      <c r="U1835" s="15"/>
      <c r="V1835" s="15"/>
      <c r="W1835" s="15"/>
      <c r="X1835" s="15"/>
      <c r="Y1835" s="15"/>
      <c r="Z1835" s="15"/>
      <c r="AA1835" s="46"/>
      <c r="AB1835" s="15"/>
      <c r="AC1835" s="15"/>
      <c r="AD1835" s="15"/>
      <c r="AE1835" s="15"/>
      <c r="AF1835" s="15"/>
      <c r="AG1835" s="15"/>
      <c r="AH1835" s="15"/>
      <c r="AI1835" s="46"/>
      <c r="AJ1835" s="51" t="s">
        <v>6121</v>
      </c>
      <c r="AK1835" s="51" t="s">
        <v>67</v>
      </c>
      <c r="AL1835" s="15"/>
      <c r="AM1835" s="51" t="s">
        <v>67</v>
      </c>
      <c r="AN1835" s="51" t="s">
        <v>67</v>
      </c>
      <c r="AO1835" s="50" t="s">
        <v>9554</v>
      </c>
    </row>
    <row r="1836" spans="1:41" hidden="1" x14ac:dyDescent="0.25">
      <c r="A1836" s="51" t="s">
        <v>9237</v>
      </c>
      <c r="B1836" s="51" t="s">
        <v>9238</v>
      </c>
      <c r="C1836" s="54" t="s">
        <v>5603</v>
      </c>
      <c r="D1836" s="51" t="s">
        <v>9239</v>
      </c>
      <c r="E1836" s="20">
        <v>10000</v>
      </c>
      <c r="F1836" s="20">
        <v>1823.56</v>
      </c>
      <c r="G1836" s="20">
        <v>12188.81</v>
      </c>
      <c r="H1836" s="20">
        <v>1378.11</v>
      </c>
      <c r="I1836" s="20">
        <v>1823.56</v>
      </c>
      <c r="J1836" s="51" t="s">
        <v>6727</v>
      </c>
      <c r="K1836" s="15">
        <v>85</v>
      </c>
      <c r="L1836" s="51" t="s">
        <v>2369</v>
      </c>
      <c r="M1836" s="51" t="s">
        <v>9240</v>
      </c>
      <c r="N1836" s="51" t="s">
        <v>1344</v>
      </c>
      <c r="O1836" s="51" t="s">
        <v>67</v>
      </c>
      <c r="P1836" s="51" t="s">
        <v>67</v>
      </c>
      <c r="Q1836" s="45">
        <v>46288.603694837962</v>
      </c>
      <c r="R1836" s="46">
        <v>46298</v>
      </c>
      <c r="S1836" s="46">
        <v>46293</v>
      </c>
      <c r="T1836" s="51" t="s">
        <v>6119</v>
      </c>
      <c r="U1836" s="15"/>
      <c r="V1836" s="15"/>
      <c r="W1836" s="15"/>
      <c r="X1836" s="15"/>
      <c r="Y1836" s="15"/>
      <c r="Z1836" s="15"/>
      <c r="AA1836" s="46"/>
      <c r="AB1836" s="15"/>
      <c r="AC1836" s="15"/>
      <c r="AD1836" s="15"/>
      <c r="AE1836" s="15"/>
      <c r="AF1836" s="15"/>
      <c r="AG1836" s="15"/>
      <c r="AH1836" s="15"/>
      <c r="AI1836" s="46"/>
      <c r="AJ1836" s="51" t="s">
        <v>6121</v>
      </c>
      <c r="AK1836" s="51" t="s">
        <v>67</v>
      </c>
      <c r="AL1836" s="15"/>
      <c r="AM1836" s="51" t="s">
        <v>67</v>
      </c>
      <c r="AN1836" s="51" t="s">
        <v>67</v>
      </c>
      <c r="AO1836" s="50" t="s">
        <v>9554</v>
      </c>
    </row>
    <row r="1837" spans="1:41" hidden="1" x14ac:dyDescent="0.25">
      <c r="A1837" s="51" t="s">
        <v>9241</v>
      </c>
      <c r="B1837" s="51" t="s">
        <v>9242</v>
      </c>
      <c r="C1837" s="54" t="s">
        <v>5604</v>
      </c>
      <c r="D1837" s="51" t="s">
        <v>9243</v>
      </c>
      <c r="E1837" s="20">
        <v>10000</v>
      </c>
      <c r="F1837" s="20">
        <v>1849.75</v>
      </c>
      <c r="G1837" s="20">
        <v>15085.29</v>
      </c>
      <c r="H1837" s="20">
        <v>1311.78</v>
      </c>
      <c r="I1837" s="20">
        <v>1849.75</v>
      </c>
      <c r="J1837" s="51" t="s">
        <v>6727</v>
      </c>
      <c r="K1837" s="15">
        <v>100</v>
      </c>
      <c r="L1837" s="51" t="s">
        <v>2369</v>
      </c>
      <c r="M1837" s="51" t="s">
        <v>9244</v>
      </c>
      <c r="N1837" s="51" t="s">
        <v>1340</v>
      </c>
      <c r="O1837" s="51" t="s">
        <v>67</v>
      </c>
      <c r="P1837" s="51" t="s">
        <v>67</v>
      </c>
      <c r="Q1837" s="45">
        <v>46288.603699756946</v>
      </c>
      <c r="R1837" s="46">
        <v>46313</v>
      </c>
      <c r="S1837" s="46">
        <v>46308</v>
      </c>
      <c r="T1837" s="51" t="s">
        <v>6119</v>
      </c>
      <c r="U1837" s="15"/>
      <c r="V1837" s="15"/>
      <c r="W1837" s="15"/>
      <c r="X1837" s="15"/>
      <c r="Y1837" s="15"/>
      <c r="Z1837" s="15"/>
      <c r="AA1837" s="46"/>
      <c r="AB1837" s="15"/>
      <c r="AC1837" s="15"/>
      <c r="AD1837" s="15"/>
      <c r="AE1837" s="15"/>
      <c r="AF1837" s="15"/>
      <c r="AG1837" s="15"/>
      <c r="AH1837" s="15"/>
      <c r="AI1837" s="46"/>
      <c r="AJ1837" s="51" t="s">
        <v>6121</v>
      </c>
      <c r="AK1837" s="51" t="s">
        <v>67</v>
      </c>
      <c r="AL1837" s="15"/>
      <c r="AM1837" s="51" t="s">
        <v>67</v>
      </c>
      <c r="AN1837" s="51" t="s">
        <v>67</v>
      </c>
      <c r="AO1837" s="50" t="s">
        <v>9554</v>
      </c>
    </row>
    <row r="1838" spans="1:41" hidden="1" x14ac:dyDescent="0.25">
      <c r="A1838" s="51" t="s">
        <v>9245</v>
      </c>
      <c r="B1838" s="51" t="s">
        <v>9246</v>
      </c>
      <c r="C1838" s="54" t="s">
        <v>5607</v>
      </c>
      <c r="D1838" s="51" t="s">
        <v>7332</v>
      </c>
      <c r="E1838" s="20">
        <v>10000</v>
      </c>
      <c r="F1838" s="20">
        <v>1660.43</v>
      </c>
      <c r="G1838" s="20">
        <v>19575.259999999998</v>
      </c>
      <c r="H1838" s="20">
        <v>1260.1199999999999</v>
      </c>
      <c r="I1838" s="20">
        <v>1660.43</v>
      </c>
      <c r="J1838" s="51" t="s">
        <v>6727</v>
      </c>
      <c r="K1838" s="15">
        <v>84</v>
      </c>
      <c r="L1838" s="51" t="s">
        <v>2369</v>
      </c>
      <c r="M1838" s="51" t="s">
        <v>9247</v>
      </c>
      <c r="N1838" s="51" t="s">
        <v>1344</v>
      </c>
      <c r="O1838" s="51" t="s">
        <v>67</v>
      </c>
      <c r="P1838" s="51" t="s">
        <v>67</v>
      </c>
      <c r="Q1838" s="45">
        <v>46288.603710312498</v>
      </c>
      <c r="R1838" s="46">
        <v>46299</v>
      </c>
      <c r="S1838" s="46">
        <v>46294</v>
      </c>
      <c r="T1838" s="51" t="s">
        <v>6119</v>
      </c>
      <c r="U1838" s="15"/>
      <c r="V1838" s="15"/>
      <c r="W1838" s="15"/>
      <c r="X1838" s="15"/>
      <c r="Y1838" s="15"/>
      <c r="Z1838" s="15"/>
      <c r="AA1838" s="46"/>
      <c r="AB1838" s="15"/>
      <c r="AC1838" s="15"/>
      <c r="AD1838" s="15"/>
      <c r="AE1838" s="15"/>
      <c r="AF1838" s="15"/>
      <c r="AG1838" s="15"/>
      <c r="AH1838" s="15"/>
      <c r="AI1838" s="46"/>
      <c r="AJ1838" s="51" t="s">
        <v>6121</v>
      </c>
      <c r="AK1838" s="51" t="s">
        <v>67</v>
      </c>
      <c r="AL1838" s="15"/>
      <c r="AM1838" s="51" t="s">
        <v>67</v>
      </c>
      <c r="AN1838" s="51" t="s">
        <v>67</v>
      </c>
      <c r="AO1838" s="50" t="s">
        <v>9554</v>
      </c>
    </row>
    <row r="1839" spans="1:41" hidden="1" x14ac:dyDescent="0.25">
      <c r="A1839" s="51" t="s">
        <v>9248</v>
      </c>
      <c r="B1839" s="51" t="s">
        <v>9249</v>
      </c>
      <c r="C1839" s="54" t="s">
        <v>5601</v>
      </c>
      <c r="D1839" s="51" t="s">
        <v>9250</v>
      </c>
      <c r="E1839" s="20">
        <v>10000</v>
      </c>
      <c r="F1839" s="20">
        <v>1579.05</v>
      </c>
      <c r="G1839" s="20">
        <v>13451.42</v>
      </c>
      <c r="H1839" s="20">
        <v>1133.19</v>
      </c>
      <c r="I1839" s="20">
        <v>1579.05</v>
      </c>
      <c r="J1839" s="51" t="s">
        <v>6727</v>
      </c>
      <c r="K1839" s="15">
        <v>97</v>
      </c>
      <c r="L1839" s="51" t="s">
        <v>2369</v>
      </c>
      <c r="M1839" s="51" t="s">
        <v>9251</v>
      </c>
      <c r="N1839" s="51" t="s">
        <v>1340</v>
      </c>
      <c r="O1839" s="51" t="s">
        <v>67</v>
      </c>
      <c r="P1839" s="51" t="s">
        <v>67</v>
      </c>
      <c r="Q1839" s="45">
        <v>46288.603715439815</v>
      </c>
      <c r="R1839" s="46">
        <v>46316</v>
      </c>
      <c r="S1839" s="46">
        <v>46311</v>
      </c>
      <c r="T1839" s="51" t="s">
        <v>6119</v>
      </c>
      <c r="U1839" s="15"/>
      <c r="V1839" s="15"/>
      <c r="W1839" s="15"/>
      <c r="X1839" s="15"/>
      <c r="Y1839" s="15"/>
      <c r="Z1839" s="15"/>
      <c r="AA1839" s="46"/>
      <c r="AB1839" s="15"/>
      <c r="AC1839" s="15"/>
      <c r="AD1839" s="15"/>
      <c r="AE1839" s="15"/>
      <c r="AF1839" s="15"/>
      <c r="AG1839" s="15"/>
      <c r="AH1839" s="15"/>
      <c r="AI1839" s="46"/>
      <c r="AJ1839" s="51" t="s">
        <v>6121</v>
      </c>
      <c r="AK1839" s="51" t="s">
        <v>67</v>
      </c>
      <c r="AL1839" s="15"/>
      <c r="AM1839" s="51" t="s">
        <v>67</v>
      </c>
      <c r="AN1839" s="51" t="s">
        <v>67</v>
      </c>
      <c r="AO1839" s="50" t="s">
        <v>9554</v>
      </c>
    </row>
    <row r="1840" spans="1:41" hidden="1" x14ac:dyDescent="0.25">
      <c r="A1840" s="51" t="s">
        <v>9252</v>
      </c>
      <c r="B1840" s="51" t="s">
        <v>9253</v>
      </c>
      <c r="C1840" s="54" t="s">
        <v>5607</v>
      </c>
      <c r="D1840" s="51" t="s">
        <v>9254</v>
      </c>
      <c r="E1840" s="20">
        <v>10000</v>
      </c>
      <c r="F1840" s="20">
        <v>1242.05</v>
      </c>
      <c r="G1840" s="20">
        <v>13259.58</v>
      </c>
      <c r="H1840" s="20">
        <v>942.6</v>
      </c>
      <c r="I1840" s="20">
        <v>1242.05</v>
      </c>
      <c r="J1840" s="51" t="s">
        <v>6727</v>
      </c>
      <c r="K1840" s="15">
        <v>84</v>
      </c>
      <c r="L1840" s="51" t="s">
        <v>2369</v>
      </c>
      <c r="M1840" s="51" t="s">
        <v>9255</v>
      </c>
      <c r="N1840" s="51" t="s">
        <v>1340</v>
      </c>
      <c r="O1840" s="51" t="s">
        <v>9256</v>
      </c>
      <c r="P1840" s="51" t="s">
        <v>1340</v>
      </c>
      <c r="Q1840" s="45">
        <v>46288.603720659725</v>
      </c>
      <c r="R1840" s="46">
        <v>46299</v>
      </c>
      <c r="S1840" s="46">
        <v>46294</v>
      </c>
      <c r="T1840" s="51" t="s">
        <v>6119</v>
      </c>
      <c r="U1840" s="15"/>
      <c r="V1840" s="15"/>
      <c r="W1840" s="15"/>
      <c r="X1840" s="15"/>
      <c r="Y1840" s="15"/>
      <c r="Z1840" s="15"/>
      <c r="AA1840" s="46"/>
      <c r="AB1840" s="15"/>
      <c r="AC1840" s="15"/>
      <c r="AD1840" s="15"/>
      <c r="AE1840" s="15"/>
      <c r="AF1840" s="15"/>
      <c r="AG1840" s="15"/>
      <c r="AH1840" s="15"/>
      <c r="AI1840" s="46"/>
      <c r="AJ1840" s="51" t="s">
        <v>6121</v>
      </c>
      <c r="AK1840" s="51" t="s">
        <v>67</v>
      </c>
      <c r="AL1840" s="15"/>
      <c r="AM1840" s="51" t="s">
        <v>67</v>
      </c>
      <c r="AN1840" s="51" t="s">
        <v>67</v>
      </c>
      <c r="AO1840" s="50" t="s">
        <v>9554</v>
      </c>
    </row>
    <row r="1841" spans="1:41" hidden="1" x14ac:dyDescent="0.25">
      <c r="A1841" s="51" t="s">
        <v>9257</v>
      </c>
      <c r="B1841" s="51" t="s">
        <v>9258</v>
      </c>
      <c r="C1841" s="54" t="s">
        <v>5603</v>
      </c>
      <c r="D1841" s="51" t="s">
        <v>9259</v>
      </c>
      <c r="E1841" s="20">
        <v>10000</v>
      </c>
      <c r="F1841" s="20">
        <v>1413.72</v>
      </c>
      <c r="G1841" s="20">
        <v>18170.22</v>
      </c>
      <c r="H1841" s="20">
        <v>1068.3900000000001</v>
      </c>
      <c r="I1841" s="20">
        <v>1413.72</v>
      </c>
      <c r="J1841" s="51" t="s">
        <v>6727</v>
      </c>
      <c r="K1841" s="15">
        <v>85</v>
      </c>
      <c r="L1841" s="51" t="s">
        <v>2369</v>
      </c>
      <c r="M1841" s="51" t="s">
        <v>67</v>
      </c>
      <c r="N1841" s="51" t="s">
        <v>67</v>
      </c>
      <c r="O1841" s="51" t="s">
        <v>9260</v>
      </c>
      <c r="P1841" s="51" t="s">
        <v>1340</v>
      </c>
      <c r="Q1841" s="45">
        <v>46288.603725277775</v>
      </c>
      <c r="R1841" s="46">
        <v>46298</v>
      </c>
      <c r="S1841" s="46">
        <v>46293</v>
      </c>
      <c r="T1841" s="51" t="s">
        <v>6119</v>
      </c>
      <c r="U1841" s="15"/>
      <c r="V1841" s="15"/>
      <c r="W1841" s="15"/>
      <c r="X1841" s="15"/>
      <c r="Y1841" s="15"/>
      <c r="Z1841" s="15"/>
      <c r="AA1841" s="46"/>
      <c r="AB1841" s="15"/>
      <c r="AC1841" s="15"/>
      <c r="AD1841" s="15"/>
      <c r="AE1841" s="15"/>
      <c r="AF1841" s="15"/>
      <c r="AG1841" s="15"/>
      <c r="AH1841" s="15"/>
      <c r="AI1841" s="46"/>
      <c r="AJ1841" s="51" t="s">
        <v>6121</v>
      </c>
      <c r="AK1841" s="51" t="s">
        <v>67</v>
      </c>
      <c r="AL1841" s="15"/>
      <c r="AM1841" s="51" t="s">
        <v>67</v>
      </c>
      <c r="AN1841" s="51" t="s">
        <v>67</v>
      </c>
      <c r="AO1841" s="50" t="s">
        <v>9554</v>
      </c>
    </row>
    <row r="1842" spans="1:41" hidden="1" x14ac:dyDescent="0.25">
      <c r="A1842" s="51" t="s">
        <v>9261</v>
      </c>
      <c r="B1842" s="51" t="s">
        <v>9262</v>
      </c>
      <c r="C1842" s="54" t="s">
        <v>2694</v>
      </c>
      <c r="D1842" s="51" t="s">
        <v>9263</v>
      </c>
      <c r="E1842" s="20">
        <v>10000</v>
      </c>
      <c r="F1842" s="20">
        <v>1376</v>
      </c>
      <c r="G1842" s="20">
        <v>11671.99</v>
      </c>
      <c r="H1842" s="20">
        <v>972</v>
      </c>
      <c r="I1842" s="20">
        <v>1376</v>
      </c>
      <c r="J1842" s="51" t="s">
        <v>6727</v>
      </c>
      <c r="K1842" s="15">
        <v>101</v>
      </c>
      <c r="L1842" s="51" t="s">
        <v>2369</v>
      </c>
      <c r="M1842" s="51" t="s">
        <v>67</v>
      </c>
      <c r="N1842" s="51" t="s">
        <v>67</v>
      </c>
      <c r="O1842" s="51" t="s">
        <v>9264</v>
      </c>
      <c r="P1842" s="51" t="s">
        <v>1340</v>
      </c>
      <c r="Q1842" s="45">
        <v>46288.603730983799</v>
      </c>
      <c r="R1842" s="46">
        <v>46312</v>
      </c>
      <c r="S1842" s="46">
        <v>46307</v>
      </c>
      <c r="T1842" s="51" t="s">
        <v>6119</v>
      </c>
      <c r="U1842" s="15"/>
      <c r="V1842" s="15"/>
      <c r="W1842" s="15"/>
      <c r="X1842" s="15"/>
      <c r="Y1842" s="15"/>
      <c r="Z1842" s="15"/>
      <c r="AA1842" s="46"/>
      <c r="AB1842" s="15"/>
      <c r="AC1842" s="15"/>
      <c r="AD1842" s="15"/>
      <c r="AE1842" s="15"/>
      <c r="AF1842" s="15"/>
      <c r="AG1842" s="15"/>
      <c r="AH1842" s="15"/>
      <c r="AI1842" s="46"/>
      <c r="AJ1842" s="51" t="s">
        <v>6121</v>
      </c>
      <c r="AK1842" s="51" t="s">
        <v>67</v>
      </c>
      <c r="AL1842" s="15"/>
      <c r="AM1842" s="51" t="s">
        <v>67</v>
      </c>
      <c r="AN1842" s="51" t="s">
        <v>67</v>
      </c>
      <c r="AO1842" s="50" t="s">
        <v>9554</v>
      </c>
    </row>
    <row r="1843" spans="1:41" hidden="1" x14ac:dyDescent="0.25">
      <c r="A1843" s="51" t="s">
        <v>9265</v>
      </c>
      <c r="B1843" s="51" t="s">
        <v>9266</v>
      </c>
      <c r="C1843" s="54" t="s">
        <v>2690</v>
      </c>
      <c r="D1843" s="51" t="s">
        <v>9267</v>
      </c>
      <c r="E1843" s="20">
        <v>10000</v>
      </c>
      <c r="F1843" s="20">
        <v>1675.47</v>
      </c>
      <c r="G1843" s="20">
        <v>4349.91</v>
      </c>
      <c r="H1843" s="20">
        <v>1231.8</v>
      </c>
      <c r="I1843" s="20">
        <v>1675.47</v>
      </c>
      <c r="J1843" s="51" t="s">
        <v>6727</v>
      </c>
      <c r="K1843" s="15">
        <v>91</v>
      </c>
      <c r="L1843" s="51" t="s">
        <v>2369</v>
      </c>
      <c r="M1843" s="51" t="s">
        <v>9268</v>
      </c>
      <c r="N1843" s="51" t="s">
        <v>1340</v>
      </c>
      <c r="O1843" s="51" t="s">
        <v>67</v>
      </c>
      <c r="P1843" s="51" t="s">
        <v>67</v>
      </c>
      <c r="Q1843" s="45">
        <v>46288.603742719904</v>
      </c>
      <c r="R1843" s="46">
        <v>46322</v>
      </c>
      <c r="S1843" s="46">
        <v>46317</v>
      </c>
      <c r="T1843" s="51" t="s">
        <v>6119</v>
      </c>
      <c r="U1843" s="15"/>
      <c r="V1843" s="15"/>
      <c r="W1843" s="15"/>
      <c r="X1843" s="15"/>
      <c r="Y1843" s="15"/>
      <c r="Z1843" s="15"/>
      <c r="AA1843" s="46"/>
      <c r="AB1843" s="15"/>
      <c r="AC1843" s="15"/>
      <c r="AD1843" s="15"/>
      <c r="AE1843" s="15"/>
      <c r="AF1843" s="15"/>
      <c r="AG1843" s="15"/>
      <c r="AH1843" s="15"/>
      <c r="AI1843" s="46"/>
      <c r="AJ1843" s="51" t="s">
        <v>6121</v>
      </c>
      <c r="AK1843" s="51" t="s">
        <v>67</v>
      </c>
      <c r="AL1843" s="15"/>
      <c r="AM1843" s="51" t="s">
        <v>67</v>
      </c>
      <c r="AN1843" s="51" t="s">
        <v>67</v>
      </c>
      <c r="AO1843" s="50" t="s">
        <v>9554</v>
      </c>
    </row>
    <row r="1844" spans="1:41" hidden="1" x14ac:dyDescent="0.25">
      <c r="A1844" s="51" t="s">
        <v>9269</v>
      </c>
      <c r="B1844" s="51" t="s">
        <v>9270</v>
      </c>
      <c r="C1844" s="54" t="s">
        <v>5602</v>
      </c>
      <c r="D1844" s="51" t="s">
        <v>9271</v>
      </c>
      <c r="E1844" s="20">
        <v>10000</v>
      </c>
      <c r="F1844" s="20">
        <v>1007.33</v>
      </c>
      <c r="G1844" s="20">
        <v>7475.99</v>
      </c>
      <c r="H1844" s="20">
        <v>777.57</v>
      </c>
      <c r="I1844" s="20">
        <v>1007.33</v>
      </c>
      <c r="J1844" s="51" t="s">
        <v>6727</v>
      </c>
      <c r="K1844" s="15">
        <v>80</v>
      </c>
      <c r="L1844" s="51" t="s">
        <v>2369</v>
      </c>
      <c r="M1844" s="51" t="s">
        <v>9272</v>
      </c>
      <c r="N1844" s="51" t="s">
        <v>1344</v>
      </c>
      <c r="O1844" s="51" t="s">
        <v>9273</v>
      </c>
      <c r="P1844" s="51" t="s">
        <v>1344</v>
      </c>
      <c r="Q1844" s="45">
        <v>46288.603748969908</v>
      </c>
      <c r="R1844" s="46">
        <v>46303</v>
      </c>
      <c r="S1844" s="46">
        <v>46298</v>
      </c>
      <c r="T1844" s="51" t="s">
        <v>6119</v>
      </c>
      <c r="U1844" s="15"/>
      <c r="V1844" s="15"/>
      <c r="W1844" s="15"/>
      <c r="X1844" s="15"/>
      <c r="Y1844" s="15"/>
      <c r="Z1844" s="15"/>
      <c r="AA1844" s="46"/>
      <c r="AB1844" s="15"/>
      <c r="AC1844" s="15"/>
      <c r="AD1844" s="15"/>
      <c r="AE1844" s="15"/>
      <c r="AF1844" s="15"/>
      <c r="AG1844" s="15"/>
      <c r="AH1844" s="15"/>
      <c r="AI1844" s="46"/>
      <c r="AJ1844" s="51" t="s">
        <v>6121</v>
      </c>
      <c r="AK1844" s="51" t="s">
        <v>67</v>
      </c>
      <c r="AL1844" s="15"/>
      <c r="AM1844" s="51" t="s">
        <v>67</v>
      </c>
      <c r="AN1844" s="51" t="s">
        <v>67</v>
      </c>
      <c r="AO1844" s="50" t="s">
        <v>9554</v>
      </c>
    </row>
    <row r="1845" spans="1:41" hidden="1" x14ac:dyDescent="0.25">
      <c r="A1845" s="51" t="s">
        <v>9274</v>
      </c>
      <c r="B1845" s="51" t="s">
        <v>9275</v>
      </c>
      <c r="C1845" s="54" t="s">
        <v>5597</v>
      </c>
      <c r="D1845" s="51" t="s">
        <v>9276</v>
      </c>
      <c r="E1845" s="20">
        <v>10000</v>
      </c>
      <c r="F1845" s="20">
        <v>1262.8900000000001</v>
      </c>
      <c r="G1845" s="20">
        <v>4575.05</v>
      </c>
      <c r="H1845" s="20">
        <v>1072.08</v>
      </c>
      <c r="I1845" s="20">
        <v>1262.8900000000001</v>
      </c>
      <c r="J1845" s="51" t="s">
        <v>6727</v>
      </c>
      <c r="K1845" s="15">
        <v>92</v>
      </c>
      <c r="L1845" s="51" t="s">
        <v>2369</v>
      </c>
      <c r="M1845" s="51" t="s">
        <v>9277</v>
      </c>
      <c r="N1845" s="51" t="s">
        <v>1340</v>
      </c>
      <c r="O1845" s="51" t="s">
        <v>67</v>
      </c>
      <c r="P1845" s="51" t="s">
        <v>67</v>
      </c>
      <c r="Q1845" s="45">
        <v>46288.603755775461</v>
      </c>
      <c r="R1845" s="46">
        <v>46321</v>
      </c>
      <c r="S1845" s="46">
        <v>46316</v>
      </c>
      <c r="T1845" s="51" t="s">
        <v>6119</v>
      </c>
      <c r="U1845" s="15"/>
      <c r="V1845" s="15"/>
      <c r="W1845" s="15"/>
      <c r="X1845" s="15"/>
      <c r="Y1845" s="15"/>
      <c r="Z1845" s="15"/>
      <c r="AA1845" s="46"/>
      <c r="AB1845" s="15"/>
      <c r="AC1845" s="15"/>
      <c r="AD1845" s="15"/>
      <c r="AE1845" s="15"/>
      <c r="AF1845" s="15"/>
      <c r="AG1845" s="15"/>
      <c r="AH1845" s="15"/>
      <c r="AI1845" s="46"/>
      <c r="AJ1845" s="51" t="s">
        <v>6121</v>
      </c>
      <c r="AK1845" s="51" t="s">
        <v>67</v>
      </c>
      <c r="AL1845" s="15"/>
      <c r="AM1845" s="51" t="s">
        <v>67</v>
      </c>
      <c r="AN1845" s="51" t="s">
        <v>67</v>
      </c>
      <c r="AO1845" s="50" t="s">
        <v>9554</v>
      </c>
    </row>
    <row r="1846" spans="1:41" hidden="1" x14ac:dyDescent="0.25">
      <c r="A1846" s="51" t="s">
        <v>9278</v>
      </c>
      <c r="B1846" s="51" t="s">
        <v>9279</v>
      </c>
      <c r="C1846" s="54" t="s">
        <v>5600</v>
      </c>
      <c r="D1846" s="51" t="s">
        <v>9280</v>
      </c>
      <c r="E1846" s="20">
        <v>10000</v>
      </c>
      <c r="F1846" s="20">
        <v>1217.72</v>
      </c>
      <c r="G1846" s="20">
        <v>2903.31</v>
      </c>
      <c r="H1846" s="20">
        <v>834.06</v>
      </c>
      <c r="I1846" s="20">
        <v>1217.72</v>
      </c>
      <c r="J1846" s="51" t="s">
        <v>6727</v>
      </c>
      <c r="K1846" s="15">
        <v>109</v>
      </c>
      <c r="L1846" s="51" t="s">
        <v>2369</v>
      </c>
      <c r="M1846" s="51" t="s">
        <v>9281</v>
      </c>
      <c r="N1846" s="51" t="s">
        <v>1340</v>
      </c>
      <c r="O1846" s="51" t="s">
        <v>67</v>
      </c>
      <c r="P1846" s="51" t="s">
        <v>67</v>
      </c>
      <c r="Q1846" s="45">
        <v>46288.603764629632</v>
      </c>
      <c r="R1846" s="46">
        <v>46304</v>
      </c>
      <c r="S1846" s="46">
        <v>46299</v>
      </c>
      <c r="T1846" s="51" t="s">
        <v>6119</v>
      </c>
      <c r="U1846" s="15"/>
      <c r="V1846" s="15"/>
      <c r="W1846" s="15"/>
      <c r="X1846" s="15"/>
      <c r="Y1846" s="15"/>
      <c r="Z1846" s="15"/>
      <c r="AA1846" s="46"/>
      <c r="AB1846" s="15"/>
      <c r="AC1846" s="15"/>
      <c r="AD1846" s="15"/>
      <c r="AE1846" s="15"/>
      <c r="AF1846" s="15"/>
      <c r="AG1846" s="15"/>
      <c r="AH1846" s="15"/>
      <c r="AI1846" s="46"/>
      <c r="AJ1846" s="51" t="s">
        <v>6121</v>
      </c>
      <c r="AK1846" s="51" t="s">
        <v>67</v>
      </c>
      <c r="AL1846" s="15"/>
      <c r="AM1846" s="51" t="s">
        <v>67</v>
      </c>
      <c r="AN1846" s="51" t="s">
        <v>67</v>
      </c>
      <c r="AO1846" s="50" t="s">
        <v>9554</v>
      </c>
    </row>
    <row r="1847" spans="1:41" hidden="1" x14ac:dyDescent="0.25">
      <c r="A1847" s="51" t="s">
        <v>9282</v>
      </c>
      <c r="B1847" s="51" t="s">
        <v>9283</v>
      </c>
      <c r="C1847" s="54" t="s">
        <v>2690</v>
      </c>
      <c r="D1847" s="51" t="s">
        <v>9205</v>
      </c>
      <c r="E1847" s="20">
        <v>10000</v>
      </c>
      <c r="F1847" s="20">
        <v>1217.22</v>
      </c>
      <c r="G1847" s="20">
        <v>18919.66</v>
      </c>
      <c r="H1847" s="20">
        <v>894.87</v>
      </c>
      <c r="I1847" s="20">
        <v>1217.22</v>
      </c>
      <c r="J1847" s="51" t="s">
        <v>6727</v>
      </c>
      <c r="K1847" s="15">
        <v>91</v>
      </c>
      <c r="L1847" s="51" t="s">
        <v>2369</v>
      </c>
      <c r="M1847" s="51" t="s">
        <v>9284</v>
      </c>
      <c r="N1847" s="51" t="s">
        <v>1344</v>
      </c>
      <c r="O1847" s="51" t="s">
        <v>67</v>
      </c>
      <c r="P1847" s="51" t="s">
        <v>67</v>
      </c>
      <c r="Q1847" s="45">
        <v>46288.603792488429</v>
      </c>
      <c r="R1847" s="46">
        <v>46322</v>
      </c>
      <c r="S1847" s="46">
        <v>46317</v>
      </c>
      <c r="T1847" s="51" t="s">
        <v>6119</v>
      </c>
      <c r="U1847" s="15"/>
      <c r="V1847" s="15"/>
      <c r="W1847" s="15"/>
      <c r="X1847" s="15"/>
      <c r="Y1847" s="15"/>
      <c r="Z1847" s="15"/>
      <c r="AA1847" s="46"/>
      <c r="AB1847" s="15"/>
      <c r="AC1847" s="15"/>
      <c r="AD1847" s="15"/>
      <c r="AE1847" s="15"/>
      <c r="AF1847" s="15"/>
      <c r="AG1847" s="15"/>
      <c r="AH1847" s="15"/>
      <c r="AI1847" s="46"/>
      <c r="AJ1847" s="51" t="s">
        <v>6121</v>
      </c>
      <c r="AK1847" s="51" t="s">
        <v>67</v>
      </c>
      <c r="AL1847" s="15"/>
      <c r="AM1847" s="51" t="s">
        <v>67</v>
      </c>
      <c r="AN1847" s="51" t="s">
        <v>67</v>
      </c>
      <c r="AO1847" s="50" t="s">
        <v>9554</v>
      </c>
    </row>
    <row r="1848" spans="1:41" hidden="1" x14ac:dyDescent="0.25">
      <c r="A1848" s="51" t="s">
        <v>9285</v>
      </c>
      <c r="B1848" s="51" t="s">
        <v>9286</v>
      </c>
      <c r="C1848" s="54" t="s">
        <v>2345</v>
      </c>
      <c r="D1848" s="51" t="s">
        <v>9287</v>
      </c>
      <c r="E1848" s="20">
        <v>10000</v>
      </c>
      <c r="F1848" s="20">
        <v>1092.02</v>
      </c>
      <c r="G1848" s="20">
        <v>17058.490000000002</v>
      </c>
      <c r="H1848" s="20">
        <v>753.69</v>
      </c>
      <c r="I1848" s="20">
        <v>1092.02</v>
      </c>
      <c r="J1848" s="51" t="s">
        <v>6727</v>
      </c>
      <c r="K1848" s="15">
        <v>107</v>
      </c>
      <c r="L1848" s="51" t="s">
        <v>2369</v>
      </c>
      <c r="M1848" s="51" t="s">
        <v>9288</v>
      </c>
      <c r="N1848" s="51" t="s">
        <v>1340</v>
      </c>
      <c r="O1848" s="51" t="s">
        <v>67</v>
      </c>
      <c r="P1848" s="51" t="s">
        <v>67</v>
      </c>
      <c r="Q1848" s="45">
        <v>46288.603804259263</v>
      </c>
      <c r="R1848" s="46">
        <v>46306</v>
      </c>
      <c r="S1848" s="46">
        <v>46301</v>
      </c>
      <c r="T1848" s="51" t="s">
        <v>6119</v>
      </c>
      <c r="U1848" s="15"/>
      <c r="V1848" s="15"/>
      <c r="W1848" s="15"/>
      <c r="X1848" s="15"/>
      <c r="Y1848" s="15"/>
      <c r="Z1848" s="15"/>
      <c r="AA1848" s="46"/>
      <c r="AB1848" s="15"/>
      <c r="AC1848" s="15"/>
      <c r="AD1848" s="15"/>
      <c r="AE1848" s="15"/>
      <c r="AF1848" s="15"/>
      <c r="AG1848" s="15"/>
      <c r="AH1848" s="15"/>
      <c r="AI1848" s="46"/>
      <c r="AJ1848" s="51" t="s">
        <v>6121</v>
      </c>
      <c r="AK1848" s="51" t="s">
        <v>67</v>
      </c>
      <c r="AL1848" s="15"/>
      <c r="AM1848" s="51" t="s">
        <v>67</v>
      </c>
      <c r="AN1848" s="51" t="s">
        <v>67</v>
      </c>
      <c r="AO1848" s="50" t="s">
        <v>9554</v>
      </c>
    </row>
    <row r="1849" spans="1:41" hidden="1" x14ac:dyDescent="0.25">
      <c r="A1849" s="51" t="s">
        <v>9289</v>
      </c>
      <c r="B1849" s="51" t="s">
        <v>9290</v>
      </c>
      <c r="C1849" s="54" t="s">
        <v>2541</v>
      </c>
      <c r="D1849" s="51" t="s">
        <v>9291</v>
      </c>
      <c r="E1849" s="20">
        <v>10000</v>
      </c>
      <c r="F1849" s="20">
        <v>1388.86</v>
      </c>
      <c r="G1849" s="20">
        <v>17656.72</v>
      </c>
      <c r="H1849" s="20">
        <v>977.25</v>
      </c>
      <c r="I1849" s="20">
        <v>1388.86</v>
      </c>
      <c r="J1849" s="51" t="s">
        <v>6727</v>
      </c>
      <c r="K1849" s="15">
        <v>102</v>
      </c>
      <c r="L1849" s="51" t="s">
        <v>2369</v>
      </c>
      <c r="M1849" s="51" t="s">
        <v>9292</v>
      </c>
      <c r="N1849" s="51" t="s">
        <v>1344</v>
      </c>
      <c r="O1849" s="51" t="s">
        <v>9293</v>
      </c>
      <c r="P1849" s="51" t="s">
        <v>1344</v>
      </c>
      <c r="Q1849" s="45">
        <v>46288.603811620371</v>
      </c>
      <c r="R1849" s="46">
        <v>46311</v>
      </c>
      <c r="S1849" s="46">
        <v>46306</v>
      </c>
      <c r="T1849" s="51" t="s">
        <v>6119</v>
      </c>
      <c r="U1849" s="15"/>
      <c r="V1849" s="15"/>
      <c r="W1849" s="15"/>
      <c r="X1849" s="15"/>
      <c r="Y1849" s="15"/>
      <c r="Z1849" s="15"/>
      <c r="AA1849" s="46"/>
      <c r="AB1849" s="15"/>
      <c r="AC1849" s="15"/>
      <c r="AD1849" s="15"/>
      <c r="AE1849" s="15"/>
      <c r="AF1849" s="15"/>
      <c r="AG1849" s="15"/>
      <c r="AH1849" s="15"/>
      <c r="AI1849" s="46"/>
      <c r="AJ1849" s="51" t="s">
        <v>6121</v>
      </c>
      <c r="AK1849" s="51" t="s">
        <v>67</v>
      </c>
      <c r="AL1849" s="15"/>
      <c r="AM1849" s="51" t="s">
        <v>67</v>
      </c>
      <c r="AN1849" s="51" t="s">
        <v>67</v>
      </c>
      <c r="AO1849" s="50" t="s">
        <v>9554</v>
      </c>
    </row>
    <row r="1850" spans="1:41" hidden="1" x14ac:dyDescent="0.25">
      <c r="A1850" s="51" t="s">
        <v>9294</v>
      </c>
      <c r="B1850" s="51" t="s">
        <v>9295</v>
      </c>
      <c r="C1850" s="54" t="s">
        <v>5596</v>
      </c>
      <c r="D1850" s="51" t="s">
        <v>9296</v>
      </c>
      <c r="E1850" s="20">
        <v>10000</v>
      </c>
      <c r="F1850" s="20">
        <v>1424.83</v>
      </c>
      <c r="G1850" s="20">
        <v>17432.189999999999</v>
      </c>
      <c r="H1850" s="20">
        <v>1085.8800000000001</v>
      </c>
      <c r="I1850" s="20">
        <v>1424.83</v>
      </c>
      <c r="J1850" s="51" t="s">
        <v>6727</v>
      </c>
      <c r="K1850" s="15">
        <v>83</v>
      </c>
      <c r="L1850" s="51" t="s">
        <v>2369</v>
      </c>
      <c r="M1850" s="51" t="s">
        <v>67</v>
      </c>
      <c r="N1850" s="51" t="s">
        <v>67</v>
      </c>
      <c r="O1850" s="51" t="s">
        <v>9297</v>
      </c>
      <c r="P1850" s="51" t="s">
        <v>1344</v>
      </c>
      <c r="Q1850" s="45">
        <v>46288.603821192133</v>
      </c>
      <c r="R1850" s="46">
        <v>46300</v>
      </c>
      <c r="S1850" s="46">
        <v>46295</v>
      </c>
      <c r="T1850" s="51" t="s">
        <v>6119</v>
      </c>
      <c r="U1850" s="15"/>
      <c r="V1850" s="15"/>
      <c r="W1850" s="15"/>
      <c r="X1850" s="15"/>
      <c r="Y1850" s="15"/>
      <c r="Z1850" s="15"/>
      <c r="AA1850" s="46"/>
      <c r="AB1850" s="15"/>
      <c r="AC1850" s="15"/>
      <c r="AD1850" s="15"/>
      <c r="AE1850" s="15"/>
      <c r="AF1850" s="15"/>
      <c r="AG1850" s="15"/>
      <c r="AH1850" s="15"/>
      <c r="AI1850" s="46"/>
      <c r="AJ1850" s="51" t="s">
        <v>6121</v>
      </c>
      <c r="AK1850" s="51" t="s">
        <v>67</v>
      </c>
      <c r="AL1850" s="15"/>
      <c r="AM1850" s="51" t="s">
        <v>67</v>
      </c>
      <c r="AN1850" s="51" t="s">
        <v>67</v>
      </c>
      <c r="AO1850" s="50" t="s">
        <v>9554</v>
      </c>
    </row>
    <row r="1851" spans="1:41" hidden="1" x14ac:dyDescent="0.25">
      <c r="A1851" s="51" t="s">
        <v>9298</v>
      </c>
      <c r="B1851" s="51" t="s">
        <v>9299</v>
      </c>
      <c r="C1851" s="54" t="s">
        <v>608</v>
      </c>
      <c r="D1851" s="51" t="s">
        <v>9218</v>
      </c>
      <c r="E1851" s="20">
        <v>10000</v>
      </c>
      <c r="F1851" s="20">
        <v>1289.5</v>
      </c>
      <c r="G1851" s="20">
        <v>14999.21</v>
      </c>
      <c r="H1851" s="20">
        <v>921.72</v>
      </c>
      <c r="I1851" s="20">
        <v>1289.5</v>
      </c>
      <c r="J1851" s="51" t="s">
        <v>6727</v>
      </c>
      <c r="K1851" s="15">
        <v>98</v>
      </c>
      <c r="L1851" s="51" t="s">
        <v>2369</v>
      </c>
      <c r="M1851" s="51" t="s">
        <v>67</v>
      </c>
      <c r="N1851" s="51" t="s">
        <v>67</v>
      </c>
      <c r="O1851" s="51" t="s">
        <v>9300</v>
      </c>
      <c r="P1851" s="51" t="s">
        <v>1340</v>
      </c>
      <c r="Q1851" s="45">
        <v>46288.603827511572</v>
      </c>
      <c r="R1851" s="46">
        <v>46315</v>
      </c>
      <c r="S1851" s="46">
        <v>46310</v>
      </c>
      <c r="T1851" s="51" t="s">
        <v>6119</v>
      </c>
      <c r="U1851" s="15"/>
      <c r="V1851" s="15"/>
      <c r="W1851" s="15"/>
      <c r="X1851" s="15"/>
      <c r="Y1851" s="15"/>
      <c r="Z1851" s="15"/>
      <c r="AA1851" s="46"/>
      <c r="AB1851" s="15"/>
      <c r="AC1851" s="15"/>
      <c r="AD1851" s="15"/>
      <c r="AE1851" s="15"/>
      <c r="AF1851" s="15"/>
      <c r="AG1851" s="15"/>
      <c r="AH1851" s="15"/>
      <c r="AI1851" s="46"/>
      <c r="AJ1851" s="51" t="s">
        <v>6121</v>
      </c>
      <c r="AK1851" s="51" t="s">
        <v>67</v>
      </c>
      <c r="AL1851" s="15"/>
      <c r="AM1851" s="51" t="s">
        <v>67</v>
      </c>
      <c r="AN1851" s="51" t="s">
        <v>67</v>
      </c>
      <c r="AO1851" s="50" t="s">
        <v>9554</v>
      </c>
    </row>
    <row r="1852" spans="1:41" hidden="1" x14ac:dyDescent="0.25">
      <c r="A1852" s="51" t="s">
        <v>9301</v>
      </c>
      <c r="B1852" s="51" t="s">
        <v>9302</v>
      </c>
      <c r="C1852" s="54" t="s">
        <v>5608</v>
      </c>
      <c r="D1852" s="51" t="s">
        <v>9303</v>
      </c>
      <c r="E1852" s="20">
        <v>10000</v>
      </c>
      <c r="F1852" s="20">
        <v>1186.54</v>
      </c>
      <c r="G1852" s="20">
        <v>2576.23</v>
      </c>
      <c r="H1852" s="20">
        <v>861.78</v>
      </c>
      <c r="I1852" s="20">
        <v>1186.54</v>
      </c>
      <c r="J1852" s="51" t="s">
        <v>6727</v>
      </c>
      <c r="K1852" s="15">
        <v>94</v>
      </c>
      <c r="L1852" s="51" t="s">
        <v>2369</v>
      </c>
      <c r="M1852" s="51" t="s">
        <v>9304</v>
      </c>
      <c r="N1852" s="51" t="s">
        <v>1340</v>
      </c>
      <c r="O1852" s="51" t="s">
        <v>67</v>
      </c>
      <c r="P1852" s="51" t="s">
        <v>67</v>
      </c>
      <c r="Q1852" s="45">
        <v>46288.603833020832</v>
      </c>
      <c r="R1852" s="46">
        <v>46319</v>
      </c>
      <c r="S1852" s="46">
        <v>46314</v>
      </c>
      <c r="T1852" s="51" t="s">
        <v>6119</v>
      </c>
      <c r="U1852" s="15"/>
      <c r="V1852" s="15"/>
      <c r="W1852" s="15"/>
      <c r="X1852" s="15"/>
      <c r="Y1852" s="15"/>
      <c r="Z1852" s="15"/>
      <c r="AA1852" s="46"/>
      <c r="AB1852" s="15"/>
      <c r="AC1852" s="15"/>
      <c r="AD1852" s="15"/>
      <c r="AE1852" s="15"/>
      <c r="AF1852" s="15"/>
      <c r="AG1852" s="15"/>
      <c r="AH1852" s="15"/>
      <c r="AI1852" s="46"/>
      <c r="AJ1852" s="51" t="s">
        <v>6121</v>
      </c>
      <c r="AK1852" s="51" t="s">
        <v>67</v>
      </c>
      <c r="AL1852" s="15"/>
      <c r="AM1852" s="51" t="s">
        <v>67</v>
      </c>
      <c r="AN1852" s="51" t="s">
        <v>67</v>
      </c>
      <c r="AO1852" s="50" t="s">
        <v>9554</v>
      </c>
    </row>
    <row r="1853" spans="1:41" hidden="1" x14ac:dyDescent="0.25">
      <c r="A1853" s="51" t="s">
        <v>9305</v>
      </c>
      <c r="B1853" s="51" t="s">
        <v>9306</v>
      </c>
      <c r="C1853" s="54" t="s">
        <v>2345</v>
      </c>
      <c r="D1853" s="51" t="s">
        <v>9307</v>
      </c>
      <c r="E1853" s="20">
        <v>10000</v>
      </c>
      <c r="F1853" s="20">
        <v>974.82</v>
      </c>
      <c r="G1853" s="20">
        <v>8043.54</v>
      </c>
      <c r="H1853" s="20">
        <v>672.78</v>
      </c>
      <c r="I1853" s="20">
        <v>974.82</v>
      </c>
      <c r="J1853" s="51" t="s">
        <v>6727</v>
      </c>
      <c r="K1853" s="15">
        <v>107</v>
      </c>
      <c r="L1853" s="51" t="s">
        <v>2369</v>
      </c>
      <c r="M1853" s="51" t="s">
        <v>9308</v>
      </c>
      <c r="N1853" s="51" t="s">
        <v>1340</v>
      </c>
      <c r="O1853" s="51" t="s">
        <v>9309</v>
      </c>
      <c r="P1853" s="51" t="s">
        <v>1340</v>
      </c>
      <c r="Q1853" s="45">
        <v>46288.603838287039</v>
      </c>
      <c r="R1853" s="46">
        <v>46306</v>
      </c>
      <c r="S1853" s="46">
        <v>46301</v>
      </c>
      <c r="T1853" s="51" t="s">
        <v>6119</v>
      </c>
      <c r="U1853" s="15">
        <v>49.05</v>
      </c>
      <c r="V1853" s="15">
        <v>226.37</v>
      </c>
      <c r="W1853" s="15">
        <v>2.11</v>
      </c>
      <c r="X1853" s="15">
        <v>0</v>
      </c>
      <c r="Y1853" s="15">
        <v>1.6256980000000001</v>
      </c>
      <c r="Z1853" s="15">
        <v>6</v>
      </c>
      <c r="AA1853" s="46">
        <v>46245</v>
      </c>
      <c r="AB1853" s="15"/>
      <c r="AC1853" s="15"/>
      <c r="AD1853" s="15"/>
      <c r="AE1853" s="15"/>
      <c r="AF1853" s="15"/>
      <c r="AG1853" s="15"/>
      <c r="AH1853" s="15"/>
      <c r="AI1853" s="46"/>
      <c r="AJ1853" s="51" t="s">
        <v>6121</v>
      </c>
      <c r="AK1853" s="51" t="s">
        <v>67</v>
      </c>
      <c r="AL1853" s="15"/>
      <c r="AM1853" s="51" t="s">
        <v>67</v>
      </c>
      <c r="AN1853" s="51" t="s">
        <v>67</v>
      </c>
      <c r="AO1853" s="50" t="s">
        <v>9554</v>
      </c>
    </row>
    <row r="1854" spans="1:41" hidden="1" x14ac:dyDescent="0.25">
      <c r="A1854" s="51" t="s">
        <v>9310</v>
      </c>
      <c r="B1854" s="51" t="s">
        <v>9311</v>
      </c>
      <c r="C1854" s="54" t="s">
        <v>2345</v>
      </c>
      <c r="D1854" s="51" t="s">
        <v>9312</v>
      </c>
      <c r="E1854" s="20">
        <v>10000</v>
      </c>
      <c r="F1854" s="20">
        <v>1619.29</v>
      </c>
      <c r="G1854" s="20">
        <v>2678.42</v>
      </c>
      <c r="H1854" s="20">
        <v>1117.5899999999999</v>
      </c>
      <c r="I1854" s="20">
        <v>1619.29</v>
      </c>
      <c r="J1854" s="51" t="s">
        <v>6727</v>
      </c>
      <c r="K1854" s="15">
        <v>107</v>
      </c>
      <c r="L1854" s="51" t="s">
        <v>2369</v>
      </c>
      <c r="M1854" s="51" t="s">
        <v>9313</v>
      </c>
      <c r="N1854" s="51" t="s">
        <v>1340</v>
      </c>
      <c r="O1854" s="51" t="s">
        <v>9314</v>
      </c>
      <c r="P1854" s="51" t="s">
        <v>1340</v>
      </c>
      <c r="Q1854" s="45">
        <v>46288.603843750003</v>
      </c>
      <c r="R1854" s="46">
        <v>46306</v>
      </c>
      <c r="S1854" s="46">
        <v>46301</v>
      </c>
      <c r="T1854" s="51" t="s">
        <v>6119</v>
      </c>
      <c r="U1854" s="15"/>
      <c r="V1854" s="15"/>
      <c r="W1854" s="15"/>
      <c r="X1854" s="15"/>
      <c r="Y1854" s="15"/>
      <c r="Z1854" s="15"/>
      <c r="AA1854" s="46"/>
      <c r="AB1854" s="15"/>
      <c r="AC1854" s="15"/>
      <c r="AD1854" s="15"/>
      <c r="AE1854" s="15"/>
      <c r="AF1854" s="15"/>
      <c r="AG1854" s="15"/>
      <c r="AH1854" s="15"/>
      <c r="AI1854" s="46"/>
      <c r="AJ1854" s="51" t="s">
        <v>6121</v>
      </c>
      <c r="AK1854" s="51" t="s">
        <v>67</v>
      </c>
      <c r="AL1854" s="15"/>
      <c r="AM1854" s="51" t="s">
        <v>67</v>
      </c>
      <c r="AN1854" s="51" t="s">
        <v>67</v>
      </c>
      <c r="AO1854" s="50" t="s">
        <v>9554</v>
      </c>
    </row>
    <row r="1855" spans="1:41" hidden="1" x14ac:dyDescent="0.25">
      <c r="A1855" s="51" t="s">
        <v>9315</v>
      </c>
      <c r="B1855" s="51" t="s">
        <v>9316</v>
      </c>
      <c r="C1855" s="54" t="s">
        <v>5597</v>
      </c>
      <c r="D1855" s="51" t="s">
        <v>9317</v>
      </c>
      <c r="E1855" s="20">
        <v>10000</v>
      </c>
      <c r="F1855" s="20">
        <v>265.13</v>
      </c>
      <c r="G1855" s="20">
        <v>14298.01</v>
      </c>
      <c r="H1855" s="20">
        <v>1795.04</v>
      </c>
      <c r="I1855" s="20">
        <v>265.13</v>
      </c>
      <c r="J1855" s="51" t="s">
        <v>6724</v>
      </c>
      <c r="K1855" s="15">
        <v>0</v>
      </c>
      <c r="L1855" s="51" t="s">
        <v>2371</v>
      </c>
      <c r="M1855" s="51" t="s">
        <v>67</v>
      </c>
      <c r="N1855" s="51" t="s">
        <v>67</v>
      </c>
      <c r="O1855" s="51" t="s">
        <v>9318</v>
      </c>
      <c r="P1855" s="51" t="s">
        <v>1344</v>
      </c>
      <c r="Q1855" s="45">
        <v>46288.604721608797</v>
      </c>
      <c r="R1855" s="46">
        <v>46321</v>
      </c>
      <c r="S1855" s="46">
        <v>46316</v>
      </c>
      <c r="T1855" s="51" t="s">
        <v>6119</v>
      </c>
      <c r="U1855" s="15"/>
      <c r="V1855" s="15"/>
      <c r="W1855" s="15"/>
      <c r="X1855" s="15"/>
      <c r="Y1855" s="15"/>
      <c r="Z1855" s="15"/>
      <c r="AA1855" s="46"/>
      <c r="AB1855" s="15"/>
      <c r="AC1855" s="15"/>
      <c r="AD1855" s="15"/>
      <c r="AE1855" s="15"/>
      <c r="AF1855" s="15"/>
      <c r="AG1855" s="15"/>
      <c r="AH1855" s="15"/>
      <c r="AI1855" s="46"/>
      <c r="AJ1855" s="51" t="s">
        <v>67</v>
      </c>
      <c r="AK1855" s="51" t="s">
        <v>67</v>
      </c>
      <c r="AL1855" s="15"/>
      <c r="AM1855" s="51" t="s">
        <v>67</v>
      </c>
      <c r="AN1855" s="51" t="s">
        <v>67</v>
      </c>
      <c r="AO1855" s="50" t="s">
        <v>9554</v>
      </c>
    </row>
    <row r="1856" spans="1:41" hidden="1" x14ac:dyDescent="0.25">
      <c r="A1856" s="51" t="s">
        <v>9319</v>
      </c>
      <c r="B1856" s="51" t="s">
        <v>9320</v>
      </c>
      <c r="C1856" s="54" t="s">
        <v>5607</v>
      </c>
      <c r="D1856" s="51" t="s">
        <v>9321</v>
      </c>
      <c r="E1856" s="20">
        <v>10000</v>
      </c>
      <c r="F1856" s="20">
        <v>563.65</v>
      </c>
      <c r="G1856" s="20">
        <v>2399.1999999999998</v>
      </c>
      <c r="H1856" s="20">
        <v>1760.07</v>
      </c>
      <c r="I1856" s="20">
        <v>563.65</v>
      </c>
      <c r="J1856" s="51" t="s">
        <v>6724</v>
      </c>
      <c r="K1856" s="15">
        <v>0</v>
      </c>
      <c r="L1856" s="51" t="s">
        <v>2371</v>
      </c>
      <c r="M1856" s="51" t="s">
        <v>9322</v>
      </c>
      <c r="N1856" s="51" t="s">
        <v>1340</v>
      </c>
      <c r="O1856" s="51" t="s">
        <v>9323</v>
      </c>
      <c r="P1856" s="51" t="s">
        <v>1340</v>
      </c>
      <c r="Q1856" s="45">
        <v>46288.604727928243</v>
      </c>
      <c r="R1856" s="46">
        <v>46299</v>
      </c>
      <c r="S1856" s="46">
        <v>46294</v>
      </c>
      <c r="T1856" s="51" t="s">
        <v>6119</v>
      </c>
      <c r="U1856" s="15"/>
      <c r="V1856" s="15"/>
      <c r="W1856" s="15"/>
      <c r="X1856" s="15"/>
      <c r="Y1856" s="15"/>
      <c r="Z1856" s="15"/>
      <c r="AA1856" s="46"/>
      <c r="AB1856" s="15"/>
      <c r="AC1856" s="15"/>
      <c r="AD1856" s="15"/>
      <c r="AE1856" s="15"/>
      <c r="AF1856" s="15"/>
      <c r="AG1856" s="15"/>
      <c r="AH1856" s="15"/>
      <c r="AI1856" s="46"/>
      <c r="AJ1856" s="51" t="s">
        <v>67</v>
      </c>
      <c r="AK1856" s="51" t="s">
        <v>67</v>
      </c>
      <c r="AL1856" s="15"/>
      <c r="AM1856" s="51" t="s">
        <v>67</v>
      </c>
      <c r="AN1856" s="51" t="s">
        <v>67</v>
      </c>
      <c r="AO1856" s="50" t="s">
        <v>9554</v>
      </c>
    </row>
    <row r="1857" spans="1:41" hidden="1" x14ac:dyDescent="0.25">
      <c r="A1857" s="51" t="s">
        <v>601</v>
      </c>
      <c r="B1857" s="51" t="s">
        <v>9324</v>
      </c>
      <c r="C1857" s="54" t="s">
        <v>5601</v>
      </c>
      <c r="D1857" s="51" t="s">
        <v>9325</v>
      </c>
      <c r="E1857" s="20">
        <v>10000</v>
      </c>
      <c r="F1857" s="20">
        <v>687.34</v>
      </c>
      <c r="G1857" s="20">
        <v>19667.740000000002</v>
      </c>
      <c r="H1857" s="20">
        <v>1264.6500000000001</v>
      </c>
      <c r="I1857" s="20">
        <v>277.43</v>
      </c>
      <c r="J1857" s="51" t="s">
        <v>6724</v>
      </c>
      <c r="K1857" s="15">
        <v>0</v>
      </c>
      <c r="L1857" s="51" t="s">
        <v>2371</v>
      </c>
      <c r="M1857" s="51" t="s">
        <v>67</v>
      </c>
      <c r="N1857" s="51" t="s">
        <v>67</v>
      </c>
      <c r="O1857" s="51" t="s">
        <v>9326</v>
      </c>
      <c r="P1857" s="51" t="s">
        <v>1344</v>
      </c>
      <c r="Q1857" s="45">
        <v>46288.604738634262</v>
      </c>
      <c r="R1857" s="46">
        <v>46316</v>
      </c>
      <c r="S1857" s="46">
        <v>46311</v>
      </c>
      <c r="T1857" s="51" t="s">
        <v>6119</v>
      </c>
      <c r="U1857" s="15"/>
      <c r="V1857" s="15"/>
      <c r="W1857" s="15"/>
      <c r="X1857" s="15"/>
      <c r="Y1857" s="15"/>
      <c r="Z1857" s="15"/>
      <c r="AA1857" s="46"/>
      <c r="AB1857" s="15"/>
      <c r="AC1857" s="15"/>
      <c r="AD1857" s="15"/>
      <c r="AE1857" s="15"/>
      <c r="AF1857" s="15"/>
      <c r="AG1857" s="15"/>
      <c r="AH1857" s="15"/>
      <c r="AI1857" s="46"/>
      <c r="AJ1857" s="51" t="s">
        <v>67</v>
      </c>
      <c r="AK1857" s="51" t="s">
        <v>67</v>
      </c>
      <c r="AL1857" s="15"/>
      <c r="AM1857" s="51" t="s">
        <v>67</v>
      </c>
      <c r="AN1857" s="51" t="s">
        <v>67</v>
      </c>
      <c r="AO1857" s="50" t="s">
        <v>9554</v>
      </c>
    </row>
    <row r="1858" spans="1:41" hidden="1" x14ac:dyDescent="0.25">
      <c r="A1858" s="51" t="s">
        <v>9327</v>
      </c>
      <c r="B1858" s="51" t="s">
        <v>9328</v>
      </c>
      <c r="C1858" s="54" t="s">
        <v>2691</v>
      </c>
      <c r="D1858" s="51" t="s">
        <v>9329</v>
      </c>
      <c r="E1858" s="20">
        <v>10000</v>
      </c>
      <c r="F1858" s="20">
        <v>591.5</v>
      </c>
      <c r="G1858" s="20">
        <v>5123.22</v>
      </c>
      <c r="H1858" s="20">
        <v>3522.27</v>
      </c>
      <c r="I1858" s="20">
        <v>591.5</v>
      </c>
      <c r="J1858" s="51" t="s">
        <v>6724</v>
      </c>
      <c r="K1858" s="15">
        <v>0</v>
      </c>
      <c r="L1858" s="51" t="s">
        <v>2371</v>
      </c>
      <c r="M1858" s="51" t="s">
        <v>9330</v>
      </c>
      <c r="N1858" s="51" t="s">
        <v>1340</v>
      </c>
      <c r="O1858" s="51" t="s">
        <v>9331</v>
      </c>
      <c r="P1858" s="51" t="s">
        <v>1340</v>
      </c>
      <c r="Q1858" s="45">
        <v>46288.60474289352</v>
      </c>
      <c r="R1858" s="46">
        <v>46301</v>
      </c>
      <c r="S1858" s="46">
        <v>46296</v>
      </c>
      <c r="T1858" s="51" t="s">
        <v>6119</v>
      </c>
      <c r="U1858" s="15"/>
      <c r="V1858" s="15"/>
      <c r="W1858" s="15"/>
      <c r="X1858" s="15"/>
      <c r="Y1858" s="15"/>
      <c r="Z1858" s="15"/>
      <c r="AA1858" s="46"/>
      <c r="AB1858" s="15"/>
      <c r="AC1858" s="15"/>
      <c r="AD1858" s="15"/>
      <c r="AE1858" s="15"/>
      <c r="AF1858" s="15"/>
      <c r="AG1858" s="15"/>
      <c r="AH1858" s="15"/>
      <c r="AI1858" s="46"/>
      <c r="AJ1858" s="51" t="s">
        <v>67</v>
      </c>
      <c r="AK1858" s="51" t="s">
        <v>67</v>
      </c>
      <c r="AL1858" s="15"/>
      <c r="AM1858" s="51" t="s">
        <v>67</v>
      </c>
      <c r="AN1858" s="51" t="s">
        <v>67</v>
      </c>
      <c r="AO1858" s="50" t="s">
        <v>9554</v>
      </c>
    </row>
    <row r="1859" spans="1:41" hidden="1" x14ac:dyDescent="0.25">
      <c r="A1859" s="51" t="s">
        <v>9332</v>
      </c>
      <c r="B1859" s="51" t="s">
        <v>9333</v>
      </c>
      <c r="C1859" s="54" t="s">
        <v>2694</v>
      </c>
      <c r="D1859" s="51" t="s">
        <v>9334</v>
      </c>
      <c r="E1859" s="20">
        <v>10000</v>
      </c>
      <c r="F1859" s="20">
        <v>844.22</v>
      </c>
      <c r="G1859" s="20">
        <v>6894.24</v>
      </c>
      <c r="H1859" s="20">
        <v>747.63</v>
      </c>
      <c r="I1859" s="20">
        <v>844.22</v>
      </c>
      <c r="J1859" s="51" t="s">
        <v>6724</v>
      </c>
      <c r="K1859" s="15">
        <v>0</v>
      </c>
      <c r="L1859" s="51" t="s">
        <v>2371</v>
      </c>
      <c r="M1859" s="51" t="s">
        <v>67</v>
      </c>
      <c r="N1859" s="51" t="s">
        <v>67</v>
      </c>
      <c r="O1859" s="51" t="s">
        <v>9335</v>
      </c>
      <c r="P1859" s="51" t="s">
        <v>1340</v>
      </c>
      <c r="Q1859" s="45">
        <v>46288.604747824073</v>
      </c>
      <c r="R1859" s="46">
        <v>46312</v>
      </c>
      <c r="S1859" s="46">
        <v>46307</v>
      </c>
      <c r="T1859" s="51" t="s">
        <v>6119</v>
      </c>
      <c r="U1859" s="15"/>
      <c r="V1859" s="15"/>
      <c r="W1859" s="15"/>
      <c r="X1859" s="15"/>
      <c r="Y1859" s="15"/>
      <c r="Z1859" s="15"/>
      <c r="AA1859" s="46"/>
      <c r="AB1859" s="15"/>
      <c r="AC1859" s="15"/>
      <c r="AD1859" s="15"/>
      <c r="AE1859" s="15"/>
      <c r="AF1859" s="15"/>
      <c r="AG1859" s="15"/>
      <c r="AH1859" s="15"/>
      <c r="AI1859" s="46"/>
      <c r="AJ1859" s="51" t="s">
        <v>67</v>
      </c>
      <c r="AK1859" s="51" t="s">
        <v>67</v>
      </c>
      <c r="AL1859" s="15"/>
      <c r="AM1859" s="51" t="s">
        <v>67</v>
      </c>
      <c r="AN1859" s="51" t="s">
        <v>67</v>
      </c>
      <c r="AO1859" s="50" t="s">
        <v>9554</v>
      </c>
    </row>
    <row r="1860" spans="1:41" hidden="1" x14ac:dyDescent="0.25">
      <c r="A1860" s="51" t="s">
        <v>9336</v>
      </c>
      <c r="B1860" s="51" t="s">
        <v>9337</v>
      </c>
      <c r="C1860" s="54" t="s">
        <v>2691</v>
      </c>
      <c r="D1860" s="51" t="s">
        <v>9338</v>
      </c>
      <c r="E1860" s="20">
        <v>10000</v>
      </c>
      <c r="F1860" s="20">
        <v>837.09</v>
      </c>
      <c r="G1860" s="20">
        <v>10692.28</v>
      </c>
      <c r="H1860" s="20">
        <v>4198.71</v>
      </c>
      <c r="I1860" s="20">
        <v>837.09</v>
      </c>
      <c r="J1860" s="51" t="s">
        <v>6724</v>
      </c>
      <c r="K1860" s="15">
        <v>0</v>
      </c>
      <c r="L1860" s="51" t="s">
        <v>2371</v>
      </c>
      <c r="M1860" s="51" t="s">
        <v>9339</v>
      </c>
      <c r="N1860" s="51" t="s">
        <v>1344</v>
      </c>
      <c r="O1860" s="51" t="s">
        <v>67</v>
      </c>
      <c r="P1860" s="51" t="s">
        <v>67</v>
      </c>
      <c r="Q1860" s="45">
        <v>46288.604753194442</v>
      </c>
      <c r="R1860" s="46">
        <v>46301</v>
      </c>
      <c r="S1860" s="46">
        <v>46296</v>
      </c>
      <c r="T1860" s="51" t="s">
        <v>6119</v>
      </c>
      <c r="U1860" s="15"/>
      <c r="V1860" s="15"/>
      <c r="W1860" s="15"/>
      <c r="X1860" s="15"/>
      <c r="Y1860" s="15"/>
      <c r="Z1860" s="15"/>
      <c r="AA1860" s="46"/>
      <c r="AB1860" s="15"/>
      <c r="AC1860" s="15"/>
      <c r="AD1860" s="15"/>
      <c r="AE1860" s="15"/>
      <c r="AF1860" s="15"/>
      <c r="AG1860" s="15"/>
      <c r="AH1860" s="15"/>
      <c r="AI1860" s="46"/>
      <c r="AJ1860" s="51" t="s">
        <v>67</v>
      </c>
      <c r="AK1860" s="51" t="s">
        <v>67</v>
      </c>
      <c r="AL1860" s="15"/>
      <c r="AM1860" s="51" t="s">
        <v>67</v>
      </c>
      <c r="AN1860" s="51" t="s">
        <v>67</v>
      </c>
      <c r="AO1860" s="50" t="s">
        <v>9554</v>
      </c>
    </row>
    <row r="1861" spans="1:41" hidden="1" x14ac:dyDescent="0.25">
      <c r="A1861" s="51" t="s">
        <v>9340</v>
      </c>
      <c r="B1861" s="51" t="s">
        <v>9341</v>
      </c>
      <c r="C1861" s="54" t="s">
        <v>5597</v>
      </c>
      <c r="D1861" s="51" t="s">
        <v>5024</v>
      </c>
      <c r="E1861" s="20">
        <v>10000</v>
      </c>
      <c r="F1861" s="20">
        <v>3289.69</v>
      </c>
      <c r="G1861" s="20">
        <v>3160.08</v>
      </c>
      <c r="H1861" s="20">
        <v>401.11</v>
      </c>
      <c r="I1861" s="20">
        <v>3289.69</v>
      </c>
      <c r="J1861" s="51" t="s">
        <v>6724</v>
      </c>
      <c r="K1861" s="15">
        <v>0</v>
      </c>
      <c r="L1861" s="51" t="s">
        <v>2371</v>
      </c>
      <c r="M1861" s="51" t="s">
        <v>9342</v>
      </c>
      <c r="N1861" s="51" t="s">
        <v>1344</v>
      </c>
      <c r="O1861" s="51" t="s">
        <v>67</v>
      </c>
      <c r="P1861" s="51" t="s">
        <v>67</v>
      </c>
      <c r="Q1861" s="45">
        <v>46288.604760555558</v>
      </c>
      <c r="R1861" s="46">
        <v>46321</v>
      </c>
      <c r="S1861" s="46">
        <v>46316</v>
      </c>
      <c r="T1861" s="51" t="s">
        <v>6119</v>
      </c>
      <c r="U1861" s="15"/>
      <c r="V1861" s="15"/>
      <c r="W1861" s="15"/>
      <c r="X1861" s="15"/>
      <c r="Y1861" s="15"/>
      <c r="Z1861" s="15"/>
      <c r="AA1861" s="46"/>
      <c r="AB1861" s="15"/>
      <c r="AC1861" s="15"/>
      <c r="AD1861" s="15"/>
      <c r="AE1861" s="15"/>
      <c r="AF1861" s="15"/>
      <c r="AG1861" s="15"/>
      <c r="AH1861" s="15"/>
      <c r="AI1861" s="46"/>
      <c r="AJ1861" s="51" t="s">
        <v>67</v>
      </c>
      <c r="AK1861" s="51" t="s">
        <v>67</v>
      </c>
      <c r="AL1861" s="15"/>
      <c r="AM1861" s="51" t="s">
        <v>67</v>
      </c>
      <c r="AN1861" s="51" t="s">
        <v>67</v>
      </c>
      <c r="AO1861" s="50" t="s">
        <v>9554</v>
      </c>
    </row>
    <row r="1862" spans="1:41" hidden="1" x14ac:dyDescent="0.25">
      <c r="A1862" s="51" t="s">
        <v>9343</v>
      </c>
      <c r="B1862" s="51" t="s">
        <v>9344</v>
      </c>
      <c r="C1862" s="54" t="s">
        <v>2356</v>
      </c>
      <c r="D1862" s="51" t="s">
        <v>5503</v>
      </c>
      <c r="E1862" s="20">
        <v>10000</v>
      </c>
      <c r="F1862" s="20">
        <v>1836.64</v>
      </c>
      <c r="G1862" s="20">
        <v>8499.68</v>
      </c>
      <c r="H1862" s="20">
        <v>902.38</v>
      </c>
      <c r="I1862" s="20">
        <v>1836.64</v>
      </c>
      <c r="J1862" s="51" t="s">
        <v>6724</v>
      </c>
      <c r="K1862" s="15">
        <v>0</v>
      </c>
      <c r="L1862" s="51" t="s">
        <v>2371</v>
      </c>
      <c r="M1862" s="51" t="s">
        <v>9345</v>
      </c>
      <c r="N1862" s="51" t="s">
        <v>1340</v>
      </c>
      <c r="O1862" s="51" t="s">
        <v>67</v>
      </c>
      <c r="P1862" s="51" t="s">
        <v>67</v>
      </c>
      <c r="Q1862" s="45">
        <v>46288.604765243057</v>
      </c>
      <c r="R1862" s="46">
        <v>46307</v>
      </c>
      <c r="S1862" s="46">
        <v>46302</v>
      </c>
      <c r="T1862" s="51" t="s">
        <v>6119</v>
      </c>
      <c r="U1862" s="15"/>
      <c r="V1862" s="15"/>
      <c r="W1862" s="15"/>
      <c r="X1862" s="15"/>
      <c r="Y1862" s="15"/>
      <c r="Z1862" s="15"/>
      <c r="AA1862" s="46"/>
      <c r="AB1862" s="15"/>
      <c r="AC1862" s="15"/>
      <c r="AD1862" s="15"/>
      <c r="AE1862" s="15"/>
      <c r="AF1862" s="15"/>
      <c r="AG1862" s="15"/>
      <c r="AH1862" s="15"/>
      <c r="AI1862" s="46"/>
      <c r="AJ1862" s="51" t="s">
        <v>67</v>
      </c>
      <c r="AK1862" s="51" t="s">
        <v>67</v>
      </c>
      <c r="AL1862" s="15"/>
      <c r="AM1862" s="51" t="s">
        <v>67</v>
      </c>
      <c r="AN1862" s="51" t="s">
        <v>67</v>
      </c>
      <c r="AO1862" s="50" t="s">
        <v>9554</v>
      </c>
    </row>
    <row r="1863" spans="1:41" hidden="1" x14ac:dyDescent="0.25">
      <c r="A1863" s="51" t="s">
        <v>9346</v>
      </c>
      <c r="B1863" s="51" t="s">
        <v>9347</v>
      </c>
      <c r="C1863" s="54" t="s">
        <v>611</v>
      </c>
      <c r="D1863" s="51" t="s">
        <v>9348</v>
      </c>
      <c r="E1863" s="20">
        <v>10000</v>
      </c>
      <c r="F1863" s="20">
        <v>350.11</v>
      </c>
      <c r="G1863" s="20">
        <v>17994.87</v>
      </c>
      <c r="H1863" s="20">
        <v>3385.57</v>
      </c>
      <c r="I1863" s="20">
        <v>350.11</v>
      </c>
      <c r="J1863" s="51" t="s">
        <v>6724</v>
      </c>
      <c r="K1863" s="15">
        <v>0</v>
      </c>
      <c r="L1863" s="51" t="s">
        <v>2371</v>
      </c>
      <c r="M1863" s="51" t="s">
        <v>9349</v>
      </c>
      <c r="N1863" s="51" t="s">
        <v>1340</v>
      </c>
      <c r="O1863" s="51" t="s">
        <v>67</v>
      </c>
      <c r="P1863" s="51" t="s">
        <v>67</v>
      </c>
      <c r="Q1863" s="45">
        <v>46288.604770196762</v>
      </c>
      <c r="R1863" s="46">
        <v>46320</v>
      </c>
      <c r="S1863" s="46">
        <v>46315</v>
      </c>
      <c r="T1863" s="51" t="s">
        <v>6119</v>
      </c>
      <c r="U1863" s="15"/>
      <c r="V1863" s="15"/>
      <c r="W1863" s="15"/>
      <c r="X1863" s="15"/>
      <c r="Y1863" s="15"/>
      <c r="Z1863" s="15"/>
      <c r="AA1863" s="46"/>
      <c r="AB1863" s="15"/>
      <c r="AC1863" s="15"/>
      <c r="AD1863" s="15"/>
      <c r="AE1863" s="15"/>
      <c r="AF1863" s="15"/>
      <c r="AG1863" s="15"/>
      <c r="AH1863" s="15"/>
      <c r="AI1863" s="46"/>
      <c r="AJ1863" s="51" t="s">
        <v>67</v>
      </c>
      <c r="AK1863" s="51" t="s">
        <v>67</v>
      </c>
      <c r="AL1863" s="15"/>
      <c r="AM1863" s="51" t="s">
        <v>67</v>
      </c>
      <c r="AN1863" s="51" t="s">
        <v>67</v>
      </c>
      <c r="AO1863" s="50" t="s">
        <v>9554</v>
      </c>
    </row>
    <row r="1864" spans="1:41" hidden="1" x14ac:dyDescent="0.25">
      <c r="A1864" s="51" t="s">
        <v>9350</v>
      </c>
      <c r="B1864" s="51" t="s">
        <v>9351</v>
      </c>
      <c r="C1864" s="54" t="s">
        <v>611</v>
      </c>
      <c r="D1864" s="51" t="s">
        <v>9352</v>
      </c>
      <c r="E1864" s="20">
        <v>10000</v>
      </c>
      <c r="F1864" s="20">
        <v>467.95</v>
      </c>
      <c r="G1864" s="20">
        <v>6865.31</v>
      </c>
      <c r="H1864" s="20">
        <v>5703.39</v>
      </c>
      <c r="I1864" s="20">
        <v>467.95</v>
      </c>
      <c r="J1864" s="51" t="s">
        <v>6724</v>
      </c>
      <c r="K1864" s="15">
        <v>0</v>
      </c>
      <c r="L1864" s="51" t="s">
        <v>2371</v>
      </c>
      <c r="M1864" s="51" t="s">
        <v>9353</v>
      </c>
      <c r="N1864" s="51" t="s">
        <v>1340</v>
      </c>
      <c r="O1864" s="51" t="s">
        <v>9354</v>
      </c>
      <c r="P1864" s="51" t="s">
        <v>1340</v>
      </c>
      <c r="Q1864" s="45">
        <v>46288.604774583335</v>
      </c>
      <c r="R1864" s="46">
        <v>46320</v>
      </c>
      <c r="S1864" s="46">
        <v>46315</v>
      </c>
      <c r="T1864" s="51" t="s">
        <v>6119</v>
      </c>
      <c r="U1864" s="15"/>
      <c r="V1864" s="15"/>
      <c r="W1864" s="15"/>
      <c r="X1864" s="15"/>
      <c r="Y1864" s="15"/>
      <c r="Z1864" s="15"/>
      <c r="AA1864" s="46"/>
      <c r="AB1864" s="15"/>
      <c r="AC1864" s="15"/>
      <c r="AD1864" s="15"/>
      <c r="AE1864" s="15"/>
      <c r="AF1864" s="15"/>
      <c r="AG1864" s="15"/>
      <c r="AH1864" s="15"/>
      <c r="AI1864" s="46"/>
      <c r="AJ1864" s="51" t="s">
        <v>67</v>
      </c>
      <c r="AK1864" s="51" t="s">
        <v>67</v>
      </c>
      <c r="AL1864" s="15"/>
      <c r="AM1864" s="51" t="s">
        <v>67</v>
      </c>
      <c r="AN1864" s="51" t="s">
        <v>67</v>
      </c>
      <c r="AO1864" s="50" t="s">
        <v>9554</v>
      </c>
    </row>
    <row r="1865" spans="1:41" hidden="1" x14ac:dyDescent="0.25">
      <c r="A1865" s="51" t="s">
        <v>9355</v>
      </c>
      <c r="B1865" s="51" t="s">
        <v>9356</v>
      </c>
      <c r="C1865" s="54" t="s">
        <v>2693</v>
      </c>
      <c r="D1865" s="51" t="s">
        <v>9357</v>
      </c>
      <c r="E1865" s="20">
        <v>10000</v>
      </c>
      <c r="F1865" s="20">
        <v>365.43</v>
      </c>
      <c r="G1865" s="20">
        <v>14298.97</v>
      </c>
      <c r="H1865" s="20">
        <v>323.82</v>
      </c>
      <c r="I1865" s="20">
        <v>365.43</v>
      </c>
      <c r="J1865" s="51" t="s">
        <v>6724</v>
      </c>
      <c r="K1865" s="15">
        <v>0</v>
      </c>
      <c r="L1865" s="51" t="s">
        <v>2371</v>
      </c>
      <c r="M1865" s="51" t="s">
        <v>67</v>
      </c>
      <c r="N1865" s="51" t="s">
        <v>67</v>
      </c>
      <c r="O1865" s="51" t="s">
        <v>9358</v>
      </c>
      <c r="P1865" s="51" t="s">
        <v>1340</v>
      </c>
      <c r="Q1865" s="45">
        <v>46288.604780081019</v>
      </c>
      <c r="R1865" s="46">
        <v>46314</v>
      </c>
      <c r="S1865" s="46">
        <v>46309</v>
      </c>
      <c r="T1865" s="51" t="s">
        <v>6119</v>
      </c>
      <c r="U1865" s="15"/>
      <c r="V1865" s="15"/>
      <c r="W1865" s="15"/>
      <c r="X1865" s="15"/>
      <c r="Y1865" s="15"/>
      <c r="Z1865" s="15"/>
      <c r="AA1865" s="46"/>
      <c r="AB1865" s="15"/>
      <c r="AC1865" s="15"/>
      <c r="AD1865" s="15"/>
      <c r="AE1865" s="15"/>
      <c r="AF1865" s="15"/>
      <c r="AG1865" s="15"/>
      <c r="AH1865" s="15"/>
      <c r="AI1865" s="46"/>
      <c r="AJ1865" s="51" t="s">
        <v>67</v>
      </c>
      <c r="AK1865" s="51" t="s">
        <v>67</v>
      </c>
      <c r="AL1865" s="15"/>
      <c r="AM1865" s="51" t="s">
        <v>67</v>
      </c>
      <c r="AN1865" s="51" t="s">
        <v>67</v>
      </c>
      <c r="AO1865" s="50" t="s">
        <v>9554</v>
      </c>
    </row>
    <row r="1866" spans="1:41" hidden="1" x14ac:dyDescent="0.25">
      <c r="A1866" s="51" t="s">
        <v>9359</v>
      </c>
      <c r="B1866" s="51" t="s">
        <v>9360</v>
      </c>
      <c r="C1866" s="54" t="s">
        <v>2358</v>
      </c>
      <c r="D1866" s="51" t="s">
        <v>9361</v>
      </c>
      <c r="E1866" s="20">
        <v>10000</v>
      </c>
      <c r="F1866" s="20">
        <v>481.81</v>
      </c>
      <c r="G1866" s="20">
        <v>10370.23</v>
      </c>
      <c r="H1866" s="20">
        <v>4040.58</v>
      </c>
      <c r="I1866" s="20">
        <v>481.81</v>
      </c>
      <c r="J1866" s="51" t="s">
        <v>6724</v>
      </c>
      <c r="K1866" s="15">
        <v>0</v>
      </c>
      <c r="L1866" s="51" t="s">
        <v>2371</v>
      </c>
      <c r="M1866" s="51" t="s">
        <v>9362</v>
      </c>
      <c r="N1866" s="51" t="s">
        <v>1340</v>
      </c>
      <c r="O1866" s="51" t="s">
        <v>9363</v>
      </c>
      <c r="P1866" s="51" t="s">
        <v>1340</v>
      </c>
      <c r="Q1866" s="45">
        <v>46288.604784907409</v>
      </c>
      <c r="R1866" s="46">
        <v>46309</v>
      </c>
      <c r="S1866" s="46">
        <v>46304</v>
      </c>
      <c r="T1866" s="51" t="s">
        <v>6119</v>
      </c>
      <c r="U1866" s="15"/>
      <c r="V1866" s="15"/>
      <c r="W1866" s="15"/>
      <c r="X1866" s="15"/>
      <c r="Y1866" s="15"/>
      <c r="Z1866" s="15"/>
      <c r="AA1866" s="46"/>
      <c r="AB1866" s="15"/>
      <c r="AC1866" s="15"/>
      <c r="AD1866" s="15"/>
      <c r="AE1866" s="15"/>
      <c r="AF1866" s="15"/>
      <c r="AG1866" s="15"/>
      <c r="AH1866" s="15"/>
      <c r="AI1866" s="46"/>
      <c r="AJ1866" s="51" t="s">
        <v>67</v>
      </c>
      <c r="AK1866" s="51" t="s">
        <v>67</v>
      </c>
      <c r="AL1866" s="15"/>
      <c r="AM1866" s="51" t="s">
        <v>67</v>
      </c>
      <c r="AN1866" s="51" t="s">
        <v>67</v>
      </c>
      <c r="AO1866" s="50" t="s">
        <v>9554</v>
      </c>
    </row>
    <row r="1867" spans="1:41" hidden="1" x14ac:dyDescent="0.25">
      <c r="A1867" s="51" t="s">
        <v>9364</v>
      </c>
      <c r="B1867" s="51" t="s">
        <v>9365</v>
      </c>
      <c r="C1867" s="54" t="s">
        <v>611</v>
      </c>
      <c r="D1867" s="51" t="s">
        <v>9366</v>
      </c>
      <c r="E1867" s="20">
        <v>10000</v>
      </c>
      <c r="F1867" s="20">
        <v>1413.98</v>
      </c>
      <c r="G1867" s="20">
        <v>12042.98</v>
      </c>
      <c r="H1867" s="20">
        <v>669.73</v>
      </c>
      <c r="I1867" s="20">
        <v>1413.98</v>
      </c>
      <c r="J1867" s="51" t="s">
        <v>6724</v>
      </c>
      <c r="K1867" s="15">
        <v>0</v>
      </c>
      <c r="L1867" s="51" t="s">
        <v>2371</v>
      </c>
      <c r="M1867" s="51" t="s">
        <v>9367</v>
      </c>
      <c r="N1867" s="51" t="s">
        <v>1340</v>
      </c>
      <c r="O1867" s="51" t="s">
        <v>67</v>
      </c>
      <c r="P1867" s="51" t="s">
        <v>67</v>
      </c>
      <c r="Q1867" s="45">
        <v>46288.60479109954</v>
      </c>
      <c r="R1867" s="46">
        <v>46320</v>
      </c>
      <c r="S1867" s="46">
        <v>46315</v>
      </c>
      <c r="T1867" s="51" t="s">
        <v>6119</v>
      </c>
      <c r="U1867" s="15"/>
      <c r="V1867" s="15"/>
      <c r="W1867" s="15"/>
      <c r="X1867" s="15"/>
      <c r="Y1867" s="15"/>
      <c r="Z1867" s="15"/>
      <c r="AA1867" s="46"/>
      <c r="AB1867" s="15"/>
      <c r="AC1867" s="15"/>
      <c r="AD1867" s="15"/>
      <c r="AE1867" s="15"/>
      <c r="AF1867" s="15"/>
      <c r="AG1867" s="15"/>
      <c r="AH1867" s="15"/>
      <c r="AI1867" s="46"/>
      <c r="AJ1867" s="51" t="s">
        <v>67</v>
      </c>
      <c r="AK1867" s="51" t="s">
        <v>67</v>
      </c>
      <c r="AL1867" s="15"/>
      <c r="AM1867" s="51" t="s">
        <v>67</v>
      </c>
      <c r="AN1867" s="51" t="s">
        <v>67</v>
      </c>
      <c r="AO1867" s="50" t="s">
        <v>9554</v>
      </c>
    </row>
    <row r="1868" spans="1:41" hidden="1" x14ac:dyDescent="0.25">
      <c r="A1868" s="51" t="s">
        <v>9368</v>
      </c>
      <c r="B1868" s="51" t="s">
        <v>9369</v>
      </c>
      <c r="C1868" s="54" t="s">
        <v>5605</v>
      </c>
      <c r="D1868" s="51" t="s">
        <v>9370</v>
      </c>
      <c r="E1868" s="20">
        <v>10000</v>
      </c>
      <c r="F1868" s="20">
        <v>0</v>
      </c>
      <c r="G1868" s="20">
        <v>11160.27</v>
      </c>
      <c r="H1868" s="20">
        <v>2851.68</v>
      </c>
      <c r="I1868" s="20">
        <v>1424.78</v>
      </c>
      <c r="J1868" s="51" t="s">
        <v>6726</v>
      </c>
      <c r="K1868" s="15">
        <v>0</v>
      </c>
      <c r="L1868" s="51" t="s">
        <v>2371</v>
      </c>
      <c r="M1868" s="51" t="s">
        <v>67</v>
      </c>
      <c r="N1868" s="51" t="s">
        <v>67</v>
      </c>
      <c r="O1868" s="51" t="s">
        <v>9371</v>
      </c>
      <c r="P1868" s="51" t="s">
        <v>1340</v>
      </c>
      <c r="Q1868" s="45">
        <v>46288.604796701387</v>
      </c>
      <c r="R1868" s="46">
        <v>46323</v>
      </c>
      <c r="S1868" s="46">
        <v>46318</v>
      </c>
      <c r="T1868" s="51" t="s">
        <v>6119</v>
      </c>
      <c r="U1868" s="15"/>
      <c r="V1868" s="15"/>
      <c r="W1868" s="15"/>
      <c r="X1868" s="15"/>
      <c r="Y1868" s="15"/>
      <c r="Z1868" s="15"/>
      <c r="AA1868" s="46"/>
      <c r="AB1868" s="15"/>
      <c r="AC1868" s="15"/>
      <c r="AD1868" s="15"/>
      <c r="AE1868" s="15"/>
      <c r="AF1868" s="15"/>
      <c r="AG1868" s="15"/>
      <c r="AH1868" s="15"/>
      <c r="AI1868" s="46"/>
      <c r="AJ1868" s="51" t="s">
        <v>67</v>
      </c>
      <c r="AK1868" s="51" t="s">
        <v>67</v>
      </c>
      <c r="AL1868" s="15"/>
      <c r="AM1868" s="51" t="s">
        <v>67</v>
      </c>
      <c r="AN1868" s="51" t="s">
        <v>67</v>
      </c>
      <c r="AO1868" s="50" t="s">
        <v>9554</v>
      </c>
    </row>
    <row r="1869" spans="1:41" hidden="1" x14ac:dyDescent="0.25">
      <c r="A1869" s="51" t="s">
        <v>9372</v>
      </c>
      <c r="B1869" s="51" t="s">
        <v>9373</v>
      </c>
      <c r="C1869" s="54" t="s">
        <v>2692</v>
      </c>
      <c r="D1869" s="51" t="s">
        <v>9374</v>
      </c>
      <c r="E1869" s="20">
        <v>10000</v>
      </c>
      <c r="F1869" s="20">
        <v>441.3</v>
      </c>
      <c r="G1869" s="20">
        <v>3834.5</v>
      </c>
      <c r="H1869" s="20">
        <v>2231.4699999999998</v>
      </c>
      <c r="I1869" s="20">
        <v>441.3</v>
      </c>
      <c r="J1869" s="51" t="s">
        <v>6724</v>
      </c>
      <c r="K1869" s="15">
        <v>0</v>
      </c>
      <c r="L1869" s="51" t="s">
        <v>2371</v>
      </c>
      <c r="M1869" s="51" t="s">
        <v>9375</v>
      </c>
      <c r="N1869" s="51" t="s">
        <v>1340</v>
      </c>
      <c r="O1869" s="51" t="s">
        <v>67</v>
      </c>
      <c r="P1869" s="51" t="s">
        <v>67</v>
      </c>
      <c r="Q1869" s="45">
        <v>46288.604815914354</v>
      </c>
      <c r="R1869" s="46">
        <v>46296</v>
      </c>
      <c r="S1869" s="46">
        <v>46291</v>
      </c>
      <c r="T1869" s="51" t="s">
        <v>6119</v>
      </c>
      <c r="U1869" s="15"/>
      <c r="V1869" s="15"/>
      <c r="W1869" s="15"/>
      <c r="X1869" s="15"/>
      <c r="Y1869" s="15"/>
      <c r="Z1869" s="15"/>
      <c r="AA1869" s="46"/>
      <c r="AB1869" s="15"/>
      <c r="AC1869" s="15"/>
      <c r="AD1869" s="15"/>
      <c r="AE1869" s="15"/>
      <c r="AF1869" s="15"/>
      <c r="AG1869" s="15"/>
      <c r="AH1869" s="15"/>
      <c r="AI1869" s="46"/>
      <c r="AJ1869" s="51" t="s">
        <v>67</v>
      </c>
      <c r="AK1869" s="51" t="s">
        <v>67</v>
      </c>
      <c r="AL1869" s="15"/>
      <c r="AM1869" s="51" t="s">
        <v>67</v>
      </c>
      <c r="AN1869" s="51" t="s">
        <v>67</v>
      </c>
      <c r="AO1869" s="50" t="s">
        <v>9554</v>
      </c>
    </row>
    <row r="1870" spans="1:41" hidden="1" x14ac:dyDescent="0.25">
      <c r="A1870" s="51" t="s">
        <v>9376</v>
      </c>
      <c r="B1870" s="51" t="s">
        <v>9377</v>
      </c>
      <c r="C1870" s="54" t="s">
        <v>2689</v>
      </c>
      <c r="D1870" s="51" t="s">
        <v>9378</v>
      </c>
      <c r="E1870" s="20">
        <v>10000</v>
      </c>
      <c r="F1870" s="20">
        <v>659.91</v>
      </c>
      <c r="G1870" s="20">
        <v>15119.48</v>
      </c>
      <c r="H1870" s="20">
        <v>666.3</v>
      </c>
      <c r="I1870" s="20">
        <v>164.48</v>
      </c>
      <c r="J1870" s="51" t="s">
        <v>6724</v>
      </c>
      <c r="K1870" s="15">
        <v>0</v>
      </c>
      <c r="L1870" s="51" t="s">
        <v>2371</v>
      </c>
      <c r="M1870" s="51" t="s">
        <v>9379</v>
      </c>
      <c r="N1870" s="51" t="s">
        <v>1344</v>
      </c>
      <c r="O1870" s="51" t="s">
        <v>67</v>
      </c>
      <c r="P1870" s="51" t="s">
        <v>67</v>
      </c>
      <c r="Q1870" s="45">
        <v>46288.604832986108</v>
      </c>
      <c r="R1870" s="46">
        <v>46317</v>
      </c>
      <c r="S1870" s="46">
        <v>46312</v>
      </c>
      <c r="T1870" s="51" t="s">
        <v>6119</v>
      </c>
      <c r="U1870" s="15"/>
      <c r="V1870" s="15"/>
      <c r="W1870" s="15"/>
      <c r="X1870" s="15"/>
      <c r="Y1870" s="15"/>
      <c r="Z1870" s="15"/>
      <c r="AA1870" s="46"/>
      <c r="AB1870" s="15"/>
      <c r="AC1870" s="15"/>
      <c r="AD1870" s="15"/>
      <c r="AE1870" s="15"/>
      <c r="AF1870" s="15"/>
      <c r="AG1870" s="15"/>
      <c r="AH1870" s="15"/>
      <c r="AI1870" s="46"/>
      <c r="AJ1870" s="51" t="s">
        <v>67</v>
      </c>
      <c r="AK1870" s="51" t="s">
        <v>67</v>
      </c>
      <c r="AL1870" s="15"/>
      <c r="AM1870" s="51" t="s">
        <v>67</v>
      </c>
      <c r="AN1870" s="51" t="s">
        <v>67</v>
      </c>
      <c r="AO1870" s="50" t="s">
        <v>9554</v>
      </c>
    </row>
    <row r="1871" spans="1:41" hidden="1" x14ac:dyDescent="0.25">
      <c r="A1871" s="51" t="s">
        <v>9380</v>
      </c>
      <c r="B1871" s="51" t="s">
        <v>9381</v>
      </c>
      <c r="C1871" s="54" t="s">
        <v>2356</v>
      </c>
      <c r="D1871" s="51" t="s">
        <v>9382</v>
      </c>
      <c r="E1871" s="20">
        <v>10000</v>
      </c>
      <c r="F1871" s="20">
        <v>4726.13</v>
      </c>
      <c r="G1871" s="20">
        <v>12902.76</v>
      </c>
      <c r="H1871" s="20">
        <v>6012.41</v>
      </c>
      <c r="I1871" s="20">
        <v>4726.13</v>
      </c>
      <c r="J1871" s="51" t="s">
        <v>6724</v>
      </c>
      <c r="K1871" s="15">
        <v>0</v>
      </c>
      <c r="L1871" s="51" t="s">
        <v>2371</v>
      </c>
      <c r="M1871" s="51" t="s">
        <v>9383</v>
      </c>
      <c r="N1871" s="51" t="s">
        <v>1344</v>
      </c>
      <c r="O1871" s="51" t="s">
        <v>67</v>
      </c>
      <c r="P1871" s="51" t="s">
        <v>67</v>
      </c>
      <c r="Q1871" s="45">
        <v>46288.604840902779</v>
      </c>
      <c r="R1871" s="46">
        <v>46307</v>
      </c>
      <c r="S1871" s="46">
        <v>46302</v>
      </c>
      <c r="T1871" s="51" t="s">
        <v>6119</v>
      </c>
      <c r="U1871" s="15"/>
      <c r="V1871" s="15"/>
      <c r="W1871" s="15"/>
      <c r="X1871" s="15"/>
      <c r="Y1871" s="15"/>
      <c r="Z1871" s="15"/>
      <c r="AA1871" s="46"/>
      <c r="AB1871" s="15"/>
      <c r="AC1871" s="15"/>
      <c r="AD1871" s="15"/>
      <c r="AE1871" s="15"/>
      <c r="AF1871" s="15"/>
      <c r="AG1871" s="15"/>
      <c r="AH1871" s="15"/>
      <c r="AI1871" s="46"/>
      <c r="AJ1871" s="51" t="s">
        <v>67</v>
      </c>
      <c r="AK1871" s="51" t="s">
        <v>67</v>
      </c>
      <c r="AL1871" s="15"/>
      <c r="AM1871" s="51" t="s">
        <v>67</v>
      </c>
      <c r="AN1871" s="51" t="s">
        <v>67</v>
      </c>
      <c r="AO1871" s="50" t="s">
        <v>9554</v>
      </c>
    </row>
    <row r="1872" spans="1:41" hidden="1" x14ac:dyDescent="0.25">
      <c r="A1872" s="51" t="s">
        <v>9384</v>
      </c>
      <c r="B1872" s="51" t="s">
        <v>9385</v>
      </c>
      <c r="C1872" s="54" t="s">
        <v>2689</v>
      </c>
      <c r="D1872" s="51" t="s">
        <v>9386</v>
      </c>
      <c r="E1872" s="20">
        <v>10000</v>
      </c>
      <c r="F1872" s="20">
        <v>395.45</v>
      </c>
      <c r="G1872" s="20">
        <v>20552.37</v>
      </c>
      <c r="H1872" s="20">
        <v>525.65</v>
      </c>
      <c r="I1872" s="20">
        <v>236.52</v>
      </c>
      <c r="J1872" s="51" t="s">
        <v>6724</v>
      </c>
      <c r="K1872" s="15">
        <v>0</v>
      </c>
      <c r="L1872" s="51" t="s">
        <v>2371</v>
      </c>
      <c r="M1872" s="51" t="s">
        <v>67</v>
      </c>
      <c r="N1872" s="51" t="s">
        <v>67</v>
      </c>
      <c r="O1872" s="51" t="s">
        <v>9387</v>
      </c>
      <c r="P1872" s="51" t="s">
        <v>1340</v>
      </c>
      <c r="Q1872" s="45">
        <v>46288.604846759263</v>
      </c>
      <c r="R1872" s="46">
        <v>46317</v>
      </c>
      <c r="S1872" s="46">
        <v>46312</v>
      </c>
      <c r="T1872" s="51" t="s">
        <v>6119</v>
      </c>
      <c r="U1872" s="15"/>
      <c r="V1872" s="15"/>
      <c r="W1872" s="15"/>
      <c r="X1872" s="15"/>
      <c r="Y1872" s="15"/>
      <c r="Z1872" s="15"/>
      <c r="AA1872" s="46"/>
      <c r="AB1872" s="15"/>
      <c r="AC1872" s="15"/>
      <c r="AD1872" s="15"/>
      <c r="AE1872" s="15"/>
      <c r="AF1872" s="15"/>
      <c r="AG1872" s="15"/>
      <c r="AH1872" s="15"/>
      <c r="AI1872" s="46"/>
      <c r="AJ1872" s="51" t="s">
        <v>67</v>
      </c>
      <c r="AK1872" s="51" t="s">
        <v>67</v>
      </c>
      <c r="AL1872" s="15"/>
      <c r="AM1872" s="51" t="s">
        <v>67</v>
      </c>
      <c r="AN1872" s="51" t="s">
        <v>67</v>
      </c>
      <c r="AO1872" s="50" t="s">
        <v>9554</v>
      </c>
    </row>
    <row r="1873" spans="1:41" hidden="1" x14ac:dyDescent="0.25">
      <c r="A1873" s="51" t="s">
        <v>9388</v>
      </c>
      <c r="B1873" s="51" t="s">
        <v>9389</v>
      </c>
      <c r="C1873" s="54" t="s">
        <v>2356</v>
      </c>
      <c r="D1873" s="51" t="s">
        <v>5929</v>
      </c>
      <c r="E1873" s="20">
        <v>10000</v>
      </c>
      <c r="F1873" s="20">
        <v>935.97</v>
      </c>
      <c r="G1873" s="20">
        <v>18026.740000000002</v>
      </c>
      <c r="H1873" s="20">
        <v>779.64</v>
      </c>
      <c r="I1873" s="20">
        <v>935.97</v>
      </c>
      <c r="J1873" s="51" t="s">
        <v>6724</v>
      </c>
      <c r="K1873" s="15">
        <v>0</v>
      </c>
      <c r="L1873" s="51" t="s">
        <v>2371</v>
      </c>
      <c r="M1873" s="51" t="s">
        <v>9390</v>
      </c>
      <c r="N1873" s="51" t="s">
        <v>1340</v>
      </c>
      <c r="O1873" s="51" t="s">
        <v>67</v>
      </c>
      <c r="P1873" s="51" t="s">
        <v>67</v>
      </c>
      <c r="Q1873" s="45">
        <v>46288.604852997683</v>
      </c>
      <c r="R1873" s="46">
        <v>46307</v>
      </c>
      <c r="S1873" s="46">
        <v>46302</v>
      </c>
      <c r="T1873" s="51" t="s">
        <v>6119</v>
      </c>
      <c r="U1873" s="15"/>
      <c r="V1873" s="15"/>
      <c r="W1873" s="15"/>
      <c r="X1873" s="15"/>
      <c r="Y1873" s="15"/>
      <c r="Z1873" s="15"/>
      <c r="AA1873" s="46"/>
      <c r="AB1873" s="15"/>
      <c r="AC1873" s="15"/>
      <c r="AD1873" s="15"/>
      <c r="AE1873" s="15"/>
      <c r="AF1873" s="15"/>
      <c r="AG1873" s="15"/>
      <c r="AH1873" s="15"/>
      <c r="AI1873" s="46"/>
      <c r="AJ1873" s="51" t="s">
        <v>67</v>
      </c>
      <c r="AK1873" s="51" t="s">
        <v>67</v>
      </c>
      <c r="AL1873" s="15"/>
      <c r="AM1873" s="51" t="s">
        <v>67</v>
      </c>
      <c r="AN1873" s="51" t="s">
        <v>67</v>
      </c>
      <c r="AO1873" s="50" t="s">
        <v>9554</v>
      </c>
    </row>
    <row r="1874" spans="1:41" hidden="1" x14ac:dyDescent="0.25">
      <c r="A1874" s="51" t="s">
        <v>9391</v>
      </c>
      <c r="B1874" s="51" t="s">
        <v>9392</v>
      </c>
      <c r="C1874" s="54" t="s">
        <v>608</v>
      </c>
      <c r="D1874" s="51" t="s">
        <v>9393</v>
      </c>
      <c r="E1874" s="20">
        <v>10000</v>
      </c>
      <c r="F1874" s="20">
        <v>519.09</v>
      </c>
      <c r="G1874" s="20">
        <v>7569.52</v>
      </c>
      <c r="H1874" s="20">
        <v>502.64</v>
      </c>
      <c r="I1874" s="20">
        <v>343.66</v>
      </c>
      <c r="J1874" s="51" t="s">
        <v>6724</v>
      </c>
      <c r="K1874" s="15">
        <v>0</v>
      </c>
      <c r="L1874" s="51" t="s">
        <v>2371</v>
      </c>
      <c r="M1874" s="51" t="s">
        <v>67</v>
      </c>
      <c r="N1874" s="51" t="s">
        <v>67</v>
      </c>
      <c r="O1874" s="51" t="s">
        <v>9394</v>
      </c>
      <c r="P1874" s="51" t="s">
        <v>1340</v>
      </c>
      <c r="Q1874" s="45">
        <v>46288.60486201389</v>
      </c>
      <c r="R1874" s="46">
        <v>46315</v>
      </c>
      <c r="S1874" s="46">
        <v>46310</v>
      </c>
      <c r="T1874" s="51" t="s">
        <v>6119</v>
      </c>
      <c r="U1874" s="15"/>
      <c r="V1874" s="15"/>
      <c r="W1874" s="15"/>
      <c r="X1874" s="15"/>
      <c r="Y1874" s="15"/>
      <c r="Z1874" s="15"/>
      <c r="AA1874" s="46"/>
      <c r="AB1874" s="15"/>
      <c r="AC1874" s="15"/>
      <c r="AD1874" s="15"/>
      <c r="AE1874" s="15"/>
      <c r="AF1874" s="15"/>
      <c r="AG1874" s="15"/>
      <c r="AH1874" s="15"/>
      <c r="AI1874" s="46"/>
      <c r="AJ1874" s="51" t="s">
        <v>67</v>
      </c>
      <c r="AK1874" s="51" t="s">
        <v>67</v>
      </c>
      <c r="AL1874" s="15"/>
      <c r="AM1874" s="51" t="s">
        <v>67</v>
      </c>
      <c r="AN1874" s="51" t="s">
        <v>67</v>
      </c>
      <c r="AO1874" s="50" t="s">
        <v>9554</v>
      </c>
    </row>
    <row r="1875" spans="1:41" hidden="1" x14ac:dyDescent="0.25">
      <c r="A1875" s="51" t="s">
        <v>9395</v>
      </c>
      <c r="B1875" s="51" t="s">
        <v>9396</v>
      </c>
      <c r="C1875" s="54" t="s">
        <v>2345</v>
      </c>
      <c r="D1875" s="51" t="s">
        <v>3483</v>
      </c>
      <c r="E1875" s="20">
        <v>10000</v>
      </c>
      <c r="F1875" s="20">
        <v>809.4</v>
      </c>
      <c r="G1875" s="20">
        <v>21110.38</v>
      </c>
      <c r="H1875" s="20">
        <v>1823.02</v>
      </c>
      <c r="I1875" s="20">
        <v>809.4</v>
      </c>
      <c r="J1875" s="51" t="s">
        <v>6724</v>
      </c>
      <c r="K1875" s="15">
        <v>0</v>
      </c>
      <c r="L1875" s="51" t="s">
        <v>2371</v>
      </c>
      <c r="M1875" s="51" t="s">
        <v>9397</v>
      </c>
      <c r="N1875" s="51" t="s">
        <v>1340</v>
      </c>
      <c r="O1875" s="51" t="s">
        <v>9398</v>
      </c>
      <c r="P1875" s="51" t="s">
        <v>1340</v>
      </c>
      <c r="Q1875" s="45">
        <v>46288.604866793983</v>
      </c>
      <c r="R1875" s="46">
        <v>46306</v>
      </c>
      <c r="S1875" s="46">
        <v>46301</v>
      </c>
      <c r="T1875" s="51" t="s">
        <v>6119</v>
      </c>
      <c r="U1875" s="15"/>
      <c r="V1875" s="15"/>
      <c r="W1875" s="15"/>
      <c r="X1875" s="15"/>
      <c r="Y1875" s="15"/>
      <c r="Z1875" s="15"/>
      <c r="AA1875" s="46"/>
      <c r="AB1875" s="15"/>
      <c r="AC1875" s="15"/>
      <c r="AD1875" s="15"/>
      <c r="AE1875" s="15"/>
      <c r="AF1875" s="15"/>
      <c r="AG1875" s="15"/>
      <c r="AH1875" s="15"/>
      <c r="AI1875" s="46"/>
      <c r="AJ1875" s="51" t="s">
        <v>67</v>
      </c>
      <c r="AK1875" s="51" t="s">
        <v>67</v>
      </c>
      <c r="AL1875" s="15"/>
      <c r="AM1875" s="51" t="s">
        <v>67</v>
      </c>
      <c r="AN1875" s="51" t="s">
        <v>67</v>
      </c>
      <c r="AO1875" s="50" t="s">
        <v>9554</v>
      </c>
    </row>
    <row r="1876" spans="1:41" hidden="1" x14ac:dyDescent="0.25">
      <c r="A1876" s="51" t="s">
        <v>9399</v>
      </c>
      <c r="B1876" s="51" t="s">
        <v>9400</v>
      </c>
      <c r="C1876" s="54" t="s">
        <v>5604</v>
      </c>
      <c r="D1876" s="51" t="s">
        <v>9401</v>
      </c>
      <c r="E1876" s="20">
        <v>10000</v>
      </c>
      <c r="F1876" s="20">
        <v>479.4</v>
      </c>
      <c r="G1876" s="20">
        <v>17359.330000000002</v>
      </c>
      <c r="H1876" s="20">
        <v>544.19000000000005</v>
      </c>
      <c r="I1876" s="20">
        <v>479.4</v>
      </c>
      <c r="J1876" s="51" t="s">
        <v>6724</v>
      </c>
      <c r="K1876" s="15">
        <v>0</v>
      </c>
      <c r="L1876" s="51" t="s">
        <v>2371</v>
      </c>
      <c r="M1876" s="51" t="s">
        <v>9402</v>
      </c>
      <c r="N1876" s="51" t="s">
        <v>1340</v>
      </c>
      <c r="O1876" s="51" t="s">
        <v>67</v>
      </c>
      <c r="P1876" s="51" t="s">
        <v>67</v>
      </c>
      <c r="Q1876" s="45">
        <v>46288.604871840274</v>
      </c>
      <c r="R1876" s="46">
        <v>46313</v>
      </c>
      <c r="S1876" s="46">
        <v>46308</v>
      </c>
      <c r="T1876" s="51" t="s">
        <v>6119</v>
      </c>
      <c r="U1876" s="15"/>
      <c r="V1876" s="15"/>
      <c r="W1876" s="15"/>
      <c r="X1876" s="15"/>
      <c r="Y1876" s="15"/>
      <c r="Z1876" s="15"/>
      <c r="AA1876" s="46"/>
      <c r="AB1876" s="15"/>
      <c r="AC1876" s="15"/>
      <c r="AD1876" s="15"/>
      <c r="AE1876" s="15"/>
      <c r="AF1876" s="15"/>
      <c r="AG1876" s="15"/>
      <c r="AH1876" s="15"/>
      <c r="AI1876" s="46"/>
      <c r="AJ1876" s="51" t="s">
        <v>67</v>
      </c>
      <c r="AK1876" s="51" t="s">
        <v>67</v>
      </c>
      <c r="AL1876" s="15"/>
      <c r="AM1876" s="51" t="s">
        <v>67</v>
      </c>
      <c r="AN1876" s="51" t="s">
        <v>67</v>
      </c>
      <c r="AO1876" s="50" t="s">
        <v>9554</v>
      </c>
    </row>
    <row r="1877" spans="1:41" hidden="1" x14ac:dyDescent="0.25">
      <c r="A1877" s="51" t="s">
        <v>9403</v>
      </c>
      <c r="B1877" s="51" t="s">
        <v>9404</v>
      </c>
      <c r="C1877" s="54" t="s">
        <v>611</v>
      </c>
      <c r="D1877" s="51" t="s">
        <v>9405</v>
      </c>
      <c r="E1877" s="20">
        <v>10000</v>
      </c>
      <c r="F1877" s="20">
        <v>648.91999999999996</v>
      </c>
      <c r="G1877" s="20">
        <v>8333.4699999999993</v>
      </c>
      <c r="H1877" s="20">
        <v>924.54</v>
      </c>
      <c r="I1877" s="20">
        <v>648.91999999999996</v>
      </c>
      <c r="J1877" s="51" t="s">
        <v>6724</v>
      </c>
      <c r="K1877" s="15">
        <v>0</v>
      </c>
      <c r="L1877" s="51" t="s">
        <v>2371</v>
      </c>
      <c r="M1877" s="51" t="s">
        <v>9406</v>
      </c>
      <c r="N1877" s="51" t="s">
        <v>1340</v>
      </c>
      <c r="O1877" s="51" t="s">
        <v>67</v>
      </c>
      <c r="P1877" s="51" t="s">
        <v>67</v>
      </c>
      <c r="Q1877" s="45">
        <v>46288.604876608799</v>
      </c>
      <c r="R1877" s="46">
        <v>46320</v>
      </c>
      <c r="S1877" s="46">
        <v>46315</v>
      </c>
      <c r="T1877" s="51" t="s">
        <v>6119</v>
      </c>
      <c r="U1877" s="15"/>
      <c r="V1877" s="15"/>
      <c r="W1877" s="15"/>
      <c r="X1877" s="15"/>
      <c r="Y1877" s="15"/>
      <c r="Z1877" s="15"/>
      <c r="AA1877" s="46"/>
      <c r="AB1877" s="15"/>
      <c r="AC1877" s="15"/>
      <c r="AD1877" s="15"/>
      <c r="AE1877" s="15"/>
      <c r="AF1877" s="15"/>
      <c r="AG1877" s="15"/>
      <c r="AH1877" s="15"/>
      <c r="AI1877" s="46"/>
      <c r="AJ1877" s="51" t="s">
        <v>67</v>
      </c>
      <c r="AK1877" s="51" t="s">
        <v>67</v>
      </c>
      <c r="AL1877" s="15"/>
      <c r="AM1877" s="51" t="s">
        <v>67</v>
      </c>
      <c r="AN1877" s="51" t="s">
        <v>67</v>
      </c>
      <c r="AO1877" s="50" t="s">
        <v>9554</v>
      </c>
    </row>
    <row r="1878" spans="1:41" hidden="1" x14ac:dyDescent="0.25">
      <c r="A1878" s="51" t="s">
        <v>9407</v>
      </c>
      <c r="B1878" s="51" t="s">
        <v>9408</v>
      </c>
      <c r="C1878" s="54" t="s">
        <v>5604</v>
      </c>
      <c r="D1878" s="51" t="s">
        <v>9409</v>
      </c>
      <c r="E1878" s="20">
        <v>10000</v>
      </c>
      <c r="F1878" s="20">
        <v>274.48</v>
      </c>
      <c r="G1878" s="20">
        <v>17875.939999999999</v>
      </c>
      <c r="H1878" s="20">
        <v>777.29</v>
      </c>
      <c r="I1878" s="20">
        <v>274.48</v>
      </c>
      <c r="J1878" s="51" t="s">
        <v>6724</v>
      </c>
      <c r="K1878" s="15">
        <v>0</v>
      </c>
      <c r="L1878" s="51" t="s">
        <v>2371</v>
      </c>
      <c r="M1878" s="51" t="s">
        <v>9410</v>
      </c>
      <c r="N1878" s="51" t="s">
        <v>1340</v>
      </c>
      <c r="O1878" s="51" t="s">
        <v>67</v>
      </c>
      <c r="P1878" s="51" t="s">
        <v>67</v>
      </c>
      <c r="Q1878" s="45">
        <v>46288.604882071762</v>
      </c>
      <c r="R1878" s="46">
        <v>46313</v>
      </c>
      <c r="S1878" s="46">
        <v>46308</v>
      </c>
      <c r="T1878" s="51" t="s">
        <v>6119</v>
      </c>
      <c r="U1878" s="15"/>
      <c r="V1878" s="15"/>
      <c r="W1878" s="15"/>
      <c r="X1878" s="15"/>
      <c r="Y1878" s="15"/>
      <c r="Z1878" s="15"/>
      <c r="AA1878" s="46"/>
      <c r="AB1878" s="15"/>
      <c r="AC1878" s="15"/>
      <c r="AD1878" s="15"/>
      <c r="AE1878" s="15"/>
      <c r="AF1878" s="15"/>
      <c r="AG1878" s="15"/>
      <c r="AH1878" s="15"/>
      <c r="AI1878" s="46"/>
      <c r="AJ1878" s="51" t="s">
        <v>67</v>
      </c>
      <c r="AK1878" s="51" t="s">
        <v>67</v>
      </c>
      <c r="AL1878" s="15"/>
      <c r="AM1878" s="51" t="s">
        <v>67</v>
      </c>
      <c r="AN1878" s="51" t="s">
        <v>67</v>
      </c>
      <c r="AO1878" s="50" t="s">
        <v>9554</v>
      </c>
    </row>
    <row r="1879" spans="1:41" hidden="1" x14ac:dyDescent="0.25">
      <c r="A1879" s="51" t="s">
        <v>9411</v>
      </c>
      <c r="B1879" s="51" t="s">
        <v>9412</v>
      </c>
      <c r="C1879" s="54" t="s">
        <v>5606</v>
      </c>
      <c r="D1879" s="51" t="s">
        <v>9413</v>
      </c>
      <c r="E1879" s="20">
        <v>10000</v>
      </c>
      <c r="F1879" s="20">
        <v>504.54</v>
      </c>
      <c r="G1879" s="20">
        <v>8539.2199999999993</v>
      </c>
      <c r="H1879" s="20">
        <v>2953.7</v>
      </c>
      <c r="I1879" s="20">
        <v>504.54</v>
      </c>
      <c r="J1879" s="51" t="s">
        <v>6724</v>
      </c>
      <c r="K1879" s="15">
        <v>0</v>
      </c>
      <c r="L1879" s="51" t="s">
        <v>2371</v>
      </c>
      <c r="M1879" s="51" t="s">
        <v>9414</v>
      </c>
      <c r="N1879" s="51" t="s">
        <v>1340</v>
      </c>
      <c r="O1879" s="51" t="s">
        <v>67</v>
      </c>
      <c r="P1879" s="51" t="s">
        <v>67</v>
      </c>
      <c r="Q1879" s="45">
        <v>46288.604887245368</v>
      </c>
      <c r="R1879" s="46">
        <v>46297</v>
      </c>
      <c r="S1879" s="46">
        <v>46292</v>
      </c>
      <c r="T1879" s="51" t="s">
        <v>6119</v>
      </c>
      <c r="U1879" s="15"/>
      <c r="V1879" s="15"/>
      <c r="W1879" s="15"/>
      <c r="X1879" s="15"/>
      <c r="Y1879" s="15"/>
      <c r="Z1879" s="15"/>
      <c r="AA1879" s="46"/>
      <c r="AB1879" s="15"/>
      <c r="AC1879" s="15"/>
      <c r="AD1879" s="15"/>
      <c r="AE1879" s="15"/>
      <c r="AF1879" s="15"/>
      <c r="AG1879" s="15"/>
      <c r="AH1879" s="15"/>
      <c r="AI1879" s="46"/>
      <c r="AJ1879" s="51" t="s">
        <v>67</v>
      </c>
      <c r="AK1879" s="51" t="s">
        <v>67</v>
      </c>
      <c r="AL1879" s="15"/>
      <c r="AM1879" s="51" t="s">
        <v>67</v>
      </c>
      <c r="AN1879" s="51" t="s">
        <v>67</v>
      </c>
      <c r="AO1879" s="50" t="s">
        <v>9554</v>
      </c>
    </row>
    <row r="1880" spans="1:41" hidden="1" x14ac:dyDescent="0.25">
      <c r="A1880" s="51" t="s">
        <v>9415</v>
      </c>
      <c r="B1880" s="51" t="s">
        <v>9416</v>
      </c>
      <c r="C1880" s="54" t="s">
        <v>2356</v>
      </c>
      <c r="D1880" s="51" t="s">
        <v>9417</v>
      </c>
      <c r="E1880" s="20">
        <v>10000</v>
      </c>
      <c r="F1880" s="20">
        <v>479.76</v>
      </c>
      <c r="G1880" s="20">
        <v>17893.080000000002</v>
      </c>
      <c r="H1880" s="20">
        <v>919.26</v>
      </c>
      <c r="I1880" s="20">
        <v>479.76</v>
      </c>
      <c r="J1880" s="51" t="s">
        <v>6724</v>
      </c>
      <c r="K1880" s="15">
        <v>0</v>
      </c>
      <c r="L1880" s="51" t="s">
        <v>2371</v>
      </c>
      <c r="M1880" s="51" t="s">
        <v>67</v>
      </c>
      <c r="N1880" s="51" t="s">
        <v>67</v>
      </c>
      <c r="O1880" s="51" t="s">
        <v>9418</v>
      </c>
      <c r="P1880" s="51" t="s">
        <v>1340</v>
      </c>
      <c r="Q1880" s="45">
        <v>46288.604892557873</v>
      </c>
      <c r="R1880" s="46">
        <v>46307</v>
      </c>
      <c r="S1880" s="46">
        <v>46302</v>
      </c>
      <c r="T1880" s="51" t="s">
        <v>6119</v>
      </c>
      <c r="U1880" s="15"/>
      <c r="V1880" s="15"/>
      <c r="W1880" s="15"/>
      <c r="X1880" s="15"/>
      <c r="Y1880" s="15"/>
      <c r="Z1880" s="15"/>
      <c r="AA1880" s="46"/>
      <c r="AB1880" s="15"/>
      <c r="AC1880" s="15"/>
      <c r="AD1880" s="15"/>
      <c r="AE1880" s="15"/>
      <c r="AF1880" s="15"/>
      <c r="AG1880" s="15"/>
      <c r="AH1880" s="15"/>
      <c r="AI1880" s="46"/>
      <c r="AJ1880" s="51" t="s">
        <v>67</v>
      </c>
      <c r="AK1880" s="51" t="s">
        <v>67</v>
      </c>
      <c r="AL1880" s="15"/>
      <c r="AM1880" s="51" t="s">
        <v>67</v>
      </c>
      <c r="AN1880" s="51" t="s">
        <v>67</v>
      </c>
      <c r="AO1880" s="50" t="s">
        <v>9554</v>
      </c>
    </row>
    <row r="1881" spans="1:41" hidden="1" x14ac:dyDescent="0.25">
      <c r="A1881" s="51" t="s">
        <v>9419</v>
      </c>
      <c r="B1881" s="51" t="s">
        <v>9420</v>
      </c>
      <c r="C1881" s="54" t="s">
        <v>5607</v>
      </c>
      <c r="D1881" s="51" t="s">
        <v>9421</v>
      </c>
      <c r="E1881" s="20">
        <v>10000</v>
      </c>
      <c r="F1881" s="20">
        <v>425.3</v>
      </c>
      <c r="G1881" s="20">
        <v>12788.05</v>
      </c>
      <c r="H1881" s="20">
        <v>781.24</v>
      </c>
      <c r="I1881" s="20">
        <v>425.3</v>
      </c>
      <c r="J1881" s="51" t="s">
        <v>6724</v>
      </c>
      <c r="K1881" s="15">
        <v>0</v>
      </c>
      <c r="L1881" s="51" t="s">
        <v>2371</v>
      </c>
      <c r="M1881" s="51" t="s">
        <v>67</v>
      </c>
      <c r="N1881" s="51" t="s">
        <v>67</v>
      </c>
      <c r="O1881" s="51" t="s">
        <v>9422</v>
      </c>
      <c r="P1881" s="51" t="s">
        <v>1344</v>
      </c>
      <c r="Q1881" s="45">
        <v>46288.604907974535</v>
      </c>
      <c r="R1881" s="46">
        <v>46299</v>
      </c>
      <c r="S1881" s="46">
        <v>46294</v>
      </c>
      <c r="T1881" s="51" t="s">
        <v>6119</v>
      </c>
      <c r="U1881" s="15"/>
      <c r="V1881" s="15"/>
      <c r="W1881" s="15"/>
      <c r="X1881" s="15"/>
      <c r="Y1881" s="15"/>
      <c r="Z1881" s="15"/>
      <c r="AA1881" s="46"/>
      <c r="AB1881" s="15"/>
      <c r="AC1881" s="15"/>
      <c r="AD1881" s="15"/>
      <c r="AE1881" s="15"/>
      <c r="AF1881" s="15"/>
      <c r="AG1881" s="15"/>
      <c r="AH1881" s="15"/>
      <c r="AI1881" s="46"/>
      <c r="AJ1881" s="51" t="s">
        <v>67</v>
      </c>
      <c r="AK1881" s="51" t="s">
        <v>67</v>
      </c>
      <c r="AL1881" s="15"/>
      <c r="AM1881" s="51" t="s">
        <v>67</v>
      </c>
      <c r="AN1881" s="51" t="s">
        <v>67</v>
      </c>
      <c r="AO1881" s="50" t="s">
        <v>9554</v>
      </c>
    </row>
    <row r="1882" spans="1:41" hidden="1" x14ac:dyDescent="0.25">
      <c r="A1882" s="51" t="s">
        <v>9423</v>
      </c>
      <c r="B1882" s="51" t="s">
        <v>9424</v>
      </c>
      <c r="C1882" s="54" t="s">
        <v>2358</v>
      </c>
      <c r="D1882" s="51" t="s">
        <v>9425</v>
      </c>
      <c r="E1882" s="20">
        <v>10000</v>
      </c>
      <c r="F1882" s="20">
        <v>5347.31</v>
      </c>
      <c r="G1882" s="20">
        <v>3346.79</v>
      </c>
      <c r="H1882" s="20">
        <v>1708.83</v>
      </c>
      <c r="I1882" s="20">
        <v>5347.31</v>
      </c>
      <c r="J1882" s="51" t="s">
        <v>6724</v>
      </c>
      <c r="K1882" s="15">
        <v>0</v>
      </c>
      <c r="L1882" s="51" t="s">
        <v>2371</v>
      </c>
      <c r="M1882" s="51" t="s">
        <v>9426</v>
      </c>
      <c r="N1882" s="51" t="s">
        <v>1344</v>
      </c>
      <c r="O1882" s="51" t="s">
        <v>67</v>
      </c>
      <c r="P1882" s="51" t="s">
        <v>67</v>
      </c>
      <c r="Q1882" s="45">
        <v>46288.604922812498</v>
      </c>
      <c r="R1882" s="46">
        <v>46309</v>
      </c>
      <c r="S1882" s="46">
        <v>46304</v>
      </c>
      <c r="T1882" s="51" t="s">
        <v>6119</v>
      </c>
      <c r="U1882" s="15"/>
      <c r="V1882" s="15"/>
      <c r="W1882" s="15"/>
      <c r="X1882" s="15"/>
      <c r="Y1882" s="15"/>
      <c r="Z1882" s="15"/>
      <c r="AA1882" s="46"/>
      <c r="AB1882" s="15"/>
      <c r="AC1882" s="15"/>
      <c r="AD1882" s="15"/>
      <c r="AE1882" s="15"/>
      <c r="AF1882" s="15"/>
      <c r="AG1882" s="15"/>
      <c r="AH1882" s="15"/>
      <c r="AI1882" s="46"/>
      <c r="AJ1882" s="51" t="s">
        <v>67</v>
      </c>
      <c r="AK1882" s="51" t="s">
        <v>67</v>
      </c>
      <c r="AL1882" s="15"/>
      <c r="AM1882" s="51" t="s">
        <v>67</v>
      </c>
      <c r="AN1882" s="51" t="s">
        <v>67</v>
      </c>
      <c r="AO1882" s="50" t="s">
        <v>9554</v>
      </c>
    </row>
    <row r="1883" spans="1:41" hidden="1" x14ac:dyDescent="0.25">
      <c r="A1883" s="51" t="s">
        <v>9427</v>
      </c>
      <c r="B1883" s="51" t="s">
        <v>9428</v>
      </c>
      <c r="C1883" s="54" t="s">
        <v>2693</v>
      </c>
      <c r="D1883" s="51" t="s">
        <v>9429</v>
      </c>
      <c r="E1883" s="20">
        <v>10000</v>
      </c>
      <c r="F1883" s="20">
        <v>478.83</v>
      </c>
      <c r="G1883" s="20">
        <v>12124.93</v>
      </c>
      <c r="H1883" s="20">
        <v>729.85</v>
      </c>
      <c r="I1883" s="20">
        <v>478.83</v>
      </c>
      <c r="J1883" s="51" t="s">
        <v>6724</v>
      </c>
      <c r="K1883" s="15">
        <v>0</v>
      </c>
      <c r="L1883" s="51" t="s">
        <v>2371</v>
      </c>
      <c r="M1883" s="51" t="s">
        <v>9430</v>
      </c>
      <c r="N1883" s="51" t="s">
        <v>1340</v>
      </c>
      <c r="O1883" s="51" t="s">
        <v>67</v>
      </c>
      <c r="P1883" s="51" t="s">
        <v>67</v>
      </c>
      <c r="Q1883" s="45">
        <v>46288.604932407405</v>
      </c>
      <c r="R1883" s="46">
        <v>46314</v>
      </c>
      <c r="S1883" s="46">
        <v>46309</v>
      </c>
      <c r="T1883" s="51" t="s">
        <v>6119</v>
      </c>
      <c r="U1883" s="15"/>
      <c r="V1883" s="15"/>
      <c r="W1883" s="15"/>
      <c r="X1883" s="15"/>
      <c r="Y1883" s="15"/>
      <c r="Z1883" s="15"/>
      <c r="AA1883" s="46"/>
      <c r="AB1883" s="15"/>
      <c r="AC1883" s="15"/>
      <c r="AD1883" s="15"/>
      <c r="AE1883" s="15"/>
      <c r="AF1883" s="15"/>
      <c r="AG1883" s="15"/>
      <c r="AH1883" s="15"/>
      <c r="AI1883" s="46"/>
      <c r="AJ1883" s="51" t="s">
        <v>67</v>
      </c>
      <c r="AK1883" s="51" t="s">
        <v>67</v>
      </c>
      <c r="AL1883" s="15"/>
      <c r="AM1883" s="51" t="s">
        <v>67</v>
      </c>
      <c r="AN1883" s="51" t="s">
        <v>67</v>
      </c>
      <c r="AO1883" s="50" t="s">
        <v>9554</v>
      </c>
    </row>
    <row r="1884" spans="1:41" hidden="1" x14ac:dyDescent="0.25">
      <c r="A1884" s="51" t="s">
        <v>9431</v>
      </c>
      <c r="B1884" s="51" t="s">
        <v>9432</v>
      </c>
      <c r="C1884" s="54" t="s">
        <v>5599</v>
      </c>
      <c r="D1884" s="51" t="s">
        <v>9433</v>
      </c>
      <c r="E1884" s="20">
        <v>10000</v>
      </c>
      <c r="F1884" s="20">
        <v>1375.15</v>
      </c>
      <c r="G1884" s="20">
        <v>10488.93</v>
      </c>
      <c r="H1884" s="20">
        <v>3002.19</v>
      </c>
      <c r="I1884" s="20">
        <v>1375.15</v>
      </c>
      <c r="J1884" s="51" t="s">
        <v>6724</v>
      </c>
      <c r="K1884" s="15">
        <v>0</v>
      </c>
      <c r="L1884" s="51" t="s">
        <v>2371</v>
      </c>
      <c r="M1884" s="51" t="s">
        <v>9434</v>
      </c>
      <c r="N1884" s="51" t="s">
        <v>1340</v>
      </c>
      <c r="O1884" s="51" t="s">
        <v>9435</v>
      </c>
      <c r="P1884" s="51" t="s">
        <v>1340</v>
      </c>
      <c r="Q1884" s="45">
        <v>46288.604940011573</v>
      </c>
      <c r="R1884" s="46">
        <v>46302</v>
      </c>
      <c r="S1884" s="46">
        <v>46297</v>
      </c>
      <c r="T1884" s="51" t="s">
        <v>6119</v>
      </c>
      <c r="U1884" s="15"/>
      <c r="V1884" s="15"/>
      <c r="W1884" s="15"/>
      <c r="X1884" s="15"/>
      <c r="Y1884" s="15"/>
      <c r="Z1884" s="15"/>
      <c r="AA1884" s="46"/>
      <c r="AB1884" s="15"/>
      <c r="AC1884" s="15"/>
      <c r="AD1884" s="15"/>
      <c r="AE1884" s="15"/>
      <c r="AF1884" s="15"/>
      <c r="AG1884" s="15"/>
      <c r="AH1884" s="15"/>
      <c r="AI1884" s="46"/>
      <c r="AJ1884" s="51" t="s">
        <v>67</v>
      </c>
      <c r="AK1884" s="51" t="s">
        <v>67</v>
      </c>
      <c r="AL1884" s="15"/>
      <c r="AM1884" s="51" t="s">
        <v>67</v>
      </c>
      <c r="AN1884" s="51" t="s">
        <v>67</v>
      </c>
      <c r="AO1884" s="50" t="s">
        <v>9554</v>
      </c>
    </row>
    <row r="1885" spans="1:41" hidden="1" x14ac:dyDescent="0.25">
      <c r="A1885" s="51" t="s">
        <v>9436</v>
      </c>
      <c r="B1885" s="51" t="s">
        <v>9437</v>
      </c>
      <c r="C1885" s="54" t="s">
        <v>5606</v>
      </c>
      <c r="D1885" s="51" t="s">
        <v>9438</v>
      </c>
      <c r="E1885" s="20">
        <v>10000</v>
      </c>
      <c r="F1885" s="20">
        <v>2419.6799999999998</v>
      </c>
      <c r="G1885" s="20">
        <v>18024.939999999999</v>
      </c>
      <c r="H1885" s="20">
        <v>788.16</v>
      </c>
      <c r="I1885" s="20">
        <v>2419.6799999999998</v>
      </c>
      <c r="J1885" s="51" t="s">
        <v>6724</v>
      </c>
      <c r="K1885" s="15">
        <v>0</v>
      </c>
      <c r="L1885" s="51" t="s">
        <v>2371</v>
      </c>
      <c r="M1885" s="51" t="s">
        <v>9439</v>
      </c>
      <c r="N1885" s="51" t="s">
        <v>1340</v>
      </c>
      <c r="O1885" s="51" t="s">
        <v>9440</v>
      </c>
      <c r="P1885" s="51" t="s">
        <v>1340</v>
      </c>
      <c r="Q1885" s="45">
        <v>46288.604945393519</v>
      </c>
      <c r="R1885" s="46">
        <v>46297</v>
      </c>
      <c r="S1885" s="46">
        <v>46292</v>
      </c>
      <c r="T1885" s="51" t="s">
        <v>6119</v>
      </c>
      <c r="U1885" s="15"/>
      <c r="V1885" s="15"/>
      <c r="W1885" s="15"/>
      <c r="X1885" s="15"/>
      <c r="Y1885" s="15"/>
      <c r="Z1885" s="15"/>
      <c r="AA1885" s="46"/>
      <c r="AB1885" s="15"/>
      <c r="AC1885" s="15"/>
      <c r="AD1885" s="15"/>
      <c r="AE1885" s="15"/>
      <c r="AF1885" s="15"/>
      <c r="AG1885" s="15"/>
      <c r="AH1885" s="15"/>
      <c r="AI1885" s="46"/>
      <c r="AJ1885" s="51" t="s">
        <v>67</v>
      </c>
      <c r="AK1885" s="51" t="s">
        <v>67</v>
      </c>
      <c r="AL1885" s="15"/>
      <c r="AM1885" s="51" t="s">
        <v>67</v>
      </c>
      <c r="AN1885" s="51" t="s">
        <v>67</v>
      </c>
      <c r="AO1885" s="50" t="s">
        <v>9554</v>
      </c>
    </row>
    <row r="1886" spans="1:41" hidden="1" x14ac:dyDescent="0.25">
      <c r="A1886" s="51" t="s">
        <v>9441</v>
      </c>
      <c r="B1886" s="51" t="s">
        <v>9442</v>
      </c>
      <c r="C1886" s="54" t="s">
        <v>2345</v>
      </c>
      <c r="D1886" s="51" t="s">
        <v>9443</v>
      </c>
      <c r="E1886" s="20">
        <v>10000</v>
      </c>
      <c r="F1886" s="20">
        <v>762.54</v>
      </c>
      <c r="G1886" s="20">
        <v>13633.09</v>
      </c>
      <c r="H1886" s="20">
        <v>426.79</v>
      </c>
      <c r="I1886" s="20">
        <v>762.54</v>
      </c>
      <c r="J1886" s="51" t="s">
        <v>6724</v>
      </c>
      <c r="K1886" s="15">
        <v>0</v>
      </c>
      <c r="L1886" s="51" t="s">
        <v>2371</v>
      </c>
      <c r="M1886" s="51" t="s">
        <v>9444</v>
      </c>
      <c r="N1886" s="51" t="s">
        <v>1340</v>
      </c>
      <c r="O1886" s="51" t="s">
        <v>67</v>
      </c>
      <c r="P1886" s="51" t="s">
        <v>67</v>
      </c>
      <c r="Q1886" s="45">
        <v>46288.604949675922</v>
      </c>
      <c r="R1886" s="46">
        <v>46306</v>
      </c>
      <c r="S1886" s="46">
        <v>46301</v>
      </c>
      <c r="T1886" s="51" t="s">
        <v>6119</v>
      </c>
      <c r="U1886" s="15"/>
      <c r="V1886" s="15"/>
      <c r="W1886" s="15"/>
      <c r="X1886" s="15"/>
      <c r="Y1886" s="15"/>
      <c r="Z1886" s="15"/>
      <c r="AA1886" s="46"/>
      <c r="AB1886" s="15"/>
      <c r="AC1886" s="15"/>
      <c r="AD1886" s="15"/>
      <c r="AE1886" s="15"/>
      <c r="AF1886" s="15"/>
      <c r="AG1886" s="15"/>
      <c r="AH1886" s="15"/>
      <c r="AI1886" s="46"/>
      <c r="AJ1886" s="51" t="s">
        <v>67</v>
      </c>
      <c r="AK1886" s="51" t="s">
        <v>67</v>
      </c>
      <c r="AL1886" s="15"/>
      <c r="AM1886" s="51" t="s">
        <v>67</v>
      </c>
      <c r="AN1886" s="51" t="s">
        <v>67</v>
      </c>
      <c r="AO1886" s="50" t="s">
        <v>9554</v>
      </c>
    </row>
    <row r="1887" spans="1:41" hidden="1" x14ac:dyDescent="0.25">
      <c r="A1887" s="51" t="s">
        <v>9445</v>
      </c>
      <c r="B1887" s="51" t="s">
        <v>9446</v>
      </c>
      <c r="C1887" s="54" t="s">
        <v>608</v>
      </c>
      <c r="D1887" s="51" t="s">
        <v>9447</v>
      </c>
      <c r="E1887" s="20">
        <v>10000</v>
      </c>
      <c r="F1887" s="20">
        <v>422.28</v>
      </c>
      <c r="G1887" s="20">
        <v>14112.59</v>
      </c>
      <c r="H1887" s="20">
        <v>480.42</v>
      </c>
      <c r="I1887" s="20">
        <v>0</v>
      </c>
      <c r="J1887" s="51" t="s">
        <v>6724</v>
      </c>
      <c r="K1887" s="15">
        <v>0</v>
      </c>
      <c r="L1887" s="51" t="s">
        <v>2371</v>
      </c>
      <c r="M1887" s="51" t="s">
        <v>9448</v>
      </c>
      <c r="N1887" s="51" t="s">
        <v>1344</v>
      </c>
      <c r="O1887" s="51" t="s">
        <v>9449</v>
      </c>
      <c r="P1887" s="51" t="s">
        <v>1344</v>
      </c>
      <c r="Q1887" s="45">
        <v>46288.604954930554</v>
      </c>
      <c r="R1887" s="46">
        <v>46315</v>
      </c>
      <c r="S1887" s="46">
        <v>46310</v>
      </c>
      <c r="T1887" s="51" t="s">
        <v>6119</v>
      </c>
      <c r="U1887" s="15"/>
      <c r="V1887" s="15"/>
      <c r="W1887" s="15"/>
      <c r="X1887" s="15"/>
      <c r="Y1887" s="15"/>
      <c r="Z1887" s="15"/>
      <c r="AA1887" s="46"/>
      <c r="AB1887" s="15"/>
      <c r="AC1887" s="15"/>
      <c r="AD1887" s="15"/>
      <c r="AE1887" s="15"/>
      <c r="AF1887" s="15"/>
      <c r="AG1887" s="15"/>
      <c r="AH1887" s="15"/>
      <c r="AI1887" s="46"/>
      <c r="AJ1887" s="51" t="s">
        <v>67</v>
      </c>
      <c r="AK1887" s="51" t="s">
        <v>67</v>
      </c>
      <c r="AL1887" s="15"/>
      <c r="AM1887" s="51" t="s">
        <v>67</v>
      </c>
      <c r="AN1887" s="51" t="s">
        <v>67</v>
      </c>
      <c r="AO1887" s="50" t="s">
        <v>9554</v>
      </c>
    </row>
    <row r="1888" spans="1:41" hidden="1" x14ac:dyDescent="0.25">
      <c r="A1888" s="51" t="s">
        <v>9450</v>
      </c>
      <c r="B1888" s="51" t="s">
        <v>9451</v>
      </c>
      <c r="C1888" s="54" t="s">
        <v>5598</v>
      </c>
      <c r="D1888" s="51" t="s">
        <v>9452</v>
      </c>
      <c r="E1888" s="20">
        <v>10000</v>
      </c>
      <c r="F1888" s="20">
        <v>5434.74</v>
      </c>
      <c r="G1888" s="20">
        <v>-1277.5999999999999</v>
      </c>
      <c r="H1888" s="20">
        <v>1161.92</v>
      </c>
      <c r="I1888" s="20">
        <v>0</v>
      </c>
      <c r="J1888" s="51" t="s">
        <v>6724</v>
      </c>
      <c r="K1888" s="15">
        <v>0</v>
      </c>
      <c r="L1888" s="51" t="s">
        <v>2371</v>
      </c>
      <c r="M1888" s="51" t="s">
        <v>67</v>
      </c>
      <c r="N1888" s="51" t="s">
        <v>67</v>
      </c>
      <c r="O1888" s="51" t="s">
        <v>9453</v>
      </c>
      <c r="P1888" s="51" t="s">
        <v>1340</v>
      </c>
      <c r="Q1888" s="45">
        <v>46288.604959560187</v>
      </c>
      <c r="R1888" s="46">
        <v>46318</v>
      </c>
      <c r="S1888" s="46">
        <v>46313</v>
      </c>
      <c r="T1888" s="51" t="s">
        <v>6119</v>
      </c>
      <c r="U1888" s="15"/>
      <c r="V1888" s="15"/>
      <c r="W1888" s="15"/>
      <c r="X1888" s="15"/>
      <c r="Y1888" s="15"/>
      <c r="Z1888" s="15"/>
      <c r="AA1888" s="46"/>
      <c r="AB1888" s="15"/>
      <c r="AC1888" s="15"/>
      <c r="AD1888" s="15"/>
      <c r="AE1888" s="15"/>
      <c r="AF1888" s="15"/>
      <c r="AG1888" s="15"/>
      <c r="AH1888" s="15"/>
      <c r="AI1888" s="46"/>
      <c r="AJ1888" s="51" t="s">
        <v>67</v>
      </c>
      <c r="AK1888" s="51" t="s">
        <v>67</v>
      </c>
      <c r="AL1888" s="15"/>
      <c r="AM1888" s="51" t="s">
        <v>67</v>
      </c>
      <c r="AN1888" s="51" t="s">
        <v>67</v>
      </c>
      <c r="AO1888" s="50" t="s">
        <v>9554</v>
      </c>
    </row>
    <row r="1889" spans="1:41" hidden="1" x14ac:dyDescent="0.25">
      <c r="A1889" s="51" t="s">
        <v>9454</v>
      </c>
      <c r="B1889" s="51" t="s">
        <v>9455</v>
      </c>
      <c r="C1889" s="54" t="s">
        <v>5604</v>
      </c>
      <c r="D1889" s="51" t="s">
        <v>9456</v>
      </c>
      <c r="E1889" s="20">
        <v>10000</v>
      </c>
      <c r="F1889" s="20">
        <v>461.77</v>
      </c>
      <c r="G1889" s="20">
        <v>9712.5400000000009</v>
      </c>
      <c r="H1889" s="20">
        <v>3314.06</v>
      </c>
      <c r="I1889" s="20">
        <v>461.77</v>
      </c>
      <c r="J1889" s="51" t="s">
        <v>6724</v>
      </c>
      <c r="K1889" s="15">
        <v>0</v>
      </c>
      <c r="L1889" s="51" t="s">
        <v>2371</v>
      </c>
      <c r="M1889" s="51" t="s">
        <v>9457</v>
      </c>
      <c r="N1889" s="51" t="s">
        <v>1340</v>
      </c>
      <c r="O1889" s="51" t="s">
        <v>67</v>
      </c>
      <c r="P1889" s="51" t="s">
        <v>67</v>
      </c>
      <c r="Q1889" s="45">
        <v>46288.604965763887</v>
      </c>
      <c r="R1889" s="46">
        <v>46313</v>
      </c>
      <c r="S1889" s="46">
        <v>46308</v>
      </c>
      <c r="T1889" s="51" t="s">
        <v>6119</v>
      </c>
      <c r="U1889" s="15"/>
      <c r="V1889" s="15"/>
      <c r="W1889" s="15"/>
      <c r="X1889" s="15"/>
      <c r="Y1889" s="15"/>
      <c r="Z1889" s="15"/>
      <c r="AA1889" s="46"/>
      <c r="AB1889" s="15"/>
      <c r="AC1889" s="15"/>
      <c r="AD1889" s="15"/>
      <c r="AE1889" s="15"/>
      <c r="AF1889" s="15"/>
      <c r="AG1889" s="15"/>
      <c r="AH1889" s="15"/>
      <c r="AI1889" s="46"/>
      <c r="AJ1889" s="51" t="s">
        <v>67</v>
      </c>
      <c r="AK1889" s="51" t="s">
        <v>67</v>
      </c>
      <c r="AL1889" s="15"/>
      <c r="AM1889" s="51" t="s">
        <v>67</v>
      </c>
      <c r="AN1889" s="51" t="s">
        <v>67</v>
      </c>
      <c r="AO1889" s="50" t="s">
        <v>9554</v>
      </c>
    </row>
    <row r="1890" spans="1:41" hidden="1" x14ac:dyDescent="0.25">
      <c r="A1890" s="51" t="s">
        <v>9458</v>
      </c>
      <c r="B1890" s="51" t="s">
        <v>9459</v>
      </c>
      <c r="C1890" s="54" t="s">
        <v>2693</v>
      </c>
      <c r="D1890" s="51" t="s">
        <v>9460</v>
      </c>
      <c r="E1890" s="20">
        <v>10000</v>
      </c>
      <c r="F1890" s="20">
        <v>2128.9699999999998</v>
      </c>
      <c r="G1890" s="20">
        <v>19067.759999999998</v>
      </c>
      <c r="H1890" s="20">
        <v>1585.57</v>
      </c>
      <c r="I1890" s="20">
        <v>2128.9699999999998</v>
      </c>
      <c r="J1890" s="51" t="s">
        <v>6724</v>
      </c>
      <c r="K1890" s="15">
        <v>0</v>
      </c>
      <c r="L1890" s="51" t="s">
        <v>2371</v>
      </c>
      <c r="M1890" s="51" t="s">
        <v>67</v>
      </c>
      <c r="N1890" s="51" t="s">
        <v>67</v>
      </c>
      <c r="O1890" s="51" t="s">
        <v>9461</v>
      </c>
      <c r="P1890" s="51" t="s">
        <v>1340</v>
      </c>
      <c r="Q1890" s="45">
        <v>46288.604972303241</v>
      </c>
      <c r="R1890" s="46">
        <v>46314</v>
      </c>
      <c r="S1890" s="46">
        <v>46309</v>
      </c>
      <c r="T1890" s="51" t="s">
        <v>6119</v>
      </c>
      <c r="U1890" s="15"/>
      <c r="V1890" s="15"/>
      <c r="W1890" s="15"/>
      <c r="X1890" s="15"/>
      <c r="Y1890" s="15"/>
      <c r="Z1890" s="15"/>
      <c r="AA1890" s="46"/>
      <c r="AB1890" s="15"/>
      <c r="AC1890" s="15"/>
      <c r="AD1890" s="15"/>
      <c r="AE1890" s="15"/>
      <c r="AF1890" s="15"/>
      <c r="AG1890" s="15"/>
      <c r="AH1890" s="15"/>
      <c r="AI1890" s="46"/>
      <c r="AJ1890" s="51" t="s">
        <v>67</v>
      </c>
      <c r="AK1890" s="51" t="s">
        <v>67</v>
      </c>
      <c r="AL1890" s="15"/>
      <c r="AM1890" s="51" t="s">
        <v>67</v>
      </c>
      <c r="AN1890" s="51" t="s">
        <v>67</v>
      </c>
      <c r="AO1890" s="50" t="s">
        <v>9554</v>
      </c>
    </row>
    <row r="1891" spans="1:41" hidden="1" x14ac:dyDescent="0.25">
      <c r="A1891" s="51" t="s">
        <v>9462</v>
      </c>
      <c r="B1891" s="51" t="s">
        <v>9463</v>
      </c>
      <c r="C1891" s="54" t="s">
        <v>5606</v>
      </c>
      <c r="D1891" s="51" t="s">
        <v>9464</v>
      </c>
      <c r="E1891" s="20">
        <v>10000</v>
      </c>
      <c r="F1891" s="20">
        <v>700.57</v>
      </c>
      <c r="G1891" s="20">
        <v>18639.53</v>
      </c>
      <c r="H1891" s="20">
        <v>1298.27</v>
      </c>
      <c r="I1891" s="20">
        <v>700.57</v>
      </c>
      <c r="J1891" s="51" t="s">
        <v>6724</v>
      </c>
      <c r="K1891" s="15">
        <v>0</v>
      </c>
      <c r="L1891" s="51" t="s">
        <v>2371</v>
      </c>
      <c r="M1891" s="51" t="s">
        <v>67</v>
      </c>
      <c r="N1891" s="51" t="s">
        <v>67</v>
      </c>
      <c r="O1891" s="51" t="s">
        <v>9465</v>
      </c>
      <c r="P1891" s="51" t="s">
        <v>1340</v>
      </c>
      <c r="Q1891" s="45">
        <v>46288.604978726849</v>
      </c>
      <c r="R1891" s="46">
        <v>46297</v>
      </c>
      <c r="S1891" s="46">
        <v>46292</v>
      </c>
      <c r="T1891" s="51" t="s">
        <v>6119</v>
      </c>
      <c r="U1891" s="15"/>
      <c r="V1891" s="15"/>
      <c r="W1891" s="15"/>
      <c r="X1891" s="15"/>
      <c r="Y1891" s="15"/>
      <c r="Z1891" s="15"/>
      <c r="AA1891" s="46"/>
      <c r="AB1891" s="15"/>
      <c r="AC1891" s="15"/>
      <c r="AD1891" s="15"/>
      <c r="AE1891" s="15"/>
      <c r="AF1891" s="15"/>
      <c r="AG1891" s="15"/>
      <c r="AH1891" s="15"/>
      <c r="AI1891" s="46"/>
      <c r="AJ1891" s="51" t="s">
        <v>67</v>
      </c>
      <c r="AK1891" s="51" t="s">
        <v>67</v>
      </c>
      <c r="AL1891" s="15"/>
      <c r="AM1891" s="51" t="s">
        <v>67</v>
      </c>
      <c r="AN1891" s="51" t="s">
        <v>67</v>
      </c>
      <c r="AO1891" s="50" t="s">
        <v>9554</v>
      </c>
    </row>
    <row r="1892" spans="1:41" hidden="1" x14ac:dyDescent="0.25">
      <c r="A1892" s="51" t="s">
        <v>9466</v>
      </c>
      <c r="B1892" s="51" t="s">
        <v>9467</v>
      </c>
      <c r="C1892" s="54" t="s">
        <v>2694</v>
      </c>
      <c r="D1892" s="51" t="s">
        <v>9468</v>
      </c>
      <c r="E1892" s="20">
        <v>10000</v>
      </c>
      <c r="F1892" s="20">
        <v>477.14</v>
      </c>
      <c r="G1892" s="20">
        <v>14166.36</v>
      </c>
      <c r="H1892" s="20">
        <v>1775</v>
      </c>
      <c r="I1892" s="20">
        <v>477.14</v>
      </c>
      <c r="J1892" s="51" t="s">
        <v>6724</v>
      </c>
      <c r="K1892" s="15">
        <v>0</v>
      </c>
      <c r="L1892" s="51" t="s">
        <v>2371</v>
      </c>
      <c r="M1892" s="51" t="s">
        <v>9469</v>
      </c>
      <c r="N1892" s="51" t="s">
        <v>1340</v>
      </c>
      <c r="O1892" s="51" t="s">
        <v>9470</v>
      </c>
      <c r="P1892" s="51" t="s">
        <v>1340</v>
      </c>
      <c r="Q1892" s="45">
        <v>46288.604984108795</v>
      </c>
      <c r="R1892" s="46">
        <v>46312</v>
      </c>
      <c r="S1892" s="46">
        <v>46307</v>
      </c>
      <c r="T1892" s="51" t="s">
        <v>6119</v>
      </c>
      <c r="U1892" s="15"/>
      <c r="V1892" s="15"/>
      <c r="W1892" s="15"/>
      <c r="X1892" s="15"/>
      <c r="Y1892" s="15"/>
      <c r="Z1892" s="15"/>
      <c r="AA1892" s="46"/>
      <c r="AB1892" s="15"/>
      <c r="AC1892" s="15"/>
      <c r="AD1892" s="15"/>
      <c r="AE1892" s="15"/>
      <c r="AF1892" s="15"/>
      <c r="AG1892" s="15"/>
      <c r="AH1892" s="15"/>
      <c r="AI1892" s="46"/>
      <c r="AJ1892" s="51" t="s">
        <v>67</v>
      </c>
      <c r="AK1892" s="51" t="s">
        <v>67</v>
      </c>
      <c r="AL1892" s="15"/>
      <c r="AM1892" s="51" t="s">
        <v>67</v>
      </c>
      <c r="AN1892" s="51" t="s">
        <v>67</v>
      </c>
      <c r="AO1892" s="50" t="s">
        <v>9554</v>
      </c>
    </row>
    <row r="1893" spans="1:41" hidden="1" x14ac:dyDescent="0.25">
      <c r="A1893" s="51" t="s">
        <v>9471</v>
      </c>
      <c r="B1893" s="51" t="s">
        <v>9472</v>
      </c>
      <c r="C1893" s="54" t="s">
        <v>2691</v>
      </c>
      <c r="D1893" s="51" t="s">
        <v>9473</v>
      </c>
      <c r="E1893" s="20">
        <v>10000</v>
      </c>
      <c r="F1893" s="20">
        <v>506.36</v>
      </c>
      <c r="G1893" s="20">
        <v>15904.26</v>
      </c>
      <c r="H1893" s="20">
        <v>810.34</v>
      </c>
      <c r="I1893" s="20">
        <v>506.36</v>
      </c>
      <c r="J1893" s="51" t="s">
        <v>6724</v>
      </c>
      <c r="K1893" s="15">
        <v>0</v>
      </c>
      <c r="L1893" s="51" t="s">
        <v>2371</v>
      </c>
      <c r="M1893" s="51" t="s">
        <v>9474</v>
      </c>
      <c r="N1893" s="51" t="s">
        <v>1340</v>
      </c>
      <c r="O1893" s="51" t="s">
        <v>9475</v>
      </c>
      <c r="P1893" s="51" t="s">
        <v>1340</v>
      </c>
      <c r="Q1893" s="45">
        <v>46288.604989930558</v>
      </c>
      <c r="R1893" s="46">
        <v>46301</v>
      </c>
      <c r="S1893" s="46">
        <v>46296</v>
      </c>
      <c r="T1893" s="51" t="s">
        <v>6119</v>
      </c>
      <c r="U1893" s="15"/>
      <c r="V1893" s="15"/>
      <c r="W1893" s="15"/>
      <c r="X1893" s="15"/>
      <c r="Y1893" s="15"/>
      <c r="Z1893" s="15"/>
      <c r="AA1893" s="46"/>
      <c r="AB1893" s="15"/>
      <c r="AC1893" s="15"/>
      <c r="AD1893" s="15"/>
      <c r="AE1893" s="15"/>
      <c r="AF1893" s="15"/>
      <c r="AG1893" s="15"/>
      <c r="AH1893" s="15"/>
      <c r="AI1893" s="46"/>
      <c r="AJ1893" s="51" t="s">
        <v>67</v>
      </c>
      <c r="AK1893" s="51" t="s">
        <v>67</v>
      </c>
      <c r="AL1893" s="15"/>
      <c r="AM1893" s="51" t="s">
        <v>67</v>
      </c>
      <c r="AN1893" s="51" t="s">
        <v>67</v>
      </c>
      <c r="AO1893" s="50" t="s">
        <v>9554</v>
      </c>
    </row>
    <row r="1894" spans="1:41" hidden="1" x14ac:dyDescent="0.25">
      <c r="A1894" s="51" t="s">
        <v>9476</v>
      </c>
      <c r="B1894" s="51" t="s">
        <v>9477</v>
      </c>
      <c r="C1894" s="54" t="s">
        <v>5598</v>
      </c>
      <c r="D1894" s="51" t="s">
        <v>9478</v>
      </c>
      <c r="E1894" s="20">
        <v>10000</v>
      </c>
      <c r="F1894" s="20">
        <v>6310.02</v>
      </c>
      <c r="G1894" s="20">
        <v>8962.3700000000008</v>
      </c>
      <c r="H1894" s="20">
        <v>519.66999999999996</v>
      </c>
      <c r="I1894" s="20">
        <v>44.9</v>
      </c>
      <c r="J1894" s="51" t="s">
        <v>6724</v>
      </c>
      <c r="K1894" s="15">
        <v>0</v>
      </c>
      <c r="L1894" s="51" t="s">
        <v>2371</v>
      </c>
      <c r="M1894" s="51" t="s">
        <v>9479</v>
      </c>
      <c r="N1894" s="51" t="s">
        <v>1340</v>
      </c>
      <c r="O1894" s="51" t="s">
        <v>9480</v>
      </c>
      <c r="P1894" s="51" t="s">
        <v>1340</v>
      </c>
      <c r="Q1894" s="45">
        <v>46288.604995960646</v>
      </c>
      <c r="R1894" s="46">
        <v>46318</v>
      </c>
      <c r="S1894" s="46">
        <v>46313</v>
      </c>
      <c r="T1894" s="51" t="s">
        <v>6119</v>
      </c>
      <c r="U1894" s="15"/>
      <c r="V1894" s="15"/>
      <c r="W1894" s="15"/>
      <c r="X1894" s="15"/>
      <c r="Y1894" s="15"/>
      <c r="Z1894" s="15"/>
      <c r="AA1894" s="46"/>
      <c r="AB1894" s="15"/>
      <c r="AC1894" s="15"/>
      <c r="AD1894" s="15"/>
      <c r="AE1894" s="15"/>
      <c r="AF1894" s="15"/>
      <c r="AG1894" s="15"/>
      <c r="AH1894" s="15"/>
      <c r="AI1894" s="46"/>
      <c r="AJ1894" s="51" t="s">
        <v>67</v>
      </c>
      <c r="AK1894" s="51" t="s">
        <v>67</v>
      </c>
      <c r="AL1894" s="15"/>
      <c r="AM1894" s="51" t="s">
        <v>67</v>
      </c>
      <c r="AN1894" s="51" t="s">
        <v>67</v>
      </c>
      <c r="AO1894" s="50" t="s">
        <v>9554</v>
      </c>
    </row>
    <row r="1895" spans="1:41" hidden="1" x14ac:dyDescent="0.25">
      <c r="A1895" s="51" t="s">
        <v>9481</v>
      </c>
      <c r="B1895" s="51" t="s">
        <v>9482</v>
      </c>
      <c r="C1895" s="54" t="s">
        <v>2689</v>
      </c>
      <c r="D1895" s="51" t="s">
        <v>9483</v>
      </c>
      <c r="E1895" s="20">
        <v>10000</v>
      </c>
      <c r="F1895" s="20">
        <v>330.55</v>
      </c>
      <c r="G1895" s="20">
        <v>19568.45</v>
      </c>
      <c r="H1895" s="20">
        <v>682.13</v>
      </c>
      <c r="I1895" s="20">
        <v>0</v>
      </c>
      <c r="J1895" s="51" t="s">
        <v>6724</v>
      </c>
      <c r="K1895" s="15">
        <v>0</v>
      </c>
      <c r="L1895" s="51" t="s">
        <v>2371</v>
      </c>
      <c r="M1895" s="51" t="s">
        <v>67</v>
      </c>
      <c r="N1895" s="51" t="s">
        <v>67</v>
      </c>
      <c r="O1895" s="51" t="s">
        <v>9484</v>
      </c>
      <c r="P1895" s="51" t="s">
        <v>1340</v>
      </c>
      <c r="Q1895" s="45">
        <v>46288.605002152777</v>
      </c>
      <c r="R1895" s="46">
        <v>46317</v>
      </c>
      <c r="S1895" s="46">
        <v>46312</v>
      </c>
      <c r="T1895" s="51" t="s">
        <v>6119</v>
      </c>
      <c r="U1895" s="15"/>
      <c r="V1895" s="15"/>
      <c r="W1895" s="15"/>
      <c r="X1895" s="15"/>
      <c r="Y1895" s="15"/>
      <c r="Z1895" s="15"/>
      <c r="AA1895" s="46"/>
      <c r="AB1895" s="15"/>
      <c r="AC1895" s="15"/>
      <c r="AD1895" s="15"/>
      <c r="AE1895" s="15"/>
      <c r="AF1895" s="15"/>
      <c r="AG1895" s="15"/>
      <c r="AH1895" s="15"/>
      <c r="AI1895" s="46"/>
      <c r="AJ1895" s="51" t="s">
        <v>67</v>
      </c>
      <c r="AK1895" s="51" t="s">
        <v>67</v>
      </c>
      <c r="AL1895" s="15"/>
      <c r="AM1895" s="51" t="s">
        <v>67</v>
      </c>
      <c r="AN1895" s="51" t="s">
        <v>67</v>
      </c>
      <c r="AO1895" s="50" t="s">
        <v>9554</v>
      </c>
    </row>
    <row r="1896" spans="1:41" hidden="1" x14ac:dyDescent="0.25">
      <c r="A1896" s="51" t="s">
        <v>9485</v>
      </c>
      <c r="B1896" s="51" t="s">
        <v>9486</v>
      </c>
      <c r="C1896" s="54" t="s">
        <v>2694</v>
      </c>
      <c r="D1896" s="51" t="s">
        <v>9487</v>
      </c>
      <c r="E1896" s="20">
        <v>10000</v>
      </c>
      <c r="F1896" s="20">
        <v>497.26</v>
      </c>
      <c r="G1896" s="20">
        <v>17202.86</v>
      </c>
      <c r="H1896" s="20">
        <v>3108.85</v>
      </c>
      <c r="I1896" s="20">
        <v>497.26</v>
      </c>
      <c r="J1896" s="51" t="s">
        <v>6724</v>
      </c>
      <c r="K1896" s="15">
        <v>0</v>
      </c>
      <c r="L1896" s="51" t="s">
        <v>2371</v>
      </c>
      <c r="M1896" s="51" t="s">
        <v>9488</v>
      </c>
      <c r="N1896" s="51" t="s">
        <v>1340</v>
      </c>
      <c r="O1896" s="51" t="s">
        <v>67</v>
      </c>
      <c r="P1896" s="51" t="s">
        <v>67</v>
      </c>
      <c r="Q1896" s="45">
        <v>46288.605008032406</v>
      </c>
      <c r="R1896" s="46">
        <v>46312</v>
      </c>
      <c r="S1896" s="46">
        <v>46307</v>
      </c>
      <c r="T1896" s="51" t="s">
        <v>6119</v>
      </c>
      <c r="U1896" s="15"/>
      <c r="V1896" s="15"/>
      <c r="W1896" s="15"/>
      <c r="X1896" s="15"/>
      <c r="Y1896" s="15"/>
      <c r="Z1896" s="15"/>
      <c r="AA1896" s="46"/>
      <c r="AB1896" s="15"/>
      <c r="AC1896" s="15"/>
      <c r="AD1896" s="15"/>
      <c r="AE1896" s="15"/>
      <c r="AF1896" s="15"/>
      <c r="AG1896" s="15"/>
      <c r="AH1896" s="15"/>
      <c r="AI1896" s="46"/>
      <c r="AJ1896" s="51" t="s">
        <v>67</v>
      </c>
      <c r="AK1896" s="51" t="s">
        <v>67</v>
      </c>
      <c r="AL1896" s="15"/>
      <c r="AM1896" s="51" t="s">
        <v>67</v>
      </c>
      <c r="AN1896" s="51" t="s">
        <v>67</v>
      </c>
      <c r="AO1896" s="50" t="s">
        <v>9554</v>
      </c>
    </row>
    <row r="1897" spans="1:41" hidden="1" x14ac:dyDescent="0.25">
      <c r="A1897" s="51" t="s">
        <v>9489</v>
      </c>
      <c r="B1897" s="51" t="s">
        <v>9490</v>
      </c>
      <c r="C1897" s="54" t="s">
        <v>608</v>
      </c>
      <c r="D1897" s="51" t="s">
        <v>9491</v>
      </c>
      <c r="E1897" s="20">
        <v>10000</v>
      </c>
      <c r="F1897" s="20">
        <v>289.02</v>
      </c>
      <c r="G1897" s="20">
        <v>18922.03</v>
      </c>
      <c r="H1897" s="20">
        <v>565.62</v>
      </c>
      <c r="I1897" s="20">
        <v>289.02</v>
      </c>
      <c r="J1897" s="51" t="s">
        <v>6724</v>
      </c>
      <c r="K1897" s="15">
        <v>0</v>
      </c>
      <c r="L1897" s="51" t="s">
        <v>2371</v>
      </c>
      <c r="M1897" s="51" t="s">
        <v>9492</v>
      </c>
      <c r="N1897" s="51" t="s">
        <v>1340</v>
      </c>
      <c r="O1897" s="51" t="s">
        <v>67</v>
      </c>
      <c r="P1897" s="51" t="s">
        <v>67</v>
      </c>
      <c r="Q1897" s="45">
        <v>46288.605015393521</v>
      </c>
      <c r="R1897" s="46">
        <v>46315</v>
      </c>
      <c r="S1897" s="46">
        <v>46310</v>
      </c>
      <c r="T1897" s="51" t="s">
        <v>6119</v>
      </c>
      <c r="U1897" s="15"/>
      <c r="V1897" s="15"/>
      <c r="W1897" s="15"/>
      <c r="X1897" s="15"/>
      <c r="Y1897" s="15"/>
      <c r="Z1897" s="15"/>
      <c r="AA1897" s="46"/>
      <c r="AB1897" s="15"/>
      <c r="AC1897" s="15"/>
      <c r="AD1897" s="15"/>
      <c r="AE1897" s="15"/>
      <c r="AF1897" s="15"/>
      <c r="AG1897" s="15"/>
      <c r="AH1897" s="15"/>
      <c r="AI1897" s="46"/>
      <c r="AJ1897" s="51" t="s">
        <v>67</v>
      </c>
      <c r="AK1897" s="51" t="s">
        <v>67</v>
      </c>
      <c r="AL1897" s="15"/>
      <c r="AM1897" s="51" t="s">
        <v>67</v>
      </c>
      <c r="AN1897" s="51" t="s">
        <v>67</v>
      </c>
      <c r="AO1897" s="50" t="s">
        <v>9554</v>
      </c>
    </row>
    <row r="1898" spans="1:41" hidden="1" x14ac:dyDescent="0.25">
      <c r="A1898" s="51" t="s">
        <v>9493</v>
      </c>
      <c r="B1898" s="51" t="s">
        <v>9494</v>
      </c>
      <c r="C1898" s="54" t="s">
        <v>5600</v>
      </c>
      <c r="D1898" s="51" t="s">
        <v>9495</v>
      </c>
      <c r="E1898" s="20">
        <v>10000</v>
      </c>
      <c r="F1898" s="20">
        <v>7641.09</v>
      </c>
      <c r="G1898" s="20">
        <v>-1160.6199999999999</v>
      </c>
      <c r="H1898" s="20">
        <v>429.69</v>
      </c>
      <c r="I1898" s="20">
        <v>7641.09</v>
      </c>
      <c r="J1898" s="51" t="s">
        <v>6724</v>
      </c>
      <c r="K1898" s="15">
        <v>0</v>
      </c>
      <c r="L1898" s="51" t="s">
        <v>2371</v>
      </c>
      <c r="M1898" s="51" t="s">
        <v>9496</v>
      </c>
      <c r="N1898" s="51" t="s">
        <v>1340</v>
      </c>
      <c r="O1898" s="51" t="s">
        <v>9497</v>
      </c>
      <c r="P1898" s="51" t="s">
        <v>1340</v>
      </c>
      <c r="Q1898" s="45">
        <v>46288.60502091435</v>
      </c>
      <c r="R1898" s="46">
        <v>46304</v>
      </c>
      <c r="S1898" s="46">
        <v>46299</v>
      </c>
      <c r="T1898" s="51" t="s">
        <v>6119</v>
      </c>
      <c r="U1898" s="15"/>
      <c r="V1898" s="15"/>
      <c r="W1898" s="15"/>
      <c r="X1898" s="15"/>
      <c r="Y1898" s="15"/>
      <c r="Z1898" s="15"/>
      <c r="AA1898" s="46"/>
      <c r="AB1898" s="15"/>
      <c r="AC1898" s="15"/>
      <c r="AD1898" s="15"/>
      <c r="AE1898" s="15"/>
      <c r="AF1898" s="15"/>
      <c r="AG1898" s="15"/>
      <c r="AH1898" s="15"/>
      <c r="AI1898" s="46"/>
      <c r="AJ1898" s="51" t="s">
        <v>67</v>
      </c>
      <c r="AK1898" s="51" t="s">
        <v>67</v>
      </c>
      <c r="AL1898" s="15"/>
      <c r="AM1898" s="51" t="s">
        <v>67</v>
      </c>
      <c r="AN1898" s="51" t="s">
        <v>67</v>
      </c>
      <c r="AO1898" s="50" t="s">
        <v>9554</v>
      </c>
    </row>
    <row r="1899" spans="1:41" hidden="1" x14ac:dyDescent="0.25">
      <c r="A1899" s="51" t="s">
        <v>9498</v>
      </c>
      <c r="B1899" s="51" t="s">
        <v>9499</v>
      </c>
      <c r="C1899" s="54" t="s">
        <v>5603</v>
      </c>
      <c r="D1899" s="51" t="s">
        <v>9500</v>
      </c>
      <c r="E1899" s="20">
        <v>10000</v>
      </c>
      <c r="F1899" s="20">
        <v>326.8</v>
      </c>
      <c r="G1899" s="20">
        <v>6785.45</v>
      </c>
      <c r="H1899" s="20">
        <v>840.23</v>
      </c>
      <c r="I1899" s="20">
        <v>326.8</v>
      </c>
      <c r="J1899" s="51" t="s">
        <v>6724</v>
      </c>
      <c r="K1899" s="15">
        <v>0</v>
      </c>
      <c r="L1899" s="51" t="s">
        <v>2371</v>
      </c>
      <c r="M1899" s="51" t="s">
        <v>9501</v>
      </c>
      <c r="N1899" s="51" t="s">
        <v>1340</v>
      </c>
      <c r="O1899" s="51" t="s">
        <v>67</v>
      </c>
      <c r="P1899" s="51" t="s">
        <v>67</v>
      </c>
      <c r="Q1899" s="45">
        <v>46288.605026793979</v>
      </c>
      <c r="R1899" s="46">
        <v>46298</v>
      </c>
      <c r="S1899" s="46">
        <v>46293</v>
      </c>
      <c r="T1899" s="51" t="s">
        <v>6119</v>
      </c>
      <c r="U1899" s="15"/>
      <c r="V1899" s="15"/>
      <c r="W1899" s="15"/>
      <c r="X1899" s="15"/>
      <c r="Y1899" s="15"/>
      <c r="Z1899" s="15"/>
      <c r="AA1899" s="46"/>
      <c r="AB1899" s="15"/>
      <c r="AC1899" s="15"/>
      <c r="AD1899" s="15"/>
      <c r="AE1899" s="15"/>
      <c r="AF1899" s="15"/>
      <c r="AG1899" s="15"/>
      <c r="AH1899" s="15"/>
      <c r="AI1899" s="46"/>
      <c r="AJ1899" s="51" t="s">
        <v>67</v>
      </c>
      <c r="AK1899" s="51" t="s">
        <v>67</v>
      </c>
      <c r="AL1899" s="15"/>
      <c r="AM1899" s="51" t="s">
        <v>67</v>
      </c>
      <c r="AN1899" s="51" t="s">
        <v>67</v>
      </c>
      <c r="AO1899" s="50" t="s">
        <v>9554</v>
      </c>
    </row>
    <row r="1900" spans="1:41" hidden="1" x14ac:dyDescent="0.25">
      <c r="A1900" s="51" t="s">
        <v>9502</v>
      </c>
      <c r="B1900" s="51" t="s">
        <v>9503</v>
      </c>
      <c r="C1900" s="54" t="s">
        <v>605</v>
      </c>
      <c r="D1900" s="51" t="s">
        <v>6682</v>
      </c>
      <c r="E1900" s="20">
        <v>10000</v>
      </c>
      <c r="F1900" s="20">
        <v>383.41</v>
      </c>
      <c r="G1900" s="20">
        <v>12029.54</v>
      </c>
      <c r="H1900" s="20">
        <v>514.72</v>
      </c>
      <c r="I1900" s="20">
        <v>383.41</v>
      </c>
      <c r="J1900" s="51" t="s">
        <v>6724</v>
      </c>
      <c r="K1900" s="15">
        <v>0</v>
      </c>
      <c r="L1900" s="51" t="s">
        <v>2371</v>
      </c>
      <c r="M1900" s="51" t="s">
        <v>9504</v>
      </c>
      <c r="N1900" s="51" t="s">
        <v>1340</v>
      </c>
      <c r="O1900" s="51" t="s">
        <v>67</v>
      </c>
      <c r="P1900" s="51" t="s">
        <v>67</v>
      </c>
      <c r="Q1900" s="45">
        <v>46288.60505716435</v>
      </c>
      <c r="R1900" s="46">
        <v>46305</v>
      </c>
      <c r="S1900" s="46">
        <v>46300</v>
      </c>
      <c r="T1900" s="51" t="s">
        <v>6119</v>
      </c>
      <c r="U1900" s="15"/>
      <c r="V1900" s="15"/>
      <c r="W1900" s="15"/>
      <c r="X1900" s="15"/>
      <c r="Y1900" s="15"/>
      <c r="Z1900" s="15"/>
      <c r="AA1900" s="46"/>
      <c r="AB1900" s="15"/>
      <c r="AC1900" s="15"/>
      <c r="AD1900" s="15"/>
      <c r="AE1900" s="15"/>
      <c r="AF1900" s="15"/>
      <c r="AG1900" s="15"/>
      <c r="AH1900" s="15"/>
      <c r="AI1900" s="46"/>
      <c r="AJ1900" s="51" t="s">
        <v>67</v>
      </c>
      <c r="AK1900" s="51" t="s">
        <v>67</v>
      </c>
      <c r="AL1900" s="15"/>
      <c r="AM1900" s="51" t="s">
        <v>67</v>
      </c>
      <c r="AN1900" s="51" t="s">
        <v>67</v>
      </c>
      <c r="AO1900" s="50" t="s">
        <v>9554</v>
      </c>
    </row>
    <row r="1901" spans="1:41" hidden="1" x14ac:dyDescent="0.25">
      <c r="A1901" s="51" t="s">
        <v>9505</v>
      </c>
      <c r="B1901" s="51" t="s">
        <v>9506</v>
      </c>
      <c r="C1901" s="54" t="s">
        <v>5606</v>
      </c>
      <c r="D1901" s="51" t="s">
        <v>9507</v>
      </c>
      <c r="E1901" s="20">
        <v>10000</v>
      </c>
      <c r="F1901" s="20">
        <v>2122.9699999999998</v>
      </c>
      <c r="G1901" s="20">
        <v>11130.74</v>
      </c>
      <c r="H1901" s="20">
        <v>1410.87</v>
      </c>
      <c r="I1901" s="20">
        <v>2122.9699999999998</v>
      </c>
      <c r="J1901" s="51" t="s">
        <v>6724</v>
      </c>
      <c r="K1901" s="15">
        <v>0</v>
      </c>
      <c r="L1901" s="51" t="s">
        <v>2371</v>
      </c>
      <c r="M1901" s="51" t="s">
        <v>9508</v>
      </c>
      <c r="N1901" s="51" t="s">
        <v>1344</v>
      </c>
      <c r="O1901" s="51" t="s">
        <v>67</v>
      </c>
      <c r="P1901" s="51" t="s">
        <v>67</v>
      </c>
      <c r="Q1901" s="45">
        <v>46288.605082407405</v>
      </c>
      <c r="R1901" s="46">
        <v>46297</v>
      </c>
      <c r="S1901" s="46">
        <v>46292</v>
      </c>
      <c r="T1901" s="51" t="s">
        <v>6119</v>
      </c>
      <c r="U1901" s="15"/>
      <c r="V1901" s="15"/>
      <c r="W1901" s="15"/>
      <c r="X1901" s="15"/>
      <c r="Y1901" s="15"/>
      <c r="Z1901" s="15"/>
      <c r="AA1901" s="46"/>
      <c r="AB1901" s="15"/>
      <c r="AC1901" s="15"/>
      <c r="AD1901" s="15"/>
      <c r="AE1901" s="15"/>
      <c r="AF1901" s="15"/>
      <c r="AG1901" s="15"/>
      <c r="AH1901" s="15"/>
      <c r="AI1901" s="46"/>
      <c r="AJ1901" s="51" t="s">
        <v>67</v>
      </c>
      <c r="AK1901" s="51" t="s">
        <v>67</v>
      </c>
      <c r="AL1901" s="15"/>
      <c r="AM1901" s="51" t="s">
        <v>67</v>
      </c>
      <c r="AN1901" s="51" t="s">
        <v>67</v>
      </c>
      <c r="AO1901" s="50" t="s">
        <v>9554</v>
      </c>
    </row>
    <row r="1902" spans="1:41" hidden="1" x14ac:dyDescent="0.25">
      <c r="A1902" s="51" t="s">
        <v>9509</v>
      </c>
      <c r="B1902" s="51" t="s">
        <v>9510</v>
      </c>
      <c r="C1902" s="54" t="s">
        <v>2691</v>
      </c>
      <c r="D1902" s="51" t="s">
        <v>9511</v>
      </c>
      <c r="E1902" s="20">
        <v>10000</v>
      </c>
      <c r="F1902" s="20">
        <v>434.81</v>
      </c>
      <c r="G1902" s="20">
        <v>12059.51</v>
      </c>
      <c r="H1902" s="20">
        <v>553.36</v>
      </c>
      <c r="I1902" s="20">
        <v>434.81</v>
      </c>
      <c r="J1902" s="51" t="s">
        <v>6724</v>
      </c>
      <c r="K1902" s="15">
        <v>0</v>
      </c>
      <c r="L1902" s="51" t="s">
        <v>2371</v>
      </c>
      <c r="M1902" s="51" t="s">
        <v>67</v>
      </c>
      <c r="N1902" s="51" t="s">
        <v>67</v>
      </c>
      <c r="O1902" s="51" t="s">
        <v>9512</v>
      </c>
      <c r="P1902" s="51" t="s">
        <v>1340</v>
      </c>
      <c r="Q1902" s="45">
        <v>46288.605644479168</v>
      </c>
      <c r="R1902" s="46">
        <v>46301</v>
      </c>
      <c r="S1902" s="46">
        <v>46296</v>
      </c>
      <c r="T1902" s="51" t="s">
        <v>6119</v>
      </c>
      <c r="U1902" s="15"/>
      <c r="V1902" s="15"/>
      <c r="W1902" s="15"/>
      <c r="X1902" s="15"/>
      <c r="Y1902" s="15"/>
      <c r="Z1902" s="15"/>
      <c r="AA1902" s="46"/>
      <c r="AB1902" s="15"/>
      <c r="AC1902" s="15"/>
      <c r="AD1902" s="15"/>
      <c r="AE1902" s="15"/>
      <c r="AF1902" s="15"/>
      <c r="AG1902" s="15"/>
      <c r="AH1902" s="15"/>
      <c r="AI1902" s="46"/>
      <c r="AJ1902" s="51" t="s">
        <v>67</v>
      </c>
      <c r="AK1902" s="51" t="s">
        <v>67</v>
      </c>
      <c r="AL1902" s="15"/>
      <c r="AM1902" s="51" t="s">
        <v>67</v>
      </c>
      <c r="AN1902" s="51" t="s">
        <v>67</v>
      </c>
      <c r="AO1902" s="50" t="s">
        <v>9554</v>
      </c>
    </row>
    <row r="1903" spans="1:41" hidden="1" x14ac:dyDescent="0.25">
      <c r="A1903" s="51" t="s">
        <v>9513</v>
      </c>
      <c r="B1903" s="51" t="s">
        <v>9514</v>
      </c>
      <c r="C1903" s="54" t="s">
        <v>2358</v>
      </c>
      <c r="D1903" s="51" t="s">
        <v>9515</v>
      </c>
      <c r="E1903" s="20">
        <v>10000</v>
      </c>
      <c r="F1903" s="20">
        <v>5317.46</v>
      </c>
      <c r="G1903" s="20">
        <v>16552.72</v>
      </c>
      <c r="H1903" s="20">
        <v>1764.09</v>
      </c>
      <c r="I1903" s="20">
        <v>5317.46</v>
      </c>
      <c r="J1903" s="51" t="s">
        <v>6724</v>
      </c>
      <c r="K1903" s="15">
        <v>0</v>
      </c>
      <c r="L1903" s="51" t="s">
        <v>2371</v>
      </c>
      <c r="M1903" s="51" t="s">
        <v>9516</v>
      </c>
      <c r="N1903" s="51" t="s">
        <v>1340</v>
      </c>
      <c r="O1903" s="51" t="s">
        <v>67</v>
      </c>
      <c r="P1903" s="51" t="s">
        <v>67</v>
      </c>
      <c r="Q1903" s="45">
        <v>46288.605649016201</v>
      </c>
      <c r="R1903" s="46">
        <v>46309</v>
      </c>
      <c r="S1903" s="46">
        <v>46304</v>
      </c>
      <c r="T1903" s="51" t="s">
        <v>6119</v>
      </c>
      <c r="U1903" s="15"/>
      <c r="V1903" s="15"/>
      <c r="W1903" s="15"/>
      <c r="X1903" s="15"/>
      <c r="Y1903" s="15"/>
      <c r="Z1903" s="15"/>
      <c r="AA1903" s="46"/>
      <c r="AB1903" s="15"/>
      <c r="AC1903" s="15"/>
      <c r="AD1903" s="15"/>
      <c r="AE1903" s="15"/>
      <c r="AF1903" s="15"/>
      <c r="AG1903" s="15"/>
      <c r="AH1903" s="15"/>
      <c r="AI1903" s="46"/>
      <c r="AJ1903" s="51" t="s">
        <v>67</v>
      </c>
      <c r="AK1903" s="51" t="s">
        <v>67</v>
      </c>
      <c r="AL1903" s="15"/>
      <c r="AM1903" s="51" t="s">
        <v>67</v>
      </c>
      <c r="AN1903" s="51" t="s">
        <v>67</v>
      </c>
      <c r="AO1903" s="50" t="s">
        <v>9554</v>
      </c>
    </row>
    <row r="1904" spans="1:41" hidden="1" x14ac:dyDescent="0.25">
      <c r="A1904" s="51" t="s">
        <v>9517</v>
      </c>
      <c r="B1904" s="51" t="s">
        <v>9518</v>
      </c>
      <c r="C1904" s="54" t="s">
        <v>2692</v>
      </c>
      <c r="D1904" s="51" t="s">
        <v>9519</v>
      </c>
      <c r="E1904" s="20">
        <v>10000</v>
      </c>
      <c r="F1904" s="20">
        <v>1226.17</v>
      </c>
      <c r="G1904" s="20">
        <v>2118.4</v>
      </c>
      <c r="H1904" s="20">
        <v>557.35</v>
      </c>
      <c r="I1904" s="20">
        <v>1226.17</v>
      </c>
      <c r="J1904" s="51" t="s">
        <v>6724</v>
      </c>
      <c r="K1904" s="15">
        <v>0</v>
      </c>
      <c r="L1904" s="51" t="s">
        <v>2371</v>
      </c>
      <c r="M1904" s="51" t="s">
        <v>9520</v>
      </c>
      <c r="N1904" s="51" t="s">
        <v>1340</v>
      </c>
      <c r="O1904" s="51" t="s">
        <v>67</v>
      </c>
      <c r="P1904" s="51" t="s">
        <v>67</v>
      </c>
      <c r="Q1904" s="45">
        <v>46288.605653553241</v>
      </c>
      <c r="R1904" s="46">
        <v>46296</v>
      </c>
      <c r="S1904" s="46">
        <v>46291</v>
      </c>
      <c r="T1904" s="51" t="s">
        <v>6119</v>
      </c>
      <c r="U1904" s="15"/>
      <c r="V1904" s="15"/>
      <c r="W1904" s="15"/>
      <c r="X1904" s="15"/>
      <c r="Y1904" s="15"/>
      <c r="Z1904" s="15"/>
      <c r="AA1904" s="46"/>
      <c r="AB1904" s="15"/>
      <c r="AC1904" s="15"/>
      <c r="AD1904" s="15"/>
      <c r="AE1904" s="15"/>
      <c r="AF1904" s="15"/>
      <c r="AG1904" s="15"/>
      <c r="AH1904" s="15"/>
      <c r="AI1904" s="46"/>
      <c r="AJ1904" s="51" t="s">
        <v>67</v>
      </c>
      <c r="AK1904" s="51" t="s">
        <v>67</v>
      </c>
      <c r="AL1904" s="15"/>
      <c r="AM1904" s="51" t="s">
        <v>67</v>
      </c>
      <c r="AN1904" s="51" t="s">
        <v>67</v>
      </c>
      <c r="AO1904" s="50" t="s">
        <v>9554</v>
      </c>
    </row>
    <row r="1905" spans="1:41" hidden="1" x14ac:dyDescent="0.25">
      <c r="A1905" s="51" t="s">
        <v>9521</v>
      </c>
      <c r="B1905" s="51" t="s">
        <v>9522</v>
      </c>
      <c r="C1905" s="54" t="s">
        <v>607</v>
      </c>
      <c r="D1905" s="51" t="s">
        <v>9523</v>
      </c>
      <c r="E1905" s="20">
        <v>10000</v>
      </c>
      <c r="F1905" s="20">
        <v>491.16</v>
      </c>
      <c r="G1905" s="20">
        <v>8810.9599999999991</v>
      </c>
      <c r="H1905" s="20">
        <v>494.89</v>
      </c>
      <c r="I1905" s="20">
        <v>491.16</v>
      </c>
      <c r="J1905" s="51" t="s">
        <v>6724</v>
      </c>
      <c r="K1905" s="15">
        <v>0</v>
      </c>
      <c r="L1905" s="51" t="s">
        <v>2371</v>
      </c>
      <c r="M1905" s="51" t="s">
        <v>67</v>
      </c>
      <c r="N1905" s="51" t="s">
        <v>67</v>
      </c>
      <c r="O1905" s="51" t="s">
        <v>9524</v>
      </c>
      <c r="P1905" s="51" t="s">
        <v>1340</v>
      </c>
      <c r="Q1905" s="45">
        <v>46288.605658981483</v>
      </c>
      <c r="R1905" s="46">
        <v>46310</v>
      </c>
      <c r="S1905" s="46">
        <v>46305</v>
      </c>
      <c r="T1905" s="51" t="s">
        <v>6119</v>
      </c>
      <c r="U1905" s="15"/>
      <c r="V1905" s="15"/>
      <c r="W1905" s="15"/>
      <c r="X1905" s="15"/>
      <c r="Y1905" s="15"/>
      <c r="Z1905" s="15"/>
      <c r="AA1905" s="46"/>
      <c r="AB1905" s="15"/>
      <c r="AC1905" s="15"/>
      <c r="AD1905" s="15"/>
      <c r="AE1905" s="15"/>
      <c r="AF1905" s="15"/>
      <c r="AG1905" s="15"/>
      <c r="AH1905" s="15"/>
      <c r="AI1905" s="46"/>
      <c r="AJ1905" s="51" t="s">
        <v>67</v>
      </c>
      <c r="AK1905" s="51" t="s">
        <v>67</v>
      </c>
      <c r="AL1905" s="15"/>
      <c r="AM1905" s="51" t="s">
        <v>67</v>
      </c>
      <c r="AN1905" s="51" t="s">
        <v>67</v>
      </c>
      <c r="AO1905" s="50" t="s">
        <v>9554</v>
      </c>
    </row>
    <row r="1906" spans="1:41" hidden="1" x14ac:dyDescent="0.25">
      <c r="A1906" s="51" t="s">
        <v>9525</v>
      </c>
      <c r="B1906" s="51" t="s">
        <v>9526</v>
      </c>
      <c r="C1906" s="54" t="s">
        <v>5601</v>
      </c>
      <c r="D1906" s="51" t="s">
        <v>2840</v>
      </c>
      <c r="E1906" s="20">
        <v>10000</v>
      </c>
      <c r="F1906" s="20">
        <v>427.7</v>
      </c>
      <c r="G1906" s="20">
        <v>6704.87</v>
      </c>
      <c r="H1906" s="20">
        <v>561.79</v>
      </c>
      <c r="I1906" s="20">
        <v>263.89</v>
      </c>
      <c r="J1906" s="51" t="s">
        <v>6724</v>
      </c>
      <c r="K1906" s="15">
        <v>0</v>
      </c>
      <c r="L1906" s="51" t="s">
        <v>2371</v>
      </c>
      <c r="M1906" s="51" t="s">
        <v>67</v>
      </c>
      <c r="N1906" s="51" t="s">
        <v>67</v>
      </c>
      <c r="O1906" s="51" t="s">
        <v>9527</v>
      </c>
      <c r="P1906" s="51" t="s">
        <v>1340</v>
      </c>
      <c r="Q1906" s="45">
        <v>46288.605664803239</v>
      </c>
      <c r="R1906" s="46">
        <v>46316</v>
      </c>
      <c r="S1906" s="46">
        <v>46311</v>
      </c>
      <c r="T1906" s="51" t="s">
        <v>6119</v>
      </c>
      <c r="U1906" s="15"/>
      <c r="V1906" s="15"/>
      <c r="W1906" s="15"/>
      <c r="X1906" s="15"/>
      <c r="Y1906" s="15"/>
      <c r="Z1906" s="15"/>
      <c r="AA1906" s="46"/>
      <c r="AB1906" s="15"/>
      <c r="AC1906" s="15"/>
      <c r="AD1906" s="15"/>
      <c r="AE1906" s="15"/>
      <c r="AF1906" s="15"/>
      <c r="AG1906" s="15"/>
      <c r="AH1906" s="15"/>
      <c r="AI1906" s="46"/>
      <c r="AJ1906" s="51" t="s">
        <v>67</v>
      </c>
      <c r="AK1906" s="51" t="s">
        <v>67</v>
      </c>
      <c r="AL1906" s="15"/>
      <c r="AM1906" s="51" t="s">
        <v>67</v>
      </c>
      <c r="AN1906" s="51" t="s">
        <v>67</v>
      </c>
      <c r="AO1906" s="50" t="s">
        <v>9554</v>
      </c>
    </row>
    <row r="1907" spans="1:41" hidden="1" x14ac:dyDescent="0.25">
      <c r="A1907" s="51" t="s">
        <v>9528</v>
      </c>
      <c r="B1907" s="51" t="s">
        <v>9529</v>
      </c>
      <c r="C1907" s="54" t="s">
        <v>2356</v>
      </c>
      <c r="D1907" s="51" t="s">
        <v>9530</v>
      </c>
      <c r="E1907" s="20">
        <v>10000</v>
      </c>
      <c r="F1907" s="20">
        <v>248.56</v>
      </c>
      <c r="G1907" s="20">
        <v>7751.44</v>
      </c>
      <c r="H1907" s="20">
        <v>3571.38</v>
      </c>
      <c r="I1907" s="20">
        <v>248.56</v>
      </c>
      <c r="J1907" s="51" t="s">
        <v>6724</v>
      </c>
      <c r="K1907" s="15">
        <v>0</v>
      </c>
      <c r="L1907" s="51" t="s">
        <v>2371</v>
      </c>
      <c r="M1907" s="51" t="s">
        <v>9531</v>
      </c>
      <c r="N1907" s="51" t="s">
        <v>1340</v>
      </c>
      <c r="O1907" s="51" t="s">
        <v>67</v>
      </c>
      <c r="P1907" s="51" t="s">
        <v>67</v>
      </c>
      <c r="Q1907" s="45">
        <v>46288.619718784721</v>
      </c>
      <c r="R1907" s="46">
        <v>46307</v>
      </c>
      <c r="S1907" s="46">
        <v>46302</v>
      </c>
      <c r="T1907" s="51" t="s">
        <v>6119</v>
      </c>
      <c r="U1907" s="15"/>
      <c r="V1907" s="15"/>
      <c r="W1907" s="15"/>
      <c r="X1907" s="15"/>
      <c r="Y1907" s="15"/>
      <c r="Z1907" s="15"/>
      <c r="AA1907" s="46"/>
      <c r="AB1907" s="15"/>
      <c r="AC1907" s="15"/>
      <c r="AD1907" s="15"/>
      <c r="AE1907" s="15"/>
      <c r="AF1907" s="15"/>
      <c r="AG1907" s="15"/>
      <c r="AH1907" s="15"/>
      <c r="AI1907" s="46"/>
      <c r="AJ1907" s="51" t="s">
        <v>67</v>
      </c>
      <c r="AK1907" s="51" t="s">
        <v>67</v>
      </c>
      <c r="AL1907" s="15"/>
      <c r="AM1907" s="51" t="s">
        <v>67</v>
      </c>
      <c r="AN1907" s="51" t="s">
        <v>67</v>
      </c>
      <c r="AO1907" s="50" t="s">
        <v>9554</v>
      </c>
    </row>
    <row r="1908" spans="1:41" hidden="1" x14ac:dyDescent="0.25">
      <c r="A1908" s="51" t="s">
        <v>9532</v>
      </c>
      <c r="B1908" s="51" t="s">
        <v>9533</v>
      </c>
      <c r="C1908" s="54" t="s">
        <v>607</v>
      </c>
      <c r="D1908" s="51" t="s">
        <v>8644</v>
      </c>
      <c r="E1908" s="20">
        <v>10000</v>
      </c>
      <c r="F1908" s="20">
        <v>1851.98</v>
      </c>
      <c r="G1908" s="20">
        <v>16825.099999999999</v>
      </c>
      <c r="H1908" s="20">
        <v>3727.57</v>
      </c>
      <c r="I1908" s="20">
        <v>1851.98</v>
      </c>
      <c r="J1908" s="51" t="s">
        <v>6724</v>
      </c>
      <c r="K1908" s="15">
        <v>0</v>
      </c>
      <c r="L1908" s="51" t="s">
        <v>2371</v>
      </c>
      <c r="M1908" s="51" t="s">
        <v>9534</v>
      </c>
      <c r="N1908" s="51" t="s">
        <v>1340</v>
      </c>
      <c r="O1908" s="51" t="s">
        <v>9535</v>
      </c>
      <c r="P1908" s="51" t="s">
        <v>1340</v>
      </c>
      <c r="Q1908" s="45">
        <v>46288.696326041667</v>
      </c>
      <c r="R1908" s="46">
        <v>46310</v>
      </c>
      <c r="S1908" s="46">
        <v>46305</v>
      </c>
      <c r="T1908" s="51" t="s">
        <v>6119</v>
      </c>
      <c r="U1908" s="15"/>
      <c r="V1908" s="15"/>
      <c r="W1908" s="15"/>
      <c r="X1908" s="15"/>
      <c r="Y1908" s="15"/>
      <c r="Z1908" s="15"/>
      <c r="AA1908" s="46"/>
      <c r="AB1908" s="15"/>
      <c r="AC1908" s="15"/>
      <c r="AD1908" s="15"/>
      <c r="AE1908" s="15"/>
      <c r="AF1908" s="15"/>
      <c r="AG1908" s="15"/>
      <c r="AH1908" s="15"/>
      <c r="AI1908" s="46"/>
      <c r="AJ1908" s="51" t="s">
        <v>67</v>
      </c>
      <c r="AK1908" s="51" t="s">
        <v>67</v>
      </c>
      <c r="AL1908" s="15"/>
      <c r="AM1908" s="51" t="s">
        <v>67</v>
      </c>
      <c r="AN1908" s="51" t="s">
        <v>67</v>
      </c>
      <c r="AO1908" s="50" t="s">
        <v>9554</v>
      </c>
    </row>
    <row r="1909" spans="1:41" hidden="1" x14ac:dyDescent="0.25">
      <c r="A1909" s="51" t="s">
        <v>9536</v>
      </c>
      <c r="B1909" s="51" t="s">
        <v>9537</v>
      </c>
      <c r="C1909" s="54" t="s">
        <v>2356</v>
      </c>
      <c r="D1909" s="51" t="s">
        <v>9538</v>
      </c>
      <c r="E1909" s="20">
        <v>10000</v>
      </c>
      <c r="F1909" s="20">
        <v>1915.49</v>
      </c>
      <c r="G1909" s="20">
        <v>299.54000000000002</v>
      </c>
      <c r="H1909" s="20">
        <v>994.27</v>
      </c>
      <c r="I1909" s="20">
        <v>1915.49</v>
      </c>
      <c r="J1909" s="51" t="s">
        <v>6724</v>
      </c>
      <c r="K1909" s="15">
        <v>0</v>
      </c>
      <c r="L1909" s="51" t="s">
        <v>2371</v>
      </c>
      <c r="M1909" s="51" t="s">
        <v>9539</v>
      </c>
      <c r="N1909" s="51" t="s">
        <v>1340</v>
      </c>
      <c r="O1909" s="51" t="s">
        <v>9540</v>
      </c>
      <c r="P1909" s="51" t="s">
        <v>1340</v>
      </c>
      <c r="Q1909" s="45">
        <v>46288.696333796295</v>
      </c>
      <c r="R1909" s="46">
        <v>46307</v>
      </c>
      <c r="S1909" s="46">
        <v>46302</v>
      </c>
      <c r="T1909" s="51" t="s">
        <v>6119</v>
      </c>
      <c r="U1909" s="15"/>
      <c r="V1909" s="15"/>
      <c r="W1909" s="15"/>
      <c r="X1909" s="15"/>
      <c r="Y1909" s="15"/>
      <c r="Z1909" s="15"/>
      <c r="AA1909" s="46"/>
      <c r="AB1909" s="15"/>
      <c r="AC1909" s="15"/>
      <c r="AD1909" s="15"/>
      <c r="AE1909" s="15"/>
      <c r="AF1909" s="15"/>
      <c r="AG1909" s="15"/>
      <c r="AH1909" s="15"/>
      <c r="AI1909" s="46"/>
      <c r="AJ1909" s="51" t="s">
        <v>67</v>
      </c>
      <c r="AK1909" s="51" t="s">
        <v>67</v>
      </c>
      <c r="AL1909" s="15"/>
      <c r="AM1909" s="51" t="s">
        <v>67</v>
      </c>
      <c r="AN1909" s="51" t="s">
        <v>67</v>
      </c>
      <c r="AO1909" s="50" t="s">
        <v>9554</v>
      </c>
    </row>
    <row r="1910" spans="1:41" hidden="1" x14ac:dyDescent="0.25">
      <c r="A1910" s="51" t="s">
        <v>9541</v>
      </c>
      <c r="B1910" s="51" t="s">
        <v>9542</v>
      </c>
      <c r="C1910" s="54" t="s">
        <v>5603</v>
      </c>
      <c r="D1910" s="51" t="s">
        <v>9543</v>
      </c>
      <c r="E1910" s="20">
        <v>10000</v>
      </c>
      <c r="F1910" s="20">
        <v>4829.18</v>
      </c>
      <c r="G1910" s="20">
        <v>4426.88</v>
      </c>
      <c r="H1910" s="20">
        <v>601.66</v>
      </c>
      <c r="I1910" s="20">
        <v>4829.18</v>
      </c>
      <c r="J1910" s="51" t="s">
        <v>6724</v>
      </c>
      <c r="K1910" s="15">
        <v>0</v>
      </c>
      <c r="L1910" s="51" t="s">
        <v>2371</v>
      </c>
      <c r="M1910" s="51" t="s">
        <v>67</v>
      </c>
      <c r="N1910" s="51" t="s">
        <v>67</v>
      </c>
      <c r="O1910" s="51" t="s">
        <v>9544</v>
      </c>
      <c r="P1910" s="51" t="s">
        <v>1340</v>
      </c>
      <c r="Q1910" s="45">
        <v>46288.696338344904</v>
      </c>
      <c r="R1910" s="46">
        <v>46298</v>
      </c>
      <c r="S1910" s="46">
        <v>46293</v>
      </c>
      <c r="T1910" s="51" t="s">
        <v>6119</v>
      </c>
      <c r="U1910" s="15"/>
      <c r="V1910" s="15"/>
      <c r="W1910" s="15"/>
      <c r="X1910" s="15"/>
      <c r="Y1910" s="15"/>
      <c r="Z1910" s="15"/>
      <c r="AA1910" s="46"/>
      <c r="AB1910" s="15"/>
      <c r="AC1910" s="15"/>
      <c r="AD1910" s="15"/>
      <c r="AE1910" s="15"/>
      <c r="AF1910" s="15"/>
      <c r="AG1910" s="15"/>
      <c r="AH1910" s="15"/>
      <c r="AI1910" s="46"/>
      <c r="AJ1910" s="51" t="s">
        <v>67</v>
      </c>
      <c r="AK1910" s="51" t="s">
        <v>67</v>
      </c>
      <c r="AL1910" s="15"/>
      <c r="AM1910" s="51" t="s">
        <v>67</v>
      </c>
      <c r="AN1910" s="51" t="s">
        <v>67</v>
      </c>
      <c r="AO1910" s="50" t="s">
        <v>9554</v>
      </c>
    </row>
    <row r="1911" spans="1:41" hidden="1" x14ac:dyDescent="0.25">
      <c r="A1911" s="51" t="s">
        <v>9545</v>
      </c>
      <c r="B1911" s="51" t="s">
        <v>9546</v>
      </c>
      <c r="C1911" s="54" t="s">
        <v>608</v>
      </c>
      <c r="D1911" s="51" t="s">
        <v>9547</v>
      </c>
      <c r="E1911" s="20">
        <v>10000</v>
      </c>
      <c r="F1911" s="20">
        <v>277.99</v>
      </c>
      <c r="G1911" s="20">
        <v>20963.919999999998</v>
      </c>
      <c r="H1911" s="20">
        <v>852.37</v>
      </c>
      <c r="I1911" s="20">
        <v>218.09</v>
      </c>
      <c r="J1911" s="51" t="s">
        <v>6724</v>
      </c>
      <c r="K1911" s="15">
        <v>0</v>
      </c>
      <c r="L1911" s="51" t="s">
        <v>2371</v>
      </c>
      <c r="M1911" s="51" t="s">
        <v>9548</v>
      </c>
      <c r="N1911" s="51" t="s">
        <v>1340</v>
      </c>
      <c r="O1911" s="51" t="s">
        <v>67</v>
      </c>
      <c r="P1911" s="51" t="s">
        <v>67</v>
      </c>
      <c r="Q1911" s="45">
        <v>46288.696342592593</v>
      </c>
      <c r="R1911" s="46">
        <v>46315</v>
      </c>
      <c r="S1911" s="46">
        <v>46310</v>
      </c>
      <c r="T1911" s="51" t="s">
        <v>6119</v>
      </c>
      <c r="U1911" s="15"/>
      <c r="V1911" s="15"/>
      <c r="W1911" s="15"/>
      <c r="X1911" s="15"/>
      <c r="Y1911" s="15"/>
      <c r="Z1911" s="15"/>
      <c r="AA1911" s="46"/>
      <c r="AB1911" s="15"/>
      <c r="AC1911" s="15"/>
      <c r="AD1911" s="15"/>
      <c r="AE1911" s="15"/>
      <c r="AF1911" s="15"/>
      <c r="AG1911" s="15"/>
      <c r="AH1911" s="15"/>
      <c r="AI1911" s="46"/>
      <c r="AJ1911" s="51" t="s">
        <v>67</v>
      </c>
      <c r="AK1911" s="51" t="s">
        <v>67</v>
      </c>
      <c r="AL1911" s="15"/>
      <c r="AM1911" s="51" t="s">
        <v>67</v>
      </c>
      <c r="AN1911" s="51" t="s">
        <v>67</v>
      </c>
      <c r="AO1911" s="50" t="s">
        <v>9554</v>
      </c>
    </row>
    <row r="1912" spans="1:41" hidden="1" x14ac:dyDescent="0.25">
      <c r="A1912" s="51" t="s">
        <v>9557</v>
      </c>
      <c r="B1912" s="51" t="s">
        <v>9558</v>
      </c>
      <c r="C1912" s="54" t="s">
        <v>5601</v>
      </c>
      <c r="D1912" s="51" t="s">
        <v>9559</v>
      </c>
      <c r="E1912" s="20">
        <v>10000</v>
      </c>
      <c r="F1912" s="20">
        <v>581.95000000000005</v>
      </c>
      <c r="G1912" s="20">
        <v>2156.9699999999998</v>
      </c>
      <c r="H1912" s="20">
        <v>7048.83</v>
      </c>
      <c r="I1912" s="20">
        <v>7630.78</v>
      </c>
      <c r="J1912" s="51" t="s">
        <v>6727</v>
      </c>
      <c r="K1912" s="15">
        <v>0</v>
      </c>
      <c r="L1912" s="51" t="s">
        <v>2371</v>
      </c>
      <c r="M1912" s="51" t="s">
        <v>9560</v>
      </c>
      <c r="N1912" s="51" t="s">
        <v>1340</v>
      </c>
      <c r="O1912" s="51" t="s">
        <v>67</v>
      </c>
      <c r="P1912" s="51" t="s">
        <v>67</v>
      </c>
      <c r="Q1912" s="45">
        <v>46291.444529652777</v>
      </c>
      <c r="R1912" s="46">
        <v>46316</v>
      </c>
      <c r="S1912" s="46">
        <v>46311</v>
      </c>
      <c r="T1912" s="51" t="s">
        <v>6119</v>
      </c>
      <c r="U1912" s="15"/>
      <c r="V1912" s="15"/>
      <c r="W1912" s="15"/>
      <c r="X1912" s="15"/>
      <c r="Y1912" s="15"/>
      <c r="Z1912" s="15"/>
      <c r="AA1912" s="46"/>
      <c r="AB1912" s="15"/>
      <c r="AC1912" s="15"/>
      <c r="AD1912" s="15"/>
      <c r="AE1912" s="15"/>
      <c r="AF1912" s="15"/>
      <c r="AG1912" s="15"/>
      <c r="AH1912" s="15"/>
      <c r="AI1912" s="46"/>
      <c r="AJ1912" s="51" t="s">
        <v>67</v>
      </c>
      <c r="AK1912" s="51" t="s">
        <v>67</v>
      </c>
      <c r="AL1912" s="15"/>
      <c r="AM1912" s="51" t="s">
        <v>67</v>
      </c>
      <c r="AN1912" s="51" t="s">
        <v>67</v>
      </c>
      <c r="AO1912" s="50" t="s">
        <v>9554</v>
      </c>
    </row>
    <row r="1913" spans="1:41" hidden="1" x14ac:dyDescent="0.25">
      <c r="A1913" s="51" t="s">
        <v>9561</v>
      </c>
      <c r="B1913" s="51" t="s">
        <v>9562</v>
      </c>
      <c r="C1913" s="54" t="s">
        <v>5597</v>
      </c>
      <c r="D1913" s="51" t="s">
        <v>9563</v>
      </c>
      <c r="E1913" s="20">
        <v>10000</v>
      </c>
      <c r="F1913" s="20">
        <v>777.34</v>
      </c>
      <c r="G1913" s="20">
        <v>21037.599999999999</v>
      </c>
      <c r="H1913" s="20">
        <v>2237.21</v>
      </c>
      <c r="I1913" s="20">
        <v>2237.21</v>
      </c>
      <c r="J1913" s="51" t="s">
        <v>6727</v>
      </c>
      <c r="K1913" s="15">
        <v>0</v>
      </c>
      <c r="L1913" s="51" t="s">
        <v>2371</v>
      </c>
      <c r="M1913" s="51" t="s">
        <v>67</v>
      </c>
      <c r="N1913" s="51" t="s">
        <v>67</v>
      </c>
      <c r="O1913" s="51" t="s">
        <v>9564</v>
      </c>
      <c r="P1913" s="51" t="s">
        <v>1344</v>
      </c>
      <c r="Q1913" s="45">
        <v>46291.444536261573</v>
      </c>
      <c r="R1913" s="46">
        <v>46321</v>
      </c>
      <c r="S1913" s="46">
        <v>46316</v>
      </c>
      <c r="T1913" s="51" t="s">
        <v>6119</v>
      </c>
      <c r="U1913" s="15"/>
      <c r="V1913" s="15"/>
      <c r="W1913" s="15"/>
      <c r="X1913" s="15"/>
      <c r="Y1913" s="15"/>
      <c r="Z1913" s="15"/>
      <c r="AA1913" s="46"/>
      <c r="AB1913" s="15"/>
      <c r="AC1913" s="15"/>
      <c r="AD1913" s="15"/>
      <c r="AE1913" s="15"/>
      <c r="AF1913" s="15"/>
      <c r="AG1913" s="15"/>
      <c r="AH1913" s="15"/>
      <c r="AI1913" s="46"/>
      <c r="AJ1913" s="51" t="s">
        <v>67</v>
      </c>
      <c r="AK1913" s="51" t="s">
        <v>67</v>
      </c>
      <c r="AL1913" s="15"/>
      <c r="AM1913" s="51" t="s">
        <v>67</v>
      </c>
      <c r="AN1913" s="51" t="s">
        <v>67</v>
      </c>
      <c r="AO1913" s="50" t="s">
        <v>9554</v>
      </c>
    </row>
    <row r="1914" spans="1:41" hidden="1" x14ac:dyDescent="0.25">
      <c r="A1914" s="51" t="s">
        <v>9565</v>
      </c>
      <c r="B1914" s="51" t="s">
        <v>9566</v>
      </c>
      <c r="C1914" s="54" t="s">
        <v>5600</v>
      </c>
      <c r="D1914" s="51" t="s">
        <v>7872</v>
      </c>
      <c r="E1914" s="20">
        <v>10000</v>
      </c>
      <c r="F1914" s="20">
        <v>6116.83</v>
      </c>
      <c r="G1914" s="20">
        <v>1989.49</v>
      </c>
      <c r="H1914" s="20">
        <v>4463.6400000000003</v>
      </c>
      <c r="I1914" s="20">
        <v>10580.47</v>
      </c>
      <c r="J1914" s="51" t="s">
        <v>6727</v>
      </c>
      <c r="K1914" s="15">
        <v>0</v>
      </c>
      <c r="L1914" s="51" t="s">
        <v>2371</v>
      </c>
      <c r="M1914" s="51" t="s">
        <v>9567</v>
      </c>
      <c r="N1914" s="51" t="s">
        <v>1340</v>
      </c>
      <c r="O1914" s="51" t="s">
        <v>67</v>
      </c>
      <c r="P1914" s="51" t="s">
        <v>67</v>
      </c>
      <c r="Q1914" s="45">
        <v>46291.444540902776</v>
      </c>
      <c r="R1914" s="46">
        <v>46304</v>
      </c>
      <c r="S1914" s="46">
        <v>46299</v>
      </c>
      <c r="T1914" s="51" t="s">
        <v>6119</v>
      </c>
      <c r="U1914" s="15"/>
      <c r="V1914" s="15"/>
      <c r="W1914" s="15"/>
      <c r="X1914" s="15"/>
      <c r="Y1914" s="15"/>
      <c r="Z1914" s="15"/>
      <c r="AA1914" s="46"/>
      <c r="AB1914" s="15"/>
      <c r="AC1914" s="15"/>
      <c r="AD1914" s="15"/>
      <c r="AE1914" s="15"/>
      <c r="AF1914" s="15"/>
      <c r="AG1914" s="15"/>
      <c r="AH1914" s="15"/>
      <c r="AI1914" s="46"/>
      <c r="AJ1914" s="51" t="s">
        <v>67</v>
      </c>
      <c r="AK1914" s="51" t="s">
        <v>67</v>
      </c>
      <c r="AL1914" s="15"/>
      <c r="AM1914" s="51" t="s">
        <v>67</v>
      </c>
      <c r="AN1914" s="51" t="s">
        <v>67</v>
      </c>
      <c r="AO1914" s="50" t="s">
        <v>9554</v>
      </c>
    </row>
    <row r="1915" spans="1:41" hidden="1" x14ac:dyDescent="0.25">
      <c r="A1915" s="51" t="s">
        <v>9568</v>
      </c>
      <c r="B1915" s="51" t="s">
        <v>9569</v>
      </c>
      <c r="C1915" s="54" t="s">
        <v>5608</v>
      </c>
      <c r="D1915" s="51" t="s">
        <v>9570</v>
      </c>
      <c r="E1915" s="20">
        <v>10000</v>
      </c>
      <c r="F1915" s="20">
        <v>566.67999999999995</v>
      </c>
      <c r="G1915" s="20">
        <v>5335.47</v>
      </c>
      <c r="H1915" s="20">
        <v>2397.15</v>
      </c>
      <c r="I1915" s="20">
        <v>2767.96</v>
      </c>
      <c r="J1915" s="51" t="s">
        <v>6727</v>
      </c>
      <c r="K1915" s="15">
        <v>0</v>
      </c>
      <c r="L1915" s="51" t="s">
        <v>2371</v>
      </c>
      <c r="M1915" s="51" t="s">
        <v>9571</v>
      </c>
      <c r="N1915" s="51" t="s">
        <v>1340</v>
      </c>
      <c r="O1915" s="51" t="s">
        <v>9572</v>
      </c>
      <c r="P1915" s="51" t="s">
        <v>1340</v>
      </c>
      <c r="Q1915" s="45">
        <v>46291.444545659724</v>
      </c>
      <c r="R1915" s="46">
        <v>46319</v>
      </c>
      <c r="S1915" s="46">
        <v>46314</v>
      </c>
      <c r="T1915" s="51" t="s">
        <v>6119</v>
      </c>
      <c r="U1915" s="15"/>
      <c r="V1915" s="15"/>
      <c r="W1915" s="15"/>
      <c r="X1915" s="15"/>
      <c r="Y1915" s="15"/>
      <c r="Z1915" s="15"/>
      <c r="AA1915" s="46"/>
      <c r="AB1915" s="15"/>
      <c r="AC1915" s="15"/>
      <c r="AD1915" s="15"/>
      <c r="AE1915" s="15"/>
      <c r="AF1915" s="15"/>
      <c r="AG1915" s="15"/>
      <c r="AH1915" s="15"/>
      <c r="AI1915" s="46"/>
      <c r="AJ1915" s="51" t="s">
        <v>67</v>
      </c>
      <c r="AK1915" s="51" t="s">
        <v>67</v>
      </c>
      <c r="AL1915" s="15"/>
      <c r="AM1915" s="51" t="s">
        <v>67</v>
      </c>
      <c r="AN1915" s="51" t="s">
        <v>67</v>
      </c>
      <c r="AO1915" s="50" t="s">
        <v>9554</v>
      </c>
    </row>
    <row r="1916" spans="1:41" hidden="1" x14ac:dyDescent="0.25">
      <c r="A1916" s="51" t="s">
        <v>9573</v>
      </c>
      <c r="B1916" s="51" t="s">
        <v>9574</v>
      </c>
      <c r="C1916" s="54" t="s">
        <v>607</v>
      </c>
      <c r="D1916" s="51" t="s">
        <v>9575</v>
      </c>
      <c r="E1916" s="20">
        <v>10000</v>
      </c>
      <c r="F1916" s="20">
        <v>100.29</v>
      </c>
      <c r="G1916" s="20">
        <v>15153.62</v>
      </c>
      <c r="H1916" s="20">
        <v>1871.11</v>
      </c>
      <c r="I1916" s="20">
        <v>1971.4</v>
      </c>
      <c r="J1916" s="51" t="s">
        <v>6727</v>
      </c>
      <c r="K1916" s="15">
        <v>0</v>
      </c>
      <c r="L1916" s="51" t="s">
        <v>2371</v>
      </c>
      <c r="M1916" s="51" t="s">
        <v>9576</v>
      </c>
      <c r="N1916" s="51" t="s">
        <v>1340</v>
      </c>
      <c r="O1916" s="51" t="s">
        <v>9577</v>
      </c>
      <c r="P1916" s="51" t="s">
        <v>1340</v>
      </c>
      <c r="Q1916" s="45">
        <v>46291.444550624998</v>
      </c>
      <c r="R1916" s="46">
        <v>46310</v>
      </c>
      <c r="S1916" s="46">
        <v>46305</v>
      </c>
      <c r="T1916" s="51" t="s">
        <v>6119</v>
      </c>
      <c r="U1916" s="15"/>
      <c r="V1916" s="15"/>
      <c r="W1916" s="15"/>
      <c r="X1916" s="15"/>
      <c r="Y1916" s="15"/>
      <c r="Z1916" s="15"/>
      <c r="AA1916" s="46"/>
      <c r="AB1916" s="15"/>
      <c r="AC1916" s="15"/>
      <c r="AD1916" s="15"/>
      <c r="AE1916" s="15"/>
      <c r="AF1916" s="15"/>
      <c r="AG1916" s="15"/>
      <c r="AH1916" s="15"/>
      <c r="AI1916" s="46"/>
      <c r="AJ1916" s="51" t="s">
        <v>67</v>
      </c>
      <c r="AK1916" s="51" t="s">
        <v>67</v>
      </c>
      <c r="AL1916" s="15"/>
      <c r="AM1916" s="51" t="s">
        <v>67</v>
      </c>
      <c r="AN1916" s="51" t="s">
        <v>67</v>
      </c>
      <c r="AO1916" s="50" t="s">
        <v>9554</v>
      </c>
    </row>
    <row r="1917" spans="1:41" hidden="1" x14ac:dyDescent="0.25">
      <c r="A1917" s="51" t="s">
        <v>9578</v>
      </c>
      <c r="B1917" s="51" t="s">
        <v>9579</v>
      </c>
      <c r="C1917" s="54" t="s">
        <v>5599</v>
      </c>
      <c r="D1917" s="51" t="s">
        <v>9580</v>
      </c>
      <c r="E1917" s="20">
        <v>10000</v>
      </c>
      <c r="F1917" s="20">
        <v>1971.15</v>
      </c>
      <c r="G1917" s="20">
        <v>3651.75</v>
      </c>
      <c r="H1917" s="20">
        <v>4597.54</v>
      </c>
      <c r="I1917" s="20">
        <v>6568.69</v>
      </c>
      <c r="J1917" s="51" t="s">
        <v>6727</v>
      </c>
      <c r="K1917" s="15">
        <v>0</v>
      </c>
      <c r="L1917" s="51" t="s">
        <v>2371</v>
      </c>
      <c r="M1917" s="51" t="s">
        <v>9581</v>
      </c>
      <c r="N1917" s="51" t="s">
        <v>1340</v>
      </c>
      <c r="O1917" s="51" t="s">
        <v>67</v>
      </c>
      <c r="P1917" s="51" t="s">
        <v>67</v>
      </c>
      <c r="Q1917" s="45">
        <v>46291.444555196758</v>
      </c>
      <c r="R1917" s="46">
        <v>46302</v>
      </c>
      <c r="S1917" s="46">
        <v>46297</v>
      </c>
      <c r="T1917" s="51" t="s">
        <v>6119</v>
      </c>
      <c r="U1917" s="15"/>
      <c r="V1917" s="15"/>
      <c r="W1917" s="15"/>
      <c r="X1917" s="15"/>
      <c r="Y1917" s="15"/>
      <c r="Z1917" s="15"/>
      <c r="AA1917" s="46"/>
      <c r="AB1917" s="15"/>
      <c r="AC1917" s="15"/>
      <c r="AD1917" s="15"/>
      <c r="AE1917" s="15"/>
      <c r="AF1917" s="15"/>
      <c r="AG1917" s="15"/>
      <c r="AH1917" s="15"/>
      <c r="AI1917" s="46"/>
      <c r="AJ1917" s="51" t="s">
        <v>67</v>
      </c>
      <c r="AK1917" s="51" t="s">
        <v>67</v>
      </c>
      <c r="AL1917" s="15"/>
      <c r="AM1917" s="51" t="s">
        <v>67</v>
      </c>
      <c r="AN1917" s="51" t="s">
        <v>67</v>
      </c>
      <c r="AO1917" s="50" t="s">
        <v>9554</v>
      </c>
    </row>
    <row r="1918" spans="1:41" hidden="1" x14ac:dyDescent="0.25">
      <c r="A1918" s="51" t="s">
        <v>9582</v>
      </c>
      <c r="B1918" s="51" t="s">
        <v>9583</v>
      </c>
      <c r="C1918" s="54" t="s">
        <v>2345</v>
      </c>
      <c r="D1918" s="51" t="s">
        <v>9584</v>
      </c>
      <c r="E1918" s="20">
        <v>10000</v>
      </c>
      <c r="F1918" s="20">
        <v>387.86</v>
      </c>
      <c r="G1918" s="20">
        <v>12073.37</v>
      </c>
      <c r="H1918" s="20">
        <v>6032.71</v>
      </c>
      <c r="I1918" s="20">
        <v>6420.57</v>
      </c>
      <c r="J1918" s="51" t="s">
        <v>6727</v>
      </c>
      <c r="K1918" s="15">
        <v>0</v>
      </c>
      <c r="L1918" s="51" t="s">
        <v>2371</v>
      </c>
      <c r="M1918" s="51" t="s">
        <v>9585</v>
      </c>
      <c r="N1918" s="51" t="s">
        <v>1344</v>
      </c>
      <c r="O1918" s="51" t="s">
        <v>9586</v>
      </c>
      <c r="P1918" s="51" t="s">
        <v>1344</v>
      </c>
      <c r="Q1918" s="45">
        <v>46291.444560509262</v>
      </c>
      <c r="R1918" s="46">
        <v>46306</v>
      </c>
      <c r="S1918" s="46">
        <v>46301</v>
      </c>
      <c r="T1918" s="51" t="s">
        <v>6119</v>
      </c>
      <c r="U1918" s="15"/>
      <c r="V1918" s="15"/>
      <c r="W1918" s="15"/>
      <c r="X1918" s="15"/>
      <c r="Y1918" s="15"/>
      <c r="Z1918" s="15"/>
      <c r="AA1918" s="46"/>
      <c r="AB1918" s="15"/>
      <c r="AC1918" s="15"/>
      <c r="AD1918" s="15"/>
      <c r="AE1918" s="15"/>
      <c r="AF1918" s="15"/>
      <c r="AG1918" s="15"/>
      <c r="AH1918" s="15"/>
      <c r="AI1918" s="46"/>
      <c r="AJ1918" s="51" t="s">
        <v>67</v>
      </c>
      <c r="AK1918" s="51" t="s">
        <v>67</v>
      </c>
      <c r="AL1918" s="15"/>
      <c r="AM1918" s="51" t="s">
        <v>67</v>
      </c>
      <c r="AN1918" s="51" t="s">
        <v>67</v>
      </c>
      <c r="AO1918" s="50" t="s">
        <v>9554</v>
      </c>
    </row>
    <row r="1919" spans="1:41" hidden="1" x14ac:dyDescent="0.25">
      <c r="A1919" s="51" t="s">
        <v>9587</v>
      </c>
      <c r="B1919" s="51" t="s">
        <v>9588</v>
      </c>
      <c r="C1919" s="54" t="s">
        <v>5605</v>
      </c>
      <c r="D1919" s="51" t="s">
        <v>9589</v>
      </c>
      <c r="E1919" s="20">
        <v>10000</v>
      </c>
      <c r="F1919" s="20">
        <v>1452.64</v>
      </c>
      <c r="G1919" s="20">
        <v>15333.18</v>
      </c>
      <c r="H1919" s="20">
        <v>1941.91</v>
      </c>
      <c r="I1919" s="20">
        <v>3394.55</v>
      </c>
      <c r="J1919" s="51" t="s">
        <v>6727</v>
      </c>
      <c r="K1919" s="15">
        <v>0</v>
      </c>
      <c r="L1919" s="51" t="s">
        <v>2371</v>
      </c>
      <c r="M1919" s="51" t="s">
        <v>9590</v>
      </c>
      <c r="N1919" s="51" t="s">
        <v>1340</v>
      </c>
      <c r="O1919" s="51" t="s">
        <v>9591</v>
      </c>
      <c r="P1919" s="51" t="s">
        <v>1340</v>
      </c>
      <c r="Q1919" s="45">
        <v>46291.444565104168</v>
      </c>
      <c r="R1919" s="46">
        <v>46323</v>
      </c>
      <c r="S1919" s="46">
        <v>46318</v>
      </c>
      <c r="T1919" s="51" t="s">
        <v>6119</v>
      </c>
      <c r="U1919" s="15"/>
      <c r="V1919" s="15"/>
      <c r="W1919" s="15"/>
      <c r="X1919" s="15"/>
      <c r="Y1919" s="15"/>
      <c r="Z1919" s="15"/>
      <c r="AA1919" s="46"/>
      <c r="AB1919" s="15"/>
      <c r="AC1919" s="15"/>
      <c r="AD1919" s="15"/>
      <c r="AE1919" s="15"/>
      <c r="AF1919" s="15"/>
      <c r="AG1919" s="15"/>
      <c r="AH1919" s="15"/>
      <c r="AI1919" s="46"/>
      <c r="AJ1919" s="51" t="s">
        <v>67</v>
      </c>
      <c r="AK1919" s="51" t="s">
        <v>67</v>
      </c>
      <c r="AL1919" s="15"/>
      <c r="AM1919" s="51" t="s">
        <v>67</v>
      </c>
      <c r="AN1919" s="51" t="s">
        <v>67</v>
      </c>
      <c r="AO1919" s="50" t="s">
        <v>9554</v>
      </c>
    </row>
    <row r="1920" spans="1:41" hidden="1" x14ac:dyDescent="0.25">
      <c r="A1920" s="51" t="s">
        <v>9592</v>
      </c>
      <c r="B1920" s="51" t="s">
        <v>9593</v>
      </c>
      <c r="C1920" s="54" t="s">
        <v>5604</v>
      </c>
      <c r="D1920" s="51" t="s">
        <v>9594</v>
      </c>
      <c r="E1920" s="20">
        <v>10000</v>
      </c>
      <c r="F1920" s="20">
        <v>829.59</v>
      </c>
      <c r="G1920" s="20">
        <v>7442.81</v>
      </c>
      <c r="H1920" s="20">
        <v>4697.3</v>
      </c>
      <c r="I1920" s="20">
        <v>5526.89</v>
      </c>
      <c r="J1920" s="51" t="s">
        <v>6727</v>
      </c>
      <c r="K1920" s="15">
        <v>0</v>
      </c>
      <c r="L1920" s="51" t="s">
        <v>2371</v>
      </c>
      <c r="M1920" s="51" t="s">
        <v>67</v>
      </c>
      <c r="N1920" s="51" t="s">
        <v>67</v>
      </c>
      <c r="O1920" s="51" t="s">
        <v>9595</v>
      </c>
      <c r="P1920" s="51" t="s">
        <v>1344</v>
      </c>
      <c r="Q1920" s="45">
        <v>46291.444569699073</v>
      </c>
      <c r="R1920" s="46">
        <v>46313</v>
      </c>
      <c r="S1920" s="46">
        <v>46308</v>
      </c>
      <c r="T1920" s="51" t="s">
        <v>6119</v>
      </c>
      <c r="U1920" s="15"/>
      <c r="V1920" s="15"/>
      <c r="W1920" s="15"/>
      <c r="X1920" s="15"/>
      <c r="Y1920" s="15"/>
      <c r="Z1920" s="15"/>
      <c r="AA1920" s="46"/>
      <c r="AB1920" s="15"/>
      <c r="AC1920" s="15"/>
      <c r="AD1920" s="15"/>
      <c r="AE1920" s="15"/>
      <c r="AF1920" s="15"/>
      <c r="AG1920" s="15"/>
      <c r="AH1920" s="15"/>
      <c r="AI1920" s="46"/>
      <c r="AJ1920" s="51" t="s">
        <v>67</v>
      </c>
      <c r="AK1920" s="51" t="s">
        <v>67</v>
      </c>
      <c r="AL1920" s="15"/>
      <c r="AM1920" s="51" t="s">
        <v>67</v>
      </c>
      <c r="AN1920" s="51" t="s">
        <v>67</v>
      </c>
      <c r="AO1920" s="50" t="s">
        <v>9554</v>
      </c>
    </row>
    <row r="1921" spans="1:41" hidden="1" x14ac:dyDescent="0.25">
      <c r="A1921" s="51" t="s">
        <v>9596</v>
      </c>
      <c r="B1921" s="51" t="s">
        <v>9597</v>
      </c>
      <c r="C1921" s="54" t="s">
        <v>5601</v>
      </c>
      <c r="D1921" s="51" t="s">
        <v>9598</v>
      </c>
      <c r="E1921" s="20">
        <v>10000</v>
      </c>
      <c r="F1921" s="20">
        <v>584.15</v>
      </c>
      <c r="G1921" s="20">
        <v>2628.27</v>
      </c>
      <c r="H1921" s="20">
        <v>1775.4</v>
      </c>
      <c r="I1921" s="20">
        <v>2359.5500000000002</v>
      </c>
      <c r="J1921" s="51" t="s">
        <v>6727</v>
      </c>
      <c r="K1921" s="15">
        <v>0</v>
      </c>
      <c r="L1921" s="51" t="s">
        <v>2371</v>
      </c>
      <c r="M1921" s="51" t="s">
        <v>9599</v>
      </c>
      <c r="N1921" s="51" t="s">
        <v>1340</v>
      </c>
      <c r="O1921" s="51" t="s">
        <v>9600</v>
      </c>
      <c r="P1921" s="51" t="s">
        <v>1340</v>
      </c>
      <c r="Q1921" s="45">
        <v>46291.444574456022</v>
      </c>
      <c r="R1921" s="46">
        <v>46316</v>
      </c>
      <c r="S1921" s="46">
        <v>46311</v>
      </c>
      <c r="T1921" s="51" t="s">
        <v>6119</v>
      </c>
      <c r="U1921" s="15"/>
      <c r="V1921" s="15"/>
      <c r="W1921" s="15"/>
      <c r="X1921" s="15"/>
      <c r="Y1921" s="15"/>
      <c r="Z1921" s="15"/>
      <c r="AA1921" s="46"/>
      <c r="AB1921" s="15"/>
      <c r="AC1921" s="15"/>
      <c r="AD1921" s="15"/>
      <c r="AE1921" s="15"/>
      <c r="AF1921" s="15"/>
      <c r="AG1921" s="15"/>
      <c r="AH1921" s="15"/>
      <c r="AI1921" s="46"/>
      <c r="AJ1921" s="51" t="s">
        <v>67</v>
      </c>
      <c r="AK1921" s="51" t="s">
        <v>67</v>
      </c>
      <c r="AL1921" s="15"/>
      <c r="AM1921" s="51" t="s">
        <v>67</v>
      </c>
      <c r="AN1921" s="51" t="s">
        <v>67</v>
      </c>
      <c r="AO1921" s="50" t="s">
        <v>9554</v>
      </c>
    </row>
    <row r="1922" spans="1:41" hidden="1" x14ac:dyDescent="0.25">
      <c r="A1922" s="51" t="s">
        <v>9601</v>
      </c>
      <c r="B1922" s="51" t="s">
        <v>9602</v>
      </c>
      <c r="C1922" s="54" t="s">
        <v>2345</v>
      </c>
      <c r="D1922" s="51" t="s">
        <v>9603</v>
      </c>
      <c r="E1922" s="20">
        <v>10000</v>
      </c>
      <c r="F1922" s="20">
        <v>340.22</v>
      </c>
      <c r="G1922" s="20">
        <v>17743.36</v>
      </c>
      <c r="H1922" s="20">
        <v>7141.7</v>
      </c>
      <c r="I1922" s="20">
        <v>7481.92</v>
      </c>
      <c r="J1922" s="51" t="s">
        <v>6727</v>
      </c>
      <c r="K1922" s="15">
        <v>0</v>
      </c>
      <c r="L1922" s="51" t="s">
        <v>2371</v>
      </c>
      <c r="M1922" s="51" t="s">
        <v>9604</v>
      </c>
      <c r="N1922" s="51" t="s">
        <v>1340</v>
      </c>
      <c r="O1922" s="51" t="s">
        <v>67</v>
      </c>
      <c r="P1922" s="51" t="s">
        <v>67</v>
      </c>
      <c r="Q1922" s="45">
        <v>46291.444579583331</v>
      </c>
      <c r="R1922" s="46">
        <v>46306</v>
      </c>
      <c r="S1922" s="46">
        <v>46301</v>
      </c>
      <c r="T1922" s="51" t="s">
        <v>6119</v>
      </c>
      <c r="U1922" s="15"/>
      <c r="V1922" s="15"/>
      <c r="W1922" s="15"/>
      <c r="X1922" s="15"/>
      <c r="Y1922" s="15"/>
      <c r="Z1922" s="15"/>
      <c r="AA1922" s="46"/>
      <c r="AB1922" s="15"/>
      <c r="AC1922" s="15"/>
      <c r="AD1922" s="15"/>
      <c r="AE1922" s="15"/>
      <c r="AF1922" s="15"/>
      <c r="AG1922" s="15"/>
      <c r="AH1922" s="15"/>
      <c r="AI1922" s="46"/>
      <c r="AJ1922" s="51" t="s">
        <v>67</v>
      </c>
      <c r="AK1922" s="51" t="s">
        <v>67</v>
      </c>
      <c r="AL1922" s="15"/>
      <c r="AM1922" s="51" t="s">
        <v>67</v>
      </c>
      <c r="AN1922" s="51" t="s">
        <v>67</v>
      </c>
      <c r="AO1922" s="50" t="s">
        <v>9554</v>
      </c>
    </row>
    <row r="1923" spans="1:41" hidden="1" x14ac:dyDescent="0.25">
      <c r="A1923" s="51" t="s">
        <v>9605</v>
      </c>
      <c r="B1923" s="51" t="s">
        <v>9606</v>
      </c>
      <c r="C1923" s="54" t="s">
        <v>2345</v>
      </c>
      <c r="D1923" s="51" t="s">
        <v>9607</v>
      </c>
      <c r="E1923" s="20">
        <v>10000</v>
      </c>
      <c r="F1923" s="20">
        <v>452.96</v>
      </c>
      <c r="G1923" s="20">
        <v>17381.48</v>
      </c>
      <c r="H1923" s="20">
        <v>1700.57</v>
      </c>
      <c r="I1923" s="20">
        <v>2153.5300000000002</v>
      </c>
      <c r="J1923" s="51" t="s">
        <v>6727</v>
      </c>
      <c r="K1923" s="15">
        <v>0</v>
      </c>
      <c r="L1923" s="51" t="s">
        <v>2371</v>
      </c>
      <c r="M1923" s="51" t="s">
        <v>9608</v>
      </c>
      <c r="N1923" s="51" t="s">
        <v>1340</v>
      </c>
      <c r="O1923" s="51" t="s">
        <v>9609</v>
      </c>
      <c r="P1923" s="51" t="s">
        <v>1340</v>
      </c>
      <c r="Q1923" s="45">
        <v>46291.444584942132</v>
      </c>
      <c r="R1923" s="46">
        <v>46306</v>
      </c>
      <c r="S1923" s="46">
        <v>46301</v>
      </c>
      <c r="T1923" s="51" t="s">
        <v>6119</v>
      </c>
      <c r="U1923" s="15"/>
      <c r="V1923" s="15"/>
      <c r="W1923" s="15"/>
      <c r="X1923" s="15"/>
      <c r="Y1923" s="15"/>
      <c r="Z1923" s="15"/>
      <c r="AA1923" s="46"/>
      <c r="AB1923" s="15"/>
      <c r="AC1923" s="15"/>
      <c r="AD1923" s="15"/>
      <c r="AE1923" s="15"/>
      <c r="AF1923" s="15"/>
      <c r="AG1923" s="15"/>
      <c r="AH1923" s="15"/>
      <c r="AI1923" s="46"/>
      <c r="AJ1923" s="51" t="s">
        <v>67</v>
      </c>
      <c r="AK1923" s="51" t="s">
        <v>67</v>
      </c>
      <c r="AL1923" s="15"/>
      <c r="AM1923" s="51" t="s">
        <v>67</v>
      </c>
      <c r="AN1923" s="51" t="s">
        <v>67</v>
      </c>
      <c r="AO1923" s="50" t="s">
        <v>9554</v>
      </c>
    </row>
    <row r="1924" spans="1:41" hidden="1" x14ac:dyDescent="0.25">
      <c r="A1924" s="51" t="s">
        <v>9610</v>
      </c>
      <c r="B1924" s="51" t="s">
        <v>9611</v>
      </c>
      <c r="C1924" s="54" t="s">
        <v>5608</v>
      </c>
      <c r="D1924" s="51" t="s">
        <v>9612</v>
      </c>
      <c r="E1924" s="20">
        <v>10000</v>
      </c>
      <c r="F1924" s="20">
        <v>290.86</v>
      </c>
      <c r="G1924" s="20">
        <v>12985.87</v>
      </c>
      <c r="H1924" s="20">
        <v>969.93</v>
      </c>
      <c r="I1924" s="20">
        <v>1245.79</v>
      </c>
      <c r="J1924" s="51" t="s">
        <v>6727</v>
      </c>
      <c r="K1924" s="15">
        <v>0</v>
      </c>
      <c r="L1924" s="51" t="s">
        <v>2371</v>
      </c>
      <c r="M1924" s="51" t="s">
        <v>67</v>
      </c>
      <c r="N1924" s="51" t="s">
        <v>67</v>
      </c>
      <c r="O1924" s="51" t="s">
        <v>9613</v>
      </c>
      <c r="P1924" s="51" t="s">
        <v>1340</v>
      </c>
      <c r="Q1924" s="45">
        <v>46291.444589583334</v>
      </c>
      <c r="R1924" s="46">
        <v>46319</v>
      </c>
      <c r="S1924" s="46">
        <v>46314</v>
      </c>
      <c r="T1924" s="51" t="s">
        <v>6119</v>
      </c>
      <c r="U1924" s="15"/>
      <c r="V1924" s="15"/>
      <c r="W1924" s="15"/>
      <c r="X1924" s="15"/>
      <c r="Y1924" s="15"/>
      <c r="Z1924" s="15"/>
      <c r="AA1924" s="46"/>
      <c r="AB1924" s="15"/>
      <c r="AC1924" s="15"/>
      <c r="AD1924" s="15"/>
      <c r="AE1924" s="15"/>
      <c r="AF1924" s="15"/>
      <c r="AG1924" s="15"/>
      <c r="AH1924" s="15"/>
      <c r="AI1924" s="46"/>
      <c r="AJ1924" s="51" t="s">
        <v>67</v>
      </c>
      <c r="AK1924" s="51" t="s">
        <v>67</v>
      </c>
      <c r="AL1924" s="15"/>
      <c r="AM1924" s="51" t="s">
        <v>67</v>
      </c>
      <c r="AN1924" s="51" t="s">
        <v>67</v>
      </c>
      <c r="AO1924" s="50" t="s">
        <v>9554</v>
      </c>
    </row>
    <row r="1925" spans="1:41" hidden="1" x14ac:dyDescent="0.25">
      <c r="A1925" s="51" t="s">
        <v>9614</v>
      </c>
      <c r="B1925" s="51" t="s">
        <v>9615</v>
      </c>
      <c r="C1925" s="54" t="s">
        <v>5604</v>
      </c>
      <c r="D1925" s="51" t="s">
        <v>9616</v>
      </c>
      <c r="E1925" s="20">
        <v>10000</v>
      </c>
      <c r="F1925" s="20">
        <v>460.36</v>
      </c>
      <c r="G1925" s="20">
        <v>13568.15</v>
      </c>
      <c r="H1925" s="20">
        <v>1028.79</v>
      </c>
      <c r="I1925" s="20">
        <v>1489.15</v>
      </c>
      <c r="J1925" s="51" t="s">
        <v>6727</v>
      </c>
      <c r="K1925" s="15">
        <v>0</v>
      </c>
      <c r="L1925" s="51" t="s">
        <v>2371</v>
      </c>
      <c r="M1925" s="51" t="s">
        <v>9617</v>
      </c>
      <c r="N1925" s="51" t="s">
        <v>1340</v>
      </c>
      <c r="O1925" s="51" t="s">
        <v>9618</v>
      </c>
      <c r="P1925" s="51" t="s">
        <v>1340</v>
      </c>
      <c r="Q1925" s="45">
        <v>46291.444593784719</v>
      </c>
      <c r="R1925" s="46">
        <v>46313</v>
      </c>
      <c r="S1925" s="46">
        <v>46308</v>
      </c>
      <c r="T1925" s="51" t="s">
        <v>6119</v>
      </c>
      <c r="U1925" s="15"/>
      <c r="V1925" s="15"/>
      <c r="W1925" s="15"/>
      <c r="X1925" s="15"/>
      <c r="Y1925" s="15"/>
      <c r="Z1925" s="15"/>
      <c r="AA1925" s="46"/>
      <c r="AB1925" s="15"/>
      <c r="AC1925" s="15"/>
      <c r="AD1925" s="15"/>
      <c r="AE1925" s="15"/>
      <c r="AF1925" s="15"/>
      <c r="AG1925" s="15"/>
      <c r="AH1925" s="15"/>
      <c r="AI1925" s="46"/>
      <c r="AJ1925" s="51" t="s">
        <v>67</v>
      </c>
      <c r="AK1925" s="51" t="s">
        <v>67</v>
      </c>
      <c r="AL1925" s="15"/>
      <c r="AM1925" s="51" t="s">
        <v>67</v>
      </c>
      <c r="AN1925" s="51" t="s">
        <v>67</v>
      </c>
      <c r="AO1925" s="50" t="s">
        <v>9554</v>
      </c>
    </row>
    <row r="1926" spans="1:41" hidden="1" x14ac:dyDescent="0.25">
      <c r="A1926" s="51" t="s">
        <v>9619</v>
      </c>
      <c r="B1926" s="51" t="s">
        <v>9620</v>
      </c>
      <c r="C1926" s="54" t="s">
        <v>2357</v>
      </c>
      <c r="D1926" s="51" t="s">
        <v>9621</v>
      </c>
      <c r="E1926" s="20">
        <v>10000</v>
      </c>
      <c r="F1926" s="20">
        <v>3738.54</v>
      </c>
      <c r="G1926" s="20">
        <v>11194.4</v>
      </c>
      <c r="H1926" s="20">
        <v>8307.56</v>
      </c>
      <c r="I1926" s="20">
        <v>12046.1</v>
      </c>
      <c r="J1926" s="51" t="s">
        <v>6727</v>
      </c>
      <c r="K1926" s="15">
        <v>0</v>
      </c>
      <c r="L1926" s="51" t="s">
        <v>2371</v>
      </c>
      <c r="M1926" s="51" t="s">
        <v>67</v>
      </c>
      <c r="N1926" s="51" t="s">
        <v>67</v>
      </c>
      <c r="O1926" s="51" t="s">
        <v>9622</v>
      </c>
      <c r="P1926" s="51" t="s">
        <v>1344</v>
      </c>
      <c r="Q1926" s="45">
        <v>46291.444599016206</v>
      </c>
      <c r="R1926" s="46">
        <v>46308</v>
      </c>
      <c r="S1926" s="46">
        <v>46303</v>
      </c>
      <c r="T1926" s="51" t="s">
        <v>6119</v>
      </c>
      <c r="U1926" s="15"/>
      <c r="V1926" s="15"/>
      <c r="W1926" s="15"/>
      <c r="X1926" s="15"/>
      <c r="Y1926" s="15"/>
      <c r="Z1926" s="15"/>
      <c r="AA1926" s="46"/>
      <c r="AB1926" s="15"/>
      <c r="AC1926" s="15"/>
      <c r="AD1926" s="15"/>
      <c r="AE1926" s="15"/>
      <c r="AF1926" s="15"/>
      <c r="AG1926" s="15"/>
      <c r="AH1926" s="15"/>
      <c r="AI1926" s="46"/>
      <c r="AJ1926" s="51" t="s">
        <v>67</v>
      </c>
      <c r="AK1926" s="51" t="s">
        <v>67</v>
      </c>
      <c r="AL1926" s="15"/>
      <c r="AM1926" s="51" t="s">
        <v>67</v>
      </c>
      <c r="AN1926" s="51" t="s">
        <v>67</v>
      </c>
      <c r="AO1926" s="50" t="s">
        <v>9554</v>
      </c>
    </row>
    <row r="1927" spans="1:41" hidden="1" x14ac:dyDescent="0.25">
      <c r="A1927" s="51" t="s">
        <v>9623</v>
      </c>
      <c r="B1927" s="51" t="s">
        <v>9624</v>
      </c>
      <c r="C1927" s="54" t="s">
        <v>5601</v>
      </c>
      <c r="D1927" s="51" t="s">
        <v>9625</v>
      </c>
      <c r="E1927" s="20">
        <v>10000</v>
      </c>
      <c r="F1927" s="20">
        <v>7612.91</v>
      </c>
      <c r="G1927" s="20">
        <v>-2343.67</v>
      </c>
      <c r="H1927" s="20">
        <v>1983.42</v>
      </c>
      <c r="I1927" s="20">
        <v>9596.33</v>
      </c>
      <c r="J1927" s="51" t="s">
        <v>6727</v>
      </c>
      <c r="K1927" s="15">
        <v>0</v>
      </c>
      <c r="L1927" s="51" t="s">
        <v>2371</v>
      </c>
      <c r="M1927" s="51" t="s">
        <v>9626</v>
      </c>
      <c r="N1927" s="51" t="s">
        <v>1340</v>
      </c>
      <c r="O1927" s="51" t="s">
        <v>9627</v>
      </c>
      <c r="P1927" s="51" t="s">
        <v>1340</v>
      </c>
      <c r="Q1927" s="45">
        <v>46291.444603356482</v>
      </c>
      <c r="R1927" s="46">
        <v>46316</v>
      </c>
      <c r="S1927" s="46">
        <v>46311</v>
      </c>
      <c r="T1927" s="51" t="s">
        <v>6119</v>
      </c>
      <c r="U1927" s="15"/>
      <c r="V1927" s="15"/>
      <c r="W1927" s="15"/>
      <c r="X1927" s="15"/>
      <c r="Y1927" s="15"/>
      <c r="Z1927" s="15"/>
      <c r="AA1927" s="46"/>
      <c r="AB1927" s="15"/>
      <c r="AC1927" s="15"/>
      <c r="AD1927" s="15"/>
      <c r="AE1927" s="15"/>
      <c r="AF1927" s="15"/>
      <c r="AG1927" s="15"/>
      <c r="AH1927" s="15"/>
      <c r="AI1927" s="46"/>
      <c r="AJ1927" s="51" t="s">
        <v>67</v>
      </c>
      <c r="AK1927" s="51" t="s">
        <v>67</v>
      </c>
      <c r="AL1927" s="15"/>
      <c r="AM1927" s="51" t="s">
        <v>67</v>
      </c>
      <c r="AN1927" s="51" t="s">
        <v>67</v>
      </c>
      <c r="AO1927" s="50" t="s">
        <v>9554</v>
      </c>
    </row>
    <row r="1928" spans="1:41" hidden="1" x14ac:dyDescent="0.25">
      <c r="A1928" s="51" t="s">
        <v>9628</v>
      </c>
      <c r="B1928" s="51" t="s">
        <v>9629</v>
      </c>
      <c r="C1928" s="54" t="s">
        <v>5602</v>
      </c>
      <c r="D1928" s="51" t="s">
        <v>9630</v>
      </c>
      <c r="E1928" s="20">
        <v>10000</v>
      </c>
      <c r="F1928" s="20">
        <v>778.75</v>
      </c>
      <c r="G1928" s="20">
        <v>8614.52</v>
      </c>
      <c r="H1928" s="20">
        <v>2791.39</v>
      </c>
      <c r="I1928" s="20">
        <v>3570.14</v>
      </c>
      <c r="J1928" s="51" t="s">
        <v>6727</v>
      </c>
      <c r="K1928" s="15">
        <v>0</v>
      </c>
      <c r="L1928" s="51" t="s">
        <v>2371</v>
      </c>
      <c r="M1928" s="51" t="s">
        <v>67</v>
      </c>
      <c r="N1928" s="51" t="s">
        <v>67</v>
      </c>
      <c r="O1928" s="51" t="s">
        <v>9631</v>
      </c>
      <c r="P1928" s="51" t="s">
        <v>1340</v>
      </c>
      <c r="Q1928" s="45">
        <v>46291.444608067133</v>
      </c>
      <c r="R1928" s="46">
        <v>46303</v>
      </c>
      <c r="S1928" s="46">
        <v>46298</v>
      </c>
      <c r="T1928" s="51" t="s">
        <v>6119</v>
      </c>
      <c r="U1928" s="15"/>
      <c r="V1928" s="15"/>
      <c r="W1928" s="15"/>
      <c r="X1928" s="15"/>
      <c r="Y1928" s="15"/>
      <c r="Z1928" s="15"/>
      <c r="AA1928" s="46"/>
      <c r="AB1928" s="15"/>
      <c r="AC1928" s="15"/>
      <c r="AD1928" s="15"/>
      <c r="AE1928" s="15"/>
      <c r="AF1928" s="15"/>
      <c r="AG1928" s="15"/>
      <c r="AH1928" s="15"/>
      <c r="AI1928" s="46"/>
      <c r="AJ1928" s="51" t="s">
        <v>67</v>
      </c>
      <c r="AK1928" s="51" t="s">
        <v>67</v>
      </c>
      <c r="AL1928" s="15"/>
      <c r="AM1928" s="51" t="s">
        <v>67</v>
      </c>
      <c r="AN1928" s="51" t="s">
        <v>67</v>
      </c>
      <c r="AO1928" s="50" t="s">
        <v>9554</v>
      </c>
    </row>
    <row r="1929" spans="1:41" hidden="1" x14ac:dyDescent="0.25">
      <c r="A1929" s="51" t="s">
        <v>9632</v>
      </c>
      <c r="B1929" s="51" t="s">
        <v>9633</v>
      </c>
      <c r="C1929" s="54" t="s">
        <v>5605</v>
      </c>
      <c r="D1929" s="51" t="s">
        <v>9634</v>
      </c>
      <c r="E1929" s="20">
        <v>10000</v>
      </c>
      <c r="F1929" s="20">
        <v>562.61</v>
      </c>
      <c r="G1929" s="20">
        <v>1607.52</v>
      </c>
      <c r="H1929" s="20">
        <v>4702.97</v>
      </c>
      <c r="I1929" s="20">
        <v>5265.58</v>
      </c>
      <c r="J1929" s="51" t="s">
        <v>6727</v>
      </c>
      <c r="K1929" s="15">
        <v>0</v>
      </c>
      <c r="L1929" s="51" t="s">
        <v>2371</v>
      </c>
      <c r="M1929" s="51" t="s">
        <v>67</v>
      </c>
      <c r="N1929" s="51" t="s">
        <v>67</v>
      </c>
      <c r="O1929" s="51" t="s">
        <v>9635</v>
      </c>
      <c r="P1929" s="51" t="s">
        <v>1340</v>
      </c>
      <c r="Q1929" s="45">
        <v>46291.444612870371</v>
      </c>
      <c r="R1929" s="46">
        <v>46323</v>
      </c>
      <c r="S1929" s="46">
        <v>46318</v>
      </c>
      <c r="T1929" s="51" t="s">
        <v>6119</v>
      </c>
      <c r="U1929" s="15"/>
      <c r="V1929" s="15"/>
      <c r="W1929" s="15"/>
      <c r="X1929" s="15"/>
      <c r="Y1929" s="15"/>
      <c r="Z1929" s="15"/>
      <c r="AA1929" s="46"/>
      <c r="AB1929" s="15"/>
      <c r="AC1929" s="15"/>
      <c r="AD1929" s="15"/>
      <c r="AE1929" s="15"/>
      <c r="AF1929" s="15"/>
      <c r="AG1929" s="15"/>
      <c r="AH1929" s="15"/>
      <c r="AI1929" s="46"/>
      <c r="AJ1929" s="51" t="s">
        <v>67</v>
      </c>
      <c r="AK1929" s="51" t="s">
        <v>67</v>
      </c>
      <c r="AL1929" s="15"/>
      <c r="AM1929" s="51" t="s">
        <v>67</v>
      </c>
      <c r="AN1929" s="51" t="s">
        <v>67</v>
      </c>
      <c r="AO1929" s="50" t="s">
        <v>9554</v>
      </c>
    </row>
    <row r="1930" spans="1:41" hidden="1" x14ac:dyDescent="0.25">
      <c r="A1930" s="51" t="s">
        <v>9636</v>
      </c>
      <c r="B1930" s="51" t="s">
        <v>9637</v>
      </c>
      <c r="C1930" s="54" t="s">
        <v>5602</v>
      </c>
      <c r="D1930" s="51" t="s">
        <v>9638</v>
      </c>
      <c r="E1930" s="20">
        <v>10000</v>
      </c>
      <c r="F1930" s="20">
        <v>567.6</v>
      </c>
      <c r="G1930" s="20">
        <v>6257.37</v>
      </c>
      <c r="H1930" s="20">
        <v>9453.59</v>
      </c>
      <c r="I1930" s="20">
        <v>10021.19</v>
      </c>
      <c r="J1930" s="51" t="s">
        <v>6727</v>
      </c>
      <c r="K1930" s="15">
        <v>0</v>
      </c>
      <c r="L1930" s="51" t="s">
        <v>2371</v>
      </c>
      <c r="M1930" s="51" t="s">
        <v>9639</v>
      </c>
      <c r="N1930" s="51" t="s">
        <v>1340</v>
      </c>
      <c r="O1930" s="51" t="s">
        <v>67</v>
      </c>
      <c r="P1930" s="51" t="s">
        <v>67</v>
      </c>
      <c r="Q1930" s="45">
        <v>46291.44461770833</v>
      </c>
      <c r="R1930" s="46">
        <v>46303</v>
      </c>
      <c r="S1930" s="46">
        <v>46298</v>
      </c>
      <c r="T1930" s="51" t="s">
        <v>6119</v>
      </c>
      <c r="U1930" s="15"/>
      <c r="V1930" s="15"/>
      <c r="W1930" s="15"/>
      <c r="X1930" s="15"/>
      <c r="Y1930" s="15"/>
      <c r="Z1930" s="15"/>
      <c r="AA1930" s="46"/>
      <c r="AB1930" s="15"/>
      <c r="AC1930" s="15"/>
      <c r="AD1930" s="15"/>
      <c r="AE1930" s="15"/>
      <c r="AF1930" s="15"/>
      <c r="AG1930" s="15"/>
      <c r="AH1930" s="15"/>
      <c r="AI1930" s="46"/>
      <c r="AJ1930" s="51" t="s">
        <v>67</v>
      </c>
      <c r="AK1930" s="51" t="s">
        <v>67</v>
      </c>
      <c r="AL1930" s="15"/>
      <c r="AM1930" s="51" t="s">
        <v>67</v>
      </c>
      <c r="AN1930" s="51" t="s">
        <v>67</v>
      </c>
      <c r="AO1930" s="50" t="s">
        <v>9554</v>
      </c>
    </row>
    <row r="1931" spans="1:41" hidden="1" x14ac:dyDescent="0.25">
      <c r="A1931" s="51" t="s">
        <v>9640</v>
      </c>
      <c r="B1931" s="51" t="s">
        <v>9641</v>
      </c>
      <c r="C1931" s="54" t="s">
        <v>5608</v>
      </c>
      <c r="D1931" s="51" t="s">
        <v>9642</v>
      </c>
      <c r="E1931" s="20">
        <v>10000</v>
      </c>
      <c r="F1931" s="20">
        <v>130.19</v>
      </c>
      <c r="G1931" s="20">
        <v>4253.18</v>
      </c>
      <c r="H1931" s="20">
        <v>1096.08</v>
      </c>
      <c r="I1931" s="20">
        <v>1136.47</v>
      </c>
      <c r="J1931" s="51" t="s">
        <v>6727</v>
      </c>
      <c r="K1931" s="15">
        <v>0</v>
      </c>
      <c r="L1931" s="51" t="s">
        <v>2371</v>
      </c>
      <c r="M1931" s="51" t="s">
        <v>67</v>
      </c>
      <c r="N1931" s="51" t="s">
        <v>67</v>
      </c>
      <c r="O1931" s="51" t="s">
        <v>9643</v>
      </c>
      <c r="P1931" s="51" t="s">
        <v>1340</v>
      </c>
      <c r="Q1931" s="45">
        <v>46291.444622222225</v>
      </c>
      <c r="R1931" s="46">
        <v>46319</v>
      </c>
      <c r="S1931" s="46">
        <v>46314</v>
      </c>
      <c r="T1931" s="51" t="s">
        <v>6119</v>
      </c>
      <c r="U1931" s="15"/>
      <c r="V1931" s="15"/>
      <c r="W1931" s="15"/>
      <c r="X1931" s="15"/>
      <c r="Y1931" s="15"/>
      <c r="Z1931" s="15"/>
      <c r="AA1931" s="46"/>
      <c r="AB1931" s="15"/>
      <c r="AC1931" s="15"/>
      <c r="AD1931" s="15"/>
      <c r="AE1931" s="15"/>
      <c r="AF1931" s="15"/>
      <c r="AG1931" s="15"/>
      <c r="AH1931" s="15"/>
      <c r="AI1931" s="46"/>
      <c r="AJ1931" s="51" t="s">
        <v>67</v>
      </c>
      <c r="AK1931" s="51" t="s">
        <v>67</v>
      </c>
      <c r="AL1931" s="15"/>
      <c r="AM1931" s="51" t="s">
        <v>67</v>
      </c>
      <c r="AN1931" s="51" t="s">
        <v>67</v>
      </c>
      <c r="AO1931" s="50" t="s">
        <v>9554</v>
      </c>
    </row>
    <row r="1932" spans="1:41" hidden="1" x14ac:dyDescent="0.25">
      <c r="A1932" s="51" t="s">
        <v>9644</v>
      </c>
      <c r="B1932" s="51" t="s">
        <v>9645</v>
      </c>
      <c r="C1932" s="54" t="s">
        <v>5604</v>
      </c>
      <c r="D1932" s="51" t="s">
        <v>9646</v>
      </c>
      <c r="E1932" s="20">
        <v>10000</v>
      </c>
      <c r="F1932" s="20">
        <v>2841.61</v>
      </c>
      <c r="G1932" s="20">
        <v>16719.900000000001</v>
      </c>
      <c r="H1932" s="20">
        <v>958.67</v>
      </c>
      <c r="I1932" s="20">
        <v>3800.28</v>
      </c>
      <c r="J1932" s="51" t="s">
        <v>6727</v>
      </c>
      <c r="K1932" s="15">
        <v>0</v>
      </c>
      <c r="L1932" s="51" t="s">
        <v>2371</v>
      </c>
      <c r="M1932" s="51" t="s">
        <v>9647</v>
      </c>
      <c r="N1932" s="51" t="s">
        <v>1340</v>
      </c>
      <c r="O1932" s="51" t="s">
        <v>67</v>
      </c>
      <c r="P1932" s="51" t="s">
        <v>67</v>
      </c>
      <c r="Q1932" s="45">
        <v>46291.444627731478</v>
      </c>
      <c r="R1932" s="46">
        <v>46313</v>
      </c>
      <c r="S1932" s="46">
        <v>46308</v>
      </c>
      <c r="T1932" s="51" t="s">
        <v>6119</v>
      </c>
      <c r="U1932" s="15"/>
      <c r="V1932" s="15"/>
      <c r="W1932" s="15"/>
      <c r="X1932" s="15"/>
      <c r="Y1932" s="15"/>
      <c r="Z1932" s="15"/>
      <c r="AA1932" s="46"/>
      <c r="AB1932" s="15"/>
      <c r="AC1932" s="15"/>
      <c r="AD1932" s="15"/>
      <c r="AE1932" s="15"/>
      <c r="AF1932" s="15"/>
      <c r="AG1932" s="15"/>
      <c r="AH1932" s="15"/>
      <c r="AI1932" s="46"/>
      <c r="AJ1932" s="51" t="s">
        <v>67</v>
      </c>
      <c r="AK1932" s="51" t="s">
        <v>67</v>
      </c>
      <c r="AL1932" s="15"/>
      <c r="AM1932" s="51" t="s">
        <v>67</v>
      </c>
      <c r="AN1932" s="51" t="s">
        <v>67</v>
      </c>
      <c r="AO1932" s="50" t="s">
        <v>9554</v>
      </c>
    </row>
    <row r="1933" spans="1:41" hidden="1" x14ac:dyDescent="0.25">
      <c r="A1933" s="51" t="s">
        <v>9648</v>
      </c>
      <c r="B1933" s="51" t="s">
        <v>9649</v>
      </c>
      <c r="C1933" s="54" t="s">
        <v>5602</v>
      </c>
      <c r="D1933" s="51" t="s">
        <v>9650</v>
      </c>
      <c r="E1933" s="20">
        <v>10000</v>
      </c>
      <c r="F1933" s="20">
        <v>1116.1199999999999</v>
      </c>
      <c r="G1933" s="20">
        <v>11133.22</v>
      </c>
      <c r="H1933" s="20">
        <v>4939.22</v>
      </c>
      <c r="I1933" s="20">
        <v>6055.34</v>
      </c>
      <c r="J1933" s="51" t="s">
        <v>6727</v>
      </c>
      <c r="K1933" s="15">
        <v>0</v>
      </c>
      <c r="L1933" s="51" t="s">
        <v>2371</v>
      </c>
      <c r="M1933" s="51" t="s">
        <v>67</v>
      </c>
      <c r="N1933" s="51" t="s">
        <v>67</v>
      </c>
      <c r="O1933" s="51" t="s">
        <v>9651</v>
      </c>
      <c r="P1933" s="51" t="s">
        <v>1340</v>
      </c>
      <c r="Q1933" s="45">
        <v>46291.444632349536</v>
      </c>
      <c r="R1933" s="46">
        <v>46303</v>
      </c>
      <c r="S1933" s="46">
        <v>46298</v>
      </c>
      <c r="T1933" s="51" t="s">
        <v>6119</v>
      </c>
      <c r="U1933" s="15"/>
      <c r="V1933" s="15"/>
      <c r="W1933" s="15"/>
      <c r="X1933" s="15"/>
      <c r="Y1933" s="15"/>
      <c r="Z1933" s="15"/>
      <c r="AA1933" s="46"/>
      <c r="AB1933" s="15"/>
      <c r="AC1933" s="15"/>
      <c r="AD1933" s="15"/>
      <c r="AE1933" s="15"/>
      <c r="AF1933" s="15"/>
      <c r="AG1933" s="15"/>
      <c r="AH1933" s="15"/>
      <c r="AI1933" s="46"/>
      <c r="AJ1933" s="51" t="s">
        <v>67</v>
      </c>
      <c r="AK1933" s="51" t="s">
        <v>67</v>
      </c>
      <c r="AL1933" s="15"/>
      <c r="AM1933" s="51" t="s">
        <v>67</v>
      </c>
      <c r="AN1933" s="51" t="s">
        <v>67</v>
      </c>
      <c r="AO1933" s="50" t="s">
        <v>9554</v>
      </c>
    </row>
    <row r="1934" spans="1:41" hidden="1" x14ac:dyDescent="0.25">
      <c r="A1934" s="51" t="s">
        <v>9652</v>
      </c>
      <c r="B1934" s="51" t="s">
        <v>9653</v>
      </c>
      <c r="C1934" s="54" t="s">
        <v>2357</v>
      </c>
      <c r="D1934" s="51" t="s">
        <v>9654</v>
      </c>
      <c r="E1934" s="20">
        <v>10000</v>
      </c>
      <c r="F1934" s="20">
        <v>9335.5</v>
      </c>
      <c r="G1934" s="20">
        <v>-1230.1300000000001</v>
      </c>
      <c r="H1934" s="20">
        <v>3452.3</v>
      </c>
      <c r="I1934" s="20">
        <v>12787.8</v>
      </c>
      <c r="J1934" s="51" t="s">
        <v>6727</v>
      </c>
      <c r="K1934" s="15">
        <v>0</v>
      </c>
      <c r="L1934" s="51" t="s">
        <v>2371</v>
      </c>
      <c r="M1934" s="51" t="s">
        <v>9655</v>
      </c>
      <c r="N1934" s="51" t="s">
        <v>1340</v>
      </c>
      <c r="O1934" s="51" t="s">
        <v>9656</v>
      </c>
      <c r="P1934" s="51" t="s">
        <v>1340</v>
      </c>
      <c r="Q1934" s="45">
        <v>46291.444636759261</v>
      </c>
      <c r="R1934" s="46">
        <v>46308</v>
      </c>
      <c r="S1934" s="46">
        <v>46303</v>
      </c>
      <c r="T1934" s="51" t="s">
        <v>6119</v>
      </c>
      <c r="U1934" s="15"/>
      <c r="V1934" s="15"/>
      <c r="W1934" s="15"/>
      <c r="X1934" s="15"/>
      <c r="Y1934" s="15"/>
      <c r="Z1934" s="15"/>
      <c r="AA1934" s="46"/>
      <c r="AB1934" s="15"/>
      <c r="AC1934" s="15"/>
      <c r="AD1934" s="15"/>
      <c r="AE1934" s="15"/>
      <c r="AF1934" s="15"/>
      <c r="AG1934" s="15"/>
      <c r="AH1934" s="15"/>
      <c r="AI1934" s="46"/>
      <c r="AJ1934" s="51" t="s">
        <v>67</v>
      </c>
      <c r="AK1934" s="51" t="s">
        <v>67</v>
      </c>
      <c r="AL1934" s="15"/>
      <c r="AM1934" s="51" t="s">
        <v>67</v>
      </c>
      <c r="AN1934" s="51" t="s">
        <v>67</v>
      </c>
      <c r="AO1934" s="50" t="s">
        <v>9554</v>
      </c>
    </row>
    <row r="1935" spans="1:41" hidden="1" x14ac:dyDescent="0.25">
      <c r="A1935" s="51" t="s">
        <v>9657</v>
      </c>
      <c r="B1935" s="51" t="s">
        <v>9658</v>
      </c>
      <c r="C1935" s="54" t="s">
        <v>2690</v>
      </c>
      <c r="D1935" s="51" t="s">
        <v>9659</v>
      </c>
      <c r="E1935" s="20">
        <v>10000</v>
      </c>
      <c r="F1935" s="20">
        <v>1535.16</v>
      </c>
      <c r="G1935" s="20">
        <v>9580.81</v>
      </c>
      <c r="H1935" s="20">
        <v>2652.52</v>
      </c>
      <c r="I1935" s="20">
        <v>4187.68</v>
      </c>
      <c r="J1935" s="51" t="s">
        <v>6727</v>
      </c>
      <c r="K1935" s="15">
        <v>0</v>
      </c>
      <c r="L1935" s="51" t="s">
        <v>2371</v>
      </c>
      <c r="M1935" s="51" t="s">
        <v>9660</v>
      </c>
      <c r="N1935" s="51" t="s">
        <v>1344</v>
      </c>
      <c r="O1935" s="51" t="s">
        <v>9661</v>
      </c>
      <c r="P1935" s="51" t="s">
        <v>1344</v>
      </c>
      <c r="Q1935" s="45">
        <v>46291.444641400463</v>
      </c>
      <c r="R1935" s="46">
        <v>46322</v>
      </c>
      <c r="S1935" s="46">
        <v>46317</v>
      </c>
      <c r="T1935" s="51" t="s">
        <v>6119</v>
      </c>
      <c r="U1935" s="15"/>
      <c r="V1935" s="15"/>
      <c r="W1935" s="15"/>
      <c r="X1935" s="15"/>
      <c r="Y1935" s="15"/>
      <c r="Z1935" s="15"/>
      <c r="AA1935" s="46"/>
      <c r="AB1935" s="15"/>
      <c r="AC1935" s="15"/>
      <c r="AD1935" s="15"/>
      <c r="AE1935" s="15"/>
      <c r="AF1935" s="15"/>
      <c r="AG1935" s="15"/>
      <c r="AH1935" s="15"/>
      <c r="AI1935" s="46"/>
      <c r="AJ1935" s="51" t="s">
        <v>67</v>
      </c>
      <c r="AK1935" s="51" t="s">
        <v>67</v>
      </c>
      <c r="AL1935" s="15"/>
      <c r="AM1935" s="51" t="s">
        <v>67</v>
      </c>
      <c r="AN1935" s="51" t="s">
        <v>67</v>
      </c>
      <c r="AO1935" s="50" t="s">
        <v>9554</v>
      </c>
    </row>
    <row r="1936" spans="1:41" hidden="1" x14ac:dyDescent="0.25">
      <c r="A1936" s="51" t="s">
        <v>9662</v>
      </c>
      <c r="B1936" s="51" t="s">
        <v>9663</v>
      </c>
      <c r="C1936" s="54" t="s">
        <v>611</v>
      </c>
      <c r="D1936" s="51" t="s">
        <v>9664</v>
      </c>
      <c r="E1936" s="20">
        <v>10000</v>
      </c>
      <c r="F1936" s="20">
        <v>431.18</v>
      </c>
      <c r="G1936" s="20">
        <v>10969.86</v>
      </c>
      <c r="H1936" s="20">
        <v>9786.17</v>
      </c>
      <c r="I1936" s="20">
        <v>9786.17</v>
      </c>
      <c r="J1936" s="51" t="s">
        <v>6727</v>
      </c>
      <c r="K1936" s="15">
        <v>0</v>
      </c>
      <c r="L1936" s="51" t="s">
        <v>2371</v>
      </c>
      <c r="M1936" s="51" t="s">
        <v>67</v>
      </c>
      <c r="N1936" s="51" t="s">
        <v>67</v>
      </c>
      <c r="O1936" s="51" t="s">
        <v>9665</v>
      </c>
      <c r="P1936" s="51" t="s">
        <v>1340</v>
      </c>
      <c r="Q1936" s="45">
        <v>46291.444647476848</v>
      </c>
      <c r="R1936" s="46">
        <v>46320</v>
      </c>
      <c r="S1936" s="46">
        <v>46315</v>
      </c>
      <c r="T1936" s="51" t="s">
        <v>6119</v>
      </c>
      <c r="U1936" s="15"/>
      <c r="V1936" s="15"/>
      <c r="W1936" s="15"/>
      <c r="X1936" s="15"/>
      <c r="Y1936" s="15"/>
      <c r="Z1936" s="15"/>
      <c r="AA1936" s="46"/>
      <c r="AB1936" s="15"/>
      <c r="AC1936" s="15"/>
      <c r="AD1936" s="15"/>
      <c r="AE1936" s="15"/>
      <c r="AF1936" s="15"/>
      <c r="AG1936" s="15"/>
      <c r="AH1936" s="15"/>
      <c r="AI1936" s="46"/>
      <c r="AJ1936" s="51" t="s">
        <v>67</v>
      </c>
      <c r="AK1936" s="51" t="s">
        <v>67</v>
      </c>
      <c r="AL1936" s="15"/>
      <c r="AM1936" s="51" t="s">
        <v>67</v>
      </c>
      <c r="AN1936" s="51" t="s">
        <v>67</v>
      </c>
      <c r="AO1936" s="50" t="s">
        <v>9554</v>
      </c>
    </row>
    <row r="1937" spans="1:41" hidden="1" x14ac:dyDescent="0.25">
      <c r="A1937" s="51" t="s">
        <v>9666</v>
      </c>
      <c r="B1937" s="51" t="s">
        <v>9667</v>
      </c>
      <c r="C1937" s="54" t="s">
        <v>5605</v>
      </c>
      <c r="D1937" s="51" t="s">
        <v>9668</v>
      </c>
      <c r="E1937" s="20">
        <v>10000</v>
      </c>
      <c r="F1937" s="20">
        <v>524.66</v>
      </c>
      <c r="G1937" s="20">
        <v>11004.75</v>
      </c>
      <c r="H1937" s="20">
        <v>4383.83</v>
      </c>
      <c r="I1937" s="20">
        <v>4908.49</v>
      </c>
      <c r="J1937" s="51" t="s">
        <v>6727</v>
      </c>
      <c r="K1937" s="15">
        <v>0</v>
      </c>
      <c r="L1937" s="51" t="s">
        <v>2371</v>
      </c>
      <c r="M1937" s="51" t="s">
        <v>67</v>
      </c>
      <c r="N1937" s="51" t="s">
        <v>67</v>
      </c>
      <c r="O1937" s="51" t="s">
        <v>9669</v>
      </c>
      <c r="P1937" s="51" t="s">
        <v>1340</v>
      </c>
      <c r="Q1937" s="45">
        <v>46291.444654120372</v>
      </c>
      <c r="R1937" s="46">
        <v>46323</v>
      </c>
      <c r="S1937" s="46">
        <v>46318</v>
      </c>
      <c r="T1937" s="51" t="s">
        <v>6119</v>
      </c>
      <c r="U1937" s="15"/>
      <c r="V1937" s="15"/>
      <c r="W1937" s="15"/>
      <c r="X1937" s="15"/>
      <c r="Y1937" s="15"/>
      <c r="Z1937" s="15"/>
      <c r="AA1937" s="46"/>
      <c r="AB1937" s="15"/>
      <c r="AC1937" s="15"/>
      <c r="AD1937" s="15"/>
      <c r="AE1937" s="15"/>
      <c r="AF1937" s="15"/>
      <c r="AG1937" s="15"/>
      <c r="AH1937" s="15"/>
      <c r="AI1937" s="46"/>
      <c r="AJ1937" s="51" t="s">
        <v>67</v>
      </c>
      <c r="AK1937" s="51" t="s">
        <v>67</v>
      </c>
      <c r="AL1937" s="15"/>
      <c r="AM1937" s="51" t="s">
        <v>67</v>
      </c>
      <c r="AN1937" s="51" t="s">
        <v>67</v>
      </c>
      <c r="AO1937" s="50" t="s">
        <v>9554</v>
      </c>
    </row>
    <row r="1938" spans="1:41" hidden="1" x14ac:dyDescent="0.25">
      <c r="A1938" s="51" t="s">
        <v>9670</v>
      </c>
      <c r="B1938" s="51" t="s">
        <v>9671</v>
      </c>
      <c r="C1938" s="54" t="s">
        <v>5608</v>
      </c>
      <c r="D1938" s="51" t="s">
        <v>9672</v>
      </c>
      <c r="E1938" s="20">
        <v>10000</v>
      </c>
      <c r="F1938" s="20">
        <v>508.37</v>
      </c>
      <c r="G1938" s="20">
        <v>12803.21</v>
      </c>
      <c r="H1938" s="20">
        <v>1116.1500000000001</v>
      </c>
      <c r="I1938" s="20">
        <v>1397.51</v>
      </c>
      <c r="J1938" s="51" t="s">
        <v>6727</v>
      </c>
      <c r="K1938" s="15">
        <v>0</v>
      </c>
      <c r="L1938" s="51" t="s">
        <v>2371</v>
      </c>
      <c r="M1938" s="51" t="s">
        <v>67</v>
      </c>
      <c r="N1938" s="51" t="s">
        <v>67</v>
      </c>
      <c r="O1938" s="51" t="s">
        <v>9673</v>
      </c>
      <c r="P1938" s="51" t="s">
        <v>1340</v>
      </c>
      <c r="Q1938" s="45">
        <v>46291.444659583336</v>
      </c>
      <c r="R1938" s="46">
        <v>46319</v>
      </c>
      <c r="S1938" s="46">
        <v>46314</v>
      </c>
      <c r="T1938" s="51" t="s">
        <v>6119</v>
      </c>
      <c r="U1938" s="15"/>
      <c r="V1938" s="15"/>
      <c r="W1938" s="15"/>
      <c r="X1938" s="15"/>
      <c r="Y1938" s="15"/>
      <c r="Z1938" s="15"/>
      <c r="AA1938" s="46"/>
      <c r="AB1938" s="15"/>
      <c r="AC1938" s="15"/>
      <c r="AD1938" s="15"/>
      <c r="AE1938" s="15"/>
      <c r="AF1938" s="15"/>
      <c r="AG1938" s="15"/>
      <c r="AH1938" s="15"/>
      <c r="AI1938" s="46"/>
      <c r="AJ1938" s="51" t="s">
        <v>67</v>
      </c>
      <c r="AK1938" s="51" t="s">
        <v>67</v>
      </c>
      <c r="AL1938" s="15"/>
      <c r="AM1938" s="51" t="s">
        <v>67</v>
      </c>
      <c r="AN1938" s="51" t="s">
        <v>67</v>
      </c>
      <c r="AO1938" s="50" t="s">
        <v>9554</v>
      </c>
    </row>
    <row r="1939" spans="1:41" hidden="1" x14ac:dyDescent="0.25">
      <c r="A1939" s="51" t="s">
        <v>9674</v>
      </c>
      <c r="B1939" s="51" t="s">
        <v>9675</v>
      </c>
      <c r="C1939" s="54" t="s">
        <v>2356</v>
      </c>
      <c r="D1939" s="51" t="s">
        <v>9676</v>
      </c>
      <c r="E1939" s="20">
        <v>10000</v>
      </c>
      <c r="F1939" s="20">
        <v>1389.51</v>
      </c>
      <c r="G1939" s="20">
        <v>18125</v>
      </c>
      <c r="H1939" s="20">
        <v>1108.21</v>
      </c>
      <c r="I1939" s="20">
        <v>2497.7199999999998</v>
      </c>
      <c r="J1939" s="51" t="s">
        <v>6727</v>
      </c>
      <c r="K1939" s="15">
        <v>0</v>
      </c>
      <c r="L1939" s="51" t="s">
        <v>2371</v>
      </c>
      <c r="M1939" s="51" t="s">
        <v>67</v>
      </c>
      <c r="N1939" s="51" t="s">
        <v>67</v>
      </c>
      <c r="O1939" s="51" t="s">
        <v>9677</v>
      </c>
      <c r="P1939" s="51" t="s">
        <v>1340</v>
      </c>
      <c r="Q1939" s="45">
        <v>46291.44466429398</v>
      </c>
      <c r="R1939" s="46">
        <v>46307</v>
      </c>
      <c r="S1939" s="46">
        <v>46302</v>
      </c>
      <c r="T1939" s="51" t="s">
        <v>6119</v>
      </c>
      <c r="U1939" s="15"/>
      <c r="V1939" s="15"/>
      <c r="W1939" s="15"/>
      <c r="X1939" s="15"/>
      <c r="Y1939" s="15"/>
      <c r="Z1939" s="15"/>
      <c r="AA1939" s="46"/>
      <c r="AB1939" s="15"/>
      <c r="AC1939" s="15"/>
      <c r="AD1939" s="15"/>
      <c r="AE1939" s="15"/>
      <c r="AF1939" s="15"/>
      <c r="AG1939" s="15"/>
      <c r="AH1939" s="15"/>
      <c r="AI1939" s="46"/>
      <c r="AJ1939" s="51" t="s">
        <v>67</v>
      </c>
      <c r="AK1939" s="51" t="s">
        <v>67</v>
      </c>
      <c r="AL1939" s="15"/>
      <c r="AM1939" s="51" t="s">
        <v>67</v>
      </c>
      <c r="AN1939" s="51" t="s">
        <v>67</v>
      </c>
      <c r="AO1939" s="50" t="s">
        <v>9554</v>
      </c>
    </row>
    <row r="1940" spans="1:41" hidden="1" x14ac:dyDescent="0.25">
      <c r="A1940" s="51" t="s">
        <v>9678</v>
      </c>
      <c r="B1940" s="51" t="s">
        <v>9679</v>
      </c>
      <c r="C1940" s="54" t="s">
        <v>2692</v>
      </c>
      <c r="D1940" s="51" t="s">
        <v>9680</v>
      </c>
      <c r="E1940" s="20">
        <v>10000</v>
      </c>
      <c r="F1940" s="20">
        <v>849.18</v>
      </c>
      <c r="G1940" s="20">
        <v>8452.09</v>
      </c>
      <c r="H1940" s="20">
        <v>7590.3</v>
      </c>
      <c r="I1940" s="20">
        <v>8439.48</v>
      </c>
      <c r="J1940" s="51" t="s">
        <v>6727</v>
      </c>
      <c r="K1940" s="15">
        <v>0</v>
      </c>
      <c r="L1940" s="51" t="s">
        <v>2371</v>
      </c>
      <c r="M1940" s="51" t="s">
        <v>67</v>
      </c>
      <c r="N1940" s="51" t="s">
        <v>67</v>
      </c>
      <c r="O1940" s="51" t="s">
        <v>9681</v>
      </c>
      <c r="P1940" s="51" t="s">
        <v>1340</v>
      </c>
      <c r="Q1940" s="45">
        <v>46291.444669409721</v>
      </c>
      <c r="R1940" s="46">
        <v>46296</v>
      </c>
      <c r="S1940" s="46">
        <v>46291</v>
      </c>
      <c r="T1940" s="51" t="s">
        <v>6119</v>
      </c>
      <c r="U1940" s="15"/>
      <c r="V1940" s="15"/>
      <c r="W1940" s="15"/>
      <c r="X1940" s="15"/>
      <c r="Y1940" s="15"/>
      <c r="Z1940" s="15"/>
      <c r="AA1940" s="46"/>
      <c r="AB1940" s="15"/>
      <c r="AC1940" s="15"/>
      <c r="AD1940" s="15"/>
      <c r="AE1940" s="15"/>
      <c r="AF1940" s="15"/>
      <c r="AG1940" s="15"/>
      <c r="AH1940" s="15"/>
      <c r="AI1940" s="46"/>
      <c r="AJ1940" s="51" t="s">
        <v>67</v>
      </c>
      <c r="AK1940" s="51" t="s">
        <v>67</v>
      </c>
      <c r="AL1940" s="15"/>
      <c r="AM1940" s="51" t="s">
        <v>67</v>
      </c>
      <c r="AN1940" s="51" t="s">
        <v>67</v>
      </c>
      <c r="AO1940" s="50" t="s">
        <v>9554</v>
      </c>
    </row>
    <row r="1941" spans="1:41" hidden="1" x14ac:dyDescent="0.25">
      <c r="A1941" s="51" t="s">
        <v>9682</v>
      </c>
      <c r="B1941" s="51" t="s">
        <v>9683</v>
      </c>
      <c r="C1941" s="54" t="s">
        <v>2692</v>
      </c>
      <c r="D1941" s="51" t="s">
        <v>9684</v>
      </c>
      <c r="E1941" s="20">
        <v>10000</v>
      </c>
      <c r="F1941" s="20">
        <v>209.11</v>
      </c>
      <c r="G1941" s="20">
        <v>12976.35</v>
      </c>
      <c r="H1941" s="20">
        <v>1454.26</v>
      </c>
      <c r="I1941" s="20">
        <v>1663.37</v>
      </c>
      <c r="J1941" s="51" t="s">
        <v>6727</v>
      </c>
      <c r="K1941" s="15">
        <v>0</v>
      </c>
      <c r="L1941" s="51" t="s">
        <v>2371</v>
      </c>
      <c r="M1941" s="51" t="s">
        <v>9685</v>
      </c>
      <c r="N1941" s="51" t="s">
        <v>1340</v>
      </c>
      <c r="O1941" s="51" t="s">
        <v>9686</v>
      </c>
      <c r="P1941" s="51" t="s">
        <v>1340</v>
      </c>
      <c r="Q1941" s="45">
        <v>46291.444674212966</v>
      </c>
      <c r="R1941" s="46">
        <v>46296</v>
      </c>
      <c r="S1941" s="46">
        <v>46291</v>
      </c>
      <c r="T1941" s="51" t="s">
        <v>6119</v>
      </c>
      <c r="U1941" s="15"/>
      <c r="V1941" s="15"/>
      <c r="W1941" s="15"/>
      <c r="X1941" s="15"/>
      <c r="Y1941" s="15"/>
      <c r="Z1941" s="15"/>
      <c r="AA1941" s="46"/>
      <c r="AB1941" s="15"/>
      <c r="AC1941" s="15"/>
      <c r="AD1941" s="15"/>
      <c r="AE1941" s="15"/>
      <c r="AF1941" s="15"/>
      <c r="AG1941" s="15"/>
      <c r="AH1941" s="15"/>
      <c r="AI1941" s="46"/>
      <c r="AJ1941" s="51" t="s">
        <v>67</v>
      </c>
      <c r="AK1941" s="51" t="s">
        <v>67</v>
      </c>
      <c r="AL1941" s="15"/>
      <c r="AM1941" s="51" t="s">
        <v>67</v>
      </c>
      <c r="AN1941" s="51" t="s">
        <v>67</v>
      </c>
      <c r="AO1941" s="50" t="s">
        <v>9554</v>
      </c>
    </row>
    <row r="1942" spans="1:41" hidden="1" x14ac:dyDescent="0.25">
      <c r="A1942" s="51" t="s">
        <v>9687</v>
      </c>
      <c r="B1942" s="51" t="s">
        <v>9688</v>
      </c>
      <c r="C1942" s="54" t="s">
        <v>5601</v>
      </c>
      <c r="D1942" s="51" t="s">
        <v>9689</v>
      </c>
      <c r="E1942" s="20">
        <v>10000</v>
      </c>
      <c r="F1942" s="20">
        <v>3910.52</v>
      </c>
      <c r="G1942" s="20">
        <v>643.38</v>
      </c>
      <c r="H1942" s="20">
        <v>1679.7</v>
      </c>
      <c r="I1942" s="20">
        <v>5590.22</v>
      </c>
      <c r="J1942" s="51" t="s">
        <v>6727</v>
      </c>
      <c r="K1942" s="15">
        <v>0</v>
      </c>
      <c r="L1942" s="51" t="s">
        <v>2371</v>
      </c>
      <c r="M1942" s="51" t="s">
        <v>9690</v>
      </c>
      <c r="N1942" s="51" t="s">
        <v>1340</v>
      </c>
      <c r="O1942" s="51" t="s">
        <v>9691</v>
      </c>
      <c r="P1942" s="51" t="s">
        <v>1340</v>
      </c>
      <c r="Q1942" s="45">
        <v>46291.444679166663</v>
      </c>
      <c r="R1942" s="46">
        <v>46316</v>
      </c>
      <c r="S1942" s="46">
        <v>46311</v>
      </c>
      <c r="T1942" s="51" t="s">
        <v>6119</v>
      </c>
      <c r="U1942" s="15"/>
      <c r="V1942" s="15"/>
      <c r="W1942" s="15"/>
      <c r="X1942" s="15"/>
      <c r="Y1942" s="15"/>
      <c r="Z1942" s="15"/>
      <c r="AA1942" s="46"/>
      <c r="AB1942" s="15"/>
      <c r="AC1942" s="15"/>
      <c r="AD1942" s="15"/>
      <c r="AE1942" s="15"/>
      <c r="AF1942" s="15"/>
      <c r="AG1942" s="15"/>
      <c r="AH1942" s="15"/>
      <c r="AI1942" s="46"/>
      <c r="AJ1942" s="51" t="s">
        <v>67</v>
      </c>
      <c r="AK1942" s="51" t="s">
        <v>67</v>
      </c>
      <c r="AL1942" s="15"/>
      <c r="AM1942" s="51" t="s">
        <v>67</v>
      </c>
      <c r="AN1942" s="51" t="s">
        <v>67</v>
      </c>
      <c r="AO1942" s="50" t="s">
        <v>9554</v>
      </c>
    </row>
    <row r="1943" spans="1:41" hidden="1" x14ac:dyDescent="0.25">
      <c r="A1943" s="51" t="s">
        <v>9692</v>
      </c>
      <c r="B1943" s="51" t="s">
        <v>9693</v>
      </c>
      <c r="C1943" s="54" t="s">
        <v>5603</v>
      </c>
      <c r="D1943" s="51" t="s">
        <v>9694</v>
      </c>
      <c r="E1943" s="20">
        <v>10000</v>
      </c>
      <c r="F1943" s="20">
        <v>1241.02</v>
      </c>
      <c r="G1943" s="20">
        <v>11173.68</v>
      </c>
      <c r="H1943" s="20">
        <v>6718.11</v>
      </c>
      <c r="I1943" s="20">
        <v>7959.13</v>
      </c>
      <c r="J1943" s="51" t="s">
        <v>6727</v>
      </c>
      <c r="K1943" s="15">
        <v>0</v>
      </c>
      <c r="L1943" s="51" t="s">
        <v>2371</v>
      </c>
      <c r="M1943" s="51" t="s">
        <v>9695</v>
      </c>
      <c r="N1943" s="51" t="s">
        <v>1340</v>
      </c>
      <c r="O1943" s="51" t="s">
        <v>9696</v>
      </c>
      <c r="P1943" s="51" t="s">
        <v>1340</v>
      </c>
      <c r="Q1943" s="45">
        <v>46291.444683564812</v>
      </c>
      <c r="R1943" s="46">
        <v>46298</v>
      </c>
      <c r="S1943" s="46">
        <v>46293</v>
      </c>
      <c r="T1943" s="51" t="s">
        <v>6119</v>
      </c>
      <c r="U1943" s="15"/>
      <c r="V1943" s="15"/>
      <c r="W1943" s="15"/>
      <c r="X1943" s="15"/>
      <c r="Y1943" s="15"/>
      <c r="Z1943" s="15"/>
      <c r="AA1943" s="46"/>
      <c r="AB1943" s="15"/>
      <c r="AC1943" s="15"/>
      <c r="AD1943" s="15"/>
      <c r="AE1943" s="15"/>
      <c r="AF1943" s="15"/>
      <c r="AG1943" s="15"/>
      <c r="AH1943" s="15"/>
      <c r="AI1943" s="46"/>
      <c r="AJ1943" s="51" t="s">
        <v>67</v>
      </c>
      <c r="AK1943" s="51" t="s">
        <v>67</v>
      </c>
      <c r="AL1943" s="15"/>
      <c r="AM1943" s="51" t="s">
        <v>67</v>
      </c>
      <c r="AN1943" s="51" t="s">
        <v>67</v>
      </c>
      <c r="AO1943" s="50" t="s">
        <v>9554</v>
      </c>
    </row>
    <row r="1944" spans="1:41" hidden="1" x14ac:dyDescent="0.25">
      <c r="A1944" s="51" t="s">
        <v>9697</v>
      </c>
      <c r="B1944" s="51" t="s">
        <v>9698</v>
      </c>
      <c r="C1944" s="54" t="s">
        <v>5596</v>
      </c>
      <c r="D1944" s="51" t="s">
        <v>9699</v>
      </c>
      <c r="E1944" s="20">
        <v>10000</v>
      </c>
      <c r="F1944" s="20">
        <v>6671.66</v>
      </c>
      <c r="G1944" s="20">
        <v>-1979.67</v>
      </c>
      <c r="H1944" s="20">
        <v>2158.9</v>
      </c>
      <c r="I1944" s="20">
        <v>8830.56</v>
      </c>
      <c r="J1944" s="51" t="s">
        <v>6727</v>
      </c>
      <c r="K1944" s="15">
        <v>0</v>
      </c>
      <c r="L1944" s="51" t="s">
        <v>2371</v>
      </c>
      <c r="M1944" s="51" t="s">
        <v>9700</v>
      </c>
      <c r="N1944" s="51" t="s">
        <v>1340</v>
      </c>
      <c r="O1944" s="51" t="s">
        <v>9701</v>
      </c>
      <c r="P1944" s="51" t="s">
        <v>1340</v>
      </c>
      <c r="Q1944" s="45">
        <v>46291.444688587966</v>
      </c>
      <c r="R1944" s="46">
        <v>46300</v>
      </c>
      <c r="S1944" s="46">
        <v>46295</v>
      </c>
      <c r="T1944" s="51" t="s">
        <v>6119</v>
      </c>
      <c r="U1944" s="15"/>
      <c r="V1944" s="15"/>
      <c r="W1944" s="15"/>
      <c r="X1944" s="15"/>
      <c r="Y1944" s="15"/>
      <c r="Z1944" s="15"/>
      <c r="AA1944" s="46"/>
      <c r="AB1944" s="15"/>
      <c r="AC1944" s="15"/>
      <c r="AD1944" s="15"/>
      <c r="AE1944" s="15"/>
      <c r="AF1944" s="15"/>
      <c r="AG1944" s="15"/>
      <c r="AH1944" s="15"/>
      <c r="AI1944" s="46"/>
      <c r="AJ1944" s="51" t="s">
        <v>67</v>
      </c>
      <c r="AK1944" s="51" t="s">
        <v>67</v>
      </c>
      <c r="AL1944" s="15"/>
      <c r="AM1944" s="51" t="s">
        <v>67</v>
      </c>
      <c r="AN1944" s="51" t="s">
        <v>67</v>
      </c>
      <c r="AO1944" s="50" t="s">
        <v>9554</v>
      </c>
    </row>
    <row r="1945" spans="1:41" hidden="1" x14ac:dyDescent="0.25">
      <c r="A1945" s="51" t="s">
        <v>9702</v>
      </c>
      <c r="B1945" s="51" t="s">
        <v>9703</v>
      </c>
      <c r="C1945" s="54" t="s">
        <v>2689</v>
      </c>
      <c r="D1945" s="51" t="s">
        <v>9704</v>
      </c>
      <c r="E1945" s="20">
        <v>10000</v>
      </c>
      <c r="F1945" s="20">
        <v>1945.68</v>
      </c>
      <c r="G1945" s="20">
        <v>1140.27</v>
      </c>
      <c r="H1945" s="20">
        <v>1241.96</v>
      </c>
      <c r="I1945" s="20">
        <v>3086.91</v>
      </c>
      <c r="J1945" s="51" t="s">
        <v>6727</v>
      </c>
      <c r="K1945" s="15">
        <v>0</v>
      </c>
      <c r="L1945" s="51" t="s">
        <v>2371</v>
      </c>
      <c r="M1945" s="51" t="s">
        <v>67</v>
      </c>
      <c r="N1945" s="51" t="s">
        <v>67</v>
      </c>
      <c r="O1945" s="51" t="s">
        <v>9705</v>
      </c>
      <c r="P1945" s="51" t="s">
        <v>1344</v>
      </c>
      <c r="Q1945" s="45">
        <v>46291.444694212965</v>
      </c>
      <c r="R1945" s="46">
        <v>46317</v>
      </c>
      <c r="S1945" s="46">
        <v>46312</v>
      </c>
      <c r="T1945" s="51" t="s">
        <v>6119</v>
      </c>
      <c r="U1945" s="15"/>
      <c r="V1945" s="15"/>
      <c r="W1945" s="15"/>
      <c r="X1945" s="15"/>
      <c r="Y1945" s="15"/>
      <c r="Z1945" s="15"/>
      <c r="AA1945" s="46"/>
      <c r="AB1945" s="15"/>
      <c r="AC1945" s="15"/>
      <c r="AD1945" s="15"/>
      <c r="AE1945" s="15"/>
      <c r="AF1945" s="15"/>
      <c r="AG1945" s="15"/>
      <c r="AH1945" s="15"/>
      <c r="AI1945" s="46"/>
      <c r="AJ1945" s="51" t="s">
        <v>67</v>
      </c>
      <c r="AK1945" s="51" t="s">
        <v>67</v>
      </c>
      <c r="AL1945" s="15"/>
      <c r="AM1945" s="51" t="s">
        <v>67</v>
      </c>
      <c r="AN1945" s="51" t="s">
        <v>67</v>
      </c>
      <c r="AO1945" s="50" t="s">
        <v>9554</v>
      </c>
    </row>
    <row r="1946" spans="1:41" hidden="1" x14ac:dyDescent="0.25">
      <c r="A1946" s="51" t="s">
        <v>9706</v>
      </c>
      <c r="B1946" s="51" t="s">
        <v>9707</v>
      </c>
      <c r="C1946" s="54" t="s">
        <v>2694</v>
      </c>
      <c r="D1946" s="51" t="s">
        <v>9708</v>
      </c>
      <c r="E1946" s="20">
        <v>10000</v>
      </c>
      <c r="F1946" s="20">
        <v>528.67999999999995</v>
      </c>
      <c r="G1946" s="20">
        <v>3539.51</v>
      </c>
      <c r="H1946" s="20">
        <v>2722.03</v>
      </c>
      <c r="I1946" s="20">
        <v>3250.71</v>
      </c>
      <c r="J1946" s="51" t="s">
        <v>6727</v>
      </c>
      <c r="K1946" s="15">
        <v>0</v>
      </c>
      <c r="L1946" s="51" t="s">
        <v>2371</v>
      </c>
      <c r="M1946" s="51" t="s">
        <v>9709</v>
      </c>
      <c r="N1946" s="51" t="s">
        <v>1340</v>
      </c>
      <c r="O1946" s="51" t="s">
        <v>9710</v>
      </c>
      <c r="P1946" s="51" t="s">
        <v>1340</v>
      </c>
      <c r="Q1946" s="45">
        <v>46291.444698425927</v>
      </c>
      <c r="R1946" s="46">
        <v>46312</v>
      </c>
      <c r="S1946" s="46">
        <v>46307</v>
      </c>
      <c r="T1946" s="51" t="s">
        <v>6119</v>
      </c>
      <c r="U1946" s="15"/>
      <c r="V1946" s="15"/>
      <c r="W1946" s="15"/>
      <c r="X1946" s="15"/>
      <c r="Y1946" s="15"/>
      <c r="Z1946" s="15"/>
      <c r="AA1946" s="46"/>
      <c r="AB1946" s="15"/>
      <c r="AC1946" s="15"/>
      <c r="AD1946" s="15"/>
      <c r="AE1946" s="15"/>
      <c r="AF1946" s="15"/>
      <c r="AG1946" s="15"/>
      <c r="AH1946" s="15"/>
      <c r="AI1946" s="46"/>
      <c r="AJ1946" s="51" t="s">
        <v>67</v>
      </c>
      <c r="AK1946" s="51" t="s">
        <v>67</v>
      </c>
      <c r="AL1946" s="15"/>
      <c r="AM1946" s="51" t="s">
        <v>67</v>
      </c>
      <c r="AN1946" s="51" t="s">
        <v>67</v>
      </c>
      <c r="AO1946" s="50" t="s">
        <v>9554</v>
      </c>
    </row>
    <row r="1947" spans="1:41" hidden="1" x14ac:dyDescent="0.25">
      <c r="A1947" s="51" t="s">
        <v>9711</v>
      </c>
      <c r="B1947" s="51" t="s">
        <v>9712</v>
      </c>
      <c r="C1947" s="54" t="s">
        <v>2345</v>
      </c>
      <c r="D1947" s="51" t="s">
        <v>9713</v>
      </c>
      <c r="E1947" s="20">
        <v>10000</v>
      </c>
      <c r="F1947" s="20">
        <v>6890.12</v>
      </c>
      <c r="G1947" s="20">
        <v>6174.63</v>
      </c>
      <c r="H1947" s="20">
        <v>728.61</v>
      </c>
      <c r="I1947" s="20">
        <v>7618.73</v>
      </c>
      <c r="J1947" s="51" t="s">
        <v>6727</v>
      </c>
      <c r="K1947" s="15">
        <v>0</v>
      </c>
      <c r="L1947" s="51" t="s">
        <v>2371</v>
      </c>
      <c r="M1947" s="51" t="s">
        <v>9714</v>
      </c>
      <c r="N1947" s="51" t="s">
        <v>1340</v>
      </c>
      <c r="O1947" s="51" t="s">
        <v>9715</v>
      </c>
      <c r="P1947" s="51" t="s">
        <v>1340</v>
      </c>
      <c r="Q1947" s="45">
        <v>46291.444703194444</v>
      </c>
      <c r="R1947" s="46">
        <v>46306</v>
      </c>
      <c r="S1947" s="46">
        <v>46301</v>
      </c>
      <c r="T1947" s="51" t="s">
        <v>6119</v>
      </c>
      <c r="U1947" s="15"/>
      <c r="V1947" s="15"/>
      <c r="W1947" s="15"/>
      <c r="X1947" s="15"/>
      <c r="Y1947" s="15"/>
      <c r="Z1947" s="15"/>
      <c r="AA1947" s="46"/>
      <c r="AB1947" s="15"/>
      <c r="AC1947" s="15"/>
      <c r="AD1947" s="15"/>
      <c r="AE1947" s="15"/>
      <c r="AF1947" s="15"/>
      <c r="AG1947" s="15"/>
      <c r="AH1947" s="15"/>
      <c r="AI1947" s="46"/>
      <c r="AJ1947" s="51" t="s">
        <v>67</v>
      </c>
      <c r="AK1947" s="51" t="s">
        <v>67</v>
      </c>
      <c r="AL1947" s="15"/>
      <c r="AM1947" s="51" t="s">
        <v>67</v>
      </c>
      <c r="AN1947" s="51" t="s">
        <v>67</v>
      </c>
      <c r="AO1947" s="50" t="s">
        <v>9554</v>
      </c>
    </row>
    <row r="1948" spans="1:41" hidden="1" x14ac:dyDescent="0.25">
      <c r="A1948" s="51" t="s">
        <v>9716</v>
      </c>
      <c r="B1948" s="51" t="s">
        <v>9717</v>
      </c>
      <c r="C1948" s="54" t="s">
        <v>2689</v>
      </c>
      <c r="D1948" s="51" t="s">
        <v>9718</v>
      </c>
      <c r="E1948" s="20">
        <v>10000</v>
      </c>
      <c r="F1948" s="20">
        <v>311.47000000000003</v>
      </c>
      <c r="G1948" s="20">
        <v>14724.92</v>
      </c>
      <c r="H1948" s="20">
        <v>2013.09</v>
      </c>
      <c r="I1948" s="20">
        <v>2284.17</v>
      </c>
      <c r="J1948" s="51" t="s">
        <v>6727</v>
      </c>
      <c r="K1948" s="15">
        <v>0</v>
      </c>
      <c r="L1948" s="51" t="s">
        <v>2371</v>
      </c>
      <c r="M1948" s="51" t="s">
        <v>9719</v>
      </c>
      <c r="N1948" s="51" t="s">
        <v>1340</v>
      </c>
      <c r="O1948" s="51" t="s">
        <v>9720</v>
      </c>
      <c r="P1948" s="51" t="s">
        <v>1340</v>
      </c>
      <c r="Q1948" s="45">
        <v>46291.444709189818</v>
      </c>
      <c r="R1948" s="46">
        <v>46317</v>
      </c>
      <c r="S1948" s="46">
        <v>46312</v>
      </c>
      <c r="T1948" s="51" t="s">
        <v>6119</v>
      </c>
      <c r="U1948" s="15"/>
      <c r="V1948" s="15"/>
      <c r="W1948" s="15"/>
      <c r="X1948" s="15"/>
      <c r="Y1948" s="15"/>
      <c r="Z1948" s="15"/>
      <c r="AA1948" s="46"/>
      <c r="AB1948" s="15"/>
      <c r="AC1948" s="15"/>
      <c r="AD1948" s="15"/>
      <c r="AE1948" s="15"/>
      <c r="AF1948" s="15"/>
      <c r="AG1948" s="15"/>
      <c r="AH1948" s="15"/>
      <c r="AI1948" s="46"/>
      <c r="AJ1948" s="51" t="s">
        <v>67</v>
      </c>
      <c r="AK1948" s="51" t="s">
        <v>67</v>
      </c>
      <c r="AL1948" s="15"/>
      <c r="AM1948" s="51" t="s">
        <v>67</v>
      </c>
      <c r="AN1948" s="51" t="s">
        <v>67</v>
      </c>
      <c r="AO1948" s="50" t="s">
        <v>9554</v>
      </c>
    </row>
    <row r="1949" spans="1:41" hidden="1" x14ac:dyDescent="0.25">
      <c r="A1949" s="51" t="s">
        <v>9721</v>
      </c>
      <c r="B1949" s="51" t="s">
        <v>9722</v>
      </c>
      <c r="C1949" s="54" t="s">
        <v>2689</v>
      </c>
      <c r="D1949" s="51" t="s">
        <v>9723</v>
      </c>
      <c r="E1949" s="20">
        <v>10000</v>
      </c>
      <c r="F1949" s="20">
        <v>6763.15</v>
      </c>
      <c r="G1949" s="20">
        <v>9565.74</v>
      </c>
      <c r="H1949" s="20">
        <v>1358.65</v>
      </c>
      <c r="I1949" s="20">
        <v>2907.51</v>
      </c>
      <c r="J1949" s="51" t="s">
        <v>6727</v>
      </c>
      <c r="K1949" s="15">
        <v>0</v>
      </c>
      <c r="L1949" s="51" t="s">
        <v>2371</v>
      </c>
      <c r="M1949" s="51" t="s">
        <v>67</v>
      </c>
      <c r="N1949" s="51" t="s">
        <v>67</v>
      </c>
      <c r="O1949" s="51" t="s">
        <v>9724</v>
      </c>
      <c r="P1949" s="51" t="s">
        <v>1340</v>
      </c>
      <c r="Q1949" s="45">
        <v>46291.444714039353</v>
      </c>
      <c r="R1949" s="46">
        <v>46317</v>
      </c>
      <c r="S1949" s="46">
        <v>46312</v>
      </c>
      <c r="T1949" s="51" t="s">
        <v>6119</v>
      </c>
      <c r="U1949" s="15"/>
      <c r="V1949" s="15"/>
      <c r="W1949" s="15"/>
      <c r="X1949" s="15"/>
      <c r="Y1949" s="15"/>
      <c r="Z1949" s="15"/>
      <c r="AA1949" s="46"/>
      <c r="AB1949" s="15"/>
      <c r="AC1949" s="15"/>
      <c r="AD1949" s="15"/>
      <c r="AE1949" s="15"/>
      <c r="AF1949" s="15"/>
      <c r="AG1949" s="15"/>
      <c r="AH1949" s="15"/>
      <c r="AI1949" s="46"/>
      <c r="AJ1949" s="51" t="s">
        <v>67</v>
      </c>
      <c r="AK1949" s="51" t="s">
        <v>67</v>
      </c>
      <c r="AL1949" s="15"/>
      <c r="AM1949" s="51" t="s">
        <v>67</v>
      </c>
      <c r="AN1949" s="51" t="s">
        <v>67</v>
      </c>
      <c r="AO1949" s="50" t="s">
        <v>9554</v>
      </c>
    </row>
    <row r="1950" spans="1:41" hidden="1" x14ac:dyDescent="0.25">
      <c r="A1950" s="51" t="s">
        <v>9725</v>
      </c>
      <c r="B1950" s="51" t="s">
        <v>9726</v>
      </c>
      <c r="C1950" s="54" t="s">
        <v>2357</v>
      </c>
      <c r="D1950" s="51" t="s">
        <v>9727</v>
      </c>
      <c r="E1950" s="20">
        <v>10000</v>
      </c>
      <c r="F1950" s="20">
        <v>647.82000000000005</v>
      </c>
      <c r="G1950" s="20">
        <v>1555.34</v>
      </c>
      <c r="H1950" s="20">
        <v>1641.62</v>
      </c>
      <c r="I1950" s="20">
        <v>2289.44</v>
      </c>
      <c r="J1950" s="51" t="s">
        <v>6727</v>
      </c>
      <c r="K1950" s="15">
        <v>0</v>
      </c>
      <c r="L1950" s="51" t="s">
        <v>2371</v>
      </c>
      <c r="M1950" s="51" t="s">
        <v>67</v>
      </c>
      <c r="N1950" s="51" t="s">
        <v>67</v>
      </c>
      <c r="O1950" s="51" t="s">
        <v>9728</v>
      </c>
      <c r="P1950" s="51" t="s">
        <v>1340</v>
      </c>
      <c r="Q1950" s="45">
        <v>46291.444718657411</v>
      </c>
      <c r="R1950" s="46">
        <v>46308</v>
      </c>
      <c r="S1950" s="46">
        <v>46303</v>
      </c>
      <c r="T1950" s="51" t="s">
        <v>6119</v>
      </c>
      <c r="U1950" s="15"/>
      <c r="V1950" s="15"/>
      <c r="W1950" s="15"/>
      <c r="X1950" s="15"/>
      <c r="Y1950" s="15"/>
      <c r="Z1950" s="15"/>
      <c r="AA1950" s="46"/>
      <c r="AB1950" s="15"/>
      <c r="AC1950" s="15"/>
      <c r="AD1950" s="15"/>
      <c r="AE1950" s="15"/>
      <c r="AF1950" s="15"/>
      <c r="AG1950" s="15"/>
      <c r="AH1950" s="15"/>
      <c r="AI1950" s="46"/>
      <c r="AJ1950" s="51" t="s">
        <v>67</v>
      </c>
      <c r="AK1950" s="51" t="s">
        <v>67</v>
      </c>
      <c r="AL1950" s="15"/>
      <c r="AM1950" s="51" t="s">
        <v>67</v>
      </c>
      <c r="AN1950" s="51" t="s">
        <v>67</v>
      </c>
      <c r="AO1950" s="50" t="s">
        <v>9554</v>
      </c>
    </row>
    <row r="1951" spans="1:41" hidden="1" x14ac:dyDescent="0.25">
      <c r="A1951" s="51" t="s">
        <v>9729</v>
      </c>
      <c r="B1951" s="51" t="s">
        <v>9730</v>
      </c>
      <c r="C1951" s="54" t="s">
        <v>5601</v>
      </c>
      <c r="D1951" s="51" t="s">
        <v>9731</v>
      </c>
      <c r="E1951" s="20">
        <v>10000</v>
      </c>
      <c r="F1951" s="20">
        <v>1724.88</v>
      </c>
      <c r="G1951" s="20">
        <v>10221.629999999999</v>
      </c>
      <c r="H1951" s="20">
        <v>1098.53</v>
      </c>
      <c r="I1951" s="20">
        <v>1273.26</v>
      </c>
      <c r="J1951" s="51" t="s">
        <v>6727</v>
      </c>
      <c r="K1951" s="15">
        <v>0</v>
      </c>
      <c r="L1951" s="51" t="s">
        <v>2371</v>
      </c>
      <c r="M1951" s="51" t="s">
        <v>67</v>
      </c>
      <c r="N1951" s="51" t="s">
        <v>67</v>
      </c>
      <c r="O1951" s="51" t="s">
        <v>9732</v>
      </c>
      <c r="P1951" s="51" t="s">
        <v>1340</v>
      </c>
      <c r="Q1951" s="45">
        <v>46291.44472353009</v>
      </c>
      <c r="R1951" s="46">
        <v>46316</v>
      </c>
      <c r="S1951" s="46">
        <v>46311</v>
      </c>
      <c r="T1951" s="51" t="s">
        <v>6119</v>
      </c>
      <c r="U1951" s="15"/>
      <c r="V1951" s="15"/>
      <c r="W1951" s="15"/>
      <c r="X1951" s="15"/>
      <c r="Y1951" s="15"/>
      <c r="Z1951" s="15"/>
      <c r="AA1951" s="46"/>
      <c r="AB1951" s="15"/>
      <c r="AC1951" s="15"/>
      <c r="AD1951" s="15"/>
      <c r="AE1951" s="15"/>
      <c r="AF1951" s="15"/>
      <c r="AG1951" s="15"/>
      <c r="AH1951" s="15"/>
      <c r="AI1951" s="46"/>
      <c r="AJ1951" s="51" t="s">
        <v>67</v>
      </c>
      <c r="AK1951" s="51" t="s">
        <v>67</v>
      </c>
      <c r="AL1951" s="15"/>
      <c r="AM1951" s="51" t="s">
        <v>67</v>
      </c>
      <c r="AN1951" s="51" t="s">
        <v>67</v>
      </c>
      <c r="AO1951" s="50" t="s">
        <v>9554</v>
      </c>
    </row>
  </sheetData>
  <conditionalFormatting sqref="E2:E1048576">
    <cfRule type="cellIs" dxfId="42" priority="2" operator="greaterThan">
      <formula>$H$24</formula>
    </cfRule>
  </conditionalFormatting>
  <conditionalFormatting sqref="G2:G1951">
    <cfRule type="cellIs" dxfId="41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7"/>
  <sheetViews>
    <sheetView showOutlineSymbols="0" topLeftCell="A65" workbookViewId="0"/>
  </sheetViews>
  <sheetFormatPr defaultRowHeight="15.75" x14ac:dyDescent="0.25"/>
  <cols>
    <col min="1" max="1" width="9.25" bestFit="1" customWidth="1"/>
    <col min="2" max="2" width="18.5" bestFit="1" customWidth="1"/>
    <col min="3" max="3" width="18.125" bestFit="1" customWidth="1"/>
    <col min="4" max="4" width="29.75" bestFit="1" customWidth="1"/>
    <col min="6" max="6" width="11.875" bestFit="1" customWidth="1"/>
    <col min="7" max="7" width="13" bestFit="1" customWidth="1"/>
    <col min="8" max="8" width="8.875" bestFit="1" customWidth="1"/>
    <col min="9" max="9" width="20.375" bestFit="1" customWidth="1"/>
    <col min="10" max="10" width="8.375" bestFit="1" customWidth="1"/>
    <col min="11" max="11" width="18.625" bestFit="1" customWidth="1"/>
    <col min="12" max="12" width="24.875" bestFit="1" customWidth="1"/>
    <col min="13" max="13" width="7.5" bestFit="1" customWidth="1"/>
    <col min="14" max="14" width="5.5" bestFit="1" customWidth="1"/>
    <col min="15" max="15" width="17.5" bestFit="1" customWidth="1"/>
    <col min="16" max="16" width="17.375" bestFit="1" customWidth="1"/>
    <col min="17" max="17" width="12.125" bestFit="1" customWidth="1"/>
    <col min="18" max="18" width="15.875" bestFit="1" customWidth="1"/>
    <col min="19" max="19" width="22.375" bestFit="1" customWidth="1"/>
    <col min="20" max="20" width="13.375" bestFit="1" customWidth="1"/>
    <col min="21" max="21" width="11.875" bestFit="1" customWidth="1"/>
    <col min="22" max="22" width="12.375" bestFit="1" customWidth="1"/>
    <col min="23" max="23" width="10.5" bestFit="1" customWidth="1"/>
  </cols>
  <sheetData>
    <row r="1" spans="1:23" x14ac:dyDescent="0.25">
      <c r="A1" t="s">
        <v>4</v>
      </c>
      <c r="B1" t="s">
        <v>30</v>
      </c>
      <c r="C1" t="s">
        <v>31</v>
      </c>
      <c r="D1" t="s">
        <v>32</v>
      </c>
      <c r="E1" t="s">
        <v>6</v>
      </c>
      <c r="F1" t="s">
        <v>5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</row>
    <row r="2" spans="1:23" x14ac:dyDescent="0.25">
      <c r="A2" t="s">
        <v>50</v>
      </c>
      <c r="B2" t="s">
        <v>51</v>
      </c>
      <c r="C2" t="s">
        <v>52</v>
      </c>
      <c r="D2" t="s">
        <v>53</v>
      </c>
      <c r="E2" t="s">
        <v>12</v>
      </c>
      <c r="F2" t="s">
        <v>11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>
        <v>10</v>
      </c>
      <c r="S2" t="s">
        <v>65</v>
      </c>
      <c r="T2" t="s">
        <v>66</v>
      </c>
      <c r="U2" t="s">
        <v>11</v>
      </c>
      <c r="V2" t="s">
        <v>67</v>
      </c>
      <c r="W2" t="s">
        <v>67</v>
      </c>
    </row>
    <row r="3" spans="1:23" x14ac:dyDescent="0.25">
      <c r="A3" t="s">
        <v>68</v>
      </c>
      <c r="B3" t="s">
        <v>69</v>
      </c>
      <c r="C3" t="s">
        <v>70</v>
      </c>
      <c r="D3" t="s">
        <v>71</v>
      </c>
      <c r="E3" t="s">
        <v>12</v>
      </c>
      <c r="F3" t="s">
        <v>72</v>
      </c>
      <c r="G3" t="s">
        <v>73</v>
      </c>
      <c r="H3" t="s">
        <v>74</v>
      </c>
      <c r="I3" t="s">
        <v>75</v>
      </c>
      <c r="J3" t="s">
        <v>76</v>
      </c>
      <c r="K3" t="s">
        <v>77</v>
      </c>
      <c r="L3" t="s">
        <v>78</v>
      </c>
      <c r="M3" t="s">
        <v>79</v>
      </c>
      <c r="N3" t="s">
        <v>61</v>
      </c>
      <c r="O3" t="s">
        <v>80</v>
      </c>
      <c r="P3" t="s">
        <v>81</v>
      </c>
      <c r="Q3" t="s">
        <v>82</v>
      </c>
      <c r="R3">
        <v>20</v>
      </c>
      <c r="S3" t="s">
        <v>83</v>
      </c>
      <c r="T3" t="s">
        <v>84</v>
      </c>
      <c r="U3" t="s">
        <v>72</v>
      </c>
      <c r="V3" t="s">
        <v>67</v>
      </c>
      <c r="W3" t="s">
        <v>67</v>
      </c>
    </row>
    <row r="4" spans="1:23" x14ac:dyDescent="0.25">
      <c r="A4" t="s">
        <v>85</v>
      </c>
      <c r="B4" t="s">
        <v>86</v>
      </c>
      <c r="C4" t="s">
        <v>87</v>
      </c>
      <c r="D4" t="s">
        <v>88</v>
      </c>
      <c r="E4" t="s">
        <v>12</v>
      </c>
      <c r="F4" t="s">
        <v>89</v>
      </c>
      <c r="G4" t="s">
        <v>90</v>
      </c>
      <c r="H4" t="s">
        <v>91</v>
      </c>
      <c r="I4" t="s">
        <v>92</v>
      </c>
      <c r="J4" t="s">
        <v>93</v>
      </c>
      <c r="K4" t="s">
        <v>94</v>
      </c>
      <c r="L4" t="s">
        <v>95</v>
      </c>
      <c r="M4" t="s">
        <v>96</v>
      </c>
      <c r="N4" t="s">
        <v>61</v>
      </c>
      <c r="O4" t="s">
        <v>97</v>
      </c>
      <c r="P4" t="s">
        <v>81</v>
      </c>
      <c r="Q4" t="s">
        <v>98</v>
      </c>
      <c r="R4">
        <v>15</v>
      </c>
      <c r="S4" t="s">
        <v>99</v>
      </c>
      <c r="T4" t="s">
        <v>66</v>
      </c>
      <c r="U4" t="s">
        <v>89</v>
      </c>
      <c r="V4" t="s">
        <v>67</v>
      </c>
      <c r="W4" t="s">
        <v>67</v>
      </c>
    </row>
    <row r="5" spans="1:23" x14ac:dyDescent="0.25">
      <c r="A5" t="s">
        <v>100</v>
      </c>
      <c r="B5" t="s">
        <v>101</v>
      </c>
      <c r="C5" t="s">
        <v>102</v>
      </c>
      <c r="D5" t="s">
        <v>103</v>
      </c>
      <c r="E5" t="s">
        <v>12</v>
      </c>
      <c r="F5" t="s">
        <v>104</v>
      </c>
      <c r="G5" t="s">
        <v>105</v>
      </c>
      <c r="H5" t="s">
        <v>106</v>
      </c>
      <c r="I5" t="s">
        <v>107</v>
      </c>
      <c r="J5" t="s">
        <v>108</v>
      </c>
      <c r="K5" t="s">
        <v>109</v>
      </c>
      <c r="L5" t="s">
        <v>110</v>
      </c>
      <c r="M5" t="s">
        <v>111</v>
      </c>
      <c r="N5" t="s">
        <v>61</v>
      </c>
      <c r="O5" t="s">
        <v>112</v>
      </c>
      <c r="P5" t="s">
        <v>113</v>
      </c>
      <c r="Q5" t="s">
        <v>64</v>
      </c>
      <c r="R5">
        <v>20</v>
      </c>
      <c r="S5" t="s">
        <v>114</v>
      </c>
      <c r="T5" t="s">
        <v>84</v>
      </c>
      <c r="U5" t="s">
        <v>104</v>
      </c>
      <c r="V5" t="s">
        <v>67</v>
      </c>
      <c r="W5" t="s">
        <v>67</v>
      </c>
    </row>
    <row r="6" spans="1:23" x14ac:dyDescent="0.25">
      <c r="A6" t="s">
        <v>115</v>
      </c>
      <c r="B6" t="s">
        <v>116</v>
      </c>
      <c r="C6" t="s">
        <v>117</v>
      </c>
      <c r="D6" t="s">
        <v>118</v>
      </c>
      <c r="E6" t="s">
        <v>12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61</v>
      </c>
      <c r="O6" t="s">
        <v>127</v>
      </c>
      <c r="P6" t="s">
        <v>63</v>
      </c>
      <c r="Q6" t="s">
        <v>98</v>
      </c>
      <c r="R6">
        <v>10</v>
      </c>
      <c r="S6" t="s">
        <v>128</v>
      </c>
      <c r="T6" t="s">
        <v>84</v>
      </c>
      <c r="U6" t="s">
        <v>119</v>
      </c>
      <c r="V6" t="s">
        <v>67</v>
      </c>
      <c r="W6" t="s">
        <v>67</v>
      </c>
    </row>
    <row r="7" spans="1:23" x14ac:dyDescent="0.25">
      <c r="A7" t="s">
        <v>129</v>
      </c>
      <c r="B7" t="s">
        <v>130</v>
      </c>
      <c r="C7" t="s">
        <v>131</v>
      </c>
      <c r="D7" t="s">
        <v>132</v>
      </c>
      <c r="E7" t="s">
        <v>12</v>
      </c>
      <c r="F7" t="s">
        <v>133</v>
      </c>
      <c r="G7" t="s">
        <v>134</v>
      </c>
      <c r="H7" t="s">
        <v>135</v>
      </c>
      <c r="I7" t="s">
        <v>136</v>
      </c>
      <c r="J7" t="s">
        <v>137</v>
      </c>
      <c r="K7" t="s">
        <v>138</v>
      </c>
      <c r="L7" t="s">
        <v>139</v>
      </c>
      <c r="M7" t="s">
        <v>140</v>
      </c>
      <c r="N7" t="s">
        <v>61</v>
      </c>
      <c r="O7" t="s">
        <v>141</v>
      </c>
      <c r="P7" t="s">
        <v>142</v>
      </c>
      <c r="Q7" t="s">
        <v>143</v>
      </c>
      <c r="R7">
        <v>15</v>
      </c>
      <c r="S7" t="s">
        <v>144</v>
      </c>
      <c r="T7" t="s">
        <v>84</v>
      </c>
      <c r="U7" t="s">
        <v>133</v>
      </c>
      <c r="V7" t="s">
        <v>67</v>
      </c>
      <c r="W7" t="s">
        <v>67</v>
      </c>
    </row>
    <row r="8" spans="1:23" x14ac:dyDescent="0.25">
      <c r="A8" t="s">
        <v>145</v>
      </c>
      <c r="B8" t="s">
        <v>146</v>
      </c>
      <c r="C8" t="s">
        <v>147</v>
      </c>
      <c r="D8" t="s">
        <v>148</v>
      </c>
      <c r="E8" t="s">
        <v>12</v>
      </c>
      <c r="F8" t="s">
        <v>149</v>
      </c>
      <c r="G8" t="s">
        <v>150</v>
      </c>
      <c r="H8" t="s">
        <v>151</v>
      </c>
      <c r="I8" t="s">
        <v>152</v>
      </c>
      <c r="J8" t="s">
        <v>153</v>
      </c>
      <c r="K8" t="s">
        <v>154</v>
      </c>
      <c r="L8" t="s">
        <v>155</v>
      </c>
      <c r="M8" t="s">
        <v>156</v>
      </c>
      <c r="N8" t="s">
        <v>61</v>
      </c>
      <c r="O8" t="s">
        <v>157</v>
      </c>
      <c r="P8" t="s">
        <v>142</v>
      </c>
      <c r="Q8" t="s">
        <v>82</v>
      </c>
      <c r="R8">
        <v>25</v>
      </c>
      <c r="S8" t="s">
        <v>158</v>
      </c>
      <c r="T8" t="s">
        <v>159</v>
      </c>
      <c r="U8" t="s">
        <v>149</v>
      </c>
      <c r="V8" t="s">
        <v>67</v>
      </c>
      <c r="W8" t="s">
        <v>67</v>
      </c>
    </row>
    <row r="9" spans="1:23" x14ac:dyDescent="0.25">
      <c r="A9" t="s">
        <v>160</v>
      </c>
      <c r="B9" t="s">
        <v>161</v>
      </c>
      <c r="C9" t="s">
        <v>162</v>
      </c>
      <c r="D9" t="s">
        <v>163</v>
      </c>
      <c r="E9" t="s">
        <v>12</v>
      </c>
      <c r="F9" t="s">
        <v>164</v>
      </c>
      <c r="G9" t="s">
        <v>165</v>
      </c>
      <c r="H9" t="s">
        <v>166</v>
      </c>
      <c r="I9" t="s">
        <v>167</v>
      </c>
      <c r="J9" t="s">
        <v>168</v>
      </c>
      <c r="K9" t="s">
        <v>169</v>
      </c>
      <c r="L9" t="s">
        <v>170</v>
      </c>
      <c r="M9" t="s">
        <v>171</v>
      </c>
      <c r="N9" t="s">
        <v>61</v>
      </c>
      <c r="O9" t="s">
        <v>172</v>
      </c>
      <c r="P9" t="s">
        <v>173</v>
      </c>
      <c r="Q9" t="s">
        <v>82</v>
      </c>
      <c r="R9">
        <v>25</v>
      </c>
      <c r="S9" t="s">
        <v>174</v>
      </c>
      <c r="T9" t="s">
        <v>66</v>
      </c>
      <c r="U9" t="s">
        <v>164</v>
      </c>
      <c r="V9" t="s">
        <v>67</v>
      </c>
      <c r="W9" t="s">
        <v>67</v>
      </c>
    </row>
    <row r="10" spans="1:23" x14ac:dyDescent="0.25">
      <c r="A10" t="s">
        <v>175</v>
      </c>
      <c r="B10" t="s">
        <v>176</v>
      </c>
      <c r="C10" t="s">
        <v>177</v>
      </c>
      <c r="D10" t="s">
        <v>178</v>
      </c>
      <c r="E10" t="s">
        <v>12</v>
      </c>
      <c r="F10" t="s">
        <v>179</v>
      </c>
      <c r="G10" t="s">
        <v>180</v>
      </c>
      <c r="H10" t="s">
        <v>181</v>
      </c>
      <c r="I10" t="s">
        <v>182</v>
      </c>
      <c r="J10" t="s">
        <v>183</v>
      </c>
      <c r="K10" t="s">
        <v>184</v>
      </c>
      <c r="L10" t="s">
        <v>185</v>
      </c>
      <c r="M10" t="s">
        <v>186</v>
      </c>
      <c r="N10" t="s">
        <v>61</v>
      </c>
      <c r="O10" t="s">
        <v>187</v>
      </c>
      <c r="P10" t="s">
        <v>81</v>
      </c>
      <c r="Q10" t="s">
        <v>82</v>
      </c>
      <c r="R10">
        <v>25</v>
      </c>
      <c r="S10" t="s">
        <v>188</v>
      </c>
      <c r="T10" t="s">
        <v>84</v>
      </c>
      <c r="U10" t="s">
        <v>179</v>
      </c>
      <c r="V10" t="s">
        <v>67</v>
      </c>
      <c r="W10" t="s">
        <v>67</v>
      </c>
    </row>
    <row r="11" spans="1:23" x14ac:dyDescent="0.25">
      <c r="A11" t="s">
        <v>189</v>
      </c>
      <c r="B11" t="s">
        <v>190</v>
      </c>
      <c r="C11" t="s">
        <v>191</v>
      </c>
      <c r="D11" t="s">
        <v>192</v>
      </c>
      <c r="E11" t="s">
        <v>12</v>
      </c>
      <c r="F11" t="s">
        <v>193</v>
      </c>
      <c r="G11" t="s">
        <v>194</v>
      </c>
      <c r="H11" t="s">
        <v>195</v>
      </c>
      <c r="I11" t="s">
        <v>196</v>
      </c>
      <c r="J11" t="s">
        <v>197</v>
      </c>
      <c r="K11" t="s">
        <v>138</v>
      </c>
      <c r="L11" t="s">
        <v>198</v>
      </c>
      <c r="M11" t="s">
        <v>199</v>
      </c>
      <c r="N11" t="s">
        <v>61</v>
      </c>
      <c r="O11" t="s">
        <v>200</v>
      </c>
      <c r="P11" t="s">
        <v>63</v>
      </c>
      <c r="Q11" t="s">
        <v>64</v>
      </c>
      <c r="R11">
        <v>25</v>
      </c>
      <c r="S11" t="s">
        <v>201</v>
      </c>
      <c r="T11" t="s">
        <v>84</v>
      </c>
      <c r="U11" t="s">
        <v>193</v>
      </c>
      <c r="V11" t="s">
        <v>67</v>
      </c>
      <c r="W11" t="s">
        <v>67</v>
      </c>
    </row>
    <row r="12" spans="1:23" x14ac:dyDescent="0.25">
      <c r="A12" t="s">
        <v>202</v>
      </c>
      <c r="B12" t="s">
        <v>203</v>
      </c>
      <c r="C12" t="s">
        <v>204</v>
      </c>
      <c r="D12" t="s">
        <v>205</v>
      </c>
      <c r="E12" t="s">
        <v>12</v>
      </c>
      <c r="F12" t="s">
        <v>206</v>
      </c>
      <c r="G12" t="s">
        <v>207</v>
      </c>
      <c r="H12" t="s">
        <v>208</v>
      </c>
      <c r="I12" t="s">
        <v>209</v>
      </c>
      <c r="J12" t="s">
        <v>210</v>
      </c>
      <c r="K12" t="s">
        <v>211</v>
      </c>
      <c r="L12" t="s">
        <v>212</v>
      </c>
      <c r="M12" t="s">
        <v>213</v>
      </c>
      <c r="N12" t="s">
        <v>61</v>
      </c>
      <c r="O12" t="s">
        <v>214</v>
      </c>
      <c r="P12" t="s">
        <v>142</v>
      </c>
      <c r="Q12" t="s">
        <v>82</v>
      </c>
      <c r="R12">
        <v>15</v>
      </c>
      <c r="S12" t="s">
        <v>215</v>
      </c>
      <c r="T12" t="s">
        <v>84</v>
      </c>
      <c r="U12" t="s">
        <v>206</v>
      </c>
      <c r="V12" t="s">
        <v>67</v>
      </c>
      <c r="W12" t="s">
        <v>67</v>
      </c>
    </row>
    <row r="13" spans="1:23" x14ac:dyDescent="0.25">
      <c r="A13" t="s">
        <v>216</v>
      </c>
      <c r="B13" t="s">
        <v>217</v>
      </c>
      <c r="C13" t="s">
        <v>218</v>
      </c>
      <c r="D13" t="s">
        <v>219</v>
      </c>
      <c r="E13" t="s">
        <v>12</v>
      </c>
      <c r="F13" t="s">
        <v>220</v>
      </c>
      <c r="G13" t="s">
        <v>221</v>
      </c>
      <c r="H13" t="s">
        <v>222</v>
      </c>
      <c r="I13" t="s">
        <v>223</v>
      </c>
      <c r="J13" t="s">
        <v>224</v>
      </c>
      <c r="K13" t="s">
        <v>225</v>
      </c>
      <c r="L13" t="s">
        <v>226</v>
      </c>
      <c r="M13" t="s">
        <v>227</v>
      </c>
      <c r="N13" t="s">
        <v>61</v>
      </c>
      <c r="O13" t="s">
        <v>228</v>
      </c>
      <c r="P13" t="s">
        <v>142</v>
      </c>
      <c r="Q13" t="s">
        <v>98</v>
      </c>
      <c r="R13">
        <v>20</v>
      </c>
      <c r="S13" t="s">
        <v>229</v>
      </c>
      <c r="T13" t="s">
        <v>66</v>
      </c>
      <c r="U13" t="s">
        <v>220</v>
      </c>
      <c r="V13" t="s">
        <v>67</v>
      </c>
      <c r="W13" t="s">
        <v>67</v>
      </c>
    </row>
    <row r="14" spans="1:23" x14ac:dyDescent="0.25">
      <c r="A14" t="s">
        <v>230</v>
      </c>
      <c r="B14" t="s">
        <v>231</v>
      </c>
      <c r="C14" t="s">
        <v>232</v>
      </c>
      <c r="D14" t="s">
        <v>233</v>
      </c>
      <c r="E14" t="s">
        <v>12</v>
      </c>
      <c r="F14" t="s">
        <v>234</v>
      </c>
      <c r="G14" t="s">
        <v>235</v>
      </c>
      <c r="H14" t="s">
        <v>236</v>
      </c>
      <c r="I14" t="s">
        <v>237</v>
      </c>
      <c r="J14" t="s">
        <v>238</v>
      </c>
      <c r="K14" t="s">
        <v>239</v>
      </c>
      <c r="L14" t="s">
        <v>240</v>
      </c>
      <c r="M14" t="s">
        <v>241</v>
      </c>
      <c r="N14" t="s">
        <v>61</v>
      </c>
      <c r="O14" t="s">
        <v>242</v>
      </c>
      <c r="P14" t="s">
        <v>113</v>
      </c>
      <c r="Q14" t="s">
        <v>98</v>
      </c>
      <c r="R14">
        <v>25</v>
      </c>
      <c r="S14" t="s">
        <v>243</v>
      </c>
      <c r="T14" t="s">
        <v>84</v>
      </c>
      <c r="U14" t="s">
        <v>234</v>
      </c>
      <c r="V14" t="s">
        <v>67</v>
      </c>
      <c r="W14" t="s">
        <v>67</v>
      </c>
    </row>
    <row r="15" spans="1:23" x14ac:dyDescent="0.25">
      <c r="A15" t="s">
        <v>244</v>
      </c>
      <c r="B15" t="s">
        <v>245</v>
      </c>
      <c r="C15" t="s">
        <v>246</v>
      </c>
      <c r="D15" t="s">
        <v>247</v>
      </c>
      <c r="E15" t="s">
        <v>12</v>
      </c>
      <c r="F15" t="s">
        <v>248</v>
      </c>
      <c r="G15" t="s">
        <v>249</v>
      </c>
      <c r="H15" t="s">
        <v>250</v>
      </c>
      <c r="I15" t="s">
        <v>251</v>
      </c>
      <c r="J15" t="s">
        <v>252</v>
      </c>
      <c r="K15" t="s">
        <v>253</v>
      </c>
      <c r="L15" t="s">
        <v>254</v>
      </c>
      <c r="M15" t="s">
        <v>79</v>
      </c>
      <c r="N15" t="s">
        <v>61</v>
      </c>
      <c r="O15" t="s">
        <v>255</v>
      </c>
      <c r="P15" t="s">
        <v>63</v>
      </c>
      <c r="Q15" t="s">
        <v>143</v>
      </c>
      <c r="R15">
        <v>20</v>
      </c>
      <c r="S15" t="s">
        <v>256</v>
      </c>
      <c r="T15" t="s">
        <v>84</v>
      </c>
      <c r="U15" t="s">
        <v>248</v>
      </c>
      <c r="V15" t="s">
        <v>67</v>
      </c>
      <c r="W15" t="s">
        <v>67</v>
      </c>
    </row>
    <row r="16" spans="1:23" x14ac:dyDescent="0.25">
      <c r="A16" t="s">
        <v>257</v>
      </c>
      <c r="B16" t="s">
        <v>258</v>
      </c>
      <c r="C16" t="s">
        <v>259</v>
      </c>
      <c r="D16" t="s">
        <v>260</v>
      </c>
      <c r="E16" t="s">
        <v>12</v>
      </c>
      <c r="F16" t="s">
        <v>261</v>
      </c>
      <c r="G16" t="s">
        <v>262</v>
      </c>
      <c r="H16" t="s">
        <v>263</v>
      </c>
      <c r="I16" t="s">
        <v>264</v>
      </c>
      <c r="J16" t="s">
        <v>265</v>
      </c>
      <c r="K16" t="s">
        <v>184</v>
      </c>
      <c r="L16" t="s">
        <v>266</v>
      </c>
      <c r="M16" t="s">
        <v>267</v>
      </c>
      <c r="N16" t="s">
        <v>61</v>
      </c>
      <c r="O16" t="s">
        <v>268</v>
      </c>
      <c r="P16" t="s">
        <v>63</v>
      </c>
      <c r="Q16" t="s">
        <v>64</v>
      </c>
      <c r="R16">
        <v>10</v>
      </c>
      <c r="S16" t="s">
        <v>269</v>
      </c>
      <c r="T16" t="s">
        <v>84</v>
      </c>
      <c r="U16" t="s">
        <v>261</v>
      </c>
      <c r="V16" t="s">
        <v>67</v>
      </c>
      <c r="W16" t="s">
        <v>67</v>
      </c>
    </row>
    <row r="17" spans="1:23" x14ac:dyDescent="0.25">
      <c r="A17" t="s">
        <v>270</v>
      </c>
      <c r="B17" t="s">
        <v>271</v>
      </c>
      <c r="C17" t="s">
        <v>272</v>
      </c>
      <c r="D17" t="s">
        <v>273</v>
      </c>
      <c r="E17" t="s">
        <v>12</v>
      </c>
      <c r="F17" t="s">
        <v>274</v>
      </c>
      <c r="G17" t="s">
        <v>275</v>
      </c>
      <c r="H17" t="s">
        <v>276</v>
      </c>
      <c r="I17" t="s">
        <v>277</v>
      </c>
      <c r="J17" t="s">
        <v>278</v>
      </c>
      <c r="K17" t="s">
        <v>279</v>
      </c>
      <c r="L17" t="s">
        <v>280</v>
      </c>
      <c r="M17" t="s">
        <v>171</v>
      </c>
      <c r="N17" t="s">
        <v>61</v>
      </c>
      <c r="O17" t="s">
        <v>281</v>
      </c>
      <c r="P17" t="s">
        <v>113</v>
      </c>
      <c r="Q17" t="s">
        <v>64</v>
      </c>
      <c r="R17">
        <v>20</v>
      </c>
      <c r="S17" t="s">
        <v>282</v>
      </c>
      <c r="T17" t="s">
        <v>66</v>
      </c>
      <c r="U17" t="s">
        <v>274</v>
      </c>
      <c r="V17" t="s">
        <v>67</v>
      </c>
      <c r="W17" t="s">
        <v>67</v>
      </c>
    </row>
    <row r="18" spans="1:23" x14ac:dyDescent="0.25">
      <c r="A18" t="s">
        <v>283</v>
      </c>
      <c r="B18" t="s">
        <v>284</v>
      </c>
      <c r="C18" t="s">
        <v>285</v>
      </c>
      <c r="D18" t="s">
        <v>286</v>
      </c>
      <c r="E18" t="s">
        <v>12</v>
      </c>
      <c r="F18" t="s">
        <v>287</v>
      </c>
      <c r="G18" t="s">
        <v>288</v>
      </c>
      <c r="H18" t="s">
        <v>289</v>
      </c>
      <c r="I18" t="s">
        <v>290</v>
      </c>
      <c r="J18" t="s">
        <v>291</v>
      </c>
      <c r="K18" t="s">
        <v>292</v>
      </c>
      <c r="L18" t="s">
        <v>293</v>
      </c>
      <c r="M18" t="s">
        <v>140</v>
      </c>
      <c r="N18" t="s">
        <v>61</v>
      </c>
      <c r="O18" t="s">
        <v>294</v>
      </c>
      <c r="P18" t="s">
        <v>81</v>
      </c>
      <c r="Q18" t="s">
        <v>64</v>
      </c>
      <c r="R18">
        <v>10</v>
      </c>
      <c r="S18" t="s">
        <v>295</v>
      </c>
      <c r="T18" t="s">
        <v>84</v>
      </c>
      <c r="U18" t="s">
        <v>287</v>
      </c>
      <c r="V18" t="s">
        <v>67</v>
      </c>
      <c r="W18" t="s">
        <v>67</v>
      </c>
    </row>
    <row r="19" spans="1:23" x14ac:dyDescent="0.25">
      <c r="A19" t="s">
        <v>296</v>
      </c>
      <c r="B19" t="s">
        <v>297</v>
      </c>
      <c r="C19" t="s">
        <v>298</v>
      </c>
      <c r="D19" t="s">
        <v>299</v>
      </c>
      <c r="E19" t="s">
        <v>12</v>
      </c>
      <c r="F19" t="s">
        <v>300</v>
      </c>
      <c r="G19" t="s">
        <v>301</v>
      </c>
      <c r="H19" t="s">
        <v>302</v>
      </c>
      <c r="I19" t="s">
        <v>303</v>
      </c>
      <c r="J19" t="s">
        <v>304</v>
      </c>
      <c r="K19" t="s">
        <v>305</v>
      </c>
      <c r="L19" t="s">
        <v>306</v>
      </c>
      <c r="M19" t="s">
        <v>156</v>
      </c>
      <c r="N19" t="s">
        <v>61</v>
      </c>
      <c r="O19" t="s">
        <v>307</v>
      </c>
      <c r="P19" t="s">
        <v>81</v>
      </c>
      <c r="Q19" t="s">
        <v>143</v>
      </c>
      <c r="R19">
        <v>25</v>
      </c>
      <c r="S19" t="s">
        <v>308</v>
      </c>
      <c r="T19" t="s">
        <v>159</v>
      </c>
      <c r="U19" t="s">
        <v>300</v>
      </c>
      <c r="V19" t="s">
        <v>67</v>
      </c>
      <c r="W19" t="s">
        <v>67</v>
      </c>
    </row>
    <row r="20" spans="1:23" x14ac:dyDescent="0.25">
      <c r="A20" t="s">
        <v>309</v>
      </c>
      <c r="B20" t="s">
        <v>310</v>
      </c>
      <c r="C20" t="s">
        <v>311</v>
      </c>
      <c r="D20" t="s">
        <v>312</v>
      </c>
      <c r="E20" t="s">
        <v>12</v>
      </c>
      <c r="F20" t="s">
        <v>313</v>
      </c>
      <c r="G20" t="s">
        <v>314</v>
      </c>
      <c r="H20" t="s">
        <v>315</v>
      </c>
      <c r="I20" t="s">
        <v>316</v>
      </c>
      <c r="J20" t="s">
        <v>317</v>
      </c>
      <c r="K20" t="s">
        <v>318</v>
      </c>
      <c r="L20" t="s">
        <v>319</v>
      </c>
      <c r="M20" t="s">
        <v>320</v>
      </c>
      <c r="N20" t="s">
        <v>61</v>
      </c>
      <c r="O20" t="s">
        <v>321</v>
      </c>
      <c r="P20" t="s">
        <v>81</v>
      </c>
      <c r="Q20" t="s">
        <v>82</v>
      </c>
      <c r="R20">
        <v>15</v>
      </c>
      <c r="S20" t="s">
        <v>322</v>
      </c>
      <c r="T20" t="s">
        <v>159</v>
      </c>
      <c r="U20" t="s">
        <v>313</v>
      </c>
      <c r="V20" t="s">
        <v>67</v>
      </c>
      <c r="W20" t="s">
        <v>67</v>
      </c>
    </row>
    <row r="21" spans="1:23" x14ac:dyDescent="0.25">
      <c r="A21" t="s">
        <v>323</v>
      </c>
      <c r="B21" t="s">
        <v>324</v>
      </c>
      <c r="C21" t="s">
        <v>325</v>
      </c>
      <c r="D21" t="s">
        <v>326</v>
      </c>
      <c r="E21" t="s">
        <v>12</v>
      </c>
      <c r="F21" t="s">
        <v>327</v>
      </c>
      <c r="G21" t="s">
        <v>328</v>
      </c>
      <c r="H21" t="s">
        <v>329</v>
      </c>
      <c r="I21" t="s">
        <v>330</v>
      </c>
      <c r="J21" t="s">
        <v>331</v>
      </c>
      <c r="K21" t="s">
        <v>332</v>
      </c>
      <c r="L21" t="s">
        <v>333</v>
      </c>
      <c r="M21" t="s">
        <v>267</v>
      </c>
      <c r="N21" t="s">
        <v>61</v>
      </c>
      <c r="O21" t="s">
        <v>334</v>
      </c>
      <c r="P21" t="s">
        <v>173</v>
      </c>
      <c r="Q21" t="s">
        <v>82</v>
      </c>
      <c r="R21">
        <v>20</v>
      </c>
      <c r="S21" t="s">
        <v>335</v>
      </c>
      <c r="T21" t="s">
        <v>84</v>
      </c>
      <c r="U21" t="s">
        <v>327</v>
      </c>
      <c r="V21" t="s">
        <v>67</v>
      </c>
      <c r="W21" t="s">
        <v>67</v>
      </c>
    </row>
    <row r="22" spans="1:23" x14ac:dyDescent="0.25">
      <c r="A22" t="s">
        <v>336</v>
      </c>
      <c r="B22" t="s">
        <v>337</v>
      </c>
      <c r="C22" t="s">
        <v>338</v>
      </c>
      <c r="D22" t="s">
        <v>339</v>
      </c>
      <c r="E22" t="s">
        <v>12</v>
      </c>
      <c r="F22" t="s">
        <v>340</v>
      </c>
      <c r="G22" t="s">
        <v>341</v>
      </c>
      <c r="H22" t="s">
        <v>342</v>
      </c>
      <c r="I22" t="s">
        <v>343</v>
      </c>
      <c r="J22" t="s">
        <v>344</v>
      </c>
      <c r="K22" t="s">
        <v>345</v>
      </c>
      <c r="L22" t="s">
        <v>346</v>
      </c>
      <c r="M22" t="s">
        <v>347</v>
      </c>
      <c r="N22" t="s">
        <v>61</v>
      </c>
      <c r="O22" t="s">
        <v>348</v>
      </c>
      <c r="P22" t="s">
        <v>113</v>
      </c>
      <c r="Q22" t="s">
        <v>98</v>
      </c>
      <c r="R22">
        <v>20</v>
      </c>
      <c r="S22" t="s">
        <v>349</v>
      </c>
      <c r="T22" t="s">
        <v>66</v>
      </c>
      <c r="U22" t="s">
        <v>340</v>
      </c>
      <c r="V22" t="s">
        <v>67</v>
      </c>
      <c r="W22" t="s">
        <v>67</v>
      </c>
    </row>
    <row r="23" spans="1:23" x14ac:dyDescent="0.25">
      <c r="A23" t="s">
        <v>350</v>
      </c>
      <c r="B23" t="s">
        <v>351</v>
      </c>
      <c r="C23" t="s">
        <v>352</v>
      </c>
      <c r="D23" t="s">
        <v>353</v>
      </c>
      <c r="E23" t="s">
        <v>12</v>
      </c>
      <c r="F23" t="s">
        <v>354</v>
      </c>
      <c r="G23" t="s">
        <v>355</v>
      </c>
      <c r="H23" t="s">
        <v>356</v>
      </c>
      <c r="I23" t="s">
        <v>357</v>
      </c>
      <c r="J23" t="s">
        <v>358</v>
      </c>
      <c r="K23" t="s">
        <v>359</v>
      </c>
      <c r="L23" t="s">
        <v>360</v>
      </c>
      <c r="M23" t="s">
        <v>361</v>
      </c>
      <c r="N23" t="s">
        <v>61</v>
      </c>
      <c r="O23" t="s">
        <v>362</v>
      </c>
      <c r="P23" t="s">
        <v>142</v>
      </c>
      <c r="Q23" t="s">
        <v>64</v>
      </c>
      <c r="R23">
        <v>20</v>
      </c>
      <c r="S23" t="s">
        <v>363</v>
      </c>
      <c r="T23" t="s">
        <v>159</v>
      </c>
      <c r="U23" t="s">
        <v>354</v>
      </c>
      <c r="V23" t="s">
        <v>67</v>
      </c>
      <c r="W23" t="s">
        <v>67</v>
      </c>
    </row>
    <row r="24" spans="1:23" x14ac:dyDescent="0.25">
      <c r="A24" t="s">
        <v>364</v>
      </c>
      <c r="B24" t="s">
        <v>365</v>
      </c>
      <c r="C24" t="s">
        <v>366</v>
      </c>
      <c r="D24" t="s">
        <v>367</v>
      </c>
      <c r="E24" t="s">
        <v>12</v>
      </c>
      <c r="F24" t="s">
        <v>368</v>
      </c>
      <c r="G24" t="s">
        <v>369</v>
      </c>
      <c r="H24" t="s">
        <v>370</v>
      </c>
      <c r="I24" t="s">
        <v>371</v>
      </c>
      <c r="J24" t="s">
        <v>372</v>
      </c>
      <c r="K24" t="s">
        <v>373</v>
      </c>
      <c r="L24" t="s">
        <v>374</v>
      </c>
      <c r="M24" t="s">
        <v>267</v>
      </c>
      <c r="N24" t="s">
        <v>61</v>
      </c>
      <c r="O24" t="s">
        <v>375</v>
      </c>
      <c r="P24" t="s">
        <v>173</v>
      </c>
      <c r="Q24" t="s">
        <v>143</v>
      </c>
      <c r="R24">
        <v>25</v>
      </c>
      <c r="S24" t="s">
        <v>376</v>
      </c>
      <c r="T24" t="s">
        <v>84</v>
      </c>
      <c r="U24" t="s">
        <v>368</v>
      </c>
      <c r="V24" t="s">
        <v>67</v>
      </c>
      <c r="W24" t="s">
        <v>67</v>
      </c>
    </row>
    <row r="25" spans="1:23" x14ac:dyDescent="0.25">
      <c r="A25" t="s">
        <v>377</v>
      </c>
      <c r="B25" t="s">
        <v>378</v>
      </c>
      <c r="C25" t="s">
        <v>379</v>
      </c>
      <c r="D25" t="s">
        <v>380</v>
      </c>
      <c r="E25" t="s">
        <v>12</v>
      </c>
      <c r="F25" t="s">
        <v>381</v>
      </c>
      <c r="G25" t="s">
        <v>382</v>
      </c>
      <c r="H25" t="s">
        <v>383</v>
      </c>
      <c r="I25" t="s">
        <v>384</v>
      </c>
      <c r="J25" t="s">
        <v>385</v>
      </c>
      <c r="K25" t="s">
        <v>386</v>
      </c>
      <c r="L25" t="s">
        <v>387</v>
      </c>
      <c r="M25" t="s">
        <v>388</v>
      </c>
      <c r="N25" t="s">
        <v>61</v>
      </c>
      <c r="O25" t="s">
        <v>389</v>
      </c>
      <c r="P25" t="s">
        <v>81</v>
      </c>
      <c r="Q25" t="s">
        <v>143</v>
      </c>
      <c r="R25">
        <v>25</v>
      </c>
      <c r="S25" t="s">
        <v>390</v>
      </c>
      <c r="T25" t="s">
        <v>84</v>
      </c>
      <c r="U25" t="s">
        <v>381</v>
      </c>
      <c r="V25" t="s">
        <v>67</v>
      </c>
      <c r="W25" t="s">
        <v>67</v>
      </c>
    </row>
    <row r="26" spans="1:23" x14ac:dyDescent="0.25">
      <c r="A26" t="s">
        <v>10</v>
      </c>
      <c r="B26" t="s">
        <v>391</v>
      </c>
      <c r="C26" t="s">
        <v>392</v>
      </c>
      <c r="D26" t="s">
        <v>393</v>
      </c>
      <c r="E26" t="s">
        <v>12</v>
      </c>
      <c r="F26" t="s">
        <v>394</v>
      </c>
      <c r="G26" t="s">
        <v>395</v>
      </c>
      <c r="H26" t="s">
        <v>396</v>
      </c>
      <c r="I26" t="s">
        <v>397</v>
      </c>
      <c r="J26" t="s">
        <v>398</v>
      </c>
      <c r="K26" t="s">
        <v>399</v>
      </c>
      <c r="L26" t="s">
        <v>400</v>
      </c>
      <c r="M26" t="s">
        <v>241</v>
      </c>
      <c r="N26" t="s">
        <v>61</v>
      </c>
      <c r="O26" t="s">
        <v>401</v>
      </c>
      <c r="P26" t="s">
        <v>173</v>
      </c>
      <c r="Q26" t="s">
        <v>98</v>
      </c>
      <c r="R26">
        <v>15</v>
      </c>
      <c r="S26" t="s">
        <v>402</v>
      </c>
      <c r="T26" t="s">
        <v>84</v>
      </c>
      <c r="U26" t="s">
        <v>394</v>
      </c>
      <c r="V26" t="s">
        <v>67</v>
      </c>
      <c r="W26" t="s">
        <v>67</v>
      </c>
    </row>
    <row r="27" spans="1:23" x14ac:dyDescent="0.25">
      <c r="A27" t="s">
        <v>403</v>
      </c>
      <c r="B27" t="s">
        <v>284</v>
      </c>
      <c r="C27" t="s">
        <v>285</v>
      </c>
      <c r="D27" t="s">
        <v>404</v>
      </c>
      <c r="E27" t="s">
        <v>12</v>
      </c>
      <c r="F27" t="s">
        <v>405</v>
      </c>
      <c r="G27" t="s">
        <v>406</v>
      </c>
      <c r="H27" t="s">
        <v>407</v>
      </c>
      <c r="I27" t="s">
        <v>408</v>
      </c>
      <c r="J27" t="s">
        <v>409</v>
      </c>
      <c r="K27" t="s">
        <v>373</v>
      </c>
      <c r="L27" t="s">
        <v>410</v>
      </c>
      <c r="M27" t="s">
        <v>411</v>
      </c>
      <c r="N27" t="s">
        <v>61</v>
      </c>
      <c r="O27" t="s">
        <v>412</v>
      </c>
      <c r="P27" t="s">
        <v>81</v>
      </c>
      <c r="Q27" t="s">
        <v>98</v>
      </c>
      <c r="R27">
        <v>15</v>
      </c>
      <c r="S27" t="s">
        <v>295</v>
      </c>
      <c r="T27" t="s">
        <v>66</v>
      </c>
      <c r="U27" t="s">
        <v>405</v>
      </c>
      <c r="V27" t="s">
        <v>67</v>
      </c>
      <c r="W27" t="s">
        <v>67</v>
      </c>
    </row>
    <row r="28" spans="1:23" x14ac:dyDescent="0.25">
      <c r="A28" t="s">
        <v>413</v>
      </c>
      <c r="B28" t="s">
        <v>414</v>
      </c>
      <c r="C28" t="s">
        <v>415</v>
      </c>
      <c r="D28" t="s">
        <v>416</v>
      </c>
      <c r="E28" t="s">
        <v>12</v>
      </c>
      <c r="F28" t="s">
        <v>417</v>
      </c>
      <c r="G28" t="s">
        <v>418</v>
      </c>
      <c r="H28" t="s">
        <v>419</v>
      </c>
      <c r="I28" t="s">
        <v>420</v>
      </c>
      <c r="J28" t="s">
        <v>421</v>
      </c>
      <c r="K28" t="s">
        <v>422</v>
      </c>
      <c r="L28" t="s">
        <v>423</v>
      </c>
      <c r="M28" t="s">
        <v>347</v>
      </c>
      <c r="N28" t="s">
        <v>61</v>
      </c>
      <c r="O28" t="s">
        <v>424</v>
      </c>
      <c r="P28" t="s">
        <v>142</v>
      </c>
      <c r="Q28" t="s">
        <v>98</v>
      </c>
      <c r="R28">
        <v>15</v>
      </c>
      <c r="S28" t="s">
        <v>425</v>
      </c>
      <c r="T28" t="s">
        <v>66</v>
      </c>
      <c r="U28" t="s">
        <v>417</v>
      </c>
      <c r="V28" t="s">
        <v>67</v>
      </c>
      <c r="W28" t="s">
        <v>67</v>
      </c>
    </row>
    <row r="29" spans="1:23" x14ac:dyDescent="0.25">
      <c r="A29" t="s">
        <v>426</v>
      </c>
      <c r="B29" t="s">
        <v>427</v>
      </c>
      <c r="C29" t="s">
        <v>428</v>
      </c>
      <c r="D29" t="s">
        <v>429</v>
      </c>
      <c r="E29" t="s">
        <v>12</v>
      </c>
      <c r="F29" t="s">
        <v>430</v>
      </c>
      <c r="G29" t="s">
        <v>431</v>
      </c>
      <c r="H29" t="s">
        <v>432</v>
      </c>
      <c r="I29" t="s">
        <v>433</v>
      </c>
      <c r="J29" t="s">
        <v>434</v>
      </c>
      <c r="K29" t="s">
        <v>318</v>
      </c>
      <c r="L29" t="s">
        <v>435</v>
      </c>
      <c r="M29" t="s">
        <v>436</v>
      </c>
      <c r="N29" t="s">
        <v>61</v>
      </c>
      <c r="O29" t="s">
        <v>437</v>
      </c>
      <c r="P29" t="s">
        <v>113</v>
      </c>
      <c r="Q29" t="s">
        <v>82</v>
      </c>
      <c r="R29">
        <v>15</v>
      </c>
      <c r="S29" t="s">
        <v>438</v>
      </c>
      <c r="T29" t="s">
        <v>84</v>
      </c>
      <c r="U29" t="s">
        <v>430</v>
      </c>
      <c r="V29" t="s">
        <v>67</v>
      </c>
      <c r="W29" t="s">
        <v>67</v>
      </c>
    </row>
    <row r="30" spans="1:23" x14ac:dyDescent="0.25">
      <c r="A30" t="s">
        <v>439</v>
      </c>
      <c r="B30" t="s">
        <v>440</v>
      </c>
      <c r="C30" t="s">
        <v>441</v>
      </c>
      <c r="D30" t="s">
        <v>442</v>
      </c>
      <c r="E30" t="s">
        <v>12</v>
      </c>
      <c r="F30" t="s">
        <v>443</v>
      </c>
      <c r="G30" t="s">
        <v>444</v>
      </c>
      <c r="H30" t="s">
        <v>445</v>
      </c>
      <c r="I30" t="s">
        <v>446</v>
      </c>
      <c r="J30" t="s">
        <v>447</v>
      </c>
      <c r="K30" t="s">
        <v>448</v>
      </c>
      <c r="L30" t="s">
        <v>449</v>
      </c>
      <c r="M30" t="s">
        <v>450</v>
      </c>
      <c r="N30" t="s">
        <v>61</v>
      </c>
      <c r="O30" t="s">
        <v>451</v>
      </c>
      <c r="P30" t="s">
        <v>173</v>
      </c>
      <c r="Q30" t="s">
        <v>98</v>
      </c>
      <c r="R30">
        <v>15</v>
      </c>
      <c r="S30" t="s">
        <v>452</v>
      </c>
      <c r="T30" t="s">
        <v>159</v>
      </c>
      <c r="U30" t="s">
        <v>443</v>
      </c>
      <c r="V30" t="s">
        <v>67</v>
      </c>
      <c r="W30" t="s">
        <v>67</v>
      </c>
    </row>
    <row r="31" spans="1:23" x14ac:dyDescent="0.25">
      <c r="A31" t="s">
        <v>453</v>
      </c>
      <c r="B31" t="s">
        <v>454</v>
      </c>
      <c r="C31" t="s">
        <v>455</v>
      </c>
      <c r="D31" t="s">
        <v>456</v>
      </c>
      <c r="E31" t="s">
        <v>12</v>
      </c>
      <c r="F31" t="s">
        <v>457</v>
      </c>
      <c r="G31" t="s">
        <v>458</v>
      </c>
      <c r="H31" t="s">
        <v>459</v>
      </c>
      <c r="I31" t="s">
        <v>460</v>
      </c>
      <c r="J31" t="s">
        <v>461</v>
      </c>
      <c r="K31" t="s">
        <v>94</v>
      </c>
      <c r="L31" t="s">
        <v>462</v>
      </c>
      <c r="M31" t="s">
        <v>347</v>
      </c>
      <c r="N31" t="s">
        <v>61</v>
      </c>
      <c r="O31" t="s">
        <v>463</v>
      </c>
      <c r="P31" t="s">
        <v>173</v>
      </c>
      <c r="Q31" t="s">
        <v>82</v>
      </c>
      <c r="R31">
        <v>25</v>
      </c>
      <c r="S31" t="s">
        <v>464</v>
      </c>
      <c r="T31" t="s">
        <v>84</v>
      </c>
      <c r="U31" t="s">
        <v>457</v>
      </c>
      <c r="V31" t="s">
        <v>67</v>
      </c>
      <c r="W31" t="s">
        <v>67</v>
      </c>
    </row>
    <row r="32" spans="1:23" x14ac:dyDescent="0.25">
      <c r="A32" t="s">
        <v>465</v>
      </c>
      <c r="B32" t="s">
        <v>466</v>
      </c>
      <c r="C32" t="s">
        <v>467</v>
      </c>
      <c r="D32" t="s">
        <v>468</v>
      </c>
      <c r="E32" t="s">
        <v>12</v>
      </c>
      <c r="F32" t="s">
        <v>469</v>
      </c>
      <c r="G32" t="s">
        <v>470</v>
      </c>
      <c r="H32" t="s">
        <v>471</v>
      </c>
      <c r="I32" t="s">
        <v>472</v>
      </c>
      <c r="J32" t="s">
        <v>473</v>
      </c>
      <c r="K32" t="s">
        <v>474</v>
      </c>
      <c r="L32" t="s">
        <v>475</v>
      </c>
      <c r="M32" t="s">
        <v>156</v>
      </c>
      <c r="N32" t="s">
        <v>61</v>
      </c>
      <c r="O32" t="s">
        <v>476</v>
      </c>
      <c r="P32" t="s">
        <v>113</v>
      </c>
      <c r="Q32" t="s">
        <v>82</v>
      </c>
      <c r="R32">
        <v>25</v>
      </c>
      <c r="S32" t="s">
        <v>477</v>
      </c>
      <c r="T32" t="s">
        <v>84</v>
      </c>
      <c r="U32" t="s">
        <v>469</v>
      </c>
      <c r="V32" t="s">
        <v>67</v>
      </c>
      <c r="W32" t="s">
        <v>67</v>
      </c>
    </row>
    <row r="33" spans="1:23" x14ac:dyDescent="0.25">
      <c r="A33" t="s">
        <v>478</v>
      </c>
      <c r="B33" t="s">
        <v>479</v>
      </c>
      <c r="C33" t="s">
        <v>480</v>
      </c>
      <c r="D33" t="s">
        <v>481</v>
      </c>
      <c r="E33" t="s">
        <v>12</v>
      </c>
      <c r="F33" t="s">
        <v>482</v>
      </c>
      <c r="G33" t="s">
        <v>483</v>
      </c>
      <c r="H33" t="s">
        <v>484</v>
      </c>
      <c r="I33" t="s">
        <v>485</v>
      </c>
      <c r="J33" t="s">
        <v>486</v>
      </c>
      <c r="K33" t="s">
        <v>305</v>
      </c>
      <c r="L33" t="s">
        <v>487</v>
      </c>
      <c r="M33" t="s">
        <v>450</v>
      </c>
      <c r="N33" t="s">
        <v>61</v>
      </c>
      <c r="O33" t="s">
        <v>488</v>
      </c>
      <c r="P33" t="s">
        <v>81</v>
      </c>
      <c r="Q33" t="s">
        <v>98</v>
      </c>
      <c r="R33">
        <v>10</v>
      </c>
      <c r="S33" t="s">
        <v>489</v>
      </c>
      <c r="T33" t="s">
        <v>84</v>
      </c>
      <c r="U33" t="s">
        <v>482</v>
      </c>
      <c r="V33" t="s">
        <v>67</v>
      </c>
      <c r="W33" t="s">
        <v>67</v>
      </c>
    </row>
    <row r="34" spans="1:23" x14ac:dyDescent="0.25">
      <c r="A34" t="s">
        <v>490</v>
      </c>
      <c r="B34" t="s">
        <v>491</v>
      </c>
      <c r="C34" t="s">
        <v>492</v>
      </c>
      <c r="D34" t="s">
        <v>493</v>
      </c>
      <c r="E34" t="s">
        <v>12</v>
      </c>
      <c r="F34" t="s">
        <v>494</v>
      </c>
      <c r="G34" t="s">
        <v>495</v>
      </c>
      <c r="H34" t="s">
        <v>496</v>
      </c>
      <c r="I34" t="s">
        <v>497</v>
      </c>
      <c r="J34" t="s">
        <v>498</v>
      </c>
      <c r="K34" t="s">
        <v>499</v>
      </c>
      <c r="L34" t="s">
        <v>500</v>
      </c>
      <c r="M34" t="s">
        <v>267</v>
      </c>
      <c r="N34" t="s">
        <v>61</v>
      </c>
      <c r="O34" t="s">
        <v>501</v>
      </c>
      <c r="P34" t="s">
        <v>63</v>
      </c>
      <c r="Q34" t="s">
        <v>143</v>
      </c>
      <c r="R34">
        <v>10</v>
      </c>
      <c r="S34" t="s">
        <v>502</v>
      </c>
      <c r="T34" t="s">
        <v>159</v>
      </c>
      <c r="U34" t="s">
        <v>494</v>
      </c>
      <c r="V34" t="s">
        <v>67</v>
      </c>
      <c r="W34" t="s">
        <v>67</v>
      </c>
    </row>
    <row r="35" spans="1:23" x14ac:dyDescent="0.25">
      <c r="A35" t="s">
        <v>503</v>
      </c>
      <c r="B35" t="s">
        <v>504</v>
      </c>
      <c r="C35" t="s">
        <v>505</v>
      </c>
      <c r="D35" t="s">
        <v>506</v>
      </c>
      <c r="E35" t="s">
        <v>12</v>
      </c>
      <c r="F35" t="s">
        <v>507</v>
      </c>
      <c r="G35" t="s">
        <v>508</v>
      </c>
      <c r="H35" t="s">
        <v>509</v>
      </c>
      <c r="I35" t="s">
        <v>510</v>
      </c>
      <c r="J35" t="s">
        <v>511</v>
      </c>
      <c r="K35" t="s">
        <v>512</v>
      </c>
      <c r="L35" t="s">
        <v>513</v>
      </c>
      <c r="M35" t="s">
        <v>514</v>
      </c>
      <c r="N35" t="s">
        <v>61</v>
      </c>
      <c r="O35" t="s">
        <v>515</v>
      </c>
      <c r="P35" t="s">
        <v>81</v>
      </c>
      <c r="Q35" t="s">
        <v>82</v>
      </c>
      <c r="R35">
        <v>15</v>
      </c>
      <c r="S35" t="s">
        <v>516</v>
      </c>
      <c r="T35" t="s">
        <v>84</v>
      </c>
      <c r="U35" t="s">
        <v>507</v>
      </c>
      <c r="V35" t="s">
        <v>67</v>
      </c>
      <c r="W35" t="s">
        <v>67</v>
      </c>
    </row>
    <row r="36" spans="1:23" x14ac:dyDescent="0.25">
      <c r="A36" t="s">
        <v>517</v>
      </c>
      <c r="B36" t="s">
        <v>518</v>
      </c>
      <c r="C36" t="s">
        <v>519</v>
      </c>
      <c r="D36" t="s">
        <v>520</v>
      </c>
      <c r="E36" t="s">
        <v>12</v>
      </c>
      <c r="F36" t="s">
        <v>521</v>
      </c>
      <c r="G36" t="s">
        <v>522</v>
      </c>
      <c r="H36" t="s">
        <v>523</v>
      </c>
      <c r="I36" t="s">
        <v>343</v>
      </c>
      <c r="J36" t="s">
        <v>524</v>
      </c>
      <c r="K36" t="s">
        <v>525</v>
      </c>
      <c r="L36" t="s">
        <v>526</v>
      </c>
      <c r="M36" t="s">
        <v>140</v>
      </c>
      <c r="N36" t="s">
        <v>61</v>
      </c>
      <c r="O36" t="s">
        <v>527</v>
      </c>
      <c r="P36" t="s">
        <v>63</v>
      </c>
      <c r="Q36" t="s">
        <v>64</v>
      </c>
      <c r="R36">
        <v>25</v>
      </c>
      <c r="S36" t="s">
        <v>528</v>
      </c>
      <c r="T36" t="s">
        <v>159</v>
      </c>
      <c r="U36" t="s">
        <v>521</v>
      </c>
      <c r="V36" t="s">
        <v>67</v>
      </c>
      <c r="W36" t="s">
        <v>67</v>
      </c>
    </row>
    <row r="37" spans="1:23" x14ac:dyDescent="0.25">
      <c r="A37" t="s">
        <v>529</v>
      </c>
      <c r="B37" t="s">
        <v>530</v>
      </c>
      <c r="C37" t="s">
        <v>531</v>
      </c>
      <c r="D37" t="s">
        <v>532</v>
      </c>
      <c r="E37" t="s">
        <v>12</v>
      </c>
      <c r="F37" t="s">
        <v>533</v>
      </c>
      <c r="G37" t="s">
        <v>534</v>
      </c>
      <c r="H37" t="s">
        <v>535</v>
      </c>
      <c r="I37" t="s">
        <v>536</v>
      </c>
      <c r="J37" t="s">
        <v>537</v>
      </c>
      <c r="K37" t="s">
        <v>538</v>
      </c>
      <c r="L37" t="s">
        <v>539</v>
      </c>
      <c r="M37" t="s">
        <v>126</v>
      </c>
      <c r="N37" t="s">
        <v>61</v>
      </c>
      <c r="O37" t="s">
        <v>540</v>
      </c>
      <c r="P37" t="s">
        <v>113</v>
      </c>
      <c r="Q37" t="s">
        <v>98</v>
      </c>
      <c r="R37">
        <v>25</v>
      </c>
      <c r="S37" t="s">
        <v>541</v>
      </c>
      <c r="T37" t="s">
        <v>66</v>
      </c>
      <c r="U37" t="s">
        <v>533</v>
      </c>
      <c r="V37" t="s">
        <v>67</v>
      </c>
      <c r="W37" t="s">
        <v>67</v>
      </c>
    </row>
    <row r="38" spans="1:23" x14ac:dyDescent="0.25">
      <c r="A38" t="s">
        <v>542</v>
      </c>
      <c r="B38" t="s">
        <v>543</v>
      </c>
      <c r="C38" t="s">
        <v>544</v>
      </c>
      <c r="D38" t="s">
        <v>545</v>
      </c>
      <c r="E38" t="s">
        <v>12</v>
      </c>
      <c r="F38" t="s">
        <v>546</v>
      </c>
      <c r="G38" t="s">
        <v>547</v>
      </c>
      <c r="H38" t="s">
        <v>548</v>
      </c>
      <c r="I38" t="s">
        <v>549</v>
      </c>
      <c r="J38" t="s">
        <v>550</v>
      </c>
      <c r="K38" t="s">
        <v>551</v>
      </c>
      <c r="L38" t="s">
        <v>552</v>
      </c>
      <c r="M38" t="s">
        <v>96</v>
      </c>
      <c r="N38" t="s">
        <v>61</v>
      </c>
      <c r="O38" t="s">
        <v>553</v>
      </c>
      <c r="P38" t="s">
        <v>142</v>
      </c>
      <c r="Q38" t="s">
        <v>82</v>
      </c>
      <c r="R38">
        <v>10</v>
      </c>
      <c r="S38" t="s">
        <v>554</v>
      </c>
      <c r="T38" t="s">
        <v>66</v>
      </c>
      <c r="U38" t="s">
        <v>546</v>
      </c>
      <c r="V38" t="s">
        <v>67</v>
      </c>
      <c r="W38" t="s">
        <v>67</v>
      </c>
    </row>
    <row r="39" spans="1:23" x14ac:dyDescent="0.25">
      <c r="A39" t="s">
        <v>555</v>
      </c>
      <c r="B39" t="s">
        <v>556</v>
      </c>
      <c r="C39" t="s">
        <v>557</v>
      </c>
      <c r="D39" t="s">
        <v>558</v>
      </c>
      <c r="E39" t="s">
        <v>12</v>
      </c>
      <c r="F39" t="s">
        <v>559</v>
      </c>
      <c r="G39" t="s">
        <v>560</v>
      </c>
      <c r="H39" t="s">
        <v>561</v>
      </c>
      <c r="I39" t="s">
        <v>562</v>
      </c>
      <c r="J39" t="s">
        <v>563</v>
      </c>
      <c r="K39" t="s">
        <v>422</v>
      </c>
      <c r="L39" t="s">
        <v>564</v>
      </c>
      <c r="M39" t="s">
        <v>388</v>
      </c>
      <c r="N39" t="s">
        <v>61</v>
      </c>
      <c r="O39" t="s">
        <v>565</v>
      </c>
      <c r="P39" t="s">
        <v>142</v>
      </c>
      <c r="Q39" t="s">
        <v>82</v>
      </c>
      <c r="R39">
        <v>25</v>
      </c>
      <c r="S39" t="s">
        <v>566</v>
      </c>
      <c r="T39" t="s">
        <v>84</v>
      </c>
      <c r="U39" t="s">
        <v>559</v>
      </c>
      <c r="V39" t="s">
        <v>67</v>
      </c>
      <c r="W39" t="s">
        <v>67</v>
      </c>
    </row>
    <row r="40" spans="1:23" x14ac:dyDescent="0.25">
      <c r="A40" t="s">
        <v>567</v>
      </c>
      <c r="B40" t="s">
        <v>568</v>
      </c>
      <c r="C40" t="s">
        <v>569</v>
      </c>
      <c r="D40" t="s">
        <v>570</v>
      </c>
      <c r="E40" t="s">
        <v>12</v>
      </c>
      <c r="F40" t="s">
        <v>571</v>
      </c>
      <c r="G40" t="s">
        <v>572</v>
      </c>
      <c r="H40" t="s">
        <v>573</v>
      </c>
      <c r="I40" t="s">
        <v>574</v>
      </c>
      <c r="J40" t="s">
        <v>575</v>
      </c>
      <c r="K40" t="s">
        <v>124</v>
      </c>
      <c r="L40" t="s">
        <v>576</v>
      </c>
      <c r="M40" t="s">
        <v>577</v>
      </c>
      <c r="N40" t="s">
        <v>61</v>
      </c>
      <c r="O40" t="s">
        <v>578</v>
      </c>
      <c r="P40" t="s">
        <v>142</v>
      </c>
      <c r="Q40" t="s">
        <v>82</v>
      </c>
      <c r="R40">
        <v>15</v>
      </c>
      <c r="S40" t="s">
        <v>579</v>
      </c>
      <c r="T40" t="s">
        <v>159</v>
      </c>
      <c r="U40" t="s">
        <v>571</v>
      </c>
      <c r="V40" t="s">
        <v>67</v>
      </c>
      <c r="W40" t="s">
        <v>67</v>
      </c>
    </row>
    <row r="41" spans="1:23" x14ac:dyDescent="0.25">
      <c r="A41" t="s">
        <v>580</v>
      </c>
      <c r="B41" t="s">
        <v>581</v>
      </c>
      <c r="C41" t="s">
        <v>582</v>
      </c>
      <c r="D41" t="s">
        <v>583</v>
      </c>
      <c r="E41" t="s">
        <v>12</v>
      </c>
      <c r="F41" t="s">
        <v>584</v>
      </c>
      <c r="G41" t="s">
        <v>585</v>
      </c>
      <c r="H41" t="s">
        <v>586</v>
      </c>
      <c r="I41" t="s">
        <v>587</v>
      </c>
      <c r="J41" t="s">
        <v>588</v>
      </c>
      <c r="K41" t="s">
        <v>589</v>
      </c>
      <c r="L41" t="s">
        <v>590</v>
      </c>
      <c r="M41" t="s">
        <v>361</v>
      </c>
      <c r="N41" t="s">
        <v>61</v>
      </c>
      <c r="O41" t="s">
        <v>591</v>
      </c>
      <c r="P41" t="s">
        <v>142</v>
      </c>
      <c r="Q41" t="s">
        <v>98</v>
      </c>
      <c r="R41">
        <v>20</v>
      </c>
      <c r="S41" t="s">
        <v>592</v>
      </c>
      <c r="T41" t="s">
        <v>66</v>
      </c>
      <c r="U41" t="s">
        <v>584</v>
      </c>
      <c r="V41" t="s">
        <v>67</v>
      </c>
      <c r="W41" t="s">
        <v>67</v>
      </c>
    </row>
    <row r="42" spans="1:23" x14ac:dyDescent="0.25">
      <c r="A42" t="s">
        <v>593</v>
      </c>
      <c r="B42" t="s">
        <v>594</v>
      </c>
      <c r="C42" t="s">
        <v>595</v>
      </c>
      <c r="D42" t="s">
        <v>596</v>
      </c>
      <c r="E42" t="s">
        <v>12</v>
      </c>
      <c r="F42" t="s">
        <v>597</v>
      </c>
      <c r="G42" t="s">
        <v>598</v>
      </c>
      <c r="H42" t="s">
        <v>599</v>
      </c>
      <c r="I42" t="s">
        <v>600</v>
      </c>
      <c r="J42" t="s">
        <v>601</v>
      </c>
      <c r="K42" t="s">
        <v>602</v>
      </c>
      <c r="L42" t="s">
        <v>603</v>
      </c>
      <c r="M42" t="s">
        <v>347</v>
      </c>
      <c r="N42" t="s">
        <v>61</v>
      </c>
      <c r="O42" t="s">
        <v>604</v>
      </c>
      <c r="P42" t="s">
        <v>81</v>
      </c>
      <c r="Q42" t="s">
        <v>64</v>
      </c>
      <c r="R42" t="s">
        <v>605</v>
      </c>
      <c r="S42" t="s">
        <v>606</v>
      </c>
      <c r="T42" t="s">
        <v>159</v>
      </c>
      <c r="U42" t="s">
        <v>597</v>
      </c>
      <c r="V42" t="s">
        <v>67</v>
      </c>
      <c r="W42" t="s">
        <v>67</v>
      </c>
    </row>
    <row r="43" spans="1:23" x14ac:dyDescent="0.25">
      <c r="A43" t="s">
        <v>620</v>
      </c>
      <c r="B43" t="s">
        <v>621</v>
      </c>
      <c r="C43" t="s">
        <v>622</v>
      </c>
      <c r="D43" t="s">
        <v>623</v>
      </c>
      <c r="E43" t="s">
        <v>12</v>
      </c>
      <c r="F43" t="s">
        <v>624</v>
      </c>
      <c r="G43" t="s">
        <v>625</v>
      </c>
      <c r="H43" t="s">
        <v>626</v>
      </c>
      <c r="I43" t="s">
        <v>627</v>
      </c>
      <c r="J43" t="s">
        <v>628</v>
      </c>
      <c r="K43" t="s">
        <v>318</v>
      </c>
      <c r="L43" t="s">
        <v>629</v>
      </c>
      <c r="M43" t="s">
        <v>213</v>
      </c>
      <c r="N43" t="s">
        <v>61</v>
      </c>
      <c r="O43" t="s">
        <v>630</v>
      </c>
      <c r="P43" t="s">
        <v>81</v>
      </c>
      <c r="Q43" t="s">
        <v>98</v>
      </c>
      <c r="R43" t="s">
        <v>605</v>
      </c>
      <c r="S43" t="s">
        <v>631</v>
      </c>
      <c r="T43" t="s">
        <v>159</v>
      </c>
      <c r="U43" t="s">
        <v>624</v>
      </c>
    </row>
    <row r="44" spans="1:23" x14ac:dyDescent="0.25">
      <c r="A44" t="s">
        <v>632</v>
      </c>
      <c r="B44" t="s">
        <v>633</v>
      </c>
      <c r="C44" t="s">
        <v>634</v>
      </c>
      <c r="D44" t="s">
        <v>635</v>
      </c>
      <c r="E44" t="s">
        <v>12</v>
      </c>
      <c r="F44" t="s">
        <v>636</v>
      </c>
      <c r="G44" t="s">
        <v>637</v>
      </c>
      <c r="H44" t="s">
        <v>638</v>
      </c>
      <c r="I44" t="s">
        <v>639</v>
      </c>
      <c r="J44" t="s">
        <v>640</v>
      </c>
      <c r="K44" t="s">
        <v>641</v>
      </c>
      <c r="L44" t="s">
        <v>642</v>
      </c>
      <c r="M44" t="s">
        <v>577</v>
      </c>
      <c r="N44" t="s">
        <v>61</v>
      </c>
      <c r="O44" t="s">
        <v>643</v>
      </c>
      <c r="P44" t="s">
        <v>173</v>
      </c>
      <c r="Q44" t="s">
        <v>64</v>
      </c>
      <c r="R44" t="s">
        <v>611</v>
      </c>
      <c r="S44" t="s">
        <v>644</v>
      </c>
      <c r="T44" t="s">
        <v>84</v>
      </c>
      <c r="U44" t="s">
        <v>636</v>
      </c>
    </row>
    <row r="45" spans="1:23" x14ac:dyDescent="0.25">
      <c r="A45" t="s">
        <v>645</v>
      </c>
      <c r="B45" t="s">
        <v>646</v>
      </c>
      <c r="C45" t="s">
        <v>647</v>
      </c>
      <c r="D45" t="s">
        <v>648</v>
      </c>
      <c r="E45" t="s">
        <v>12</v>
      </c>
      <c r="F45" t="s">
        <v>649</v>
      </c>
      <c r="G45" t="s">
        <v>650</v>
      </c>
      <c r="H45" t="s">
        <v>651</v>
      </c>
      <c r="I45" t="s">
        <v>652</v>
      </c>
      <c r="J45" t="s">
        <v>653</v>
      </c>
      <c r="K45" t="s">
        <v>654</v>
      </c>
      <c r="L45" t="s">
        <v>198</v>
      </c>
      <c r="M45" t="s">
        <v>655</v>
      </c>
      <c r="N45" t="s">
        <v>61</v>
      </c>
      <c r="O45" t="s">
        <v>656</v>
      </c>
      <c r="P45" t="s">
        <v>173</v>
      </c>
      <c r="Q45" t="s">
        <v>98</v>
      </c>
      <c r="R45" t="s">
        <v>605</v>
      </c>
      <c r="S45" t="s">
        <v>657</v>
      </c>
      <c r="T45" t="s">
        <v>84</v>
      </c>
      <c r="U45" t="s">
        <v>649</v>
      </c>
    </row>
    <row r="46" spans="1:23" x14ac:dyDescent="0.25">
      <c r="A46" t="s">
        <v>658</v>
      </c>
      <c r="B46" t="s">
        <v>659</v>
      </c>
      <c r="C46" t="s">
        <v>660</v>
      </c>
      <c r="D46" t="s">
        <v>661</v>
      </c>
      <c r="E46" t="s">
        <v>12</v>
      </c>
      <c r="F46" t="s">
        <v>662</v>
      </c>
      <c r="G46" t="s">
        <v>663</v>
      </c>
      <c r="H46" t="s">
        <v>664</v>
      </c>
      <c r="I46" t="s">
        <v>665</v>
      </c>
      <c r="J46" t="s">
        <v>666</v>
      </c>
      <c r="K46" t="s">
        <v>499</v>
      </c>
      <c r="L46" t="s">
        <v>667</v>
      </c>
      <c r="M46" t="s">
        <v>213</v>
      </c>
      <c r="N46" t="s">
        <v>61</v>
      </c>
      <c r="O46" t="s">
        <v>668</v>
      </c>
      <c r="P46" t="s">
        <v>142</v>
      </c>
      <c r="Q46" t="s">
        <v>143</v>
      </c>
      <c r="R46" t="s">
        <v>605</v>
      </c>
      <c r="S46" t="s">
        <v>669</v>
      </c>
      <c r="T46" t="s">
        <v>159</v>
      </c>
      <c r="U46" t="s">
        <v>662</v>
      </c>
    </row>
    <row r="47" spans="1:23" x14ac:dyDescent="0.25">
      <c r="A47" t="s">
        <v>670</v>
      </c>
      <c r="B47" t="s">
        <v>671</v>
      </c>
      <c r="C47" t="s">
        <v>672</v>
      </c>
      <c r="D47" t="s">
        <v>673</v>
      </c>
      <c r="E47" t="s">
        <v>12</v>
      </c>
      <c r="F47" t="s">
        <v>674</v>
      </c>
      <c r="G47" t="s">
        <v>675</v>
      </c>
      <c r="H47" t="s">
        <v>676</v>
      </c>
      <c r="I47" t="s">
        <v>652</v>
      </c>
      <c r="J47" t="s">
        <v>677</v>
      </c>
      <c r="K47" t="s">
        <v>678</v>
      </c>
      <c r="L47" t="s">
        <v>125</v>
      </c>
      <c r="M47" t="s">
        <v>411</v>
      </c>
      <c r="N47" t="s">
        <v>61</v>
      </c>
      <c r="O47" t="s">
        <v>679</v>
      </c>
      <c r="P47" t="s">
        <v>173</v>
      </c>
      <c r="Q47" t="s">
        <v>82</v>
      </c>
      <c r="R47" t="s">
        <v>607</v>
      </c>
      <c r="S47" t="s">
        <v>680</v>
      </c>
      <c r="T47" t="s">
        <v>66</v>
      </c>
      <c r="U47" t="s">
        <v>674</v>
      </c>
    </row>
    <row r="48" spans="1:23" x14ac:dyDescent="0.25">
      <c r="A48" t="s">
        <v>681</v>
      </c>
      <c r="B48" t="s">
        <v>682</v>
      </c>
      <c r="C48" t="s">
        <v>683</v>
      </c>
      <c r="D48" t="s">
        <v>684</v>
      </c>
      <c r="E48" t="s">
        <v>12</v>
      </c>
      <c r="F48" t="s">
        <v>685</v>
      </c>
      <c r="G48" t="s">
        <v>686</v>
      </c>
      <c r="H48" t="s">
        <v>687</v>
      </c>
      <c r="I48" t="s">
        <v>688</v>
      </c>
      <c r="J48" t="s">
        <v>689</v>
      </c>
      <c r="K48" t="s">
        <v>422</v>
      </c>
      <c r="L48" t="s">
        <v>690</v>
      </c>
      <c r="M48" t="s">
        <v>126</v>
      </c>
      <c r="N48" t="s">
        <v>61</v>
      </c>
      <c r="O48" t="s">
        <v>691</v>
      </c>
      <c r="P48" t="s">
        <v>113</v>
      </c>
      <c r="Q48" t="s">
        <v>143</v>
      </c>
      <c r="R48" t="s">
        <v>607</v>
      </c>
      <c r="S48" t="s">
        <v>692</v>
      </c>
      <c r="T48" t="s">
        <v>66</v>
      </c>
      <c r="U48" t="s">
        <v>685</v>
      </c>
    </row>
    <row r="49" spans="1:21" x14ac:dyDescent="0.25">
      <c r="A49" t="s">
        <v>693</v>
      </c>
      <c r="B49" t="s">
        <v>694</v>
      </c>
      <c r="C49" t="s">
        <v>695</v>
      </c>
      <c r="D49" t="s">
        <v>696</v>
      </c>
      <c r="E49" t="s">
        <v>12</v>
      </c>
      <c r="F49" t="s">
        <v>697</v>
      </c>
      <c r="G49" t="s">
        <v>698</v>
      </c>
      <c r="H49" t="s">
        <v>699</v>
      </c>
      <c r="I49" t="s">
        <v>700</v>
      </c>
      <c r="J49" t="s">
        <v>701</v>
      </c>
      <c r="K49" t="s">
        <v>702</v>
      </c>
      <c r="L49" t="s">
        <v>703</v>
      </c>
      <c r="M49" t="s">
        <v>186</v>
      </c>
      <c r="N49" t="s">
        <v>61</v>
      </c>
      <c r="O49" t="s">
        <v>704</v>
      </c>
      <c r="P49" t="s">
        <v>113</v>
      </c>
      <c r="Q49" t="s">
        <v>82</v>
      </c>
      <c r="R49" t="s">
        <v>605</v>
      </c>
      <c r="S49" t="s">
        <v>705</v>
      </c>
      <c r="T49" t="s">
        <v>66</v>
      </c>
      <c r="U49" t="s">
        <v>697</v>
      </c>
    </row>
    <row r="50" spans="1:21" x14ac:dyDescent="0.25">
      <c r="A50" t="s">
        <v>706</v>
      </c>
      <c r="B50" t="s">
        <v>707</v>
      </c>
      <c r="C50" t="s">
        <v>708</v>
      </c>
      <c r="D50" t="s">
        <v>709</v>
      </c>
      <c r="E50" t="s">
        <v>12</v>
      </c>
      <c r="F50" t="s">
        <v>710</v>
      </c>
      <c r="G50" t="s">
        <v>711</v>
      </c>
      <c r="H50" t="s">
        <v>712</v>
      </c>
      <c r="I50" t="s">
        <v>713</v>
      </c>
      <c r="J50" t="s">
        <v>714</v>
      </c>
      <c r="K50" t="s">
        <v>715</v>
      </c>
      <c r="L50" t="s">
        <v>716</v>
      </c>
      <c r="M50" t="s">
        <v>156</v>
      </c>
      <c r="N50" t="s">
        <v>61</v>
      </c>
      <c r="O50" t="s">
        <v>717</v>
      </c>
      <c r="P50" t="s">
        <v>63</v>
      </c>
      <c r="Q50" t="s">
        <v>98</v>
      </c>
      <c r="R50" t="s">
        <v>605</v>
      </c>
      <c r="S50" t="s">
        <v>718</v>
      </c>
      <c r="T50" t="s">
        <v>84</v>
      </c>
      <c r="U50" t="s">
        <v>710</v>
      </c>
    </row>
    <row r="51" spans="1:21" x14ac:dyDescent="0.25">
      <c r="A51" t="s">
        <v>719</v>
      </c>
      <c r="B51" t="s">
        <v>720</v>
      </c>
      <c r="C51" t="s">
        <v>721</v>
      </c>
      <c r="D51" t="s">
        <v>722</v>
      </c>
      <c r="E51" t="s">
        <v>12</v>
      </c>
      <c r="F51" t="s">
        <v>723</v>
      </c>
      <c r="G51" t="s">
        <v>724</v>
      </c>
      <c r="H51" t="s">
        <v>725</v>
      </c>
      <c r="I51" t="s">
        <v>726</v>
      </c>
      <c r="J51" t="s">
        <v>727</v>
      </c>
      <c r="K51" t="s">
        <v>77</v>
      </c>
      <c r="L51" t="s">
        <v>728</v>
      </c>
      <c r="M51" t="s">
        <v>213</v>
      </c>
      <c r="N51" t="s">
        <v>61</v>
      </c>
      <c r="O51" t="s">
        <v>729</v>
      </c>
      <c r="P51" t="s">
        <v>142</v>
      </c>
      <c r="Q51" t="s">
        <v>82</v>
      </c>
      <c r="R51" t="s">
        <v>605</v>
      </c>
      <c r="S51" t="s">
        <v>730</v>
      </c>
      <c r="T51" t="s">
        <v>84</v>
      </c>
      <c r="U51" t="s">
        <v>723</v>
      </c>
    </row>
    <row r="52" spans="1:21" x14ac:dyDescent="0.25">
      <c r="A52" t="s">
        <v>731</v>
      </c>
      <c r="B52" t="s">
        <v>732</v>
      </c>
      <c r="C52" t="s">
        <v>733</v>
      </c>
      <c r="D52" t="s">
        <v>734</v>
      </c>
      <c r="E52" t="s">
        <v>12</v>
      </c>
      <c r="F52" t="s">
        <v>735</v>
      </c>
      <c r="G52" t="s">
        <v>736</v>
      </c>
      <c r="H52" t="s">
        <v>737</v>
      </c>
      <c r="I52" t="s">
        <v>738</v>
      </c>
      <c r="J52" t="s">
        <v>739</v>
      </c>
      <c r="K52" t="s">
        <v>740</v>
      </c>
      <c r="L52" t="s">
        <v>741</v>
      </c>
      <c r="M52" t="s">
        <v>140</v>
      </c>
      <c r="N52" t="s">
        <v>61</v>
      </c>
      <c r="O52" t="s">
        <v>742</v>
      </c>
      <c r="P52" t="s">
        <v>173</v>
      </c>
      <c r="Q52" t="s">
        <v>98</v>
      </c>
      <c r="R52" t="s">
        <v>608</v>
      </c>
      <c r="S52" t="s">
        <v>743</v>
      </c>
      <c r="T52" t="s">
        <v>66</v>
      </c>
      <c r="U52" t="s">
        <v>735</v>
      </c>
    </row>
    <row r="53" spans="1:21" x14ac:dyDescent="0.25">
      <c r="A53" t="s">
        <v>744</v>
      </c>
      <c r="B53" t="s">
        <v>745</v>
      </c>
      <c r="C53" t="s">
        <v>746</v>
      </c>
      <c r="D53" t="s">
        <v>747</v>
      </c>
      <c r="E53" t="s">
        <v>12</v>
      </c>
      <c r="F53" t="s">
        <v>748</v>
      </c>
      <c r="G53" t="s">
        <v>749</v>
      </c>
      <c r="H53" t="s">
        <v>750</v>
      </c>
      <c r="I53" t="s">
        <v>751</v>
      </c>
      <c r="J53" t="s">
        <v>752</v>
      </c>
      <c r="K53" t="s">
        <v>292</v>
      </c>
      <c r="L53" t="s">
        <v>753</v>
      </c>
      <c r="M53" t="s">
        <v>213</v>
      </c>
      <c r="N53" t="s">
        <v>61</v>
      </c>
      <c r="O53" t="s">
        <v>754</v>
      </c>
      <c r="P53" t="s">
        <v>113</v>
      </c>
      <c r="Q53" t="s">
        <v>82</v>
      </c>
      <c r="R53" t="s">
        <v>608</v>
      </c>
      <c r="S53" t="s">
        <v>755</v>
      </c>
      <c r="T53" t="s">
        <v>159</v>
      </c>
      <c r="U53" t="s">
        <v>748</v>
      </c>
    </row>
    <row r="54" spans="1:21" x14ac:dyDescent="0.25">
      <c r="A54" t="s">
        <v>756</v>
      </c>
      <c r="B54" t="s">
        <v>757</v>
      </c>
      <c r="C54" t="s">
        <v>758</v>
      </c>
      <c r="D54" t="s">
        <v>759</v>
      </c>
      <c r="E54" t="s">
        <v>12</v>
      </c>
      <c r="F54" t="s">
        <v>760</v>
      </c>
      <c r="G54" t="s">
        <v>761</v>
      </c>
      <c r="H54" t="s">
        <v>762</v>
      </c>
      <c r="I54" t="s">
        <v>763</v>
      </c>
      <c r="J54" t="s">
        <v>764</v>
      </c>
      <c r="K54" t="s">
        <v>765</v>
      </c>
      <c r="L54" t="s">
        <v>139</v>
      </c>
      <c r="M54" t="s">
        <v>320</v>
      </c>
      <c r="N54" t="s">
        <v>61</v>
      </c>
      <c r="O54" t="s">
        <v>766</v>
      </c>
      <c r="P54" t="s">
        <v>142</v>
      </c>
      <c r="Q54" t="s">
        <v>143</v>
      </c>
      <c r="R54" t="s">
        <v>607</v>
      </c>
      <c r="S54" t="s">
        <v>767</v>
      </c>
      <c r="T54" t="s">
        <v>84</v>
      </c>
      <c r="U54" t="s">
        <v>760</v>
      </c>
    </row>
    <row r="55" spans="1:21" x14ac:dyDescent="0.25">
      <c r="A55" t="s">
        <v>768</v>
      </c>
      <c r="B55" t="s">
        <v>769</v>
      </c>
      <c r="C55" t="s">
        <v>770</v>
      </c>
      <c r="D55" t="s">
        <v>771</v>
      </c>
      <c r="E55" t="s">
        <v>12</v>
      </c>
      <c r="F55" t="s">
        <v>772</v>
      </c>
      <c r="G55" t="s">
        <v>773</v>
      </c>
      <c r="H55" t="s">
        <v>774</v>
      </c>
      <c r="I55" t="s">
        <v>775</v>
      </c>
      <c r="J55" t="s">
        <v>776</v>
      </c>
      <c r="K55" t="s">
        <v>740</v>
      </c>
      <c r="L55" t="s">
        <v>777</v>
      </c>
      <c r="M55" t="s">
        <v>156</v>
      </c>
      <c r="N55" t="s">
        <v>61</v>
      </c>
      <c r="O55" t="s">
        <v>778</v>
      </c>
      <c r="P55" t="s">
        <v>142</v>
      </c>
      <c r="Q55" t="s">
        <v>82</v>
      </c>
      <c r="R55" t="s">
        <v>605</v>
      </c>
      <c r="S55" t="s">
        <v>779</v>
      </c>
      <c r="T55" t="s">
        <v>159</v>
      </c>
      <c r="U55" t="s">
        <v>772</v>
      </c>
    </row>
    <row r="56" spans="1:21" x14ac:dyDescent="0.25">
      <c r="A56" t="s">
        <v>780</v>
      </c>
      <c r="B56" t="s">
        <v>781</v>
      </c>
      <c r="C56" t="s">
        <v>782</v>
      </c>
      <c r="D56" t="s">
        <v>783</v>
      </c>
      <c r="E56" t="s">
        <v>12</v>
      </c>
      <c r="F56" t="s">
        <v>784</v>
      </c>
      <c r="G56" t="s">
        <v>785</v>
      </c>
      <c r="H56" t="s">
        <v>786</v>
      </c>
      <c r="I56" t="s">
        <v>787</v>
      </c>
      <c r="J56" t="s">
        <v>788</v>
      </c>
      <c r="K56" t="s">
        <v>789</v>
      </c>
      <c r="L56" t="s">
        <v>790</v>
      </c>
      <c r="M56" t="s">
        <v>791</v>
      </c>
      <c r="N56" t="s">
        <v>61</v>
      </c>
      <c r="O56" t="s">
        <v>792</v>
      </c>
      <c r="P56" t="s">
        <v>81</v>
      </c>
      <c r="Q56" t="s">
        <v>98</v>
      </c>
      <c r="R56" t="s">
        <v>607</v>
      </c>
      <c r="S56" t="s">
        <v>793</v>
      </c>
      <c r="T56" t="s">
        <v>66</v>
      </c>
      <c r="U56" t="s">
        <v>784</v>
      </c>
    </row>
    <row r="57" spans="1:21" x14ac:dyDescent="0.25">
      <c r="A57" t="s">
        <v>794</v>
      </c>
      <c r="B57" t="s">
        <v>795</v>
      </c>
      <c r="C57" t="s">
        <v>796</v>
      </c>
      <c r="D57" t="s">
        <v>797</v>
      </c>
      <c r="E57" t="s">
        <v>12</v>
      </c>
      <c r="F57" t="s">
        <v>798</v>
      </c>
      <c r="G57" t="s">
        <v>799</v>
      </c>
      <c r="H57" t="s">
        <v>800</v>
      </c>
      <c r="I57" t="s">
        <v>801</v>
      </c>
      <c r="J57" t="s">
        <v>802</v>
      </c>
      <c r="K57" t="s">
        <v>803</v>
      </c>
      <c r="L57" t="s">
        <v>804</v>
      </c>
      <c r="M57" t="s">
        <v>320</v>
      </c>
      <c r="N57" t="s">
        <v>61</v>
      </c>
      <c r="O57" t="s">
        <v>805</v>
      </c>
      <c r="P57" t="s">
        <v>113</v>
      </c>
      <c r="Q57" t="s">
        <v>64</v>
      </c>
      <c r="R57" t="s">
        <v>607</v>
      </c>
      <c r="S57" t="s">
        <v>806</v>
      </c>
      <c r="T57" t="s">
        <v>159</v>
      </c>
      <c r="U57" t="s">
        <v>798</v>
      </c>
    </row>
    <row r="58" spans="1:21" x14ac:dyDescent="0.25">
      <c r="A58" t="s">
        <v>807</v>
      </c>
      <c r="B58" t="s">
        <v>808</v>
      </c>
      <c r="C58" t="s">
        <v>809</v>
      </c>
      <c r="D58" t="s">
        <v>810</v>
      </c>
      <c r="E58" t="s">
        <v>12</v>
      </c>
      <c r="F58" t="s">
        <v>811</v>
      </c>
      <c r="G58" t="s">
        <v>812</v>
      </c>
      <c r="H58" t="s">
        <v>813</v>
      </c>
      <c r="I58" t="s">
        <v>814</v>
      </c>
      <c r="J58" t="s">
        <v>815</v>
      </c>
      <c r="K58" t="s">
        <v>816</v>
      </c>
      <c r="L58" t="s">
        <v>817</v>
      </c>
      <c r="M58" t="s">
        <v>140</v>
      </c>
      <c r="N58" t="s">
        <v>61</v>
      </c>
      <c r="O58" t="s">
        <v>818</v>
      </c>
      <c r="P58" t="s">
        <v>113</v>
      </c>
      <c r="Q58" t="s">
        <v>64</v>
      </c>
      <c r="R58" t="s">
        <v>607</v>
      </c>
      <c r="S58" t="s">
        <v>819</v>
      </c>
      <c r="T58" t="s">
        <v>66</v>
      </c>
      <c r="U58" t="s">
        <v>811</v>
      </c>
    </row>
    <row r="59" spans="1:21" x14ac:dyDescent="0.25">
      <c r="A59" t="s">
        <v>820</v>
      </c>
      <c r="B59" t="s">
        <v>821</v>
      </c>
      <c r="C59" t="s">
        <v>822</v>
      </c>
      <c r="D59" t="s">
        <v>823</v>
      </c>
      <c r="E59" t="s">
        <v>12</v>
      </c>
      <c r="F59" t="s">
        <v>824</v>
      </c>
      <c r="G59" t="s">
        <v>825</v>
      </c>
      <c r="H59" t="s">
        <v>826</v>
      </c>
      <c r="I59" t="s">
        <v>775</v>
      </c>
      <c r="J59" t="s">
        <v>827</v>
      </c>
      <c r="K59" t="s">
        <v>828</v>
      </c>
      <c r="L59" t="s">
        <v>829</v>
      </c>
      <c r="M59" t="s">
        <v>577</v>
      </c>
      <c r="N59" t="s">
        <v>61</v>
      </c>
      <c r="O59" t="s">
        <v>830</v>
      </c>
      <c r="P59" t="s">
        <v>142</v>
      </c>
      <c r="Q59" t="s">
        <v>82</v>
      </c>
      <c r="R59" t="s">
        <v>607</v>
      </c>
      <c r="S59" t="s">
        <v>831</v>
      </c>
      <c r="T59" t="s">
        <v>66</v>
      </c>
      <c r="U59" t="s">
        <v>824</v>
      </c>
    </row>
    <row r="60" spans="1:21" x14ac:dyDescent="0.25">
      <c r="A60" t="s">
        <v>832</v>
      </c>
      <c r="B60" t="s">
        <v>833</v>
      </c>
      <c r="C60" t="s">
        <v>834</v>
      </c>
      <c r="D60" t="s">
        <v>835</v>
      </c>
      <c r="E60" t="s">
        <v>12</v>
      </c>
      <c r="F60" t="s">
        <v>836</v>
      </c>
      <c r="G60" t="s">
        <v>837</v>
      </c>
      <c r="H60" t="s">
        <v>838</v>
      </c>
      <c r="I60" t="s">
        <v>839</v>
      </c>
      <c r="J60" t="s">
        <v>840</v>
      </c>
      <c r="K60" t="s">
        <v>841</v>
      </c>
      <c r="L60" t="s">
        <v>842</v>
      </c>
      <c r="M60" t="s">
        <v>436</v>
      </c>
      <c r="N60" t="s">
        <v>61</v>
      </c>
      <c r="O60" t="s">
        <v>843</v>
      </c>
      <c r="P60" t="s">
        <v>63</v>
      </c>
      <c r="Q60" t="s">
        <v>82</v>
      </c>
      <c r="R60" t="s">
        <v>608</v>
      </c>
      <c r="S60" t="s">
        <v>844</v>
      </c>
      <c r="T60" t="s">
        <v>159</v>
      </c>
      <c r="U60" t="s">
        <v>836</v>
      </c>
    </row>
    <row r="61" spans="1:21" x14ac:dyDescent="0.25">
      <c r="A61" t="s">
        <v>845</v>
      </c>
      <c r="B61" t="s">
        <v>846</v>
      </c>
      <c r="C61" t="s">
        <v>847</v>
      </c>
      <c r="D61" t="s">
        <v>848</v>
      </c>
      <c r="E61" t="s">
        <v>12</v>
      </c>
      <c r="F61" t="s">
        <v>849</v>
      </c>
      <c r="G61" t="s">
        <v>850</v>
      </c>
      <c r="H61" t="s">
        <v>851</v>
      </c>
      <c r="I61" t="s">
        <v>852</v>
      </c>
      <c r="J61" t="s">
        <v>853</v>
      </c>
      <c r="K61" t="s">
        <v>854</v>
      </c>
      <c r="L61" t="s">
        <v>855</v>
      </c>
      <c r="M61" t="s">
        <v>411</v>
      </c>
      <c r="N61" t="s">
        <v>61</v>
      </c>
      <c r="O61" t="s">
        <v>856</v>
      </c>
      <c r="P61" t="s">
        <v>113</v>
      </c>
      <c r="Q61" t="s">
        <v>82</v>
      </c>
      <c r="R61" t="s">
        <v>608</v>
      </c>
      <c r="S61" t="s">
        <v>857</v>
      </c>
      <c r="T61" t="s">
        <v>84</v>
      </c>
      <c r="U61" t="s">
        <v>849</v>
      </c>
    </row>
    <row r="62" spans="1:21" x14ac:dyDescent="0.25">
      <c r="A62" t="s">
        <v>858</v>
      </c>
      <c r="B62" t="s">
        <v>859</v>
      </c>
      <c r="C62" t="s">
        <v>860</v>
      </c>
      <c r="D62" t="s">
        <v>861</v>
      </c>
      <c r="E62" t="s">
        <v>12</v>
      </c>
      <c r="F62" t="s">
        <v>862</v>
      </c>
      <c r="G62" t="s">
        <v>863</v>
      </c>
      <c r="H62" t="s">
        <v>864</v>
      </c>
      <c r="I62" t="s">
        <v>865</v>
      </c>
      <c r="J62" t="s">
        <v>866</v>
      </c>
      <c r="K62" t="s">
        <v>867</v>
      </c>
      <c r="L62" t="s">
        <v>703</v>
      </c>
      <c r="M62" t="s">
        <v>79</v>
      </c>
      <c r="N62" t="s">
        <v>61</v>
      </c>
      <c r="O62" t="s">
        <v>868</v>
      </c>
      <c r="P62" t="s">
        <v>63</v>
      </c>
      <c r="Q62" t="s">
        <v>143</v>
      </c>
      <c r="R62" t="s">
        <v>605</v>
      </c>
      <c r="S62" t="s">
        <v>869</v>
      </c>
      <c r="T62" t="s">
        <v>159</v>
      </c>
      <c r="U62" t="s">
        <v>862</v>
      </c>
    </row>
    <row r="63" spans="1:21" x14ac:dyDescent="0.25">
      <c r="A63" t="s">
        <v>870</v>
      </c>
      <c r="B63" t="s">
        <v>871</v>
      </c>
      <c r="C63" t="s">
        <v>872</v>
      </c>
      <c r="D63" t="s">
        <v>873</v>
      </c>
      <c r="E63" t="s">
        <v>12</v>
      </c>
      <c r="F63" t="s">
        <v>874</v>
      </c>
      <c r="G63" t="s">
        <v>875</v>
      </c>
      <c r="H63" t="s">
        <v>876</v>
      </c>
      <c r="I63" t="s">
        <v>877</v>
      </c>
      <c r="J63" t="s">
        <v>878</v>
      </c>
      <c r="K63" t="s">
        <v>292</v>
      </c>
      <c r="L63" t="s">
        <v>879</v>
      </c>
      <c r="M63" t="s">
        <v>880</v>
      </c>
      <c r="N63" t="s">
        <v>61</v>
      </c>
      <c r="O63" t="s">
        <v>881</v>
      </c>
      <c r="P63" t="s">
        <v>63</v>
      </c>
      <c r="Q63" t="s">
        <v>64</v>
      </c>
      <c r="R63" t="s">
        <v>608</v>
      </c>
      <c r="S63" t="s">
        <v>882</v>
      </c>
      <c r="T63" t="s">
        <v>84</v>
      </c>
      <c r="U63" t="s">
        <v>874</v>
      </c>
    </row>
    <row r="64" spans="1:21" x14ac:dyDescent="0.25">
      <c r="A64" t="s">
        <v>883</v>
      </c>
      <c r="B64" t="s">
        <v>884</v>
      </c>
      <c r="C64" t="s">
        <v>885</v>
      </c>
      <c r="D64" t="s">
        <v>886</v>
      </c>
      <c r="E64" t="s">
        <v>12</v>
      </c>
      <c r="F64" t="s">
        <v>887</v>
      </c>
      <c r="G64" t="s">
        <v>888</v>
      </c>
      <c r="H64" t="s">
        <v>889</v>
      </c>
      <c r="I64" t="s">
        <v>890</v>
      </c>
      <c r="J64" t="s">
        <v>891</v>
      </c>
      <c r="K64" t="s">
        <v>138</v>
      </c>
      <c r="L64" t="s">
        <v>842</v>
      </c>
      <c r="M64" t="s">
        <v>111</v>
      </c>
      <c r="N64" t="s">
        <v>61</v>
      </c>
      <c r="O64" t="s">
        <v>892</v>
      </c>
      <c r="P64" t="s">
        <v>173</v>
      </c>
      <c r="Q64" t="s">
        <v>64</v>
      </c>
      <c r="R64" t="s">
        <v>605</v>
      </c>
      <c r="S64" t="s">
        <v>893</v>
      </c>
      <c r="T64" t="s">
        <v>66</v>
      </c>
      <c r="U64" t="s">
        <v>887</v>
      </c>
    </row>
    <row r="65" spans="1:21" x14ac:dyDescent="0.25">
      <c r="A65" t="s">
        <v>894</v>
      </c>
      <c r="B65" t="s">
        <v>895</v>
      </c>
      <c r="C65" t="s">
        <v>896</v>
      </c>
      <c r="D65" t="s">
        <v>897</v>
      </c>
      <c r="E65" t="s">
        <v>12</v>
      </c>
      <c r="F65" t="s">
        <v>898</v>
      </c>
      <c r="G65" t="s">
        <v>899</v>
      </c>
      <c r="H65" t="s">
        <v>900</v>
      </c>
      <c r="I65" t="s">
        <v>901</v>
      </c>
      <c r="J65" t="s">
        <v>902</v>
      </c>
      <c r="K65" t="s">
        <v>903</v>
      </c>
      <c r="L65" t="s">
        <v>904</v>
      </c>
      <c r="M65" t="s">
        <v>79</v>
      </c>
      <c r="N65" t="s">
        <v>61</v>
      </c>
      <c r="O65" t="s">
        <v>905</v>
      </c>
      <c r="P65" t="s">
        <v>142</v>
      </c>
      <c r="Q65" t="s">
        <v>82</v>
      </c>
      <c r="R65" t="s">
        <v>607</v>
      </c>
      <c r="S65" t="s">
        <v>906</v>
      </c>
      <c r="T65" t="s">
        <v>84</v>
      </c>
      <c r="U65" t="s">
        <v>898</v>
      </c>
    </row>
    <row r="66" spans="1:21" x14ac:dyDescent="0.25">
      <c r="A66" t="s">
        <v>907</v>
      </c>
      <c r="B66" t="s">
        <v>908</v>
      </c>
      <c r="C66" t="s">
        <v>909</v>
      </c>
      <c r="D66" t="s">
        <v>910</v>
      </c>
      <c r="E66" t="s">
        <v>12</v>
      </c>
      <c r="F66" t="s">
        <v>911</v>
      </c>
      <c r="G66" t="s">
        <v>912</v>
      </c>
      <c r="H66" t="s">
        <v>913</v>
      </c>
      <c r="I66" t="s">
        <v>914</v>
      </c>
      <c r="J66" t="s">
        <v>915</v>
      </c>
      <c r="K66" t="s">
        <v>512</v>
      </c>
      <c r="L66" t="s">
        <v>916</v>
      </c>
      <c r="M66" t="s">
        <v>655</v>
      </c>
      <c r="N66" t="s">
        <v>61</v>
      </c>
      <c r="O66" t="s">
        <v>917</v>
      </c>
      <c r="P66" t="s">
        <v>113</v>
      </c>
      <c r="Q66" t="s">
        <v>64</v>
      </c>
      <c r="R66" t="s">
        <v>611</v>
      </c>
      <c r="S66" t="s">
        <v>918</v>
      </c>
      <c r="T66" t="s">
        <v>159</v>
      </c>
      <c r="U66" t="s">
        <v>911</v>
      </c>
    </row>
    <row r="67" spans="1:21" x14ac:dyDescent="0.25">
      <c r="A67" t="s">
        <v>919</v>
      </c>
      <c r="B67" t="s">
        <v>920</v>
      </c>
      <c r="C67" t="s">
        <v>921</v>
      </c>
      <c r="D67" t="s">
        <v>922</v>
      </c>
      <c r="E67" t="s">
        <v>12</v>
      </c>
      <c r="F67" t="s">
        <v>923</v>
      </c>
      <c r="G67" t="s">
        <v>924</v>
      </c>
      <c r="H67" t="s">
        <v>925</v>
      </c>
      <c r="I67" t="s">
        <v>926</v>
      </c>
      <c r="J67" t="s">
        <v>927</v>
      </c>
      <c r="K67" t="s">
        <v>124</v>
      </c>
      <c r="L67" t="s">
        <v>928</v>
      </c>
      <c r="M67" t="s">
        <v>199</v>
      </c>
      <c r="N67" t="s">
        <v>61</v>
      </c>
      <c r="O67" t="s">
        <v>929</v>
      </c>
      <c r="P67" t="s">
        <v>113</v>
      </c>
      <c r="Q67" t="s">
        <v>143</v>
      </c>
      <c r="R67" t="s">
        <v>605</v>
      </c>
      <c r="S67" t="s">
        <v>930</v>
      </c>
      <c r="T67" t="s">
        <v>84</v>
      </c>
      <c r="U67" t="s">
        <v>923</v>
      </c>
    </row>
    <row r="68" spans="1:21" x14ac:dyDescent="0.25">
      <c r="A68" t="s">
        <v>931</v>
      </c>
      <c r="B68" t="s">
        <v>932</v>
      </c>
      <c r="C68" t="s">
        <v>933</v>
      </c>
      <c r="D68" t="s">
        <v>934</v>
      </c>
      <c r="E68" t="s">
        <v>12</v>
      </c>
      <c r="F68" t="s">
        <v>935</v>
      </c>
      <c r="G68" t="s">
        <v>936</v>
      </c>
      <c r="H68" t="s">
        <v>937</v>
      </c>
      <c r="I68" t="s">
        <v>167</v>
      </c>
      <c r="J68" t="s">
        <v>938</v>
      </c>
      <c r="K68" t="s">
        <v>939</v>
      </c>
      <c r="L68" t="s">
        <v>940</v>
      </c>
      <c r="M68" t="s">
        <v>791</v>
      </c>
      <c r="N68" t="s">
        <v>61</v>
      </c>
      <c r="O68" t="s">
        <v>941</v>
      </c>
      <c r="P68" t="s">
        <v>63</v>
      </c>
      <c r="Q68" t="s">
        <v>143</v>
      </c>
      <c r="R68" t="s">
        <v>607</v>
      </c>
      <c r="S68" t="s">
        <v>942</v>
      </c>
      <c r="T68" t="s">
        <v>159</v>
      </c>
      <c r="U68" t="s">
        <v>935</v>
      </c>
    </row>
    <row r="69" spans="1:21" x14ac:dyDescent="0.25">
      <c r="A69" t="s">
        <v>943</v>
      </c>
      <c r="B69" t="s">
        <v>944</v>
      </c>
      <c r="C69" t="s">
        <v>945</v>
      </c>
      <c r="D69" t="s">
        <v>946</v>
      </c>
      <c r="E69" t="s">
        <v>12</v>
      </c>
      <c r="F69" t="s">
        <v>947</v>
      </c>
      <c r="G69" t="s">
        <v>948</v>
      </c>
      <c r="H69" t="s">
        <v>949</v>
      </c>
      <c r="I69" t="s">
        <v>950</v>
      </c>
      <c r="J69" t="s">
        <v>951</v>
      </c>
      <c r="K69" t="s">
        <v>952</v>
      </c>
      <c r="L69" t="s">
        <v>953</v>
      </c>
      <c r="M69" t="s">
        <v>411</v>
      </c>
      <c r="N69" t="s">
        <v>61</v>
      </c>
      <c r="O69" t="s">
        <v>954</v>
      </c>
      <c r="P69" t="s">
        <v>63</v>
      </c>
      <c r="Q69" t="s">
        <v>98</v>
      </c>
      <c r="R69" t="s">
        <v>607</v>
      </c>
      <c r="S69" t="s">
        <v>955</v>
      </c>
      <c r="T69" t="s">
        <v>159</v>
      </c>
      <c r="U69" t="s">
        <v>947</v>
      </c>
    </row>
    <row r="70" spans="1:21" x14ac:dyDescent="0.25">
      <c r="A70" t="s">
        <v>956</v>
      </c>
      <c r="B70" t="s">
        <v>957</v>
      </c>
      <c r="C70" t="s">
        <v>958</v>
      </c>
      <c r="D70" t="s">
        <v>959</v>
      </c>
      <c r="E70" t="s">
        <v>12</v>
      </c>
      <c r="F70" t="s">
        <v>960</v>
      </c>
      <c r="G70" t="s">
        <v>961</v>
      </c>
      <c r="H70" t="s">
        <v>962</v>
      </c>
      <c r="I70" t="s">
        <v>963</v>
      </c>
      <c r="J70" t="s">
        <v>964</v>
      </c>
      <c r="K70" t="s">
        <v>239</v>
      </c>
      <c r="L70" t="s">
        <v>576</v>
      </c>
      <c r="M70" t="s">
        <v>411</v>
      </c>
      <c r="N70" t="s">
        <v>61</v>
      </c>
      <c r="O70" t="s">
        <v>965</v>
      </c>
      <c r="P70" t="s">
        <v>63</v>
      </c>
      <c r="Q70" t="s">
        <v>82</v>
      </c>
      <c r="R70" t="s">
        <v>611</v>
      </c>
      <c r="S70" t="s">
        <v>966</v>
      </c>
      <c r="T70" t="s">
        <v>84</v>
      </c>
      <c r="U70" t="s">
        <v>960</v>
      </c>
    </row>
    <row r="71" spans="1:21" x14ac:dyDescent="0.25">
      <c r="A71" t="s">
        <v>967</v>
      </c>
      <c r="B71" t="s">
        <v>968</v>
      </c>
      <c r="C71" t="s">
        <v>969</v>
      </c>
      <c r="D71" t="s">
        <v>970</v>
      </c>
      <c r="E71" t="s">
        <v>12</v>
      </c>
      <c r="F71" t="s">
        <v>971</v>
      </c>
      <c r="G71" t="s">
        <v>972</v>
      </c>
      <c r="H71" t="s">
        <v>973</v>
      </c>
      <c r="I71" t="s">
        <v>974</v>
      </c>
      <c r="J71" t="s">
        <v>975</v>
      </c>
      <c r="K71" t="s">
        <v>124</v>
      </c>
      <c r="L71" t="s">
        <v>976</v>
      </c>
      <c r="M71" t="s">
        <v>186</v>
      </c>
      <c r="N71" t="s">
        <v>61</v>
      </c>
      <c r="O71" t="s">
        <v>977</v>
      </c>
      <c r="P71" t="s">
        <v>113</v>
      </c>
      <c r="Q71" t="s">
        <v>64</v>
      </c>
      <c r="R71" t="s">
        <v>607</v>
      </c>
      <c r="S71" t="s">
        <v>978</v>
      </c>
      <c r="T71" t="s">
        <v>84</v>
      </c>
      <c r="U71" t="s">
        <v>971</v>
      </c>
    </row>
    <row r="72" spans="1:21" x14ac:dyDescent="0.25">
      <c r="A72" t="s">
        <v>979</v>
      </c>
      <c r="B72" t="s">
        <v>980</v>
      </c>
      <c r="C72" t="s">
        <v>981</v>
      </c>
      <c r="D72" t="s">
        <v>982</v>
      </c>
      <c r="E72" t="s">
        <v>12</v>
      </c>
      <c r="F72" t="s">
        <v>983</v>
      </c>
      <c r="G72" t="s">
        <v>984</v>
      </c>
      <c r="H72" t="s">
        <v>985</v>
      </c>
      <c r="I72" t="s">
        <v>986</v>
      </c>
      <c r="J72" t="s">
        <v>987</v>
      </c>
      <c r="K72" t="s">
        <v>988</v>
      </c>
      <c r="L72" t="s">
        <v>989</v>
      </c>
      <c r="M72" t="s">
        <v>140</v>
      </c>
      <c r="N72" t="s">
        <v>61</v>
      </c>
      <c r="O72" t="s">
        <v>990</v>
      </c>
      <c r="P72" t="s">
        <v>142</v>
      </c>
      <c r="Q72" t="s">
        <v>98</v>
      </c>
      <c r="R72" t="s">
        <v>607</v>
      </c>
      <c r="S72" t="s">
        <v>991</v>
      </c>
      <c r="T72" t="s">
        <v>159</v>
      </c>
      <c r="U72" t="s">
        <v>983</v>
      </c>
    </row>
    <row r="73" spans="1:21" x14ac:dyDescent="0.25">
      <c r="A73" t="s">
        <v>992</v>
      </c>
      <c r="B73" t="s">
        <v>993</v>
      </c>
      <c r="C73" t="s">
        <v>994</v>
      </c>
      <c r="D73" t="s">
        <v>995</v>
      </c>
      <c r="E73" t="s">
        <v>12</v>
      </c>
      <c r="F73" t="s">
        <v>996</v>
      </c>
      <c r="G73" t="s">
        <v>997</v>
      </c>
      <c r="H73" t="s">
        <v>998</v>
      </c>
      <c r="I73" t="s">
        <v>999</v>
      </c>
      <c r="J73" t="s">
        <v>1000</v>
      </c>
      <c r="K73" t="s">
        <v>1001</v>
      </c>
      <c r="L73" t="s">
        <v>462</v>
      </c>
      <c r="M73" t="s">
        <v>126</v>
      </c>
      <c r="N73" t="s">
        <v>61</v>
      </c>
      <c r="O73" t="s">
        <v>1002</v>
      </c>
      <c r="P73" t="s">
        <v>113</v>
      </c>
      <c r="Q73" t="s">
        <v>98</v>
      </c>
      <c r="R73" t="s">
        <v>607</v>
      </c>
      <c r="S73" t="s">
        <v>1003</v>
      </c>
      <c r="T73" t="s">
        <v>84</v>
      </c>
      <c r="U73" t="s">
        <v>996</v>
      </c>
    </row>
    <row r="74" spans="1:21" x14ac:dyDescent="0.25">
      <c r="A74" t="s">
        <v>1004</v>
      </c>
      <c r="B74" t="s">
        <v>1005</v>
      </c>
      <c r="C74" t="s">
        <v>1006</v>
      </c>
      <c r="D74" t="s">
        <v>1007</v>
      </c>
      <c r="E74" t="s">
        <v>12</v>
      </c>
      <c r="F74" t="s">
        <v>1008</v>
      </c>
      <c r="G74" t="s">
        <v>1009</v>
      </c>
      <c r="H74" t="s">
        <v>1010</v>
      </c>
      <c r="I74" t="s">
        <v>1011</v>
      </c>
      <c r="J74" t="s">
        <v>1012</v>
      </c>
      <c r="K74" t="s">
        <v>169</v>
      </c>
      <c r="L74" t="s">
        <v>1013</v>
      </c>
      <c r="M74" t="s">
        <v>156</v>
      </c>
      <c r="N74" t="s">
        <v>61</v>
      </c>
      <c r="O74" t="s">
        <v>1014</v>
      </c>
      <c r="P74" t="s">
        <v>173</v>
      </c>
      <c r="Q74" t="s">
        <v>82</v>
      </c>
      <c r="R74" t="s">
        <v>605</v>
      </c>
      <c r="S74" t="s">
        <v>1015</v>
      </c>
      <c r="T74" t="s">
        <v>66</v>
      </c>
      <c r="U74" t="s">
        <v>1008</v>
      </c>
    </row>
    <row r="75" spans="1:21" x14ac:dyDescent="0.25">
      <c r="A75" t="s">
        <v>1016</v>
      </c>
      <c r="B75" t="s">
        <v>1017</v>
      </c>
      <c r="C75" t="s">
        <v>1018</v>
      </c>
      <c r="D75" t="s">
        <v>1019</v>
      </c>
      <c r="E75" t="s">
        <v>12</v>
      </c>
      <c r="F75" t="s">
        <v>1020</v>
      </c>
      <c r="G75" t="s">
        <v>1021</v>
      </c>
      <c r="H75" t="s">
        <v>1022</v>
      </c>
      <c r="I75" t="s">
        <v>1023</v>
      </c>
      <c r="J75" t="s">
        <v>1024</v>
      </c>
      <c r="K75" t="s">
        <v>124</v>
      </c>
      <c r="L75" t="s">
        <v>1025</v>
      </c>
      <c r="M75" t="s">
        <v>111</v>
      </c>
      <c r="N75" t="s">
        <v>61</v>
      </c>
      <c r="O75" t="s">
        <v>1026</v>
      </c>
      <c r="P75" t="s">
        <v>81</v>
      </c>
      <c r="Q75" t="s">
        <v>64</v>
      </c>
      <c r="R75" t="s">
        <v>605</v>
      </c>
      <c r="S75" t="s">
        <v>1027</v>
      </c>
      <c r="T75" t="s">
        <v>66</v>
      </c>
      <c r="U75" t="s">
        <v>1020</v>
      </c>
    </row>
    <row r="76" spans="1:21" x14ac:dyDescent="0.25">
      <c r="A76" t="s">
        <v>1028</v>
      </c>
      <c r="B76" t="s">
        <v>1029</v>
      </c>
      <c r="C76" t="s">
        <v>1030</v>
      </c>
      <c r="D76" t="s">
        <v>1031</v>
      </c>
      <c r="E76" t="s">
        <v>12</v>
      </c>
      <c r="F76" t="s">
        <v>1032</v>
      </c>
      <c r="G76" t="s">
        <v>1033</v>
      </c>
      <c r="H76" t="s">
        <v>1034</v>
      </c>
      <c r="I76" t="s">
        <v>1035</v>
      </c>
      <c r="J76" t="s">
        <v>1036</v>
      </c>
      <c r="K76" t="s">
        <v>154</v>
      </c>
      <c r="L76" t="s">
        <v>1037</v>
      </c>
      <c r="M76" t="s">
        <v>514</v>
      </c>
      <c r="N76" t="s">
        <v>61</v>
      </c>
      <c r="O76" t="s">
        <v>1038</v>
      </c>
      <c r="P76" t="s">
        <v>113</v>
      </c>
      <c r="Q76" t="s">
        <v>98</v>
      </c>
      <c r="R76" t="s">
        <v>608</v>
      </c>
      <c r="S76" t="s">
        <v>1039</v>
      </c>
      <c r="T76" t="s">
        <v>84</v>
      </c>
      <c r="U76" t="s">
        <v>1032</v>
      </c>
    </row>
    <row r="77" spans="1:21" x14ac:dyDescent="0.25">
      <c r="A77" t="s">
        <v>1040</v>
      </c>
      <c r="B77" t="s">
        <v>1041</v>
      </c>
      <c r="C77" t="s">
        <v>1042</v>
      </c>
      <c r="D77" t="s">
        <v>1043</v>
      </c>
      <c r="E77" t="s">
        <v>12</v>
      </c>
      <c r="F77" t="s">
        <v>1044</v>
      </c>
      <c r="G77" t="s">
        <v>1045</v>
      </c>
      <c r="H77" t="s">
        <v>1046</v>
      </c>
      <c r="I77" t="s">
        <v>1047</v>
      </c>
      <c r="J77" t="s">
        <v>1048</v>
      </c>
      <c r="K77" t="s">
        <v>1049</v>
      </c>
      <c r="L77" t="s">
        <v>1050</v>
      </c>
      <c r="M77" t="s">
        <v>347</v>
      </c>
      <c r="N77" t="s">
        <v>61</v>
      </c>
      <c r="O77" t="s">
        <v>1051</v>
      </c>
      <c r="P77" t="s">
        <v>173</v>
      </c>
      <c r="Q77" t="s">
        <v>82</v>
      </c>
      <c r="R77" t="s">
        <v>607</v>
      </c>
      <c r="S77" t="s">
        <v>1052</v>
      </c>
      <c r="T77" t="s">
        <v>84</v>
      </c>
      <c r="U77" t="s">
        <v>1044</v>
      </c>
    </row>
    <row r="78" spans="1:21" x14ac:dyDescent="0.25">
      <c r="A78" t="s">
        <v>1053</v>
      </c>
      <c r="B78" t="s">
        <v>1054</v>
      </c>
      <c r="C78" t="s">
        <v>1055</v>
      </c>
      <c r="D78" t="s">
        <v>1056</v>
      </c>
      <c r="E78" t="s">
        <v>12</v>
      </c>
      <c r="F78" t="s">
        <v>1057</v>
      </c>
      <c r="G78" t="s">
        <v>1058</v>
      </c>
      <c r="H78" t="s">
        <v>1059</v>
      </c>
      <c r="I78" t="s">
        <v>1060</v>
      </c>
      <c r="J78" t="s">
        <v>1061</v>
      </c>
      <c r="K78" t="s">
        <v>292</v>
      </c>
      <c r="L78" t="s">
        <v>1062</v>
      </c>
      <c r="M78" t="s">
        <v>577</v>
      </c>
      <c r="N78" t="s">
        <v>61</v>
      </c>
      <c r="O78" t="s">
        <v>1063</v>
      </c>
      <c r="P78" t="s">
        <v>113</v>
      </c>
      <c r="Q78" t="s">
        <v>98</v>
      </c>
      <c r="R78" t="s">
        <v>607</v>
      </c>
      <c r="S78" t="s">
        <v>1064</v>
      </c>
      <c r="T78" t="s">
        <v>66</v>
      </c>
      <c r="U78" t="s">
        <v>1057</v>
      </c>
    </row>
    <row r="79" spans="1:21" x14ac:dyDescent="0.25">
      <c r="A79" t="s">
        <v>1065</v>
      </c>
      <c r="B79" t="s">
        <v>1066</v>
      </c>
      <c r="C79" t="s">
        <v>1067</v>
      </c>
      <c r="D79" t="s">
        <v>1068</v>
      </c>
      <c r="E79" t="s">
        <v>12</v>
      </c>
      <c r="F79" t="s">
        <v>1069</v>
      </c>
      <c r="G79" t="s">
        <v>1070</v>
      </c>
      <c r="H79" t="s">
        <v>1071</v>
      </c>
      <c r="I79" t="s">
        <v>460</v>
      </c>
      <c r="J79" t="s">
        <v>1072</v>
      </c>
      <c r="K79" t="s">
        <v>58</v>
      </c>
      <c r="L79" t="s">
        <v>1073</v>
      </c>
      <c r="M79" t="s">
        <v>156</v>
      </c>
      <c r="N79" t="s">
        <v>61</v>
      </c>
      <c r="O79" t="s">
        <v>1074</v>
      </c>
      <c r="P79" t="s">
        <v>173</v>
      </c>
      <c r="Q79" t="s">
        <v>64</v>
      </c>
      <c r="R79" t="s">
        <v>605</v>
      </c>
      <c r="S79" t="s">
        <v>1075</v>
      </c>
      <c r="T79" t="s">
        <v>159</v>
      </c>
      <c r="U79" t="s">
        <v>1069</v>
      </c>
    </row>
    <row r="80" spans="1:21" x14ac:dyDescent="0.25">
      <c r="A80" t="s">
        <v>1076</v>
      </c>
      <c r="B80" t="s">
        <v>1077</v>
      </c>
      <c r="C80" t="s">
        <v>1078</v>
      </c>
      <c r="D80" t="s">
        <v>1079</v>
      </c>
      <c r="E80" t="s">
        <v>12</v>
      </c>
      <c r="F80" t="s">
        <v>1080</v>
      </c>
      <c r="G80" t="s">
        <v>1081</v>
      </c>
      <c r="H80" t="s">
        <v>1082</v>
      </c>
      <c r="I80" t="s">
        <v>1083</v>
      </c>
      <c r="J80" t="s">
        <v>1084</v>
      </c>
      <c r="K80" t="s">
        <v>279</v>
      </c>
      <c r="L80" t="s">
        <v>1085</v>
      </c>
      <c r="M80" t="s">
        <v>880</v>
      </c>
      <c r="N80" t="s">
        <v>61</v>
      </c>
      <c r="O80" t="s">
        <v>1086</v>
      </c>
      <c r="P80" t="s">
        <v>173</v>
      </c>
      <c r="Q80" t="s">
        <v>143</v>
      </c>
      <c r="R80" t="s">
        <v>607</v>
      </c>
      <c r="S80" t="s">
        <v>1087</v>
      </c>
      <c r="T80" t="s">
        <v>84</v>
      </c>
      <c r="U80" t="s">
        <v>1080</v>
      </c>
    </row>
    <row r="81" spans="1:21" x14ac:dyDescent="0.25">
      <c r="A81" t="s">
        <v>1088</v>
      </c>
      <c r="B81" t="s">
        <v>1089</v>
      </c>
      <c r="C81" t="s">
        <v>1090</v>
      </c>
      <c r="D81" t="s">
        <v>1091</v>
      </c>
      <c r="E81" t="s">
        <v>12</v>
      </c>
      <c r="F81" t="s">
        <v>1092</v>
      </c>
      <c r="G81" t="s">
        <v>1093</v>
      </c>
      <c r="H81" t="s">
        <v>1094</v>
      </c>
      <c r="I81" t="s">
        <v>1095</v>
      </c>
      <c r="J81" t="s">
        <v>1096</v>
      </c>
      <c r="K81" t="s">
        <v>386</v>
      </c>
      <c r="L81" t="s">
        <v>1097</v>
      </c>
      <c r="M81" t="s">
        <v>156</v>
      </c>
      <c r="N81" t="s">
        <v>61</v>
      </c>
      <c r="O81" t="s">
        <v>1098</v>
      </c>
      <c r="P81" t="s">
        <v>173</v>
      </c>
      <c r="Q81" t="s">
        <v>98</v>
      </c>
      <c r="R81" t="s">
        <v>611</v>
      </c>
      <c r="S81" t="s">
        <v>1099</v>
      </c>
      <c r="T81" t="s">
        <v>159</v>
      </c>
      <c r="U81" t="s">
        <v>1092</v>
      </c>
    </row>
    <row r="82" spans="1:21" x14ac:dyDescent="0.25">
      <c r="A82" t="s">
        <v>1100</v>
      </c>
      <c r="B82" t="s">
        <v>1101</v>
      </c>
      <c r="C82" t="s">
        <v>1102</v>
      </c>
      <c r="D82" t="s">
        <v>1103</v>
      </c>
      <c r="E82" t="s">
        <v>12</v>
      </c>
      <c r="F82" t="s">
        <v>1104</v>
      </c>
      <c r="G82" t="s">
        <v>1105</v>
      </c>
      <c r="H82" t="s">
        <v>1106</v>
      </c>
      <c r="I82" t="s">
        <v>1107</v>
      </c>
      <c r="J82" t="s">
        <v>1108</v>
      </c>
      <c r="K82" t="s">
        <v>1109</v>
      </c>
      <c r="L82" t="s">
        <v>1110</v>
      </c>
      <c r="M82" t="s">
        <v>880</v>
      </c>
      <c r="N82" t="s">
        <v>61</v>
      </c>
      <c r="O82" t="s">
        <v>1111</v>
      </c>
      <c r="P82" t="s">
        <v>113</v>
      </c>
      <c r="Q82" t="s">
        <v>82</v>
      </c>
      <c r="R82" t="s">
        <v>605</v>
      </c>
      <c r="S82" t="s">
        <v>1112</v>
      </c>
      <c r="T82" t="s">
        <v>159</v>
      </c>
      <c r="U82" t="s">
        <v>1104</v>
      </c>
    </row>
    <row r="83" spans="1:21" x14ac:dyDescent="0.25">
      <c r="A83" t="s">
        <v>1113</v>
      </c>
      <c r="B83" t="s">
        <v>1114</v>
      </c>
      <c r="C83" t="s">
        <v>1115</v>
      </c>
      <c r="D83" t="s">
        <v>1116</v>
      </c>
      <c r="E83" t="s">
        <v>12</v>
      </c>
      <c r="F83" t="s">
        <v>1117</v>
      </c>
      <c r="G83" t="s">
        <v>1118</v>
      </c>
      <c r="H83" t="s">
        <v>1119</v>
      </c>
      <c r="I83" t="s">
        <v>1120</v>
      </c>
      <c r="J83" t="s">
        <v>1121</v>
      </c>
      <c r="K83" t="s">
        <v>1122</v>
      </c>
      <c r="L83" t="s">
        <v>703</v>
      </c>
      <c r="M83" t="s">
        <v>96</v>
      </c>
      <c r="N83" t="s">
        <v>61</v>
      </c>
      <c r="O83" t="s">
        <v>1123</v>
      </c>
      <c r="P83" t="s">
        <v>142</v>
      </c>
      <c r="Q83" t="s">
        <v>98</v>
      </c>
      <c r="R83" t="s">
        <v>611</v>
      </c>
      <c r="S83" t="s">
        <v>1124</v>
      </c>
      <c r="T83" t="s">
        <v>84</v>
      </c>
      <c r="U83" t="s">
        <v>1117</v>
      </c>
    </row>
    <row r="84" spans="1:21" x14ac:dyDescent="0.25">
      <c r="A84" t="s">
        <v>1125</v>
      </c>
      <c r="B84" t="s">
        <v>1126</v>
      </c>
      <c r="C84" t="s">
        <v>1127</v>
      </c>
      <c r="D84" t="s">
        <v>1128</v>
      </c>
      <c r="E84" t="s">
        <v>12</v>
      </c>
      <c r="F84" t="s">
        <v>1129</v>
      </c>
      <c r="G84" t="s">
        <v>1130</v>
      </c>
      <c r="H84" t="s">
        <v>1131</v>
      </c>
      <c r="I84" t="s">
        <v>1132</v>
      </c>
      <c r="J84" t="s">
        <v>1133</v>
      </c>
      <c r="K84" t="s">
        <v>169</v>
      </c>
      <c r="L84" t="s">
        <v>1134</v>
      </c>
      <c r="M84" t="s">
        <v>577</v>
      </c>
      <c r="N84" t="s">
        <v>61</v>
      </c>
      <c r="O84" t="s">
        <v>1135</v>
      </c>
      <c r="P84" t="s">
        <v>113</v>
      </c>
      <c r="Q84" t="s">
        <v>98</v>
      </c>
      <c r="R84" t="s">
        <v>611</v>
      </c>
      <c r="S84" t="s">
        <v>1136</v>
      </c>
      <c r="T84" t="s">
        <v>84</v>
      </c>
      <c r="U84" t="s">
        <v>1129</v>
      </c>
    </row>
    <row r="85" spans="1:21" x14ac:dyDescent="0.25">
      <c r="A85" t="s">
        <v>1137</v>
      </c>
      <c r="B85" t="s">
        <v>1138</v>
      </c>
      <c r="C85" t="s">
        <v>1139</v>
      </c>
      <c r="D85" t="s">
        <v>1140</v>
      </c>
      <c r="E85" t="s">
        <v>12</v>
      </c>
      <c r="F85" t="s">
        <v>1141</v>
      </c>
      <c r="G85" t="s">
        <v>1142</v>
      </c>
      <c r="H85" t="s">
        <v>1143</v>
      </c>
      <c r="I85" t="s">
        <v>1144</v>
      </c>
      <c r="J85" t="s">
        <v>1145</v>
      </c>
      <c r="K85" t="s">
        <v>422</v>
      </c>
      <c r="L85" t="s">
        <v>1146</v>
      </c>
      <c r="M85" t="s">
        <v>140</v>
      </c>
      <c r="N85" t="s">
        <v>61</v>
      </c>
      <c r="O85" t="s">
        <v>1147</v>
      </c>
      <c r="P85" t="s">
        <v>142</v>
      </c>
      <c r="Q85" t="s">
        <v>82</v>
      </c>
      <c r="R85" t="s">
        <v>611</v>
      </c>
      <c r="S85" t="s">
        <v>1148</v>
      </c>
      <c r="T85" t="s">
        <v>84</v>
      </c>
      <c r="U85" t="s">
        <v>1141</v>
      </c>
    </row>
    <row r="86" spans="1:21" x14ac:dyDescent="0.25">
      <c r="A86" t="s">
        <v>1149</v>
      </c>
      <c r="B86" t="s">
        <v>1150</v>
      </c>
      <c r="C86" t="s">
        <v>1151</v>
      </c>
      <c r="D86" t="s">
        <v>1152</v>
      </c>
      <c r="E86" t="s">
        <v>12</v>
      </c>
      <c r="F86" t="s">
        <v>1153</v>
      </c>
      <c r="G86" t="s">
        <v>1154</v>
      </c>
      <c r="H86" t="s">
        <v>1155</v>
      </c>
      <c r="I86" t="s">
        <v>1156</v>
      </c>
      <c r="J86" t="s">
        <v>1157</v>
      </c>
      <c r="K86" t="s">
        <v>1158</v>
      </c>
      <c r="L86" t="s">
        <v>855</v>
      </c>
      <c r="M86" t="s">
        <v>156</v>
      </c>
      <c r="N86" t="s">
        <v>61</v>
      </c>
      <c r="O86" t="s">
        <v>1159</v>
      </c>
      <c r="P86" t="s">
        <v>81</v>
      </c>
      <c r="Q86" t="s">
        <v>82</v>
      </c>
      <c r="R86" t="s">
        <v>611</v>
      </c>
      <c r="S86" t="s">
        <v>1160</v>
      </c>
      <c r="T86" t="s">
        <v>84</v>
      </c>
      <c r="U86" t="s">
        <v>1153</v>
      </c>
    </row>
    <row r="87" spans="1:21" x14ac:dyDescent="0.25">
      <c r="A87" t="s">
        <v>1161</v>
      </c>
      <c r="B87" t="s">
        <v>1162</v>
      </c>
      <c r="C87" t="s">
        <v>1163</v>
      </c>
      <c r="D87" t="s">
        <v>1164</v>
      </c>
      <c r="E87" t="s">
        <v>12</v>
      </c>
      <c r="F87" t="s">
        <v>1165</v>
      </c>
      <c r="G87" t="s">
        <v>1166</v>
      </c>
      <c r="H87" t="s">
        <v>1167</v>
      </c>
      <c r="I87" t="s">
        <v>1168</v>
      </c>
      <c r="J87" t="s">
        <v>1169</v>
      </c>
      <c r="K87" t="s">
        <v>1170</v>
      </c>
      <c r="L87" t="s">
        <v>940</v>
      </c>
      <c r="M87" t="s">
        <v>213</v>
      </c>
      <c r="N87" t="s">
        <v>61</v>
      </c>
      <c r="O87" t="s">
        <v>1171</v>
      </c>
      <c r="P87" t="s">
        <v>142</v>
      </c>
      <c r="Q87" t="s">
        <v>143</v>
      </c>
      <c r="R87" t="s">
        <v>608</v>
      </c>
      <c r="S87" t="s">
        <v>1172</v>
      </c>
      <c r="T87" t="s">
        <v>66</v>
      </c>
      <c r="U87" t="s">
        <v>1165</v>
      </c>
    </row>
    <row r="88" spans="1:21" x14ac:dyDescent="0.25">
      <c r="A88" t="s">
        <v>1173</v>
      </c>
      <c r="B88" t="s">
        <v>1174</v>
      </c>
      <c r="C88" t="s">
        <v>1175</v>
      </c>
      <c r="D88" t="s">
        <v>1176</v>
      </c>
      <c r="E88" t="s">
        <v>12</v>
      </c>
      <c r="F88" t="s">
        <v>1177</v>
      </c>
      <c r="G88" t="s">
        <v>1178</v>
      </c>
      <c r="H88" t="s">
        <v>1179</v>
      </c>
      <c r="I88" t="s">
        <v>1180</v>
      </c>
      <c r="J88" t="s">
        <v>1181</v>
      </c>
      <c r="K88" t="s">
        <v>952</v>
      </c>
      <c r="L88" t="s">
        <v>1182</v>
      </c>
      <c r="M88" t="s">
        <v>171</v>
      </c>
      <c r="N88" t="s">
        <v>61</v>
      </c>
      <c r="O88" t="s">
        <v>1183</v>
      </c>
      <c r="P88" t="s">
        <v>81</v>
      </c>
      <c r="Q88" t="s">
        <v>82</v>
      </c>
      <c r="R88" t="s">
        <v>608</v>
      </c>
      <c r="S88" t="s">
        <v>1184</v>
      </c>
      <c r="T88" t="s">
        <v>66</v>
      </c>
      <c r="U88" t="s">
        <v>1177</v>
      </c>
    </row>
    <row r="89" spans="1:21" x14ac:dyDescent="0.25">
      <c r="A89" t="s">
        <v>1185</v>
      </c>
      <c r="B89" t="s">
        <v>1186</v>
      </c>
      <c r="C89" t="s">
        <v>1187</v>
      </c>
      <c r="D89" t="s">
        <v>1188</v>
      </c>
      <c r="E89" t="s">
        <v>12</v>
      </c>
      <c r="F89" t="s">
        <v>1189</v>
      </c>
      <c r="G89" t="s">
        <v>1190</v>
      </c>
      <c r="H89" t="s">
        <v>1191</v>
      </c>
      <c r="I89" t="s">
        <v>1192</v>
      </c>
      <c r="J89" t="s">
        <v>1193</v>
      </c>
      <c r="K89" t="s">
        <v>1194</v>
      </c>
      <c r="L89" t="s">
        <v>266</v>
      </c>
      <c r="M89" t="s">
        <v>361</v>
      </c>
      <c r="N89" t="s">
        <v>61</v>
      </c>
      <c r="O89" t="s">
        <v>1195</v>
      </c>
      <c r="P89" t="s">
        <v>63</v>
      </c>
      <c r="Q89" t="s">
        <v>98</v>
      </c>
      <c r="R89" t="s">
        <v>608</v>
      </c>
      <c r="S89" t="s">
        <v>1196</v>
      </c>
      <c r="T89" t="s">
        <v>159</v>
      </c>
      <c r="U89" t="s">
        <v>1189</v>
      </c>
    </row>
    <row r="90" spans="1:21" x14ac:dyDescent="0.25">
      <c r="A90" t="s">
        <v>1197</v>
      </c>
      <c r="B90" t="s">
        <v>1198</v>
      </c>
      <c r="C90" t="s">
        <v>1199</v>
      </c>
      <c r="D90" t="s">
        <v>1200</v>
      </c>
      <c r="E90" t="s">
        <v>12</v>
      </c>
      <c r="F90" t="s">
        <v>1201</v>
      </c>
      <c r="G90" t="s">
        <v>1202</v>
      </c>
      <c r="H90" t="s">
        <v>1203</v>
      </c>
      <c r="I90" t="s">
        <v>1204</v>
      </c>
      <c r="J90" t="s">
        <v>1205</v>
      </c>
      <c r="K90" t="s">
        <v>1206</v>
      </c>
      <c r="L90" t="s">
        <v>1207</v>
      </c>
      <c r="M90" t="s">
        <v>126</v>
      </c>
      <c r="N90" t="s">
        <v>61</v>
      </c>
      <c r="O90" t="s">
        <v>1208</v>
      </c>
      <c r="P90" t="s">
        <v>63</v>
      </c>
      <c r="Q90" t="s">
        <v>82</v>
      </c>
      <c r="R90" t="s">
        <v>608</v>
      </c>
      <c r="S90" t="s">
        <v>1209</v>
      </c>
      <c r="T90" t="s">
        <v>66</v>
      </c>
      <c r="U90" t="s">
        <v>1201</v>
      </c>
    </row>
    <row r="91" spans="1:21" x14ac:dyDescent="0.25">
      <c r="A91" t="s">
        <v>1210</v>
      </c>
      <c r="B91" t="s">
        <v>1211</v>
      </c>
      <c r="C91" t="s">
        <v>1212</v>
      </c>
      <c r="D91" t="s">
        <v>1213</v>
      </c>
      <c r="E91" t="s">
        <v>12</v>
      </c>
      <c r="F91" t="s">
        <v>1214</v>
      </c>
      <c r="G91" t="s">
        <v>1215</v>
      </c>
      <c r="H91" t="s">
        <v>1216</v>
      </c>
      <c r="I91" t="s">
        <v>92</v>
      </c>
      <c r="J91" t="s">
        <v>1217</v>
      </c>
      <c r="K91" t="s">
        <v>1218</v>
      </c>
      <c r="L91" t="s">
        <v>1219</v>
      </c>
      <c r="M91" t="s">
        <v>411</v>
      </c>
      <c r="N91" t="s">
        <v>61</v>
      </c>
      <c r="O91" t="s">
        <v>1220</v>
      </c>
      <c r="P91" t="s">
        <v>81</v>
      </c>
      <c r="Q91" t="s">
        <v>82</v>
      </c>
      <c r="R91" t="s">
        <v>605</v>
      </c>
      <c r="S91" t="s">
        <v>1221</v>
      </c>
      <c r="T91" t="s">
        <v>66</v>
      </c>
      <c r="U91" t="s">
        <v>1214</v>
      </c>
    </row>
    <row r="92" spans="1:21" x14ac:dyDescent="0.25">
      <c r="A92" t="s">
        <v>1222</v>
      </c>
      <c r="B92" t="s">
        <v>1223</v>
      </c>
      <c r="C92" t="s">
        <v>1224</v>
      </c>
      <c r="D92" t="s">
        <v>1225</v>
      </c>
      <c r="E92" t="s">
        <v>12</v>
      </c>
      <c r="F92" t="s">
        <v>1226</v>
      </c>
      <c r="G92" t="s">
        <v>1227</v>
      </c>
      <c r="H92" t="s">
        <v>1228</v>
      </c>
      <c r="I92" t="s">
        <v>1229</v>
      </c>
      <c r="J92" t="s">
        <v>1230</v>
      </c>
      <c r="K92" t="s">
        <v>1231</v>
      </c>
      <c r="L92" t="s">
        <v>1232</v>
      </c>
      <c r="M92" t="s">
        <v>227</v>
      </c>
      <c r="N92" t="s">
        <v>61</v>
      </c>
      <c r="O92" t="s">
        <v>1233</v>
      </c>
      <c r="P92" t="s">
        <v>63</v>
      </c>
      <c r="Q92" t="s">
        <v>82</v>
      </c>
      <c r="R92" t="s">
        <v>605</v>
      </c>
      <c r="S92" t="s">
        <v>1234</v>
      </c>
      <c r="T92" t="s">
        <v>84</v>
      </c>
      <c r="U92" t="s">
        <v>1226</v>
      </c>
    </row>
    <row r="93" spans="1:21" x14ac:dyDescent="0.25">
      <c r="A93" t="s">
        <v>1235</v>
      </c>
      <c r="B93" t="s">
        <v>1236</v>
      </c>
      <c r="C93" t="s">
        <v>1237</v>
      </c>
      <c r="D93" t="s">
        <v>1238</v>
      </c>
      <c r="E93" t="s">
        <v>12</v>
      </c>
      <c r="F93" t="s">
        <v>1239</v>
      </c>
      <c r="G93" t="s">
        <v>1240</v>
      </c>
      <c r="H93" t="s">
        <v>1241</v>
      </c>
      <c r="I93" t="s">
        <v>1242</v>
      </c>
      <c r="J93" t="s">
        <v>1243</v>
      </c>
      <c r="K93" t="s">
        <v>589</v>
      </c>
      <c r="L93" t="s">
        <v>1244</v>
      </c>
      <c r="M93" t="s">
        <v>577</v>
      </c>
      <c r="N93" t="s">
        <v>61</v>
      </c>
      <c r="O93" t="s">
        <v>1245</v>
      </c>
      <c r="P93" t="s">
        <v>142</v>
      </c>
      <c r="Q93" t="s">
        <v>64</v>
      </c>
      <c r="R93" t="s">
        <v>605</v>
      </c>
      <c r="S93" t="s">
        <v>1246</v>
      </c>
      <c r="T93" t="s">
        <v>159</v>
      </c>
      <c r="U93" t="s">
        <v>1239</v>
      </c>
    </row>
    <row r="94" spans="1:21" x14ac:dyDescent="0.25">
      <c r="A94" t="s">
        <v>1247</v>
      </c>
      <c r="B94" t="s">
        <v>1248</v>
      </c>
      <c r="C94" t="s">
        <v>1249</v>
      </c>
      <c r="D94" t="s">
        <v>1250</v>
      </c>
      <c r="E94" t="s">
        <v>12</v>
      </c>
      <c r="F94" t="s">
        <v>1251</v>
      </c>
      <c r="G94" t="s">
        <v>1252</v>
      </c>
      <c r="H94" t="s">
        <v>1253</v>
      </c>
      <c r="I94" t="s">
        <v>1254</v>
      </c>
      <c r="J94" t="s">
        <v>1255</v>
      </c>
      <c r="K94" t="s">
        <v>1206</v>
      </c>
      <c r="L94" t="s">
        <v>1256</v>
      </c>
      <c r="M94" t="s">
        <v>880</v>
      </c>
      <c r="N94" t="s">
        <v>61</v>
      </c>
      <c r="O94" t="s">
        <v>1257</v>
      </c>
      <c r="P94" t="s">
        <v>113</v>
      </c>
      <c r="Q94" t="s">
        <v>98</v>
      </c>
      <c r="R94" t="s">
        <v>611</v>
      </c>
      <c r="S94" t="s">
        <v>1258</v>
      </c>
      <c r="T94" t="s">
        <v>159</v>
      </c>
      <c r="U94" t="s">
        <v>1251</v>
      </c>
    </row>
    <row r="95" spans="1:21" x14ac:dyDescent="0.25">
      <c r="A95" t="s">
        <v>1259</v>
      </c>
      <c r="B95" t="s">
        <v>1260</v>
      </c>
      <c r="C95" t="s">
        <v>1261</v>
      </c>
      <c r="D95" t="s">
        <v>1262</v>
      </c>
      <c r="E95" t="s">
        <v>12</v>
      </c>
      <c r="F95" t="s">
        <v>1263</v>
      </c>
      <c r="G95" t="s">
        <v>1264</v>
      </c>
      <c r="H95" t="s">
        <v>1265</v>
      </c>
      <c r="I95" t="s">
        <v>1266</v>
      </c>
      <c r="J95" t="s">
        <v>1267</v>
      </c>
      <c r="K95" t="s">
        <v>1109</v>
      </c>
      <c r="L95" t="s">
        <v>1268</v>
      </c>
      <c r="M95" t="s">
        <v>140</v>
      </c>
      <c r="N95" t="s">
        <v>61</v>
      </c>
      <c r="O95" t="s">
        <v>1269</v>
      </c>
      <c r="P95" t="s">
        <v>63</v>
      </c>
      <c r="Q95" t="s">
        <v>143</v>
      </c>
      <c r="R95" t="s">
        <v>605</v>
      </c>
      <c r="S95" t="s">
        <v>1270</v>
      </c>
      <c r="T95" t="s">
        <v>84</v>
      </c>
      <c r="U95" t="s">
        <v>1263</v>
      </c>
    </row>
    <row r="96" spans="1:21" x14ac:dyDescent="0.25">
      <c r="A96" t="s">
        <v>1271</v>
      </c>
      <c r="B96" t="s">
        <v>1272</v>
      </c>
      <c r="C96" t="s">
        <v>1273</v>
      </c>
      <c r="D96" t="s">
        <v>1274</v>
      </c>
      <c r="E96" t="s">
        <v>12</v>
      </c>
      <c r="F96" t="s">
        <v>1275</v>
      </c>
      <c r="G96" t="s">
        <v>1276</v>
      </c>
      <c r="H96" t="s">
        <v>1277</v>
      </c>
      <c r="I96" t="s">
        <v>1278</v>
      </c>
      <c r="J96" t="s">
        <v>1279</v>
      </c>
      <c r="K96" t="s">
        <v>1231</v>
      </c>
      <c r="L96" t="s">
        <v>1280</v>
      </c>
      <c r="M96" t="s">
        <v>655</v>
      </c>
      <c r="N96" t="s">
        <v>61</v>
      </c>
      <c r="O96" t="s">
        <v>1281</v>
      </c>
      <c r="P96" t="s">
        <v>173</v>
      </c>
      <c r="Q96" t="s">
        <v>64</v>
      </c>
      <c r="R96" t="s">
        <v>611</v>
      </c>
      <c r="S96" t="s">
        <v>1282</v>
      </c>
      <c r="T96" t="s">
        <v>66</v>
      </c>
      <c r="U96" t="s">
        <v>1275</v>
      </c>
    </row>
    <row r="97" spans="1:21" x14ac:dyDescent="0.25">
      <c r="A97" t="s">
        <v>1283</v>
      </c>
      <c r="B97" t="s">
        <v>518</v>
      </c>
      <c r="C97" t="s">
        <v>519</v>
      </c>
      <c r="D97" t="s">
        <v>1284</v>
      </c>
      <c r="E97" t="s">
        <v>12</v>
      </c>
      <c r="F97" t="s">
        <v>1285</v>
      </c>
      <c r="G97" t="s">
        <v>1286</v>
      </c>
      <c r="H97" t="s">
        <v>1287</v>
      </c>
      <c r="I97" t="s">
        <v>1288</v>
      </c>
      <c r="J97" t="s">
        <v>1289</v>
      </c>
      <c r="K97" t="s">
        <v>803</v>
      </c>
      <c r="L97" t="s">
        <v>1013</v>
      </c>
      <c r="M97" t="s">
        <v>126</v>
      </c>
      <c r="N97" t="s">
        <v>61</v>
      </c>
      <c r="O97" t="s">
        <v>1290</v>
      </c>
      <c r="P97" t="s">
        <v>113</v>
      </c>
      <c r="Q97" t="s">
        <v>64</v>
      </c>
      <c r="R97" t="s">
        <v>605</v>
      </c>
      <c r="S97" t="s">
        <v>528</v>
      </c>
      <c r="T97" t="s">
        <v>159</v>
      </c>
      <c r="U97" t="s">
        <v>1285</v>
      </c>
    </row>
  </sheetData>
  <pageMargins left="0.511811024" right="0.511811024" top="0.78740157499999996" bottom="0.78740157499999996" header="0.31496062000000002" footer="0.31496062000000002"/>
  <ignoredErrors>
    <ignoredError sqref="A1:W4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0D4612-CB62-426F-ADBD-0E746D8D79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TBL_FATURA</vt:lpstr>
      <vt:lpstr>TBL_CENARIOS</vt:lpstr>
      <vt:lpstr>TBL_USUARIOS</vt:lpstr>
      <vt:lpstr>TBL_PIX</vt:lpstr>
      <vt:lpstr>TBL_USUARIOS_SECUNDARIOS</vt:lpstr>
      <vt:lpstr>tbl_de_massas</vt:lpstr>
      <vt:lpstr>TBL_CADASTRO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Gilvan Sousa</dc:creator>
  <cp:lastModifiedBy>Gilvan Sousa</cp:lastModifiedBy>
  <dcterms:created xsi:type="dcterms:W3CDTF">2024-06-13T16:50:06Z</dcterms:created>
  <dcterms:modified xsi:type="dcterms:W3CDTF">2026-09-26T15:03:38Z</dcterms:modified>
</cp:coreProperties>
</file>