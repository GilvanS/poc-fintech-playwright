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A:\Workspace\poc-fintech-playwright\data\"/>
    </mc:Choice>
  </mc:AlternateContent>
  <xr:revisionPtr revIDLastSave="0" documentId="13_ncr:11_{7B01A961-9B29-490E-B126-0CD1D2233F95}" xr6:coauthVersionLast="47" xr6:coauthVersionMax="47" xr10:uidLastSave="{00000000-0000-0000-0000-000000000000}"/>
  <bookViews>
    <workbookView xWindow="-120" yWindow="-120" windowWidth="29040" windowHeight="15720" tabRatio="547" xr2:uid="{BE8CC490-7143-461B-A081-5E1B4D404489}"/>
  </bookViews>
  <sheets>
    <sheet name="TBL_CENARIOS" sheetId="3" r:id="rId1"/>
    <sheet name="TBL_CADASTRO" sheetId="7" r:id="rId2"/>
    <sheet name="TBL_MASSA_CADASTRADA" sheetId="8" r:id="rId3"/>
  </sheets>
  <definedNames>
    <definedName name="TBL_CADASTRO" localSheetId="1">Tabela15[]</definedName>
    <definedName name="TBL_CADASTR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E6" i="7"/>
  <c r="E7" i="7"/>
  <c r="E4" i="7"/>
  <c r="K4" i="3"/>
  <c r="J4" i="3"/>
  <c r="I4" i="3"/>
  <c r="H4" i="3"/>
  <c r="G4" i="3"/>
  <c r="F4" i="3"/>
  <c r="K3" i="3"/>
  <c r="J3" i="3"/>
  <c r="I3" i="3"/>
  <c r="H3" i="3"/>
  <c r="G3" i="3"/>
  <c r="F3" i="3"/>
  <c r="K2" i="3"/>
  <c r="J2" i="3"/>
  <c r="I2" i="3"/>
  <c r="H2" i="3"/>
  <c r="G2" i="3"/>
  <c r="K9" i="3"/>
  <c r="J9" i="3"/>
  <c r="I9" i="3"/>
  <c r="H9" i="3"/>
  <c r="G9" i="3"/>
  <c r="F9" i="3"/>
  <c r="M7" i="7"/>
  <c r="L7" i="7"/>
  <c r="K8" i="3" s="1"/>
  <c r="K7" i="7"/>
  <c r="J8" i="3" s="1"/>
  <c r="J7" i="7"/>
  <c r="I7" i="7"/>
  <c r="I8" i="3" s="1"/>
  <c r="H7" i="7"/>
  <c r="H8" i="3" s="1"/>
  <c r="G7" i="7"/>
  <c r="F7" i="7"/>
  <c r="G8" i="3" s="1"/>
  <c r="F8" i="3"/>
  <c r="D7" i="7"/>
  <c r="C7" i="7"/>
  <c r="M6" i="7"/>
  <c r="L6" i="7"/>
  <c r="K7" i="3" s="1"/>
  <c r="K6" i="7"/>
  <c r="J7" i="3" s="1"/>
  <c r="J6" i="7"/>
  <c r="I6" i="7"/>
  <c r="I7" i="3" s="1"/>
  <c r="H6" i="7"/>
  <c r="H7" i="3" s="1"/>
  <c r="G6" i="7"/>
  <c r="F6" i="7"/>
  <c r="G7" i="3" s="1"/>
  <c r="F7" i="3"/>
  <c r="D6" i="7"/>
  <c r="C6" i="7"/>
  <c r="M5" i="7"/>
  <c r="L5" i="7"/>
  <c r="K6" i="3" s="1"/>
  <c r="K5" i="7"/>
  <c r="J6" i="3" s="1"/>
  <c r="J5" i="7"/>
  <c r="I5" i="7"/>
  <c r="I6" i="3" s="1"/>
  <c r="H5" i="7"/>
  <c r="H6" i="3" s="1"/>
  <c r="G5" i="7"/>
  <c r="F5" i="7"/>
  <c r="G6" i="3" s="1"/>
  <c r="F6" i="3"/>
  <c r="D5" i="7"/>
  <c r="C5" i="7"/>
  <c r="M4" i="7"/>
  <c r="L4" i="7"/>
  <c r="K5" i="3" s="1"/>
  <c r="K4" i="7"/>
  <c r="J5" i="3" s="1"/>
  <c r="J4" i="7"/>
  <c r="I4" i="7"/>
  <c r="I5" i="3" s="1"/>
  <c r="H4" i="7"/>
  <c r="H5" i="3" s="1"/>
  <c r="G4" i="7"/>
  <c r="F4" i="7"/>
  <c r="G5" i="3" s="1"/>
  <c r="D4" i="7"/>
  <c r="C4" i="7"/>
  <c r="G3" i="7"/>
  <c r="G2" i="7"/>
  <c r="F5" i="3" l="1"/>
  <c r="F2" i="3"/>
</calcChain>
</file>

<file path=xl/sharedStrings.xml><?xml version="1.0" encoding="utf-8"?>
<sst xmlns="http://schemas.openxmlformats.org/spreadsheetml/2006/main" count="620" uniqueCount="404">
  <si>
    <t>FEATURE</t>
  </si>
  <si>
    <t>SENHA</t>
  </si>
  <si>
    <t>SEQ</t>
  </si>
  <si>
    <t>ID_CENARIO</t>
  </si>
  <si>
    <t>NOME</t>
  </si>
  <si>
    <t>ID_USUARIO</t>
  </si>
  <si>
    <t>CT-1008</t>
  </si>
  <si>
    <t>CT-1009</t>
  </si>
  <si>
    <t>Criar um novo usuário CMS com sucesso</t>
  </si>
  <si>
    <t>Buscar a lista de usuários CMS com autenticação</t>
  </si>
  <si>
    <t>Busca de usuario por ID</t>
  </si>
  <si>
    <t>Validar alteração de usuário</t>
  </si>
  <si>
    <t>Validar exclusao de usuario</t>
  </si>
  <si>
    <t>usuario</t>
  </si>
  <si>
    <t>NOME_COMPLETO</t>
  </si>
  <si>
    <t>NOME_USUARIO</t>
  </si>
  <si>
    <t>0001</t>
  </si>
  <si>
    <t>0002</t>
  </si>
  <si>
    <t>0003</t>
  </si>
  <si>
    <t>0004</t>
  </si>
  <si>
    <t>0005</t>
  </si>
  <si>
    <t>ID_MASSA</t>
  </si>
  <si>
    <t>Tentar criar um usuário com email inválido</t>
  </si>
  <si>
    <t xml:space="preserve">Email invalido </t>
  </si>
  <si>
    <t>Email invalido</t>
  </si>
  <si>
    <t>Senha invalida</t>
  </si>
  <si>
    <t>Tentar criar um usuário com senha inválida</t>
  </si>
  <si>
    <t>Realizar login com sucesso</t>
  </si>
  <si>
    <t>cadastrar</t>
  </si>
  <si>
    <t>1010</t>
  </si>
  <si>
    <t>01</t>
  </si>
  <si>
    <t>02</t>
  </si>
  <si>
    <t>03</t>
  </si>
  <si>
    <t>04</t>
  </si>
  <si>
    <t>usuario@teste@exemplo.com</t>
  </si>
  <si>
    <t>12345678-9</t>
  </si>
  <si>
    <t>senha.invalida0@hotmail.com</t>
  </si>
  <si>
    <t>NomeCompleto</t>
  </si>
  <si>
    <t>NomeUsuario</t>
  </si>
  <si>
    <t>Email</t>
  </si>
  <si>
    <t>Senha</t>
  </si>
  <si>
    <t>Administrador</t>
  </si>
  <si>
    <t>CPF</t>
  </si>
  <si>
    <t>Telefone</t>
  </si>
  <si>
    <t>RazaoSocial</t>
  </si>
  <si>
    <t>CNPJ</t>
  </si>
  <si>
    <t>Endereco</t>
  </si>
  <si>
    <t>Cidade</t>
  </si>
  <si>
    <t>Estado</t>
  </si>
  <si>
    <t>CEP</t>
  </si>
  <si>
    <t>Pais</t>
  </si>
  <si>
    <t>NumeroCartao</t>
  </si>
  <si>
    <t>ValidadeCartao</t>
  </si>
  <si>
    <t>NomeProduto</t>
  </si>
  <si>
    <t>Preco</t>
  </si>
  <si>
    <t>DescricaoProduto</t>
  </si>
  <si>
    <t>Quantidade</t>
  </si>
  <si>
    <t>NomeCategoria</t>
  </si>
  <si>
    <t>DescricaoCategoria</t>
  </si>
  <si>
    <t>TituloArtigo</t>
  </si>
  <si>
    <t>ConteudoArtigo</t>
  </si>
  <si>
    <t>NomeAutor</t>
  </si>
  <si>
    <t>DataPublicacao</t>
  </si>
  <si>
    <t>STATUS_CADASTRO</t>
  </si>
  <si>
    <t>wcSFOMJ</t>
  </si>
  <si>
    <t>ID_CATEGORIA</t>
  </si>
  <si>
    <t>STATUS_CATEGORIA</t>
  </si>
  <si>
    <t>ID_ARTIGO</t>
  </si>
  <si>
    <t>STATUS_ARTIGO</t>
  </si>
  <si>
    <t>Nome</t>
  </si>
  <si>
    <t>Sobrenome</t>
  </si>
  <si>
    <t>NumeroEndereco</t>
  </si>
  <si>
    <t>9999</t>
  </si>
  <si>
    <t>NOME_CATEGORIA</t>
  </si>
  <si>
    <t>DESCRICAO_CATEGORIA</t>
  </si>
  <si>
    <t>NOME_ARTIGO</t>
  </si>
  <si>
    <t>DESCRICAO_ARTIGO</t>
  </si>
  <si>
    <t>teste</t>
  </si>
  <si>
    <t>Gustave Jacquet</t>
  </si>
  <si>
    <t>Leonardo Bianchi</t>
  </si>
  <si>
    <t>Florie Fontaine</t>
  </si>
  <si>
    <t>Flavien Rodriguez</t>
  </si>
  <si>
    <t>Goncalo Santos</t>
  </si>
  <si>
    <t>Seoyun Lee</t>
  </si>
  <si>
    <t>Santiago Gomez</t>
  </si>
  <si>
    <t>Matteo Rossi</t>
  </si>
  <si>
    <t>Wei Li</t>
  </si>
  <si>
    <t>AlÃ­cia Barros</t>
  </si>
  <si>
    <t>Alice Albuquerque</t>
  </si>
  <si>
    <t>Pierre Bernard</t>
  </si>
  <si>
    <t>Sofia Esposito</t>
  </si>
  <si>
    <t>Bruno Henrique Alves</t>
  </si>
  <si>
    <t>Sonda Evento Bus</t>
  </si>
  <si>
    <t>AlbÃ©rade Chevalier</t>
  </si>
  <si>
    <t>ElÃ­sio Souza</t>
  </si>
  <si>
    <t>Ming Zhang</t>
  </si>
  <si>
    <t>Kenji Sato</t>
  </si>
  <si>
    <t>Jiwoo Park</t>
  </si>
  <si>
    <t>Jian Liu</t>
  </si>
  <si>
    <t>Camila Lopez</t>
  </si>
  <si>
    <t>Paulette Jean</t>
  </si>
  <si>
    <t>Coy Schmeler</t>
  </si>
  <si>
    <t>Lucas Laurent</t>
  </si>
  <si>
    <t>Lukas Schneider</t>
  </si>
  <si>
    <t>Olivia Elizabeth Davis</t>
  </si>
  <si>
    <t>Nathalie Fournier</t>
  </si>
  <si>
    <t>Emily Rose Johnson</t>
  </si>
  <si>
    <t>Karla Melo</t>
  </si>
  <si>
    <t>Dalila Batista</t>
  </si>
  <si>
    <t>Test User</t>
  </si>
  <si>
    <t>Valentina Rodriguez</t>
  </si>
  <si>
    <t>Hannah Fischer</t>
  </si>
  <si>
    <t>Joao Pedro Silva</t>
  </si>
  <si>
    <t>Anceline Gauthier</t>
  </si>
  <si>
    <t>Mariana Costa Silva</t>
  </si>
  <si>
    <t>Rafael Xavier</t>
  </si>
  <si>
    <t>Cliente Amex Vip</t>
  </si>
  <si>
    <t>Teste Carga Retroativa</t>
  </si>
  <si>
    <t>User Teste</t>
  </si>
  <si>
    <t>Martim Costa</t>
  </si>
  <si>
    <t>Fernanda Lima</t>
  </si>
  <si>
    <t>Lane Larkin</t>
  </si>
  <si>
    <t>Annonciade Poirier</t>
  </si>
  <si>
    <t>Haewon Jung</t>
  </si>
  <si>
    <t>Cliente Cartao Teste</t>
  </si>
  <si>
    <t>Integration Test User</t>
  </si>
  <si>
    <t>Felix Weber</t>
  </si>
  <si>
    <t>PhilomÃ¨ne Fabre</t>
  </si>
  <si>
    <t>Charline Rodriguez</t>
  </si>
  <si>
    <t>Michael David Williams</t>
  </si>
  <si>
    <t>Noura Al-Saud</t>
  </si>
  <si>
    <t>Dohyun Choi</t>
  </si>
  <si>
    <t>Maximilian Mueller</t>
  </si>
  <si>
    <t>Morgan Poirier</t>
  </si>
  <si>
    <t>Yan Yang</t>
  </si>
  <si>
    <t>Marvin Dietrich</t>
  </si>
  <si>
    <t>Boniface Gauthier</t>
  </si>
  <si>
    <t>Sophie Schmidt</t>
  </si>
  <si>
    <t>Aoi Yamamoto</t>
  </si>
  <si>
    <t>Adrienne Giraud</t>
  </si>
  <si>
    <t>Khalid Al-Zahrani</t>
  </si>
  <si>
    <t>Camila Beatriz Santos</t>
  </si>
  <si>
    <t>Adalard Rodriguez</t>
  </si>
  <si>
    <t>Ren Ito</t>
  </si>
  <si>
    <t>Absalon Olivier</t>
  </si>
  <si>
    <t>JoÃ£o Miguel Silva</t>
  </si>
  <si>
    <t>Fahad Al-Ghamdi</t>
  </si>
  <si>
    <t>Rafael Moreira</t>
  </si>
  <si>
    <t>Giulia Russo</t>
  </si>
  <si>
    <t>Yuki Takahashi</t>
  </si>
  <si>
    <t>Taro Tanaka</t>
  </si>
  <si>
    <t>Angilran Morin</t>
  </si>
  <si>
    <t>Fatima Al-Harbi</t>
  </si>
  <si>
    <t>Admin User</t>
  </si>
  <si>
    <t>William Robert Miller</t>
  </si>
  <si>
    <t>Beatriz Franco</t>
  </si>
  <si>
    <t>Ã‰mile Clement</t>
  </si>
  <si>
    <t>Sophia Grace Brown</t>
  </si>
  <si>
    <t>Alexander James Smith</t>
  </si>
  <si>
    <t>Youssef Al-Otaibi</t>
  </si>
  <si>
    <t>Prosper Julien</t>
  </si>
  <si>
    <t>Archambaud Remy</t>
  </si>
  <si>
    <t>Falba David</t>
  </si>
  <si>
    <t>Isidore Morin</t>
  </si>
  <si>
    <t>Rodrigo Mendes Oliveira</t>
  </si>
  <si>
    <t>Beatriz Ferreira</t>
  </si>
  <si>
    <t>Achaire Schmitt</t>
  </si>
  <si>
    <t>Camille Martin</t>
  </si>
  <si>
    <t>Flore Schmitt</t>
  </si>
  <si>
    <t>Alessandro Ferrari</t>
  </si>
  <si>
    <t>Lei Chen</t>
  </si>
  <si>
    <t>Solda Final Teste</t>
  </si>
  <si>
    <t>Jeannel Aubry</t>
  </si>
  <si>
    <t>Joaquin Gonzalez</t>
  </si>
  <si>
    <t>Raymonde Bernard</t>
  </si>
  <si>
    <t>Mateo Fernandez</t>
  </si>
  <si>
    <t>NatÃ¡lia Moraes</t>
  </si>
  <si>
    <t>Massa Teste DB Real</t>
  </si>
  <si>
    <t>Isabela Rocha Carvalho</t>
  </si>
  <si>
    <t>Ines Oliveira</t>
  </si>
  <si>
    <t>Xiu Ying Wang</t>
  </si>
  <si>
    <t>Jean Dupont</t>
  </si>
  <si>
    <t>Ira Morar</t>
  </si>
  <si>
    <t>Brunehilde Gaillard</t>
  </si>
  <si>
    <t>Hanako Watanabe</t>
  </si>
  <si>
    <t>MoÃ¯sette Maillard</t>
  </si>
  <si>
    <t>Jacinthe Vidal</t>
  </si>
  <si>
    <t>Minjun Kim</t>
  </si>
  <si>
    <t>Lucas Gabriel Ferreira</t>
  </si>
  <si>
    <t>Gabriel Vinicius Souza</t>
  </si>
  <si>
    <t>RenÃ© Gautier</t>
  </si>
  <si>
    <t>Daniel Costa</t>
  </si>
  <si>
    <t>Tariq Al-Mansoor</t>
  </si>
  <si>
    <t>Juliana Lima Rezende</t>
  </si>
  <si>
    <t>Claude Garcia</t>
  </si>
  <si>
    <t>Hermine Duval</t>
  </si>
  <si>
    <t>Mathilde Le gall</t>
  </si>
  <si>
    <t>Clarisse Dufour</t>
  </si>
  <si>
    <t>Assomption Sanchez</t>
  </si>
  <si>
    <t>Hector Paris</t>
  </si>
  <si>
    <t>PhilothÃ©e Charles</t>
  </si>
  <si>
    <t>Blandine Fabre</t>
  </si>
  <si>
    <t>Xavier Thomas</t>
  </si>
  <si>
    <t>Christian Bertrand</t>
  </si>
  <si>
    <t>Alban Royer</t>
  </si>
  <si>
    <t>CÃ©sar Braga</t>
  </si>
  <si>
    <t>Abigaelle Michel</t>
  </si>
  <si>
    <t>Maurice Meyer</t>
  </si>
  <si>
    <t>Rebeca Moreira</t>
  </si>
  <si>
    <t>AlbÃ©ric Prevost</t>
  </si>
  <si>
    <t>Angel Rempel</t>
  </si>
  <si>
    <t>Oury Roche</t>
  </si>
  <si>
    <t>Marcel Breton</t>
  </si>
  <si>
    <t>Opal King</t>
  </si>
  <si>
    <t>Paula Barros</t>
  </si>
  <si>
    <t>Laurine Maillard</t>
  </si>
  <si>
    <t>Acanthe Vidal</t>
  </si>
  <si>
    <t>Eudoxie Pons</t>
  </si>
  <si>
    <t>Armandine Joly</t>
  </si>
  <si>
    <t>Ernest Dumont</t>
  </si>
  <si>
    <t>Marli Carvalho</t>
  </si>
  <si>
    <t>Odile Meunier</t>
  </si>
  <si>
    <t>Teste Solda Evento</t>
  </si>
  <si>
    <t>Christian Simon</t>
  </si>
  <si>
    <t>Joon Jeong</t>
  </si>
  <si>
    <t>Dual Teste</t>
  </si>
  <si>
    <t>Comprador Monitor</t>
  </si>
  <si>
    <t>Gustave_Jacquet34@gmail.com</t>
  </si>
  <si>
    <t>leonardobianchi@fintech.com</t>
  </si>
  <si>
    <t>Florie_Fontaine85@gmail.com</t>
  </si>
  <si>
    <t>Flavien_Rodriguez86@gmail.com</t>
  </si>
  <si>
    <t>goncalosantos@fintech.com</t>
  </si>
  <si>
    <t>seoyunlee@fintech.com</t>
  </si>
  <si>
    <t>santiagogomez@fintech.com</t>
  </si>
  <si>
    <t>matteorossi@fintech.com</t>
  </si>
  <si>
    <t>weili@fintech.com</t>
  </si>
  <si>
    <t>Harmon37@hotmail.com</t>
  </si>
  <si>
    <t>Heather63@gmail.com</t>
  </si>
  <si>
    <t>pierrebernard@fintech.com</t>
  </si>
  <si>
    <t>sofiaesposito@fintech.com</t>
  </si>
  <si>
    <t>brunohenriquealves@fintech.com</t>
  </si>
  <si>
    <t>sonda.bus1787277636@fintech.com</t>
  </si>
  <si>
    <t>Alberade_Chevalier@gmail.com</t>
  </si>
  <si>
    <t>Cayla_Hermann@gmail.com</t>
  </si>
  <si>
    <t>mingzhang@fintech.com</t>
  </si>
  <si>
    <t>kenjisato@fintech.com</t>
  </si>
  <si>
    <t>jiwoopark@fintech.com</t>
  </si>
  <si>
    <t>jianliu@fintech.com</t>
  </si>
  <si>
    <t>camilalopez@fintech.com</t>
  </si>
  <si>
    <t>Paulette.Jean58@hotmail.fr</t>
  </si>
  <si>
    <t>Beverly56@yahoo.com</t>
  </si>
  <si>
    <t>lucaslaurent@fintech.com</t>
  </si>
  <si>
    <t>lukas.schneider@fintech.com</t>
  </si>
  <si>
    <t>olivia.davis@fintech.com</t>
  </si>
  <si>
    <t>Nathalie_Fournier@yahoo.fr</t>
  </si>
  <si>
    <t>emilyrosejohnson@fintech.com</t>
  </si>
  <si>
    <t>Ladislau_Nogueira55@hotmail.com</t>
  </si>
  <si>
    <t>Aline6@bol.com.br</t>
  </si>
  <si>
    <t>test@example.com</t>
  </si>
  <si>
    <t>kenji.sato@fintech.com</t>
  </si>
  <si>
    <t>valentinarodriguez@fintech.com</t>
  </si>
  <si>
    <t>hannah.fischer@fintech.com</t>
  </si>
  <si>
    <t>joaopedrosilva@fintech.com</t>
  </si>
  <si>
    <t>Anceline_Gauthier7@hotmail.fr</t>
  </si>
  <si>
    <t>marianacostasilva@fintech.com</t>
  </si>
  <si>
    <t>Michelle_Schmeler@yahoo.com</t>
  </si>
  <si>
    <t>cliente.amexvip@fintech.com</t>
  </si>
  <si>
    <t>teste.retroativa@email.com</t>
  </si>
  <si>
    <t>userteste@test.com</t>
  </si>
  <si>
    <t>martimcosta@fintech.com</t>
  </si>
  <si>
    <t>fernanda@example.com</t>
  </si>
  <si>
    <t>Luz_Quitzon@yahoo.com</t>
  </si>
  <si>
    <t>Annonciade.Poirier@hotmail.fr</t>
  </si>
  <si>
    <t>haewon.jung@fintech.com</t>
  </si>
  <si>
    <t>lukasschneider@fintech.com</t>
  </si>
  <si>
    <t>cliente.cartao@fintech.com</t>
  </si>
  <si>
    <t>test8@fintech.com</t>
  </si>
  <si>
    <t>felixweber@fintech.com</t>
  </si>
  <si>
    <t>Philomene.Fabre12@hotmail.fr</t>
  </si>
  <si>
    <t>Charline_Rodriguez@gmail.com</t>
  </si>
  <si>
    <t>michaeldavidwilliams@fintech.com</t>
  </si>
  <si>
    <t>nouraal-saud@fintech.com</t>
  </si>
  <si>
    <t>dohyunchoi@fintech.com</t>
  </si>
  <si>
    <t>maximilianmueller@fintech.com</t>
  </si>
  <si>
    <t>Morgan_Poirier@yahoo.fr</t>
  </si>
  <si>
    <t>yanyang@fintech.com</t>
  </si>
  <si>
    <t>Kraig.Erdman@yahoo.com</t>
  </si>
  <si>
    <t>Boniface.Gauthier4@yahoo.fr</t>
  </si>
  <si>
    <t>test7@fintech.com</t>
  </si>
  <si>
    <t>sophieschmidt@fintech.com</t>
  </si>
  <si>
    <t>aoiyamamoto@fintech.com</t>
  </si>
  <si>
    <t>Adrienne_Giraud@yahoo.fr</t>
  </si>
  <si>
    <t>khalidal-zahrani@fintech.com</t>
  </si>
  <si>
    <t>camilabeatrizsantos@fintech.com</t>
  </si>
  <si>
    <t>Adalard.Rodriguez@yahoo.fr</t>
  </si>
  <si>
    <t>renito@fintech.com</t>
  </si>
  <si>
    <t>Absalon.Olivier55@yahoo.fr</t>
  </si>
  <si>
    <t>JoaoMiguel.Silva@hotmail.com</t>
  </si>
  <si>
    <t>fahad.ghamdi@fintech.com</t>
  </si>
  <si>
    <t>Marcelo_Santos52@live.com</t>
  </si>
  <si>
    <t>giuliarusso@fintech.com</t>
  </si>
  <si>
    <t>haewonjung@fintech.com</t>
  </si>
  <si>
    <t>yukitakahashi@fintech.com</t>
  </si>
  <si>
    <t>tarotanaka@fintech.com</t>
  </si>
  <si>
    <t>Angilran.Morin@hotmail.fr</t>
  </si>
  <si>
    <t>fatimaal-harbi@fintech.com</t>
  </si>
  <si>
    <t>admin@fintechbank.com</t>
  </si>
  <si>
    <t>admin@fintech.com</t>
  </si>
  <si>
    <t>william.miller@fintech.com</t>
  </si>
  <si>
    <t>Beatriz.Franco17@yahoo.com</t>
  </si>
  <si>
    <t>Emile_Clement@gmail.com</t>
  </si>
  <si>
    <t>sophiagracebrown@fintech.com</t>
  </si>
  <si>
    <t>alexanderjamessmith@fintech.com</t>
  </si>
  <si>
    <t>youssefal-otaibi@fintech.com</t>
  </si>
  <si>
    <t>Prosper.Julien15@gmail.com</t>
  </si>
  <si>
    <t>Archambaud_Remy@gmail.com</t>
  </si>
  <si>
    <t>Falba.David89@yahoo.fr</t>
  </si>
  <si>
    <t>Isidore_Morin85@yahoo.fr</t>
  </si>
  <si>
    <t>rodrigomendesoliveira@fintech.com</t>
  </si>
  <si>
    <t>beatrizferreira@fintech.com</t>
  </si>
  <si>
    <t>Achaire_Schmitt@hotmail.fr</t>
  </si>
  <si>
    <t>camillemartin@fintech.com</t>
  </si>
  <si>
    <t>camille.martin@fintech.com</t>
  </si>
  <si>
    <t>Flore_Schmitt23@hotmail.fr</t>
  </si>
  <si>
    <t>alessandroferrari@fintech.com</t>
  </si>
  <si>
    <t>leichen@fintech.com</t>
  </si>
  <si>
    <t>solda.final1787277862440@fintech.com</t>
  </si>
  <si>
    <t>Jeannel_Aubry86@gmail.com</t>
  </si>
  <si>
    <t>joaquin.gonzalez@fintech.com</t>
  </si>
  <si>
    <t>Raymonde.Bernard@gmail.com</t>
  </si>
  <si>
    <t>mateofernandez@fintech.com</t>
  </si>
  <si>
    <t>MariaLuiza_Reis@hotmail.com</t>
  </si>
  <si>
    <t>williamrobertmiller@fintech.com</t>
  </si>
  <si>
    <t>massa.dbreal@fintech.com</t>
  </si>
  <si>
    <t>isabelarochacarvalho@fintech.com</t>
  </si>
  <si>
    <t>inesoliveira@fintech.com</t>
  </si>
  <si>
    <t>xiuyingwang@fintech.com</t>
  </si>
  <si>
    <t>jeandupont@fintech.com</t>
  </si>
  <si>
    <t>Mireille.Toy65@yahoo.com</t>
  </si>
  <si>
    <t>Brunehilde.Gaillard98@hotmail.fr</t>
  </si>
  <si>
    <t>hanakowatanabe@fintech.com</t>
  </si>
  <si>
    <t>Moisette.Maillard34@yahoo.fr</t>
  </si>
  <si>
    <t>Jacinthe_Vidal@hotmail.fr</t>
  </si>
  <si>
    <t>minjunkim@fintech.com</t>
  </si>
  <si>
    <t>cliente.cartao99@fintech.com</t>
  </si>
  <si>
    <t>lucasgabrielferreira@fintech.com</t>
  </si>
  <si>
    <t>gabrielviniciussouza@fintech.com</t>
  </si>
  <si>
    <t>Rene.Gautier@gmail.com</t>
  </si>
  <si>
    <t>daniel@example.com</t>
  </si>
  <si>
    <t>tariqal-mansoor@fintech.com</t>
  </si>
  <si>
    <t>julianalimarezende@fintech.com</t>
  </si>
  <si>
    <t>Claude_Garcia@hotmail.fr</t>
  </si>
  <si>
    <t>Hermine_Duval98@hotmail.fr</t>
  </si>
  <si>
    <t>Mathilde.Legall@hotmail.fr</t>
  </si>
  <si>
    <t>Clarisse_Dufour84@gmail.com</t>
  </si>
  <si>
    <t>Assomption.Sanchez@hotmail.fr</t>
  </si>
  <si>
    <t>Hector_Paris22@yahoo.fr</t>
  </si>
  <si>
    <t>Philothee_Charles@hotmail.fr</t>
  </si>
  <si>
    <t>Blandine_Fabre@yahoo.fr</t>
  </si>
  <si>
    <t>Xavier.Thomas@gmail.com</t>
  </si>
  <si>
    <t>test19983621512@fintech.com</t>
  </si>
  <si>
    <t>Christian_Bertrand15@yahoo.fr</t>
  </si>
  <si>
    <t>Alban.Royer30@gmail.com</t>
  </si>
  <si>
    <t>Jose.Fahey97@hotmail.com</t>
  </si>
  <si>
    <t>Abigaelle.Michel47@yahoo.fr</t>
  </si>
  <si>
    <t>Maurice.Meyer6@hotmail.fr</t>
  </si>
  <si>
    <t>Isadora52@bol.com.br</t>
  </si>
  <si>
    <t>Alberic_Prevost39@gmail.com</t>
  </si>
  <si>
    <t>Brandi45@hotmail.com</t>
  </si>
  <si>
    <t>Oury.Roche45@yahoo.fr</t>
  </si>
  <si>
    <t>Marcel.Breton@yahoo.fr</t>
  </si>
  <si>
    <t>Margie83@yahoo.com</t>
  </si>
  <si>
    <t>Caio_Saraiva@gmail.com</t>
  </si>
  <si>
    <t>Laurine.Maillard@hotmail.fr</t>
  </si>
  <si>
    <t>Acanthe.Vidal@gmail.com</t>
  </si>
  <si>
    <t>lucas.ferreira@fintech.com</t>
  </si>
  <si>
    <t>Eudoxie_Pons@yahoo.fr</t>
  </si>
  <si>
    <t>joaquingonzalez@fintech.com</t>
  </si>
  <si>
    <t>Armandine_Joly70@hotmail.fr</t>
  </si>
  <si>
    <t>Ernest_Dumont98@hotmail.fr</t>
  </si>
  <si>
    <t>Yago.Silva38@gmail.com</t>
  </si>
  <si>
    <t>test@test.com</t>
  </si>
  <si>
    <t>fahadal-ghamdi@fintech.com</t>
  </si>
  <si>
    <t>Odile.Meunier@yahoo.fr</t>
  </si>
  <si>
    <t>teste.solda1787277570869@fintech.com</t>
  </si>
  <si>
    <t>Christian.Simon73@yahoo.fr</t>
  </si>
  <si>
    <t>joonjeong@fintech.com</t>
  </si>
  <si>
    <t>dual1787278704007@fintech.com</t>
  </si>
  <si>
    <t>comprador.monitor1787278196053@fintech.com</t>
  </si>
  <si>
    <t>hannahfischer@fintech.com</t>
  </si>
  <si>
    <t>admin999</t>
  </si>
  <si>
    <t>0238338827</t>
  </si>
  <si>
    <t>01086796160</t>
  </si>
  <si>
    <t>02915062919</t>
  </si>
  <si>
    <t>05458223608</t>
  </si>
  <si>
    <t>07154153601</t>
  </si>
  <si>
    <t>07817267197</t>
  </si>
  <si>
    <t>08025476561</t>
  </si>
  <si>
    <t>09056318624</t>
  </si>
  <si>
    <t>CT01.2</t>
  </si>
  <si>
    <t>CT01.3</t>
  </si>
  <si>
    <t>CT01.4</t>
  </si>
  <si>
    <t>CT01.5</t>
  </si>
  <si>
    <t>CT01.6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</si>
</sst>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2" fillId="0" borderId="0" xfId="1" applyNumberFormat="1" applyAlignment="1">
      <alignment horizontal="left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quotePrefix="1"/>
  </cellXfs>
  <cellStyles count="2">
    <cellStyle name="Hiperlink" xfId="1" builtinId="8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F21A2-18B3-4119-B8E1-51F7C4D22D38}" name="Tabela1" displayName="Tabela1" ref="A1:K9" totalsRowShown="0" headerRowDxfId="15">
  <autoFilter ref="A1:K9" xr:uid="{056F21A2-18B3-4119-B8E1-51F7C4D22D38}"/>
  <sortState xmlns:xlrd2="http://schemas.microsoft.com/office/spreadsheetml/2017/richdata2" ref="A2:J9">
    <sortCondition ref="B1:B9"/>
  </sortState>
  <tableColumns count="11">
    <tableColumn id="1" xr3:uid="{240E8A87-6B9D-469C-96B4-1ADF1A1B51F9}" name="SEQ" dataDxfId="14"/>
    <tableColumn id="2" xr3:uid="{A5A7BB75-84B5-4E70-9BA0-C776DE14C91C}" name="ID_CENARIO" dataDxfId="13"/>
    <tableColumn id="3" xr3:uid="{F8063F50-952C-4E2D-A074-3E8144115D2A}" name="NOME"/>
    <tableColumn id="4" xr3:uid="{8DDE6FAA-E6CF-4246-9642-56091E15680F}" name="FEATURE" dataDxfId="12"/>
    <tableColumn id="5" xr3:uid="{C3B59964-FB20-45D3-83A9-C8E4430D8B4D}" name="ID_MASSA" dataDxfId="11"/>
    <tableColumn id="6" xr3:uid="{BD63E5A8-2387-4287-9027-FC33B730B309}" name="CPF" dataDxfId="10"/>
    <tableColumn id="10" xr3:uid="{BC16A81B-1C0C-4894-BA93-501560053E29}" name="SENHA" dataDxfId="9"/>
    <tableColumn id="7" xr3:uid="{B89F7EB3-E18D-4B11-80BD-03538541B067}" name="NOME_CATEGORIA" dataDxfId="8"/>
    <tableColumn id="8" xr3:uid="{91B77134-9262-4982-8071-0C4FB038C565}" name="DESCRICAO_CATEGORIA" dataDxfId="7"/>
    <tableColumn id="9" xr3:uid="{88B2B33A-A61C-4E21-927A-BA2F7510438A}" name="NOME_ARTIGO" dataDxfId="6"/>
    <tableColumn id="11" xr3:uid="{988E948C-7E44-4773-AD8C-6334A752686F}" name="DESCRICAO_ARTIGO" dataDxfId="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BE52E-242F-4BB4-A4A7-D1EF07FAD6AC}" name="Tabela15" displayName="Tabela15" ref="A1:M7" totalsRowShown="0" headerRowDxfId="30" dataDxfId="29">
  <autoFilter ref="A1:M7" xr:uid="{056F21A2-18B3-4119-B8E1-51F7C4D22D38}"/>
  <tableColumns count="13">
    <tableColumn id="1" xr3:uid="{90C0AA8E-E83B-4673-9A71-AF92ABE59B14}" name="SEQ" dataDxfId="28"/>
    <tableColumn id="2" xr3:uid="{DBC312E6-4595-47C9-8253-AB1C69114901}" name="ID_MASSA" dataDxfId="27"/>
    <tableColumn id="3" xr3:uid="{05CB0A0D-0294-440F-A702-47FB386FC3D1}" name="NOME_COMPLETO" dataDxfId="26"/>
    <tableColumn id="4" xr3:uid="{98CA957D-142A-4045-B591-F794EF279CC2}" name="NOME_USUARIO" dataDxfId="25"/>
    <tableColumn id="5" xr3:uid="{CC96B95B-F430-4405-A4C1-AD1923015F09}" name="CPF" dataDxfId="24"/>
    <tableColumn id="7" xr3:uid="{F2BD8551-7A4A-42D8-9A77-1C0C21F368CF}" name="SENHA" dataDxfId="23"/>
    <tableColumn id="11" xr3:uid="{421FA889-5F00-4140-8015-66930ABFD58A}" name="ID_USUARIO" dataDxfId="22">
      <calculatedColumnFormula>TBL_MASSA_CADASTRADA[[#This Row],[ID_USUARIO]]</calculatedColumnFormula>
    </tableColumn>
    <tableColumn id="6" xr3:uid="{30C235B0-F3B2-4358-9442-7621D26C3158}" name="NOME_CATEGORIA" dataDxfId="21"/>
    <tableColumn id="8" xr3:uid="{FA174C3D-DF2A-47B1-BA7E-5B2DE1FB89A4}" name="DESCRICAO_CATEGORIA" dataDxfId="20"/>
    <tableColumn id="13" xr3:uid="{1CEB0E1D-9B31-4488-B8D8-4EB0CAA9DCDB}" name="ID_CATEGORIA" dataDxfId="19"/>
    <tableColumn id="9" xr3:uid="{4EE590CD-96A9-4644-9B81-E1789360DAF6}" name="NOME_ARTIGO" dataDxfId="18"/>
    <tableColumn id="14" xr3:uid="{4CCA47F0-BF63-47C2-B2CF-2878F529C17C}" name="DESCRICAO_ARTIGO" dataDxfId="17"/>
    <tableColumn id="10" xr3:uid="{787A793B-0875-4BA9-822D-E0EAB65FC4ED}" name="ID_ARTIGO" dataDxfId="16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BL_MASSA_CADASTRADA" ref="A1:AI164">
  <autoFilter ref="A1:AI164" xr:uid="{00000000-000C-0000-FFFF-FFFF02000000}"/>
  <sortState xmlns:xlrd2="http://schemas.microsoft.com/office/spreadsheetml/2017/richdata2" ref="A2:AI164">
    <sortCondition ref="H1:H164"/>
  </sortState>
  <tableColumns count="35">
    <tableColumn id="1" xr3:uid="{00000000-0010-0000-0200-000001000000}" name="Nome"/>
    <tableColumn id="2" xr3:uid="{00000000-0010-0000-0200-000002000000}" name="Sobrenome"/>
    <tableColumn id="3" xr3:uid="{00000000-0010-0000-0200-000003000000}" name="NomeCompleto"/>
    <tableColumn id="4" xr3:uid="{00000000-0010-0000-0200-000004000000}" name="NomeUsuario"/>
    <tableColumn id="5" xr3:uid="{00000000-0010-0000-0200-000005000000}" name="Email"/>
    <tableColumn id="6" xr3:uid="{00000000-0010-0000-0200-000006000000}" name="Senha"/>
    <tableColumn id="7" xr3:uid="{00000000-0010-0000-0200-000007000000}" name="Administrador"/>
    <tableColumn id="8" xr3:uid="{00000000-0010-0000-0200-000008000000}" name="CPF"/>
    <tableColumn id="9" xr3:uid="{00000000-0010-0000-0200-000009000000}" name="Telefone"/>
    <tableColumn id="10" xr3:uid="{00000000-0010-0000-0200-00000A000000}" name="RazaoSocial"/>
    <tableColumn id="11" xr3:uid="{00000000-0010-0000-0200-00000B000000}" name="CNPJ"/>
    <tableColumn id="12" xr3:uid="{00000000-0010-0000-0200-00000C000000}" name="Endereco"/>
    <tableColumn id="13" xr3:uid="{00000000-0010-0000-0200-00000D000000}" name="NumeroEndereco"/>
    <tableColumn id="14" xr3:uid="{00000000-0010-0000-0200-00000E000000}" name="Cidade"/>
    <tableColumn id="15" xr3:uid="{00000000-0010-0000-0200-00000F000000}" name="Estado"/>
    <tableColumn id="16" xr3:uid="{00000000-0010-0000-0200-000010000000}" name="CEP"/>
    <tableColumn id="17" xr3:uid="{00000000-0010-0000-0200-000011000000}" name="Pais"/>
    <tableColumn id="18" xr3:uid="{00000000-0010-0000-0200-000012000000}" name="NumeroCartao"/>
    <tableColumn id="19" xr3:uid="{00000000-0010-0000-0200-000013000000}" name="ValidadeCartao"/>
    <tableColumn id="20" xr3:uid="{00000000-0010-0000-0200-000014000000}" name="NomeProduto"/>
    <tableColumn id="21" xr3:uid="{00000000-0010-0000-0200-000015000000}" name="Preco"/>
    <tableColumn id="22" xr3:uid="{00000000-0010-0000-0200-000016000000}" name="DescricaoProduto"/>
    <tableColumn id="23" xr3:uid="{00000000-0010-0000-0200-000017000000}" name="Quantidade"/>
    <tableColumn id="24" xr3:uid="{00000000-0010-0000-0200-000018000000}" name="NomeCategoria"/>
    <tableColumn id="25" xr3:uid="{00000000-0010-0000-0200-000019000000}" name="DescricaoCategoria"/>
    <tableColumn id="26" xr3:uid="{00000000-0010-0000-0200-00001A000000}" name="TituloArtigo"/>
    <tableColumn id="27" xr3:uid="{00000000-0010-0000-0200-00001B000000}" name="ConteudoArtigo"/>
    <tableColumn id="28" xr3:uid="{00000000-0010-0000-0200-00001C000000}" name="NomeAutor"/>
    <tableColumn id="29" xr3:uid="{00000000-0010-0000-0200-00001D000000}" name="DataPublicacao"/>
    <tableColumn id="30" xr3:uid="{00000000-0010-0000-0200-00001E000000}" name="ID_USUARIO"/>
    <tableColumn id="31" xr3:uid="{00000000-0010-0000-0200-00001F000000}" name="STATUS_CADASTRO"/>
    <tableColumn id="32" xr3:uid="{00000000-0010-0000-0200-000020000000}" name="ID_CATEGORIA"/>
    <tableColumn id="33" xr3:uid="{00000000-0010-0000-0200-000021000000}" name="STATUS_CATEGORIA"/>
    <tableColumn id="34" xr3:uid="{00000000-0010-0000-0200-000022000000}" name="ID_ARTIGO"/>
    <tableColumn id="35" xr3:uid="{00000000-0010-0000-0200-000023000000}" name="STATUS_ARTIGO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uario@teste@exemplo.com" TargetMode="External"/><Relationship Id="rId1" Type="http://schemas.openxmlformats.org/officeDocument/2006/relationships/hyperlink" Target="mailto:senha.invalida0@hotmail.com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717C-4D32-42C0-9748-CF9D0ADB29CC}">
  <sheetPr codeName="Planilha1"/>
  <dimension ref="A1:K9"/>
  <sheetViews>
    <sheetView tabSelected="1" workbookViewId="0">
      <selection activeCell="B5" sqref="B5"/>
    </sheetView>
  </sheetViews>
  <sheetFormatPr defaultRowHeight="15" x14ac:dyDescent="0.25"/>
  <cols>
    <col min="1" max="1" width="5.85546875" style="1" customWidth="1"/>
    <col min="2" max="2" width="10.42578125" style="1" customWidth="1"/>
    <col min="3" max="3" width="49.28515625" customWidth="1"/>
    <col min="4" max="4" width="8.85546875" style="1" customWidth="1"/>
    <col min="5" max="5" width="9.42578125" style="4" customWidth="1"/>
    <col min="6" max="6" width="34.28515625" style="2" bestFit="1" customWidth="1"/>
    <col min="7" max="7" width="9.7109375" style="2" customWidth="1"/>
    <col min="8" max="8" width="21.42578125" customWidth="1"/>
    <col min="9" max="9" width="43" customWidth="1"/>
    <col min="10" max="10" width="46.5703125" customWidth="1"/>
    <col min="11" max="11" width="183.140625" customWidth="1"/>
  </cols>
  <sheetData>
    <row r="1" spans="1:11" s="3" customFormat="1" ht="42.75" customHeight="1" x14ac:dyDescent="0.25">
      <c r="A1" s="3" t="s">
        <v>2</v>
      </c>
      <c r="B1" s="3" t="s">
        <v>3</v>
      </c>
      <c r="C1" s="3" t="s">
        <v>4</v>
      </c>
      <c r="D1" s="3" t="s">
        <v>0</v>
      </c>
      <c r="E1" s="4" t="s">
        <v>21</v>
      </c>
      <c r="F1" s="3" t="s">
        <v>42</v>
      </c>
      <c r="G1" s="3" t="s">
        <v>1</v>
      </c>
      <c r="H1" s="3" t="s">
        <v>73</v>
      </c>
      <c r="I1" s="3" t="s">
        <v>74</v>
      </c>
      <c r="J1" s="3" t="s">
        <v>75</v>
      </c>
      <c r="K1" s="3" t="s">
        <v>76</v>
      </c>
    </row>
    <row r="2" spans="1:11" x14ac:dyDescent="0.25">
      <c r="A2" s="1">
        <v>1</v>
      </c>
      <c r="B2" s="1" t="s">
        <v>28</v>
      </c>
      <c r="C2" t="s">
        <v>8</v>
      </c>
      <c r="D2" s="1" t="s">
        <v>13</v>
      </c>
      <c r="E2" s="4" t="s">
        <v>16</v>
      </c>
      <c r="F2" s="2">
        <f>VLOOKUP(Tabela1[[#This Row],[ID_MASSA]],TBL_CADASTRO!B2:O7,4,0)</f>
        <v>11111111111</v>
      </c>
      <c r="G2" s="2" t="e">
        <f>VLOOKUP(Tabela1[[#This Row],[ID_MASSA]],#REF!,5,0)</f>
        <v>#REF!</v>
      </c>
      <c r="H2" s="2" t="e">
        <f>VLOOKUP(Tabela1[[#This Row],[ID_MASSA]],#REF!,7,0)</f>
        <v>#REF!</v>
      </c>
      <c r="I2" s="2" t="e">
        <f>VLOOKUP(Tabela1[[#This Row],[ID_MASSA]],#REF!,8,0)</f>
        <v>#REF!</v>
      </c>
      <c r="J2" s="2" t="e">
        <f>VLOOKUP(Tabela1[[#This Row],[ID_MASSA]],#REF!,10,0)</f>
        <v>#REF!</v>
      </c>
      <c r="K2" s="2" t="e">
        <f>VLOOKUP(Tabela1[[#This Row],[ID_MASSA]],#REF!,11,0)</f>
        <v>#REF!</v>
      </c>
    </row>
    <row r="3" spans="1:11" x14ac:dyDescent="0.25">
      <c r="A3" s="11">
        <v>9</v>
      </c>
      <c r="B3" s="11" t="s">
        <v>6</v>
      </c>
      <c r="C3" s="12" t="s">
        <v>22</v>
      </c>
      <c r="D3" s="11" t="s">
        <v>13</v>
      </c>
      <c r="E3" s="4" t="s">
        <v>72</v>
      </c>
      <c r="F3" s="13" t="e">
        <f>VLOOKUP(Tabela1[[#This Row],[ID_MASSA]],#REF!,4,0)</f>
        <v>#REF!</v>
      </c>
      <c r="G3" s="13" t="e">
        <f>VLOOKUP(Tabela1[[#This Row],[ID_MASSA]],#REF!,5,0)</f>
        <v>#REF!</v>
      </c>
      <c r="H3" s="12" t="e">
        <f>VLOOKUP(Tabela1[[#This Row],[ID_MASSA]],#REF!,7,0)</f>
        <v>#REF!</v>
      </c>
      <c r="I3" s="12" t="e">
        <f>VLOOKUP(Tabela1[[#This Row],[ID_MASSA]],#REF!,8,0)</f>
        <v>#REF!</v>
      </c>
      <c r="J3" s="12" t="e">
        <f>VLOOKUP(Tabela1[[#This Row],[ID_MASSA]],#REF!,10,0)</f>
        <v>#REF!</v>
      </c>
      <c r="K3" t="e">
        <f>VLOOKUP(Tabela1[[#This Row],[ID_MASSA]],#REF!,11,0)</f>
        <v>#REF!</v>
      </c>
    </row>
    <row r="4" spans="1:11" x14ac:dyDescent="0.25">
      <c r="A4" s="11">
        <v>10</v>
      </c>
      <c r="B4" s="11" t="s">
        <v>7</v>
      </c>
      <c r="C4" s="12" t="s">
        <v>26</v>
      </c>
      <c r="D4" s="11" t="s">
        <v>13</v>
      </c>
      <c r="E4" s="4" t="s">
        <v>29</v>
      </c>
      <c r="F4" s="13" t="e">
        <f>VLOOKUP(Tabela1[[#This Row],[ID_MASSA]],#REF!,4,0)</f>
        <v>#REF!</v>
      </c>
      <c r="G4" s="13" t="e">
        <f>VLOOKUP(Tabela1[[#This Row],[ID_MASSA]],#REF!,5,0)</f>
        <v>#REF!</v>
      </c>
      <c r="H4" s="12" t="e">
        <f>VLOOKUP(Tabela1[[#This Row],[ID_MASSA]],#REF!,7,0)</f>
        <v>#REF!</v>
      </c>
      <c r="I4" s="12" t="e">
        <f>VLOOKUP(Tabela1[[#This Row],[ID_MASSA]],#REF!,8,0)</f>
        <v>#REF!</v>
      </c>
      <c r="J4" s="12" t="e">
        <f>VLOOKUP(Tabela1[[#This Row],[ID_MASSA]],#REF!,10,0)</f>
        <v>#REF!</v>
      </c>
      <c r="K4" t="e">
        <f>VLOOKUP(Tabela1[[#This Row],[ID_MASSA]],#REF!,11,0)</f>
        <v>#REF!</v>
      </c>
    </row>
    <row r="5" spans="1:11" x14ac:dyDescent="0.25">
      <c r="A5" s="1">
        <v>2</v>
      </c>
      <c r="B5" s="8" t="s">
        <v>399</v>
      </c>
      <c r="C5" s="9" t="s">
        <v>27</v>
      </c>
      <c r="D5" s="8" t="s">
        <v>13</v>
      </c>
      <c r="E5" s="4" t="s">
        <v>16</v>
      </c>
      <c r="F5" s="2">
        <f>VLOOKUP(Tabela1[[#This Row],[ID_MASSA]],Tabela15[[ID_MASSA]:[ID_ARTIGO]],4,0)</f>
        <v>11111111111</v>
      </c>
      <c r="G5" s="10" t="str">
        <f>VLOOKUP(Tabela1[[#This Row],[ID_MASSA]],Tabela15[[ID_MASSA]:[ID_ARTIGO]],5,0)</f>
        <v>admin999</v>
      </c>
      <c r="H5" s="9">
        <f>VLOOKUP(Tabela1[[#This Row],[ID_MASSA]],Tabela15[[ID_MASSA]:[ID_ARTIGO]],7,0)</f>
        <v>0</v>
      </c>
      <c r="I5" s="9">
        <f>VLOOKUP(Tabela1[[#This Row],[ID_MASSA]],Tabela15[[ID_MASSA]:[ID_ARTIGO]],8,0)</f>
        <v>0</v>
      </c>
      <c r="J5" s="9">
        <f>VLOOKUP(Tabela1[[#This Row],[ID_MASSA]],Tabela15[[ID_MASSA]:[ID_ARTIGO]],10,0)</f>
        <v>0</v>
      </c>
      <c r="K5">
        <f>VLOOKUP(Tabela1[[#This Row],[ID_MASSA]],Tabela15[[ID_MASSA]:[ID_ARTIGO]],11,0)</f>
        <v>0</v>
      </c>
    </row>
    <row r="6" spans="1:11" x14ac:dyDescent="0.25">
      <c r="A6" s="1">
        <v>3</v>
      </c>
      <c r="B6" s="8" t="s">
        <v>400</v>
      </c>
      <c r="C6" s="9" t="s">
        <v>9</v>
      </c>
      <c r="D6" s="8" t="s">
        <v>13</v>
      </c>
      <c r="E6" s="4" t="s">
        <v>17</v>
      </c>
      <c r="F6" s="2">
        <f>VLOOKUP(Tabela1[[#This Row],[ID_MASSA]],Tabela15[[ID_MASSA]:[ID_ARTIGO]],4,0)</f>
        <v>11879646706</v>
      </c>
      <c r="G6" s="10" t="str">
        <f>VLOOKUP(Tabela1[[#This Row],[ID_MASSA]],Tabela15[[ID_MASSA]:[ID_ARTIGO]],5,0)</f>
        <v>admin999</v>
      </c>
      <c r="H6" s="9">
        <f>VLOOKUP(Tabela1[[#This Row],[ID_MASSA]],Tabela15[[ID_MASSA]:[ID_ARTIGO]],7,0)</f>
        <v>0</v>
      </c>
      <c r="I6" s="9">
        <f>VLOOKUP(Tabela1[[#This Row],[ID_MASSA]],Tabela15[[ID_MASSA]:[ID_ARTIGO]],8,0)</f>
        <v>0</v>
      </c>
      <c r="J6" s="9">
        <f>VLOOKUP(Tabela1[[#This Row],[ID_MASSA]],Tabela15[[ID_MASSA]:[ID_ARTIGO]],10,0)</f>
        <v>0</v>
      </c>
      <c r="K6">
        <f>VLOOKUP(Tabela1[[#This Row],[ID_MASSA]],Tabela15[[ID_MASSA]:[ID_ARTIGO]],11,0)</f>
        <v>0</v>
      </c>
    </row>
    <row r="7" spans="1:11" x14ac:dyDescent="0.25">
      <c r="A7" s="1">
        <v>4</v>
      </c>
      <c r="B7" s="8" t="s">
        <v>401</v>
      </c>
      <c r="C7" s="9" t="s">
        <v>10</v>
      </c>
      <c r="D7" s="8" t="s">
        <v>13</v>
      </c>
      <c r="E7" s="4" t="s">
        <v>18</v>
      </c>
      <c r="F7" s="2">
        <f>VLOOKUP(Tabela1[[#This Row],[ID_MASSA]],Tabela15[[ID_MASSA]:[ID_ARTIGO]],4,0)</f>
        <v>12310012300</v>
      </c>
      <c r="G7" s="10" t="str">
        <f>VLOOKUP(Tabela1[[#This Row],[ID_MASSA]],Tabela15[[ID_MASSA]:[ID_ARTIGO]],5,0)</f>
        <v>admin999</v>
      </c>
      <c r="H7" s="9">
        <f>VLOOKUP(Tabela1[[#This Row],[ID_MASSA]],Tabela15[[ID_MASSA]:[ID_ARTIGO]],7,0)</f>
        <v>0</v>
      </c>
      <c r="I7" s="9">
        <f>VLOOKUP(Tabela1[[#This Row],[ID_MASSA]],Tabela15[[ID_MASSA]:[ID_ARTIGO]],8,0)</f>
        <v>0</v>
      </c>
      <c r="J7" s="9">
        <f>VLOOKUP(Tabela1[[#This Row],[ID_MASSA]],Tabela15[[ID_MASSA]:[ID_ARTIGO]],10,0)</f>
        <v>0</v>
      </c>
      <c r="K7">
        <f>VLOOKUP(Tabela1[[#This Row],[ID_MASSA]],Tabela15[[ID_MASSA]:[ID_ARTIGO]],11,0)</f>
        <v>0</v>
      </c>
    </row>
    <row r="8" spans="1:11" x14ac:dyDescent="0.25">
      <c r="A8" s="1">
        <v>5</v>
      </c>
      <c r="B8" s="8" t="s">
        <v>402</v>
      </c>
      <c r="C8" s="9" t="s">
        <v>11</v>
      </c>
      <c r="D8" s="8" t="s">
        <v>13</v>
      </c>
      <c r="E8" s="4" t="s">
        <v>19</v>
      </c>
      <c r="F8" s="2">
        <f>VLOOKUP(Tabela1[[#This Row],[ID_MASSA]],Tabela15[[ID_MASSA]:[ID_ARTIGO]],4,0)</f>
        <v>12345678901</v>
      </c>
      <c r="G8" s="10" t="str">
        <f>VLOOKUP(Tabela1[[#This Row],[ID_MASSA]],Tabela15[[ID_MASSA]:[ID_ARTIGO]],5,0)</f>
        <v>admin999</v>
      </c>
      <c r="H8" s="9">
        <f>VLOOKUP(Tabela1[[#This Row],[ID_MASSA]],Tabela15[[ID_MASSA]:[ID_ARTIGO]],7,0)</f>
        <v>0</v>
      </c>
      <c r="I8" s="9">
        <f>VLOOKUP(Tabela1[[#This Row],[ID_MASSA]],Tabela15[[ID_MASSA]:[ID_ARTIGO]],8,0)</f>
        <v>0</v>
      </c>
      <c r="J8" s="9">
        <f>VLOOKUP(Tabela1[[#This Row],[ID_MASSA]],Tabela15[[ID_MASSA]:[ID_ARTIGO]],10,0)</f>
        <v>0</v>
      </c>
      <c r="K8">
        <f>VLOOKUP(Tabela1[[#This Row],[ID_MASSA]],Tabela15[[ID_MASSA]:[ID_ARTIGO]],11,0)</f>
        <v>0</v>
      </c>
    </row>
    <row r="9" spans="1:11" x14ac:dyDescent="0.25">
      <c r="A9" s="1">
        <v>6</v>
      </c>
      <c r="B9" s="8" t="s">
        <v>403</v>
      </c>
      <c r="C9" s="9" t="s">
        <v>12</v>
      </c>
      <c r="D9" s="8" t="s">
        <v>13</v>
      </c>
      <c r="E9" s="4" t="s">
        <v>20</v>
      </c>
      <c r="F9" s="2" t="e">
        <f>VLOOKUP(Tabela1[[#This Row],[ID_MASSA]],Tabela15[[ID_MASSA]:[ID_ARTIGO]],4,0)</f>
        <v>#N/A</v>
      </c>
      <c r="G9" s="10" t="e">
        <f>VLOOKUP(Tabela1[[#This Row],[ID_MASSA]],Tabela15[[ID_MASSA]:[ID_ARTIGO]],5,0)</f>
        <v>#N/A</v>
      </c>
      <c r="H9" s="9" t="e">
        <f>VLOOKUP(Tabela1[[#This Row],[ID_MASSA]],Tabela15[[ID_MASSA]:[ID_ARTIGO]],7,0)</f>
        <v>#N/A</v>
      </c>
      <c r="I9" s="9" t="e">
        <f>VLOOKUP(Tabela1[[#This Row],[ID_MASSA]],Tabela15[[ID_MASSA]:[ID_ARTIGO]],8,0)</f>
        <v>#N/A</v>
      </c>
      <c r="J9" s="9" t="e">
        <f>VLOOKUP(Tabela1[[#This Row],[ID_MASSA]],Tabela15[[ID_MASSA]:[ID_ARTIGO]],10,0)</f>
        <v>#N/A</v>
      </c>
      <c r="K9" t="e">
        <f>VLOOKUP(Tabela1[[#This Row],[ID_MASSA]],Tabela15[[ID_MASSA]:[ID_ARTIGO]],11,0)</f>
        <v>#N/A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507B-B182-472E-8ED0-1F57F18ECA38}">
  <sheetPr codeName="Planilha5"/>
  <dimension ref="A1:M7"/>
  <sheetViews>
    <sheetView workbookViewId="0">
      <selection activeCell="G17" sqref="G17"/>
    </sheetView>
  </sheetViews>
  <sheetFormatPr defaultRowHeight="15" x14ac:dyDescent="0.25"/>
  <cols>
    <col min="1" max="1" width="5.5703125" style="7" customWidth="1"/>
    <col min="2" max="2" width="9.7109375" style="7" customWidth="1"/>
    <col min="3" max="3" width="19.42578125" customWidth="1"/>
    <col min="4" max="4" width="18.28515625" style="2" bestFit="1" customWidth="1"/>
    <col min="5" max="5" width="32.5703125" style="3" bestFit="1" customWidth="1"/>
    <col min="6" max="6" width="11.85546875" style="3" bestFit="1" customWidth="1"/>
    <col min="7" max="7" width="37.42578125" style="3" bestFit="1" customWidth="1"/>
    <col min="8" max="8" width="38.140625" style="17" bestFit="1" customWidth="1"/>
    <col min="9" max="9" width="35.5703125" style="2" bestFit="1" customWidth="1"/>
    <col min="10" max="10" width="35.5703125" style="2" customWidth="1"/>
    <col min="11" max="11" width="37.7109375" bestFit="1" customWidth="1"/>
    <col min="12" max="12" width="37.7109375" customWidth="1"/>
    <col min="13" max="13" width="40.7109375" customWidth="1"/>
  </cols>
  <sheetData>
    <row r="1" spans="1:13" s="6" customFormat="1" ht="42.75" customHeight="1" x14ac:dyDescent="0.25">
      <c r="A1" s="5" t="s">
        <v>2</v>
      </c>
      <c r="B1" s="5" t="s">
        <v>21</v>
      </c>
      <c r="C1" s="6" t="s">
        <v>14</v>
      </c>
      <c r="D1" s="14" t="s">
        <v>15</v>
      </c>
      <c r="E1" s="6" t="s">
        <v>42</v>
      </c>
      <c r="F1" s="6" t="s">
        <v>1</v>
      </c>
      <c r="G1" s="6" t="s">
        <v>5</v>
      </c>
      <c r="H1" s="14" t="s">
        <v>73</v>
      </c>
      <c r="I1" s="6" t="s">
        <v>74</v>
      </c>
      <c r="J1" s="6" t="s">
        <v>65</v>
      </c>
      <c r="K1" s="6" t="s">
        <v>75</v>
      </c>
      <c r="L1" s="6" t="s">
        <v>76</v>
      </c>
      <c r="M1" s="6" t="s">
        <v>67</v>
      </c>
    </row>
    <row r="2" spans="1:13" x14ac:dyDescent="0.25">
      <c r="A2" s="7" t="s">
        <v>72</v>
      </c>
      <c r="B2" s="7" t="s">
        <v>72</v>
      </c>
      <c r="C2" s="15" t="s">
        <v>23</v>
      </c>
      <c r="D2" s="15" t="s">
        <v>24</v>
      </c>
      <c r="E2" s="16" t="s">
        <v>34</v>
      </c>
      <c r="F2" s="18" t="s">
        <v>64</v>
      </c>
      <c r="G2" s="19">
        <f>TBL_MASSA_CADASTRADA[[#This Row],[ID_USUARIO]]</f>
        <v>0</v>
      </c>
      <c r="H2" s="17" t="s">
        <v>77</v>
      </c>
      <c r="I2" s="17" t="s">
        <v>77</v>
      </c>
      <c r="J2" s="17" t="s">
        <v>77</v>
      </c>
      <c r="K2" s="17" t="s">
        <v>77</v>
      </c>
      <c r="L2" s="17" t="s">
        <v>77</v>
      </c>
      <c r="M2" s="17" t="s">
        <v>77</v>
      </c>
    </row>
    <row r="3" spans="1:13" x14ac:dyDescent="0.25">
      <c r="A3" s="7" t="s">
        <v>29</v>
      </c>
      <c r="B3" s="7" t="s">
        <v>29</v>
      </c>
      <c r="C3" s="15" t="s">
        <v>25</v>
      </c>
      <c r="D3" s="15" t="s">
        <v>25</v>
      </c>
      <c r="E3" s="16" t="s">
        <v>36</v>
      </c>
      <c r="F3" s="18" t="s">
        <v>35</v>
      </c>
      <c r="G3" s="19">
        <f>TBL_MASSA_CADASTRADA[[#This Row],[ID_USUARIO]]</f>
        <v>0</v>
      </c>
      <c r="H3" s="17" t="s">
        <v>77</v>
      </c>
      <c r="I3" s="17" t="s">
        <v>77</v>
      </c>
      <c r="J3" s="17" t="s">
        <v>77</v>
      </c>
      <c r="K3" s="17" t="s">
        <v>77</v>
      </c>
      <c r="L3" s="17" t="s">
        <v>77</v>
      </c>
      <c r="M3" s="17" t="s">
        <v>77</v>
      </c>
    </row>
    <row r="4" spans="1:13" x14ac:dyDescent="0.25">
      <c r="A4" s="7" t="s">
        <v>30</v>
      </c>
      <c r="B4" s="7" t="s">
        <v>16</v>
      </c>
      <c r="C4" s="2" t="str">
        <f>TBL_MASSA_CADASTRADA!C2</f>
        <v>Admin User</v>
      </c>
      <c r="D4" s="2">
        <f>TBL_MASSA_CADASTRADA!D2</f>
        <v>0</v>
      </c>
      <c r="E4" s="2">
        <f>TBL_MASSA_CADASTRADA!H2</f>
        <v>11111111111</v>
      </c>
      <c r="F4" s="2" t="str">
        <f>TBL_MASSA_CADASTRADA!F2</f>
        <v>admin999</v>
      </c>
      <c r="G4" s="2">
        <f>TBL_MASSA_CADASTRADA!AD2</f>
        <v>0</v>
      </c>
      <c r="H4" s="17">
        <f>TBL_MASSA_CADASTRADA!X2</f>
        <v>0</v>
      </c>
      <c r="I4" s="17">
        <f>TBL_MASSA_CADASTRADA!Y2</f>
        <v>0</v>
      </c>
      <c r="J4" s="2">
        <f>TBL_MASSA_CADASTRADA!AF2</f>
        <v>0</v>
      </c>
      <c r="K4" s="2">
        <f>TBL_MASSA_CADASTRADA!Z2</f>
        <v>0</v>
      </c>
      <c r="L4" s="17">
        <f>TBL_MASSA_CADASTRADA!AA2</f>
        <v>0</v>
      </c>
      <c r="M4" s="17">
        <f>TBL_MASSA_CADASTRADA!AH2</f>
        <v>0</v>
      </c>
    </row>
    <row r="5" spans="1:13" x14ac:dyDescent="0.25">
      <c r="A5" s="7" t="s">
        <v>31</v>
      </c>
      <c r="B5" s="7" t="s">
        <v>17</v>
      </c>
      <c r="C5" s="2" t="str">
        <f>TBL_MASSA_CADASTRADA!C3</f>
        <v>Santiago Gomez</v>
      </c>
      <c r="D5" s="2">
        <f>TBL_MASSA_CADASTRADA!D3</f>
        <v>0</v>
      </c>
      <c r="E5" s="2">
        <f>TBL_MASSA_CADASTRADA!H3</f>
        <v>11879646706</v>
      </c>
      <c r="F5" s="2" t="str">
        <f>TBL_MASSA_CADASTRADA!F3</f>
        <v>admin999</v>
      </c>
      <c r="G5" s="2">
        <f>TBL_MASSA_CADASTRADA!AD3</f>
        <v>0</v>
      </c>
      <c r="H5" s="17">
        <f>TBL_MASSA_CADASTRADA!X3</f>
        <v>0</v>
      </c>
      <c r="I5" s="17">
        <f>TBL_MASSA_CADASTRADA!Y3</f>
        <v>0</v>
      </c>
      <c r="J5" s="2">
        <f>TBL_MASSA_CADASTRADA!AF3</f>
        <v>0</v>
      </c>
      <c r="K5" s="2">
        <f>TBL_MASSA_CADASTRADA!Z3</f>
        <v>0</v>
      </c>
      <c r="L5" s="17">
        <f>TBL_MASSA_CADASTRADA!AA3</f>
        <v>0</v>
      </c>
      <c r="M5" s="17">
        <f>TBL_MASSA_CADASTRADA!AH3</f>
        <v>0</v>
      </c>
    </row>
    <row r="6" spans="1:13" x14ac:dyDescent="0.25">
      <c r="A6" s="7" t="s">
        <v>32</v>
      </c>
      <c r="B6" s="7" t="s">
        <v>18</v>
      </c>
      <c r="C6" s="2" t="str">
        <f>TBL_MASSA_CADASTRADA!C4</f>
        <v>Teste Carga Retroativa</v>
      </c>
      <c r="D6" s="2">
        <f>TBL_MASSA_CADASTRADA!D4</f>
        <v>0</v>
      </c>
      <c r="E6" s="2">
        <f>TBL_MASSA_CADASTRADA!H4</f>
        <v>12310012300</v>
      </c>
      <c r="F6" s="2" t="str">
        <f>TBL_MASSA_CADASTRADA!F4</f>
        <v>admin999</v>
      </c>
      <c r="G6" s="2">
        <f>TBL_MASSA_CADASTRADA!AD4</f>
        <v>0</v>
      </c>
      <c r="H6" s="17">
        <f>TBL_MASSA_CADASTRADA!X4</f>
        <v>0</v>
      </c>
      <c r="I6" s="17">
        <f>TBL_MASSA_CADASTRADA!Y4</f>
        <v>0</v>
      </c>
      <c r="J6" s="2">
        <f>TBL_MASSA_CADASTRADA!AF4</f>
        <v>0</v>
      </c>
      <c r="K6" s="2">
        <f>TBL_MASSA_CADASTRADA!Z4</f>
        <v>0</v>
      </c>
      <c r="L6" s="17">
        <f>TBL_MASSA_CADASTRADA!AA4</f>
        <v>0</v>
      </c>
      <c r="M6" s="17">
        <f>TBL_MASSA_CADASTRADA!AH4</f>
        <v>0</v>
      </c>
    </row>
    <row r="7" spans="1:13" x14ac:dyDescent="0.25">
      <c r="A7" s="7" t="s">
        <v>33</v>
      </c>
      <c r="B7" s="7" t="s">
        <v>19</v>
      </c>
      <c r="C7" s="2" t="str">
        <f>TBL_MASSA_CADASTRADA!C5</f>
        <v>Test User</v>
      </c>
      <c r="D7" s="2">
        <f>TBL_MASSA_CADASTRADA!D5</f>
        <v>0</v>
      </c>
      <c r="E7" s="2">
        <f>TBL_MASSA_CADASTRADA!H5</f>
        <v>12345678901</v>
      </c>
      <c r="F7" s="2" t="str">
        <f>TBL_MASSA_CADASTRADA!F5</f>
        <v>admin999</v>
      </c>
      <c r="G7" s="2">
        <f>TBL_MASSA_CADASTRADA!AD5</f>
        <v>0</v>
      </c>
      <c r="H7" s="17">
        <f>TBL_MASSA_CADASTRADA!X5</f>
        <v>0</v>
      </c>
      <c r="I7" s="17">
        <f>TBL_MASSA_CADASTRADA!Y5</f>
        <v>0</v>
      </c>
      <c r="J7" s="2">
        <f>TBL_MASSA_CADASTRADA!AF5</f>
        <v>0</v>
      </c>
      <c r="K7" s="2">
        <f>TBL_MASSA_CADASTRADA!Z5</f>
        <v>0</v>
      </c>
      <c r="L7" s="17">
        <f>TBL_MASSA_CADASTRADA!AA5</f>
        <v>0</v>
      </c>
      <c r="M7" s="17">
        <f>TBL_MASSA_CADASTRADA!AH5</f>
        <v>0</v>
      </c>
    </row>
  </sheetData>
  <phoneticPr fontId="1" type="noConversion"/>
  <conditionalFormatting sqref="F2:G3">
    <cfRule type="duplicateValues" dxfId="4" priority="5"/>
  </conditionalFormatting>
  <conditionalFormatting sqref="A2:A7">
    <cfRule type="duplicateValues" dxfId="3" priority="51"/>
  </conditionalFormatting>
  <conditionalFormatting sqref="B2:B7">
    <cfRule type="duplicateValues" dxfId="2" priority="52"/>
  </conditionalFormatting>
  <conditionalFormatting sqref="C2:E3 C4:G7">
    <cfRule type="duplicateValues" dxfId="1" priority="53"/>
  </conditionalFormatting>
  <conditionalFormatting sqref="H4:I7 K4:M7">
    <cfRule type="duplicateValues" dxfId="0" priority="55"/>
  </conditionalFormatting>
  <hyperlinks>
    <hyperlink ref="E3" r:id="rId1" xr:uid="{DF102E3C-9AD4-4389-B260-8482715A0060}"/>
    <hyperlink ref="E2" r:id="rId2" xr:uid="{BC9BF85B-3362-466B-832C-F2C40DF6222F}"/>
  </hyperlinks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64"/>
  <sheetViews>
    <sheetView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13.7109375" bestFit="1" customWidth="1"/>
    <col min="3" max="3" width="22.85546875" bestFit="1" customWidth="1"/>
    <col min="4" max="4" width="14.7109375" bestFit="1" customWidth="1"/>
    <col min="5" max="5" width="28.85546875" bestFit="1" customWidth="1"/>
    <col min="6" max="6" width="9.140625" bestFit="1" customWidth="1"/>
    <col min="7" max="7" width="13.85546875" bestFit="1" customWidth="1"/>
    <col min="8" max="8" width="12.42578125" bestFit="1" customWidth="1"/>
    <col min="9" max="9" width="11.85546875" bestFit="1" customWidth="1"/>
    <col min="10" max="10" width="20.42578125" bestFit="1" customWidth="1"/>
    <col min="11" max="11" width="14.85546875" bestFit="1" customWidth="1"/>
    <col min="12" max="12" width="15.85546875" bestFit="1" customWidth="1"/>
    <col min="13" max="13" width="15" bestFit="1" customWidth="1"/>
    <col min="14" max="14" width="19.5703125" bestFit="1" customWidth="1"/>
    <col min="15" max="15" width="16.42578125" bestFit="1" customWidth="1"/>
    <col min="16" max="16" width="8.85546875" bestFit="1" customWidth="1"/>
    <col min="17" max="17" width="38.7109375" bestFit="1" customWidth="1"/>
    <col min="18" max="18" width="16.85546875" bestFit="1" customWidth="1"/>
    <col min="19" max="19" width="13.28515625" bestFit="1" customWidth="1"/>
    <col min="20" max="20" width="31" bestFit="1" customWidth="1"/>
    <col min="21" max="21" width="7.42578125" bestFit="1" customWidth="1"/>
    <col min="22" max="22" width="95.42578125" bestFit="1" customWidth="1"/>
    <col min="23" max="23" width="10.140625" bestFit="1" customWidth="1"/>
    <col min="24" max="24" width="21.5703125" bestFit="1" customWidth="1"/>
    <col min="25" max="25" width="43.42578125" bestFit="1" customWidth="1"/>
    <col min="26" max="26" width="43.28515625" bestFit="1" customWidth="1"/>
    <col min="27" max="27" width="180.42578125" bestFit="1" customWidth="1"/>
    <col min="28" max="28" width="17.5703125" bestFit="1" customWidth="1"/>
    <col min="29" max="29" width="22.85546875" bestFit="1" customWidth="1"/>
    <col min="30" max="30" width="35.28515625" bestFit="1" customWidth="1"/>
    <col min="31" max="31" width="21.140625" bestFit="1" customWidth="1"/>
    <col min="32" max="32" width="34.5703125" bestFit="1" customWidth="1"/>
    <col min="33" max="33" width="47" bestFit="1" customWidth="1"/>
    <col min="34" max="34" width="35.140625" bestFit="1" customWidth="1"/>
    <col min="35" max="35" width="23.42578125" bestFit="1" customWidth="1"/>
  </cols>
  <sheetData>
    <row r="1" spans="1:35" x14ac:dyDescent="0.25">
      <c r="A1" t="s">
        <v>69</v>
      </c>
      <c r="B1" t="s">
        <v>70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71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5</v>
      </c>
      <c r="AE1" t="s">
        <v>63</v>
      </c>
      <c r="AF1" t="s">
        <v>65</v>
      </c>
      <c r="AG1" t="s">
        <v>66</v>
      </c>
      <c r="AH1" t="s">
        <v>67</v>
      </c>
      <c r="AI1" t="s">
        <v>68</v>
      </c>
    </row>
    <row r="2" spans="1:35" x14ac:dyDescent="0.25">
      <c r="C2" t="s">
        <v>153</v>
      </c>
      <c r="E2" t="s">
        <v>307</v>
      </c>
      <c r="F2" t="s">
        <v>390</v>
      </c>
      <c r="H2">
        <v>11111111111</v>
      </c>
    </row>
    <row r="3" spans="1:35" x14ac:dyDescent="0.25">
      <c r="C3" t="s">
        <v>84</v>
      </c>
      <c r="E3" t="s">
        <v>233</v>
      </c>
      <c r="F3" t="s">
        <v>390</v>
      </c>
      <c r="H3">
        <v>11879646706</v>
      </c>
    </row>
    <row r="4" spans="1:35" x14ac:dyDescent="0.25">
      <c r="C4" t="s">
        <v>117</v>
      </c>
      <c r="E4" t="s">
        <v>267</v>
      </c>
      <c r="F4" t="s">
        <v>390</v>
      </c>
      <c r="H4">
        <v>12310012300</v>
      </c>
    </row>
    <row r="5" spans="1:35" x14ac:dyDescent="0.25">
      <c r="C5" t="s">
        <v>109</v>
      </c>
      <c r="E5" t="s">
        <v>381</v>
      </c>
      <c r="F5" t="s">
        <v>390</v>
      </c>
      <c r="H5">
        <v>12345678901</v>
      </c>
    </row>
    <row r="6" spans="1:35" x14ac:dyDescent="0.25">
      <c r="C6" t="s">
        <v>109</v>
      </c>
      <c r="E6" t="s">
        <v>258</v>
      </c>
      <c r="F6" t="s">
        <v>390</v>
      </c>
      <c r="H6">
        <v>12345678909</v>
      </c>
    </row>
    <row r="7" spans="1:35" x14ac:dyDescent="0.25">
      <c r="C7" t="s">
        <v>206</v>
      </c>
      <c r="E7" t="s">
        <v>364</v>
      </c>
      <c r="F7" t="s">
        <v>390</v>
      </c>
      <c r="H7">
        <v>12424713839</v>
      </c>
    </row>
    <row r="8" spans="1:35" x14ac:dyDescent="0.25">
      <c r="C8" t="s">
        <v>192</v>
      </c>
      <c r="E8" t="s">
        <v>349</v>
      </c>
      <c r="F8" t="s">
        <v>390</v>
      </c>
      <c r="H8">
        <v>12558823280</v>
      </c>
    </row>
    <row r="9" spans="1:35" x14ac:dyDescent="0.25">
      <c r="C9" t="s">
        <v>114</v>
      </c>
      <c r="E9" t="s">
        <v>264</v>
      </c>
      <c r="F9" t="s">
        <v>390</v>
      </c>
      <c r="H9">
        <v>12902848900</v>
      </c>
    </row>
    <row r="10" spans="1:35" x14ac:dyDescent="0.25">
      <c r="C10" t="s">
        <v>159</v>
      </c>
      <c r="E10" t="s">
        <v>313</v>
      </c>
      <c r="F10" t="s">
        <v>390</v>
      </c>
      <c r="H10">
        <v>12923841310</v>
      </c>
    </row>
    <row r="11" spans="1:35" x14ac:dyDescent="0.25">
      <c r="C11" t="s">
        <v>103</v>
      </c>
      <c r="E11" t="s">
        <v>252</v>
      </c>
      <c r="F11" t="s">
        <v>390</v>
      </c>
      <c r="H11">
        <v>13912221138</v>
      </c>
    </row>
    <row r="12" spans="1:35" x14ac:dyDescent="0.25">
      <c r="C12" t="s">
        <v>152</v>
      </c>
      <c r="E12" t="s">
        <v>305</v>
      </c>
      <c r="F12" t="s">
        <v>390</v>
      </c>
      <c r="H12">
        <v>15351515369</v>
      </c>
    </row>
    <row r="13" spans="1:35" x14ac:dyDescent="0.25">
      <c r="C13" t="s">
        <v>137</v>
      </c>
      <c r="E13" t="s">
        <v>289</v>
      </c>
      <c r="F13" t="s">
        <v>390</v>
      </c>
      <c r="H13">
        <v>15803041416</v>
      </c>
    </row>
    <row r="14" spans="1:35" x14ac:dyDescent="0.25">
      <c r="C14" t="s">
        <v>185</v>
      </c>
      <c r="E14" t="s">
        <v>341</v>
      </c>
      <c r="F14" t="s">
        <v>390</v>
      </c>
      <c r="H14">
        <v>16165143539</v>
      </c>
    </row>
    <row r="15" spans="1:35" x14ac:dyDescent="0.25">
      <c r="C15" t="s">
        <v>171</v>
      </c>
      <c r="E15" t="s">
        <v>326</v>
      </c>
      <c r="F15" t="s">
        <v>390</v>
      </c>
      <c r="H15">
        <v>16180339887</v>
      </c>
    </row>
    <row r="16" spans="1:35" x14ac:dyDescent="0.25">
      <c r="C16" t="s">
        <v>168</v>
      </c>
      <c r="E16" t="s">
        <v>323</v>
      </c>
      <c r="F16" t="s">
        <v>390</v>
      </c>
      <c r="H16">
        <v>16266323249</v>
      </c>
    </row>
    <row r="17" spans="3:8" x14ac:dyDescent="0.25">
      <c r="C17" t="s">
        <v>96</v>
      </c>
      <c r="E17" t="s">
        <v>259</v>
      </c>
      <c r="F17" t="s">
        <v>390</v>
      </c>
      <c r="H17">
        <v>16618184630</v>
      </c>
    </row>
    <row r="18" spans="3:8" x14ac:dyDescent="0.25">
      <c r="C18" t="s">
        <v>103</v>
      </c>
      <c r="E18" t="s">
        <v>274</v>
      </c>
      <c r="F18" t="s">
        <v>390</v>
      </c>
      <c r="H18">
        <v>17058588562</v>
      </c>
    </row>
    <row r="19" spans="3:8" x14ac:dyDescent="0.25">
      <c r="C19" t="s">
        <v>221</v>
      </c>
      <c r="E19" t="s">
        <v>383</v>
      </c>
      <c r="F19" t="s">
        <v>390</v>
      </c>
      <c r="H19">
        <v>17334727380</v>
      </c>
    </row>
    <row r="20" spans="3:8" x14ac:dyDescent="0.25">
      <c r="C20" t="s">
        <v>201</v>
      </c>
      <c r="E20" t="s">
        <v>358</v>
      </c>
      <c r="F20" t="s">
        <v>390</v>
      </c>
      <c r="H20">
        <v>17693911189</v>
      </c>
    </row>
    <row r="21" spans="3:8" x14ac:dyDescent="0.25">
      <c r="C21" t="s">
        <v>88</v>
      </c>
      <c r="E21" t="s">
        <v>237</v>
      </c>
      <c r="F21" t="s">
        <v>390</v>
      </c>
      <c r="H21">
        <v>18011225638</v>
      </c>
    </row>
    <row r="22" spans="3:8" x14ac:dyDescent="0.25">
      <c r="C22" t="s">
        <v>173</v>
      </c>
      <c r="E22" t="s">
        <v>377</v>
      </c>
      <c r="F22" t="s">
        <v>390</v>
      </c>
      <c r="H22">
        <v>18642038977</v>
      </c>
    </row>
    <row r="23" spans="3:8" x14ac:dyDescent="0.25">
      <c r="C23" t="s">
        <v>145</v>
      </c>
      <c r="E23" t="s">
        <v>297</v>
      </c>
      <c r="F23" t="s">
        <v>390</v>
      </c>
      <c r="H23">
        <v>18956389652</v>
      </c>
    </row>
    <row r="24" spans="3:8" x14ac:dyDescent="0.25">
      <c r="C24" t="s">
        <v>189</v>
      </c>
      <c r="E24" t="s">
        <v>346</v>
      </c>
      <c r="F24" t="s">
        <v>390</v>
      </c>
      <c r="H24">
        <v>19231521659</v>
      </c>
    </row>
    <row r="25" spans="3:8" x14ac:dyDescent="0.25">
      <c r="C25" t="s">
        <v>125</v>
      </c>
      <c r="E25" t="s">
        <v>360</v>
      </c>
      <c r="F25" t="s">
        <v>390</v>
      </c>
      <c r="H25">
        <v>19983621512</v>
      </c>
    </row>
    <row r="26" spans="3:8" x14ac:dyDescent="0.25">
      <c r="C26" t="s">
        <v>224</v>
      </c>
      <c r="E26" t="s">
        <v>386</v>
      </c>
      <c r="F26" t="s">
        <v>390</v>
      </c>
      <c r="H26">
        <v>20092389589</v>
      </c>
    </row>
    <row r="27" spans="3:8" x14ac:dyDescent="0.25">
      <c r="C27" t="s">
        <v>107</v>
      </c>
      <c r="E27" t="s">
        <v>256</v>
      </c>
      <c r="F27" t="s">
        <v>390</v>
      </c>
      <c r="H27">
        <v>20250513611</v>
      </c>
    </row>
    <row r="28" spans="3:8" x14ac:dyDescent="0.25">
      <c r="C28" t="s">
        <v>136</v>
      </c>
      <c r="E28" t="s">
        <v>287</v>
      </c>
      <c r="F28" t="s">
        <v>390</v>
      </c>
      <c r="H28">
        <v>21005484686</v>
      </c>
    </row>
    <row r="29" spans="3:8" x14ac:dyDescent="0.25">
      <c r="C29" t="s">
        <v>85</v>
      </c>
      <c r="E29" t="s">
        <v>234</v>
      </c>
      <c r="F29" t="s">
        <v>390</v>
      </c>
      <c r="H29">
        <v>23626419533</v>
      </c>
    </row>
    <row r="30" spans="3:8" x14ac:dyDescent="0.25">
      <c r="C30" t="s">
        <v>81</v>
      </c>
      <c r="E30" t="s">
        <v>230</v>
      </c>
      <c r="F30" t="s">
        <v>390</v>
      </c>
      <c r="H30">
        <v>24662236606</v>
      </c>
    </row>
    <row r="31" spans="3:8" x14ac:dyDescent="0.25">
      <c r="C31" t="s">
        <v>200</v>
      </c>
      <c r="E31" t="s">
        <v>357</v>
      </c>
      <c r="F31" t="s">
        <v>390</v>
      </c>
      <c r="H31">
        <v>24719788947</v>
      </c>
    </row>
    <row r="32" spans="3:8" x14ac:dyDescent="0.25">
      <c r="C32" t="s">
        <v>121</v>
      </c>
      <c r="E32" t="s">
        <v>271</v>
      </c>
      <c r="F32" t="s">
        <v>390</v>
      </c>
      <c r="H32">
        <v>24930613945</v>
      </c>
    </row>
    <row r="33" spans="3:8" x14ac:dyDescent="0.25">
      <c r="C33" t="s">
        <v>87</v>
      </c>
      <c r="E33" t="s">
        <v>236</v>
      </c>
      <c r="F33" t="s">
        <v>390</v>
      </c>
      <c r="H33">
        <v>25713468361</v>
      </c>
    </row>
    <row r="34" spans="3:8" x14ac:dyDescent="0.25">
      <c r="C34" t="s">
        <v>181</v>
      </c>
      <c r="E34" t="s">
        <v>337</v>
      </c>
      <c r="F34" t="s">
        <v>390</v>
      </c>
      <c r="H34">
        <v>26700822386</v>
      </c>
    </row>
    <row r="35" spans="3:8" x14ac:dyDescent="0.25">
      <c r="C35" t="s">
        <v>163</v>
      </c>
      <c r="E35" t="s">
        <v>317</v>
      </c>
      <c r="F35" t="s">
        <v>390</v>
      </c>
      <c r="H35">
        <v>26775244657</v>
      </c>
    </row>
    <row r="36" spans="3:8" x14ac:dyDescent="0.25">
      <c r="C36" t="s">
        <v>186</v>
      </c>
      <c r="E36" t="s">
        <v>342</v>
      </c>
      <c r="F36" t="s">
        <v>390</v>
      </c>
      <c r="H36">
        <v>26986473966</v>
      </c>
    </row>
    <row r="37" spans="3:8" x14ac:dyDescent="0.25">
      <c r="C37" t="s">
        <v>92</v>
      </c>
      <c r="E37" t="s">
        <v>241</v>
      </c>
      <c r="F37" t="s">
        <v>390</v>
      </c>
      <c r="H37">
        <v>27182818284</v>
      </c>
    </row>
    <row r="38" spans="3:8" x14ac:dyDescent="0.25">
      <c r="C38" t="s">
        <v>216</v>
      </c>
      <c r="E38" t="s">
        <v>374</v>
      </c>
      <c r="F38" t="s">
        <v>390</v>
      </c>
      <c r="H38">
        <v>27234768980</v>
      </c>
    </row>
    <row r="39" spans="3:8" x14ac:dyDescent="0.25">
      <c r="C39" t="s">
        <v>183</v>
      </c>
      <c r="E39" t="s">
        <v>339</v>
      </c>
      <c r="F39" t="s">
        <v>390</v>
      </c>
      <c r="H39">
        <v>27646660477</v>
      </c>
    </row>
    <row r="40" spans="3:8" x14ac:dyDescent="0.25">
      <c r="C40" t="s">
        <v>190</v>
      </c>
      <c r="E40" t="s">
        <v>347</v>
      </c>
      <c r="F40" t="s">
        <v>390</v>
      </c>
      <c r="H40">
        <v>27888186700</v>
      </c>
    </row>
    <row r="41" spans="3:8" x14ac:dyDescent="0.25">
      <c r="C41" t="s">
        <v>156</v>
      </c>
      <c r="E41" t="s">
        <v>310</v>
      </c>
      <c r="F41" t="s">
        <v>390</v>
      </c>
      <c r="H41">
        <v>28818393472</v>
      </c>
    </row>
    <row r="42" spans="3:8" x14ac:dyDescent="0.25">
      <c r="C42" t="s">
        <v>127</v>
      </c>
      <c r="E42" t="s">
        <v>278</v>
      </c>
      <c r="F42" t="s">
        <v>390</v>
      </c>
      <c r="H42">
        <v>28832869497</v>
      </c>
    </row>
    <row r="43" spans="3:8" x14ac:dyDescent="0.25">
      <c r="C43" t="s">
        <v>154</v>
      </c>
      <c r="E43" t="s">
        <v>332</v>
      </c>
      <c r="F43" t="s">
        <v>390</v>
      </c>
      <c r="H43">
        <v>29910306743</v>
      </c>
    </row>
    <row r="44" spans="3:8" x14ac:dyDescent="0.25">
      <c r="C44" t="s">
        <v>173</v>
      </c>
      <c r="E44" t="s">
        <v>328</v>
      </c>
      <c r="F44" t="s">
        <v>390</v>
      </c>
      <c r="H44">
        <v>30423481053</v>
      </c>
    </row>
    <row r="45" spans="3:8" x14ac:dyDescent="0.25">
      <c r="C45" t="s">
        <v>154</v>
      </c>
      <c r="E45" t="s">
        <v>308</v>
      </c>
      <c r="F45" t="s">
        <v>390</v>
      </c>
      <c r="H45">
        <v>30857462261</v>
      </c>
    </row>
    <row r="46" spans="3:8" x14ac:dyDescent="0.25">
      <c r="C46" t="s">
        <v>222</v>
      </c>
      <c r="E46" t="s">
        <v>384</v>
      </c>
      <c r="F46" t="s">
        <v>390</v>
      </c>
      <c r="H46">
        <v>31415926535</v>
      </c>
    </row>
    <row r="47" spans="3:8" x14ac:dyDescent="0.25">
      <c r="C47" t="s">
        <v>191</v>
      </c>
      <c r="E47" t="s">
        <v>348</v>
      </c>
      <c r="F47" t="s">
        <v>390</v>
      </c>
      <c r="H47">
        <v>33333333333</v>
      </c>
    </row>
    <row r="48" spans="3:8" x14ac:dyDescent="0.25">
      <c r="C48" t="s">
        <v>214</v>
      </c>
      <c r="E48" t="s">
        <v>372</v>
      </c>
      <c r="F48" t="s">
        <v>390</v>
      </c>
      <c r="H48">
        <v>33522298364</v>
      </c>
    </row>
    <row r="49" spans="3:8" x14ac:dyDescent="0.25">
      <c r="C49" t="s">
        <v>205</v>
      </c>
      <c r="E49" t="s">
        <v>363</v>
      </c>
      <c r="F49" t="s">
        <v>390</v>
      </c>
      <c r="H49">
        <v>34272175349</v>
      </c>
    </row>
    <row r="50" spans="3:8" x14ac:dyDescent="0.25">
      <c r="C50" t="s">
        <v>129</v>
      </c>
      <c r="E50" t="s">
        <v>280</v>
      </c>
      <c r="F50" t="s">
        <v>390</v>
      </c>
      <c r="H50">
        <v>34310951783</v>
      </c>
    </row>
    <row r="51" spans="3:8" x14ac:dyDescent="0.25">
      <c r="C51" t="s">
        <v>207</v>
      </c>
      <c r="E51" t="s">
        <v>365</v>
      </c>
      <c r="F51" t="s">
        <v>390</v>
      </c>
      <c r="H51">
        <v>34715548313</v>
      </c>
    </row>
    <row r="52" spans="3:8" x14ac:dyDescent="0.25">
      <c r="C52" t="s">
        <v>89</v>
      </c>
      <c r="E52" t="s">
        <v>238</v>
      </c>
      <c r="F52" t="s">
        <v>390</v>
      </c>
      <c r="H52">
        <v>35417211460</v>
      </c>
    </row>
    <row r="53" spans="3:8" x14ac:dyDescent="0.25">
      <c r="C53" t="s">
        <v>169</v>
      </c>
      <c r="E53" t="s">
        <v>324</v>
      </c>
      <c r="F53" t="s">
        <v>390</v>
      </c>
      <c r="H53">
        <v>36072364535</v>
      </c>
    </row>
    <row r="54" spans="3:8" x14ac:dyDescent="0.25">
      <c r="C54" t="s">
        <v>187</v>
      </c>
      <c r="E54" t="s">
        <v>343</v>
      </c>
      <c r="F54" t="s">
        <v>390</v>
      </c>
      <c r="H54">
        <v>37107075012</v>
      </c>
    </row>
    <row r="55" spans="3:8" x14ac:dyDescent="0.25">
      <c r="C55" t="s">
        <v>80</v>
      </c>
      <c r="E55" t="s">
        <v>229</v>
      </c>
      <c r="F55" t="s">
        <v>390</v>
      </c>
      <c r="H55">
        <v>37810513150</v>
      </c>
    </row>
    <row r="56" spans="3:8" x14ac:dyDescent="0.25">
      <c r="C56" t="s">
        <v>175</v>
      </c>
      <c r="E56" t="s">
        <v>330</v>
      </c>
      <c r="F56" t="s">
        <v>390</v>
      </c>
      <c r="H56">
        <v>38160081359</v>
      </c>
    </row>
    <row r="57" spans="3:8" x14ac:dyDescent="0.25">
      <c r="C57" t="s">
        <v>122</v>
      </c>
      <c r="E57" t="s">
        <v>272</v>
      </c>
      <c r="F57" t="s">
        <v>390</v>
      </c>
      <c r="H57">
        <v>38882777448</v>
      </c>
    </row>
    <row r="58" spans="3:8" x14ac:dyDescent="0.25">
      <c r="C58" t="s">
        <v>143</v>
      </c>
      <c r="E58" t="s">
        <v>295</v>
      </c>
      <c r="F58" t="s">
        <v>390</v>
      </c>
      <c r="H58">
        <v>41649264658</v>
      </c>
    </row>
    <row r="59" spans="3:8" x14ac:dyDescent="0.25">
      <c r="C59" t="s">
        <v>218</v>
      </c>
      <c r="E59" t="s">
        <v>378</v>
      </c>
      <c r="F59" t="s">
        <v>390</v>
      </c>
      <c r="H59">
        <v>41689983639</v>
      </c>
    </row>
    <row r="60" spans="3:8" x14ac:dyDescent="0.25">
      <c r="C60" t="s">
        <v>97</v>
      </c>
      <c r="E60" t="s">
        <v>246</v>
      </c>
      <c r="F60" t="s">
        <v>390</v>
      </c>
      <c r="H60">
        <v>41750109719</v>
      </c>
    </row>
    <row r="61" spans="3:8" x14ac:dyDescent="0.25">
      <c r="C61" t="s">
        <v>146</v>
      </c>
      <c r="E61" t="s">
        <v>298</v>
      </c>
      <c r="F61" t="s">
        <v>390</v>
      </c>
      <c r="H61">
        <v>42062517700</v>
      </c>
    </row>
    <row r="62" spans="3:8" x14ac:dyDescent="0.25">
      <c r="C62" t="s">
        <v>141</v>
      </c>
      <c r="E62" t="s">
        <v>293</v>
      </c>
      <c r="F62" t="s">
        <v>390</v>
      </c>
      <c r="H62">
        <v>42111679011</v>
      </c>
    </row>
    <row r="63" spans="3:8" x14ac:dyDescent="0.25">
      <c r="C63" t="s">
        <v>91</v>
      </c>
      <c r="E63" t="s">
        <v>240</v>
      </c>
      <c r="F63" t="s">
        <v>390</v>
      </c>
      <c r="H63">
        <v>42194343806</v>
      </c>
    </row>
    <row r="64" spans="3:8" x14ac:dyDescent="0.25">
      <c r="C64" t="s">
        <v>126</v>
      </c>
      <c r="E64" t="s">
        <v>277</v>
      </c>
      <c r="F64" t="s">
        <v>390</v>
      </c>
      <c r="H64">
        <v>42681570697</v>
      </c>
    </row>
    <row r="65" spans="3:8" x14ac:dyDescent="0.25">
      <c r="C65" t="s">
        <v>151</v>
      </c>
      <c r="E65" t="s">
        <v>304</v>
      </c>
      <c r="F65" t="s">
        <v>390</v>
      </c>
      <c r="H65">
        <v>42718533218</v>
      </c>
    </row>
    <row r="66" spans="3:8" x14ac:dyDescent="0.25">
      <c r="C66" t="s">
        <v>147</v>
      </c>
      <c r="E66" t="s">
        <v>299</v>
      </c>
      <c r="F66" t="s">
        <v>390</v>
      </c>
      <c r="H66">
        <v>42975897884</v>
      </c>
    </row>
    <row r="67" spans="3:8" x14ac:dyDescent="0.25">
      <c r="C67" t="s">
        <v>144</v>
      </c>
      <c r="E67" t="s">
        <v>296</v>
      </c>
      <c r="F67" t="s">
        <v>390</v>
      </c>
      <c r="H67">
        <v>43204282856</v>
      </c>
    </row>
    <row r="68" spans="3:8" x14ac:dyDescent="0.25">
      <c r="C68" t="s">
        <v>223</v>
      </c>
      <c r="E68" t="s">
        <v>385</v>
      </c>
      <c r="F68" t="s">
        <v>390</v>
      </c>
      <c r="H68">
        <v>43838315910</v>
      </c>
    </row>
    <row r="69" spans="3:8" x14ac:dyDescent="0.25">
      <c r="C69" t="s">
        <v>120</v>
      </c>
      <c r="E69" t="s">
        <v>270</v>
      </c>
      <c r="F69" t="s">
        <v>390</v>
      </c>
      <c r="H69">
        <v>44444444444</v>
      </c>
    </row>
    <row r="70" spans="3:8" x14ac:dyDescent="0.25">
      <c r="C70" t="s">
        <v>166</v>
      </c>
      <c r="E70" t="s">
        <v>320</v>
      </c>
      <c r="F70" t="s">
        <v>390</v>
      </c>
      <c r="H70">
        <v>44794065574</v>
      </c>
    </row>
    <row r="71" spans="3:8" x14ac:dyDescent="0.25">
      <c r="C71" t="s">
        <v>219</v>
      </c>
      <c r="E71" t="s">
        <v>379</v>
      </c>
      <c r="F71" t="s">
        <v>390</v>
      </c>
      <c r="H71">
        <v>45116448614</v>
      </c>
    </row>
    <row r="72" spans="3:8" x14ac:dyDescent="0.25">
      <c r="C72" t="s">
        <v>98</v>
      </c>
      <c r="E72" t="s">
        <v>247</v>
      </c>
      <c r="F72" t="s">
        <v>390</v>
      </c>
      <c r="H72">
        <v>45447544025</v>
      </c>
    </row>
    <row r="73" spans="3:8" x14ac:dyDescent="0.25">
      <c r="C73" t="s">
        <v>110</v>
      </c>
      <c r="E73" t="s">
        <v>260</v>
      </c>
      <c r="F73" t="s">
        <v>390</v>
      </c>
      <c r="H73">
        <v>46945365409</v>
      </c>
    </row>
    <row r="74" spans="3:8" x14ac:dyDescent="0.25">
      <c r="C74" t="s">
        <v>123</v>
      </c>
      <c r="E74" t="s">
        <v>273</v>
      </c>
      <c r="F74" t="s">
        <v>390</v>
      </c>
      <c r="H74">
        <v>47783749321</v>
      </c>
    </row>
    <row r="75" spans="3:8" x14ac:dyDescent="0.25">
      <c r="C75" t="s">
        <v>194</v>
      </c>
      <c r="E75" t="s">
        <v>351</v>
      </c>
      <c r="F75" t="s">
        <v>390</v>
      </c>
      <c r="H75">
        <v>48318883543</v>
      </c>
    </row>
    <row r="76" spans="3:8" x14ac:dyDescent="0.25">
      <c r="C76" t="s">
        <v>213</v>
      </c>
      <c r="E76" t="s">
        <v>371</v>
      </c>
      <c r="F76" t="s">
        <v>390</v>
      </c>
      <c r="H76">
        <v>48431018434</v>
      </c>
    </row>
    <row r="77" spans="3:8" x14ac:dyDescent="0.25">
      <c r="C77" t="s">
        <v>157</v>
      </c>
      <c r="E77" t="s">
        <v>311</v>
      </c>
      <c r="F77" t="s">
        <v>390</v>
      </c>
      <c r="H77">
        <v>49768246758</v>
      </c>
    </row>
    <row r="78" spans="3:8" x14ac:dyDescent="0.25">
      <c r="C78" t="s">
        <v>208</v>
      </c>
      <c r="E78" t="s">
        <v>366</v>
      </c>
      <c r="F78" t="s">
        <v>390</v>
      </c>
      <c r="H78">
        <v>51243235758</v>
      </c>
    </row>
    <row r="79" spans="3:8" x14ac:dyDescent="0.25">
      <c r="C79" t="s">
        <v>150</v>
      </c>
      <c r="E79" t="s">
        <v>303</v>
      </c>
      <c r="F79" t="s">
        <v>390</v>
      </c>
      <c r="H79">
        <v>51742065392</v>
      </c>
    </row>
    <row r="80" spans="3:8" x14ac:dyDescent="0.25">
      <c r="C80" t="s">
        <v>210</v>
      </c>
      <c r="E80" t="s">
        <v>368</v>
      </c>
      <c r="F80" t="s">
        <v>390</v>
      </c>
      <c r="H80">
        <v>53281863159</v>
      </c>
    </row>
    <row r="81" spans="3:8" x14ac:dyDescent="0.25">
      <c r="C81" t="s">
        <v>182</v>
      </c>
      <c r="E81" t="s">
        <v>338</v>
      </c>
      <c r="F81" t="s">
        <v>390</v>
      </c>
      <c r="H81">
        <v>57673944623</v>
      </c>
    </row>
    <row r="82" spans="3:8" x14ac:dyDescent="0.25">
      <c r="C82" t="s">
        <v>158</v>
      </c>
      <c r="E82" t="s">
        <v>312</v>
      </c>
      <c r="F82" t="s">
        <v>390</v>
      </c>
      <c r="H82">
        <v>57855482407</v>
      </c>
    </row>
    <row r="83" spans="3:8" x14ac:dyDescent="0.25">
      <c r="C83" t="s">
        <v>131</v>
      </c>
      <c r="E83" t="s">
        <v>282</v>
      </c>
      <c r="F83" t="s">
        <v>390</v>
      </c>
      <c r="H83">
        <v>58480256907</v>
      </c>
    </row>
    <row r="84" spans="3:8" x14ac:dyDescent="0.25">
      <c r="C84" t="s">
        <v>133</v>
      </c>
      <c r="E84" t="s">
        <v>284</v>
      </c>
      <c r="F84" t="s">
        <v>390</v>
      </c>
      <c r="H84">
        <v>58628880208</v>
      </c>
    </row>
    <row r="85" spans="3:8" x14ac:dyDescent="0.25">
      <c r="C85" t="s">
        <v>217</v>
      </c>
      <c r="E85" t="s">
        <v>376</v>
      </c>
      <c r="F85" t="s">
        <v>390</v>
      </c>
      <c r="H85">
        <v>60107482754</v>
      </c>
    </row>
    <row r="86" spans="3:8" x14ac:dyDescent="0.25">
      <c r="C86" t="s">
        <v>100</v>
      </c>
      <c r="E86" t="s">
        <v>249</v>
      </c>
      <c r="F86" t="s">
        <v>390</v>
      </c>
      <c r="H86">
        <v>61369613180</v>
      </c>
    </row>
    <row r="87" spans="3:8" x14ac:dyDescent="0.25">
      <c r="C87" t="s">
        <v>202</v>
      </c>
      <c r="E87" t="s">
        <v>359</v>
      </c>
      <c r="F87" t="s">
        <v>390</v>
      </c>
      <c r="H87">
        <v>64332859618</v>
      </c>
    </row>
    <row r="88" spans="3:8" x14ac:dyDescent="0.25">
      <c r="C88" t="s">
        <v>161</v>
      </c>
      <c r="E88" t="s">
        <v>315</v>
      </c>
      <c r="F88" t="s">
        <v>390</v>
      </c>
      <c r="H88">
        <v>64866656883</v>
      </c>
    </row>
    <row r="89" spans="3:8" x14ac:dyDescent="0.25">
      <c r="C89" t="s">
        <v>113</v>
      </c>
      <c r="E89" t="s">
        <v>263</v>
      </c>
      <c r="F89" t="s">
        <v>390</v>
      </c>
      <c r="H89">
        <v>65184684166</v>
      </c>
    </row>
    <row r="90" spans="3:8" x14ac:dyDescent="0.25">
      <c r="C90" t="s">
        <v>165</v>
      </c>
      <c r="E90" t="s">
        <v>319</v>
      </c>
      <c r="F90" t="s">
        <v>390</v>
      </c>
      <c r="H90">
        <v>65207037706</v>
      </c>
    </row>
    <row r="91" spans="3:8" x14ac:dyDescent="0.25">
      <c r="C91" t="s">
        <v>108</v>
      </c>
      <c r="E91" t="s">
        <v>257</v>
      </c>
      <c r="F91" t="s">
        <v>390</v>
      </c>
      <c r="H91">
        <v>65451936372</v>
      </c>
    </row>
    <row r="92" spans="3:8" x14ac:dyDescent="0.25">
      <c r="C92" t="s">
        <v>104</v>
      </c>
      <c r="E92" t="s">
        <v>253</v>
      </c>
      <c r="F92" t="s">
        <v>390</v>
      </c>
      <c r="H92">
        <v>65921979198</v>
      </c>
    </row>
    <row r="93" spans="3:8" x14ac:dyDescent="0.25">
      <c r="C93" t="s">
        <v>101</v>
      </c>
      <c r="E93" t="s">
        <v>250</v>
      </c>
      <c r="F93" t="s">
        <v>390</v>
      </c>
      <c r="H93">
        <v>66414169091</v>
      </c>
    </row>
    <row r="94" spans="3:8" x14ac:dyDescent="0.25">
      <c r="C94" t="s">
        <v>116</v>
      </c>
      <c r="E94" t="s">
        <v>266</v>
      </c>
      <c r="F94" t="s">
        <v>390</v>
      </c>
      <c r="H94">
        <v>66655544433</v>
      </c>
    </row>
    <row r="95" spans="3:8" x14ac:dyDescent="0.25">
      <c r="C95" t="s">
        <v>160</v>
      </c>
      <c r="E95" t="s">
        <v>314</v>
      </c>
      <c r="F95" t="s">
        <v>390</v>
      </c>
      <c r="H95">
        <v>67154864257</v>
      </c>
    </row>
    <row r="96" spans="3:8" x14ac:dyDescent="0.25">
      <c r="C96" t="s">
        <v>188</v>
      </c>
      <c r="E96" t="s">
        <v>345</v>
      </c>
      <c r="F96" t="s">
        <v>390</v>
      </c>
      <c r="H96">
        <v>68141495240</v>
      </c>
    </row>
    <row r="97" spans="3:8" x14ac:dyDescent="0.25">
      <c r="C97" t="s">
        <v>140</v>
      </c>
      <c r="E97" t="s">
        <v>292</v>
      </c>
      <c r="F97" t="s">
        <v>390</v>
      </c>
      <c r="H97">
        <v>68737946439</v>
      </c>
    </row>
    <row r="98" spans="3:8" x14ac:dyDescent="0.25">
      <c r="C98" t="s">
        <v>226</v>
      </c>
      <c r="E98" t="s">
        <v>388</v>
      </c>
      <c r="F98" t="s">
        <v>390</v>
      </c>
      <c r="H98">
        <v>70000129979</v>
      </c>
    </row>
    <row r="99" spans="3:8" x14ac:dyDescent="0.25">
      <c r="C99" t="s">
        <v>225</v>
      </c>
      <c r="E99" t="s">
        <v>387</v>
      </c>
      <c r="F99" t="s">
        <v>390</v>
      </c>
      <c r="H99">
        <v>71003941242</v>
      </c>
    </row>
    <row r="100" spans="3:8" x14ac:dyDescent="0.25">
      <c r="C100" t="s">
        <v>204</v>
      </c>
      <c r="E100" t="s">
        <v>362</v>
      </c>
      <c r="F100" t="s">
        <v>390</v>
      </c>
      <c r="H100">
        <v>71078566429</v>
      </c>
    </row>
    <row r="101" spans="3:8" x14ac:dyDescent="0.25">
      <c r="C101" t="s">
        <v>135</v>
      </c>
      <c r="E101" t="s">
        <v>286</v>
      </c>
      <c r="F101" t="s">
        <v>390</v>
      </c>
      <c r="H101">
        <v>72856446096</v>
      </c>
    </row>
    <row r="102" spans="3:8" x14ac:dyDescent="0.25">
      <c r="C102" t="s">
        <v>94</v>
      </c>
      <c r="E102" t="s">
        <v>243</v>
      </c>
      <c r="F102" t="s">
        <v>390</v>
      </c>
      <c r="H102">
        <v>73012176728</v>
      </c>
    </row>
    <row r="103" spans="3:8" x14ac:dyDescent="0.25">
      <c r="C103" t="s">
        <v>193</v>
      </c>
      <c r="E103" t="s">
        <v>350</v>
      </c>
      <c r="F103" t="s">
        <v>390</v>
      </c>
      <c r="H103">
        <v>73129536620</v>
      </c>
    </row>
    <row r="104" spans="3:8" x14ac:dyDescent="0.25">
      <c r="C104" t="s">
        <v>179</v>
      </c>
      <c r="E104" t="s">
        <v>335</v>
      </c>
      <c r="F104" t="s">
        <v>390</v>
      </c>
      <c r="H104">
        <v>73857513853</v>
      </c>
    </row>
    <row r="105" spans="3:8" x14ac:dyDescent="0.25">
      <c r="C105" t="s">
        <v>132</v>
      </c>
      <c r="E105" t="s">
        <v>283</v>
      </c>
      <c r="F105" t="s">
        <v>390</v>
      </c>
      <c r="H105">
        <v>74478435715</v>
      </c>
    </row>
    <row r="106" spans="3:8" x14ac:dyDescent="0.25">
      <c r="C106" t="s">
        <v>148</v>
      </c>
      <c r="E106" t="s">
        <v>300</v>
      </c>
      <c r="F106" t="s">
        <v>390</v>
      </c>
      <c r="H106">
        <v>74929424194</v>
      </c>
    </row>
    <row r="107" spans="3:8" x14ac:dyDescent="0.25">
      <c r="C107" t="s">
        <v>178</v>
      </c>
      <c r="E107" t="s">
        <v>334</v>
      </c>
      <c r="F107" t="s">
        <v>390</v>
      </c>
      <c r="H107">
        <v>75775457404</v>
      </c>
    </row>
    <row r="108" spans="3:8" x14ac:dyDescent="0.25">
      <c r="C108" t="s">
        <v>174</v>
      </c>
      <c r="E108" t="s">
        <v>329</v>
      </c>
      <c r="F108" t="s">
        <v>390</v>
      </c>
      <c r="H108">
        <v>76671725950</v>
      </c>
    </row>
    <row r="109" spans="3:8" x14ac:dyDescent="0.25">
      <c r="C109" t="s">
        <v>115</v>
      </c>
      <c r="E109" t="s">
        <v>265</v>
      </c>
      <c r="F109" t="s">
        <v>390</v>
      </c>
      <c r="H109">
        <v>76726514039</v>
      </c>
    </row>
    <row r="110" spans="3:8" x14ac:dyDescent="0.25">
      <c r="C110" t="s">
        <v>184</v>
      </c>
      <c r="E110" t="s">
        <v>340</v>
      </c>
      <c r="F110" t="s">
        <v>390</v>
      </c>
      <c r="H110">
        <v>76782744325</v>
      </c>
    </row>
    <row r="111" spans="3:8" x14ac:dyDescent="0.25">
      <c r="C111" t="s">
        <v>197</v>
      </c>
      <c r="E111" t="s">
        <v>354</v>
      </c>
      <c r="F111" t="s">
        <v>390</v>
      </c>
      <c r="H111">
        <v>76925831102</v>
      </c>
    </row>
    <row r="112" spans="3:8" x14ac:dyDescent="0.25">
      <c r="C112" t="s">
        <v>209</v>
      </c>
      <c r="E112" t="s">
        <v>367</v>
      </c>
      <c r="F112" t="s">
        <v>390</v>
      </c>
      <c r="H112">
        <v>77017682203</v>
      </c>
    </row>
    <row r="113" spans="3:8" x14ac:dyDescent="0.25">
      <c r="C113" t="s">
        <v>149</v>
      </c>
      <c r="E113" t="s">
        <v>302</v>
      </c>
      <c r="F113" t="s">
        <v>390</v>
      </c>
      <c r="H113">
        <v>77148062578</v>
      </c>
    </row>
    <row r="114" spans="3:8" x14ac:dyDescent="0.25">
      <c r="C114" t="s">
        <v>203</v>
      </c>
      <c r="E114" t="s">
        <v>361</v>
      </c>
      <c r="F114" t="s">
        <v>390</v>
      </c>
      <c r="H114">
        <v>77355277308</v>
      </c>
    </row>
    <row r="115" spans="3:8" x14ac:dyDescent="0.25">
      <c r="C115" t="s">
        <v>105</v>
      </c>
      <c r="E115" t="s">
        <v>254</v>
      </c>
      <c r="F115" t="s">
        <v>390</v>
      </c>
      <c r="H115">
        <v>77529588591</v>
      </c>
    </row>
    <row r="116" spans="3:8" x14ac:dyDescent="0.25">
      <c r="C116" t="s">
        <v>172</v>
      </c>
      <c r="E116" t="s">
        <v>327</v>
      </c>
      <c r="F116" t="s">
        <v>390</v>
      </c>
      <c r="H116">
        <v>77551164685</v>
      </c>
    </row>
    <row r="117" spans="3:8" x14ac:dyDescent="0.25">
      <c r="C117" t="s">
        <v>134</v>
      </c>
      <c r="E117" t="s">
        <v>285</v>
      </c>
      <c r="F117" t="s">
        <v>390</v>
      </c>
      <c r="H117">
        <v>77751515015</v>
      </c>
    </row>
    <row r="118" spans="3:8" x14ac:dyDescent="0.25">
      <c r="C118" t="s">
        <v>124</v>
      </c>
      <c r="E118" t="s">
        <v>275</v>
      </c>
      <c r="F118" t="s">
        <v>390</v>
      </c>
      <c r="H118">
        <v>77766655544</v>
      </c>
    </row>
    <row r="119" spans="3:8" x14ac:dyDescent="0.25">
      <c r="C119" t="s">
        <v>124</v>
      </c>
      <c r="E119" t="s">
        <v>344</v>
      </c>
      <c r="F119" t="s">
        <v>390</v>
      </c>
      <c r="H119">
        <v>77766655599</v>
      </c>
    </row>
    <row r="120" spans="3:8" x14ac:dyDescent="0.25">
      <c r="C120" t="s">
        <v>109</v>
      </c>
      <c r="E120" t="s">
        <v>288</v>
      </c>
      <c r="F120" t="s">
        <v>390</v>
      </c>
      <c r="H120">
        <v>77777777777</v>
      </c>
    </row>
    <row r="121" spans="3:8" x14ac:dyDescent="0.25">
      <c r="C121" t="s">
        <v>164</v>
      </c>
      <c r="E121" t="s">
        <v>318</v>
      </c>
      <c r="F121" t="s">
        <v>390</v>
      </c>
      <c r="H121">
        <v>78475680046</v>
      </c>
    </row>
    <row r="122" spans="3:8" x14ac:dyDescent="0.25">
      <c r="C122" t="s">
        <v>146</v>
      </c>
      <c r="E122" t="s">
        <v>382</v>
      </c>
      <c r="F122" t="s">
        <v>390</v>
      </c>
      <c r="H122">
        <v>79990005907</v>
      </c>
    </row>
    <row r="123" spans="3:8" x14ac:dyDescent="0.25">
      <c r="C123" t="s">
        <v>220</v>
      </c>
      <c r="E123" t="s">
        <v>380</v>
      </c>
      <c r="F123" t="s">
        <v>390</v>
      </c>
      <c r="H123">
        <v>80417045181</v>
      </c>
    </row>
    <row r="124" spans="3:8" x14ac:dyDescent="0.25">
      <c r="C124" t="s">
        <v>102</v>
      </c>
      <c r="E124" t="s">
        <v>251</v>
      </c>
      <c r="F124" t="s">
        <v>390</v>
      </c>
      <c r="H124">
        <v>80535757654</v>
      </c>
    </row>
    <row r="125" spans="3:8" x14ac:dyDescent="0.25">
      <c r="C125" t="s">
        <v>211</v>
      </c>
      <c r="E125" t="s">
        <v>369</v>
      </c>
      <c r="F125" t="s">
        <v>390</v>
      </c>
      <c r="H125">
        <v>81698023189</v>
      </c>
    </row>
    <row r="126" spans="3:8" x14ac:dyDescent="0.25">
      <c r="C126" t="s">
        <v>199</v>
      </c>
      <c r="E126" t="s">
        <v>356</v>
      </c>
      <c r="F126" t="s">
        <v>390</v>
      </c>
      <c r="H126">
        <v>81722521295</v>
      </c>
    </row>
    <row r="127" spans="3:8" x14ac:dyDescent="0.25">
      <c r="C127" t="s">
        <v>90</v>
      </c>
      <c r="E127" t="s">
        <v>239</v>
      </c>
      <c r="F127" t="s">
        <v>390</v>
      </c>
      <c r="H127">
        <v>82474679928</v>
      </c>
    </row>
    <row r="128" spans="3:8" x14ac:dyDescent="0.25">
      <c r="C128" t="s">
        <v>167</v>
      </c>
      <c r="E128" t="s">
        <v>321</v>
      </c>
      <c r="F128" t="s">
        <v>390</v>
      </c>
      <c r="H128">
        <v>82499572612</v>
      </c>
    </row>
    <row r="129" spans="3:8" x14ac:dyDescent="0.25">
      <c r="C129" t="s">
        <v>142</v>
      </c>
      <c r="E129" t="s">
        <v>294</v>
      </c>
      <c r="F129" t="s">
        <v>390</v>
      </c>
      <c r="H129">
        <v>83052128400</v>
      </c>
    </row>
    <row r="130" spans="3:8" x14ac:dyDescent="0.25">
      <c r="C130" t="s">
        <v>86</v>
      </c>
      <c r="E130" t="s">
        <v>235</v>
      </c>
      <c r="F130" t="s">
        <v>390</v>
      </c>
      <c r="H130">
        <v>84585226834</v>
      </c>
    </row>
    <row r="131" spans="3:8" x14ac:dyDescent="0.25">
      <c r="C131" t="s">
        <v>212</v>
      </c>
      <c r="E131" t="s">
        <v>370</v>
      </c>
      <c r="F131" t="s">
        <v>390</v>
      </c>
      <c r="H131">
        <v>84823321987</v>
      </c>
    </row>
    <row r="132" spans="3:8" x14ac:dyDescent="0.25">
      <c r="C132" t="s">
        <v>99</v>
      </c>
      <c r="E132" t="s">
        <v>248</v>
      </c>
      <c r="F132" t="s">
        <v>390</v>
      </c>
      <c r="H132">
        <v>84979979998</v>
      </c>
    </row>
    <row r="133" spans="3:8" x14ac:dyDescent="0.25">
      <c r="C133" t="s">
        <v>162</v>
      </c>
      <c r="E133" t="s">
        <v>316</v>
      </c>
      <c r="F133" t="s">
        <v>390</v>
      </c>
      <c r="H133">
        <v>85246671844</v>
      </c>
    </row>
    <row r="134" spans="3:8" x14ac:dyDescent="0.25">
      <c r="C134" t="s">
        <v>93</v>
      </c>
      <c r="E134" t="s">
        <v>242</v>
      </c>
      <c r="F134" t="s">
        <v>390</v>
      </c>
      <c r="H134">
        <v>86236132526</v>
      </c>
    </row>
    <row r="135" spans="3:8" x14ac:dyDescent="0.25">
      <c r="C135" t="s">
        <v>170</v>
      </c>
      <c r="E135" t="s">
        <v>325</v>
      </c>
      <c r="F135" t="s">
        <v>390</v>
      </c>
      <c r="H135">
        <v>87111008855</v>
      </c>
    </row>
    <row r="136" spans="3:8" x14ac:dyDescent="0.25">
      <c r="C136" t="s">
        <v>195</v>
      </c>
      <c r="E136" t="s">
        <v>352</v>
      </c>
      <c r="F136" t="s">
        <v>390</v>
      </c>
      <c r="H136">
        <v>87588846615</v>
      </c>
    </row>
    <row r="137" spans="3:8" x14ac:dyDescent="0.25">
      <c r="C137" t="s">
        <v>111</v>
      </c>
      <c r="E137" t="s">
        <v>261</v>
      </c>
      <c r="F137" t="s">
        <v>390</v>
      </c>
      <c r="H137">
        <v>88312964185</v>
      </c>
    </row>
    <row r="138" spans="3:8" x14ac:dyDescent="0.25">
      <c r="C138" t="s">
        <v>196</v>
      </c>
      <c r="E138" t="s">
        <v>353</v>
      </c>
      <c r="F138" t="s">
        <v>390</v>
      </c>
      <c r="H138">
        <v>88339779788</v>
      </c>
    </row>
    <row r="139" spans="3:8" x14ac:dyDescent="0.25">
      <c r="C139" t="s">
        <v>167</v>
      </c>
      <c r="E139" t="s">
        <v>322</v>
      </c>
      <c r="F139" t="s">
        <v>390</v>
      </c>
      <c r="H139">
        <v>88712484814</v>
      </c>
    </row>
    <row r="140" spans="3:8" x14ac:dyDescent="0.25">
      <c r="C140" t="s">
        <v>177</v>
      </c>
      <c r="E140" t="s">
        <v>333</v>
      </c>
      <c r="F140" t="s">
        <v>390</v>
      </c>
      <c r="H140">
        <v>88877766655</v>
      </c>
    </row>
    <row r="141" spans="3:8" x14ac:dyDescent="0.25">
      <c r="C141" t="s">
        <v>125</v>
      </c>
      <c r="E141" t="s">
        <v>276</v>
      </c>
      <c r="F141" t="s">
        <v>390</v>
      </c>
      <c r="H141">
        <v>88888888888</v>
      </c>
    </row>
    <row r="142" spans="3:8" x14ac:dyDescent="0.25">
      <c r="C142" t="s">
        <v>79</v>
      </c>
      <c r="E142" t="s">
        <v>228</v>
      </c>
      <c r="F142" t="s">
        <v>390</v>
      </c>
      <c r="H142">
        <v>89287038082</v>
      </c>
    </row>
    <row r="143" spans="3:8" x14ac:dyDescent="0.25">
      <c r="C143" t="s">
        <v>138</v>
      </c>
      <c r="E143" t="s">
        <v>290</v>
      </c>
      <c r="F143" t="s">
        <v>390</v>
      </c>
      <c r="H143">
        <v>89331225245</v>
      </c>
    </row>
    <row r="144" spans="3:8" x14ac:dyDescent="0.25">
      <c r="C144" t="s">
        <v>155</v>
      </c>
      <c r="E144" t="s">
        <v>309</v>
      </c>
      <c r="F144" t="s">
        <v>390</v>
      </c>
      <c r="H144">
        <v>90917191782</v>
      </c>
    </row>
    <row r="145" spans="3:8" x14ac:dyDescent="0.25">
      <c r="C145" t="s">
        <v>215</v>
      </c>
      <c r="E145" t="s">
        <v>373</v>
      </c>
      <c r="F145" t="s">
        <v>390</v>
      </c>
      <c r="H145">
        <v>92454501635</v>
      </c>
    </row>
    <row r="146" spans="3:8" x14ac:dyDescent="0.25">
      <c r="C146" t="s">
        <v>95</v>
      </c>
      <c r="E146" t="s">
        <v>244</v>
      </c>
      <c r="F146" t="s">
        <v>390</v>
      </c>
      <c r="H146">
        <v>92808200609</v>
      </c>
    </row>
    <row r="147" spans="3:8" x14ac:dyDescent="0.25">
      <c r="C147" t="s">
        <v>96</v>
      </c>
      <c r="E147" t="s">
        <v>245</v>
      </c>
      <c r="F147" t="s">
        <v>390</v>
      </c>
      <c r="H147">
        <v>92957697327</v>
      </c>
    </row>
    <row r="148" spans="3:8" x14ac:dyDescent="0.25">
      <c r="C148" t="s">
        <v>123</v>
      </c>
      <c r="E148" t="s">
        <v>301</v>
      </c>
      <c r="F148" t="s">
        <v>390</v>
      </c>
      <c r="H148">
        <v>93544490340</v>
      </c>
    </row>
    <row r="149" spans="3:8" x14ac:dyDescent="0.25">
      <c r="C149" t="s">
        <v>176</v>
      </c>
      <c r="E149" t="s">
        <v>331</v>
      </c>
      <c r="F149" t="s">
        <v>390</v>
      </c>
      <c r="H149">
        <v>93852856961</v>
      </c>
    </row>
    <row r="150" spans="3:8" x14ac:dyDescent="0.25">
      <c r="C150" t="s">
        <v>111</v>
      </c>
      <c r="E150" t="s">
        <v>389</v>
      </c>
      <c r="F150" t="s">
        <v>390</v>
      </c>
      <c r="H150">
        <v>95167270006</v>
      </c>
    </row>
    <row r="151" spans="3:8" x14ac:dyDescent="0.25">
      <c r="C151" t="s">
        <v>198</v>
      </c>
      <c r="E151" t="s">
        <v>355</v>
      </c>
      <c r="F151" t="s">
        <v>390</v>
      </c>
      <c r="H151">
        <v>95654548522</v>
      </c>
    </row>
    <row r="152" spans="3:8" x14ac:dyDescent="0.25">
      <c r="C152" t="s">
        <v>180</v>
      </c>
      <c r="E152" t="s">
        <v>336</v>
      </c>
      <c r="F152" t="s">
        <v>390</v>
      </c>
      <c r="H152">
        <v>96873928860</v>
      </c>
    </row>
    <row r="153" spans="3:8" x14ac:dyDescent="0.25">
      <c r="C153" t="s">
        <v>128</v>
      </c>
      <c r="E153" t="s">
        <v>279</v>
      </c>
      <c r="F153" t="s">
        <v>390</v>
      </c>
      <c r="H153">
        <v>97504636177</v>
      </c>
    </row>
    <row r="154" spans="3:8" x14ac:dyDescent="0.25">
      <c r="C154" t="s">
        <v>130</v>
      </c>
      <c r="E154" t="s">
        <v>281</v>
      </c>
      <c r="F154" t="s">
        <v>390</v>
      </c>
      <c r="H154">
        <v>98215828507</v>
      </c>
    </row>
    <row r="155" spans="3:8" x14ac:dyDescent="0.25">
      <c r="C155" t="s">
        <v>118</v>
      </c>
      <c r="E155" t="s">
        <v>268</v>
      </c>
      <c r="F155" t="s">
        <v>390</v>
      </c>
      <c r="H155">
        <v>98765432100</v>
      </c>
    </row>
    <row r="156" spans="3:8" x14ac:dyDescent="0.25">
      <c r="C156" t="s">
        <v>153</v>
      </c>
      <c r="E156" t="s">
        <v>306</v>
      </c>
      <c r="F156" t="s">
        <v>390</v>
      </c>
      <c r="H156">
        <v>99999999999</v>
      </c>
    </row>
    <row r="157" spans="3:8" x14ac:dyDescent="0.25">
      <c r="C157" t="s">
        <v>112</v>
      </c>
      <c r="E157" t="s">
        <v>262</v>
      </c>
      <c r="F157" t="s">
        <v>390</v>
      </c>
      <c r="H157" s="20" t="s">
        <v>392</v>
      </c>
    </row>
    <row r="158" spans="3:8" x14ac:dyDescent="0.25">
      <c r="C158" t="s">
        <v>188</v>
      </c>
      <c r="E158" t="s">
        <v>375</v>
      </c>
      <c r="F158" t="s">
        <v>390</v>
      </c>
      <c r="H158" s="20" t="s">
        <v>391</v>
      </c>
    </row>
    <row r="159" spans="3:8" x14ac:dyDescent="0.25">
      <c r="C159" t="s">
        <v>119</v>
      </c>
      <c r="E159" t="s">
        <v>269</v>
      </c>
      <c r="F159" t="s">
        <v>390</v>
      </c>
      <c r="H159" s="20" t="s">
        <v>393</v>
      </c>
    </row>
    <row r="160" spans="3:8" x14ac:dyDescent="0.25">
      <c r="C160" t="s">
        <v>78</v>
      </c>
      <c r="E160" t="s">
        <v>227</v>
      </c>
      <c r="F160" t="s">
        <v>390</v>
      </c>
      <c r="H160" s="20" t="s">
        <v>394</v>
      </c>
    </row>
    <row r="161" spans="3:8" x14ac:dyDescent="0.25">
      <c r="C161" t="s">
        <v>82</v>
      </c>
      <c r="E161" t="s">
        <v>231</v>
      </c>
      <c r="F161" t="s">
        <v>390</v>
      </c>
      <c r="H161" s="20" t="s">
        <v>395</v>
      </c>
    </row>
    <row r="162" spans="3:8" x14ac:dyDescent="0.25">
      <c r="C162" t="s">
        <v>139</v>
      </c>
      <c r="E162" t="s">
        <v>291</v>
      </c>
      <c r="F162" t="s">
        <v>390</v>
      </c>
      <c r="H162" s="20" t="s">
        <v>396</v>
      </c>
    </row>
    <row r="163" spans="3:8" x14ac:dyDescent="0.25">
      <c r="C163" t="s">
        <v>83</v>
      </c>
      <c r="E163" t="s">
        <v>232</v>
      </c>
      <c r="F163" t="s">
        <v>390</v>
      </c>
      <c r="H163" s="20" t="s">
        <v>397</v>
      </c>
    </row>
    <row r="164" spans="3:8" x14ac:dyDescent="0.25">
      <c r="C164" t="s">
        <v>106</v>
      </c>
      <c r="E164" t="s">
        <v>255</v>
      </c>
      <c r="F164" t="s">
        <v>390</v>
      </c>
      <c r="H164" s="20" t="s">
        <v>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TBL_CENARIOS</vt:lpstr>
      <vt:lpstr>TBL_CADASTRO</vt:lpstr>
      <vt:lpstr>TBL_MASSA_CADASTRADA</vt:lpstr>
      <vt:lpstr>TBL_CADASTRO!TBL_CADASTRO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</dc:creator>
  <cp:lastModifiedBy>Gilvan Sousa</cp:lastModifiedBy>
  <dcterms:created xsi:type="dcterms:W3CDTF">2024-06-13T16:50:06Z</dcterms:created>
  <dcterms:modified xsi:type="dcterms:W3CDTF">2026-08-29T15:49:42Z</dcterms:modified>
</cp:coreProperties>
</file>