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A:\Workspace\poc-fintech-playwright\data\"/>
    </mc:Choice>
  </mc:AlternateContent>
  <xr:revisionPtr revIDLastSave="0" documentId="13_ncr:1_{B78CC19E-28A9-4F89-885C-B6D3195989AE}" xr6:coauthVersionLast="47" xr6:coauthVersionMax="47" xr10:uidLastSave="{00000000-0000-0000-0000-000000000000}"/>
  <bookViews>
    <workbookView xWindow="-120" yWindow="-120" windowWidth="29040" windowHeight="15720" activeTab="3" xr2:uid="{1B452B8F-43D4-497B-90FC-F529F899F921}"/>
  </bookViews>
  <sheets>
    <sheet name="IOF 1" sheetId="1" r:id="rId1"/>
    <sheet name="IOF 2" sheetId="5" r:id="rId2"/>
    <sheet name="TP" sheetId="3" r:id="rId3"/>
    <sheet name="PF" sheetId="6" r:id="rId4"/>
    <sheet name="SC" sheetId="10" r:id="rId5"/>
    <sheet name="PA" sheetId="8" r:id="rId6"/>
    <sheet name="PE-TR-CRE" sheetId="9" r:id="rId7"/>
    <sheet name="Auxiliares" sheetId="2" r:id="rId8"/>
    <sheet name="auxseguro" sheetId="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8" i="6" l="1"/>
  <c r="I19" i="1"/>
  <c r="P9" i="6"/>
  <c r="C30" i="6"/>
  <c r="I7" i="1"/>
  <c r="I5" i="1" s="1"/>
  <c r="I6" i="1"/>
  <c r="C24" i="6"/>
  <c r="C34" i="8"/>
  <c r="C27" i="8"/>
  <c r="T12" i="8" s="1"/>
  <c r="C26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35" i="8"/>
  <c r="B45" i="8"/>
  <c r="B46" i="8"/>
  <c r="B47" i="8"/>
  <c r="B48" i="8"/>
  <c r="B49" i="8"/>
  <c r="B50" i="8"/>
  <c r="B51" i="8"/>
  <c r="B52" i="8"/>
  <c r="B53" i="8"/>
  <c r="B54" i="8"/>
  <c r="B55" i="8"/>
  <c r="K55" i="8" s="1"/>
  <c r="B56" i="8"/>
  <c r="B57" i="8"/>
  <c r="B58" i="8"/>
  <c r="K58" i="8" s="1"/>
  <c r="B59" i="8"/>
  <c r="K59" i="8" s="1"/>
  <c r="B60" i="8"/>
  <c r="K60" i="8" s="1"/>
  <c r="B61" i="8"/>
  <c r="K61" i="8" s="1"/>
  <c r="B62" i="8"/>
  <c r="K62" i="8" s="1"/>
  <c r="B63" i="8"/>
  <c r="K63" i="8" s="1"/>
  <c r="B64" i="8"/>
  <c r="K64" i="8" s="1"/>
  <c r="B65" i="8"/>
  <c r="K65" i="8" s="1"/>
  <c r="B66" i="8"/>
  <c r="K66" i="8" s="1"/>
  <c r="B67" i="8"/>
  <c r="K67" i="8" s="1"/>
  <c r="B68" i="8"/>
  <c r="K68" i="8" s="1"/>
  <c r="B69" i="8"/>
  <c r="K69" i="8" s="1"/>
  <c r="B70" i="8"/>
  <c r="K70" i="8" s="1"/>
  <c r="B71" i="8"/>
  <c r="K71" i="8" s="1"/>
  <c r="B72" i="8"/>
  <c r="K72" i="8" s="1"/>
  <c r="B73" i="8"/>
  <c r="K73" i="8" s="1"/>
  <c r="B74" i="8"/>
  <c r="K74" i="8" s="1"/>
  <c r="B75" i="8"/>
  <c r="K75" i="8" s="1"/>
  <c r="B76" i="8"/>
  <c r="K76" i="8" s="1"/>
  <c r="B77" i="8"/>
  <c r="K77" i="8" s="1"/>
  <c r="B78" i="8"/>
  <c r="K78" i="8" s="1"/>
  <c r="B79" i="8"/>
  <c r="K79" i="8" s="1"/>
  <c r="B80" i="8"/>
  <c r="K80" i="8" s="1"/>
  <c r="B81" i="8"/>
  <c r="K81" i="8" s="1"/>
  <c r="B82" i="8"/>
  <c r="K82" i="8" s="1"/>
  <c r="B83" i="8"/>
  <c r="K83" i="8" s="1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36" i="8"/>
  <c r="K84" i="8"/>
  <c r="K85" i="8"/>
  <c r="K86" i="8"/>
  <c r="K87" i="8"/>
  <c r="K88" i="8"/>
  <c r="K89" i="8"/>
  <c r="K91" i="8"/>
  <c r="K93" i="8"/>
  <c r="K94" i="8"/>
  <c r="K95" i="8"/>
  <c r="K96" i="8"/>
  <c r="K97" i="8"/>
  <c r="K98" i="8"/>
  <c r="K99" i="8"/>
  <c r="K101" i="8"/>
  <c r="K103" i="8"/>
  <c r="K104" i="8"/>
  <c r="K105" i="8"/>
  <c r="K106" i="8"/>
  <c r="K46" i="8"/>
  <c r="K47" i="8"/>
  <c r="K48" i="8"/>
  <c r="K49" i="8"/>
  <c r="K50" i="8"/>
  <c r="K51" i="8"/>
  <c r="K52" i="8"/>
  <c r="K53" i="8"/>
  <c r="K54" i="8"/>
  <c r="I45" i="8"/>
  <c r="M45" i="8" s="1"/>
  <c r="I46" i="8"/>
  <c r="M46" i="8" s="1"/>
  <c r="I47" i="8"/>
  <c r="M47" i="8" s="1"/>
  <c r="I48" i="8"/>
  <c r="M48" i="8" s="1"/>
  <c r="I49" i="8"/>
  <c r="M49" i="8" s="1"/>
  <c r="I50" i="8"/>
  <c r="M50" i="8" s="1"/>
  <c r="I51" i="8"/>
  <c r="M51" i="8" s="1"/>
  <c r="I52" i="8"/>
  <c r="M52" i="8" s="1"/>
  <c r="I53" i="8"/>
  <c r="M53" i="8" s="1"/>
  <c r="I54" i="8"/>
  <c r="M54" i="8" s="1"/>
  <c r="I55" i="8"/>
  <c r="M55" i="8" s="1"/>
  <c r="I56" i="8"/>
  <c r="M56" i="8" s="1"/>
  <c r="I57" i="8"/>
  <c r="M57" i="8" s="1"/>
  <c r="I58" i="8"/>
  <c r="M58" i="8" s="1"/>
  <c r="I59" i="8"/>
  <c r="M59" i="8" s="1"/>
  <c r="I60" i="8"/>
  <c r="M60" i="8" s="1"/>
  <c r="I61" i="8"/>
  <c r="M61" i="8" s="1"/>
  <c r="I62" i="8"/>
  <c r="M62" i="8" s="1"/>
  <c r="I63" i="8"/>
  <c r="M63" i="8" s="1"/>
  <c r="I64" i="8"/>
  <c r="M64" i="8" s="1"/>
  <c r="I65" i="8"/>
  <c r="M65" i="8" s="1"/>
  <c r="I66" i="8"/>
  <c r="M66" i="8" s="1"/>
  <c r="I67" i="8"/>
  <c r="M67" i="8" s="1"/>
  <c r="I68" i="8"/>
  <c r="M68" i="8" s="1"/>
  <c r="I69" i="8"/>
  <c r="M69" i="8" s="1"/>
  <c r="I70" i="8"/>
  <c r="M70" i="8" s="1"/>
  <c r="I71" i="8"/>
  <c r="M71" i="8" s="1"/>
  <c r="I72" i="8"/>
  <c r="M72" i="8" s="1"/>
  <c r="I73" i="8"/>
  <c r="M73" i="8" s="1"/>
  <c r="I74" i="8"/>
  <c r="M74" i="8" s="1"/>
  <c r="I75" i="8"/>
  <c r="M75" i="8" s="1"/>
  <c r="I76" i="8"/>
  <c r="M76" i="8" s="1"/>
  <c r="I77" i="8"/>
  <c r="M77" i="8" s="1"/>
  <c r="I78" i="8"/>
  <c r="M78" i="8" s="1"/>
  <c r="I79" i="8"/>
  <c r="M79" i="8" s="1"/>
  <c r="I80" i="8"/>
  <c r="M80" i="8" s="1"/>
  <c r="I81" i="8"/>
  <c r="M81" i="8" s="1"/>
  <c r="I82" i="8"/>
  <c r="M82" i="8" s="1"/>
  <c r="I83" i="8"/>
  <c r="M83" i="8" s="1"/>
  <c r="I84" i="8"/>
  <c r="M84" i="8" s="1"/>
  <c r="I85" i="8"/>
  <c r="M85" i="8" s="1"/>
  <c r="I86" i="8"/>
  <c r="M86" i="8" s="1"/>
  <c r="I87" i="8"/>
  <c r="M87" i="8" s="1"/>
  <c r="I88" i="8"/>
  <c r="M88" i="8" s="1"/>
  <c r="I89" i="8"/>
  <c r="M89" i="8" s="1"/>
  <c r="I90" i="8"/>
  <c r="M90" i="8" s="1"/>
  <c r="I91" i="8"/>
  <c r="M91" i="8" s="1"/>
  <c r="I92" i="8"/>
  <c r="M92" i="8" s="1"/>
  <c r="I93" i="8"/>
  <c r="M93" i="8" s="1"/>
  <c r="I94" i="8"/>
  <c r="M94" i="8" s="1"/>
  <c r="I95" i="8"/>
  <c r="M95" i="8" s="1"/>
  <c r="I96" i="8"/>
  <c r="M96" i="8" s="1"/>
  <c r="I97" i="8"/>
  <c r="M97" i="8" s="1"/>
  <c r="I98" i="8"/>
  <c r="M98" i="8" s="1"/>
  <c r="I99" i="8"/>
  <c r="M99" i="8" s="1"/>
  <c r="I100" i="8"/>
  <c r="M100" i="8" s="1"/>
  <c r="I101" i="8"/>
  <c r="M101" i="8" s="1"/>
  <c r="I102" i="8"/>
  <c r="M102" i="8" s="1"/>
  <c r="I103" i="8"/>
  <c r="M103" i="8" s="1"/>
  <c r="I104" i="8"/>
  <c r="M104" i="8" s="1"/>
  <c r="I105" i="8"/>
  <c r="M105" i="8" s="1"/>
  <c r="I106" i="8"/>
  <c r="M106" i="8" s="1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I34" i="8"/>
  <c r="B35" i="8"/>
  <c r="B34" i="8"/>
  <c r="A108" i="8"/>
  <c r="A36" i="8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35" i="8"/>
  <c r="P13" i="8"/>
  <c r="P11" i="8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L31" i="10"/>
  <c r="L104" i="10" s="1"/>
  <c r="C30" i="10"/>
  <c r="C22" i="10"/>
  <c r="C23" i="10"/>
  <c r="T15" i="10" s="1"/>
  <c r="K104" i="10"/>
  <c r="I34" i="10"/>
  <c r="M34" i="10" s="1"/>
  <c r="I35" i="10"/>
  <c r="M35" i="10" s="1"/>
  <c r="I36" i="10"/>
  <c r="M36" i="10" s="1"/>
  <c r="I37" i="10"/>
  <c r="M37" i="10" s="1"/>
  <c r="I38" i="10"/>
  <c r="M38" i="10" s="1"/>
  <c r="I39" i="10"/>
  <c r="M39" i="10" s="1"/>
  <c r="I40" i="10"/>
  <c r="M40" i="10" s="1"/>
  <c r="I41" i="10"/>
  <c r="M41" i="10" s="1"/>
  <c r="I42" i="10"/>
  <c r="M42" i="10" s="1"/>
  <c r="I43" i="10"/>
  <c r="M43" i="10" s="1"/>
  <c r="I44" i="10"/>
  <c r="M44" i="10" s="1"/>
  <c r="I45" i="10"/>
  <c r="M45" i="10" s="1"/>
  <c r="I46" i="10"/>
  <c r="M46" i="10" s="1"/>
  <c r="I47" i="10"/>
  <c r="M47" i="10" s="1"/>
  <c r="I48" i="10"/>
  <c r="M48" i="10" s="1"/>
  <c r="I49" i="10"/>
  <c r="M49" i="10" s="1"/>
  <c r="I50" i="10"/>
  <c r="M50" i="10" s="1"/>
  <c r="I51" i="10"/>
  <c r="M51" i="10" s="1"/>
  <c r="I52" i="10"/>
  <c r="M52" i="10" s="1"/>
  <c r="I53" i="10"/>
  <c r="M53" i="10" s="1"/>
  <c r="I54" i="10"/>
  <c r="M54" i="10" s="1"/>
  <c r="I55" i="10"/>
  <c r="M55" i="10" s="1"/>
  <c r="I56" i="10"/>
  <c r="M56" i="10" s="1"/>
  <c r="I57" i="10"/>
  <c r="M57" i="10" s="1"/>
  <c r="I58" i="10"/>
  <c r="M58" i="10" s="1"/>
  <c r="I59" i="10"/>
  <c r="M59" i="10" s="1"/>
  <c r="I60" i="10"/>
  <c r="M60" i="10" s="1"/>
  <c r="I61" i="10"/>
  <c r="M61" i="10" s="1"/>
  <c r="I62" i="10"/>
  <c r="M62" i="10" s="1"/>
  <c r="I63" i="10"/>
  <c r="M63" i="10" s="1"/>
  <c r="I64" i="10"/>
  <c r="M64" i="10" s="1"/>
  <c r="I65" i="10"/>
  <c r="M65" i="10" s="1"/>
  <c r="I66" i="10"/>
  <c r="M66" i="10" s="1"/>
  <c r="I67" i="10"/>
  <c r="M67" i="10" s="1"/>
  <c r="I68" i="10"/>
  <c r="M68" i="10" s="1"/>
  <c r="I69" i="10"/>
  <c r="M69" i="10" s="1"/>
  <c r="I70" i="10"/>
  <c r="M70" i="10" s="1"/>
  <c r="I71" i="10"/>
  <c r="M71" i="10" s="1"/>
  <c r="I72" i="10"/>
  <c r="M72" i="10" s="1"/>
  <c r="I73" i="10"/>
  <c r="M73" i="10" s="1"/>
  <c r="I74" i="10"/>
  <c r="M74" i="10" s="1"/>
  <c r="I75" i="10"/>
  <c r="M75" i="10" s="1"/>
  <c r="I76" i="10"/>
  <c r="M76" i="10" s="1"/>
  <c r="I77" i="10"/>
  <c r="M77" i="10" s="1"/>
  <c r="I78" i="10"/>
  <c r="M78" i="10" s="1"/>
  <c r="I79" i="10"/>
  <c r="M79" i="10" s="1"/>
  <c r="I80" i="10"/>
  <c r="M80" i="10" s="1"/>
  <c r="I81" i="10"/>
  <c r="M81" i="10" s="1"/>
  <c r="I82" i="10"/>
  <c r="M82" i="10" s="1"/>
  <c r="I83" i="10"/>
  <c r="M83" i="10" s="1"/>
  <c r="I84" i="10"/>
  <c r="M84" i="10" s="1"/>
  <c r="I85" i="10"/>
  <c r="M85" i="10" s="1"/>
  <c r="I86" i="10"/>
  <c r="M86" i="10" s="1"/>
  <c r="I87" i="10"/>
  <c r="M87" i="10" s="1"/>
  <c r="I88" i="10"/>
  <c r="M88" i="10" s="1"/>
  <c r="I89" i="10"/>
  <c r="M89" i="10" s="1"/>
  <c r="I90" i="10"/>
  <c r="M90" i="10" s="1"/>
  <c r="I91" i="10"/>
  <c r="M91" i="10" s="1"/>
  <c r="I92" i="10"/>
  <c r="M92" i="10" s="1"/>
  <c r="I93" i="10"/>
  <c r="M93" i="10" s="1"/>
  <c r="I94" i="10"/>
  <c r="M94" i="10" s="1"/>
  <c r="I95" i="10"/>
  <c r="M95" i="10" s="1"/>
  <c r="I96" i="10"/>
  <c r="M96" i="10" s="1"/>
  <c r="I97" i="10"/>
  <c r="M97" i="10" s="1"/>
  <c r="I98" i="10"/>
  <c r="M98" i="10" s="1"/>
  <c r="I99" i="10"/>
  <c r="M99" i="10" s="1"/>
  <c r="I100" i="10"/>
  <c r="M100" i="10" s="1"/>
  <c r="I101" i="10"/>
  <c r="M101" i="10" s="1"/>
  <c r="I102" i="10"/>
  <c r="B32" i="10"/>
  <c r="B31" i="10"/>
  <c r="T9" i="10"/>
  <c r="P15" i="10"/>
  <c r="P9" i="10"/>
  <c r="I8" i="1"/>
  <c r="I9" i="1" s="1"/>
  <c r="A31" i="10"/>
  <c r="B30" i="10"/>
  <c r="C21" i="10"/>
  <c r="C13" i="10"/>
  <c r="C12" i="10"/>
  <c r="P11" i="10"/>
  <c r="P13" i="6"/>
  <c r="P11" i="6"/>
  <c r="Q7" i="6"/>
  <c r="Q8" i="3"/>
  <c r="P8" i="3" s="1"/>
  <c r="A113" i="3"/>
  <c r="C24" i="3"/>
  <c r="C23" i="3"/>
  <c r="N20" i="5"/>
  <c r="A39" i="6"/>
  <c r="A40" i="6" s="1"/>
  <c r="B39" i="6"/>
  <c r="B38" i="6"/>
  <c r="L28" i="6"/>
  <c r="N18" i="1"/>
  <c r="I14" i="1"/>
  <c r="I13" i="1"/>
  <c r="I12" i="1"/>
  <c r="I11" i="1"/>
  <c r="C30" i="9"/>
  <c r="C24" i="9" a="1"/>
  <c r="C23" i="9" a="1"/>
  <c r="C17" i="9"/>
  <c r="C16" i="9"/>
  <c r="C25" i="8"/>
  <c r="C17" i="8"/>
  <c r="C16" i="8"/>
  <c r="A24" i="5"/>
  <c r="D13" i="2"/>
  <c r="D14" i="2"/>
  <c r="D15" i="2"/>
  <c r="D16" i="2"/>
  <c r="D12" i="2"/>
  <c r="D11" i="2"/>
  <c r="B40" i="3"/>
  <c r="A40" i="3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B39" i="3"/>
  <c r="P12" i="3"/>
  <c r="P10" i="3"/>
  <c r="C23" i="6" a="1"/>
  <c r="C17" i="6"/>
  <c r="C16" i="6"/>
  <c r="C30" i="3"/>
  <c r="C17" i="3"/>
  <c r="C16" i="3"/>
  <c r="B40" i="6" l="1"/>
  <c r="L40" i="6" s="1"/>
  <c r="B25" i="1"/>
  <c r="B24" i="1"/>
  <c r="E36" i="6"/>
  <c r="A41" i="6"/>
  <c r="L36" i="8"/>
  <c r="B37" i="8"/>
  <c r="K90" i="8"/>
  <c r="K102" i="8"/>
  <c r="K92" i="8"/>
  <c r="K100" i="8"/>
  <c r="K57" i="8"/>
  <c r="K56" i="8"/>
  <c r="I38" i="8"/>
  <c r="I39" i="8"/>
  <c r="I40" i="8"/>
  <c r="I41" i="8"/>
  <c r="I42" i="8"/>
  <c r="I43" i="8"/>
  <c r="I44" i="8"/>
  <c r="I37" i="8"/>
  <c r="M37" i="8" s="1"/>
  <c r="I36" i="8"/>
  <c r="M36" i="8" s="1"/>
  <c r="K35" i="8"/>
  <c r="P7" i="10"/>
  <c r="G31" i="10"/>
  <c r="K31" i="10"/>
  <c r="A32" i="10"/>
  <c r="I15" i="1"/>
  <c r="I14" i="5"/>
  <c r="C14" i="5" s="1"/>
  <c r="C14" i="1"/>
  <c r="K40" i="3"/>
  <c r="I55" i="3"/>
  <c r="B55" i="3"/>
  <c r="L55" i="3"/>
  <c r="G55" i="3"/>
  <c r="A56" i="3"/>
  <c r="I39" i="3"/>
  <c r="L39" i="6"/>
  <c r="K39" i="6"/>
  <c r="I13" i="5"/>
  <c r="C13" i="5" s="1"/>
  <c r="C13" i="1"/>
  <c r="C12" i="1"/>
  <c r="A25" i="1" s="1"/>
  <c r="I12" i="5"/>
  <c r="C12" i="5" s="1"/>
  <c r="C11" i="1"/>
  <c r="I11" i="5"/>
  <c r="C11" i="5" s="1"/>
  <c r="C8" i="1"/>
  <c r="I8" i="5"/>
  <c r="C8" i="5" s="1"/>
  <c r="I7" i="5"/>
  <c r="C7" i="5" s="1"/>
  <c r="I6" i="5"/>
  <c r="C6" i="5" s="1"/>
  <c r="C6" i="1"/>
  <c r="L40" i="3"/>
  <c r="B41" i="3"/>
  <c r="C7" i="1"/>
  <c r="B24" i="5" l="1"/>
  <c r="K25" i="1"/>
  <c r="B26" i="1"/>
  <c r="B26" i="5" s="1"/>
  <c r="K40" i="6"/>
  <c r="A25" i="5"/>
  <c r="I20" i="1"/>
  <c r="C19" i="1"/>
  <c r="A42" i="6"/>
  <c r="A43" i="6" s="1"/>
  <c r="A44" i="6" s="1"/>
  <c r="A45" i="6" s="1"/>
  <c r="B41" i="6"/>
  <c r="L37" i="8"/>
  <c r="B38" i="8"/>
  <c r="K32" i="10"/>
  <c r="L32" i="10"/>
  <c r="A33" i="10"/>
  <c r="I15" i="5"/>
  <c r="C15" i="5" s="1"/>
  <c r="C15" i="1"/>
  <c r="B25" i="5"/>
  <c r="B56" i="3"/>
  <c r="I56" i="3"/>
  <c r="L56" i="3"/>
  <c r="G56" i="3"/>
  <c r="A57" i="3"/>
  <c r="A26" i="1"/>
  <c r="J25" i="1"/>
  <c r="I9" i="5"/>
  <c r="C9" i="5" s="1"/>
  <c r="C9" i="1"/>
  <c r="J10" i="1"/>
  <c r="K41" i="3"/>
  <c r="B42" i="3"/>
  <c r="L41" i="3"/>
  <c r="C5" i="1"/>
  <c r="I5" i="5"/>
  <c r="J26" i="1" l="1"/>
  <c r="B27" i="1"/>
  <c r="B27" i="5" s="1"/>
  <c r="K27" i="5" s="1"/>
  <c r="C20" i="1"/>
  <c r="I10" i="1"/>
  <c r="I18" i="1" s="1"/>
  <c r="K41" i="6"/>
  <c r="L41" i="6"/>
  <c r="B42" i="6"/>
  <c r="A46" i="6"/>
  <c r="A47" i="6" s="1"/>
  <c r="A48" i="6" s="1"/>
  <c r="A49" i="6" s="1"/>
  <c r="M38" i="8"/>
  <c r="L38" i="8"/>
  <c r="B39" i="8"/>
  <c r="B33" i="10"/>
  <c r="A34" i="10"/>
  <c r="K26" i="5"/>
  <c r="K25" i="5"/>
  <c r="J25" i="5"/>
  <c r="K56" i="3"/>
  <c r="B57" i="3"/>
  <c r="I57" i="3"/>
  <c r="L57" i="3"/>
  <c r="G57" i="3"/>
  <c r="A58" i="3"/>
  <c r="A27" i="1"/>
  <c r="A26" i="5"/>
  <c r="J26" i="5" s="1"/>
  <c r="K26" i="1"/>
  <c r="K42" i="3"/>
  <c r="L42" i="3"/>
  <c r="B43" i="3"/>
  <c r="C5" i="5"/>
  <c r="J10" i="5"/>
  <c r="B28" i="1" l="1"/>
  <c r="B28" i="5" s="1"/>
  <c r="K28" i="5" s="1"/>
  <c r="J27" i="1"/>
  <c r="C10" i="1"/>
  <c r="C24" i="1" s="1"/>
  <c r="G25" i="1" s="1"/>
  <c r="L10" i="1"/>
  <c r="B43" i="6"/>
  <c r="K42" i="6"/>
  <c r="L42" i="6"/>
  <c r="A50" i="6"/>
  <c r="M39" i="8"/>
  <c r="L39" i="8"/>
  <c r="B40" i="8"/>
  <c r="K33" i="10"/>
  <c r="L33" i="10"/>
  <c r="B34" i="10"/>
  <c r="A35" i="10"/>
  <c r="K57" i="3"/>
  <c r="B58" i="3"/>
  <c r="I58" i="3"/>
  <c r="L58" i="3"/>
  <c r="G58" i="3"/>
  <c r="A59" i="3"/>
  <c r="A27" i="5"/>
  <c r="J27" i="5" s="1"/>
  <c r="A28" i="1"/>
  <c r="K27" i="1"/>
  <c r="B44" i="3"/>
  <c r="K43" i="3"/>
  <c r="L43" i="3"/>
  <c r="J28" i="1" l="1"/>
  <c r="B29" i="1"/>
  <c r="B29" i="5" s="1"/>
  <c r="K29" i="5" s="1"/>
  <c r="C18" i="1"/>
  <c r="M14" i="1"/>
  <c r="E24" i="1"/>
  <c r="B44" i="6"/>
  <c r="B30" i="1" s="1"/>
  <c r="K43" i="6"/>
  <c r="L43" i="6"/>
  <c r="A51" i="6"/>
  <c r="M40" i="8"/>
  <c r="L40" i="8"/>
  <c r="B41" i="8"/>
  <c r="K34" i="10"/>
  <c r="L34" i="10"/>
  <c r="B35" i="10"/>
  <c r="A36" i="10"/>
  <c r="K58" i="3"/>
  <c r="B59" i="3"/>
  <c r="I59" i="3"/>
  <c r="L59" i="3"/>
  <c r="G59" i="3"/>
  <c r="A60" i="3"/>
  <c r="A28" i="5"/>
  <c r="J28" i="5" s="1"/>
  <c r="A29" i="1"/>
  <c r="B45" i="3"/>
  <c r="L44" i="3"/>
  <c r="K44" i="3"/>
  <c r="K28" i="1"/>
  <c r="J29" i="1" l="1"/>
  <c r="B45" i="6"/>
  <c r="B31" i="1" s="1"/>
  <c r="K44" i="6"/>
  <c r="L44" i="6"/>
  <c r="A52" i="6"/>
  <c r="M41" i="8"/>
  <c r="L41" i="8"/>
  <c r="B42" i="8"/>
  <c r="B36" i="10"/>
  <c r="A37" i="10"/>
  <c r="K35" i="10"/>
  <c r="L35" i="10"/>
  <c r="K59" i="3"/>
  <c r="B60" i="3"/>
  <c r="I60" i="3"/>
  <c r="L60" i="3"/>
  <c r="G60" i="3"/>
  <c r="A61" i="3"/>
  <c r="A29" i="5"/>
  <c r="J29" i="5" s="1"/>
  <c r="A30" i="1"/>
  <c r="J30" i="1" s="1"/>
  <c r="L45" i="3"/>
  <c r="K45" i="3"/>
  <c r="B30" i="5"/>
  <c r="K30" i="5" s="1"/>
  <c r="B46" i="3"/>
  <c r="K29" i="1"/>
  <c r="L45" i="6" l="1"/>
  <c r="B46" i="6"/>
  <c r="B32" i="1" s="1"/>
  <c r="K45" i="6"/>
  <c r="A53" i="6"/>
  <c r="M42" i="8"/>
  <c r="L42" i="8"/>
  <c r="B43" i="8"/>
  <c r="K36" i="10"/>
  <c r="L36" i="10"/>
  <c r="B37" i="10"/>
  <c r="L37" i="10" s="1"/>
  <c r="A38" i="10"/>
  <c r="K60" i="3"/>
  <c r="I61" i="3"/>
  <c r="B61" i="3"/>
  <c r="L61" i="3"/>
  <c r="G61" i="3"/>
  <c r="A62" i="3"/>
  <c r="A30" i="5"/>
  <c r="J30" i="5" s="1"/>
  <c r="A31" i="1"/>
  <c r="K30" i="1"/>
  <c r="K46" i="3"/>
  <c r="L46" i="3"/>
  <c r="B31" i="5"/>
  <c r="K31" i="5" s="1"/>
  <c r="B47" i="3"/>
  <c r="J31" i="1" l="1"/>
  <c r="L46" i="6"/>
  <c r="K46" i="6"/>
  <c r="B47" i="6"/>
  <c r="B33" i="1" s="1"/>
  <c r="A54" i="6"/>
  <c r="M43" i="8"/>
  <c r="L43" i="8"/>
  <c r="B44" i="8"/>
  <c r="B38" i="10"/>
  <c r="A39" i="10"/>
  <c r="K37" i="10"/>
  <c r="K61" i="3"/>
  <c r="B62" i="3"/>
  <c r="I62" i="3"/>
  <c r="L62" i="3"/>
  <c r="G62" i="3"/>
  <c r="A63" i="3"/>
  <c r="A31" i="5"/>
  <c r="J31" i="5" s="1"/>
  <c r="A32" i="1"/>
  <c r="J32" i="1" s="1"/>
  <c r="K31" i="1"/>
  <c r="B32" i="5"/>
  <c r="K32" i="5" s="1"/>
  <c r="K47" i="3"/>
  <c r="L47" i="3"/>
  <c r="B48" i="3"/>
  <c r="B48" i="6" l="1"/>
  <c r="L47" i="6"/>
  <c r="K47" i="6"/>
  <c r="L54" i="6"/>
  <c r="G54" i="6"/>
  <c r="I54" i="6"/>
  <c r="A55" i="6"/>
  <c r="M44" i="8"/>
  <c r="L44" i="8"/>
  <c r="L108" i="8" s="1"/>
  <c r="B39" i="10"/>
  <c r="A40" i="10"/>
  <c r="K38" i="10"/>
  <c r="L38" i="10"/>
  <c r="K62" i="3"/>
  <c r="I63" i="3"/>
  <c r="B63" i="3"/>
  <c r="L63" i="3"/>
  <c r="G63" i="3"/>
  <c r="A64" i="3"/>
  <c r="A32" i="5"/>
  <c r="J32" i="5" s="1"/>
  <c r="A33" i="1"/>
  <c r="J33" i="1" s="1"/>
  <c r="K32" i="1"/>
  <c r="L48" i="3"/>
  <c r="K48" i="3"/>
  <c r="B33" i="5"/>
  <c r="K33" i="5" s="1"/>
  <c r="B49" i="3"/>
  <c r="B49" i="6" l="1"/>
  <c r="B34" i="1"/>
  <c r="B34" i="5" s="1"/>
  <c r="K34" i="5" s="1"/>
  <c r="B50" i="6"/>
  <c r="B36" i="1" s="1"/>
  <c r="L49" i="6"/>
  <c r="K48" i="6"/>
  <c r="L48" i="6"/>
  <c r="I55" i="6"/>
  <c r="G55" i="6"/>
  <c r="L55" i="6"/>
  <c r="A56" i="6"/>
  <c r="B40" i="10"/>
  <c r="A41" i="10"/>
  <c r="K39" i="10"/>
  <c r="L39" i="10"/>
  <c r="K63" i="3"/>
  <c r="B64" i="3"/>
  <c r="I64" i="3"/>
  <c r="L64" i="3"/>
  <c r="G64" i="3"/>
  <c r="A65" i="3"/>
  <c r="A33" i="5"/>
  <c r="J33" i="5" s="1"/>
  <c r="A34" i="1"/>
  <c r="K33" i="1"/>
  <c r="L49" i="3"/>
  <c r="K49" i="3"/>
  <c r="B50" i="3"/>
  <c r="J34" i="1" l="1"/>
  <c r="B35" i="1"/>
  <c r="B35" i="5" s="1"/>
  <c r="K35" i="5" s="1"/>
  <c r="K49" i="6"/>
  <c r="B51" i="6"/>
  <c r="B37" i="1" s="1"/>
  <c r="L50" i="6"/>
  <c r="K50" i="6"/>
  <c r="I56" i="6"/>
  <c r="L56" i="6"/>
  <c r="G56" i="6"/>
  <c r="A57" i="6"/>
  <c r="K40" i="10"/>
  <c r="L40" i="10"/>
  <c r="B41" i="10"/>
  <c r="K41" i="10" s="1"/>
  <c r="L41" i="10"/>
  <c r="A42" i="10"/>
  <c r="K64" i="3"/>
  <c r="I65" i="3"/>
  <c r="L65" i="3"/>
  <c r="B65" i="3"/>
  <c r="G65" i="3"/>
  <c r="A66" i="3"/>
  <c r="A34" i="5"/>
  <c r="J34" i="5" s="1"/>
  <c r="A35" i="1"/>
  <c r="K34" i="1"/>
  <c r="K50" i="3"/>
  <c r="L50" i="3"/>
  <c r="B51" i="3"/>
  <c r="I35" i="1" l="1"/>
  <c r="G35" i="1"/>
  <c r="J35" i="1"/>
  <c r="B52" i="6"/>
  <c r="B38" i="1" s="1"/>
  <c r="L51" i="6"/>
  <c r="K51" i="6"/>
  <c r="G57" i="6"/>
  <c r="L57" i="6"/>
  <c r="I57" i="6"/>
  <c r="A58" i="6"/>
  <c r="B42" i="10"/>
  <c r="K42" i="10" s="1"/>
  <c r="A43" i="10"/>
  <c r="L42" i="10"/>
  <c r="K65" i="3"/>
  <c r="B66" i="3"/>
  <c r="I66" i="3"/>
  <c r="L66" i="3"/>
  <c r="G66" i="3"/>
  <c r="A67" i="3"/>
  <c r="A35" i="5"/>
  <c r="J35" i="5" s="1"/>
  <c r="A36" i="1"/>
  <c r="B54" i="6"/>
  <c r="B40" i="1" s="1"/>
  <c r="K35" i="1"/>
  <c r="B36" i="5"/>
  <c r="K36" i="5" s="1"/>
  <c r="L51" i="3"/>
  <c r="K51" i="3"/>
  <c r="B52" i="3"/>
  <c r="J36" i="1" l="1"/>
  <c r="I36" i="1"/>
  <c r="G36" i="1"/>
  <c r="B53" i="6"/>
  <c r="K52" i="6"/>
  <c r="L52" i="6"/>
  <c r="G58" i="6"/>
  <c r="I58" i="6"/>
  <c r="L58" i="6"/>
  <c r="A59" i="6"/>
  <c r="B43" i="10"/>
  <c r="K43" i="10" s="1"/>
  <c r="L43" i="10"/>
  <c r="A44" i="10"/>
  <c r="K66" i="3"/>
  <c r="I67" i="3"/>
  <c r="B67" i="3"/>
  <c r="L67" i="3"/>
  <c r="G67" i="3"/>
  <c r="A68" i="3"/>
  <c r="A36" i="5"/>
  <c r="J36" i="5" s="1"/>
  <c r="A37" i="1"/>
  <c r="B55" i="6"/>
  <c r="B41" i="1" s="1"/>
  <c r="B41" i="5" s="1"/>
  <c r="K36" i="1"/>
  <c r="L52" i="3"/>
  <c r="K52" i="3"/>
  <c r="B37" i="5"/>
  <c r="K37" i="5" s="1"/>
  <c r="B53" i="3"/>
  <c r="K54" i="6" l="1"/>
  <c r="B39" i="1"/>
  <c r="J37" i="1"/>
  <c r="G37" i="1"/>
  <c r="I37" i="1"/>
  <c r="K53" i="6"/>
  <c r="L53" i="6"/>
  <c r="L59" i="6"/>
  <c r="I59" i="6"/>
  <c r="G59" i="6"/>
  <c r="A60" i="6"/>
  <c r="L44" i="10"/>
  <c r="A45" i="10"/>
  <c r="B44" i="10"/>
  <c r="K44" i="10" s="1"/>
  <c r="K55" i="6"/>
  <c r="K67" i="3"/>
  <c r="I68" i="3"/>
  <c r="L68" i="3"/>
  <c r="B68" i="3"/>
  <c r="G68" i="3"/>
  <c r="A69" i="3"/>
  <c r="A37" i="5"/>
  <c r="J37" i="5" s="1"/>
  <c r="A38" i="1"/>
  <c r="B56" i="6"/>
  <c r="B42" i="1" s="1"/>
  <c r="K37" i="1"/>
  <c r="L53" i="3"/>
  <c r="K53" i="3"/>
  <c r="B38" i="5"/>
  <c r="K38" i="5" s="1"/>
  <c r="B54" i="3"/>
  <c r="B42" i="5" l="1"/>
  <c r="K42" i="5" s="1"/>
  <c r="K42" i="1"/>
  <c r="I38" i="1"/>
  <c r="J38" i="1"/>
  <c r="G38" i="1"/>
  <c r="K41" i="1"/>
  <c r="B40" i="5"/>
  <c r="K41" i="5" s="1"/>
  <c r="L60" i="6"/>
  <c r="I60" i="6"/>
  <c r="G60" i="6"/>
  <c r="A61" i="6"/>
  <c r="B45" i="10"/>
  <c r="K45" i="10" s="1"/>
  <c r="L45" i="10"/>
  <c r="A46" i="10"/>
  <c r="K56" i="6"/>
  <c r="K68" i="3"/>
  <c r="B69" i="3"/>
  <c r="I69" i="3"/>
  <c r="L69" i="3"/>
  <c r="G69" i="3"/>
  <c r="A70" i="3"/>
  <c r="A38" i="5"/>
  <c r="J38" i="5" s="1"/>
  <c r="A39" i="1"/>
  <c r="B57" i="6"/>
  <c r="B43" i="1" s="1"/>
  <c r="K38" i="1"/>
  <c r="K55" i="3"/>
  <c r="B39" i="5"/>
  <c r="K54" i="3"/>
  <c r="L54" i="3"/>
  <c r="K43" i="1" l="1"/>
  <c r="B43" i="5"/>
  <c r="K43" i="5" s="1"/>
  <c r="J39" i="1"/>
  <c r="I39" i="1"/>
  <c r="G39" i="1"/>
  <c r="L61" i="6"/>
  <c r="I61" i="6"/>
  <c r="G61" i="6"/>
  <c r="A62" i="6"/>
  <c r="B46" i="10"/>
  <c r="K46" i="10" s="1"/>
  <c r="L46" i="10"/>
  <c r="A47" i="10"/>
  <c r="K57" i="6"/>
  <c r="K40" i="5"/>
  <c r="K39" i="5"/>
  <c r="K69" i="3"/>
  <c r="I70" i="3"/>
  <c r="L70" i="3"/>
  <c r="B70" i="3"/>
  <c r="G70" i="3"/>
  <c r="A71" i="3"/>
  <c r="A39" i="5"/>
  <c r="J39" i="5" s="1"/>
  <c r="A40" i="1"/>
  <c r="B58" i="6"/>
  <c r="B44" i="1" s="1"/>
  <c r="K40" i="1"/>
  <c r="K39" i="1"/>
  <c r="B44" i="5" l="1"/>
  <c r="K44" i="5" s="1"/>
  <c r="K44" i="1"/>
  <c r="G40" i="1"/>
  <c r="I40" i="1"/>
  <c r="J40" i="1"/>
  <c r="L62" i="6"/>
  <c r="I62" i="6"/>
  <c r="G62" i="6"/>
  <c r="A63" i="6"/>
  <c r="B47" i="10"/>
  <c r="K47" i="10" s="1"/>
  <c r="L47" i="10"/>
  <c r="A48" i="10"/>
  <c r="K58" i="6"/>
  <c r="K70" i="3"/>
  <c r="B71" i="3"/>
  <c r="I71" i="3"/>
  <c r="L71" i="3"/>
  <c r="G71" i="3"/>
  <c r="A72" i="3"/>
  <c r="A40" i="5"/>
  <c r="J40" i="5" s="1"/>
  <c r="A41" i="1"/>
  <c r="B59" i="6"/>
  <c r="B45" i="1" s="1"/>
  <c r="B45" i="5" l="1"/>
  <c r="K45" i="5" s="1"/>
  <c r="K45" i="1"/>
  <c r="J41" i="1"/>
  <c r="I41" i="1"/>
  <c r="G41" i="1"/>
  <c r="L63" i="6"/>
  <c r="I63" i="6"/>
  <c r="G63" i="6"/>
  <c r="A64" i="6"/>
  <c r="L48" i="10"/>
  <c r="A49" i="10"/>
  <c r="B48" i="10"/>
  <c r="K48" i="10" s="1"/>
  <c r="K59" i="6"/>
  <c r="I40" i="5"/>
  <c r="G40" i="5"/>
  <c r="K71" i="3"/>
  <c r="B72" i="3"/>
  <c r="I72" i="3"/>
  <c r="L72" i="3"/>
  <c r="G72" i="3"/>
  <c r="A73" i="3"/>
  <c r="A41" i="5"/>
  <c r="J41" i="5" s="1"/>
  <c r="A42" i="1"/>
  <c r="B60" i="6"/>
  <c r="B46" i="1" s="1"/>
  <c r="K46" i="1" l="1"/>
  <c r="B46" i="5"/>
  <c r="K46" i="5" s="1"/>
  <c r="J42" i="1"/>
  <c r="I42" i="1"/>
  <c r="G42" i="1"/>
  <c r="L64" i="6"/>
  <c r="I64" i="6"/>
  <c r="G64" i="6"/>
  <c r="A65" i="6"/>
  <c r="A50" i="10"/>
  <c r="L49" i="10"/>
  <c r="B49" i="10"/>
  <c r="K49" i="10" s="1"/>
  <c r="K60" i="6"/>
  <c r="I41" i="5"/>
  <c r="G41" i="5"/>
  <c r="K72" i="3"/>
  <c r="I73" i="3"/>
  <c r="B73" i="3"/>
  <c r="L73" i="3"/>
  <c r="G73" i="3"/>
  <c r="A74" i="3"/>
  <c r="A43" i="1"/>
  <c r="A42" i="5"/>
  <c r="J42" i="5" s="1"/>
  <c r="B61" i="6"/>
  <c r="B47" i="1" s="1"/>
  <c r="B47" i="5" l="1"/>
  <c r="K47" i="5" s="1"/>
  <c r="K47" i="1"/>
  <c r="J43" i="1"/>
  <c r="I43" i="1"/>
  <c r="G43" i="1"/>
  <c r="L65" i="6"/>
  <c r="I65" i="6"/>
  <c r="G65" i="6"/>
  <c r="A66" i="6"/>
  <c r="B50" i="10"/>
  <c r="K50" i="10" s="1"/>
  <c r="L50" i="10"/>
  <c r="A51" i="10"/>
  <c r="K61" i="6"/>
  <c r="I42" i="5"/>
  <c r="G42" i="5"/>
  <c r="K73" i="3"/>
  <c r="B74" i="3"/>
  <c r="I74" i="3"/>
  <c r="L74" i="3"/>
  <c r="G74" i="3"/>
  <c r="A75" i="3"/>
  <c r="A44" i="1"/>
  <c r="A43" i="5"/>
  <c r="J43" i="5" s="1"/>
  <c r="B62" i="6"/>
  <c r="B48" i="1" s="1"/>
  <c r="K48" i="1" l="1"/>
  <c r="B48" i="5"/>
  <c r="K48" i="5" s="1"/>
  <c r="J44" i="1"/>
  <c r="I44" i="1"/>
  <c r="G44" i="1"/>
  <c r="L66" i="6"/>
  <c r="I66" i="6"/>
  <c r="G66" i="6"/>
  <c r="A67" i="6"/>
  <c r="B51" i="10"/>
  <c r="K51" i="10" s="1"/>
  <c r="L51" i="10"/>
  <c r="A52" i="10"/>
  <c r="K62" i="6"/>
  <c r="I43" i="5"/>
  <c r="G43" i="5"/>
  <c r="K74" i="3"/>
  <c r="I75" i="3"/>
  <c r="B75" i="3"/>
  <c r="L75" i="3"/>
  <c r="G75" i="3"/>
  <c r="A76" i="3"/>
  <c r="A45" i="1"/>
  <c r="A44" i="5"/>
  <c r="J44" i="5" s="1"/>
  <c r="B63" i="6"/>
  <c r="B49" i="1" s="1"/>
  <c r="B49" i="5" l="1"/>
  <c r="K49" i="5" s="1"/>
  <c r="K49" i="1"/>
  <c r="I45" i="1"/>
  <c r="G45" i="1"/>
  <c r="J45" i="1"/>
  <c r="L67" i="6"/>
  <c r="I67" i="6"/>
  <c r="G67" i="6"/>
  <c r="A68" i="6"/>
  <c r="B52" i="10"/>
  <c r="K52" i="10" s="1"/>
  <c r="L52" i="10"/>
  <c r="A53" i="10"/>
  <c r="K63" i="6"/>
  <c r="I44" i="5"/>
  <c r="G44" i="5"/>
  <c r="K75" i="3"/>
  <c r="B76" i="3"/>
  <c r="I76" i="3"/>
  <c r="L76" i="3"/>
  <c r="G76" i="3"/>
  <c r="A77" i="3"/>
  <c r="A46" i="1"/>
  <c r="A45" i="5"/>
  <c r="J45" i="5" s="1"/>
  <c r="B64" i="6"/>
  <c r="B50" i="1" s="1"/>
  <c r="K50" i="1" l="1"/>
  <c r="B50" i="5"/>
  <c r="K50" i="5" s="1"/>
  <c r="G46" i="1"/>
  <c r="J46" i="1"/>
  <c r="I46" i="1"/>
  <c r="L68" i="6"/>
  <c r="I68" i="6"/>
  <c r="G68" i="6"/>
  <c r="A69" i="6"/>
  <c r="B53" i="10"/>
  <c r="K53" i="10" s="1"/>
  <c r="L53" i="10"/>
  <c r="A54" i="10"/>
  <c r="K64" i="6"/>
  <c r="I45" i="5"/>
  <c r="G45" i="5"/>
  <c r="K76" i="3"/>
  <c r="I77" i="3"/>
  <c r="B77" i="3"/>
  <c r="L77" i="3"/>
  <c r="G77" i="3"/>
  <c r="A78" i="3"/>
  <c r="A47" i="1"/>
  <c r="A46" i="5"/>
  <c r="J46" i="5" s="1"/>
  <c r="B65" i="6"/>
  <c r="B51" i="1" s="1"/>
  <c r="K51" i="1" l="1"/>
  <c r="B51" i="5"/>
  <c r="K51" i="5" s="1"/>
  <c r="J47" i="1"/>
  <c r="I47" i="1"/>
  <c r="G47" i="1"/>
  <c r="L69" i="6"/>
  <c r="I69" i="6"/>
  <c r="G69" i="6"/>
  <c r="A70" i="6"/>
  <c r="B54" i="10"/>
  <c r="K54" i="10" s="1"/>
  <c r="L54" i="10"/>
  <c r="A55" i="10"/>
  <c r="K65" i="6"/>
  <c r="I46" i="5"/>
  <c r="G46" i="5"/>
  <c r="K77" i="3"/>
  <c r="B78" i="3"/>
  <c r="I78" i="3"/>
  <c r="L78" i="3"/>
  <c r="G78" i="3"/>
  <c r="A79" i="3"/>
  <c r="A48" i="1"/>
  <c r="A47" i="5"/>
  <c r="J47" i="5" s="1"/>
  <c r="B66" i="6"/>
  <c r="B52" i="1" s="1"/>
  <c r="K52" i="1" l="1"/>
  <c r="B52" i="5"/>
  <c r="K52" i="5" s="1"/>
  <c r="J48" i="1"/>
  <c r="I48" i="1"/>
  <c r="G48" i="1"/>
  <c r="L70" i="6"/>
  <c r="I70" i="6"/>
  <c r="G70" i="6"/>
  <c r="A71" i="6"/>
  <c r="B55" i="10"/>
  <c r="K55" i="10" s="1"/>
  <c r="L55" i="10"/>
  <c r="A56" i="10"/>
  <c r="K66" i="6"/>
  <c r="I47" i="5"/>
  <c r="G47" i="5"/>
  <c r="K78" i="3"/>
  <c r="I79" i="3"/>
  <c r="B79" i="3"/>
  <c r="L79" i="3"/>
  <c r="G79" i="3"/>
  <c r="A80" i="3"/>
  <c r="A49" i="1"/>
  <c r="A48" i="5"/>
  <c r="J48" i="5" s="1"/>
  <c r="B67" i="6"/>
  <c r="B53" i="1" s="1"/>
  <c r="K53" i="1" l="1"/>
  <c r="B53" i="5"/>
  <c r="K53" i="5" s="1"/>
  <c r="J49" i="1"/>
  <c r="I49" i="1"/>
  <c r="G49" i="1"/>
  <c r="L71" i="6"/>
  <c r="I71" i="6"/>
  <c r="G71" i="6"/>
  <c r="A72" i="6"/>
  <c r="B56" i="10"/>
  <c r="K56" i="10" s="1"/>
  <c r="L56" i="10"/>
  <c r="A57" i="10"/>
  <c r="K67" i="6"/>
  <c r="I48" i="5"/>
  <c r="G48" i="5"/>
  <c r="K79" i="3"/>
  <c r="B80" i="3"/>
  <c r="I80" i="3"/>
  <c r="L80" i="3"/>
  <c r="G80" i="3"/>
  <c r="A81" i="3"/>
  <c r="A50" i="1"/>
  <c r="A49" i="5"/>
  <c r="J49" i="5" s="1"/>
  <c r="B68" i="6"/>
  <c r="B54" i="1" s="1"/>
  <c r="B54" i="5" l="1"/>
  <c r="K54" i="5" s="1"/>
  <c r="K54" i="1"/>
  <c r="G50" i="1"/>
  <c r="J50" i="1"/>
  <c r="I50" i="1"/>
  <c r="L72" i="6"/>
  <c r="I72" i="6"/>
  <c r="G72" i="6"/>
  <c r="A73" i="6"/>
  <c r="B57" i="10"/>
  <c r="K57" i="10" s="1"/>
  <c r="L57" i="10"/>
  <c r="A58" i="10"/>
  <c r="K68" i="6"/>
  <c r="I49" i="5"/>
  <c r="G49" i="5"/>
  <c r="K80" i="3"/>
  <c r="I81" i="3"/>
  <c r="B81" i="3"/>
  <c r="L81" i="3"/>
  <c r="G81" i="3"/>
  <c r="A82" i="3"/>
  <c r="A51" i="1"/>
  <c r="A50" i="5"/>
  <c r="J50" i="5" s="1"/>
  <c r="B69" i="6"/>
  <c r="B55" i="1" s="1"/>
  <c r="K55" i="1" l="1"/>
  <c r="B55" i="5"/>
  <c r="K55" i="5" s="1"/>
  <c r="J51" i="1"/>
  <c r="I51" i="1"/>
  <c r="G51" i="1"/>
  <c r="L73" i="6"/>
  <c r="I73" i="6"/>
  <c r="G73" i="6"/>
  <c r="A74" i="6"/>
  <c r="B58" i="10"/>
  <c r="K58" i="10" s="1"/>
  <c r="L58" i="10"/>
  <c r="A59" i="10"/>
  <c r="K69" i="6"/>
  <c r="I50" i="5"/>
  <c r="G50" i="5"/>
  <c r="K81" i="3"/>
  <c r="B82" i="3"/>
  <c r="I82" i="3"/>
  <c r="L82" i="3"/>
  <c r="G82" i="3"/>
  <c r="A83" i="3"/>
  <c r="A52" i="1"/>
  <c r="A51" i="5"/>
  <c r="J51" i="5" s="1"/>
  <c r="B70" i="6"/>
  <c r="B56" i="1" s="1"/>
  <c r="K56" i="1" l="1"/>
  <c r="B56" i="5"/>
  <c r="K56" i="5" s="1"/>
  <c r="I52" i="1"/>
  <c r="J52" i="1"/>
  <c r="G52" i="1"/>
  <c r="L74" i="6"/>
  <c r="I74" i="6"/>
  <c r="G74" i="6"/>
  <c r="A75" i="6"/>
  <c r="B59" i="10"/>
  <c r="K59" i="10" s="1"/>
  <c r="L59" i="10"/>
  <c r="A60" i="10"/>
  <c r="K70" i="6"/>
  <c r="I51" i="5"/>
  <c r="G51" i="5"/>
  <c r="K82" i="3"/>
  <c r="I83" i="3"/>
  <c r="B83" i="3"/>
  <c r="L83" i="3"/>
  <c r="G83" i="3"/>
  <c r="A84" i="3"/>
  <c r="A53" i="1"/>
  <c r="A52" i="5"/>
  <c r="J52" i="5" s="1"/>
  <c r="B71" i="6"/>
  <c r="B57" i="1" s="1"/>
  <c r="K57" i="1" l="1"/>
  <c r="B57" i="5"/>
  <c r="K57" i="5" s="1"/>
  <c r="J53" i="1"/>
  <c r="I53" i="1"/>
  <c r="G53" i="1"/>
  <c r="L75" i="6"/>
  <c r="I75" i="6"/>
  <c r="G75" i="6"/>
  <c r="A76" i="6"/>
  <c r="B60" i="10"/>
  <c r="K60" i="10" s="1"/>
  <c r="L60" i="10"/>
  <c r="A61" i="10"/>
  <c r="K71" i="6"/>
  <c r="I52" i="5"/>
  <c r="G52" i="5"/>
  <c r="K83" i="3"/>
  <c r="B84" i="3"/>
  <c r="I84" i="3"/>
  <c r="L84" i="3"/>
  <c r="G84" i="3"/>
  <c r="A85" i="3"/>
  <c r="A54" i="1"/>
  <c r="A53" i="5"/>
  <c r="J53" i="5" s="1"/>
  <c r="B72" i="6"/>
  <c r="B58" i="1" s="1"/>
  <c r="K58" i="1" l="1"/>
  <c r="B58" i="5"/>
  <c r="K58" i="5" s="1"/>
  <c r="J54" i="1"/>
  <c r="I54" i="1"/>
  <c r="G54" i="1"/>
  <c r="L76" i="6"/>
  <c r="I76" i="6"/>
  <c r="G76" i="6"/>
  <c r="A77" i="6"/>
  <c r="B61" i="10"/>
  <c r="K61" i="10" s="1"/>
  <c r="L61" i="10"/>
  <c r="A62" i="10"/>
  <c r="K72" i="6"/>
  <c r="I53" i="5"/>
  <c r="G53" i="5"/>
  <c r="K84" i="3"/>
  <c r="B85" i="3"/>
  <c r="I85" i="3"/>
  <c r="L85" i="3"/>
  <c r="G85" i="3"/>
  <c r="A86" i="3"/>
  <c r="A55" i="1"/>
  <c r="A54" i="5"/>
  <c r="J54" i="5" s="1"/>
  <c r="B73" i="6"/>
  <c r="B59" i="1" s="1"/>
  <c r="B59" i="5" l="1"/>
  <c r="K59" i="5" s="1"/>
  <c r="K59" i="1"/>
  <c r="G55" i="1"/>
  <c r="J55" i="1"/>
  <c r="I55" i="1"/>
  <c r="L77" i="6"/>
  <c r="I77" i="6"/>
  <c r="G77" i="6"/>
  <c r="A78" i="6"/>
  <c r="B62" i="10"/>
  <c r="K62" i="10" s="1"/>
  <c r="L62" i="10"/>
  <c r="A63" i="10"/>
  <c r="K73" i="6"/>
  <c r="I54" i="5"/>
  <c r="G54" i="5"/>
  <c r="K85" i="3"/>
  <c r="I86" i="3"/>
  <c r="B86" i="3"/>
  <c r="L86" i="3"/>
  <c r="G86" i="3"/>
  <c r="A87" i="3"/>
  <c r="A56" i="1"/>
  <c r="A55" i="5"/>
  <c r="J55" i="5" s="1"/>
  <c r="B74" i="6"/>
  <c r="B60" i="1" s="1"/>
  <c r="K60" i="1" l="1"/>
  <c r="B60" i="5"/>
  <c r="K60" i="5" s="1"/>
  <c r="J56" i="1"/>
  <c r="I56" i="1"/>
  <c r="G56" i="1"/>
  <c r="L78" i="6"/>
  <c r="I78" i="6"/>
  <c r="G78" i="6"/>
  <c r="A79" i="6"/>
  <c r="A64" i="10"/>
  <c r="B63" i="10"/>
  <c r="K63" i="10" s="1"/>
  <c r="L63" i="10"/>
  <c r="K74" i="6"/>
  <c r="I55" i="5"/>
  <c r="G55" i="5"/>
  <c r="K86" i="3"/>
  <c r="B87" i="3"/>
  <c r="I87" i="3"/>
  <c r="L87" i="3"/>
  <c r="G87" i="3"/>
  <c r="A88" i="3"/>
  <c r="A57" i="1"/>
  <c r="A56" i="5"/>
  <c r="J56" i="5" s="1"/>
  <c r="B75" i="6"/>
  <c r="B61" i="1" s="1"/>
  <c r="B61" i="5" l="1"/>
  <c r="K61" i="5" s="1"/>
  <c r="K61" i="1"/>
  <c r="I57" i="1"/>
  <c r="J57" i="1"/>
  <c r="G57" i="1"/>
  <c r="L79" i="6"/>
  <c r="I79" i="6"/>
  <c r="G79" i="6"/>
  <c r="A80" i="6"/>
  <c r="B64" i="10"/>
  <c r="K64" i="10" s="1"/>
  <c r="L64" i="10"/>
  <c r="A65" i="10"/>
  <c r="K75" i="6"/>
  <c r="I56" i="5"/>
  <c r="G56" i="5"/>
  <c r="K87" i="3"/>
  <c r="I88" i="3"/>
  <c r="B88" i="3"/>
  <c r="L88" i="3"/>
  <c r="G88" i="3"/>
  <c r="A89" i="3"/>
  <c r="A58" i="1"/>
  <c r="A57" i="5"/>
  <c r="J57" i="5" s="1"/>
  <c r="B76" i="6"/>
  <c r="B62" i="1" s="1"/>
  <c r="K62" i="1" l="1"/>
  <c r="B62" i="5"/>
  <c r="K62" i="5" s="1"/>
  <c r="G58" i="1"/>
  <c r="J58" i="1"/>
  <c r="I58" i="1"/>
  <c r="L80" i="6"/>
  <c r="I80" i="6"/>
  <c r="G80" i="6"/>
  <c r="A81" i="6"/>
  <c r="L65" i="10"/>
  <c r="B65" i="10"/>
  <c r="K65" i="10" s="1"/>
  <c r="A66" i="10"/>
  <c r="K76" i="6"/>
  <c r="I57" i="5"/>
  <c r="G57" i="5"/>
  <c r="K88" i="3"/>
  <c r="B89" i="3"/>
  <c r="I89" i="3"/>
  <c r="L89" i="3"/>
  <c r="G89" i="3"/>
  <c r="A90" i="3"/>
  <c r="A59" i="1"/>
  <c r="A58" i="5"/>
  <c r="J58" i="5" s="1"/>
  <c r="B77" i="6"/>
  <c r="B63" i="1" s="1"/>
  <c r="B63" i="5" l="1"/>
  <c r="K63" i="5" s="1"/>
  <c r="K63" i="1"/>
  <c r="I59" i="1"/>
  <c r="G59" i="1"/>
  <c r="J59" i="1"/>
  <c r="L81" i="6"/>
  <c r="I81" i="6"/>
  <c r="G81" i="6"/>
  <c r="A82" i="6"/>
  <c r="B66" i="10"/>
  <c r="K66" i="10" s="1"/>
  <c r="A67" i="10"/>
  <c r="L66" i="10"/>
  <c r="K77" i="6"/>
  <c r="I58" i="5"/>
  <c r="G58" i="5"/>
  <c r="K89" i="3"/>
  <c r="I90" i="3"/>
  <c r="B90" i="3"/>
  <c r="L90" i="3"/>
  <c r="G90" i="3"/>
  <c r="A91" i="3"/>
  <c r="A60" i="1"/>
  <c r="A59" i="5"/>
  <c r="J59" i="5" s="1"/>
  <c r="B78" i="6"/>
  <c r="B64" i="1" s="1"/>
  <c r="K64" i="1" l="1"/>
  <c r="B64" i="5"/>
  <c r="K64" i="5" s="1"/>
  <c r="J60" i="1"/>
  <c r="G60" i="1"/>
  <c r="I60" i="1"/>
  <c r="L82" i="6"/>
  <c r="I82" i="6"/>
  <c r="G82" i="6"/>
  <c r="A83" i="6"/>
  <c r="A68" i="10"/>
  <c r="B67" i="10"/>
  <c r="K67" i="10" s="1"/>
  <c r="L67" i="10"/>
  <c r="K78" i="6"/>
  <c r="I59" i="5"/>
  <c r="G59" i="5"/>
  <c r="K90" i="3"/>
  <c r="B91" i="3"/>
  <c r="I91" i="3"/>
  <c r="L91" i="3"/>
  <c r="G91" i="3"/>
  <c r="A92" i="3"/>
  <c r="A61" i="1"/>
  <c r="A60" i="5"/>
  <c r="J60" i="5" s="1"/>
  <c r="B79" i="6"/>
  <c r="B65" i="1" s="1"/>
  <c r="B65" i="5" l="1"/>
  <c r="K65" i="5" s="1"/>
  <c r="K65" i="1"/>
  <c r="I61" i="1"/>
  <c r="J61" i="1"/>
  <c r="G61" i="1"/>
  <c r="L83" i="6"/>
  <c r="I83" i="6"/>
  <c r="G83" i="6"/>
  <c r="A84" i="6"/>
  <c r="B68" i="10"/>
  <c r="K68" i="10" s="1"/>
  <c r="A69" i="10"/>
  <c r="L68" i="10"/>
  <c r="K79" i="6"/>
  <c r="I60" i="5"/>
  <c r="G60" i="5"/>
  <c r="K91" i="3"/>
  <c r="I92" i="3"/>
  <c r="B92" i="3"/>
  <c r="L92" i="3"/>
  <c r="G92" i="3"/>
  <c r="A93" i="3"/>
  <c r="A62" i="1"/>
  <c r="A61" i="5"/>
  <c r="J61" i="5" s="1"/>
  <c r="B80" i="6"/>
  <c r="B66" i="1" s="1"/>
  <c r="K66" i="1" l="1"/>
  <c r="B66" i="5"/>
  <c r="K66" i="5" s="1"/>
  <c r="J62" i="1"/>
  <c r="G62" i="1"/>
  <c r="I62" i="1"/>
  <c r="L84" i="6"/>
  <c r="I84" i="6"/>
  <c r="G84" i="6"/>
  <c r="A85" i="6"/>
  <c r="B69" i="10"/>
  <c r="K69" i="10" s="1"/>
  <c r="L69" i="10"/>
  <c r="A70" i="10"/>
  <c r="K80" i="6"/>
  <c r="I61" i="5"/>
  <c r="G61" i="5"/>
  <c r="K92" i="3"/>
  <c r="B93" i="3"/>
  <c r="L93" i="3"/>
  <c r="I93" i="3"/>
  <c r="G93" i="3"/>
  <c r="A94" i="3"/>
  <c r="A63" i="1"/>
  <c r="A62" i="5"/>
  <c r="J62" i="5" s="1"/>
  <c r="B81" i="6"/>
  <c r="B67" i="1" s="1"/>
  <c r="K67" i="1" l="1"/>
  <c r="B67" i="5"/>
  <c r="K67" i="5" s="1"/>
  <c r="J63" i="1"/>
  <c r="G63" i="1"/>
  <c r="I63" i="1"/>
  <c r="L85" i="6"/>
  <c r="I85" i="6"/>
  <c r="G85" i="6"/>
  <c r="A86" i="6"/>
  <c r="L70" i="10"/>
  <c r="A71" i="10"/>
  <c r="B70" i="10"/>
  <c r="K70" i="10" s="1"/>
  <c r="K81" i="6"/>
  <c r="I62" i="5"/>
  <c r="G62" i="5"/>
  <c r="K93" i="3"/>
  <c r="B94" i="3"/>
  <c r="I94" i="3"/>
  <c r="L94" i="3"/>
  <c r="G94" i="3"/>
  <c r="A95" i="3"/>
  <c r="A64" i="1"/>
  <c r="A63" i="5"/>
  <c r="J63" i="5" s="1"/>
  <c r="B82" i="6"/>
  <c r="B68" i="1" s="1"/>
  <c r="B68" i="5" l="1"/>
  <c r="K68" i="5" s="1"/>
  <c r="K68" i="1"/>
  <c r="I64" i="1"/>
  <c r="G64" i="1"/>
  <c r="J64" i="1"/>
  <c r="L86" i="6"/>
  <c r="I86" i="6"/>
  <c r="G86" i="6"/>
  <c r="A87" i="6"/>
  <c r="B71" i="10"/>
  <c r="K71" i="10" s="1"/>
  <c r="L71" i="10"/>
  <c r="A72" i="10"/>
  <c r="K82" i="6"/>
  <c r="I63" i="5"/>
  <c r="G63" i="5"/>
  <c r="K94" i="3"/>
  <c r="B95" i="3"/>
  <c r="L95" i="3"/>
  <c r="I95" i="3"/>
  <c r="G95" i="3"/>
  <c r="A96" i="3"/>
  <c r="A65" i="1"/>
  <c r="A64" i="5"/>
  <c r="J64" i="5" s="1"/>
  <c r="B83" i="6"/>
  <c r="B69" i="1" s="1"/>
  <c r="B69" i="5" l="1"/>
  <c r="K69" i="5" s="1"/>
  <c r="K69" i="1"/>
  <c r="J65" i="1"/>
  <c r="I65" i="1"/>
  <c r="G65" i="1"/>
  <c r="L87" i="6"/>
  <c r="I87" i="6"/>
  <c r="G87" i="6"/>
  <c r="A88" i="6"/>
  <c r="B72" i="10"/>
  <c r="K72" i="10" s="1"/>
  <c r="L72" i="10"/>
  <c r="A73" i="10"/>
  <c r="K83" i="6"/>
  <c r="I64" i="5"/>
  <c r="G64" i="5"/>
  <c r="K95" i="3"/>
  <c r="L96" i="3"/>
  <c r="B96" i="3"/>
  <c r="I96" i="3"/>
  <c r="G96" i="3"/>
  <c r="A97" i="3"/>
  <c r="A66" i="1"/>
  <c r="A65" i="5"/>
  <c r="J65" i="5" s="1"/>
  <c r="B84" i="6"/>
  <c r="B70" i="1" s="1"/>
  <c r="B70" i="5" l="1"/>
  <c r="K70" i="5" s="1"/>
  <c r="K70" i="1"/>
  <c r="J66" i="1"/>
  <c r="G66" i="1"/>
  <c r="I66" i="1"/>
  <c r="L88" i="6"/>
  <c r="I88" i="6"/>
  <c r="G88" i="6"/>
  <c r="A89" i="6"/>
  <c r="A74" i="10"/>
  <c r="B73" i="10"/>
  <c r="K73" i="10" s="1"/>
  <c r="L73" i="10"/>
  <c r="K84" i="6"/>
  <c r="I65" i="5"/>
  <c r="G65" i="5"/>
  <c r="K96" i="3"/>
  <c r="B97" i="3"/>
  <c r="I97" i="3"/>
  <c r="L97" i="3"/>
  <c r="G97" i="3"/>
  <c r="A98" i="3"/>
  <c r="A67" i="1"/>
  <c r="A66" i="5"/>
  <c r="J66" i="5" s="1"/>
  <c r="B85" i="6"/>
  <c r="B71" i="1" s="1"/>
  <c r="B71" i="5" l="1"/>
  <c r="K71" i="5" s="1"/>
  <c r="K71" i="1"/>
  <c r="I67" i="1"/>
  <c r="J67" i="1"/>
  <c r="G67" i="1"/>
  <c r="L89" i="6"/>
  <c r="I89" i="6"/>
  <c r="G89" i="6"/>
  <c r="A90" i="6"/>
  <c r="B74" i="10"/>
  <c r="K74" i="10" s="1"/>
  <c r="L74" i="10"/>
  <c r="A75" i="10"/>
  <c r="K85" i="6"/>
  <c r="I66" i="5"/>
  <c r="G66" i="5"/>
  <c r="K97" i="3"/>
  <c r="L98" i="3"/>
  <c r="B98" i="3"/>
  <c r="I98" i="3"/>
  <c r="G98" i="3"/>
  <c r="A99" i="3"/>
  <c r="A68" i="1"/>
  <c r="A67" i="5"/>
  <c r="J67" i="5" s="1"/>
  <c r="B86" i="6"/>
  <c r="B72" i="1" s="1"/>
  <c r="B72" i="5" l="1"/>
  <c r="K72" i="5" s="1"/>
  <c r="K72" i="1"/>
  <c r="G68" i="1"/>
  <c r="I68" i="1"/>
  <c r="J68" i="1"/>
  <c r="L90" i="6"/>
  <c r="I90" i="6"/>
  <c r="G90" i="6"/>
  <c r="A91" i="6"/>
  <c r="B75" i="10"/>
  <c r="K75" i="10" s="1"/>
  <c r="L75" i="10"/>
  <c r="A76" i="10"/>
  <c r="K86" i="6"/>
  <c r="I67" i="5"/>
  <c r="G67" i="5"/>
  <c r="K98" i="3"/>
  <c r="B99" i="3"/>
  <c r="I99" i="3"/>
  <c r="L99" i="3"/>
  <c r="G99" i="3"/>
  <c r="A100" i="3"/>
  <c r="A69" i="1"/>
  <c r="A68" i="5"/>
  <c r="J68" i="5" s="1"/>
  <c r="B87" i="6"/>
  <c r="B73" i="1" s="1"/>
  <c r="K73" i="1" l="1"/>
  <c r="B73" i="5"/>
  <c r="K73" i="5" s="1"/>
  <c r="J69" i="1"/>
  <c r="I69" i="1"/>
  <c r="G69" i="1"/>
  <c r="L91" i="6"/>
  <c r="I91" i="6"/>
  <c r="G91" i="6"/>
  <c r="A92" i="6"/>
  <c r="B76" i="10"/>
  <c r="K76" i="10" s="1"/>
  <c r="L76" i="10"/>
  <c r="A77" i="10"/>
  <c r="K87" i="6"/>
  <c r="I68" i="5"/>
  <c r="G68" i="5"/>
  <c r="K99" i="3"/>
  <c r="B100" i="3"/>
  <c r="I100" i="3"/>
  <c r="L100" i="3"/>
  <c r="G100" i="3"/>
  <c r="A101" i="3"/>
  <c r="A70" i="1"/>
  <c r="A69" i="5"/>
  <c r="J69" i="5" s="1"/>
  <c r="B88" i="6"/>
  <c r="B74" i="1" s="1"/>
  <c r="B74" i="5" l="1"/>
  <c r="K74" i="5" s="1"/>
  <c r="K74" i="1"/>
  <c r="J70" i="1"/>
  <c r="G70" i="1"/>
  <c r="I70" i="1"/>
  <c r="L92" i="6"/>
  <c r="I92" i="6"/>
  <c r="G92" i="6"/>
  <c r="A93" i="6"/>
  <c r="B77" i="10"/>
  <c r="K77" i="10" s="1"/>
  <c r="L77" i="10"/>
  <c r="A78" i="10"/>
  <c r="K88" i="6"/>
  <c r="I69" i="5"/>
  <c r="G69" i="5"/>
  <c r="K100" i="3"/>
  <c r="B101" i="3"/>
  <c r="L101" i="3"/>
  <c r="I101" i="3"/>
  <c r="G101" i="3"/>
  <c r="A102" i="3"/>
  <c r="A71" i="1"/>
  <c r="A70" i="5"/>
  <c r="J70" i="5" s="1"/>
  <c r="B89" i="6"/>
  <c r="B75" i="1" s="1"/>
  <c r="K75" i="1" l="1"/>
  <c r="B75" i="5"/>
  <c r="K75" i="5" s="1"/>
  <c r="I71" i="1"/>
  <c r="J71" i="1"/>
  <c r="G71" i="1"/>
  <c r="L93" i="6"/>
  <c r="I93" i="6"/>
  <c r="G93" i="6"/>
  <c r="A94" i="6"/>
  <c r="B78" i="10"/>
  <c r="K78" i="10" s="1"/>
  <c r="L78" i="10"/>
  <c r="A79" i="10"/>
  <c r="K89" i="6"/>
  <c r="I70" i="5"/>
  <c r="G70" i="5"/>
  <c r="K101" i="3"/>
  <c r="B102" i="3"/>
  <c r="I102" i="3"/>
  <c r="L102" i="3"/>
  <c r="G102" i="3"/>
  <c r="A103" i="3"/>
  <c r="A72" i="1"/>
  <c r="A71" i="5"/>
  <c r="J71" i="5" s="1"/>
  <c r="B90" i="6"/>
  <c r="B76" i="1" s="1"/>
  <c r="B76" i="5" l="1"/>
  <c r="K76" i="5" s="1"/>
  <c r="K76" i="1"/>
  <c r="J72" i="1"/>
  <c r="I72" i="1"/>
  <c r="G72" i="1"/>
  <c r="L94" i="6"/>
  <c r="I94" i="6"/>
  <c r="G94" i="6"/>
  <c r="A95" i="6"/>
  <c r="B79" i="10"/>
  <c r="K79" i="10" s="1"/>
  <c r="L79" i="10"/>
  <c r="A80" i="10"/>
  <c r="K90" i="6"/>
  <c r="I71" i="5"/>
  <c r="G71" i="5"/>
  <c r="K102" i="3"/>
  <c r="B103" i="3"/>
  <c r="I103" i="3"/>
  <c r="L103" i="3"/>
  <c r="G103" i="3"/>
  <c r="A104" i="3"/>
  <c r="A73" i="1"/>
  <c r="A72" i="5"/>
  <c r="J72" i="5" s="1"/>
  <c r="B91" i="6"/>
  <c r="B77" i="1" s="1"/>
  <c r="K77" i="1" l="1"/>
  <c r="B77" i="5"/>
  <c r="K77" i="5" s="1"/>
  <c r="I73" i="1"/>
  <c r="J73" i="1"/>
  <c r="G73" i="1"/>
  <c r="L95" i="6"/>
  <c r="I95" i="6"/>
  <c r="G95" i="6"/>
  <c r="A96" i="6"/>
  <c r="B80" i="10"/>
  <c r="K80" i="10" s="1"/>
  <c r="L80" i="10"/>
  <c r="A81" i="10"/>
  <c r="K91" i="6"/>
  <c r="I72" i="5"/>
  <c r="G72" i="5"/>
  <c r="K103" i="3"/>
  <c r="B104" i="3"/>
  <c r="L104" i="3"/>
  <c r="I104" i="3"/>
  <c r="G104" i="3"/>
  <c r="A105" i="3"/>
  <c r="A74" i="1"/>
  <c r="A73" i="5"/>
  <c r="J73" i="5" s="1"/>
  <c r="B92" i="6"/>
  <c r="B78" i="1" s="1"/>
  <c r="K78" i="1" l="1"/>
  <c r="B78" i="5"/>
  <c r="K78" i="5" s="1"/>
  <c r="J74" i="1"/>
  <c r="G74" i="1"/>
  <c r="I74" i="1"/>
  <c r="L96" i="6"/>
  <c r="I96" i="6"/>
  <c r="G96" i="6"/>
  <c r="A97" i="6"/>
  <c r="B81" i="10"/>
  <c r="K81" i="10" s="1"/>
  <c r="L81" i="10"/>
  <c r="A82" i="10"/>
  <c r="K92" i="6"/>
  <c r="I73" i="5"/>
  <c r="G73" i="5"/>
  <c r="K104" i="3"/>
  <c r="B105" i="3"/>
  <c r="I105" i="3"/>
  <c r="L105" i="3"/>
  <c r="G105" i="3"/>
  <c r="A106" i="3"/>
  <c r="A75" i="1"/>
  <c r="A74" i="5"/>
  <c r="J74" i="5" s="1"/>
  <c r="B93" i="6"/>
  <c r="B79" i="1" s="1"/>
  <c r="K79" i="1" l="1"/>
  <c r="B79" i="5"/>
  <c r="K79" i="5" s="1"/>
  <c r="I75" i="1"/>
  <c r="J75" i="1"/>
  <c r="G75" i="1"/>
  <c r="L97" i="6"/>
  <c r="I97" i="6"/>
  <c r="G97" i="6"/>
  <c r="A98" i="6"/>
  <c r="B82" i="10"/>
  <c r="K82" i="10" s="1"/>
  <c r="L82" i="10"/>
  <c r="A83" i="10"/>
  <c r="K93" i="6"/>
  <c r="I74" i="5"/>
  <c r="G74" i="5"/>
  <c r="K105" i="3"/>
  <c r="B106" i="3"/>
  <c r="L106" i="3"/>
  <c r="I106" i="3"/>
  <c r="G106" i="3"/>
  <c r="A107" i="3"/>
  <c r="A76" i="1"/>
  <c r="A75" i="5"/>
  <c r="J75" i="5" s="1"/>
  <c r="B94" i="6"/>
  <c r="B80" i="1" s="1"/>
  <c r="K80" i="1" l="1"/>
  <c r="B80" i="5"/>
  <c r="K80" i="5" s="1"/>
  <c r="I76" i="1"/>
  <c r="J76" i="1"/>
  <c r="G76" i="1"/>
  <c r="L98" i="6"/>
  <c r="I98" i="6"/>
  <c r="G98" i="6"/>
  <c r="A99" i="6"/>
  <c r="L83" i="10"/>
  <c r="A84" i="10"/>
  <c r="B83" i="10"/>
  <c r="K83" i="10" s="1"/>
  <c r="K94" i="6"/>
  <c r="I75" i="5"/>
  <c r="G75" i="5"/>
  <c r="K106" i="3"/>
  <c r="B107" i="3"/>
  <c r="I107" i="3"/>
  <c r="L107" i="3"/>
  <c r="G107" i="3"/>
  <c r="A108" i="3"/>
  <c r="A77" i="1"/>
  <c r="A76" i="5"/>
  <c r="J76" i="5" s="1"/>
  <c r="B95" i="6"/>
  <c r="B81" i="1" s="1"/>
  <c r="B81" i="5" l="1"/>
  <c r="K81" i="5" s="1"/>
  <c r="K81" i="1"/>
  <c r="J77" i="1"/>
  <c r="G77" i="1"/>
  <c r="I77" i="1"/>
  <c r="L99" i="6"/>
  <c r="I99" i="6"/>
  <c r="G99" i="6"/>
  <c r="A100" i="6"/>
  <c r="L84" i="10"/>
  <c r="A85" i="10"/>
  <c r="B84" i="10"/>
  <c r="K84" i="10" s="1"/>
  <c r="K95" i="6"/>
  <c r="I76" i="5"/>
  <c r="G76" i="5"/>
  <c r="K107" i="3"/>
  <c r="B108" i="3"/>
  <c r="L108" i="3"/>
  <c r="I108" i="3"/>
  <c r="G108" i="3"/>
  <c r="A109" i="3"/>
  <c r="A78" i="1"/>
  <c r="A77" i="5"/>
  <c r="J77" i="5" s="1"/>
  <c r="B96" i="6"/>
  <c r="B82" i="1" s="1"/>
  <c r="B82" i="5" l="1"/>
  <c r="K82" i="5" s="1"/>
  <c r="K82" i="1"/>
  <c r="I78" i="1"/>
  <c r="G78" i="1"/>
  <c r="J78" i="1"/>
  <c r="L100" i="6"/>
  <c r="I100" i="6"/>
  <c r="G100" i="6"/>
  <c r="A101" i="6"/>
  <c r="B85" i="10"/>
  <c r="K85" i="10" s="1"/>
  <c r="A86" i="10"/>
  <c r="L85" i="10"/>
  <c r="K96" i="6"/>
  <c r="I77" i="5"/>
  <c r="G77" i="5"/>
  <c r="K108" i="3"/>
  <c r="B109" i="3"/>
  <c r="I109" i="3"/>
  <c r="L109" i="3"/>
  <c r="G109" i="3"/>
  <c r="A110" i="3"/>
  <c r="A79" i="1"/>
  <c r="A78" i="5"/>
  <c r="J78" i="5" s="1"/>
  <c r="B97" i="6"/>
  <c r="B83" i="1" s="1"/>
  <c r="K83" i="1" l="1"/>
  <c r="B83" i="5"/>
  <c r="K83" i="5" s="1"/>
  <c r="G79" i="1"/>
  <c r="J79" i="1"/>
  <c r="I79" i="1"/>
  <c r="L101" i="6"/>
  <c r="I101" i="6"/>
  <c r="G101" i="6"/>
  <c r="A102" i="6"/>
  <c r="B86" i="10"/>
  <c r="K86" i="10" s="1"/>
  <c r="L86" i="10"/>
  <c r="A87" i="10"/>
  <c r="K97" i="6"/>
  <c r="I78" i="5"/>
  <c r="G78" i="5"/>
  <c r="K109" i="3"/>
  <c r="B110" i="3"/>
  <c r="I110" i="3"/>
  <c r="L110" i="3"/>
  <c r="G110" i="3"/>
  <c r="A111" i="3"/>
  <c r="A80" i="1"/>
  <c r="A79" i="5"/>
  <c r="J79" i="5" s="1"/>
  <c r="B98" i="6"/>
  <c r="B84" i="1" s="1"/>
  <c r="K84" i="1" l="1"/>
  <c r="B84" i="5"/>
  <c r="K84" i="5" s="1"/>
  <c r="G80" i="1"/>
  <c r="J80" i="1"/>
  <c r="I80" i="1"/>
  <c r="L102" i="6"/>
  <c r="I102" i="6"/>
  <c r="G102" i="6"/>
  <c r="A103" i="6"/>
  <c r="L87" i="10"/>
  <c r="B87" i="10"/>
  <c r="K87" i="10" s="1"/>
  <c r="A88" i="10"/>
  <c r="K98" i="6"/>
  <c r="I79" i="5"/>
  <c r="G79" i="5"/>
  <c r="K110" i="3"/>
  <c r="I111" i="3"/>
  <c r="L111" i="3"/>
  <c r="L113" i="3" s="1"/>
  <c r="B111" i="3"/>
  <c r="G111" i="3"/>
  <c r="A81" i="1"/>
  <c r="A80" i="5"/>
  <c r="J80" i="5" s="1"/>
  <c r="B99" i="6"/>
  <c r="B85" i="1" s="1"/>
  <c r="B85" i="5" l="1"/>
  <c r="K85" i="5" s="1"/>
  <c r="K85" i="1"/>
  <c r="J81" i="1"/>
  <c r="G81" i="1"/>
  <c r="I81" i="1"/>
  <c r="L103" i="6"/>
  <c r="I103" i="6"/>
  <c r="G103" i="6"/>
  <c r="A104" i="6"/>
  <c r="L88" i="10"/>
  <c r="A89" i="10"/>
  <c r="B88" i="10"/>
  <c r="K88" i="10" s="1"/>
  <c r="K99" i="6"/>
  <c r="I80" i="5"/>
  <c r="G80" i="5"/>
  <c r="P32" i="3"/>
  <c r="K111" i="3"/>
  <c r="K113" i="3" s="1"/>
  <c r="A82" i="1"/>
  <c r="A81" i="5"/>
  <c r="J81" i="5" s="1"/>
  <c r="B100" i="6"/>
  <c r="B86" i="1" s="1"/>
  <c r="B86" i="5" l="1"/>
  <c r="K86" i="5" s="1"/>
  <c r="K86" i="1"/>
  <c r="I82" i="1"/>
  <c r="G82" i="1"/>
  <c r="J82" i="1"/>
  <c r="L104" i="6"/>
  <c r="I104" i="6"/>
  <c r="G104" i="6"/>
  <c r="A105" i="6"/>
  <c r="L89" i="10"/>
  <c r="A90" i="10"/>
  <c r="B89" i="10"/>
  <c r="K89" i="10" s="1"/>
  <c r="K100" i="6"/>
  <c r="I81" i="5"/>
  <c r="G81" i="5"/>
  <c r="A83" i="1"/>
  <c r="A82" i="5"/>
  <c r="J82" i="5" s="1"/>
  <c r="B101" i="6"/>
  <c r="B87" i="1" s="1"/>
  <c r="K87" i="1" l="1"/>
  <c r="B87" i="5"/>
  <c r="K87" i="5" s="1"/>
  <c r="G83" i="1"/>
  <c r="J83" i="1"/>
  <c r="I83" i="1"/>
  <c r="L105" i="6"/>
  <c r="I105" i="6"/>
  <c r="G105" i="6"/>
  <c r="A106" i="6"/>
  <c r="B90" i="10"/>
  <c r="K90" i="10" s="1"/>
  <c r="L90" i="10"/>
  <c r="A91" i="10"/>
  <c r="K101" i="6"/>
  <c r="I82" i="5"/>
  <c r="G82" i="5"/>
  <c r="A84" i="1"/>
  <c r="A83" i="5"/>
  <c r="J83" i="5" s="1"/>
  <c r="B102" i="6"/>
  <c r="B88" i="1" s="1"/>
  <c r="K88" i="1" l="1"/>
  <c r="B88" i="5"/>
  <c r="K88" i="5" s="1"/>
  <c r="G84" i="1"/>
  <c r="I84" i="1"/>
  <c r="J84" i="1"/>
  <c r="L106" i="6"/>
  <c r="I106" i="6"/>
  <c r="G106" i="6"/>
  <c r="A107" i="6"/>
  <c r="L91" i="10"/>
  <c r="A92" i="10"/>
  <c r="B91" i="10"/>
  <c r="K91" i="10" s="1"/>
  <c r="K102" i="6"/>
  <c r="I83" i="5"/>
  <c r="G83" i="5"/>
  <c r="A85" i="1"/>
  <c r="A84" i="5"/>
  <c r="J84" i="5" s="1"/>
  <c r="B103" i="6"/>
  <c r="B89" i="1" s="1"/>
  <c r="B89" i="5" l="1"/>
  <c r="K89" i="5" s="1"/>
  <c r="K89" i="1"/>
  <c r="J85" i="1"/>
  <c r="G85" i="1"/>
  <c r="I85" i="1"/>
  <c r="L107" i="6"/>
  <c r="I107" i="6"/>
  <c r="G107" i="6"/>
  <c r="A108" i="6"/>
  <c r="L92" i="10"/>
  <c r="B92" i="10"/>
  <c r="K92" i="10" s="1"/>
  <c r="A93" i="10"/>
  <c r="K103" i="6"/>
  <c r="I84" i="5"/>
  <c r="G84" i="5"/>
  <c r="A86" i="1"/>
  <c r="A85" i="5"/>
  <c r="J85" i="5" s="1"/>
  <c r="B104" i="6"/>
  <c r="B90" i="1" s="1"/>
  <c r="K90" i="1" l="1"/>
  <c r="B90" i="5"/>
  <c r="K90" i="5" s="1"/>
  <c r="I86" i="1"/>
  <c r="G86" i="1"/>
  <c r="J86" i="1"/>
  <c r="L108" i="6"/>
  <c r="I108" i="6"/>
  <c r="G108" i="6"/>
  <c r="A109" i="6"/>
  <c r="L93" i="10"/>
  <c r="A94" i="10"/>
  <c r="B93" i="10"/>
  <c r="K93" i="10" s="1"/>
  <c r="K104" i="6"/>
  <c r="I85" i="5"/>
  <c r="G85" i="5"/>
  <c r="A87" i="1"/>
  <c r="A86" i="5"/>
  <c r="J86" i="5" s="1"/>
  <c r="B105" i="6"/>
  <c r="B91" i="1" s="1"/>
  <c r="B91" i="5" l="1"/>
  <c r="K91" i="5" s="1"/>
  <c r="K91" i="1"/>
  <c r="G87" i="1"/>
  <c r="J87" i="1"/>
  <c r="I87" i="1"/>
  <c r="L109" i="6"/>
  <c r="I109" i="6"/>
  <c r="G109" i="6"/>
  <c r="A110" i="6"/>
  <c r="B94" i="10"/>
  <c r="K94" i="10" s="1"/>
  <c r="A95" i="10"/>
  <c r="L94" i="10"/>
  <c r="K105" i="6"/>
  <c r="I86" i="5"/>
  <c r="G86" i="5"/>
  <c r="A88" i="1"/>
  <c r="A87" i="5"/>
  <c r="J87" i="5" s="1"/>
  <c r="B106" i="6"/>
  <c r="B92" i="1" s="1"/>
  <c r="B92" i="5" l="1"/>
  <c r="K92" i="5" s="1"/>
  <c r="K92" i="1"/>
  <c r="G88" i="1"/>
  <c r="I88" i="1"/>
  <c r="J88" i="1"/>
  <c r="A112" i="6"/>
  <c r="L110" i="6"/>
  <c r="L112" i="6" s="1"/>
  <c r="I110" i="6"/>
  <c r="G110" i="6"/>
  <c r="L95" i="10"/>
  <c r="A96" i="10"/>
  <c r="B95" i="10"/>
  <c r="K95" i="10" s="1"/>
  <c r="K106" i="6"/>
  <c r="I87" i="5"/>
  <c r="G87" i="5"/>
  <c r="A89" i="1"/>
  <c r="A88" i="5"/>
  <c r="J88" i="5" s="1"/>
  <c r="B107" i="6"/>
  <c r="B93" i="1" s="1"/>
  <c r="K93" i="1" l="1"/>
  <c r="B93" i="5"/>
  <c r="K93" i="5" s="1"/>
  <c r="I89" i="1"/>
  <c r="G89" i="1"/>
  <c r="J89" i="1"/>
  <c r="L96" i="10"/>
  <c r="A97" i="10"/>
  <c r="B96" i="10"/>
  <c r="K96" i="10" s="1"/>
  <c r="K107" i="6"/>
  <c r="I88" i="5"/>
  <c r="G88" i="5"/>
  <c r="A90" i="1"/>
  <c r="A89" i="5"/>
  <c r="J89" i="5" s="1"/>
  <c r="B108" i="6"/>
  <c r="B94" i="1" s="1"/>
  <c r="K94" i="1" l="1"/>
  <c r="B94" i="5"/>
  <c r="K94" i="5" s="1"/>
  <c r="J90" i="1"/>
  <c r="G90" i="1"/>
  <c r="I90" i="1"/>
  <c r="B97" i="10"/>
  <c r="K97" i="10" s="1"/>
  <c r="L97" i="10"/>
  <c r="A98" i="10"/>
  <c r="K108" i="6"/>
  <c r="I89" i="5"/>
  <c r="G89" i="5"/>
  <c r="A91" i="1"/>
  <c r="A90" i="5"/>
  <c r="J90" i="5" s="1"/>
  <c r="B110" i="6"/>
  <c r="B109" i="6"/>
  <c r="B95" i="1" s="1"/>
  <c r="B96" i="1" l="1"/>
  <c r="P33" i="6"/>
  <c r="I16" i="1" s="1"/>
  <c r="K95" i="1"/>
  <c r="B95" i="5"/>
  <c r="K95" i="5" s="1"/>
  <c r="G91" i="1"/>
  <c r="J91" i="1"/>
  <c r="I91" i="1"/>
  <c r="L98" i="10"/>
  <c r="A99" i="10"/>
  <c r="B98" i="10"/>
  <c r="K98" i="10" s="1"/>
  <c r="K110" i="6"/>
  <c r="K109" i="6"/>
  <c r="I90" i="5"/>
  <c r="G90" i="5"/>
  <c r="A92" i="1"/>
  <c r="A91" i="5"/>
  <c r="J91" i="5" s="1"/>
  <c r="C16" i="1" l="1"/>
  <c r="I16" i="5"/>
  <c r="C16" i="5" s="1"/>
  <c r="K96" i="1"/>
  <c r="K98" i="1" s="1"/>
  <c r="K98" i="5" s="1"/>
  <c r="B96" i="5"/>
  <c r="K96" i="5" s="1"/>
  <c r="G92" i="1"/>
  <c r="J92" i="1"/>
  <c r="I92" i="1"/>
  <c r="B99" i="10"/>
  <c r="K99" i="10" s="1"/>
  <c r="L99" i="10"/>
  <c r="A100" i="10"/>
  <c r="K112" i="6"/>
  <c r="I91" i="5"/>
  <c r="G91" i="5"/>
  <c r="A93" i="1"/>
  <c r="A92" i="5"/>
  <c r="J92" i="5" s="1"/>
  <c r="I93" i="1" l="1"/>
  <c r="G93" i="1"/>
  <c r="J93" i="1"/>
  <c r="A101" i="10"/>
  <c r="L100" i="10"/>
  <c r="B100" i="10"/>
  <c r="K100" i="10" s="1"/>
  <c r="I92" i="5"/>
  <c r="G92" i="5"/>
  <c r="A94" i="1"/>
  <c r="A93" i="5"/>
  <c r="J93" i="5" s="1"/>
  <c r="G94" i="1" l="1"/>
  <c r="J94" i="1"/>
  <c r="I94" i="1"/>
  <c r="B101" i="10"/>
  <c r="K101" i="10" s="1"/>
  <c r="L101" i="10"/>
  <c r="A102" i="10"/>
  <c r="I93" i="5"/>
  <c r="G93" i="5"/>
  <c r="A95" i="1"/>
  <c r="A94" i="5"/>
  <c r="J94" i="5" s="1"/>
  <c r="J95" i="1" l="1"/>
  <c r="I95" i="1"/>
  <c r="G95" i="1"/>
  <c r="A104" i="10"/>
  <c r="B102" i="10"/>
  <c r="G102" i="10"/>
  <c r="L102" i="10"/>
  <c r="I94" i="5"/>
  <c r="G94" i="5"/>
  <c r="A96" i="1"/>
  <c r="A95" i="5"/>
  <c r="J95" i="5" s="1"/>
  <c r="G96" i="1" l="1"/>
  <c r="I96" i="1"/>
  <c r="J96" i="1"/>
  <c r="A98" i="1"/>
  <c r="K102" i="10"/>
  <c r="P19" i="10"/>
  <c r="I95" i="5"/>
  <c r="G95" i="5"/>
  <c r="A96" i="5"/>
  <c r="J96" i="5" s="1"/>
  <c r="J98" i="5" s="1"/>
  <c r="I96" i="5" l="1"/>
  <c r="G96" i="5"/>
  <c r="J98" i="1"/>
  <c r="I27" i="1" l="1"/>
  <c r="I30" i="1"/>
  <c r="I32" i="1"/>
  <c r="I26" i="1"/>
  <c r="I29" i="1"/>
  <c r="I33" i="1"/>
  <c r="I28" i="1"/>
  <c r="I31" i="1"/>
  <c r="I34" i="1"/>
  <c r="I25" i="1"/>
  <c r="C25" i="1" s="1"/>
  <c r="G26" i="1" l="1"/>
  <c r="C26" i="1" s="1"/>
  <c r="I98" i="1"/>
  <c r="G27" i="1" l="1"/>
  <c r="E25" i="1"/>
  <c r="I51" i="3"/>
  <c r="I54" i="3"/>
  <c r="I50" i="3"/>
  <c r="I52" i="3"/>
  <c r="I53" i="3"/>
  <c r="D25" i="1" l="1"/>
  <c r="E26" i="1"/>
  <c r="F25" i="1"/>
  <c r="D26" i="1" l="1"/>
  <c r="F26" i="1"/>
  <c r="H26" i="1" s="1"/>
  <c r="H25" i="1"/>
  <c r="L25" i="1"/>
  <c r="C27" i="1"/>
  <c r="G28" i="1" l="1"/>
  <c r="C28" i="1" s="1"/>
  <c r="E27" i="1"/>
  <c r="D27" i="1" s="1"/>
  <c r="F27" i="1" l="1"/>
  <c r="H27" i="1" s="1"/>
  <c r="E28" i="1"/>
  <c r="G29" i="1"/>
  <c r="L26" i="1"/>
  <c r="D28" i="1" l="1"/>
  <c r="F28" i="1"/>
  <c r="H28" i="1" s="1"/>
  <c r="L27" i="1"/>
  <c r="C29" i="1"/>
  <c r="G30" i="1" l="1"/>
  <c r="C30" i="1" s="1"/>
  <c r="E29" i="1"/>
  <c r="D29" i="1" s="1"/>
  <c r="F29" i="1" l="1"/>
  <c r="H29" i="1" s="1"/>
  <c r="E30" i="1"/>
  <c r="G31" i="1"/>
  <c r="L28" i="1"/>
  <c r="F30" i="1" l="1"/>
  <c r="H30" i="1" s="1"/>
  <c r="D30" i="1"/>
  <c r="C31" i="1"/>
  <c r="L29" i="1"/>
  <c r="G32" i="1" l="1"/>
  <c r="E31" i="1"/>
  <c r="D31" i="1" s="1"/>
  <c r="F31" i="1" l="1"/>
  <c r="H31" i="1" s="1"/>
  <c r="C32" i="1"/>
  <c r="L30" i="1"/>
  <c r="G33" i="1" l="1"/>
  <c r="C33" i="1" s="1"/>
  <c r="E32" i="1"/>
  <c r="D32" i="1" s="1"/>
  <c r="F32" i="1" l="1"/>
  <c r="H32" i="1" s="1"/>
  <c r="E33" i="1"/>
  <c r="G34" i="1"/>
  <c r="L31" i="1"/>
  <c r="F33" i="1" l="1"/>
  <c r="H33" i="1" s="1"/>
  <c r="D33" i="1"/>
  <c r="L32" i="1"/>
  <c r="C34" i="1" l="1"/>
  <c r="E34" i="1" l="1"/>
  <c r="D34" i="1" s="1"/>
  <c r="C35" i="1"/>
  <c r="L33" i="1"/>
  <c r="F34" i="1" l="1"/>
  <c r="H34" i="1" s="1"/>
  <c r="C36" i="1"/>
  <c r="C37" i="1" s="1"/>
  <c r="E35" i="1"/>
  <c r="E36" i="1" l="1"/>
  <c r="D36" i="1" s="1"/>
  <c r="L34" i="1"/>
  <c r="D35" i="1"/>
  <c r="F35" i="1"/>
  <c r="H35" i="1" l="1"/>
  <c r="L35" i="1"/>
  <c r="F36" i="1"/>
  <c r="H36" i="1" s="1"/>
  <c r="E37" i="1"/>
  <c r="F37" i="1" s="1"/>
  <c r="H37" i="1" s="1"/>
  <c r="C38" i="1"/>
  <c r="G98" i="1"/>
  <c r="D37" i="1" l="1"/>
  <c r="L36" i="1"/>
  <c r="E38" i="1"/>
  <c r="C39" i="1"/>
  <c r="L37" i="1"/>
  <c r="F38" i="1" l="1"/>
  <c r="D38" i="1"/>
  <c r="C40" i="1"/>
  <c r="E39" i="1"/>
  <c r="D39" i="1" s="1"/>
  <c r="H38" i="1" l="1"/>
  <c r="L38" i="1"/>
  <c r="E40" i="1"/>
  <c r="C41" i="1"/>
  <c r="F39" i="1"/>
  <c r="L39" i="1" l="1"/>
  <c r="H39" i="1"/>
  <c r="E41" i="1"/>
  <c r="D41" i="1" s="1"/>
  <c r="C42" i="1"/>
  <c r="D40" i="1"/>
  <c r="F40" i="1"/>
  <c r="H40" i="1" s="1"/>
  <c r="F41" i="1" l="1"/>
  <c r="H41" i="1" s="1"/>
  <c r="E42" i="1"/>
  <c r="C43" i="1"/>
  <c r="L40" i="1"/>
  <c r="F42" i="1" l="1"/>
  <c r="D42" i="1"/>
  <c r="E43" i="1"/>
  <c r="D43" i="1" s="1"/>
  <c r="C44" i="1"/>
  <c r="L41" i="1"/>
  <c r="H42" i="1" l="1"/>
  <c r="L42" i="1"/>
  <c r="F43" i="1"/>
  <c r="H43" i="1" s="1"/>
  <c r="E44" i="1"/>
  <c r="C45" i="1"/>
  <c r="D44" i="1" l="1"/>
  <c r="F44" i="1"/>
  <c r="E45" i="1"/>
  <c r="D45" i="1" s="1"/>
  <c r="C46" i="1"/>
  <c r="L43" i="1"/>
  <c r="H44" i="1" l="1"/>
  <c r="L44" i="1"/>
  <c r="F45" i="1"/>
  <c r="H45" i="1" s="1"/>
  <c r="E46" i="1"/>
  <c r="C47" i="1"/>
  <c r="E47" i="1" l="1"/>
  <c r="D47" i="1" s="1"/>
  <c r="C48" i="1"/>
  <c r="L45" i="1"/>
  <c r="F46" i="1"/>
  <c r="D46" i="1"/>
  <c r="H46" i="1" l="1"/>
  <c r="L46" i="1"/>
  <c r="F47" i="1"/>
  <c r="E48" i="1"/>
  <c r="C49" i="1"/>
  <c r="L47" i="1" l="1"/>
  <c r="H47" i="1"/>
  <c r="E49" i="1"/>
  <c r="D49" i="1" s="1"/>
  <c r="C50" i="1"/>
  <c r="F48" i="1"/>
  <c r="H48" i="1" s="1"/>
  <c r="D48" i="1"/>
  <c r="F49" i="1" l="1"/>
  <c r="H49" i="1" s="1"/>
  <c r="E50" i="1"/>
  <c r="C51" i="1"/>
  <c r="L48" i="1"/>
  <c r="E51" i="1" l="1"/>
  <c r="D51" i="1" s="1"/>
  <c r="C52" i="1"/>
  <c r="L49" i="1"/>
  <c r="F50" i="1"/>
  <c r="D50" i="1"/>
  <c r="H50" i="1" l="1"/>
  <c r="L50" i="1"/>
  <c r="F51" i="1"/>
  <c r="H51" i="1" s="1"/>
  <c r="E52" i="1"/>
  <c r="C53" i="1"/>
  <c r="E53" i="1" l="1"/>
  <c r="D53" i="1" s="1"/>
  <c r="C54" i="1"/>
  <c r="L51" i="1"/>
  <c r="D52" i="1"/>
  <c r="F52" i="1"/>
  <c r="H52" i="1" l="1"/>
  <c r="L52" i="1"/>
  <c r="F53" i="1"/>
  <c r="L53" i="1" s="1"/>
  <c r="E54" i="1"/>
  <c r="C55" i="1"/>
  <c r="C98" i="1" l="1"/>
  <c r="H53" i="1"/>
  <c r="E55" i="1"/>
  <c r="D55" i="1" s="1"/>
  <c r="C56" i="1"/>
  <c r="F54" i="1"/>
  <c r="H54" i="1" s="1"/>
  <c r="D54" i="1"/>
  <c r="F55" i="1" l="1"/>
  <c r="H55" i="1" s="1"/>
  <c r="E56" i="1"/>
  <c r="C57" i="1"/>
  <c r="L54" i="1"/>
  <c r="E57" i="1" l="1"/>
  <c r="D57" i="1" s="1"/>
  <c r="C58" i="1"/>
  <c r="L55" i="1"/>
  <c r="F56" i="1"/>
  <c r="D56" i="1"/>
  <c r="L56" i="1" l="1"/>
  <c r="H56" i="1"/>
  <c r="F57" i="1"/>
  <c r="H57" i="1" s="1"/>
  <c r="E58" i="1"/>
  <c r="C59" i="1"/>
  <c r="E59" i="1" l="1"/>
  <c r="D59" i="1" s="1"/>
  <c r="C60" i="1"/>
  <c r="L57" i="1"/>
  <c r="F58" i="1"/>
  <c r="H58" i="1" s="1"/>
  <c r="D58" i="1"/>
  <c r="F59" i="1" l="1"/>
  <c r="H59" i="1" s="1"/>
  <c r="E60" i="1"/>
  <c r="C61" i="1"/>
  <c r="L58" i="1"/>
  <c r="E61" i="1" l="1"/>
  <c r="D61" i="1" s="1"/>
  <c r="C62" i="1"/>
  <c r="L59" i="1"/>
  <c r="F60" i="1"/>
  <c r="D60" i="1"/>
  <c r="H60" i="1" l="1"/>
  <c r="L60" i="1"/>
  <c r="F61" i="1"/>
  <c r="H61" i="1" s="1"/>
  <c r="E62" i="1"/>
  <c r="C63" i="1"/>
  <c r="D62" i="1" l="1"/>
  <c r="F62" i="1"/>
  <c r="E63" i="1"/>
  <c r="D63" i="1" s="1"/>
  <c r="C64" i="1"/>
  <c r="L61" i="1"/>
  <c r="H62" i="1" l="1"/>
  <c r="L62" i="1"/>
  <c r="F63" i="1"/>
  <c r="E64" i="1"/>
  <c r="C65" i="1"/>
  <c r="L63" i="1" l="1"/>
  <c r="H63" i="1"/>
  <c r="E65" i="1"/>
  <c r="D65" i="1" s="1"/>
  <c r="C66" i="1"/>
  <c r="F64" i="1"/>
  <c r="D64" i="1"/>
  <c r="H64" i="1" l="1"/>
  <c r="L64" i="1"/>
  <c r="F65" i="1"/>
  <c r="E66" i="1"/>
  <c r="C67" i="1"/>
  <c r="L65" i="1" l="1"/>
  <c r="H65" i="1"/>
  <c r="E67" i="1"/>
  <c r="D67" i="1" s="1"/>
  <c r="C68" i="1"/>
  <c r="F66" i="1"/>
  <c r="H66" i="1" s="1"/>
  <c r="D66" i="1"/>
  <c r="F67" i="1" l="1"/>
  <c r="H67" i="1" s="1"/>
  <c r="E68" i="1"/>
  <c r="C69" i="1"/>
  <c r="L66" i="1"/>
  <c r="E69" i="1" l="1"/>
  <c r="D69" i="1" s="1"/>
  <c r="C70" i="1"/>
  <c r="L67" i="1"/>
  <c r="F68" i="1"/>
  <c r="D68" i="1"/>
  <c r="H68" i="1" l="1"/>
  <c r="L68" i="1"/>
  <c r="F69" i="1"/>
  <c r="H69" i="1" s="1"/>
  <c r="E70" i="1"/>
  <c r="C71" i="1"/>
  <c r="E71" i="1" l="1"/>
  <c r="D71" i="1" s="1"/>
  <c r="C72" i="1"/>
  <c r="L69" i="1"/>
  <c r="F70" i="1"/>
  <c r="H70" i="1" s="1"/>
  <c r="D70" i="1"/>
  <c r="F71" i="1" l="1"/>
  <c r="E72" i="1"/>
  <c r="C73" i="1"/>
  <c r="L70" i="1"/>
  <c r="L71" i="1" l="1"/>
  <c r="H71" i="1"/>
  <c r="E73" i="1"/>
  <c r="D73" i="1" s="1"/>
  <c r="C74" i="1"/>
  <c r="F72" i="1"/>
  <c r="H72" i="1" s="1"/>
  <c r="D72" i="1"/>
  <c r="F73" i="1" l="1"/>
  <c r="H73" i="1" s="1"/>
  <c r="E74" i="1"/>
  <c r="C75" i="1"/>
  <c r="L72" i="1"/>
  <c r="E75" i="1" l="1"/>
  <c r="D75" i="1" s="1"/>
  <c r="C76" i="1"/>
  <c r="L73" i="1"/>
  <c r="F74" i="1"/>
  <c r="H74" i="1" s="1"/>
  <c r="D74" i="1"/>
  <c r="F75" i="1" l="1"/>
  <c r="H75" i="1" s="1"/>
  <c r="E76" i="1"/>
  <c r="C77" i="1"/>
  <c r="L74" i="1"/>
  <c r="E77" i="1" l="1"/>
  <c r="D77" i="1" s="1"/>
  <c r="C78" i="1"/>
  <c r="L75" i="1"/>
  <c r="F76" i="1"/>
  <c r="H76" i="1" s="1"/>
  <c r="D76" i="1"/>
  <c r="F77" i="1" l="1"/>
  <c r="E78" i="1"/>
  <c r="C79" i="1"/>
  <c r="L76" i="1"/>
  <c r="H77" i="1" l="1"/>
  <c r="L77" i="1"/>
  <c r="E79" i="1"/>
  <c r="D79" i="1" s="1"/>
  <c r="C80" i="1"/>
  <c r="F78" i="1"/>
  <c r="D78" i="1"/>
  <c r="L78" i="1" l="1"/>
  <c r="H78" i="1"/>
  <c r="F79" i="1"/>
  <c r="H79" i="1" s="1"/>
  <c r="E80" i="1"/>
  <c r="C81" i="1"/>
  <c r="E81" i="1" l="1"/>
  <c r="D81" i="1" s="1"/>
  <c r="C82" i="1"/>
  <c r="L79" i="1"/>
  <c r="F80" i="1"/>
  <c r="D80" i="1"/>
  <c r="H80" i="1" l="1"/>
  <c r="L80" i="1"/>
  <c r="F81" i="1"/>
  <c r="H81" i="1" s="1"/>
  <c r="E82" i="1"/>
  <c r="C83" i="1"/>
  <c r="E83" i="1" l="1"/>
  <c r="D83" i="1" s="1"/>
  <c r="C84" i="1"/>
  <c r="L81" i="1"/>
  <c r="D82" i="1"/>
  <c r="F82" i="1"/>
  <c r="L82" i="1" l="1"/>
  <c r="H82" i="1"/>
  <c r="F83" i="1"/>
  <c r="E84" i="1"/>
  <c r="C85" i="1"/>
  <c r="L83" i="1" l="1"/>
  <c r="H83" i="1"/>
  <c r="E85" i="1"/>
  <c r="D85" i="1" s="1"/>
  <c r="C86" i="1"/>
  <c r="F84" i="1"/>
  <c r="D84" i="1"/>
  <c r="H84" i="1" l="1"/>
  <c r="L84" i="1"/>
  <c r="F85" i="1"/>
  <c r="H85" i="1" s="1"/>
  <c r="E86" i="1"/>
  <c r="C87" i="1"/>
  <c r="E87" i="1" l="1"/>
  <c r="D87" i="1" s="1"/>
  <c r="C88" i="1"/>
  <c r="L85" i="1"/>
  <c r="F86" i="1"/>
  <c r="D86" i="1"/>
  <c r="L86" i="1" l="1"/>
  <c r="H86" i="1"/>
  <c r="F87" i="1"/>
  <c r="H87" i="1" s="1"/>
  <c r="E88" i="1"/>
  <c r="C89" i="1"/>
  <c r="E89" i="1" l="1"/>
  <c r="D89" i="1" s="1"/>
  <c r="C90" i="1"/>
  <c r="L87" i="1"/>
  <c r="F88" i="1"/>
  <c r="D88" i="1"/>
  <c r="L88" i="1" l="1"/>
  <c r="H88" i="1"/>
  <c r="F89" i="1"/>
  <c r="E90" i="1"/>
  <c r="C91" i="1"/>
  <c r="L89" i="1" l="1"/>
  <c r="H89" i="1"/>
  <c r="F90" i="1"/>
  <c r="D90" i="1"/>
  <c r="E91" i="1"/>
  <c r="D91" i="1" s="1"/>
  <c r="C92" i="1"/>
  <c r="H90" i="1" l="1"/>
  <c r="L90" i="1"/>
  <c r="F91" i="1"/>
  <c r="H91" i="1" s="1"/>
  <c r="E92" i="1"/>
  <c r="C93" i="1"/>
  <c r="F92" i="1" l="1"/>
  <c r="D92" i="1"/>
  <c r="E93" i="1"/>
  <c r="D93" i="1" s="1"/>
  <c r="C94" i="1"/>
  <c r="L91" i="1"/>
  <c r="H92" i="1" l="1"/>
  <c r="L92" i="1"/>
  <c r="F93" i="1"/>
  <c r="H93" i="1" s="1"/>
  <c r="E94" i="1"/>
  <c r="C95" i="1"/>
  <c r="D94" i="1" l="1"/>
  <c r="F94" i="1"/>
  <c r="E95" i="1"/>
  <c r="D95" i="1" s="1"/>
  <c r="C96" i="1"/>
  <c r="L93" i="1"/>
  <c r="E96" i="1" l="1"/>
  <c r="H94" i="1"/>
  <c r="L94" i="1"/>
  <c r="F95" i="1"/>
  <c r="D96" i="1" l="1"/>
  <c r="F96" i="1"/>
  <c r="H95" i="1"/>
  <c r="L95" i="1"/>
  <c r="F98" i="1"/>
  <c r="H96" i="1" l="1"/>
  <c r="L96" i="1"/>
  <c r="I17" i="1" l="1"/>
  <c r="L98" i="1"/>
  <c r="L98" i="5" s="1"/>
  <c r="C17" i="1" l="1"/>
  <c r="I10" i="5"/>
  <c r="C10" i="5" l="1"/>
  <c r="C24" i="5" s="1"/>
  <c r="I34" i="5" s="1"/>
  <c r="C18" i="5"/>
  <c r="I35" i="5"/>
  <c r="I36" i="5"/>
  <c r="I37" i="5"/>
  <c r="I38" i="5"/>
  <c r="I39" i="5"/>
  <c r="C32" i="3"/>
  <c r="I33" i="5" l="1"/>
  <c r="I32" i="5"/>
  <c r="I31" i="5"/>
  <c r="I29" i="5"/>
  <c r="I28" i="5"/>
  <c r="I27" i="5"/>
  <c r="I26" i="5"/>
  <c r="I25" i="5"/>
  <c r="E24" i="5"/>
  <c r="I30" i="5"/>
  <c r="G25" i="5"/>
  <c r="C32" i="6"/>
  <c r="P22" i="6" s="1"/>
  <c r="Q22" i="6" s="1"/>
  <c r="I18" i="5"/>
  <c r="P22" i="3"/>
  <c r="I98" i="5" l="1"/>
  <c r="C25" i="5"/>
  <c r="E25" i="5" s="1"/>
  <c r="G26" i="5"/>
  <c r="C26" i="5" s="1"/>
  <c r="F25" i="5" l="1"/>
  <c r="D25" i="5"/>
  <c r="E26" i="5"/>
  <c r="G27" i="5"/>
  <c r="C27" i="5" s="1"/>
  <c r="G28" i="5" s="1"/>
  <c r="L25" i="5" l="1"/>
  <c r="H25" i="5"/>
  <c r="F26" i="5"/>
  <c r="D26" i="5"/>
  <c r="E27" i="5"/>
  <c r="C28" i="5"/>
  <c r="F27" i="5" l="1"/>
  <c r="D27" i="5"/>
  <c r="H26" i="5"/>
  <c r="L26" i="5"/>
  <c r="E28" i="5"/>
  <c r="G29" i="5"/>
  <c r="C29" i="5" s="1"/>
  <c r="L27" i="5" l="1"/>
  <c r="H27" i="5"/>
  <c r="F28" i="5"/>
  <c r="D28" i="5"/>
  <c r="G30" i="5"/>
  <c r="C30" i="5" s="1"/>
  <c r="G31" i="5" s="1"/>
  <c r="E29" i="5"/>
  <c r="H28" i="5" l="1"/>
  <c r="L28" i="5"/>
  <c r="E30" i="5"/>
  <c r="F29" i="5"/>
  <c r="D29" i="5"/>
  <c r="C31" i="5"/>
  <c r="F30" i="5" l="1"/>
  <c r="D30" i="5"/>
  <c r="L29" i="5"/>
  <c r="H29" i="5"/>
  <c r="E31" i="5"/>
  <c r="G32" i="5"/>
  <c r="C32" i="5" s="1"/>
  <c r="F31" i="5" l="1"/>
  <c r="D31" i="5"/>
  <c r="H30" i="5"/>
  <c r="L30" i="5"/>
  <c r="E32" i="5"/>
  <c r="G33" i="5"/>
  <c r="C33" i="5" s="1"/>
  <c r="L31" i="5" l="1"/>
  <c r="H31" i="5"/>
  <c r="F32" i="5"/>
  <c r="D32" i="5"/>
  <c r="E33" i="5"/>
  <c r="G34" i="5"/>
  <c r="L32" i="5" l="1"/>
  <c r="H32" i="5"/>
  <c r="F33" i="5"/>
  <c r="D33" i="5"/>
  <c r="C34" i="5"/>
  <c r="G35" i="5" s="1"/>
  <c r="H33" i="5" l="1"/>
  <c r="L33" i="5"/>
  <c r="E34" i="5"/>
  <c r="C35" i="5"/>
  <c r="G36" i="5" s="1"/>
  <c r="G50" i="3"/>
  <c r="F34" i="5" l="1"/>
  <c r="D34" i="5"/>
  <c r="C36" i="5"/>
  <c r="G37" i="5" s="1"/>
  <c r="E35" i="5"/>
  <c r="G51" i="3"/>
  <c r="C37" i="5" l="1"/>
  <c r="G38" i="5"/>
  <c r="E36" i="5"/>
  <c r="D35" i="5"/>
  <c r="F35" i="5"/>
  <c r="L34" i="5"/>
  <c r="H34" i="5"/>
  <c r="G52" i="3"/>
  <c r="C38" i="5" l="1"/>
  <c r="G39" i="5"/>
  <c r="F36" i="5"/>
  <c r="E37" i="5"/>
  <c r="D37" i="5" s="1"/>
  <c r="D36" i="5"/>
  <c r="H35" i="5"/>
  <c r="L35" i="5"/>
  <c r="G53" i="3"/>
  <c r="C39" i="5" l="1"/>
  <c r="C40" i="5" s="1"/>
  <c r="C41" i="5" s="1"/>
  <c r="G98" i="5"/>
  <c r="L36" i="5"/>
  <c r="H36" i="5"/>
  <c r="F37" i="5"/>
  <c r="E38" i="5"/>
  <c r="G54" i="3"/>
  <c r="H37" i="5" l="1"/>
  <c r="L37" i="5"/>
  <c r="E39" i="5"/>
  <c r="D38" i="5"/>
  <c r="F38" i="5"/>
  <c r="C42" i="5"/>
  <c r="E40" i="5" l="1"/>
  <c r="E41" i="5" s="1"/>
  <c r="D39" i="5"/>
  <c r="F39" i="5"/>
  <c r="H38" i="5"/>
  <c r="L38" i="5"/>
  <c r="C43" i="5"/>
  <c r="D40" i="5" l="1"/>
  <c r="F40" i="5"/>
  <c r="H39" i="5"/>
  <c r="L39" i="5"/>
  <c r="E42" i="5"/>
  <c r="D41" i="5"/>
  <c r="F41" i="5"/>
  <c r="C44" i="5"/>
  <c r="H40" i="5" l="1"/>
  <c r="L40" i="5"/>
  <c r="F42" i="5"/>
  <c r="E43" i="5"/>
  <c r="D42" i="5"/>
  <c r="H41" i="5"/>
  <c r="L41" i="5"/>
  <c r="C45" i="5"/>
  <c r="L42" i="5" l="1"/>
  <c r="H42" i="5"/>
  <c r="F43" i="5"/>
  <c r="E44" i="5"/>
  <c r="D43" i="5"/>
  <c r="C46" i="5"/>
  <c r="H43" i="5" l="1"/>
  <c r="L43" i="5"/>
  <c r="F44" i="5"/>
  <c r="E45" i="5"/>
  <c r="D44" i="5"/>
  <c r="C47" i="5"/>
  <c r="H44" i="5" l="1"/>
  <c r="L44" i="5"/>
  <c r="F45" i="5"/>
  <c r="E46" i="5"/>
  <c r="D45" i="5"/>
  <c r="C48" i="5"/>
  <c r="H45" i="5" l="1"/>
  <c r="L45" i="5"/>
  <c r="F46" i="5"/>
  <c r="E47" i="5"/>
  <c r="D46" i="5"/>
  <c r="C49" i="5"/>
  <c r="L46" i="5" l="1"/>
  <c r="H46" i="5"/>
  <c r="E48" i="5"/>
  <c r="D47" i="5"/>
  <c r="F47" i="5"/>
  <c r="C50" i="5"/>
  <c r="D48" i="5" l="1"/>
  <c r="E49" i="5"/>
  <c r="F48" i="5"/>
  <c r="H47" i="5"/>
  <c r="L47" i="5"/>
  <c r="C51" i="5"/>
  <c r="F49" i="5" l="1"/>
  <c r="E50" i="5"/>
  <c r="D49" i="5"/>
  <c r="H48" i="5"/>
  <c r="L48" i="5"/>
  <c r="C52" i="5"/>
  <c r="H49" i="5" l="1"/>
  <c r="L49" i="5"/>
  <c r="E51" i="5"/>
  <c r="D50" i="5"/>
  <c r="F50" i="5"/>
  <c r="C53" i="5"/>
  <c r="E52" i="5" l="1"/>
  <c r="E53" i="5" s="1"/>
  <c r="D51" i="5"/>
  <c r="F51" i="5"/>
  <c r="H50" i="5"/>
  <c r="L50" i="5"/>
  <c r="C54" i="5"/>
  <c r="F52" i="5" l="1"/>
  <c r="D52" i="5"/>
  <c r="H51" i="5"/>
  <c r="L51" i="5"/>
  <c r="E54" i="5"/>
  <c r="F53" i="5"/>
  <c r="D53" i="5"/>
  <c r="C55" i="5"/>
  <c r="H52" i="5" l="1"/>
  <c r="L52" i="5"/>
  <c r="C98" i="5"/>
  <c r="L53" i="5"/>
  <c r="H53" i="5"/>
  <c r="E55" i="5"/>
  <c r="F54" i="5"/>
  <c r="D54" i="5"/>
  <c r="C56" i="5"/>
  <c r="E56" i="5" l="1"/>
  <c r="D55" i="5"/>
  <c r="F55" i="5"/>
  <c r="L54" i="5"/>
  <c r="H54" i="5"/>
  <c r="C57" i="5"/>
  <c r="H55" i="5" l="1"/>
  <c r="L55" i="5"/>
  <c r="E57" i="5"/>
  <c r="F56" i="5"/>
  <c r="D56" i="5"/>
  <c r="C58" i="5"/>
  <c r="E58" i="5" l="1"/>
  <c r="F57" i="5"/>
  <c r="D57" i="5"/>
  <c r="L56" i="5"/>
  <c r="H56" i="5"/>
  <c r="C59" i="5"/>
  <c r="E59" i="5" l="1"/>
  <c r="F58" i="5"/>
  <c r="D58" i="5"/>
  <c r="L57" i="5"/>
  <c r="H57" i="5"/>
  <c r="C60" i="5"/>
  <c r="E60" i="5" l="1"/>
  <c r="F59" i="5"/>
  <c r="D59" i="5"/>
  <c r="H58" i="5"/>
  <c r="L58" i="5"/>
  <c r="C61" i="5"/>
  <c r="E61" i="5" l="1"/>
  <c r="F60" i="5"/>
  <c r="D60" i="5"/>
  <c r="H59" i="5"/>
  <c r="L59" i="5"/>
  <c r="C62" i="5"/>
  <c r="E62" i="5" l="1"/>
  <c r="F61" i="5"/>
  <c r="D61" i="5"/>
  <c r="L60" i="5"/>
  <c r="H60" i="5"/>
  <c r="C63" i="5"/>
  <c r="E63" i="5" l="1"/>
  <c r="L61" i="5"/>
  <c r="H61" i="5"/>
  <c r="F62" i="5"/>
  <c r="D62" i="5"/>
  <c r="C64" i="5"/>
  <c r="E64" i="5" l="1"/>
  <c r="F63" i="5"/>
  <c r="D63" i="5"/>
  <c r="L62" i="5"/>
  <c r="H62" i="5"/>
  <c r="C65" i="5"/>
  <c r="E65" i="5" l="1"/>
  <c r="F64" i="5"/>
  <c r="D64" i="5"/>
  <c r="L63" i="5"/>
  <c r="H63" i="5"/>
  <c r="C66" i="5"/>
  <c r="D65" i="5" l="1"/>
  <c r="F65" i="5"/>
  <c r="L64" i="5"/>
  <c r="H64" i="5"/>
  <c r="E66" i="5"/>
  <c r="C67" i="5"/>
  <c r="H65" i="5" l="1"/>
  <c r="L65" i="5"/>
  <c r="E67" i="5"/>
  <c r="F66" i="5"/>
  <c r="D66" i="5"/>
  <c r="C68" i="5"/>
  <c r="E68" i="5" l="1"/>
  <c r="F67" i="5"/>
  <c r="D67" i="5"/>
  <c r="H66" i="5"/>
  <c r="L66" i="5"/>
  <c r="C69" i="5"/>
  <c r="D68" i="5" l="1"/>
  <c r="F68" i="5"/>
  <c r="L67" i="5"/>
  <c r="H67" i="5"/>
  <c r="E69" i="5"/>
  <c r="C70" i="5"/>
  <c r="L68" i="5" l="1"/>
  <c r="H68" i="5"/>
  <c r="E70" i="5"/>
  <c r="F69" i="5"/>
  <c r="D69" i="5"/>
  <c r="C71" i="5"/>
  <c r="L69" i="5" l="1"/>
  <c r="H69" i="5"/>
  <c r="E71" i="5"/>
  <c r="F70" i="5"/>
  <c r="D70" i="5"/>
  <c r="C72" i="5"/>
  <c r="L70" i="5" l="1"/>
  <c r="H70" i="5"/>
  <c r="E72" i="5"/>
  <c r="F71" i="5"/>
  <c r="D71" i="5"/>
  <c r="C73" i="5"/>
  <c r="E73" i="5" l="1"/>
  <c r="F72" i="5"/>
  <c r="D72" i="5"/>
  <c r="H71" i="5"/>
  <c r="L71" i="5"/>
  <c r="C74" i="5"/>
  <c r="E74" i="5" l="1"/>
  <c r="F73" i="5"/>
  <c r="D73" i="5"/>
  <c r="H72" i="5"/>
  <c r="L72" i="5"/>
  <c r="C75" i="5"/>
  <c r="E75" i="5" l="1"/>
  <c r="F74" i="5"/>
  <c r="D74" i="5"/>
  <c r="L73" i="5"/>
  <c r="H73" i="5"/>
  <c r="C76" i="5"/>
  <c r="E76" i="5" l="1"/>
  <c r="F75" i="5"/>
  <c r="D75" i="5"/>
  <c r="H74" i="5"/>
  <c r="L74" i="5"/>
  <c r="C77" i="5"/>
  <c r="E77" i="5" l="1"/>
  <c r="F76" i="5"/>
  <c r="D76" i="5"/>
  <c r="L75" i="5"/>
  <c r="H75" i="5"/>
  <c r="C78" i="5"/>
  <c r="L76" i="5" l="1"/>
  <c r="H76" i="5"/>
  <c r="E78" i="5"/>
  <c r="F77" i="5"/>
  <c r="D77" i="5"/>
  <c r="C79" i="5"/>
  <c r="E79" i="5" l="1"/>
  <c r="F78" i="5"/>
  <c r="D78" i="5"/>
  <c r="L77" i="5"/>
  <c r="H77" i="5"/>
  <c r="C80" i="5"/>
  <c r="E80" i="5" l="1"/>
  <c r="F79" i="5"/>
  <c r="D79" i="5"/>
  <c r="L78" i="5"/>
  <c r="H78" i="5"/>
  <c r="C81" i="5"/>
  <c r="E81" i="5" l="1"/>
  <c r="F80" i="5"/>
  <c r="D80" i="5"/>
  <c r="L79" i="5"/>
  <c r="H79" i="5"/>
  <c r="C82" i="5"/>
  <c r="E82" i="5" l="1"/>
  <c r="F81" i="5"/>
  <c r="D81" i="5"/>
  <c r="L80" i="5"/>
  <c r="H80" i="5"/>
  <c r="C83" i="5"/>
  <c r="E83" i="5" l="1"/>
  <c r="F82" i="5"/>
  <c r="D82" i="5"/>
  <c r="L81" i="5"/>
  <c r="H81" i="5"/>
  <c r="C84" i="5"/>
  <c r="E84" i="5" l="1"/>
  <c r="F83" i="5"/>
  <c r="D83" i="5"/>
  <c r="L82" i="5"/>
  <c r="H82" i="5"/>
  <c r="C85" i="5"/>
  <c r="E85" i="5" l="1"/>
  <c r="F84" i="5"/>
  <c r="D84" i="5"/>
  <c r="H83" i="5"/>
  <c r="L83" i="5"/>
  <c r="C86" i="5"/>
  <c r="E86" i="5" l="1"/>
  <c r="F85" i="5"/>
  <c r="D85" i="5"/>
  <c r="H84" i="5"/>
  <c r="L84" i="5"/>
  <c r="C87" i="5"/>
  <c r="E87" i="5" l="1"/>
  <c r="F86" i="5"/>
  <c r="D86" i="5"/>
  <c r="L85" i="5"/>
  <c r="H85" i="5"/>
  <c r="C88" i="5"/>
  <c r="L86" i="5" l="1"/>
  <c r="H86" i="5"/>
  <c r="E88" i="5"/>
  <c r="F87" i="5"/>
  <c r="D87" i="5"/>
  <c r="C89" i="5"/>
  <c r="L87" i="5" l="1"/>
  <c r="H87" i="5"/>
  <c r="E89" i="5"/>
  <c r="F88" i="5"/>
  <c r="D88" i="5"/>
  <c r="C90" i="5"/>
  <c r="L88" i="5" l="1"/>
  <c r="H88" i="5"/>
  <c r="E90" i="5"/>
  <c r="F89" i="5"/>
  <c r="D89" i="5"/>
  <c r="C91" i="5"/>
  <c r="D90" i="5" l="1"/>
  <c r="F90" i="5"/>
  <c r="H89" i="5"/>
  <c r="L89" i="5"/>
  <c r="E91" i="5"/>
  <c r="C92" i="5"/>
  <c r="H90" i="5" l="1"/>
  <c r="L90" i="5"/>
  <c r="D91" i="5"/>
  <c r="F91" i="5"/>
  <c r="E92" i="5"/>
  <c r="C93" i="5"/>
  <c r="L91" i="5" l="1"/>
  <c r="H91" i="5"/>
  <c r="E93" i="5"/>
  <c r="F92" i="5"/>
  <c r="D92" i="5"/>
  <c r="C94" i="5"/>
  <c r="H92" i="5" l="1"/>
  <c r="L92" i="5"/>
  <c r="E94" i="5"/>
  <c r="F93" i="5"/>
  <c r="D93" i="5"/>
  <c r="C95" i="5"/>
  <c r="E95" i="5" l="1"/>
  <c r="F94" i="5"/>
  <c r="D94" i="5"/>
  <c r="H93" i="5"/>
  <c r="L93" i="5"/>
  <c r="C96" i="5"/>
  <c r="E96" i="5" l="1"/>
  <c r="D95" i="5"/>
  <c r="F95" i="5"/>
  <c r="H94" i="5"/>
  <c r="L94" i="5"/>
  <c r="D96" i="5" l="1"/>
  <c r="F96" i="5"/>
  <c r="L95" i="5"/>
  <c r="H95" i="5"/>
  <c r="F98" i="5" l="1"/>
  <c r="L96" i="5"/>
  <c r="H96" i="5"/>
  <c r="C17" i="5" l="1"/>
  <c r="C31" i="6" s="1"/>
  <c r="C38" i="6" s="1"/>
  <c r="P21" i="6" l="1"/>
  <c r="P19" i="6" s="1"/>
  <c r="T11" i="8"/>
  <c r="T9" i="8"/>
  <c r="I35" i="8"/>
  <c r="I17" i="5"/>
  <c r="C31" i="3"/>
  <c r="T11" i="10"/>
  <c r="Q21" i="6" l="1"/>
  <c r="P15" i="8"/>
  <c r="I108" i="8"/>
  <c r="T19" i="8" s="1"/>
  <c r="M35" i="8"/>
  <c r="C39" i="3"/>
  <c r="P21" i="3"/>
  <c r="P19" i="3" s="1"/>
  <c r="I32" i="10"/>
  <c r="M32" i="10" s="1"/>
  <c r="E30" i="10"/>
  <c r="I31" i="10"/>
  <c r="I33" i="10"/>
  <c r="M33" i="10" s="1"/>
  <c r="P6" i="3" l="1"/>
  <c r="P7" i="3" s="1"/>
  <c r="I43" i="3"/>
  <c r="I42" i="3"/>
  <c r="I48" i="3"/>
  <c r="I47" i="3"/>
  <c r="I44" i="3"/>
  <c r="E39" i="3"/>
  <c r="I46" i="3"/>
  <c r="I41" i="3"/>
  <c r="G40" i="3"/>
  <c r="I45" i="3"/>
  <c r="I40" i="3"/>
  <c r="I49" i="3"/>
  <c r="P17" i="10"/>
  <c r="C31" i="10"/>
  <c r="P8" i="10"/>
  <c r="I104" i="10"/>
  <c r="T19" i="10" s="1"/>
  <c r="I113" i="3" l="1"/>
  <c r="P28" i="3" s="1"/>
  <c r="C33" i="3"/>
  <c r="P14" i="3"/>
  <c r="C40" i="3"/>
  <c r="G32" i="10"/>
  <c r="C32" i="10" s="1"/>
  <c r="G33" i="10" s="1"/>
  <c r="C33" i="10" s="1"/>
  <c r="C34" i="10" s="1"/>
  <c r="C35" i="10" s="1"/>
  <c r="C36" i="10" s="1"/>
  <c r="C37" i="10" s="1"/>
  <c r="C38" i="10" s="1"/>
  <c r="M45" i="3" l="1"/>
  <c r="M46" i="3"/>
  <c r="M48" i="3"/>
  <c r="M52" i="3"/>
  <c r="M92" i="3"/>
  <c r="M93" i="3"/>
  <c r="M64" i="3"/>
  <c r="M50" i="3"/>
  <c r="M72" i="3"/>
  <c r="M88" i="3"/>
  <c r="M109" i="3"/>
  <c r="M108" i="3"/>
  <c r="M104" i="3"/>
  <c r="M100" i="3"/>
  <c r="M85" i="3"/>
  <c r="M79" i="3"/>
  <c r="M76" i="3"/>
  <c r="M58" i="3"/>
  <c r="M49" i="3"/>
  <c r="M41" i="3"/>
  <c r="M47" i="3"/>
  <c r="M91" i="3"/>
  <c r="M63" i="3"/>
  <c r="M55" i="3"/>
  <c r="M57" i="3"/>
  <c r="M106" i="3"/>
  <c r="M74" i="3"/>
  <c r="M86" i="3"/>
  <c r="M59" i="3"/>
  <c r="M42" i="3"/>
  <c r="M98" i="3"/>
  <c r="M102" i="3"/>
  <c r="M105" i="3"/>
  <c r="M67" i="3"/>
  <c r="M80" i="3"/>
  <c r="M83" i="3"/>
  <c r="M82" i="3"/>
  <c r="M97" i="3"/>
  <c r="M66" i="3"/>
  <c r="M56" i="3"/>
  <c r="M111" i="3"/>
  <c r="M90" i="3"/>
  <c r="M65" i="3"/>
  <c r="M40" i="3"/>
  <c r="M44" i="3"/>
  <c r="M43" i="3"/>
  <c r="M110" i="3"/>
  <c r="M54" i="3"/>
  <c r="M89" i="3"/>
  <c r="M70" i="3"/>
  <c r="M75" i="3"/>
  <c r="M60" i="3"/>
  <c r="M103" i="3"/>
  <c r="M53" i="3"/>
  <c r="M62" i="3"/>
  <c r="M81" i="3"/>
  <c r="M107" i="3"/>
  <c r="M99" i="3"/>
  <c r="M87" i="3"/>
  <c r="M69" i="3"/>
  <c r="M61" i="3"/>
  <c r="M95" i="3"/>
  <c r="M84" i="3"/>
  <c r="M71" i="3"/>
  <c r="M94" i="3"/>
  <c r="M68" i="3"/>
  <c r="M51" i="3"/>
  <c r="M101" i="3"/>
  <c r="M96" i="3"/>
  <c r="M77" i="3"/>
  <c r="M73" i="3"/>
  <c r="M78" i="3"/>
  <c r="E40" i="3"/>
  <c r="G41" i="3"/>
  <c r="C41" i="3" s="1"/>
  <c r="C39" i="10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E31" i="10"/>
  <c r="G104" i="10"/>
  <c r="T17" i="10" s="1"/>
  <c r="F40" i="3" l="1"/>
  <c r="D40" i="3"/>
  <c r="E41" i="3"/>
  <c r="G42" i="3"/>
  <c r="C42" i="3" s="1"/>
  <c r="M113" i="3"/>
  <c r="M37" i="3" s="1"/>
  <c r="M39" i="3" s="1"/>
  <c r="F31" i="10"/>
  <c r="N31" i="10" s="1"/>
  <c r="D31" i="10"/>
  <c r="E32" i="10"/>
  <c r="F32" i="10" s="1"/>
  <c r="N32" i="10" s="1"/>
  <c r="C104" i="10"/>
  <c r="G43" i="3" l="1"/>
  <c r="C43" i="3" s="1"/>
  <c r="E42" i="3"/>
  <c r="J40" i="3"/>
  <c r="N40" i="3"/>
  <c r="H40" i="3"/>
  <c r="F41" i="3"/>
  <c r="D41" i="3"/>
  <c r="H32" i="10"/>
  <c r="J32" i="10"/>
  <c r="H31" i="10"/>
  <c r="J31" i="10"/>
  <c r="E33" i="10"/>
  <c r="D32" i="10"/>
  <c r="D42" i="3" l="1"/>
  <c r="F42" i="3"/>
  <c r="H41" i="3"/>
  <c r="N41" i="3"/>
  <c r="J41" i="3"/>
  <c r="E34" i="10"/>
  <c r="D33" i="10"/>
  <c r="F33" i="10"/>
  <c r="E43" i="3"/>
  <c r="D43" i="3" s="1"/>
  <c r="G44" i="3"/>
  <c r="C44" i="3" s="1"/>
  <c r="H42" i="3" l="1"/>
  <c r="N42" i="3"/>
  <c r="J42" i="3"/>
  <c r="H33" i="10"/>
  <c r="J33" i="10"/>
  <c r="N33" i="10"/>
  <c r="E35" i="10"/>
  <c r="D34" i="10"/>
  <c r="F34" i="10"/>
  <c r="F43" i="3"/>
  <c r="G45" i="3"/>
  <c r="C45" i="3" s="1"/>
  <c r="E44" i="3"/>
  <c r="F35" i="10" l="1"/>
  <c r="J35" i="10" s="1"/>
  <c r="H34" i="10"/>
  <c r="J34" i="10"/>
  <c r="N34" i="10"/>
  <c r="D35" i="10"/>
  <c r="E36" i="10"/>
  <c r="F44" i="3"/>
  <c r="D44" i="3"/>
  <c r="N43" i="3"/>
  <c r="J43" i="3"/>
  <c r="H43" i="3"/>
  <c r="G46" i="3"/>
  <c r="C46" i="3" s="1"/>
  <c r="E45" i="3"/>
  <c r="D45" i="3" s="1"/>
  <c r="N35" i="10" l="1"/>
  <c r="H35" i="10"/>
  <c r="E37" i="10"/>
  <c r="D36" i="10"/>
  <c r="F36" i="10"/>
  <c r="H44" i="3"/>
  <c r="J44" i="3"/>
  <c r="N44" i="3"/>
  <c r="G47" i="3"/>
  <c r="C47" i="3" s="1"/>
  <c r="E46" i="3"/>
  <c r="F45" i="3"/>
  <c r="E38" i="10" l="1"/>
  <c r="D37" i="10"/>
  <c r="F37" i="10"/>
  <c r="N37" i="10" s="1"/>
  <c r="H36" i="10"/>
  <c r="N36" i="10"/>
  <c r="J36" i="10"/>
  <c r="D46" i="3"/>
  <c r="F46" i="3"/>
  <c r="G48" i="3"/>
  <c r="C48" i="3" s="1"/>
  <c r="E47" i="3"/>
  <c r="D47" i="3" s="1"/>
  <c r="N45" i="3"/>
  <c r="J45" i="3"/>
  <c r="H45" i="3"/>
  <c r="J37" i="10" l="1"/>
  <c r="H37" i="10"/>
  <c r="E39" i="10"/>
  <c r="F38" i="10"/>
  <c r="J38" i="10" s="1"/>
  <c r="D38" i="10"/>
  <c r="H46" i="3"/>
  <c r="N46" i="3"/>
  <c r="J46" i="3"/>
  <c r="E48" i="3"/>
  <c r="G49" i="3"/>
  <c r="F47" i="3"/>
  <c r="H38" i="10" l="1"/>
  <c r="N38" i="10"/>
  <c r="E40" i="10"/>
  <c r="F40" i="10" s="1"/>
  <c r="F39" i="10"/>
  <c r="N39" i="10" s="1"/>
  <c r="D39" i="10"/>
  <c r="D48" i="3"/>
  <c r="F48" i="3"/>
  <c r="H48" i="3" s="1"/>
  <c r="G113" i="3"/>
  <c r="P26" i="3" s="1"/>
  <c r="C49" i="3"/>
  <c r="N47" i="3"/>
  <c r="J47" i="3"/>
  <c r="H47" i="3"/>
  <c r="H39" i="10" l="1"/>
  <c r="J39" i="10"/>
  <c r="E41" i="10"/>
  <c r="D40" i="10"/>
  <c r="H40" i="10"/>
  <c r="N40" i="10"/>
  <c r="J40" i="10"/>
  <c r="J48" i="3"/>
  <c r="N48" i="3"/>
  <c r="E49" i="3"/>
  <c r="D49" i="3" s="1"/>
  <c r="C113" i="3"/>
  <c r="C50" i="3"/>
  <c r="E42" i="10" l="1"/>
  <c r="F41" i="10"/>
  <c r="D41" i="10"/>
  <c r="F49" i="3"/>
  <c r="E50" i="3"/>
  <c r="C51" i="3"/>
  <c r="E43" i="10" l="1"/>
  <c r="F42" i="10"/>
  <c r="J42" i="10" s="1"/>
  <c r="D42" i="10"/>
  <c r="J41" i="10"/>
  <c r="N41" i="10"/>
  <c r="H41" i="10"/>
  <c r="N49" i="3"/>
  <c r="J49" i="3"/>
  <c r="H49" i="3"/>
  <c r="E51" i="3"/>
  <c r="D51" i="3" s="1"/>
  <c r="C52" i="3"/>
  <c r="F50" i="3"/>
  <c r="D50" i="3"/>
  <c r="H42" i="10" l="1"/>
  <c r="N42" i="10"/>
  <c r="E44" i="10"/>
  <c r="D43" i="10"/>
  <c r="F43" i="10"/>
  <c r="N43" i="10" s="1"/>
  <c r="F51" i="3"/>
  <c r="E52" i="3"/>
  <c r="C53" i="3"/>
  <c r="J50" i="3"/>
  <c r="N50" i="3"/>
  <c r="H50" i="3"/>
  <c r="J43" i="10" l="1"/>
  <c r="H43" i="10"/>
  <c r="E45" i="10"/>
  <c r="F44" i="10"/>
  <c r="D44" i="10"/>
  <c r="N51" i="3"/>
  <c r="H51" i="3"/>
  <c r="J51" i="3"/>
  <c r="E53" i="3"/>
  <c r="D53" i="3" s="1"/>
  <c r="C54" i="3"/>
  <c r="F52" i="3"/>
  <c r="D52" i="3"/>
  <c r="H44" i="10" l="1"/>
  <c r="N44" i="10"/>
  <c r="J44" i="10"/>
  <c r="E46" i="10"/>
  <c r="D45" i="10"/>
  <c r="F45" i="10"/>
  <c r="F53" i="3"/>
  <c r="C55" i="3"/>
  <c r="E54" i="3"/>
  <c r="H52" i="3"/>
  <c r="N52" i="3"/>
  <c r="J52" i="3"/>
  <c r="N45" i="10" l="1"/>
  <c r="H45" i="10"/>
  <c r="J45" i="10"/>
  <c r="E47" i="10"/>
  <c r="F46" i="10"/>
  <c r="J46" i="10" s="1"/>
  <c r="D46" i="10"/>
  <c r="H53" i="3"/>
  <c r="N53" i="3"/>
  <c r="J53" i="3"/>
  <c r="C56" i="3"/>
  <c r="E55" i="3"/>
  <c r="D55" i="3" s="1"/>
  <c r="F54" i="3"/>
  <c r="D54" i="3"/>
  <c r="H46" i="10" l="1"/>
  <c r="N46" i="10"/>
  <c r="E48" i="10"/>
  <c r="F47" i="10"/>
  <c r="D47" i="10"/>
  <c r="C57" i="3"/>
  <c r="E56" i="3"/>
  <c r="F55" i="3"/>
  <c r="N54" i="3"/>
  <c r="H54" i="3"/>
  <c r="J54" i="3"/>
  <c r="J47" i="10" l="1"/>
  <c r="H47" i="10"/>
  <c r="N47" i="10"/>
  <c r="E49" i="10"/>
  <c r="F48" i="10"/>
  <c r="D48" i="10"/>
  <c r="E57" i="3"/>
  <c r="C58" i="3"/>
  <c r="H55" i="3"/>
  <c r="N55" i="3"/>
  <c r="J55" i="3"/>
  <c r="D56" i="3"/>
  <c r="F56" i="3"/>
  <c r="H48" i="10" l="1"/>
  <c r="N48" i="10"/>
  <c r="J48" i="10"/>
  <c r="E50" i="10"/>
  <c r="F49" i="10"/>
  <c r="D49" i="10"/>
  <c r="F57" i="3"/>
  <c r="D57" i="3"/>
  <c r="E58" i="3"/>
  <c r="C59" i="3"/>
  <c r="N56" i="3"/>
  <c r="H56" i="3"/>
  <c r="J56" i="3"/>
  <c r="J49" i="10" l="1"/>
  <c r="H49" i="10"/>
  <c r="N49" i="10"/>
  <c r="E51" i="10"/>
  <c r="D51" i="10" s="1"/>
  <c r="D50" i="10"/>
  <c r="F50" i="10"/>
  <c r="J50" i="10" s="1"/>
  <c r="D58" i="3"/>
  <c r="F58" i="3"/>
  <c r="H57" i="3"/>
  <c r="N57" i="3"/>
  <c r="J57" i="3"/>
  <c r="E59" i="3"/>
  <c r="D59" i="3" s="1"/>
  <c r="C60" i="3"/>
  <c r="H50" i="10" l="1"/>
  <c r="N50" i="10"/>
  <c r="E52" i="10"/>
  <c r="F52" i="10" s="1"/>
  <c r="F51" i="10"/>
  <c r="H51" i="10" s="1"/>
  <c r="J58" i="3"/>
  <c r="H58" i="3"/>
  <c r="N58" i="3"/>
  <c r="F59" i="3"/>
  <c r="E60" i="3"/>
  <c r="C61" i="3"/>
  <c r="N51" i="10" l="1"/>
  <c r="J51" i="10"/>
  <c r="E53" i="10"/>
  <c r="D52" i="10"/>
  <c r="H52" i="10"/>
  <c r="N52" i="10"/>
  <c r="J52" i="10"/>
  <c r="N59" i="3"/>
  <c r="H59" i="3"/>
  <c r="J59" i="3"/>
  <c r="E61" i="3"/>
  <c r="C62" i="3"/>
  <c r="D60" i="3"/>
  <c r="F60" i="3"/>
  <c r="E54" i="10" l="1"/>
  <c r="F53" i="10"/>
  <c r="J53" i="10" s="1"/>
  <c r="D53" i="10"/>
  <c r="F61" i="3"/>
  <c r="D61" i="3"/>
  <c r="E62" i="3"/>
  <c r="C63" i="3"/>
  <c r="H60" i="3"/>
  <c r="N60" i="3"/>
  <c r="J60" i="3"/>
  <c r="H53" i="10" l="1"/>
  <c r="N53" i="10"/>
  <c r="E55" i="10"/>
  <c r="D54" i="10"/>
  <c r="F54" i="10"/>
  <c r="J54" i="10" s="1"/>
  <c r="J61" i="3"/>
  <c r="H61" i="3"/>
  <c r="N61" i="3"/>
  <c r="F62" i="3"/>
  <c r="D62" i="3"/>
  <c r="C64" i="3"/>
  <c r="E63" i="3"/>
  <c r="H54" i="10" l="1"/>
  <c r="N54" i="10"/>
  <c r="E56" i="10"/>
  <c r="F55" i="10"/>
  <c r="N55" i="10" s="1"/>
  <c r="D55" i="10"/>
  <c r="H62" i="3"/>
  <c r="N62" i="3"/>
  <c r="J62" i="3"/>
  <c r="E64" i="3"/>
  <c r="C65" i="3"/>
  <c r="F63" i="3"/>
  <c r="D63" i="3"/>
  <c r="J55" i="10" l="1"/>
  <c r="H55" i="10"/>
  <c r="E57" i="10"/>
  <c r="D56" i="10"/>
  <c r="F56" i="10"/>
  <c r="J56" i="10" s="1"/>
  <c r="F64" i="3"/>
  <c r="D64" i="3"/>
  <c r="C66" i="3"/>
  <c r="E65" i="3"/>
  <c r="H63" i="3"/>
  <c r="N63" i="3"/>
  <c r="J63" i="3"/>
  <c r="H56" i="10" l="1"/>
  <c r="N56" i="10"/>
  <c r="E58" i="10"/>
  <c r="F58" i="10" s="1"/>
  <c r="F57" i="10"/>
  <c r="D57" i="10"/>
  <c r="N64" i="3"/>
  <c r="H64" i="3"/>
  <c r="J64" i="3"/>
  <c r="C67" i="3"/>
  <c r="E66" i="3"/>
  <c r="F65" i="3"/>
  <c r="D65" i="3"/>
  <c r="N57" i="10" l="1"/>
  <c r="H57" i="10"/>
  <c r="J57" i="10"/>
  <c r="E59" i="10"/>
  <c r="D58" i="10"/>
  <c r="H58" i="10"/>
  <c r="N58" i="10"/>
  <c r="J58" i="10"/>
  <c r="E67" i="3"/>
  <c r="C68" i="3"/>
  <c r="F66" i="3"/>
  <c r="D66" i="3"/>
  <c r="H65" i="3"/>
  <c r="N65" i="3"/>
  <c r="J65" i="3"/>
  <c r="E60" i="10" l="1"/>
  <c r="F59" i="10"/>
  <c r="D59" i="10"/>
  <c r="E68" i="3"/>
  <c r="C69" i="3"/>
  <c r="H66" i="3"/>
  <c r="N66" i="3"/>
  <c r="J66" i="3"/>
  <c r="F67" i="3"/>
  <c r="D67" i="3"/>
  <c r="J59" i="10" l="1"/>
  <c r="N59" i="10"/>
  <c r="H59" i="10"/>
  <c r="E61" i="10"/>
  <c r="F60" i="10"/>
  <c r="H60" i="10" s="1"/>
  <c r="D60" i="10"/>
  <c r="F68" i="3"/>
  <c r="D68" i="3"/>
  <c r="E69" i="3"/>
  <c r="C70" i="3"/>
  <c r="H67" i="3"/>
  <c r="N67" i="3"/>
  <c r="J67" i="3"/>
  <c r="J60" i="10" l="1"/>
  <c r="N60" i="10"/>
  <c r="E62" i="10"/>
  <c r="D61" i="10"/>
  <c r="F61" i="10"/>
  <c r="J61" i="10" s="1"/>
  <c r="H68" i="3"/>
  <c r="N68" i="3"/>
  <c r="J68" i="3"/>
  <c r="C71" i="3"/>
  <c r="E70" i="3"/>
  <c r="F69" i="3"/>
  <c r="D69" i="3"/>
  <c r="N61" i="10" l="1"/>
  <c r="H61" i="10"/>
  <c r="E63" i="10"/>
  <c r="D62" i="10"/>
  <c r="F62" i="10"/>
  <c r="E71" i="3"/>
  <c r="C72" i="3"/>
  <c r="F70" i="3"/>
  <c r="D70" i="3"/>
  <c r="H69" i="3"/>
  <c r="N69" i="3"/>
  <c r="J69" i="3"/>
  <c r="H62" i="10" l="1"/>
  <c r="N62" i="10"/>
  <c r="J62" i="10"/>
  <c r="E64" i="10"/>
  <c r="F63" i="10"/>
  <c r="D63" i="10"/>
  <c r="C73" i="3"/>
  <c r="E72" i="3"/>
  <c r="H70" i="3"/>
  <c r="N70" i="3"/>
  <c r="J70" i="3"/>
  <c r="D71" i="3"/>
  <c r="F71" i="3"/>
  <c r="J63" i="10" l="1"/>
  <c r="H63" i="10"/>
  <c r="N63" i="10"/>
  <c r="E65" i="10"/>
  <c r="D64" i="10"/>
  <c r="F64" i="10"/>
  <c r="E73" i="3"/>
  <c r="C74" i="3"/>
  <c r="F72" i="3"/>
  <c r="D72" i="3"/>
  <c r="H71" i="3"/>
  <c r="N71" i="3"/>
  <c r="J71" i="3"/>
  <c r="H64" i="10" l="1"/>
  <c r="N64" i="10"/>
  <c r="J64" i="10"/>
  <c r="E66" i="10"/>
  <c r="F65" i="10"/>
  <c r="D65" i="10"/>
  <c r="C75" i="3"/>
  <c r="E74" i="3"/>
  <c r="D74" i="3" s="1"/>
  <c r="N72" i="3"/>
  <c r="H72" i="3"/>
  <c r="J72" i="3"/>
  <c r="D73" i="3"/>
  <c r="F73" i="3"/>
  <c r="H65" i="10" l="1"/>
  <c r="J65" i="10"/>
  <c r="N65" i="10"/>
  <c r="E67" i="10"/>
  <c r="F66" i="10"/>
  <c r="N66" i="10" s="1"/>
  <c r="D66" i="10"/>
  <c r="C76" i="3"/>
  <c r="E75" i="3"/>
  <c r="F74" i="3"/>
  <c r="H73" i="3"/>
  <c r="N73" i="3"/>
  <c r="J73" i="3"/>
  <c r="J66" i="10" l="1"/>
  <c r="H66" i="10"/>
  <c r="E68" i="10"/>
  <c r="F67" i="10"/>
  <c r="D67" i="10"/>
  <c r="E76" i="3"/>
  <c r="D76" i="3" s="1"/>
  <c r="C77" i="3"/>
  <c r="H74" i="3"/>
  <c r="N74" i="3"/>
  <c r="J74" i="3"/>
  <c r="D75" i="3"/>
  <c r="F75" i="3"/>
  <c r="J67" i="10" l="1"/>
  <c r="N67" i="10"/>
  <c r="H67" i="10"/>
  <c r="E69" i="10"/>
  <c r="F68" i="10"/>
  <c r="D68" i="10"/>
  <c r="F76" i="3"/>
  <c r="E77" i="3"/>
  <c r="C78" i="3"/>
  <c r="H75" i="3"/>
  <c r="N75" i="3"/>
  <c r="J75" i="3"/>
  <c r="E70" i="10" l="1"/>
  <c r="D69" i="10"/>
  <c r="F69" i="10"/>
  <c r="J69" i="10" s="1"/>
  <c r="H68" i="10"/>
  <c r="N68" i="10"/>
  <c r="J68" i="10"/>
  <c r="D77" i="3"/>
  <c r="F77" i="3"/>
  <c r="H76" i="3"/>
  <c r="N76" i="3"/>
  <c r="J76" i="3"/>
  <c r="E78" i="3"/>
  <c r="D78" i="3" s="1"/>
  <c r="C79" i="3"/>
  <c r="N69" i="10" l="1"/>
  <c r="H69" i="10"/>
  <c r="E71" i="10"/>
  <c r="F70" i="10"/>
  <c r="J70" i="10" s="1"/>
  <c r="D70" i="10"/>
  <c r="N77" i="3"/>
  <c r="H77" i="3"/>
  <c r="J77" i="3"/>
  <c r="F78" i="3"/>
  <c r="C80" i="3"/>
  <c r="E79" i="3"/>
  <c r="H70" i="10" l="1"/>
  <c r="N70" i="10"/>
  <c r="E72" i="10"/>
  <c r="D71" i="10"/>
  <c r="F71" i="10"/>
  <c r="N71" i="10" s="1"/>
  <c r="D79" i="3"/>
  <c r="F79" i="3"/>
  <c r="H78" i="3"/>
  <c r="N78" i="3"/>
  <c r="J78" i="3"/>
  <c r="E80" i="3"/>
  <c r="D80" i="3" s="1"/>
  <c r="C81" i="3"/>
  <c r="E73" i="10" l="1"/>
  <c r="D72" i="10"/>
  <c r="F72" i="10"/>
  <c r="J71" i="10"/>
  <c r="H71" i="10"/>
  <c r="J79" i="3"/>
  <c r="H79" i="3"/>
  <c r="N79" i="3"/>
  <c r="F80" i="3"/>
  <c r="E81" i="3"/>
  <c r="C82" i="3"/>
  <c r="H72" i="10" l="1"/>
  <c r="N72" i="10"/>
  <c r="J72" i="10"/>
  <c r="E74" i="10"/>
  <c r="F73" i="10"/>
  <c r="D73" i="10"/>
  <c r="H80" i="3"/>
  <c r="N80" i="3"/>
  <c r="J80" i="3"/>
  <c r="E82" i="3"/>
  <c r="D82" i="3" s="1"/>
  <c r="C83" i="3"/>
  <c r="F81" i="3"/>
  <c r="D81" i="3"/>
  <c r="H73" i="10" l="1"/>
  <c r="N73" i="10"/>
  <c r="J73" i="10"/>
  <c r="E75" i="10"/>
  <c r="F74" i="10"/>
  <c r="D74" i="10"/>
  <c r="F82" i="3"/>
  <c r="E83" i="3"/>
  <c r="C84" i="3"/>
  <c r="N81" i="3"/>
  <c r="H81" i="3"/>
  <c r="J81" i="3"/>
  <c r="N74" i="10" l="1"/>
  <c r="H74" i="10"/>
  <c r="J74" i="10"/>
  <c r="E76" i="10"/>
  <c r="F75" i="10"/>
  <c r="N75" i="10" s="1"/>
  <c r="D75" i="10"/>
  <c r="H82" i="3"/>
  <c r="N82" i="3"/>
  <c r="J82" i="3"/>
  <c r="E84" i="3"/>
  <c r="D84" i="3" s="1"/>
  <c r="C85" i="3"/>
  <c r="F83" i="3"/>
  <c r="D83" i="3"/>
  <c r="H75" i="10" l="1"/>
  <c r="J75" i="10"/>
  <c r="E77" i="10"/>
  <c r="F76" i="10"/>
  <c r="J76" i="10" s="1"/>
  <c r="D76" i="10"/>
  <c r="F84" i="3"/>
  <c r="E85" i="3"/>
  <c r="C86" i="3"/>
  <c r="J83" i="3"/>
  <c r="H83" i="3"/>
  <c r="N83" i="3"/>
  <c r="N76" i="10" l="1"/>
  <c r="H76" i="10"/>
  <c r="E78" i="10"/>
  <c r="D77" i="10"/>
  <c r="F77" i="10"/>
  <c r="J77" i="10" s="1"/>
  <c r="H84" i="3"/>
  <c r="N84" i="3"/>
  <c r="J84" i="3"/>
  <c r="E86" i="3"/>
  <c r="D86" i="3" s="1"/>
  <c r="C87" i="3"/>
  <c r="F85" i="3"/>
  <c r="D85" i="3"/>
  <c r="N77" i="10" l="1"/>
  <c r="H77" i="10"/>
  <c r="E79" i="10"/>
  <c r="D79" i="10" s="1"/>
  <c r="F78" i="10"/>
  <c r="D78" i="10"/>
  <c r="F86" i="3"/>
  <c r="E87" i="3"/>
  <c r="C88" i="3"/>
  <c r="H85" i="3"/>
  <c r="N85" i="3"/>
  <c r="J85" i="3"/>
  <c r="H78" i="10" l="1"/>
  <c r="N78" i="10"/>
  <c r="J78" i="10"/>
  <c r="E80" i="10"/>
  <c r="D80" i="10" s="1"/>
  <c r="F79" i="10"/>
  <c r="N79" i="10" s="1"/>
  <c r="H86" i="3"/>
  <c r="N86" i="3"/>
  <c r="J86" i="3"/>
  <c r="E88" i="3"/>
  <c r="D88" i="3" s="1"/>
  <c r="C89" i="3"/>
  <c r="F87" i="3"/>
  <c r="D87" i="3"/>
  <c r="J79" i="10" l="1"/>
  <c r="H79" i="10"/>
  <c r="E81" i="10"/>
  <c r="F80" i="10"/>
  <c r="N80" i="10" s="1"/>
  <c r="F88" i="3"/>
  <c r="C90" i="3"/>
  <c r="E89" i="3"/>
  <c r="H87" i="3"/>
  <c r="N87" i="3"/>
  <c r="J87" i="3"/>
  <c r="H80" i="10" l="1"/>
  <c r="J80" i="10"/>
  <c r="E82" i="10"/>
  <c r="D82" i="10" s="1"/>
  <c r="D81" i="10"/>
  <c r="F81" i="10"/>
  <c r="J81" i="10" s="1"/>
  <c r="D89" i="3"/>
  <c r="F89" i="3"/>
  <c r="J89" i="3" s="1"/>
  <c r="H88" i="3"/>
  <c r="N88" i="3"/>
  <c r="J88" i="3"/>
  <c r="E90" i="3"/>
  <c r="D90" i="3" s="1"/>
  <c r="C91" i="3"/>
  <c r="H81" i="10" l="1"/>
  <c r="N81" i="10"/>
  <c r="E83" i="10"/>
  <c r="F82" i="10"/>
  <c r="J82" i="10" s="1"/>
  <c r="H89" i="3"/>
  <c r="N89" i="3"/>
  <c r="F90" i="3"/>
  <c r="E91" i="3"/>
  <c r="C92" i="3"/>
  <c r="H82" i="10" l="1"/>
  <c r="N82" i="10"/>
  <c r="E84" i="10"/>
  <c r="F83" i="10"/>
  <c r="D83" i="10"/>
  <c r="N90" i="3"/>
  <c r="H90" i="3"/>
  <c r="J90" i="3"/>
  <c r="E92" i="3"/>
  <c r="D92" i="3" s="1"/>
  <c r="C93" i="3"/>
  <c r="F91" i="3"/>
  <c r="D91" i="3"/>
  <c r="H83" i="10" l="1"/>
  <c r="N83" i="10"/>
  <c r="J83" i="10"/>
  <c r="E85" i="10"/>
  <c r="D84" i="10"/>
  <c r="F84" i="10"/>
  <c r="J84" i="10" s="1"/>
  <c r="F92" i="3"/>
  <c r="E93" i="3"/>
  <c r="C94" i="3"/>
  <c r="N91" i="3"/>
  <c r="H91" i="3"/>
  <c r="J91" i="3"/>
  <c r="H84" i="10" l="1"/>
  <c r="N84" i="10"/>
  <c r="E86" i="10"/>
  <c r="D85" i="10"/>
  <c r="F85" i="10"/>
  <c r="J85" i="10" s="1"/>
  <c r="D93" i="3"/>
  <c r="F93" i="3"/>
  <c r="N92" i="3"/>
  <c r="H92" i="3"/>
  <c r="J92" i="3"/>
  <c r="C95" i="3"/>
  <c r="E94" i="3"/>
  <c r="D94" i="3" s="1"/>
  <c r="E87" i="10" l="1"/>
  <c r="F86" i="10"/>
  <c r="D86" i="10"/>
  <c r="H85" i="10"/>
  <c r="N85" i="10"/>
  <c r="H93" i="3"/>
  <c r="N93" i="3"/>
  <c r="J93" i="3"/>
  <c r="E95" i="3"/>
  <c r="C96" i="3"/>
  <c r="F94" i="3"/>
  <c r="N86" i="10" l="1"/>
  <c r="H86" i="10"/>
  <c r="J86" i="10"/>
  <c r="E88" i="10"/>
  <c r="F87" i="10"/>
  <c r="N87" i="10" s="1"/>
  <c r="D87" i="10"/>
  <c r="C97" i="3"/>
  <c r="E96" i="3"/>
  <c r="D96" i="3" s="1"/>
  <c r="H94" i="3"/>
  <c r="N94" i="3"/>
  <c r="J94" i="3"/>
  <c r="D95" i="3"/>
  <c r="F95" i="3"/>
  <c r="J87" i="10" l="1"/>
  <c r="H87" i="10"/>
  <c r="E89" i="10"/>
  <c r="D88" i="10"/>
  <c r="F88" i="10"/>
  <c r="J88" i="10"/>
  <c r="E97" i="3"/>
  <c r="C98" i="3"/>
  <c r="F96" i="3"/>
  <c r="H95" i="3"/>
  <c r="N95" i="3"/>
  <c r="J95" i="3"/>
  <c r="N88" i="10" l="1"/>
  <c r="H88" i="10"/>
  <c r="E90" i="10"/>
  <c r="D89" i="10"/>
  <c r="F89" i="10"/>
  <c r="J89" i="10" s="1"/>
  <c r="F97" i="3"/>
  <c r="D97" i="3"/>
  <c r="E98" i="3"/>
  <c r="D98" i="3" s="1"/>
  <c r="C99" i="3"/>
  <c r="H96" i="3"/>
  <c r="N96" i="3"/>
  <c r="J96" i="3"/>
  <c r="N89" i="10" l="1"/>
  <c r="H89" i="10"/>
  <c r="E91" i="10"/>
  <c r="D90" i="10"/>
  <c r="F90" i="10"/>
  <c r="N97" i="3"/>
  <c r="J97" i="3"/>
  <c r="H97" i="3"/>
  <c r="F98" i="3"/>
  <c r="C100" i="3"/>
  <c r="E99" i="3"/>
  <c r="N90" i="10" l="1"/>
  <c r="H90" i="10"/>
  <c r="J90" i="10"/>
  <c r="E92" i="10"/>
  <c r="F91" i="10"/>
  <c r="D91" i="10"/>
  <c r="H98" i="3"/>
  <c r="N98" i="3"/>
  <c r="J98" i="3"/>
  <c r="E100" i="3"/>
  <c r="D100" i="3" s="1"/>
  <c r="C101" i="3"/>
  <c r="F99" i="3"/>
  <c r="D99" i="3"/>
  <c r="E93" i="10" l="1"/>
  <c r="D92" i="10"/>
  <c r="F92" i="10"/>
  <c r="J92" i="10" s="1"/>
  <c r="H91" i="10"/>
  <c r="N91" i="10"/>
  <c r="J91" i="10"/>
  <c r="F100" i="3"/>
  <c r="C102" i="3"/>
  <c r="E101" i="3"/>
  <c r="J99" i="3"/>
  <c r="N99" i="3"/>
  <c r="H99" i="3"/>
  <c r="N92" i="10" l="1"/>
  <c r="H92" i="10"/>
  <c r="E94" i="10"/>
  <c r="D93" i="10"/>
  <c r="F93" i="10"/>
  <c r="H93" i="10" s="1"/>
  <c r="H100" i="3"/>
  <c r="N100" i="3"/>
  <c r="J100" i="3"/>
  <c r="E102" i="3"/>
  <c r="D102" i="3" s="1"/>
  <c r="C103" i="3"/>
  <c r="F101" i="3"/>
  <c r="D101" i="3"/>
  <c r="E95" i="10" l="1"/>
  <c r="F94" i="10"/>
  <c r="N94" i="10" s="1"/>
  <c r="D94" i="10"/>
  <c r="J93" i="10"/>
  <c r="N93" i="10"/>
  <c r="F102" i="3"/>
  <c r="E103" i="3"/>
  <c r="C104" i="3"/>
  <c r="N101" i="3"/>
  <c r="H101" i="3"/>
  <c r="J101" i="3"/>
  <c r="H94" i="10" l="1"/>
  <c r="J94" i="10"/>
  <c r="E96" i="10"/>
  <c r="F95" i="10"/>
  <c r="D95" i="10"/>
  <c r="N102" i="3"/>
  <c r="H102" i="3"/>
  <c r="J102" i="3"/>
  <c r="E104" i="3"/>
  <c r="D104" i="3" s="1"/>
  <c r="C105" i="3"/>
  <c r="F103" i="3"/>
  <c r="D103" i="3"/>
  <c r="E97" i="10" l="1"/>
  <c r="F96" i="10"/>
  <c r="J96" i="10" s="1"/>
  <c r="D96" i="10"/>
  <c r="N95" i="10"/>
  <c r="H95" i="10"/>
  <c r="J95" i="10"/>
  <c r="F104" i="3"/>
  <c r="C106" i="3"/>
  <c r="E105" i="3"/>
  <c r="N103" i="3"/>
  <c r="H103" i="3"/>
  <c r="J103" i="3"/>
  <c r="H96" i="10" l="1"/>
  <c r="N96" i="10"/>
  <c r="E98" i="10"/>
  <c r="F97" i="10"/>
  <c r="J97" i="10" s="1"/>
  <c r="D97" i="10"/>
  <c r="D105" i="3"/>
  <c r="F105" i="3"/>
  <c r="H104" i="3"/>
  <c r="N104" i="3"/>
  <c r="J104" i="3"/>
  <c r="E106" i="3"/>
  <c r="D106" i="3" s="1"/>
  <c r="C107" i="3"/>
  <c r="N97" i="10" l="1"/>
  <c r="H97" i="10"/>
  <c r="E99" i="10"/>
  <c r="F98" i="10"/>
  <c r="D98" i="10"/>
  <c r="J105" i="3"/>
  <c r="H105" i="3"/>
  <c r="N105" i="3"/>
  <c r="F106" i="3"/>
  <c r="C108" i="3"/>
  <c r="E107" i="3"/>
  <c r="E100" i="10" l="1"/>
  <c r="F99" i="10"/>
  <c r="D99" i="10"/>
  <c r="H98" i="10"/>
  <c r="N98" i="10"/>
  <c r="J98" i="10"/>
  <c r="C102" i="10"/>
  <c r="H106" i="3"/>
  <c r="N106" i="3"/>
  <c r="J106" i="3"/>
  <c r="E108" i="3"/>
  <c r="D108" i="3" s="1"/>
  <c r="C109" i="3"/>
  <c r="F107" i="3"/>
  <c r="D107" i="3"/>
  <c r="E101" i="10" l="1"/>
  <c r="F100" i="10"/>
  <c r="D100" i="10"/>
  <c r="H99" i="10"/>
  <c r="N99" i="10"/>
  <c r="J99" i="10"/>
  <c r="F108" i="3"/>
  <c r="E109" i="3"/>
  <c r="C110" i="3"/>
  <c r="J107" i="3"/>
  <c r="N107" i="3"/>
  <c r="H107" i="3"/>
  <c r="E102" i="10" l="1"/>
  <c r="F101" i="10"/>
  <c r="H101" i="10" s="1"/>
  <c r="D101" i="10"/>
  <c r="H100" i="10"/>
  <c r="N100" i="10"/>
  <c r="J100" i="10"/>
  <c r="H108" i="3"/>
  <c r="N108" i="3"/>
  <c r="J108" i="3"/>
  <c r="E110" i="3"/>
  <c r="D110" i="3" s="1"/>
  <c r="C111" i="3"/>
  <c r="F109" i="3"/>
  <c r="D109" i="3"/>
  <c r="D102" i="10" l="1"/>
  <c r="F102" i="10"/>
  <c r="N101" i="10"/>
  <c r="J101" i="10"/>
  <c r="F110" i="3"/>
  <c r="E111" i="3"/>
  <c r="H109" i="3"/>
  <c r="N109" i="3"/>
  <c r="J109" i="3"/>
  <c r="F104" i="10" l="1"/>
  <c r="J104" i="10" s="1"/>
  <c r="H102" i="10"/>
  <c r="J102" i="10"/>
  <c r="D111" i="3"/>
  <c r="F111" i="3"/>
  <c r="N110" i="3"/>
  <c r="H110" i="3"/>
  <c r="J110" i="3"/>
  <c r="N111" i="3" l="1"/>
  <c r="N113" i="3" s="1"/>
  <c r="H111" i="3"/>
  <c r="J111" i="3"/>
  <c r="J113" i="3" s="1"/>
  <c r="F113" i="3"/>
  <c r="M31" i="10" l="1"/>
  <c r="M102" i="10"/>
  <c r="M104" i="10" l="1"/>
  <c r="M28" i="10" s="1"/>
  <c r="M30" i="10" s="1"/>
  <c r="N102" i="10" l="1"/>
  <c r="N104" i="10" l="1"/>
  <c r="E34" i="8"/>
  <c r="G35" i="8"/>
  <c r="C35" i="8" s="1"/>
  <c r="P9" i="8"/>
  <c r="K36" i="8" l="1"/>
  <c r="G36" i="8"/>
  <c r="C36" i="8" s="1"/>
  <c r="K37" i="8" l="1"/>
  <c r="K38" i="8" l="1"/>
  <c r="G37" i="8"/>
  <c r="C37" i="8" l="1"/>
  <c r="G38" i="8" s="1"/>
  <c r="C38" i="8" s="1"/>
  <c r="G108" i="8"/>
  <c r="T14" i="8" s="1"/>
  <c r="K39" i="8"/>
  <c r="K40" i="8" l="1"/>
  <c r="E36" i="8"/>
  <c r="E37" i="8"/>
  <c r="E35" i="8"/>
  <c r="E60" i="8"/>
  <c r="E66" i="8"/>
  <c r="E62" i="8"/>
  <c r="E95" i="8"/>
  <c r="E103" i="8"/>
  <c r="E65" i="8"/>
  <c r="F66" i="8" s="1"/>
  <c r="E63" i="8"/>
  <c r="E61" i="8"/>
  <c r="E87" i="8"/>
  <c r="E59" i="8"/>
  <c r="E58" i="8"/>
  <c r="F59" i="8" s="1"/>
  <c r="E106" i="8"/>
  <c r="E105" i="8"/>
  <c r="F106" i="8" s="1"/>
  <c r="E104" i="8"/>
  <c r="F105" i="8" s="1"/>
  <c r="E57" i="8"/>
  <c r="F58" i="8" s="1"/>
  <c r="E102" i="8"/>
  <c r="E101" i="8"/>
  <c r="E100" i="8"/>
  <c r="E99" i="8"/>
  <c r="E98" i="8"/>
  <c r="E97" i="8"/>
  <c r="F98" i="8" s="1"/>
  <c r="E96" i="8"/>
  <c r="F97" i="8" s="1"/>
  <c r="E94" i="8"/>
  <c r="E93" i="8"/>
  <c r="E92" i="8"/>
  <c r="E91" i="8"/>
  <c r="E90" i="8"/>
  <c r="F91" i="8" s="1"/>
  <c r="E89" i="8"/>
  <c r="F90" i="8" s="1"/>
  <c r="E88" i="8"/>
  <c r="E64" i="8"/>
  <c r="E86" i="8"/>
  <c r="E85" i="8"/>
  <c r="F86" i="8" s="1"/>
  <c r="E84" i="8"/>
  <c r="E83" i="8"/>
  <c r="E82" i="8"/>
  <c r="E81" i="8"/>
  <c r="E80" i="8"/>
  <c r="F81" i="8" s="1"/>
  <c r="E79" i="8"/>
  <c r="E78" i="8"/>
  <c r="E77" i="8"/>
  <c r="E76" i="8"/>
  <c r="E75" i="8"/>
  <c r="E74" i="8"/>
  <c r="E73" i="8"/>
  <c r="E72" i="8"/>
  <c r="E71" i="8"/>
  <c r="F72" i="8" s="1"/>
  <c r="E70" i="8"/>
  <c r="F71" i="8" s="1"/>
  <c r="E69" i="8"/>
  <c r="E68" i="8"/>
  <c r="E67" i="8"/>
  <c r="F68" i="8" s="1"/>
  <c r="G39" i="8"/>
  <c r="C39" i="8" s="1"/>
  <c r="E51" i="8"/>
  <c r="E43" i="8"/>
  <c r="E53" i="8"/>
  <c r="E45" i="8"/>
  <c r="E44" i="8"/>
  <c r="F45" i="8" s="1"/>
  <c r="E54" i="8"/>
  <c r="E47" i="8"/>
  <c r="E38" i="8"/>
  <c r="D38" i="8" s="1"/>
  <c r="E50" i="8"/>
  <c r="E41" i="8"/>
  <c r="E56" i="8"/>
  <c r="E49" i="8"/>
  <c r="E42" i="8"/>
  <c r="E52" i="8"/>
  <c r="E46" i="8"/>
  <c r="E40" i="8"/>
  <c r="E55" i="8"/>
  <c r="E48" i="8"/>
  <c r="F49" i="8" s="1"/>
  <c r="E39" i="8"/>
  <c r="F40" i="8" s="1"/>
  <c r="F80" i="8" l="1"/>
  <c r="F79" i="8"/>
  <c r="F99" i="8"/>
  <c r="F100" i="8"/>
  <c r="F74" i="8"/>
  <c r="F82" i="8"/>
  <c r="F89" i="8"/>
  <c r="F73" i="8"/>
  <c r="F62" i="8"/>
  <c r="H66" i="8"/>
  <c r="J66" i="8"/>
  <c r="H59" i="8"/>
  <c r="J59" i="8"/>
  <c r="H106" i="8"/>
  <c r="J106" i="8"/>
  <c r="H105" i="8"/>
  <c r="J105" i="8"/>
  <c r="H58" i="8"/>
  <c r="J58" i="8"/>
  <c r="H98" i="8"/>
  <c r="J98" i="8"/>
  <c r="H97" i="8"/>
  <c r="J97" i="8"/>
  <c r="H91" i="8"/>
  <c r="J91" i="8"/>
  <c r="H90" i="8"/>
  <c r="J90" i="8"/>
  <c r="H86" i="8"/>
  <c r="J86" i="8"/>
  <c r="H81" i="8"/>
  <c r="J81" i="8"/>
  <c r="H72" i="8"/>
  <c r="J72" i="8"/>
  <c r="H71" i="8"/>
  <c r="J71" i="8"/>
  <c r="H68" i="8"/>
  <c r="J68" i="8"/>
  <c r="H45" i="8"/>
  <c r="J45" i="8"/>
  <c r="H49" i="8"/>
  <c r="J49" i="8"/>
  <c r="H40" i="8"/>
  <c r="J40" i="8"/>
  <c r="F94" i="8"/>
  <c r="F69" i="8"/>
  <c r="F76" i="8"/>
  <c r="K41" i="8"/>
  <c r="F88" i="8"/>
  <c r="F103" i="8"/>
  <c r="F93" i="8"/>
  <c r="F85" i="8"/>
  <c r="F78" i="8"/>
  <c r="F96" i="8"/>
  <c r="F60" i="8"/>
  <c r="F92" i="8"/>
  <c r="F84" i="8"/>
  <c r="F77" i="8"/>
  <c r="F70" i="8"/>
  <c r="F52" i="8"/>
  <c r="F64" i="8"/>
  <c r="F44" i="8"/>
  <c r="F75" i="8"/>
  <c r="F50" i="8"/>
  <c r="F53" i="8"/>
  <c r="F47" i="8"/>
  <c r="F41" i="8"/>
  <c r="F56" i="8"/>
  <c r="F37" i="8"/>
  <c r="D36" i="8"/>
  <c r="F38" i="8"/>
  <c r="D37" i="8"/>
  <c r="F36" i="8"/>
  <c r="F35" i="8"/>
  <c r="J35" i="8" s="1"/>
  <c r="D35" i="8"/>
  <c r="D39" i="8"/>
  <c r="G40" i="8"/>
  <c r="C40" i="8" s="1"/>
  <c r="F101" i="8"/>
  <c r="F95" i="8"/>
  <c r="F65" i="8"/>
  <c r="F87" i="8"/>
  <c r="F102" i="8"/>
  <c r="F83" i="8"/>
  <c r="F54" i="8"/>
  <c r="F46" i="8"/>
  <c r="F55" i="8"/>
  <c r="F48" i="8"/>
  <c r="F39" i="8"/>
  <c r="F51" i="8"/>
  <c r="F42" i="8"/>
  <c r="F57" i="8"/>
  <c r="F43" i="8"/>
  <c r="F61" i="8"/>
  <c r="F67" i="8"/>
  <c r="F63" i="8"/>
  <c r="F104" i="8"/>
  <c r="H80" i="8" l="1"/>
  <c r="J80" i="8"/>
  <c r="J62" i="8"/>
  <c r="H62" i="8"/>
  <c r="H79" i="8"/>
  <c r="J79" i="8"/>
  <c r="H99" i="8"/>
  <c r="J99" i="8"/>
  <c r="J82" i="8"/>
  <c r="H82" i="8"/>
  <c r="H100" i="8"/>
  <c r="J100" i="8"/>
  <c r="H89" i="8"/>
  <c r="J89" i="8"/>
  <c r="H74" i="8"/>
  <c r="J74" i="8"/>
  <c r="H73" i="8"/>
  <c r="J73" i="8"/>
  <c r="H94" i="8"/>
  <c r="J94" i="8"/>
  <c r="H69" i="8"/>
  <c r="J69" i="8"/>
  <c r="H76" i="8"/>
  <c r="J76" i="8"/>
  <c r="H88" i="8"/>
  <c r="J88" i="8"/>
  <c r="H103" i="8"/>
  <c r="J103" i="8"/>
  <c r="H93" i="8"/>
  <c r="J93" i="8"/>
  <c r="H85" i="8"/>
  <c r="J85" i="8"/>
  <c r="H78" i="8"/>
  <c r="J78" i="8"/>
  <c r="H96" i="8"/>
  <c r="J96" i="8"/>
  <c r="H60" i="8"/>
  <c r="J60" i="8"/>
  <c r="H92" i="8"/>
  <c r="J92" i="8"/>
  <c r="H84" i="8"/>
  <c r="J84" i="8"/>
  <c r="H77" i="8"/>
  <c r="J77" i="8"/>
  <c r="H70" i="8"/>
  <c r="J70" i="8"/>
  <c r="H52" i="8"/>
  <c r="J52" i="8"/>
  <c r="H64" i="8"/>
  <c r="J64" i="8"/>
  <c r="H44" i="8"/>
  <c r="J44" i="8"/>
  <c r="H75" i="8"/>
  <c r="J75" i="8"/>
  <c r="H50" i="8"/>
  <c r="J50" i="8"/>
  <c r="H53" i="8"/>
  <c r="J53" i="8"/>
  <c r="H47" i="8"/>
  <c r="J47" i="8"/>
  <c r="H41" i="8"/>
  <c r="J41" i="8"/>
  <c r="H56" i="8"/>
  <c r="J56" i="8"/>
  <c r="H37" i="8"/>
  <c r="J37" i="8"/>
  <c r="H38" i="8"/>
  <c r="J38" i="8"/>
  <c r="H36" i="8"/>
  <c r="J36" i="8"/>
  <c r="H101" i="8"/>
  <c r="J101" i="8"/>
  <c r="H95" i="8"/>
  <c r="J95" i="8"/>
  <c r="H65" i="8"/>
  <c r="J65" i="8"/>
  <c r="H87" i="8"/>
  <c r="J87" i="8"/>
  <c r="H102" i="8"/>
  <c r="J102" i="8"/>
  <c r="H83" i="8"/>
  <c r="J83" i="8"/>
  <c r="H54" i="8"/>
  <c r="J54" i="8"/>
  <c r="H46" i="8"/>
  <c r="J46" i="8"/>
  <c r="H55" i="8"/>
  <c r="J55" i="8"/>
  <c r="H48" i="8"/>
  <c r="J48" i="8"/>
  <c r="H39" i="8"/>
  <c r="J39" i="8"/>
  <c r="H51" i="8"/>
  <c r="J51" i="8"/>
  <c r="H42" i="8"/>
  <c r="J42" i="8"/>
  <c r="H57" i="8"/>
  <c r="J57" i="8"/>
  <c r="H43" i="8"/>
  <c r="J43" i="8"/>
  <c r="H61" i="8"/>
  <c r="J61" i="8"/>
  <c r="H67" i="8"/>
  <c r="J67" i="8"/>
  <c r="H63" i="8"/>
  <c r="J63" i="8"/>
  <c r="H104" i="8"/>
  <c r="J104" i="8"/>
  <c r="K42" i="8"/>
  <c r="F108" i="8"/>
  <c r="J108" i="8" s="1"/>
  <c r="H35" i="8"/>
  <c r="G41" i="8"/>
  <c r="C41" i="8" s="1"/>
  <c r="D40" i="8"/>
  <c r="K43" i="8" l="1"/>
  <c r="P19" i="8"/>
  <c r="G42" i="8"/>
  <c r="C42" i="8" s="1"/>
  <c r="D41" i="8"/>
  <c r="K45" i="8" l="1"/>
  <c r="K44" i="8"/>
  <c r="M108" i="8"/>
  <c r="M32" i="8" s="1"/>
  <c r="M34" i="8" s="1"/>
  <c r="G43" i="8"/>
  <c r="C43" i="8" s="1"/>
  <c r="D42" i="8"/>
  <c r="K108" i="8" l="1"/>
  <c r="G44" i="8"/>
  <c r="C44" i="8" s="1"/>
  <c r="D43" i="8"/>
  <c r="D44" i="8" l="1"/>
  <c r="C108" i="8"/>
  <c r="C45" i="8"/>
  <c r="C46" i="8" l="1"/>
  <c r="D45" i="8"/>
  <c r="C47" i="8" l="1"/>
  <c r="D46" i="8"/>
  <c r="C48" i="8" l="1"/>
  <c r="D47" i="8"/>
  <c r="C49" i="8" l="1"/>
  <c r="D48" i="8"/>
  <c r="D49" i="8" l="1"/>
  <c r="C50" i="8"/>
  <c r="C51" i="8" l="1"/>
  <c r="D50" i="8"/>
  <c r="D51" i="8" l="1"/>
  <c r="C52" i="8"/>
  <c r="C53" i="8" l="1"/>
  <c r="D52" i="8"/>
  <c r="D53" i="8" l="1"/>
  <c r="C54" i="8"/>
  <c r="D54" i="8" l="1"/>
  <c r="C55" i="8"/>
  <c r="C56" i="8" l="1"/>
  <c r="D55" i="8"/>
  <c r="C57" i="8" l="1"/>
  <c r="D56" i="8"/>
  <c r="D57" i="8" l="1"/>
  <c r="C58" i="8"/>
  <c r="C59" i="8" l="1"/>
  <c r="D58" i="8"/>
  <c r="C60" i="8" l="1"/>
  <c r="D59" i="8"/>
  <c r="D60" i="8" l="1"/>
  <c r="C61" i="8"/>
  <c r="C62" i="8" l="1"/>
  <c r="D61" i="8"/>
  <c r="C63" i="8" l="1"/>
  <c r="D62" i="8"/>
  <c r="C64" i="8" l="1"/>
  <c r="D63" i="8"/>
  <c r="D64" i="8" l="1"/>
  <c r="C65" i="8"/>
  <c r="C66" i="8" l="1"/>
  <c r="D65" i="8"/>
  <c r="D66" i="8" l="1"/>
  <c r="C67" i="8"/>
  <c r="C68" i="8" l="1"/>
  <c r="D67" i="8"/>
  <c r="C69" i="8" l="1"/>
  <c r="D68" i="8"/>
  <c r="C70" i="8" l="1"/>
  <c r="D69" i="8"/>
  <c r="D70" i="8" l="1"/>
  <c r="C71" i="8"/>
  <c r="C72" i="8" l="1"/>
  <c r="D71" i="8"/>
  <c r="C73" i="8" l="1"/>
  <c r="D72" i="8"/>
  <c r="C74" i="8" l="1"/>
  <c r="D73" i="8"/>
  <c r="C75" i="8" l="1"/>
  <c r="D74" i="8"/>
  <c r="C76" i="8" l="1"/>
  <c r="D75" i="8"/>
  <c r="C77" i="8" l="1"/>
  <c r="D76" i="8"/>
  <c r="C78" i="8" l="1"/>
  <c r="D77" i="8"/>
  <c r="C79" i="8" l="1"/>
  <c r="D78" i="8"/>
  <c r="C80" i="8" l="1"/>
  <c r="D79" i="8"/>
  <c r="C81" i="8" l="1"/>
  <c r="D80" i="8"/>
  <c r="C82" i="8" l="1"/>
  <c r="D81" i="8"/>
  <c r="C83" i="8" l="1"/>
  <c r="D82" i="8"/>
  <c r="C84" i="8" l="1"/>
  <c r="D83" i="8"/>
  <c r="C85" i="8" l="1"/>
  <c r="D84" i="8"/>
  <c r="D85" i="8" l="1"/>
  <c r="C86" i="8"/>
  <c r="D86" i="8" l="1"/>
  <c r="C87" i="8"/>
  <c r="C88" i="8" l="1"/>
  <c r="D87" i="8"/>
  <c r="C89" i="8" l="1"/>
  <c r="D88" i="8"/>
  <c r="C90" i="8" l="1"/>
  <c r="D89" i="8"/>
  <c r="C91" i="8" l="1"/>
  <c r="D90" i="8"/>
  <c r="C92" i="8" l="1"/>
  <c r="D91" i="8"/>
  <c r="C93" i="8" l="1"/>
  <c r="D92" i="8"/>
  <c r="C94" i="8" l="1"/>
  <c r="D93" i="8"/>
  <c r="C95" i="8" l="1"/>
  <c r="D94" i="8"/>
  <c r="D95" i="8" l="1"/>
  <c r="C96" i="8"/>
  <c r="C97" i="8" l="1"/>
  <c r="D96" i="8"/>
  <c r="D97" i="8" l="1"/>
  <c r="C98" i="8"/>
  <c r="D98" i="8" l="1"/>
  <c r="C99" i="8"/>
  <c r="C100" i="8" l="1"/>
  <c r="D99" i="8"/>
  <c r="D100" i="8" l="1"/>
  <c r="C101" i="8"/>
  <c r="C102" i="8" l="1"/>
  <c r="D101" i="8"/>
  <c r="D102" i="8" l="1"/>
  <c r="C103" i="8"/>
  <c r="C104" i="8" l="1"/>
  <c r="D103" i="8"/>
  <c r="C105" i="8" l="1"/>
  <c r="D104" i="8"/>
  <c r="C106" i="8" l="1"/>
  <c r="D106" i="8" s="1"/>
  <c r="D105" i="8"/>
  <c r="I50" i="6" l="1"/>
  <c r="I49" i="6"/>
  <c r="I53" i="6"/>
  <c r="I52" i="6"/>
  <c r="I51" i="6"/>
  <c r="G49" i="6"/>
  <c r="G50" i="6"/>
  <c r="G51" i="6"/>
  <c r="G52" i="6"/>
  <c r="G53" i="6"/>
  <c r="I39" i="6" l="1"/>
  <c r="G39" i="6"/>
  <c r="I46" i="6"/>
  <c r="I44" i="6"/>
  <c r="E38" i="6"/>
  <c r="I45" i="6"/>
  <c r="I40" i="6"/>
  <c r="I43" i="6"/>
  <c r="P7" i="6"/>
  <c r="P8" i="6" s="1"/>
  <c r="I47" i="6"/>
  <c r="I42" i="6"/>
  <c r="I41" i="6"/>
  <c r="I48" i="6"/>
  <c r="P15" i="6" l="1"/>
  <c r="C33" i="6"/>
  <c r="M39" i="6" s="1"/>
  <c r="I112" i="6"/>
  <c r="P28" i="6" s="1"/>
  <c r="C39" i="6"/>
  <c r="M45" i="6" l="1"/>
  <c r="M44" i="6"/>
  <c r="M46" i="6"/>
  <c r="M48" i="6"/>
  <c r="M41" i="6"/>
  <c r="M42" i="6"/>
  <c r="M47" i="6"/>
  <c r="M43" i="6"/>
  <c r="M40" i="6"/>
  <c r="M51" i="6"/>
  <c r="M52" i="6"/>
  <c r="M53" i="6"/>
  <c r="M49" i="6"/>
  <c r="M50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R21" i="6"/>
  <c r="R22" i="6"/>
  <c r="R7" i="6"/>
  <c r="G40" i="6"/>
  <c r="E39" i="6"/>
  <c r="D39" i="6" s="1"/>
  <c r="M112" i="6" l="1"/>
  <c r="M36" i="6" s="1"/>
  <c r="M38" i="6" s="1"/>
  <c r="C40" i="6"/>
  <c r="F39" i="6"/>
  <c r="E40" i="6" l="1"/>
  <c r="G41" i="6"/>
  <c r="C41" i="6" s="1"/>
  <c r="J39" i="6"/>
  <c r="H39" i="6"/>
  <c r="F40" i="6" l="1"/>
  <c r="D40" i="6"/>
  <c r="G42" i="6"/>
  <c r="E41" i="6"/>
  <c r="H40" i="6" l="1"/>
  <c r="J40" i="6"/>
  <c r="C42" i="6"/>
  <c r="D41" i="6"/>
  <c r="F41" i="6"/>
  <c r="H41" i="6" l="1"/>
  <c r="J41" i="6"/>
  <c r="G43" i="6"/>
  <c r="C43" i="6" s="1"/>
  <c r="E42" i="6"/>
  <c r="D42" i="6" l="1"/>
  <c r="F42" i="6"/>
  <c r="G44" i="6"/>
  <c r="C44" i="6" s="1"/>
  <c r="E43" i="6"/>
  <c r="H42" i="6" l="1"/>
  <c r="J42" i="6"/>
  <c r="F43" i="6"/>
  <c r="D43" i="6"/>
  <c r="G45" i="6"/>
  <c r="C45" i="6" s="1"/>
  <c r="E44" i="6"/>
  <c r="J43" i="6" l="1"/>
  <c r="H43" i="6"/>
  <c r="D44" i="6"/>
  <c r="F44" i="6"/>
  <c r="E45" i="6"/>
  <c r="G46" i="6"/>
  <c r="C46" i="6" s="1"/>
  <c r="J44" i="6" l="1"/>
  <c r="H44" i="6"/>
  <c r="F45" i="6"/>
  <c r="D45" i="6"/>
  <c r="G47" i="6"/>
  <c r="C47" i="6" s="1"/>
  <c r="E46" i="6"/>
  <c r="J45" i="6" l="1"/>
  <c r="H45" i="6"/>
  <c r="D46" i="6"/>
  <c r="F46" i="6"/>
  <c r="E47" i="6"/>
  <c r="G48" i="6"/>
  <c r="G112" i="6" s="1"/>
  <c r="H46" i="6" l="1"/>
  <c r="J46" i="6"/>
  <c r="F47" i="6"/>
  <c r="D47" i="6"/>
  <c r="P26" i="6"/>
  <c r="C48" i="6"/>
  <c r="H47" i="6" l="1"/>
  <c r="J47" i="6"/>
  <c r="R26" i="6"/>
  <c r="R28" i="6" s="1"/>
  <c r="Q26" i="6"/>
  <c r="Q28" i="6" s="1"/>
  <c r="C112" i="6"/>
  <c r="C49" i="6"/>
  <c r="E48" i="6"/>
  <c r="E49" i="6" l="1"/>
  <c r="C50" i="6"/>
  <c r="F48" i="6"/>
  <c r="D48" i="6"/>
  <c r="F49" i="6" l="1"/>
  <c r="D49" i="6"/>
  <c r="E50" i="6"/>
  <c r="C51" i="6"/>
  <c r="J48" i="6"/>
  <c r="H48" i="6"/>
  <c r="H49" i="6" l="1"/>
  <c r="J49" i="6"/>
  <c r="E51" i="6"/>
  <c r="C52" i="6"/>
  <c r="F50" i="6"/>
  <c r="D50" i="6"/>
  <c r="F51" i="6" l="1"/>
  <c r="D51" i="6"/>
  <c r="E52" i="6"/>
  <c r="C53" i="6"/>
  <c r="H50" i="6"/>
  <c r="J50" i="6"/>
  <c r="J51" i="6" l="1"/>
  <c r="H51" i="6"/>
  <c r="E53" i="6"/>
  <c r="C54" i="6"/>
  <c r="F52" i="6"/>
  <c r="D52" i="6"/>
  <c r="F53" i="6" l="1"/>
  <c r="D53" i="6"/>
  <c r="E54" i="6"/>
  <c r="C55" i="6"/>
  <c r="H52" i="6"/>
  <c r="J52" i="6"/>
  <c r="J53" i="6" l="1"/>
  <c r="H53" i="6"/>
  <c r="E55" i="6"/>
  <c r="C56" i="6"/>
  <c r="F54" i="6"/>
  <c r="D54" i="6"/>
  <c r="F55" i="6" l="1"/>
  <c r="D55" i="6"/>
  <c r="E56" i="6"/>
  <c r="C57" i="6"/>
  <c r="J54" i="6"/>
  <c r="H54" i="6"/>
  <c r="H55" i="6" l="1"/>
  <c r="J55" i="6"/>
  <c r="E57" i="6"/>
  <c r="C58" i="6"/>
  <c r="F56" i="6"/>
  <c r="D56" i="6"/>
  <c r="F57" i="6" l="1"/>
  <c r="D57" i="6"/>
  <c r="E58" i="6"/>
  <c r="C59" i="6"/>
  <c r="H56" i="6"/>
  <c r="J56" i="6"/>
  <c r="J57" i="6" l="1"/>
  <c r="H57" i="6"/>
  <c r="E59" i="6"/>
  <c r="C60" i="6"/>
  <c r="F58" i="6"/>
  <c r="D58" i="6"/>
  <c r="F59" i="6" l="1"/>
  <c r="D59" i="6"/>
  <c r="E60" i="6"/>
  <c r="C61" i="6"/>
  <c r="J58" i="6"/>
  <c r="H58" i="6"/>
  <c r="H59" i="6" l="1"/>
  <c r="J59" i="6"/>
  <c r="E61" i="6"/>
  <c r="C62" i="6"/>
  <c r="F60" i="6"/>
  <c r="D60" i="6"/>
  <c r="F61" i="6" l="1"/>
  <c r="D61" i="6"/>
  <c r="E62" i="6"/>
  <c r="C63" i="6"/>
  <c r="H60" i="6"/>
  <c r="J60" i="6"/>
  <c r="D62" i="6" l="1"/>
  <c r="F62" i="6"/>
  <c r="J61" i="6"/>
  <c r="H61" i="6"/>
  <c r="E63" i="6"/>
  <c r="C64" i="6"/>
  <c r="H62" i="6" l="1"/>
  <c r="J62" i="6"/>
  <c r="F63" i="6"/>
  <c r="D63" i="6"/>
  <c r="E64" i="6"/>
  <c r="C65" i="6"/>
  <c r="D64" i="6" l="1"/>
  <c r="F64" i="6"/>
  <c r="H63" i="6"/>
  <c r="J63" i="6"/>
  <c r="E65" i="6"/>
  <c r="C66" i="6"/>
  <c r="H64" i="6" l="1"/>
  <c r="J64" i="6"/>
  <c r="F65" i="6"/>
  <c r="D65" i="6"/>
  <c r="E66" i="6"/>
  <c r="C67" i="6"/>
  <c r="D66" i="6" l="1"/>
  <c r="F66" i="6"/>
  <c r="H65" i="6"/>
  <c r="J65" i="6"/>
  <c r="E67" i="6"/>
  <c r="C68" i="6"/>
  <c r="H66" i="6" l="1"/>
  <c r="J66" i="6"/>
  <c r="F67" i="6"/>
  <c r="D67" i="6"/>
  <c r="E68" i="6"/>
  <c r="C69" i="6"/>
  <c r="D68" i="6" l="1"/>
  <c r="F68" i="6"/>
  <c r="J67" i="6"/>
  <c r="H67" i="6"/>
  <c r="E69" i="6"/>
  <c r="C70" i="6"/>
  <c r="H68" i="6" l="1"/>
  <c r="J68" i="6"/>
  <c r="F69" i="6"/>
  <c r="D69" i="6"/>
  <c r="E70" i="6"/>
  <c r="C71" i="6"/>
  <c r="J69" i="6" l="1"/>
  <c r="H69" i="6"/>
  <c r="E71" i="6"/>
  <c r="C72" i="6"/>
  <c r="F70" i="6"/>
  <c r="D70" i="6"/>
  <c r="F71" i="6" l="1"/>
  <c r="D71" i="6"/>
  <c r="E72" i="6"/>
  <c r="C73" i="6"/>
  <c r="J70" i="6"/>
  <c r="H70" i="6"/>
  <c r="D72" i="6" l="1"/>
  <c r="F72" i="6"/>
  <c r="H71" i="6"/>
  <c r="J71" i="6"/>
  <c r="E73" i="6"/>
  <c r="C74" i="6"/>
  <c r="H72" i="6" l="1"/>
  <c r="J72" i="6"/>
  <c r="F73" i="6"/>
  <c r="D73" i="6"/>
  <c r="E74" i="6"/>
  <c r="C75" i="6"/>
  <c r="J73" i="6" l="1"/>
  <c r="H73" i="6"/>
  <c r="E75" i="6"/>
  <c r="C76" i="6"/>
  <c r="F74" i="6"/>
  <c r="D74" i="6"/>
  <c r="F75" i="6" l="1"/>
  <c r="D75" i="6"/>
  <c r="E76" i="6"/>
  <c r="C77" i="6"/>
  <c r="H74" i="6"/>
  <c r="J74" i="6"/>
  <c r="J75" i="6" l="1"/>
  <c r="H75" i="6"/>
  <c r="E77" i="6"/>
  <c r="C78" i="6"/>
  <c r="D76" i="6"/>
  <c r="F76" i="6"/>
  <c r="F77" i="6" l="1"/>
  <c r="D77" i="6"/>
  <c r="E78" i="6"/>
  <c r="C79" i="6"/>
  <c r="J76" i="6"/>
  <c r="H76" i="6"/>
  <c r="H77" i="6" l="1"/>
  <c r="J77" i="6"/>
  <c r="E79" i="6"/>
  <c r="C80" i="6"/>
  <c r="F78" i="6"/>
  <c r="D78" i="6"/>
  <c r="F79" i="6" l="1"/>
  <c r="D79" i="6"/>
  <c r="E80" i="6"/>
  <c r="C81" i="6"/>
  <c r="H78" i="6"/>
  <c r="J78" i="6"/>
  <c r="H79" i="6" l="1"/>
  <c r="J79" i="6"/>
  <c r="E81" i="6"/>
  <c r="C82" i="6"/>
  <c r="F80" i="6"/>
  <c r="D80" i="6"/>
  <c r="F81" i="6" l="1"/>
  <c r="D81" i="6"/>
  <c r="E82" i="6"/>
  <c r="C83" i="6"/>
  <c r="H80" i="6"/>
  <c r="J80" i="6"/>
  <c r="J81" i="6" l="1"/>
  <c r="H81" i="6"/>
  <c r="E83" i="6"/>
  <c r="C84" i="6"/>
  <c r="F82" i="6"/>
  <c r="D82" i="6"/>
  <c r="F83" i="6" l="1"/>
  <c r="D83" i="6"/>
  <c r="E84" i="6"/>
  <c r="C85" i="6"/>
  <c r="H82" i="6"/>
  <c r="J82" i="6"/>
  <c r="H83" i="6" l="1"/>
  <c r="J83" i="6"/>
  <c r="E85" i="6"/>
  <c r="C86" i="6"/>
  <c r="F84" i="6"/>
  <c r="D84" i="6"/>
  <c r="F85" i="6" l="1"/>
  <c r="D85" i="6"/>
  <c r="E86" i="6"/>
  <c r="C87" i="6"/>
  <c r="J84" i="6"/>
  <c r="H84" i="6"/>
  <c r="H85" i="6" l="1"/>
  <c r="J85" i="6"/>
  <c r="E87" i="6"/>
  <c r="C88" i="6"/>
  <c r="F86" i="6"/>
  <c r="D86" i="6"/>
  <c r="F87" i="6" l="1"/>
  <c r="D87" i="6"/>
  <c r="E88" i="6"/>
  <c r="C89" i="6"/>
  <c r="H86" i="6"/>
  <c r="J86" i="6"/>
  <c r="J87" i="6" l="1"/>
  <c r="H87" i="6"/>
  <c r="E89" i="6"/>
  <c r="C90" i="6"/>
  <c r="F88" i="6"/>
  <c r="D88" i="6"/>
  <c r="F89" i="6" l="1"/>
  <c r="D89" i="6"/>
  <c r="E90" i="6"/>
  <c r="C91" i="6"/>
  <c r="J88" i="6"/>
  <c r="H88" i="6"/>
  <c r="H89" i="6" l="1"/>
  <c r="J89" i="6"/>
  <c r="E91" i="6"/>
  <c r="C92" i="6"/>
  <c r="F90" i="6"/>
  <c r="D90" i="6"/>
  <c r="F91" i="6" l="1"/>
  <c r="D91" i="6"/>
  <c r="E92" i="6"/>
  <c r="C93" i="6"/>
  <c r="H90" i="6"/>
  <c r="J90" i="6"/>
  <c r="J91" i="6" l="1"/>
  <c r="H91" i="6"/>
  <c r="E93" i="6"/>
  <c r="C94" i="6"/>
  <c r="F92" i="6"/>
  <c r="D92" i="6"/>
  <c r="F93" i="6" l="1"/>
  <c r="D93" i="6"/>
  <c r="E94" i="6"/>
  <c r="C95" i="6"/>
  <c r="J92" i="6"/>
  <c r="H92" i="6"/>
  <c r="J93" i="6" l="1"/>
  <c r="H93" i="6"/>
  <c r="E95" i="6"/>
  <c r="C96" i="6"/>
  <c r="F94" i="6"/>
  <c r="D94" i="6"/>
  <c r="F95" i="6" l="1"/>
  <c r="D95" i="6"/>
  <c r="E96" i="6"/>
  <c r="C97" i="6"/>
  <c r="J94" i="6"/>
  <c r="H94" i="6"/>
  <c r="H95" i="6" l="1"/>
  <c r="J95" i="6"/>
  <c r="E97" i="6"/>
  <c r="C98" i="6"/>
  <c r="F96" i="6"/>
  <c r="D96" i="6"/>
  <c r="F97" i="6" l="1"/>
  <c r="D97" i="6"/>
  <c r="E98" i="6"/>
  <c r="C99" i="6"/>
  <c r="J96" i="6"/>
  <c r="H96" i="6"/>
  <c r="J97" i="6" l="1"/>
  <c r="H97" i="6"/>
  <c r="E99" i="6"/>
  <c r="C100" i="6"/>
  <c r="F98" i="6"/>
  <c r="D98" i="6"/>
  <c r="F99" i="6" l="1"/>
  <c r="D99" i="6"/>
  <c r="E100" i="6"/>
  <c r="C101" i="6"/>
  <c r="J98" i="6"/>
  <c r="H98" i="6"/>
  <c r="J99" i="6" l="1"/>
  <c r="H99" i="6"/>
  <c r="E101" i="6"/>
  <c r="C102" i="6"/>
  <c r="F100" i="6"/>
  <c r="D100" i="6"/>
  <c r="F101" i="6" l="1"/>
  <c r="D101" i="6"/>
  <c r="E102" i="6"/>
  <c r="C103" i="6"/>
  <c r="H100" i="6"/>
  <c r="J100" i="6"/>
  <c r="H101" i="6" l="1"/>
  <c r="J101" i="6"/>
  <c r="E103" i="6"/>
  <c r="C104" i="6"/>
  <c r="F102" i="6"/>
  <c r="D102" i="6"/>
  <c r="F103" i="6" l="1"/>
  <c r="D103" i="6"/>
  <c r="E104" i="6"/>
  <c r="C105" i="6"/>
  <c r="J102" i="6"/>
  <c r="H102" i="6"/>
  <c r="J103" i="6" l="1"/>
  <c r="H103" i="6"/>
  <c r="E105" i="6"/>
  <c r="C106" i="6"/>
  <c r="F104" i="6"/>
  <c r="D104" i="6"/>
  <c r="F105" i="6" l="1"/>
  <c r="D105" i="6"/>
  <c r="E106" i="6"/>
  <c r="C107" i="6"/>
  <c r="H104" i="6"/>
  <c r="J104" i="6"/>
  <c r="H105" i="6" l="1"/>
  <c r="J105" i="6"/>
  <c r="E107" i="6"/>
  <c r="C108" i="6"/>
  <c r="F106" i="6"/>
  <c r="D106" i="6"/>
  <c r="F107" i="6" l="1"/>
  <c r="D107" i="6"/>
  <c r="E108" i="6"/>
  <c r="C109" i="6"/>
  <c r="H106" i="6"/>
  <c r="J106" i="6"/>
  <c r="J107" i="6" l="1"/>
  <c r="H107" i="6"/>
  <c r="E109" i="6"/>
  <c r="C110" i="6"/>
  <c r="E110" i="6" s="1"/>
  <c r="D110" i="6" s="1"/>
  <c r="F108" i="6"/>
  <c r="D108" i="6"/>
  <c r="N74" i="6"/>
  <c r="N68" i="6"/>
  <c r="N56" i="6"/>
  <c r="N66" i="6"/>
  <c r="N79" i="6"/>
  <c r="N100" i="6"/>
  <c r="N53" i="6"/>
  <c r="N40" i="6"/>
  <c r="N72" i="6"/>
  <c r="N89" i="6"/>
  <c r="N59" i="6"/>
  <c r="N80" i="6"/>
  <c r="N62" i="6"/>
  <c r="N82" i="6"/>
  <c r="N86" i="6"/>
  <c r="N91" i="6"/>
  <c r="N51" i="6"/>
  <c r="N67" i="6"/>
  <c r="N58" i="6"/>
  <c r="N57" i="6"/>
  <c r="N97" i="6"/>
  <c r="N101" i="6"/>
  <c r="N99" i="6"/>
  <c r="N43" i="6"/>
  <c r="N54" i="6"/>
  <c r="N93" i="6"/>
  <c r="N95" i="6"/>
  <c r="N102" i="6"/>
  <c r="N41" i="6"/>
  <c r="N50" i="6"/>
  <c r="N92" i="6"/>
  <c r="N78" i="6"/>
  <c r="N98" i="6"/>
  <c r="N55" i="6"/>
  <c r="N103" i="6"/>
  <c r="N47" i="6"/>
  <c r="N73" i="6"/>
  <c r="N42" i="6"/>
  <c r="N104" i="6"/>
  <c r="N83" i="6"/>
  <c r="N63" i="6"/>
  <c r="N94" i="6"/>
  <c r="N81" i="6"/>
  <c r="N90" i="6"/>
  <c r="N107" i="6"/>
  <c r="N39" i="6"/>
  <c r="N87" i="6"/>
  <c r="N75" i="6"/>
  <c r="N88" i="6"/>
  <c r="N106" i="6"/>
  <c r="N85" i="6"/>
  <c r="N61" i="6"/>
  <c r="N52" i="6"/>
  <c r="N70" i="6"/>
  <c r="N48" i="6"/>
  <c r="N65" i="6"/>
  <c r="N69" i="6"/>
  <c r="N76" i="6"/>
  <c r="N46" i="6"/>
  <c r="N96" i="6"/>
  <c r="N44" i="6"/>
  <c r="N71" i="6"/>
  <c r="N60" i="6"/>
  <c r="N77" i="6"/>
  <c r="N49" i="6"/>
  <c r="N105" i="6"/>
  <c r="N64" i="6"/>
  <c r="N84" i="6"/>
  <c r="N45" i="6"/>
  <c r="F110" i="6" l="1"/>
  <c r="E112" i="6"/>
  <c r="F109" i="6"/>
  <c r="F112" i="6" s="1"/>
  <c r="J112" i="6" s="1"/>
  <c r="D109" i="6"/>
  <c r="D112" i="6" s="1"/>
  <c r="H108" i="6"/>
  <c r="J108" i="6"/>
  <c r="N108" i="6"/>
  <c r="N110" i="6" l="1"/>
  <c r="J110" i="6"/>
  <c r="H110" i="6"/>
  <c r="N109" i="6"/>
  <c r="J109" i="6"/>
  <c r="H109" i="6"/>
  <c r="H112" i="6" l="1"/>
  <c r="N11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<sst xmlns="http://schemas.openxmlformats.org/spreadsheetml/2006/main" count="368" uniqueCount="132">
  <si>
    <t>Valor a descontar</t>
  </si>
  <si>
    <t>Vl fat/mín/contr.</t>
  </si>
  <si>
    <t>Proposta criada após?</t>
  </si>
  <si>
    <t>modo entrada</t>
  </si>
  <si>
    <t>pagamento de entrada</t>
  </si>
  <si>
    <t>Produção_1</t>
  </si>
  <si>
    <t>Taxa</t>
  </si>
  <si>
    <t>Prazo</t>
  </si>
  <si>
    <t>dt_limite_pgto/dt_contr</t>
  </si>
  <si>
    <t>Venc_Proc_Corte</t>
  </si>
  <si>
    <t>dt_Icto_ult_prc</t>
  </si>
  <si>
    <t>dt_Icto_pri_prc</t>
  </si>
  <si>
    <t>IOF</t>
  </si>
  <si>
    <t>IOF Ad.</t>
  </si>
  <si>
    <t>TIPO SEGURO</t>
  </si>
  <si>
    <t>VALOR SEGURO</t>
  </si>
  <si>
    <t>Produto</t>
  </si>
  <si>
    <t>Total Parcelado</t>
  </si>
  <si>
    <t>1 = TP</t>
  </si>
  <si>
    <t>2 = PF</t>
  </si>
  <si>
    <t>3 = SC</t>
  </si>
  <si>
    <t>4 = PA</t>
  </si>
  <si>
    <t>5 = PE</t>
  </si>
  <si>
    <t>SIM</t>
  </si>
  <si>
    <t>NÃO</t>
  </si>
  <si>
    <t>PF ou PJ (controle)</t>
  </si>
  <si>
    <t>Parc. De Fatura</t>
  </si>
  <si>
    <t>Super Credito</t>
  </si>
  <si>
    <t>Parc. Automatico</t>
  </si>
  <si>
    <t>Parc. Emissor/trans./crediario</t>
  </si>
  <si>
    <t>PF</t>
  </si>
  <si>
    <t>ENTRADA IGUAL AS DEMAIS PARCELAS</t>
  </si>
  <si>
    <t>ENTRADA DIFERENTE DAS DEMAIS PARCELAS</t>
  </si>
  <si>
    <t>SEM ENTRADA</t>
  </si>
  <si>
    <t>Especificação do controle tipo produto</t>
  </si>
  <si>
    <t>Especificação do controle tipo cliente</t>
  </si>
  <si>
    <t>PJ</t>
  </si>
  <si>
    <t>Auxilixares do seguro</t>
  </si>
  <si>
    <t>SELECIONE</t>
  </si>
  <si>
    <t>COM SEGURO</t>
  </si>
  <si>
    <t>SEM SEGURO</t>
  </si>
  <si>
    <t>IOF Diário PF</t>
  </si>
  <si>
    <t>IOF Diário PJ</t>
  </si>
  <si>
    <t>IOF Adicional</t>
  </si>
  <si>
    <t>TIPO DE CONTRATAÇÃO</t>
  </si>
  <si>
    <t>ok</t>
  </si>
  <si>
    <t>Data</t>
  </si>
  <si>
    <t>Saldo</t>
  </si>
  <si>
    <t>Saldo Juros</t>
  </si>
  <si>
    <t>Saldo Principal</t>
  </si>
  <si>
    <t>Principal</t>
  </si>
  <si>
    <t>Juros</t>
  </si>
  <si>
    <t>Pagamento Juros</t>
  </si>
  <si>
    <t>PMT</t>
  </si>
  <si>
    <t>Nº DIAS</t>
  </si>
  <si>
    <t>IOF aux</t>
  </si>
  <si>
    <t>prazo min</t>
  </si>
  <si>
    <t>prazo max</t>
  </si>
  <si>
    <t>aux_classe</t>
  </si>
  <si>
    <t>Faixa de Prazo</t>
  </si>
  <si>
    <t>0 a 3</t>
  </si>
  <si>
    <t>4 a 7</t>
  </si>
  <si>
    <t>8 a 10</t>
  </si>
  <si>
    <t>11 a 17</t>
  </si>
  <si>
    <t>18 a 23</t>
  </si>
  <si>
    <t>24 a 60</t>
  </si>
  <si>
    <t>prazo_cons</t>
  </si>
  <si>
    <t>plan_ativa</t>
  </si>
  <si>
    <t>fl_seguro_tp</t>
  </si>
  <si>
    <t>fl_seguro_pf</t>
  </si>
  <si>
    <t>fl_seguro_sc</t>
  </si>
  <si>
    <t>Prestamista TP</t>
  </si>
  <si>
    <t>Prestamista PF</t>
  </si>
  <si>
    <t>Faixa de prazo</t>
  </si>
  <si>
    <t>taxa</t>
  </si>
  <si>
    <t>0 a 4</t>
  </si>
  <si>
    <t>5 a 6</t>
  </si>
  <si>
    <t>7 a 10</t>
  </si>
  <si>
    <t>Prestamista SC</t>
  </si>
  <si>
    <t>4 a 6</t>
  </si>
  <si>
    <t>7 a 9</t>
  </si>
  <si>
    <t>10 a 17</t>
  </si>
  <si>
    <t>Valor a Financiar</t>
  </si>
  <si>
    <t>Saldo em Aberto Fatura Anterior</t>
  </si>
  <si>
    <t>Valor da Fatura Atual em Aberto</t>
  </si>
  <si>
    <t>Taxa a.m.</t>
  </si>
  <si>
    <t>Tipo de Entrada</t>
  </si>
  <si>
    <t>Nova Entrada</t>
  </si>
  <si>
    <t>aux_producao</t>
  </si>
  <si>
    <t>Data Limite para Pgto</t>
  </si>
  <si>
    <t>Venc Prox Corte</t>
  </si>
  <si>
    <t>Vcto último Parcela</t>
  </si>
  <si>
    <t>CET</t>
  </si>
  <si>
    <t>Dia Vencimento</t>
  </si>
  <si>
    <t>Dias cobrados de juros</t>
  </si>
  <si>
    <t>aux_pmt</t>
  </si>
  <si>
    <t>Altera</t>
  </si>
  <si>
    <t>Seguro</t>
  </si>
  <si>
    <t>Aux CET</t>
  </si>
  <si>
    <t>Resumo da contratação</t>
  </si>
  <si>
    <t>VALOR FINANCIADO</t>
  </si>
  <si>
    <t>PRINCIPAL + IOF</t>
  </si>
  <si>
    <t>SEGURO</t>
  </si>
  <si>
    <t>TAXA</t>
  </si>
  <si>
    <t>PRAZO</t>
  </si>
  <si>
    <t>VALRO DE PARCELA</t>
  </si>
  <si>
    <t>IOF TOTAL</t>
  </si>
  <si>
    <t>JUROS</t>
  </si>
  <si>
    <t>TOTAL A PAGAR</t>
  </si>
  <si>
    <t>DT ULTIMA PARCELA</t>
  </si>
  <si>
    <t>Proposta criada após vcto?</t>
  </si>
  <si>
    <t>aux_tx_diaria</t>
  </si>
  <si>
    <t>aux_tx_anual</t>
  </si>
  <si>
    <t>aux_parcela</t>
  </si>
  <si>
    <t>TLMKT</t>
  </si>
  <si>
    <t>Valor a não considerar</t>
  </si>
  <si>
    <t>Valor fatura</t>
  </si>
  <si>
    <t>Novo IOF</t>
  </si>
  <si>
    <t>Data contratação</t>
  </si>
  <si>
    <t>Data inicial</t>
  </si>
  <si>
    <t>Data final</t>
  </si>
  <si>
    <t>Valor da Fatura</t>
  </si>
  <si>
    <t>09/24/2026</t>
  </si>
  <si>
    <t>PF OU PJ</t>
  </si>
  <si>
    <t>VALOR DE PARCELA</t>
  </si>
  <si>
    <t>vl_financiado (principal) - saldo vencido</t>
  </si>
  <si>
    <t>Numero Produto (controle)</t>
  </si>
  <si>
    <t>Valor de Pagamento</t>
  </si>
  <si>
    <t>RESUMO DA CONTRATAÇÃO</t>
  </si>
  <si>
    <t>TOTAL PARCELADO/REN</t>
  </si>
  <si>
    <t>PARC. DE FATURA</t>
  </si>
  <si>
    <t>SUPER CRÉDITO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</si>
</sst>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-&quot;R$&quot;\ * #,##0.00_-;\-&quot;R$&quot;\ * #,##0.00_-;_-&quot;R$&quot;\ * &quot;-&quot;??_-;_-@_-"/>
    <numFmt numFmtId="164" formatCode="0.000%"/>
    <numFmt numFmtId="165" formatCode="0.0000"/>
    <numFmt numFmtId="166" formatCode="_-&quot;R$&quot;\ * #,##0.000_-;\-&quot;R$&quot;\ * #,##0.000_-;_-&quot;R$&quot;\ * &quot;-&quot;??_-;_-@_-"/>
    <numFmt numFmtId="167" formatCode="&quot;R$&quot;\ #,##0.00"/>
    <numFmt numFmtId="168" formatCode="_-&quot;R$&quot;\ * #,##0.000_-;\-&quot;R$&quot;\ * #,##0.000_-;_-&quot;R$&quot;\ * &quot;-&quot;???_-;_-@_-"/>
    <numFmt numFmtId="169" formatCode="0.000"/>
    <numFmt numFmtId="170" formatCode="_-&quot;R$&quot;\ * #,##0.0000_-;\-&quot;R$&quot;\ * #,##0.0000_-;_-&quot;R$&quot;\ * &quot;-&quot;??_-;_-@_-"/>
    <numFmt numFmtId="171" formatCode="_-* #,##0_-;\-* #,##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0" applyNumberFormat="0" applyBorder="0" applyAlignment="0" applyProtection="0"/>
  </cellStyleXfs>
  <cellXfs count="95">
    <xf numFmtId="0" fontId="0" fillId="0" borderId="0" xfId="0"/>
    <xf numFmtId="10" fontId="0" fillId="0" borderId="0" xfId="1" applyNumberFormat="1" applyFont="1"/>
    <xf numFmtId="164" fontId="0" fillId="0" borderId="0" xfId="1" applyNumberFormat="1" applyFont="1"/>
    <xf numFmtId="0" fontId="3" fillId="3" borderId="0" xfId="4"/>
    <xf numFmtId="0" fontId="2" fillId="2" borderId="1" xfId="3"/>
    <xf numFmtId="0" fontId="2" fillId="2" borderId="0" xfId="3" applyBorder="1"/>
    <xf numFmtId="10" fontId="2" fillId="2" borderId="1" xfId="1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10" fontId="0" fillId="0" borderId="3" xfId="1" applyNumberFormat="1" applyFont="1" applyBorder="1" applyAlignment="1">
      <alignment horizontal="right"/>
    </xf>
    <xf numFmtId="10" fontId="0" fillId="0" borderId="4" xfId="1" applyNumberFormat="1" applyFont="1" applyBorder="1" applyAlignment="1">
      <alignment horizontal="right"/>
    </xf>
    <xf numFmtId="10" fontId="0" fillId="0" borderId="2" xfId="1" applyNumberFormat="1" applyFont="1" applyBorder="1" applyAlignment="1">
      <alignment horizontal="right"/>
    </xf>
    <xf numFmtId="14" fontId="0" fillId="0" borderId="0" xfId="0" applyNumberFormat="1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right"/>
    </xf>
    <xf numFmtId="44" fontId="0" fillId="0" borderId="0" xfId="2" applyFont="1" applyAlignment="1">
      <alignment horizontal="right"/>
    </xf>
    <xf numFmtId="44" fontId="0" fillId="0" borderId="0" xfId="2" applyFont="1"/>
    <xf numFmtId="10" fontId="0" fillId="0" borderId="0" xfId="1" applyNumberFormat="1" applyFont="1" applyAlignment="1">
      <alignment horizontal="right"/>
    </xf>
    <xf numFmtId="10" fontId="0" fillId="0" borderId="0" xfId="0" applyNumberFormat="1"/>
    <xf numFmtId="0" fontId="0" fillId="0" borderId="2" xfId="0" applyBorder="1" applyAlignment="1">
      <alignment horizontal="center"/>
    </xf>
    <xf numFmtId="44" fontId="0" fillId="0" borderId="2" xfId="2" applyFont="1" applyBorder="1" applyAlignment="1">
      <alignment horizontal="center"/>
    </xf>
    <xf numFmtId="44" fontId="0" fillId="0" borderId="0" xfId="2" applyFont="1" applyAlignment="1">
      <alignment horizontal="center"/>
    </xf>
    <xf numFmtId="44" fontId="0" fillId="0" borderId="0" xfId="0" applyNumberFormat="1"/>
    <xf numFmtId="165" fontId="0" fillId="0" borderId="2" xfId="2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166" fontId="0" fillId="0" borderId="0" xfId="2" applyNumberFormat="1" applyFont="1"/>
    <xf numFmtId="168" fontId="0" fillId="0" borderId="0" xfId="0" applyNumberFormat="1"/>
    <xf numFmtId="2" fontId="0" fillId="0" borderId="0" xfId="0" applyNumberFormat="1"/>
    <xf numFmtId="0" fontId="0" fillId="0" borderId="2" xfId="2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2" xfId="2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44" fontId="0" fillId="0" borderId="8" xfId="2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0" xfId="0" applyNumberFormat="1"/>
    <xf numFmtId="169" fontId="0" fillId="0" borderId="0" xfId="0" applyNumberFormat="1"/>
    <xf numFmtId="44" fontId="0" fillId="0" borderId="3" xfId="2" applyFont="1" applyBorder="1" applyAlignment="1">
      <alignment horizontal="right"/>
    </xf>
    <xf numFmtId="0" fontId="5" fillId="0" borderId="0" xfId="0" applyFont="1" applyAlignment="1">
      <alignment horizontal="center"/>
    </xf>
    <xf numFmtId="0" fontId="5" fillId="0" borderId="7" xfId="0" applyFont="1" applyBorder="1" applyAlignment="1">
      <alignment horizontal="center"/>
    </xf>
    <xf numFmtId="44" fontId="0" fillId="0" borderId="5" xfId="2" applyFont="1" applyBorder="1" applyAlignment="1">
      <alignment horizontal="right"/>
    </xf>
    <xf numFmtId="0" fontId="0" fillId="0" borderId="0" xfId="2" applyNumberFormat="1" applyFont="1"/>
    <xf numFmtId="167" fontId="0" fillId="0" borderId="0" xfId="2" applyNumberFormat="1" applyFont="1" applyAlignment="1">
      <alignment horizontal="right"/>
    </xf>
    <xf numFmtId="170" fontId="0" fillId="0" borderId="0" xfId="2" applyNumberFormat="1" applyFont="1"/>
    <xf numFmtId="44" fontId="0" fillId="0" borderId="0" xfId="0" applyNumberFormat="1" applyAlignment="1">
      <alignment horizontal="center"/>
    </xf>
    <xf numFmtId="0" fontId="4" fillId="0" borderId="0" xfId="0" applyFont="1"/>
    <xf numFmtId="0" fontId="0" fillId="0" borderId="9" xfId="0" applyBorder="1" applyAlignment="1">
      <alignment horizontal="center"/>
    </xf>
    <xf numFmtId="0" fontId="0" fillId="0" borderId="3" xfId="1" applyNumberFormat="1" applyFont="1" applyBorder="1" applyAlignment="1">
      <alignment horizontal="right"/>
    </xf>
    <xf numFmtId="0" fontId="0" fillId="0" borderId="0" xfId="0" applyAlignment="1">
      <alignment horizontal="left"/>
    </xf>
    <xf numFmtId="2" fontId="0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center"/>
    </xf>
    <xf numFmtId="167" fontId="0" fillId="4" borderId="0" xfId="2" applyNumberFormat="1" applyFont="1" applyFill="1" applyAlignment="1">
      <alignment horizontal="right"/>
    </xf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10" fontId="0" fillId="5" borderId="0" xfId="1" applyNumberFormat="1" applyFont="1" applyFill="1" applyAlignment="1">
      <alignment horizontal="right"/>
    </xf>
    <xf numFmtId="167" fontId="0" fillId="5" borderId="0" xfId="2" applyNumberFormat="1" applyFont="1" applyFill="1" applyAlignment="1">
      <alignment horizontal="right"/>
    </xf>
    <xf numFmtId="0" fontId="6" fillId="0" borderId="0" xfId="0" applyFont="1" applyAlignment="1">
      <alignment horizontal="center"/>
    </xf>
    <xf numFmtId="0" fontId="7" fillId="0" borderId="0" xfId="0" applyFont="1"/>
    <xf numFmtId="0" fontId="6" fillId="0" borderId="2" xfId="0" applyFont="1" applyBorder="1" applyAlignment="1">
      <alignment horizontal="center"/>
    </xf>
    <xf numFmtId="2" fontId="6" fillId="0" borderId="0" xfId="2" applyNumberFormat="1" applyFont="1"/>
    <xf numFmtId="0" fontId="6" fillId="0" borderId="10" xfId="0" applyFont="1" applyBorder="1" applyAlignment="1">
      <alignment horizontal="center"/>
    </xf>
    <xf numFmtId="0" fontId="6" fillId="0" borderId="10" xfId="0" applyFont="1" applyBorder="1"/>
    <xf numFmtId="0" fontId="6" fillId="0" borderId="10" xfId="0" applyFont="1" applyBorder="1" applyAlignment="1">
      <alignment horizontal="right"/>
    </xf>
    <xf numFmtId="44" fontId="6" fillId="0" borderId="10" xfId="0" applyNumberFormat="1" applyFont="1" applyBorder="1"/>
    <xf numFmtId="44" fontId="6" fillId="0" borderId="10" xfId="0" applyNumberFormat="1" applyFont="1" applyBorder="1" applyAlignment="1">
      <alignment horizontal="right"/>
    </xf>
    <xf numFmtId="165" fontId="6" fillId="0" borderId="10" xfId="0" applyNumberFormat="1" applyFont="1" applyBorder="1"/>
    <xf numFmtId="0" fontId="0" fillId="0" borderId="11" xfId="0" applyBorder="1"/>
    <xf numFmtId="0" fontId="6" fillId="0" borderId="11" xfId="0" applyFont="1" applyBorder="1" applyAlignment="1">
      <alignment horizontal="center"/>
    </xf>
    <xf numFmtId="44" fontId="0" fillId="0" borderId="11" xfId="2" applyFont="1" applyBorder="1" applyAlignment="1">
      <alignment horizontal="center"/>
    </xf>
    <xf numFmtId="171" fontId="0" fillId="0" borderId="11" xfId="2" applyNumberFormat="1" applyFont="1" applyBorder="1" applyAlignment="1">
      <alignment horizontal="center"/>
    </xf>
    <xf numFmtId="44" fontId="6" fillId="0" borderId="12" xfId="2" applyFont="1" applyBorder="1"/>
    <xf numFmtId="0" fontId="0" fillId="0" borderId="13" xfId="0" applyBorder="1"/>
    <xf numFmtId="0" fontId="7" fillId="0" borderId="14" xfId="0" applyFont="1" applyBorder="1"/>
    <xf numFmtId="2" fontId="0" fillId="0" borderId="14" xfId="0" applyNumberFormat="1" applyBorder="1" applyAlignment="1">
      <alignment horizontal="right"/>
    </xf>
    <xf numFmtId="0" fontId="0" fillId="0" borderId="14" xfId="0" applyBorder="1"/>
    <xf numFmtId="0" fontId="0" fillId="0" borderId="15" xfId="0" applyBorder="1"/>
    <xf numFmtId="166" fontId="0" fillId="0" borderId="2" xfId="2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</cellXfs>
  <cellStyles count="5">
    <cellStyle name="Ênfase1" xfId="4" builtinId="29"/>
    <cellStyle name="Moeda" xfId="2" builtinId="4"/>
    <cellStyle name="Normal" xfId="0" builtinId="0"/>
    <cellStyle name="Porcentagem" xfId="1" builtinId="5"/>
    <cellStyle name="Saída" xfId="3" builtinId="21"/>
  </cellStyles>
  <dxfs count="0"/>
  <tableStyles count="1" defaultTableStyle="TableStyleMedium2" defaultPivotStyle="PivotStyleLight16">
    <tableStyle name="Invisible" pivot="0" table="0" count="0" xr9:uid="{D2F0102B-DF41-47E4-985E-3BA365A74AA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6" fmlaLink="$C8" fmlaRange="Auxiliares!$E19:$E20" noThreeD="1" sel="2" val="0"/>
</file>

<file path=xl/ctrlProps/ctrlProp2.xml><?xml version="1.0" encoding="utf-8"?>
<formControlPr xmlns="http://schemas.microsoft.com/office/spreadsheetml/2009/9/main" objectType="Drop" dropStyle="combo" dx="26" fmlaLink="$C8" fmlaRange="Auxiliares!$E19:$E20" noThreeD="1" sel="2" val="0"/>
</file>

<file path=xl/ctrlProps/ctrlProp3.xml><?xml version="1.0" encoding="utf-8"?>
<formControlPr xmlns="http://schemas.microsoft.com/office/spreadsheetml/2009/9/main" objectType="Drop" dropStyle="combo" dx="26" fmlaLink="$C21" fmlaRange="Auxiliares!$D2:$D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Relationship Id="rId4" Type="http://schemas.openxmlformats.org/officeDocument/2006/relationships/hyperlink" Target="#P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Relationship Id="rId4" Type="http://schemas.openxmlformats.org/officeDocument/2006/relationships/hyperlink" Target="#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Relationship Id="rId4" Type="http://schemas.openxmlformats.org/officeDocument/2006/relationships/hyperlink" Target="#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4233</xdr:rowOff>
    </xdr:from>
    <xdr:to>
      <xdr:col>3</xdr:col>
      <xdr:colOff>0</xdr:colOff>
      <xdr:row>6</xdr:row>
      <xdr:rowOff>186267</xdr:rowOff>
    </xdr:to>
    <xdr:sp macro="" textlink="B7">
      <xdr:nvSpPr>
        <xdr:cNvPr id="2" name="Retângulo 1">
          <a:extLst>
            <a:ext uri="{FF2B5EF4-FFF2-40B4-BE49-F238E27FC236}">
              <a16:creationId xmlns:a16="http://schemas.microsoft.com/office/drawing/2014/main" id="{1B7C4832-F700-35D2-85EF-60CBC948DC16}"/>
            </a:ext>
          </a:extLst>
        </xdr:cNvPr>
        <xdr:cNvSpPr/>
      </xdr:nvSpPr>
      <xdr:spPr>
        <a:xfrm>
          <a:off x="402167" y="1147233"/>
          <a:ext cx="2772833" cy="18203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8D3C1D-AB6F-49CC-BC60-EE08920B37F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TIPO DE CONTRATAÇÃO</a:t>
          </a:fld>
          <a:endParaRPr lang="pt-BR" sz="1100"/>
        </a:p>
      </xdr:txBody>
    </xdr:sp>
    <xdr:clientData/>
  </xdr:twoCellAnchor>
  <xdr:twoCellAnchor>
    <xdr:from>
      <xdr:col>13</xdr:col>
      <xdr:colOff>4233</xdr:colOff>
      <xdr:row>5</xdr:row>
      <xdr:rowOff>0</xdr:rowOff>
    </xdr:from>
    <xdr:to>
      <xdr:col>14</xdr:col>
      <xdr:colOff>601134</xdr:colOff>
      <xdr:row>6</xdr:row>
      <xdr:rowOff>0</xdr:rowOff>
    </xdr:to>
    <xdr:sp macro="" textlink="N6">
      <xdr:nvSpPr>
        <xdr:cNvPr id="3" name="Retângulo 2">
          <a:extLst>
            <a:ext uri="{FF2B5EF4-FFF2-40B4-BE49-F238E27FC236}">
              <a16:creationId xmlns:a16="http://schemas.microsoft.com/office/drawing/2014/main" id="{94F3EFFA-8189-9185-B3BF-FDE6A3CB58A1}"/>
            </a:ext>
          </a:extLst>
        </xdr:cNvPr>
        <xdr:cNvSpPr/>
      </xdr:nvSpPr>
      <xdr:spPr>
        <a:xfrm>
          <a:off x="12255500" y="952500"/>
          <a:ext cx="2091267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scene3d>
          <a:camera prst="perspectiveBelow"/>
          <a:lightRig rig="threePt" dir="t"/>
        </a:scene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3C473C-944C-4D08-86AC-F0EAB7B04BE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VALOR FINANCIADO</a:t>
          </a:fld>
          <a:endParaRPr lang="pt-BR" sz="1100"/>
        </a:p>
      </xdr:txBody>
    </xdr:sp>
    <xdr:clientData/>
  </xdr:twoCellAnchor>
  <xdr:twoCellAnchor>
    <xdr:from>
      <xdr:col>1</xdr:col>
      <xdr:colOff>7938</xdr:colOff>
      <xdr:row>1</xdr:row>
      <xdr:rowOff>15875</xdr:rowOff>
    </xdr:from>
    <xdr:to>
      <xdr:col>1</xdr:col>
      <xdr:colOff>1912938</xdr:colOff>
      <xdr:row>3</xdr:row>
      <xdr:rowOff>15875</xdr:rowOff>
    </xdr:to>
    <xdr:sp macro="[0]!Planilha5.TP_limp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D2F2F-F719-28CD-E585-B03BB74CCCD4}"/>
            </a:ext>
          </a:extLst>
        </xdr:cNvPr>
        <xdr:cNvSpPr/>
      </xdr:nvSpPr>
      <xdr:spPr>
        <a:xfrm>
          <a:off x="420688" y="19843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238125</xdr:colOff>
      <xdr:row>0</xdr:row>
      <xdr:rowOff>174625</xdr:rowOff>
    </xdr:from>
    <xdr:to>
      <xdr:col>4</xdr:col>
      <xdr:colOff>452437</xdr:colOff>
      <xdr:row>2</xdr:row>
      <xdr:rowOff>174625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BDF86F-DDA6-4986-A7A7-DC43F758AB9E}"/>
            </a:ext>
          </a:extLst>
        </xdr:cNvPr>
        <xdr:cNvSpPr/>
      </xdr:nvSpPr>
      <xdr:spPr>
        <a:xfrm>
          <a:off x="2571750" y="174625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4</xdr:col>
      <xdr:colOff>746125</xdr:colOff>
      <xdr:row>1</xdr:row>
      <xdr:rowOff>0</xdr:rowOff>
    </xdr:from>
    <xdr:to>
      <xdr:col>6</xdr:col>
      <xdr:colOff>738188</xdr:colOff>
      <xdr:row>3</xdr:row>
      <xdr:rowOff>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E39164-2FF1-4C67-B274-FB204808D12E}"/>
            </a:ext>
          </a:extLst>
        </xdr:cNvPr>
        <xdr:cNvSpPr/>
      </xdr:nvSpPr>
      <xdr:spPr>
        <a:xfrm>
          <a:off x="4770438" y="18256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7</xdr:col>
      <xdr:colOff>23812</xdr:colOff>
      <xdr:row>1</xdr:row>
      <xdr:rowOff>0</xdr:rowOff>
    </xdr:from>
    <xdr:to>
      <xdr:col>8</xdr:col>
      <xdr:colOff>809625</xdr:colOff>
      <xdr:row>3</xdr:row>
      <xdr:rowOff>0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CAA517-CCEF-49D8-8A20-00F1A2459588}"/>
            </a:ext>
          </a:extLst>
        </xdr:cNvPr>
        <xdr:cNvSpPr/>
      </xdr:nvSpPr>
      <xdr:spPr>
        <a:xfrm>
          <a:off x="6762750" y="18256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6626</xdr:colOff>
      <xdr:row>6</xdr:row>
      <xdr:rowOff>186055</xdr:rowOff>
    </xdr:from>
    <xdr:to>
      <xdr:col>3</xdr:col>
      <xdr:colOff>0</xdr:colOff>
      <xdr:row>7</xdr:row>
      <xdr:rowOff>186055</xdr:rowOff>
    </xdr:to>
    <xdr:sp macro="" textlink="B8">
      <xdr:nvSpPr>
        <xdr:cNvPr id="2" name="Retângulo 1">
          <a:extLst>
            <a:ext uri="{FF2B5EF4-FFF2-40B4-BE49-F238E27FC236}">
              <a16:creationId xmlns:a16="http://schemas.microsoft.com/office/drawing/2014/main" id="{97CE5A99-0FE4-F9E7-DC7C-ED2B2409949F}"/>
            </a:ext>
          </a:extLst>
        </xdr:cNvPr>
        <xdr:cNvSpPr/>
      </xdr:nvSpPr>
      <xdr:spPr>
        <a:xfrm>
          <a:off x="410817" y="1338994"/>
          <a:ext cx="2789583" cy="192157"/>
        </a:xfrm>
        <a:prstGeom prst="rect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B2D1B72-7660-41BE-B7CB-766AE6BAF6B2}" type="TxLink">
            <a:rPr lang="en-US" sz="1100" b="0" i="0" u="none" strike="noStrike" cap="none" spc="0">
              <a:ln w="0"/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ptos Narrow"/>
            </a:rPr>
            <a:pPr algn="l"/>
            <a:t>TIPO DE CONTRATAÇÃO</a:t>
          </a:fld>
          <a:endParaRPr lang="pt-BR" sz="1100" b="0" cap="none" spc="0">
            <a:ln w="0"/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1</xdr:row>
      <xdr:rowOff>23813</xdr:rowOff>
    </xdr:from>
    <xdr:to>
      <xdr:col>1</xdr:col>
      <xdr:colOff>1905000</xdr:colOff>
      <xdr:row>3</xdr:row>
      <xdr:rowOff>20638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0980C-9A88-4B49-AD4F-FB1427098806}"/>
            </a:ext>
          </a:extLst>
        </xdr:cNvPr>
        <xdr:cNvSpPr/>
      </xdr:nvSpPr>
      <xdr:spPr>
        <a:xfrm>
          <a:off x="412750" y="20796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131762</xdr:colOff>
      <xdr:row>1</xdr:row>
      <xdr:rowOff>0</xdr:rowOff>
    </xdr:from>
    <xdr:to>
      <xdr:col>4</xdr:col>
      <xdr:colOff>423862</xdr:colOff>
      <xdr:row>2</xdr:row>
      <xdr:rowOff>180975</xdr:rowOff>
    </xdr:to>
    <xdr:sp macro="[0]!Planilha1.PF_limpo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524501-CBF6-4920-A7E0-1948B89D1A04}"/>
            </a:ext>
          </a:extLst>
        </xdr:cNvPr>
        <xdr:cNvSpPr/>
      </xdr:nvSpPr>
      <xdr:spPr>
        <a:xfrm>
          <a:off x="2563812" y="184150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4</xdr:col>
      <xdr:colOff>717550</xdr:colOff>
      <xdr:row>1</xdr:row>
      <xdr:rowOff>7938</xdr:rowOff>
    </xdr:from>
    <xdr:to>
      <xdr:col>7</xdr:col>
      <xdr:colOff>469900</xdr:colOff>
      <xdr:row>3</xdr:row>
      <xdr:rowOff>4763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1924A9-3FB7-4F39-908D-9E5C2BC50C36}"/>
            </a:ext>
          </a:extLst>
        </xdr:cNvPr>
        <xdr:cNvSpPr/>
      </xdr:nvSpPr>
      <xdr:spPr>
        <a:xfrm>
          <a:off x="4762500" y="19208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7</xdr:col>
      <xdr:colOff>557212</xdr:colOff>
      <xdr:row>1</xdr:row>
      <xdr:rowOff>7938</xdr:rowOff>
    </xdr:from>
    <xdr:to>
      <xdr:col>10</xdr:col>
      <xdr:colOff>265112</xdr:colOff>
      <xdr:row>3</xdr:row>
      <xdr:rowOff>4763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371664-74FE-4318-97F7-9A30D6986789}"/>
            </a:ext>
          </a:extLst>
        </xdr:cNvPr>
        <xdr:cNvSpPr/>
      </xdr:nvSpPr>
      <xdr:spPr>
        <a:xfrm>
          <a:off x="6754812" y="19208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0</xdr:rowOff>
        </xdr:from>
        <xdr:to>
          <xdr:col>5</xdr:col>
          <xdr:colOff>352425</xdr:colOff>
          <xdr:row>8</xdr:row>
          <xdr:rowOff>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50801</xdr:colOff>
      <xdr:row>1</xdr:row>
      <xdr:rowOff>125413</xdr:rowOff>
    </xdr:from>
    <xdr:to>
      <xdr:col>2</xdr:col>
      <xdr:colOff>491067</xdr:colOff>
      <xdr:row>3</xdr:row>
      <xdr:rowOff>118005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D85C94-9D03-4637-9CCD-01F317760821}"/>
            </a:ext>
          </a:extLst>
        </xdr:cNvPr>
        <xdr:cNvSpPr/>
      </xdr:nvSpPr>
      <xdr:spPr>
        <a:xfrm>
          <a:off x="448734" y="311680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737129</xdr:colOff>
      <xdr:row>1</xdr:row>
      <xdr:rowOff>101600</xdr:rowOff>
    </xdr:from>
    <xdr:to>
      <xdr:col>4</xdr:col>
      <xdr:colOff>906463</xdr:colOff>
      <xdr:row>3</xdr:row>
      <xdr:rowOff>94192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203FDB-D432-4438-B4D2-7D0E3069138B}"/>
            </a:ext>
          </a:extLst>
        </xdr:cNvPr>
        <xdr:cNvSpPr/>
      </xdr:nvSpPr>
      <xdr:spPr>
        <a:xfrm>
          <a:off x="2599796" y="287867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5</xdr:col>
      <xdr:colOff>260351</xdr:colOff>
      <xdr:row>1</xdr:row>
      <xdr:rowOff>109538</xdr:rowOff>
    </xdr:from>
    <xdr:to>
      <xdr:col>7</xdr:col>
      <xdr:colOff>700617</xdr:colOff>
      <xdr:row>3</xdr:row>
      <xdr:rowOff>102130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CDB370-CF74-4BA8-996D-3E0A45560D28}"/>
            </a:ext>
          </a:extLst>
        </xdr:cNvPr>
        <xdr:cNvSpPr/>
      </xdr:nvSpPr>
      <xdr:spPr>
        <a:xfrm>
          <a:off x="4798484" y="295805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7</xdr:col>
      <xdr:colOff>787929</xdr:colOff>
      <xdr:row>1</xdr:row>
      <xdr:rowOff>109538</xdr:rowOff>
    </xdr:from>
    <xdr:to>
      <xdr:col>10</xdr:col>
      <xdr:colOff>330729</xdr:colOff>
      <xdr:row>3</xdr:row>
      <xdr:rowOff>102130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CD2C4B-9C8A-4576-9CDC-2DBEAF44824C}"/>
            </a:ext>
          </a:extLst>
        </xdr:cNvPr>
        <xdr:cNvSpPr/>
      </xdr:nvSpPr>
      <xdr:spPr>
        <a:xfrm>
          <a:off x="6790796" y="295805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953</xdr:rowOff>
    </xdr:from>
    <xdr:to>
      <xdr:col>2</xdr:col>
      <xdr:colOff>358140</xdr:colOff>
      <xdr:row>4</xdr:row>
      <xdr:rowOff>318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FA51DE-2556-4D35-B666-2B629EB5EBE5}"/>
            </a:ext>
          </a:extLst>
        </xdr:cNvPr>
        <xdr:cNvSpPr/>
      </xdr:nvSpPr>
      <xdr:spPr>
        <a:xfrm>
          <a:off x="396240" y="36671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619442</xdr:colOff>
      <xdr:row>2</xdr:row>
      <xdr:rowOff>0</xdr:rowOff>
    </xdr:from>
    <xdr:to>
      <xdr:col>5</xdr:col>
      <xdr:colOff>139382</xdr:colOff>
      <xdr:row>3</xdr:row>
      <xdr:rowOff>182245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6B10D61-7871-4A86-BCB7-A481B6BB7B44}"/>
            </a:ext>
          </a:extLst>
        </xdr:cNvPr>
        <xdr:cNvSpPr/>
      </xdr:nvSpPr>
      <xdr:spPr>
        <a:xfrm>
          <a:off x="2562542" y="365760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5</xdr:col>
      <xdr:colOff>379730</xdr:colOff>
      <xdr:row>2</xdr:row>
      <xdr:rowOff>318</xdr:rowOff>
    </xdr:from>
    <xdr:to>
      <xdr:col>8</xdr:col>
      <xdr:colOff>6350</xdr:colOff>
      <xdr:row>3</xdr:row>
      <xdr:rowOff>182563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D1DE59-2D4F-4B44-A554-D1B5DB705E47}"/>
            </a:ext>
          </a:extLst>
        </xdr:cNvPr>
        <xdr:cNvSpPr/>
      </xdr:nvSpPr>
      <xdr:spPr>
        <a:xfrm>
          <a:off x="4707890" y="36607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8</xdr:col>
      <xdr:colOff>192722</xdr:colOff>
      <xdr:row>1</xdr:row>
      <xdr:rowOff>167958</xdr:rowOff>
    </xdr:from>
    <xdr:to>
      <xdr:col>10</xdr:col>
      <xdr:colOff>794702</xdr:colOff>
      <xdr:row>3</xdr:row>
      <xdr:rowOff>167323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D0D7AD-7DB2-4EBA-B5D8-15CFF46AC02C}"/>
            </a:ext>
          </a:extLst>
        </xdr:cNvPr>
        <xdr:cNvSpPr/>
      </xdr:nvSpPr>
      <xdr:spPr>
        <a:xfrm>
          <a:off x="6799262" y="35083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0</xdr:rowOff>
        </xdr:from>
        <xdr:to>
          <xdr:col>6</xdr:col>
          <xdr:colOff>114300</xdr:colOff>
          <xdr:row>8</xdr:row>
          <xdr:rowOff>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5</xdr:col>
          <xdr:colOff>152400</xdr:colOff>
          <xdr:row>21</xdr:row>
          <xdr:rowOff>0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B5A-1A00-4CE8-B7DA-6302EA329F22}">
  <sheetPr codeName="Sheet1"/>
  <dimension ref="A1:N98"/>
  <sheetViews>
    <sheetView topLeftCell="A4" workbookViewId="0">
      <selection activeCell="I19" sqref="I19"/>
    </sheetView>
  </sheetViews>
  <sheetFormatPr defaultRowHeight="15" x14ac:dyDescent="0.25"/>
  <cols>
    <col min="1" max="1" width="5.7109375" customWidth="1"/>
    <col min="2" max="2" width="21" bestFit="1" customWidth="1"/>
    <col min="3" max="3" width="18.7109375" style="11" customWidth="1"/>
    <col min="4" max="4" width="10.7109375" bestFit="1" customWidth="1"/>
    <col min="5" max="5" width="14.140625" bestFit="1" customWidth="1"/>
    <col min="6" max="6" width="11.85546875" bestFit="1" customWidth="1"/>
    <col min="7" max="7" width="10.28515625" bestFit="1" customWidth="1"/>
    <col min="8" max="8" width="15.7109375" bestFit="1" customWidth="1"/>
    <col min="9" max="9" width="38.7109375" style="11" bestFit="1" customWidth="1"/>
    <col min="10" max="10" width="8.28515625" bestFit="1" customWidth="1"/>
    <col min="11" max="11" width="10.28515625" bestFit="1" customWidth="1"/>
    <col min="12" max="12" width="11.85546875" bestFit="1" customWidth="1"/>
    <col min="13" max="13" width="12.85546875" bestFit="1" customWidth="1"/>
    <col min="14" max="14" width="9.28515625" bestFit="1" customWidth="1"/>
  </cols>
  <sheetData>
    <row r="1" spans="1:13" hidden="1" x14ac:dyDescent="0.25"/>
    <row r="2" spans="1:13" hidden="1" x14ac:dyDescent="0.25"/>
    <row r="3" spans="1:13" hidden="1" x14ac:dyDescent="0.25"/>
    <row r="4" spans="1:13" ht="15.75" thickBot="1" x14ac:dyDescent="0.3">
      <c r="G4" t="s">
        <v>16</v>
      </c>
      <c r="I4" s="11" t="s">
        <v>17</v>
      </c>
      <c r="L4" t="s">
        <v>18</v>
      </c>
    </row>
    <row r="5" spans="1:13" ht="15.75" thickTop="1" x14ac:dyDescent="0.25">
      <c r="A5" s="83"/>
      <c r="B5" s="84" t="s">
        <v>0</v>
      </c>
      <c r="C5" s="85">
        <f>I5</f>
        <v>0</v>
      </c>
      <c r="D5" s="86"/>
      <c r="E5" s="86"/>
      <c r="F5" s="86"/>
      <c r="G5" s="86"/>
      <c r="H5" s="86"/>
      <c r="I5" s="85">
        <f>IF(AND(Auxiliares!$B$8=1,I7="SIM"),TP!C13,IF(Auxiliares!$B$8=1,TP!C10,
IF(Auxiliares!$B$8=2,PF!C11,
IF(Auxiliares!$B$8=3,0,
IF(Auxiliares!$B$8=4,0,
IF(Auxiliares!$B$8=5,0,0))))))</f>
        <v>0</v>
      </c>
      <c r="J5" s="86"/>
      <c r="K5" s="87"/>
      <c r="L5" t="s">
        <v>19</v>
      </c>
    </row>
    <row r="6" spans="1:13" x14ac:dyDescent="0.25">
      <c r="B6" s="69" t="s">
        <v>1</v>
      </c>
      <c r="C6" s="11">
        <f>I6</f>
        <v>2000</v>
      </c>
      <c r="I6" s="11">
        <f>IF(Auxiliares!$B$8=1,TP!C13,
IF(Auxiliares!$B$8=2,PF!C9,
IF(Auxiliares!$B$8=SC!C9,
IF(Auxiliares!$B$8=4,PA!C9,
IF(Auxiliares!$B$8=5,'PE-TR-CRE'!C9,0)))))</f>
        <v>2000</v>
      </c>
      <c r="K6" s="78"/>
      <c r="L6" t="s">
        <v>20</v>
      </c>
    </row>
    <row r="7" spans="1:13" x14ac:dyDescent="0.25">
      <c r="B7" s="69" t="s">
        <v>2</v>
      </c>
      <c r="C7" s="11" t="str">
        <f>I7</f>
        <v>NÃO</v>
      </c>
      <c r="I7" s="11" t="str">
        <f>IFERROR(IF(Auxiliares!$B$8=1,TP!C12,
IF(Auxiliares!$B$8=2,PF!C13,
IF(Auxiliares!$B$8=3,SC!C13,
IF(Auxiliares!$B$8=4,PA!C13,0)))),0)</f>
        <v>NÃO</v>
      </c>
      <c r="K7" s="78"/>
      <c r="L7" t="s">
        <v>21</v>
      </c>
    </row>
    <row r="8" spans="1:13" x14ac:dyDescent="0.25">
      <c r="B8" s="69" t="s">
        <v>3</v>
      </c>
      <c r="C8" s="59" t="str">
        <f t="shared" ref="C8:C20" si="0">I8</f>
        <v>ENTRADA IGUAL AS DEMAIS PARCELAS</v>
      </c>
      <c r="I8" s="11" t="str">
        <f>IF(Auxiliares!$B$8=1,TP!C21,
IF(Auxiliares!$B$8=2,PF!C21,
IF(Auxiliares!$B$8=3,0,
IF(Auxiliares!$B$8=4,"NÃO HÁ",
IF(Auxiliares!$B$8=5,0,0)))))</f>
        <v>ENTRADA IGUAL AS DEMAIS PARCELAS</v>
      </c>
      <c r="K8" s="78"/>
      <c r="L8" t="s">
        <v>22</v>
      </c>
    </row>
    <row r="9" spans="1:13" x14ac:dyDescent="0.25">
      <c r="B9" s="69" t="s">
        <v>4</v>
      </c>
      <c r="C9" s="62">
        <f t="shared" si="0"/>
        <v>0</v>
      </c>
      <c r="D9" s="63"/>
      <c r="E9" s="63"/>
      <c r="F9" s="63"/>
      <c r="I9" s="62">
        <f>IF(AND(Auxiliares!$B$8=1,OR(I8="ENTRADA IGUAL AS DEMAIS PARCELAS",I8="SEM ENTRADA")),0,
IF(Auxiliares!$B$8=1,TP!C22,
IF(AND(Auxiliares!$B$8=2,OR(I8="ENTRADA IGUAL AS DEMAIS PARCELAS",I8="SEM ENTRADA")),0,
IF(Auxiliares!$B$8=2,PF!C22,
IF(Auxiliares!$B$8=4,PA!#REF!,0)))))</f>
        <v>0</v>
      </c>
      <c r="K9" s="78"/>
    </row>
    <row r="10" spans="1:13" x14ac:dyDescent="0.25">
      <c r="B10" s="69" t="s">
        <v>5</v>
      </c>
      <c r="C10" s="67">
        <f t="shared" si="0"/>
        <v>2000</v>
      </c>
      <c r="D10" s="65"/>
      <c r="E10" s="65"/>
      <c r="F10" s="65"/>
      <c r="I10" s="11">
        <f>IF(Auxiliares!$B$8=1,TP!C24,
IF(Auxiliares!$B$8=2,PF!C24,
IF(Auxiliares!$B$8=3,I6,
IF(Auxiliares!$B$8=4,I6-I9,
IF(Auxiliares!$B$8=5,I6,0))))+I20)</f>
        <v>2000</v>
      </c>
      <c r="J10" s="38">
        <f>IF(I5&gt;I9,I5-I9,0)</f>
        <v>0</v>
      </c>
      <c r="K10" s="78"/>
      <c r="L10" s="23">
        <f>I10-J10</f>
        <v>2000</v>
      </c>
    </row>
    <row r="11" spans="1:13" x14ac:dyDescent="0.25">
      <c r="B11" s="69" t="s">
        <v>6</v>
      </c>
      <c r="C11" s="66">
        <f t="shared" si="0"/>
        <v>7.9500000000000001E-2</v>
      </c>
      <c r="D11" s="65"/>
      <c r="E11" s="65"/>
      <c r="F11" s="65"/>
      <c r="I11" s="24">
        <f>IF(Auxiliares!$B$8=1,TP!C15,
IF(Auxiliares!$B$8=2,PF!C15,
IF(Auxiliares!$B$8=3,#REF!,
IF(Auxiliares!$B$8=4,PA!C15,
IF(Auxiliares!$B$8=5,'PE-TR-CRE'!C11,0)))))</f>
        <v>7.9500000000000001E-2</v>
      </c>
      <c r="K11" s="78"/>
    </row>
    <row r="12" spans="1:13" x14ac:dyDescent="0.25">
      <c r="B12" s="69" t="s">
        <v>7</v>
      </c>
      <c r="C12" s="64">
        <f t="shared" si="0"/>
        <v>8</v>
      </c>
      <c r="D12" s="65"/>
      <c r="E12" s="65"/>
      <c r="F12" s="65"/>
      <c r="I12" s="11">
        <f>IF(Auxiliares!$B$8=1,TP!C19,
IF(Auxiliares!$B$8=2,PF!C19,
IF(Auxiliares!$B$8=3,#REF!,
IF(Auxiliares!$B$8=4,PA!C19,
IF(Auxiliares!$B$8=5,'PE-TR-CRE'!C15,0)))))</f>
        <v>8</v>
      </c>
      <c r="K12" s="78"/>
    </row>
    <row r="13" spans="1:13" x14ac:dyDescent="0.25">
      <c r="B13" s="69" t="s">
        <v>8</v>
      </c>
      <c r="C13" s="16">
        <f t="shared" si="0"/>
        <v>46255</v>
      </c>
      <c r="I13" s="16">
        <f>IF(Auxiliares!$B$8=1,TP!C26,
IF(Auxiliares!$B$8=2,PF!C26,
IF(Auxiliares!$B$8=3,#REF!,
IF(Auxiliares!$B$8=4,PA!#REF!,
IF(Auxiliares!$B$8=5,'PE-TR-CRE'!C17,0)))))</f>
        <v>46255</v>
      </c>
      <c r="K13" s="78"/>
      <c r="M13" s="23">
        <v>4018.11</v>
      </c>
    </row>
    <row r="14" spans="1:13" x14ac:dyDescent="0.25">
      <c r="B14" s="69" t="s">
        <v>9</v>
      </c>
      <c r="C14" s="16">
        <f t="shared" si="0"/>
        <v>46286</v>
      </c>
      <c r="I14" s="16">
        <f>IF(Auxiliares!$B$8=1,TP!C28,
IF(Auxiliares!$B$8=2,PF!C28,
IF(Auxiliares!$B$8=3,#REF!,
IF(Auxiliares!$B$8=4,PA!#REF!,
IF(Auxiliares!$B$8=5,'PE-TR-CRE'!C19,0)))))</f>
        <v>46286</v>
      </c>
      <c r="K14" s="78"/>
      <c r="M14" s="23">
        <f>M13-I10-I18</f>
        <v>2010.5100000000002</v>
      </c>
    </row>
    <row r="15" spans="1:13" x14ac:dyDescent="0.25">
      <c r="B15" s="69" t="s">
        <v>11</v>
      </c>
      <c r="C15" s="16">
        <f t="shared" si="0"/>
        <v>46286</v>
      </c>
      <c r="I15" s="16">
        <f>I14</f>
        <v>46286</v>
      </c>
      <c r="K15" s="78"/>
    </row>
    <row r="16" spans="1:13" x14ac:dyDescent="0.25">
      <c r="B16" s="69" t="s">
        <v>10</v>
      </c>
      <c r="C16" s="16">
        <f t="shared" si="0"/>
        <v>46467</v>
      </c>
      <c r="I16" s="16">
        <f>IF(Auxiliares!$B$8=1,TP!P33,
IF(Auxiliares!$B$8=2,PF!P33,
IF(Auxiliares!$B$8=3,SC!C21,
IF(Auxiliares!$B$8=4,PA!C25,
IF(Auxiliares!$B$8=5,'PE-TR-CRE'!C21,0)))))</f>
        <v>46467</v>
      </c>
      <c r="J16" t="s">
        <v>123</v>
      </c>
      <c r="K16" s="78">
        <v>2</v>
      </c>
    </row>
    <row r="17" spans="1:14" x14ac:dyDescent="0.25">
      <c r="B17" s="69" t="s">
        <v>12</v>
      </c>
      <c r="C17" s="11">
        <f t="shared" si="0"/>
        <v>18.100000000000001</v>
      </c>
      <c r="I17" s="11">
        <f>SUM(L25:L96)</f>
        <v>18.100000000000001</v>
      </c>
      <c r="J17" s="2">
        <v>2.4599999999999999E-3</v>
      </c>
      <c r="K17" s="78"/>
    </row>
    <row r="18" spans="1:14" x14ac:dyDescent="0.25">
      <c r="B18" s="69" t="s">
        <v>13</v>
      </c>
      <c r="C18" s="11">
        <f t="shared" si="0"/>
        <v>7.6</v>
      </c>
      <c r="I18" s="11">
        <f>IF(Auxiliares!$B$8=1, ROUND((I10-J10)*J18,2),
IF(Auxiliares!$B$8=2, ROUND((I10-J10)*J18,2),
IF(Auxiliares!$B$8=4,0,
IF(OR(Auxiliares!$B$8=3,Auxiliares!$B$8=5),ROUND(I10*J18,2),999))))</f>
        <v>7.6</v>
      </c>
      <c r="J18" s="2">
        <v>3.8E-3</v>
      </c>
      <c r="K18" s="78"/>
      <c r="M18" s="36">
        <v>2189.4299999999998</v>
      </c>
      <c r="N18" s="37">
        <f>M18*J18</f>
        <v>8.3198340000000002</v>
      </c>
    </row>
    <row r="19" spans="1:14" x14ac:dyDescent="0.25">
      <c r="B19" s="69" t="s">
        <v>14</v>
      </c>
      <c r="C19" s="11" t="str">
        <f t="shared" si="0"/>
        <v>SEM SEGURO</v>
      </c>
      <c r="I19" s="11" t="str">
        <f>IF(Auxiliares!$B$8=1,VLOOKUP(auxseguro!H9,Auxiliares!$D$18:$E$20,2,0),
IF(Auxiliares!$B$8=2,VLOOKUP(auxseguro!H10,Auxiliares!$D$18:$E$20,2,0),
IF(Auxiliares!$B$8=3,VLOOKUP(auxseguro!H11,Auxiliares!$D$18:$E$20,2,0))))</f>
        <v>SEM SEGURO</v>
      </c>
      <c r="K19" s="78"/>
    </row>
    <row r="20" spans="1:14" x14ac:dyDescent="0.25">
      <c r="B20" s="69" t="s">
        <v>15</v>
      </c>
      <c r="C20" s="32">
        <f t="shared" si="0"/>
        <v>0</v>
      </c>
      <c r="I20" s="32">
        <f>IFERROR(IF(AND(Auxiliares!$B$8=1,I19="COM SEGURO"),TP!Q8*TP!C24,IF(Auxiliares!$B$8=1,0,
IF(AND(Auxiliares!$B$8=2,I19="COM SEGURO"),ROUND(PF!Q10*PF!C24,2),IF(Auxiliares!$B$8=2,0,
IF(AND(Auxiliares!$B$8=3,I19="COM SEGURO"),ROUND(I6*SC!Q9,2),IF(Auxiliares!$B$8=3,0,0)))))),0)</f>
        <v>0</v>
      </c>
      <c r="K20" s="78"/>
    </row>
    <row r="21" spans="1:14" x14ac:dyDescent="0.25">
      <c r="K21" s="78"/>
    </row>
    <row r="22" spans="1:14" x14ac:dyDescent="0.25">
      <c r="A22" t="s">
        <v>45</v>
      </c>
      <c r="K22" s="78"/>
    </row>
    <row r="23" spans="1:14" x14ac:dyDescent="0.25">
      <c r="A23" s="68" t="s">
        <v>7</v>
      </c>
      <c r="B23" s="68" t="s">
        <v>46</v>
      </c>
      <c r="C23" s="70" t="s">
        <v>47</v>
      </c>
      <c r="D23" s="70" t="s">
        <v>48</v>
      </c>
      <c r="E23" s="70" t="s">
        <v>49</v>
      </c>
      <c r="F23" s="70" t="s">
        <v>50</v>
      </c>
      <c r="G23" s="70" t="s">
        <v>51</v>
      </c>
      <c r="H23" s="70" t="s">
        <v>52</v>
      </c>
      <c r="I23" s="70" t="s">
        <v>53</v>
      </c>
      <c r="J23" s="68"/>
      <c r="K23" s="79" t="s">
        <v>54</v>
      </c>
      <c r="L23" s="68" t="s">
        <v>55</v>
      </c>
      <c r="M23" s="18"/>
    </row>
    <row r="24" spans="1:14" x14ac:dyDescent="0.25">
      <c r="A24" s="18">
        <v>0</v>
      </c>
      <c r="B24" s="19">
        <f>IF(Auxiliares!$B$8=1,TP!B39,
IF(Auxiliares!$B$8=2,PF!B38,
IF(Auxiliares!$B$8=3,SC!B30,
IF(Auxiliares!$B$8=4,PA!B34,
IF(Auxiliares!$B$8=5,'PE-TR-CRE'!B30,0)))))</f>
        <v>46255</v>
      </c>
      <c r="C24" s="28">
        <f>C10</f>
        <v>2000</v>
      </c>
      <c r="D24" s="28"/>
      <c r="E24" s="28">
        <f>C24</f>
        <v>2000</v>
      </c>
      <c r="F24" s="28"/>
      <c r="G24" s="28"/>
      <c r="H24" s="28"/>
      <c r="I24" s="28"/>
      <c r="J24" s="28"/>
      <c r="K24" s="80"/>
      <c r="L24" s="28"/>
      <c r="M24" s="18"/>
    </row>
    <row r="25" spans="1:14" x14ac:dyDescent="0.25">
      <c r="A25" s="18">
        <f>IF(A24="","",IF(A24+1&lt;=$C$12,A24+1,""))</f>
        <v>1</v>
      </c>
      <c r="B25" s="19">
        <f>IF(Auxiliares!$B$8=1,TP!B40,
IF(Auxiliares!$B$8=2,PF!B39,
IF(Auxiliares!$B$8=3,SC!B31,
IF(Auxiliares!$B$8=4,PA!B35,
IF(Auxiliares!$B$8=5,'PE-TR-CRE'!B31,0)))))</f>
        <v>46255</v>
      </c>
      <c r="C25" s="27">
        <f>C24+G25-I25</f>
        <v>1676.81</v>
      </c>
      <c r="D25" s="27">
        <f>C25-E25</f>
        <v>0</v>
      </c>
      <c r="E25" s="27">
        <f>MIN($C$24,C25,E24)</f>
        <v>1676.81</v>
      </c>
      <c r="F25" s="27">
        <f>E24-E25</f>
        <v>323.19000000000005</v>
      </c>
      <c r="G25" s="27">
        <f>IF(A25="",0,ROUND(((((1+$C$11)^((B25-B24)/30)-1)*C24)),2))</f>
        <v>0</v>
      </c>
      <c r="H25" s="27">
        <f>MIN(I25-F25,I25)</f>
        <v>-5.6843418860808015E-14</v>
      </c>
      <c r="I25" s="27">
        <f>IF(A25="",0,ROUND($C$24/$J$98,2))</f>
        <v>323.19</v>
      </c>
      <c r="J25" s="61">
        <f>IF(A25="",0,ROUND(1/((1+$C$11)^((B25-$B$24)/30)),8))</f>
        <v>1</v>
      </c>
      <c r="K25" s="81">
        <f>IFERROR(B25-B24,0)</f>
        <v>0</v>
      </c>
      <c r="L25" s="60">
        <f>IFERROR(ROUND(F25*$J$17/30*MIN(365,(B25-$B$24)),2),0)</f>
        <v>0</v>
      </c>
      <c r="M25" s="18"/>
    </row>
    <row r="26" spans="1:14" x14ac:dyDescent="0.25">
      <c r="A26" s="18">
        <f t="shared" ref="A26:A39" si="1">IF(A25="","",IF(A25+1&lt;=$C$12,A25+1,""))</f>
        <v>2</v>
      </c>
      <c r="B26" s="19">
        <f>IF(Auxiliares!$B$8=1,TP!B41,
IF(Auxiliares!$B$8=2,PF!B40,
IF(Auxiliares!$B$8=3,SC!B32,
IF(Auxiliares!$B$8=4,PA!B36,
IF(Auxiliares!$B$8=5,'PE-TR-CRE'!B32,0)))))</f>
        <v>46286</v>
      </c>
      <c r="C26" s="27">
        <f t="shared" ref="C26:C89" si="2">C25+G26-I26</f>
        <v>1491.55</v>
      </c>
      <c r="D26" s="27">
        <f t="shared" ref="D26:D89" si="3">C26-E26</f>
        <v>0</v>
      </c>
      <c r="E26" s="27">
        <f t="shared" ref="E26:E89" si="4">MIN($C$24,C26,E25)</f>
        <v>1491.55</v>
      </c>
      <c r="F26" s="27">
        <f t="shared" ref="F26:F89" si="5">E25-E26</f>
        <v>185.26</v>
      </c>
      <c r="G26" s="27">
        <f t="shared" ref="G26:G89" si="6">IF(A26="",0,ROUND(((((1+$C$11)^((B26-B25)/30)-1)*C25)),2))</f>
        <v>137.93</v>
      </c>
      <c r="H26" s="27">
        <f t="shared" ref="H26:H89" si="7">MIN(I26-F26,I26)</f>
        <v>137.93</v>
      </c>
      <c r="I26" s="27">
        <f t="shared" ref="I26:I89" si="8">IF(A26="",0,ROUND($C$24/$J$98,2))</f>
        <v>323.19</v>
      </c>
      <c r="J26" s="61">
        <f t="shared" ref="J26:J89" si="9">IF(A26="",0,ROUND(1/((1+$C$11)^((B26-$B$24)/30)),8))</f>
        <v>0.92399566</v>
      </c>
      <c r="K26" s="81">
        <f t="shared" ref="K26:K39" si="10">IFERROR(B26-B25,0)</f>
        <v>31</v>
      </c>
      <c r="L26" s="60">
        <f t="shared" ref="L26:L39" si="11">IFERROR(ROUND(F26*$J$17/30*MIN(365,(B26-$B$24)),2),0)</f>
        <v>0.47</v>
      </c>
      <c r="M26" s="18"/>
    </row>
    <row r="27" spans="1:14" x14ac:dyDescent="0.25">
      <c r="A27" s="18">
        <f t="shared" si="1"/>
        <v>3</v>
      </c>
      <c r="B27" s="19">
        <f>IF(Auxiliares!$B$8=1,TP!B42,
IF(Auxiliares!$B$8=2,PF!B41,
IF(Auxiliares!$B$8=3,SC!B33,
IF(Auxiliares!$B$8=4,PA!B37,
IF(Auxiliares!$B$8=5,'PE-TR-CRE'!B33,0)))))</f>
        <v>46316</v>
      </c>
      <c r="C27" s="27">
        <f t="shared" si="2"/>
        <v>1286.9399999999998</v>
      </c>
      <c r="D27" s="27">
        <f t="shared" si="3"/>
        <v>0</v>
      </c>
      <c r="E27" s="27">
        <f t="shared" si="4"/>
        <v>1286.9399999999998</v>
      </c>
      <c r="F27" s="27">
        <f t="shared" si="5"/>
        <v>204.61000000000013</v>
      </c>
      <c r="G27" s="27">
        <f t="shared" si="6"/>
        <v>118.58</v>
      </c>
      <c r="H27" s="27">
        <f t="shared" si="7"/>
        <v>118.57999999999987</v>
      </c>
      <c r="I27" s="27">
        <f t="shared" si="8"/>
        <v>323.19</v>
      </c>
      <c r="J27" s="61">
        <f t="shared" si="9"/>
        <v>0.85594780999999998</v>
      </c>
      <c r="K27" s="81">
        <f t="shared" si="10"/>
        <v>30</v>
      </c>
      <c r="L27" s="60">
        <f t="shared" si="11"/>
        <v>1.02</v>
      </c>
      <c r="M27" s="18"/>
    </row>
    <row r="28" spans="1:14" x14ac:dyDescent="0.25">
      <c r="A28" s="18">
        <f t="shared" si="1"/>
        <v>4</v>
      </c>
      <c r="B28" s="19">
        <f>IF(Auxiliares!$B$8=1,TP!B43,
IF(Auxiliares!$B$8=2,PF!B42,
IF(Auxiliares!$B$8=3,SC!B34,
IF(Auxiliares!$B$8=4,PA!B38,
IF(Auxiliares!$B$8=5,'PE-TR-CRE'!B34,0)))))</f>
        <v>46347</v>
      </c>
      <c r="C28" s="27">
        <f t="shared" si="2"/>
        <v>1069.6099999999997</v>
      </c>
      <c r="D28" s="27">
        <f t="shared" si="3"/>
        <v>0</v>
      </c>
      <c r="E28" s="27">
        <f t="shared" si="4"/>
        <v>1069.6099999999997</v>
      </c>
      <c r="F28" s="27">
        <f t="shared" si="5"/>
        <v>217.33000000000015</v>
      </c>
      <c r="G28" s="27">
        <f t="shared" si="6"/>
        <v>105.86</v>
      </c>
      <c r="H28" s="27">
        <f t="shared" si="7"/>
        <v>105.85999999999984</v>
      </c>
      <c r="I28" s="27">
        <f t="shared" si="8"/>
        <v>323.19</v>
      </c>
      <c r="J28" s="61">
        <f t="shared" si="9"/>
        <v>0.79089206000000001</v>
      </c>
      <c r="K28" s="81">
        <f t="shared" si="10"/>
        <v>31</v>
      </c>
      <c r="L28" s="60">
        <f t="shared" si="11"/>
        <v>1.64</v>
      </c>
      <c r="M28" s="18"/>
    </row>
    <row r="29" spans="1:14" x14ac:dyDescent="0.25">
      <c r="A29" s="18">
        <f t="shared" si="1"/>
        <v>5</v>
      </c>
      <c r="B29" s="19">
        <f>IF(Auxiliares!$B$8=1,TP!B44,
IF(Auxiliares!$B$8=2,PF!B43,
IF(Auxiliares!$B$8=3,SC!B35,
IF(Auxiliares!$B$8=4,PA!B39,
IF(Auxiliares!$B$8=5,'PE-TR-CRE'!B35,0)))))</f>
        <v>46377</v>
      </c>
      <c r="C29" s="27">
        <f t="shared" si="2"/>
        <v>831.44999999999959</v>
      </c>
      <c r="D29" s="27">
        <f t="shared" si="3"/>
        <v>0</v>
      </c>
      <c r="E29" s="27">
        <f t="shared" si="4"/>
        <v>831.44999999999959</v>
      </c>
      <c r="F29" s="27">
        <f t="shared" si="5"/>
        <v>238.16000000000008</v>
      </c>
      <c r="G29" s="27">
        <f t="shared" si="6"/>
        <v>85.03</v>
      </c>
      <c r="H29" s="27">
        <f t="shared" si="7"/>
        <v>85.029999999999916</v>
      </c>
      <c r="I29" s="27">
        <f t="shared" si="8"/>
        <v>323.19</v>
      </c>
      <c r="J29" s="61">
        <f t="shared" si="9"/>
        <v>0.73264664999999995</v>
      </c>
      <c r="K29" s="81">
        <f t="shared" si="10"/>
        <v>30</v>
      </c>
      <c r="L29" s="60">
        <f t="shared" si="11"/>
        <v>2.38</v>
      </c>
      <c r="M29" s="18"/>
    </row>
    <row r="30" spans="1:14" x14ac:dyDescent="0.25">
      <c r="A30" s="18">
        <f t="shared" si="1"/>
        <v>6</v>
      </c>
      <c r="B30" s="19">
        <f>IF(Auxiliares!$B$8=1,TP!B45,
IF(Auxiliares!$B$8=2,PF!B44,
IF(Auxiliares!$B$8=3,SC!B36,
IF(Auxiliares!$B$8=4,PA!B40,
IF(Auxiliares!$B$8=5,'PE-TR-CRE'!B36,0)))))</f>
        <v>46408</v>
      </c>
      <c r="C30" s="27">
        <f t="shared" si="2"/>
        <v>576.64999999999964</v>
      </c>
      <c r="D30" s="27">
        <f t="shared" si="3"/>
        <v>0</v>
      </c>
      <c r="E30" s="27">
        <f t="shared" si="4"/>
        <v>576.64999999999964</v>
      </c>
      <c r="F30" s="27">
        <f t="shared" si="5"/>
        <v>254.79999999999995</v>
      </c>
      <c r="G30" s="27">
        <f t="shared" si="6"/>
        <v>68.39</v>
      </c>
      <c r="H30" s="27">
        <f t="shared" si="7"/>
        <v>68.390000000000043</v>
      </c>
      <c r="I30" s="27">
        <f t="shared" si="8"/>
        <v>323.19</v>
      </c>
      <c r="J30" s="61">
        <f t="shared" si="9"/>
        <v>0.67696232999999995</v>
      </c>
      <c r="K30" s="81">
        <f t="shared" si="10"/>
        <v>31</v>
      </c>
      <c r="L30" s="60">
        <f t="shared" si="11"/>
        <v>3.2</v>
      </c>
      <c r="M30" s="18"/>
    </row>
    <row r="31" spans="1:14" x14ac:dyDescent="0.25">
      <c r="A31" s="18">
        <f t="shared" si="1"/>
        <v>7</v>
      </c>
      <c r="B31" s="19">
        <f>IF(Auxiliares!$B$8=1,TP!B46,
IF(Auxiliares!$B$8=2,PF!B45,
IF(Auxiliares!$B$8=3,SC!B37,
IF(Auxiliares!$B$8=4,PA!B41,
IF(Auxiliares!$B$8=5,'PE-TR-CRE'!B37,0)))))</f>
        <v>46439</v>
      </c>
      <c r="C31" s="27">
        <f t="shared" si="2"/>
        <v>300.88999999999959</v>
      </c>
      <c r="D31" s="27">
        <f t="shared" si="3"/>
        <v>0</v>
      </c>
      <c r="E31" s="27">
        <f t="shared" si="4"/>
        <v>300.88999999999959</v>
      </c>
      <c r="F31" s="27">
        <f t="shared" si="5"/>
        <v>275.76000000000005</v>
      </c>
      <c r="G31" s="27">
        <f t="shared" si="6"/>
        <v>47.43</v>
      </c>
      <c r="H31" s="27">
        <f t="shared" si="7"/>
        <v>47.42999999999995</v>
      </c>
      <c r="I31" s="27">
        <f t="shared" si="8"/>
        <v>323.19</v>
      </c>
      <c r="J31" s="61">
        <f t="shared" si="9"/>
        <v>0.62551025000000005</v>
      </c>
      <c r="K31" s="81">
        <f t="shared" si="10"/>
        <v>31</v>
      </c>
      <c r="L31" s="60">
        <f t="shared" si="11"/>
        <v>4.16</v>
      </c>
      <c r="M31" s="18"/>
    </row>
    <row r="32" spans="1:14" x14ac:dyDescent="0.25">
      <c r="A32" s="18">
        <f t="shared" si="1"/>
        <v>8</v>
      </c>
      <c r="B32" s="19">
        <f>IF(Auxiliares!$B$8=1,TP!B47,
IF(Auxiliares!$B$8=2,PF!B46,
IF(Auxiliares!$B$8=3,SC!B38,
IF(Auxiliares!$B$8=4,PA!B42,
IF(Auxiliares!$B$8=5,'PE-TR-CRE'!B38,0)))))</f>
        <v>46467</v>
      </c>
      <c r="C32" s="27">
        <f t="shared" si="2"/>
        <v>-3.0000000000427463E-2</v>
      </c>
      <c r="D32" s="27">
        <f t="shared" si="3"/>
        <v>0</v>
      </c>
      <c r="E32" s="27">
        <f t="shared" si="4"/>
        <v>-3.0000000000427463E-2</v>
      </c>
      <c r="F32" s="27">
        <f t="shared" si="5"/>
        <v>300.92</v>
      </c>
      <c r="G32" s="27">
        <f t="shared" si="6"/>
        <v>22.27</v>
      </c>
      <c r="H32" s="27">
        <f t="shared" si="7"/>
        <v>22.269999999999982</v>
      </c>
      <c r="I32" s="27">
        <f t="shared" si="8"/>
        <v>323.19</v>
      </c>
      <c r="J32" s="61">
        <f t="shared" si="9"/>
        <v>0.58240705999999998</v>
      </c>
      <c r="K32" s="81">
        <f t="shared" si="10"/>
        <v>28</v>
      </c>
      <c r="L32" s="60">
        <f t="shared" si="11"/>
        <v>5.23</v>
      </c>
      <c r="M32" s="18"/>
    </row>
    <row r="33" spans="1:13" x14ac:dyDescent="0.25">
      <c r="A33" s="18" t="str">
        <f t="shared" si="1"/>
        <v/>
      </c>
      <c r="B33" s="19" t="str">
        <f>IF(Auxiliares!$B$8=1,TP!B48,
IF(Auxiliares!$B$8=2,PF!B47,
IF(Auxiliares!$B$8=3,SC!B39,
IF(Auxiliares!$B$8=4,PA!B43,
IF(Auxiliares!$B$8=5,'PE-TR-CRE'!B39,0)))))</f>
        <v/>
      </c>
      <c r="C33" s="27">
        <f t="shared" si="2"/>
        <v>-3.0000000000427463E-2</v>
      </c>
      <c r="D33" s="27">
        <f t="shared" si="3"/>
        <v>0</v>
      </c>
      <c r="E33" s="27">
        <f t="shared" si="4"/>
        <v>-3.0000000000427463E-2</v>
      </c>
      <c r="F33" s="27">
        <f t="shared" si="5"/>
        <v>0</v>
      </c>
      <c r="G33" s="27">
        <f t="shared" si="6"/>
        <v>0</v>
      </c>
      <c r="H33" s="27">
        <f t="shared" si="7"/>
        <v>0</v>
      </c>
      <c r="I33" s="27">
        <f t="shared" si="8"/>
        <v>0</v>
      </c>
      <c r="J33" s="61">
        <f t="shared" si="9"/>
        <v>0</v>
      </c>
      <c r="K33" s="81">
        <f t="shared" si="10"/>
        <v>0</v>
      </c>
      <c r="L33" s="60">
        <f t="shared" si="11"/>
        <v>0</v>
      </c>
      <c r="M33" s="18"/>
    </row>
    <row r="34" spans="1:13" x14ac:dyDescent="0.25">
      <c r="A34" s="18" t="str">
        <f t="shared" si="1"/>
        <v/>
      </c>
      <c r="B34" s="19" t="str">
        <f>IF(Auxiliares!$B$8=1,TP!B49,
IF(Auxiliares!$B$8=2,PF!B48,
IF(Auxiliares!$B$8=3,SC!B40,
IF(Auxiliares!$B$8=4,PA!B44,
IF(Auxiliares!$B$8=5,'PE-TR-CRE'!B40,0)))))</f>
        <v/>
      </c>
      <c r="C34" s="27">
        <f t="shared" si="2"/>
        <v>-3.0000000000427463E-2</v>
      </c>
      <c r="D34" s="27">
        <f t="shared" si="3"/>
        <v>0</v>
      </c>
      <c r="E34" s="27">
        <f t="shared" si="4"/>
        <v>-3.0000000000427463E-2</v>
      </c>
      <c r="F34" s="27">
        <f t="shared" si="5"/>
        <v>0</v>
      </c>
      <c r="G34" s="27">
        <f t="shared" si="6"/>
        <v>0</v>
      </c>
      <c r="H34" s="27">
        <f t="shared" si="7"/>
        <v>0</v>
      </c>
      <c r="I34" s="27">
        <f t="shared" si="8"/>
        <v>0</v>
      </c>
      <c r="J34" s="61">
        <f t="shared" si="9"/>
        <v>0</v>
      </c>
      <c r="K34" s="81">
        <f t="shared" si="10"/>
        <v>0</v>
      </c>
      <c r="L34" s="60">
        <f t="shared" si="11"/>
        <v>0</v>
      </c>
      <c r="M34" s="18"/>
    </row>
    <row r="35" spans="1:13" x14ac:dyDescent="0.25">
      <c r="A35" s="18" t="str">
        <f t="shared" si="1"/>
        <v/>
      </c>
      <c r="B35" s="19" t="str">
        <f>IF(Auxiliares!$B$8=1,TP!B50,
IF(Auxiliares!$B$8=2,PF!B49,
IF(Auxiliares!$B$8=3,SC!B41,
IF(Auxiliares!$B$8=4,PA!B45,
IF(Auxiliares!$B$8=5,'PE-TR-CRE'!B41,0)))))</f>
        <v/>
      </c>
      <c r="C35" s="27">
        <f t="shared" si="2"/>
        <v>-3.0000000000427463E-2</v>
      </c>
      <c r="D35" s="27">
        <f t="shared" si="3"/>
        <v>0</v>
      </c>
      <c r="E35" s="27">
        <f t="shared" si="4"/>
        <v>-3.0000000000427463E-2</v>
      </c>
      <c r="F35" s="27">
        <f t="shared" si="5"/>
        <v>0</v>
      </c>
      <c r="G35" s="27">
        <f t="shared" si="6"/>
        <v>0</v>
      </c>
      <c r="H35" s="27">
        <f t="shared" si="7"/>
        <v>0</v>
      </c>
      <c r="I35" s="27">
        <f t="shared" si="8"/>
        <v>0</v>
      </c>
      <c r="J35" s="61">
        <f t="shared" si="9"/>
        <v>0</v>
      </c>
      <c r="K35" s="81">
        <f t="shared" si="10"/>
        <v>0</v>
      </c>
      <c r="L35" s="60">
        <f t="shared" si="11"/>
        <v>0</v>
      </c>
      <c r="M35" s="18"/>
    </row>
    <row r="36" spans="1:13" x14ac:dyDescent="0.25">
      <c r="A36" s="18" t="str">
        <f t="shared" si="1"/>
        <v/>
      </c>
      <c r="B36" s="19" t="str">
        <f>IF(Auxiliares!$B$8=1,TP!B51,
IF(Auxiliares!$B$8=2,PF!B50,
IF(Auxiliares!$B$8=3,SC!B42,
IF(Auxiliares!$B$8=4,PA!B46,
IF(Auxiliares!$B$8=5,'PE-TR-CRE'!B42,0)))))</f>
        <v/>
      </c>
      <c r="C36" s="27">
        <f t="shared" si="2"/>
        <v>-3.0000000000427463E-2</v>
      </c>
      <c r="D36" s="27">
        <f t="shared" si="3"/>
        <v>0</v>
      </c>
      <c r="E36" s="27">
        <f t="shared" si="4"/>
        <v>-3.0000000000427463E-2</v>
      </c>
      <c r="F36" s="27">
        <f t="shared" si="5"/>
        <v>0</v>
      </c>
      <c r="G36" s="27">
        <f t="shared" si="6"/>
        <v>0</v>
      </c>
      <c r="H36" s="27">
        <f t="shared" si="7"/>
        <v>0</v>
      </c>
      <c r="I36" s="27">
        <f t="shared" si="8"/>
        <v>0</v>
      </c>
      <c r="J36" s="61">
        <f t="shared" si="9"/>
        <v>0</v>
      </c>
      <c r="K36" s="81">
        <f t="shared" si="10"/>
        <v>0</v>
      </c>
      <c r="L36" s="60">
        <f t="shared" si="11"/>
        <v>0</v>
      </c>
      <c r="M36" s="18"/>
    </row>
    <row r="37" spans="1:13" x14ac:dyDescent="0.25">
      <c r="A37" s="18" t="str">
        <f t="shared" si="1"/>
        <v/>
      </c>
      <c r="B37" s="19" t="str">
        <f>IF(Auxiliares!$B$8=1,TP!B52,
IF(Auxiliares!$B$8=2,PF!B51,
IF(Auxiliares!$B$8=3,SC!B43,
IF(Auxiliares!$B$8=4,PA!B47,
IF(Auxiliares!$B$8=5,'PE-TR-CRE'!B43,0)))))</f>
        <v/>
      </c>
      <c r="C37" s="27">
        <f t="shared" si="2"/>
        <v>-3.0000000000427463E-2</v>
      </c>
      <c r="D37" s="27">
        <f t="shared" si="3"/>
        <v>0</v>
      </c>
      <c r="E37" s="27">
        <f t="shared" si="4"/>
        <v>-3.0000000000427463E-2</v>
      </c>
      <c r="F37" s="27">
        <f t="shared" si="5"/>
        <v>0</v>
      </c>
      <c r="G37" s="27">
        <f t="shared" si="6"/>
        <v>0</v>
      </c>
      <c r="H37" s="27">
        <f t="shared" si="7"/>
        <v>0</v>
      </c>
      <c r="I37" s="27">
        <f t="shared" si="8"/>
        <v>0</v>
      </c>
      <c r="J37" s="61">
        <f t="shared" si="9"/>
        <v>0</v>
      </c>
      <c r="K37" s="81">
        <f t="shared" si="10"/>
        <v>0</v>
      </c>
      <c r="L37" s="60">
        <f t="shared" si="11"/>
        <v>0</v>
      </c>
      <c r="M37" s="18"/>
    </row>
    <row r="38" spans="1:13" x14ac:dyDescent="0.25">
      <c r="A38" s="18" t="str">
        <f t="shared" si="1"/>
        <v/>
      </c>
      <c r="B38" s="19" t="str">
        <f>IF(Auxiliares!$B$8=1,TP!B53,
IF(Auxiliares!$B$8=2,PF!B52,
IF(Auxiliares!$B$8=3,SC!B44,
IF(Auxiliares!$B$8=4,PA!B48,
IF(Auxiliares!$B$8=5,'PE-TR-CRE'!B44,0)))))</f>
        <v/>
      </c>
      <c r="C38" s="27">
        <f t="shared" si="2"/>
        <v>-3.0000000000427463E-2</v>
      </c>
      <c r="D38" s="27">
        <f t="shared" si="3"/>
        <v>0</v>
      </c>
      <c r="E38" s="27">
        <f t="shared" si="4"/>
        <v>-3.0000000000427463E-2</v>
      </c>
      <c r="F38" s="27">
        <f t="shared" si="5"/>
        <v>0</v>
      </c>
      <c r="G38" s="27">
        <f t="shared" si="6"/>
        <v>0</v>
      </c>
      <c r="H38" s="27">
        <f t="shared" si="7"/>
        <v>0</v>
      </c>
      <c r="I38" s="27">
        <f t="shared" si="8"/>
        <v>0</v>
      </c>
      <c r="J38" s="61">
        <f t="shared" si="9"/>
        <v>0</v>
      </c>
      <c r="K38" s="81">
        <f t="shared" si="10"/>
        <v>0</v>
      </c>
      <c r="L38" s="60">
        <f t="shared" si="11"/>
        <v>0</v>
      </c>
      <c r="M38" s="18"/>
    </row>
    <row r="39" spans="1:13" x14ac:dyDescent="0.25">
      <c r="A39" s="18" t="str">
        <f t="shared" si="1"/>
        <v/>
      </c>
      <c r="B39" s="19" t="str">
        <f>IF(Auxiliares!$B$8=1,TP!B54,
IF(Auxiliares!$B$8=2,PF!B53,
IF(Auxiliares!$B$8=3,SC!B45,
IF(Auxiliares!$B$8=4,PA!B49,
IF(Auxiliares!$B$8=5,'PE-TR-CRE'!B45,0)))))</f>
        <v/>
      </c>
      <c r="C39" s="27">
        <f t="shared" si="2"/>
        <v>-3.0000000000427463E-2</v>
      </c>
      <c r="D39" s="27">
        <f t="shared" si="3"/>
        <v>0</v>
      </c>
      <c r="E39" s="27">
        <f t="shared" si="4"/>
        <v>-3.0000000000427463E-2</v>
      </c>
      <c r="F39" s="27">
        <f t="shared" si="5"/>
        <v>0</v>
      </c>
      <c r="G39" s="27">
        <f t="shared" si="6"/>
        <v>0</v>
      </c>
      <c r="H39" s="27">
        <f t="shared" si="7"/>
        <v>0</v>
      </c>
      <c r="I39" s="27">
        <f t="shared" si="8"/>
        <v>0</v>
      </c>
      <c r="J39" s="61">
        <f t="shared" si="9"/>
        <v>0</v>
      </c>
      <c r="K39" s="81">
        <f t="shared" si="10"/>
        <v>0</v>
      </c>
      <c r="L39" s="60">
        <f t="shared" si="11"/>
        <v>0</v>
      </c>
      <c r="M39" s="18"/>
    </row>
    <row r="40" spans="1:13" x14ac:dyDescent="0.25">
      <c r="A40" s="18" t="str">
        <f t="shared" ref="A40:A96" si="12">IF(A39="","",IF(A39+1&lt;=$C$12,A39+1,""))</f>
        <v/>
      </c>
      <c r="B40" s="19" t="str">
        <f>IF(Auxiliares!$B$8=1,TP!B55,
IF(Auxiliares!$B$8=2,PF!B54,
IF(Auxiliares!$B$8=3,SC!B46,
IF(Auxiliares!$B$8=4,PA!B50,
IF(Auxiliares!$B$8=5,'PE-TR-CRE'!B46,0)))))</f>
        <v/>
      </c>
      <c r="C40" s="27">
        <f t="shared" si="2"/>
        <v>-3.0000000000427463E-2</v>
      </c>
      <c r="D40" s="27">
        <f t="shared" si="3"/>
        <v>0</v>
      </c>
      <c r="E40" s="27">
        <f t="shared" si="4"/>
        <v>-3.0000000000427463E-2</v>
      </c>
      <c r="F40" s="27">
        <f t="shared" si="5"/>
        <v>0</v>
      </c>
      <c r="G40" s="27">
        <f t="shared" si="6"/>
        <v>0</v>
      </c>
      <c r="H40" s="27">
        <f t="shared" si="7"/>
        <v>0</v>
      </c>
      <c r="I40" s="27">
        <f t="shared" si="8"/>
        <v>0</v>
      </c>
      <c r="J40" s="61">
        <f t="shared" si="9"/>
        <v>0</v>
      </c>
      <c r="K40" s="81">
        <f t="shared" ref="K40:K96" si="13">IFERROR(B40-B39,0)</f>
        <v>0</v>
      </c>
      <c r="L40" s="60">
        <f t="shared" ref="L40:L96" si="14">IFERROR(ROUND(F40*$J$17/30*MIN(365,(B40-$B$24)),2),0)</f>
        <v>0</v>
      </c>
      <c r="M40" s="18"/>
    </row>
    <row r="41" spans="1:13" x14ac:dyDescent="0.25">
      <c r="A41" s="18" t="str">
        <f t="shared" si="12"/>
        <v/>
      </c>
      <c r="B41" s="19" t="str">
        <f>IF(Auxiliares!$B$8=1,TP!B56,
IF(Auxiliares!$B$8=2,PF!B55,
IF(Auxiliares!$B$8=3,SC!B47,
IF(Auxiliares!$B$8=4,PA!B51,
IF(Auxiliares!$B$8=5,'PE-TR-CRE'!B47,0)))))</f>
        <v/>
      </c>
      <c r="C41" s="27">
        <f t="shared" si="2"/>
        <v>-3.0000000000427463E-2</v>
      </c>
      <c r="D41" s="27">
        <f t="shared" si="3"/>
        <v>0</v>
      </c>
      <c r="E41" s="27">
        <f t="shared" si="4"/>
        <v>-3.0000000000427463E-2</v>
      </c>
      <c r="F41" s="27">
        <f t="shared" si="5"/>
        <v>0</v>
      </c>
      <c r="G41" s="27">
        <f t="shared" si="6"/>
        <v>0</v>
      </c>
      <c r="H41" s="27">
        <f t="shared" si="7"/>
        <v>0</v>
      </c>
      <c r="I41" s="27">
        <f t="shared" si="8"/>
        <v>0</v>
      </c>
      <c r="J41" s="61">
        <f t="shared" si="9"/>
        <v>0</v>
      </c>
      <c r="K41" s="81">
        <f t="shared" si="13"/>
        <v>0</v>
      </c>
      <c r="L41" s="60">
        <f t="shared" si="14"/>
        <v>0</v>
      </c>
    </row>
    <row r="42" spans="1:13" x14ac:dyDescent="0.25">
      <c r="A42" s="18" t="str">
        <f t="shared" si="12"/>
        <v/>
      </c>
      <c r="B42" s="19" t="str">
        <f>IF(Auxiliares!$B$8=1,TP!B57,
IF(Auxiliares!$B$8=2,PF!B56,
IF(Auxiliares!$B$8=3,SC!B48,
IF(Auxiliares!$B$8=4,PA!B52,
IF(Auxiliares!$B$8=5,'PE-TR-CRE'!B48,0)))))</f>
        <v/>
      </c>
      <c r="C42" s="27">
        <f t="shared" si="2"/>
        <v>-3.0000000000427463E-2</v>
      </c>
      <c r="D42" s="27">
        <f t="shared" si="3"/>
        <v>0</v>
      </c>
      <c r="E42" s="27">
        <f t="shared" si="4"/>
        <v>-3.0000000000427463E-2</v>
      </c>
      <c r="F42" s="27">
        <f t="shared" si="5"/>
        <v>0</v>
      </c>
      <c r="G42" s="27">
        <f t="shared" si="6"/>
        <v>0</v>
      </c>
      <c r="H42" s="27">
        <f t="shared" si="7"/>
        <v>0</v>
      </c>
      <c r="I42" s="27">
        <f t="shared" si="8"/>
        <v>0</v>
      </c>
      <c r="J42" s="61">
        <f t="shared" si="9"/>
        <v>0</v>
      </c>
      <c r="K42" s="81">
        <f t="shared" si="13"/>
        <v>0</v>
      </c>
      <c r="L42" s="60">
        <f t="shared" si="14"/>
        <v>0</v>
      </c>
    </row>
    <row r="43" spans="1:13" x14ac:dyDescent="0.25">
      <c r="A43" s="18" t="str">
        <f t="shared" si="12"/>
        <v/>
      </c>
      <c r="B43" s="19" t="str">
        <f>IF(Auxiliares!$B$8=1,TP!B58,
IF(Auxiliares!$B$8=2,PF!B57,
IF(Auxiliares!$B$8=3,SC!B49,
IF(Auxiliares!$B$8=4,PA!B53,
IF(Auxiliares!$B$8=5,'PE-TR-CRE'!B49,0)))))</f>
        <v/>
      </c>
      <c r="C43" s="27">
        <f t="shared" si="2"/>
        <v>-3.0000000000427463E-2</v>
      </c>
      <c r="D43" s="27">
        <f t="shared" si="3"/>
        <v>0</v>
      </c>
      <c r="E43" s="27">
        <f t="shared" si="4"/>
        <v>-3.0000000000427463E-2</v>
      </c>
      <c r="F43" s="27">
        <f t="shared" si="5"/>
        <v>0</v>
      </c>
      <c r="G43" s="27">
        <f t="shared" si="6"/>
        <v>0</v>
      </c>
      <c r="H43" s="27">
        <f t="shared" si="7"/>
        <v>0</v>
      </c>
      <c r="I43" s="27">
        <f t="shared" si="8"/>
        <v>0</v>
      </c>
      <c r="J43" s="61">
        <f t="shared" si="9"/>
        <v>0</v>
      </c>
      <c r="K43" s="81">
        <f t="shared" si="13"/>
        <v>0</v>
      </c>
      <c r="L43" s="60">
        <f t="shared" si="14"/>
        <v>0</v>
      </c>
    </row>
    <row r="44" spans="1:13" x14ac:dyDescent="0.25">
      <c r="A44" s="18" t="str">
        <f t="shared" si="12"/>
        <v/>
      </c>
      <c r="B44" s="19" t="str">
        <f>IF(Auxiliares!$B$8=1,TP!B59,
IF(Auxiliares!$B$8=2,PF!B58,
IF(Auxiliares!$B$8=3,SC!B50,
IF(Auxiliares!$B$8=4,PA!B54,
IF(Auxiliares!$B$8=5,'PE-TR-CRE'!B50,0)))))</f>
        <v/>
      </c>
      <c r="C44" s="27">
        <f t="shared" si="2"/>
        <v>-3.0000000000427463E-2</v>
      </c>
      <c r="D44" s="27">
        <f t="shared" si="3"/>
        <v>0</v>
      </c>
      <c r="E44" s="27">
        <f t="shared" si="4"/>
        <v>-3.0000000000427463E-2</v>
      </c>
      <c r="F44" s="27">
        <f t="shared" si="5"/>
        <v>0</v>
      </c>
      <c r="G44" s="27">
        <f t="shared" si="6"/>
        <v>0</v>
      </c>
      <c r="H44" s="27">
        <f t="shared" si="7"/>
        <v>0</v>
      </c>
      <c r="I44" s="27">
        <f t="shared" si="8"/>
        <v>0</v>
      </c>
      <c r="J44" s="61">
        <f t="shared" si="9"/>
        <v>0</v>
      </c>
      <c r="K44" s="81">
        <f t="shared" si="13"/>
        <v>0</v>
      </c>
      <c r="L44" s="60">
        <f t="shared" si="14"/>
        <v>0</v>
      </c>
    </row>
    <row r="45" spans="1:13" x14ac:dyDescent="0.25">
      <c r="A45" s="18" t="str">
        <f t="shared" si="12"/>
        <v/>
      </c>
      <c r="B45" s="19" t="str">
        <f>IF(Auxiliares!$B$8=1,TP!B60,
IF(Auxiliares!$B$8=2,PF!B59,
IF(Auxiliares!$B$8=3,SC!B51,
IF(Auxiliares!$B$8=4,PA!B55,
IF(Auxiliares!$B$8=5,'PE-TR-CRE'!B51,0)))))</f>
        <v/>
      </c>
      <c r="C45" s="27">
        <f t="shared" si="2"/>
        <v>-3.0000000000427463E-2</v>
      </c>
      <c r="D45" s="27">
        <f t="shared" si="3"/>
        <v>0</v>
      </c>
      <c r="E45" s="27">
        <f t="shared" si="4"/>
        <v>-3.0000000000427463E-2</v>
      </c>
      <c r="F45" s="27">
        <f t="shared" si="5"/>
        <v>0</v>
      </c>
      <c r="G45" s="27">
        <f t="shared" si="6"/>
        <v>0</v>
      </c>
      <c r="H45" s="27">
        <f t="shared" si="7"/>
        <v>0</v>
      </c>
      <c r="I45" s="27">
        <f t="shared" si="8"/>
        <v>0</v>
      </c>
      <c r="J45" s="61">
        <f t="shared" si="9"/>
        <v>0</v>
      </c>
      <c r="K45" s="81">
        <f t="shared" si="13"/>
        <v>0</v>
      </c>
      <c r="L45" s="60">
        <f t="shared" si="14"/>
        <v>0</v>
      </c>
    </row>
    <row r="46" spans="1:13" x14ac:dyDescent="0.25">
      <c r="A46" s="18" t="str">
        <f t="shared" si="12"/>
        <v/>
      </c>
      <c r="B46" s="19" t="str">
        <f>IF(Auxiliares!$B$8=1,TP!B61,
IF(Auxiliares!$B$8=2,PF!B60,
IF(Auxiliares!$B$8=3,SC!B52,
IF(Auxiliares!$B$8=4,PA!B56,
IF(Auxiliares!$B$8=5,'PE-TR-CRE'!B52,0)))))</f>
        <v/>
      </c>
      <c r="C46" s="27">
        <f t="shared" si="2"/>
        <v>-3.0000000000427463E-2</v>
      </c>
      <c r="D46" s="27">
        <f t="shared" si="3"/>
        <v>0</v>
      </c>
      <c r="E46" s="27">
        <f t="shared" si="4"/>
        <v>-3.0000000000427463E-2</v>
      </c>
      <c r="F46" s="27">
        <f t="shared" si="5"/>
        <v>0</v>
      </c>
      <c r="G46" s="27">
        <f t="shared" si="6"/>
        <v>0</v>
      </c>
      <c r="H46" s="27">
        <f t="shared" si="7"/>
        <v>0</v>
      </c>
      <c r="I46" s="27">
        <f t="shared" si="8"/>
        <v>0</v>
      </c>
      <c r="J46" s="61">
        <f t="shared" si="9"/>
        <v>0</v>
      </c>
      <c r="K46" s="81">
        <f t="shared" si="13"/>
        <v>0</v>
      </c>
      <c r="L46" s="60">
        <f t="shared" si="14"/>
        <v>0</v>
      </c>
    </row>
    <row r="47" spans="1:13" x14ac:dyDescent="0.25">
      <c r="A47" s="18" t="str">
        <f t="shared" si="12"/>
        <v/>
      </c>
      <c r="B47" s="19" t="str">
        <f>IF(Auxiliares!$B$8=1,TP!B62,
IF(Auxiliares!$B$8=2,PF!B61,
IF(Auxiliares!$B$8=3,SC!B53,
IF(Auxiliares!$B$8=4,PA!B57,
IF(Auxiliares!$B$8=5,'PE-TR-CRE'!B53,0)))))</f>
        <v/>
      </c>
      <c r="C47" s="27">
        <f t="shared" si="2"/>
        <v>-3.0000000000427463E-2</v>
      </c>
      <c r="D47" s="27">
        <f t="shared" si="3"/>
        <v>0</v>
      </c>
      <c r="E47" s="27">
        <f t="shared" si="4"/>
        <v>-3.0000000000427463E-2</v>
      </c>
      <c r="F47" s="27">
        <f t="shared" si="5"/>
        <v>0</v>
      </c>
      <c r="G47" s="27">
        <f t="shared" si="6"/>
        <v>0</v>
      </c>
      <c r="H47" s="27">
        <f t="shared" si="7"/>
        <v>0</v>
      </c>
      <c r="I47" s="27">
        <f t="shared" si="8"/>
        <v>0</v>
      </c>
      <c r="J47" s="61">
        <f t="shared" si="9"/>
        <v>0</v>
      </c>
      <c r="K47" s="81">
        <f t="shared" si="13"/>
        <v>0</v>
      </c>
      <c r="L47" s="60">
        <f t="shared" si="14"/>
        <v>0</v>
      </c>
    </row>
    <row r="48" spans="1:13" x14ac:dyDescent="0.25">
      <c r="A48" s="18" t="str">
        <f t="shared" si="12"/>
        <v/>
      </c>
      <c r="B48" s="19" t="str">
        <f>IF(Auxiliares!$B$8=1,TP!B63,
IF(Auxiliares!$B$8=2,PF!B62,
IF(Auxiliares!$B$8=3,SC!B54,
IF(Auxiliares!$B$8=4,PA!B58,
IF(Auxiliares!$B$8=5,'PE-TR-CRE'!B54,0)))))</f>
        <v/>
      </c>
      <c r="C48" s="27">
        <f t="shared" si="2"/>
        <v>-3.0000000000427463E-2</v>
      </c>
      <c r="D48" s="27">
        <f t="shared" si="3"/>
        <v>0</v>
      </c>
      <c r="E48" s="27">
        <f t="shared" si="4"/>
        <v>-3.0000000000427463E-2</v>
      </c>
      <c r="F48" s="27">
        <f t="shared" si="5"/>
        <v>0</v>
      </c>
      <c r="G48" s="27">
        <f t="shared" si="6"/>
        <v>0</v>
      </c>
      <c r="H48" s="27">
        <f t="shared" si="7"/>
        <v>0</v>
      </c>
      <c r="I48" s="27">
        <f t="shared" si="8"/>
        <v>0</v>
      </c>
      <c r="J48" s="61">
        <f t="shared" si="9"/>
        <v>0</v>
      </c>
      <c r="K48" s="81">
        <f t="shared" si="13"/>
        <v>0</v>
      </c>
      <c r="L48" s="60">
        <f t="shared" si="14"/>
        <v>0</v>
      </c>
    </row>
    <row r="49" spans="1:12" x14ac:dyDescent="0.25">
      <c r="A49" s="18" t="str">
        <f t="shared" si="12"/>
        <v/>
      </c>
      <c r="B49" s="19" t="str">
        <f>IF(Auxiliares!$B$8=1,TP!B64,
IF(Auxiliares!$B$8=2,PF!B63,
IF(Auxiliares!$B$8=3,SC!B55,
IF(Auxiliares!$B$8=4,PA!B59,
IF(Auxiliares!$B$8=5,'PE-TR-CRE'!B55,0)))))</f>
        <v/>
      </c>
      <c r="C49" s="27">
        <f t="shared" si="2"/>
        <v>-3.0000000000427463E-2</v>
      </c>
      <c r="D49" s="27">
        <f t="shared" si="3"/>
        <v>0</v>
      </c>
      <c r="E49" s="27">
        <f t="shared" si="4"/>
        <v>-3.0000000000427463E-2</v>
      </c>
      <c r="F49" s="27">
        <f t="shared" si="5"/>
        <v>0</v>
      </c>
      <c r="G49" s="27">
        <f t="shared" si="6"/>
        <v>0</v>
      </c>
      <c r="H49" s="27">
        <f t="shared" si="7"/>
        <v>0</v>
      </c>
      <c r="I49" s="27">
        <f t="shared" si="8"/>
        <v>0</v>
      </c>
      <c r="J49" s="61">
        <f t="shared" si="9"/>
        <v>0</v>
      </c>
      <c r="K49" s="81">
        <f t="shared" si="13"/>
        <v>0</v>
      </c>
      <c r="L49" s="60">
        <f t="shared" si="14"/>
        <v>0</v>
      </c>
    </row>
    <row r="50" spans="1:12" x14ac:dyDescent="0.25">
      <c r="A50" s="18" t="str">
        <f t="shared" si="12"/>
        <v/>
      </c>
      <c r="B50" s="19" t="str">
        <f>IF(Auxiliares!$B$8=1,TP!B65,
IF(Auxiliares!$B$8=2,PF!B64,
IF(Auxiliares!$B$8=3,SC!B56,
IF(Auxiliares!$B$8=4,PA!B60,
IF(Auxiliares!$B$8=5,'PE-TR-CRE'!B56,0)))))</f>
        <v/>
      </c>
      <c r="C50" s="27">
        <f t="shared" si="2"/>
        <v>-3.0000000000427463E-2</v>
      </c>
      <c r="D50" s="27">
        <f t="shared" si="3"/>
        <v>0</v>
      </c>
      <c r="E50" s="27">
        <f t="shared" si="4"/>
        <v>-3.0000000000427463E-2</v>
      </c>
      <c r="F50" s="27">
        <f t="shared" si="5"/>
        <v>0</v>
      </c>
      <c r="G50" s="27">
        <f t="shared" si="6"/>
        <v>0</v>
      </c>
      <c r="H50" s="27">
        <f t="shared" si="7"/>
        <v>0</v>
      </c>
      <c r="I50" s="27">
        <f t="shared" si="8"/>
        <v>0</v>
      </c>
      <c r="J50" s="61">
        <f t="shared" si="9"/>
        <v>0</v>
      </c>
      <c r="K50" s="81">
        <f t="shared" si="13"/>
        <v>0</v>
      </c>
      <c r="L50" s="60">
        <f t="shared" si="14"/>
        <v>0</v>
      </c>
    </row>
    <row r="51" spans="1:12" x14ac:dyDescent="0.25">
      <c r="A51" s="18" t="str">
        <f t="shared" si="12"/>
        <v/>
      </c>
      <c r="B51" s="19" t="str">
        <f>IF(Auxiliares!$B$8=1,TP!B66,
IF(Auxiliares!$B$8=2,PF!B65,
IF(Auxiliares!$B$8=3,SC!B57,
IF(Auxiliares!$B$8=4,PA!B61,
IF(Auxiliares!$B$8=5,'PE-TR-CRE'!B57,0)))))</f>
        <v/>
      </c>
      <c r="C51" s="27">
        <f t="shared" si="2"/>
        <v>-3.0000000000427463E-2</v>
      </c>
      <c r="D51" s="27">
        <f t="shared" si="3"/>
        <v>0</v>
      </c>
      <c r="E51" s="27">
        <f t="shared" si="4"/>
        <v>-3.0000000000427463E-2</v>
      </c>
      <c r="F51" s="27">
        <f t="shared" si="5"/>
        <v>0</v>
      </c>
      <c r="G51" s="27">
        <f t="shared" si="6"/>
        <v>0</v>
      </c>
      <c r="H51" s="27">
        <f t="shared" si="7"/>
        <v>0</v>
      </c>
      <c r="I51" s="27">
        <f t="shared" si="8"/>
        <v>0</v>
      </c>
      <c r="J51" s="61">
        <f t="shared" si="9"/>
        <v>0</v>
      </c>
      <c r="K51" s="81">
        <f t="shared" si="13"/>
        <v>0</v>
      </c>
      <c r="L51" s="60">
        <f t="shared" si="14"/>
        <v>0</v>
      </c>
    </row>
    <row r="52" spans="1:12" x14ac:dyDescent="0.25">
      <c r="A52" s="18" t="str">
        <f t="shared" si="12"/>
        <v/>
      </c>
      <c r="B52" s="19" t="str">
        <f>IF(Auxiliares!$B$8=1,TP!B67,
IF(Auxiliares!$B$8=2,PF!B66,
IF(Auxiliares!$B$8=3,SC!B58,
IF(Auxiliares!$B$8=4,PA!B62,
IF(Auxiliares!$B$8=5,'PE-TR-CRE'!B58,0)))))</f>
        <v/>
      </c>
      <c r="C52" s="27">
        <f t="shared" si="2"/>
        <v>-3.0000000000427463E-2</v>
      </c>
      <c r="D52" s="27">
        <f t="shared" si="3"/>
        <v>0</v>
      </c>
      <c r="E52" s="27">
        <f t="shared" si="4"/>
        <v>-3.0000000000427463E-2</v>
      </c>
      <c r="F52" s="27">
        <f t="shared" si="5"/>
        <v>0</v>
      </c>
      <c r="G52" s="27">
        <f t="shared" si="6"/>
        <v>0</v>
      </c>
      <c r="H52" s="27">
        <f t="shared" si="7"/>
        <v>0</v>
      </c>
      <c r="I52" s="27">
        <f t="shared" si="8"/>
        <v>0</v>
      </c>
      <c r="J52" s="61">
        <f t="shared" si="9"/>
        <v>0</v>
      </c>
      <c r="K52" s="81">
        <f t="shared" si="13"/>
        <v>0</v>
      </c>
      <c r="L52" s="60">
        <f t="shared" si="14"/>
        <v>0</v>
      </c>
    </row>
    <row r="53" spans="1:12" x14ac:dyDescent="0.25">
      <c r="A53" s="18" t="str">
        <f t="shared" si="12"/>
        <v/>
      </c>
      <c r="B53" s="19" t="str">
        <f>IF(Auxiliares!$B$8=1,TP!B68,
IF(Auxiliares!$B$8=2,PF!B67,
IF(Auxiliares!$B$8=3,SC!B59,
IF(Auxiliares!$B$8=4,PA!B63,
IF(Auxiliares!$B$8=5,'PE-TR-CRE'!B59,0)))))</f>
        <v/>
      </c>
      <c r="C53" s="27">
        <f t="shared" si="2"/>
        <v>-3.0000000000427463E-2</v>
      </c>
      <c r="D53" s="27">
        <f t="shared" si="3"/>
        <v>0</v>
      </c>
      <c r="E53" s="27">
        <f t="shared" si="4"/>
        <v>-3.0000000000427463E-2</v>
      </c>
      <c r="F53" s="27">
        <f t="shared" si="5"/>
        <v>0</v>
      </c>
      <c r="G53" s="27">
        <f t="shared" si="6"/>
        <v>0</v>
      </c>
      <c r="H53" s="27">
        <f t="shared" si="7"/>
        <v>0</v>
      </c>
      <c r="I53" s="27">
        <f t="shared" si="8"/>
        <v>0</v>
      </c>
      <c r="J53" s="61">
        <f t="shared" si="9"/>
        <v>0</v>
      </c>
      <c r="K53" s="81">
        <f t="shared" si="13"/>
        <v>0</v>
      </c>
      <c r="L53" s="60">
        <f t="shared" si="14"/>
        <v>0</v>
      </c>
    </row>
    <row r="54" spans="1:12" x14ac:dyDescent="0.25">
      <c r="A54" s="18" t="str">
        <f t="shared" si="12"/>
        <v/>
      </c>
      <c r="B54" s="19" t="str">
        <f>IF(Auxiliares!$B$8=1,TP!B69,
IF(Auxiliares!$B$8=2,PF!B68,
IF(Auxiliares!$B$8=3,SC!B60,
IF(Auxiliares!$B$8=4,PA!B64,
IF(Auxiliares!$B$8=5,'PE-TR-CRE'!B60,0)))))</f>
        <v/>
      </c>
      <c r="C54" s="27">
        <f t="shared" si="2"/>
        <v>-3.0000000000427463E-2</v>
      </c>
      <c r="D54" s="27">
        <f t="shared" si="3"/>
        <v>0</v>
      </c>
      <c r="E54" s="27">
        <f t="shared" si="4"/>
        <v>-3.0000000000427463E-2</v>
      </c>
      <c r="F54" s="27">
        <f t="shared" si="5"/>
        <v>0</v>
      </c>
      <c r="G54" s="27">
        <f t="shared" si="6"/>
        <v>0</v>
      </c>
      <c r="H54" s="27">
        <f t="shared" si="7"/>
        <v>0</v>
      </c>
      <c r="I54" s="27">
        <f t="shared" si="8"/>
        <v>0</v>
      </c>
      <c r="J54" s="61">
        <f t="shared" si="9"/>
        <v>0</v>
      </c>
      <c r="K54" s="81">
        <f t="shared" si="13"/>
        <v>0</v>
      </c>
      <c r="L54" s="60">
        <f t="shared" si="14"/>
        <v>0</v>
      </c>
    </row>
    <row r="55" spans="1:12" x14ac:dyDescent="0.25">
      <c r="A55" s="18" t="str">
        <f t="shared" si="12"/>
        <v/>
      </c>
      <c r="B55" s="19" t="str">
        <f>IF(Auxiliares!$B$8=1,TP!B70,
IF(Auxiliares!$B$8=2,PF!B69,
IF(Auxiliares!$B$8=3,SC!B61,
IF(Auxiliares!$B$8=4,PA!B65,
IF(Auxiliares!$B$8=5,'PE-TR-CRE'!B61,0)))))</f>
        <v/>
      </c>
      <c r="C55" s="27">
        <f t="shared" si="2"/>
        <v>-3.0000000000427463E-2</v>
      </c>
      <c r="D55" s="27">
        <f t="shared" si="3"/>
        <v>0</v>
      </c>
      <c r="E55" s="27">
        <f t="shared" si="4"/>
        <v>-3.0000000000427463E-2</v>
      </c>
      <c r="F55" s="27">
        <f t="shared" si="5"/>
        <v>0</v>
      </c>
      <c r="G55" s="27">
        <f t="shared" si="6"/>
        <v>0</v>
      </c>
      <c r="H55" s="27">
        <f t="shared" si="7"/>
        <v>0</v>
      </c>
      <c r="I55" s="27">
        <f t="shared" si="8"/>
        <v>0</v>
      </c>
      <c r="J55" s="61">
        <f t="shared" si="9"/>
        <v>0</v>
      </c>
      <c r="K55" s="81">
        <f t="shared" si="13"/>
        <v>0</v>
      </c>
      <c r="L55" s="60">
        <f t="shared" si="14"/>
        <v>0</v>
      </c>
    </row>
    <row r="56" spans="1:12" x14ac:dyDescent="0.25">
      <c r="A56" s="18" t="str">
        <f t="shared" si="12"/>
        <v/>
      </c>
      <c r="B56" s="19" t="str">
        <f>IF(Auxiliares!$B$8=1,TP!B71,
IF(Auxiliares!$B$8=2,PF!B70,
IF(Auxiliares!$B$8=3,SC!B62,
IF(Auxiliares!$B$8=4,PA!B66,
IF(Auxiliares!$B$8=5,'PE-TR-CRE'!B62,0)))))</f>
        <v/>
      </c>
      <c r="C56" s="27">
        <f t="shared" si="2"/>
        <v>-3.0000000000427463E-2</v>
      </c>
      <c r="D56" s="27">
        <f t="shared" si="3"/>
        <v>0</v>
      </c>
      <c r="E56" s="27">
        <f t="shared" si="4"/>
        <v>-3.0000000000427463E-2</v>
      </c>
      <c r="F56" s="27">
        <f t="shared" si="5"/>
        <v>0</v>
      </c>
      <c r="G56" s="27">
        <f t="shared" si="6"/>
        <v>0</v>
      </c>
      <c r="H56" s="27">
        <f t="shared" si="7"/>
        <v>0</v>
      </c>
      <c r="I56" s="27">
        <f t="shared" si="8"/>
        <v>0</v>
      </c>
      <c r="J56" s="61">
        <f t="shared" si="9"/>
        <v>0</v>
      </c>
      <c r="K56" s="81">
        <f t="shared" si="13"/>
        <v>0</v>
      </c>
      <c r="L56" s="60">
        <f t="shared" si="14"/>
        <v>0</v>
      </c>
    </row>
    <row r="57" spans="1:12" x14ac:dyDescent="0.25">
      <c r="A57" s="18" t="str">
        <f t="shared" si="12"/>
        <v/>
      </c>
      <c r="B57" s="19" t="str">
        <f>IF(Auxiliares!$B$8=1,TP!B72,
IF(Auxiliares!$B$8=2,PF!B71,
IF(Auxiliares!$B$8=3,SC!B63,
IF(Auxiliares!$B$8=4,PA!B67,
IF(Auxiliares!$B$8=5,'PE-TR-CRE'!B63,0)))))</f>
        <v/>
      </c>
      <c r="C57" s="27">
        <f t="shared" si="2"/>
        <v>-3.0000000000427463E-2</v>
      </c>
      <c r="D57" s="27">
        <f t="shared" si="3"/>
        <v>0</v>
      </c>
      <c r="E57" s="27">
        <f t="shared" si="4"/>
        <v>-3.0000000000427463E-2</v>
      </c>
      <c r="F57" s="27">
        <f t="shared" si="5"/>
        <v>0</v>
      </c>
      <c r="G57" s="27">
        <f t="shared" si="6"/>
        <v>0</v>
      </c>
      <c r="H57" s="27">
        <f t="shared" si="7"/>
        <v>0</v>
      </c>
      <c r="I57" s="27">
        <f t="shared" si="8"/>
        <v>0</v>
      </c>
      <c r="J57" s="61">
        <f t="shared" si="9"/>
        <v>0</v>
      </c>
      <c r="K57" s="81">
        <f t="shared" si="13"/>
        <v>0</v>
      </c>
      <c r="L57" s="60">
        <f t="shared" si="14"/>
        <v>0</v>
      </c>
    </row>
    <row r="58" spans="1:12" x14ac:dyDescent="0.25">
      <c r="A58" s="18" t="str">
        <f t="shared" si="12"/>
        <v/>
      </c>
      <c r="B58" s="19" t="str">
        <f>IF(Auxiliares!$B$8=1,TP!B73,
IF(Auxiliares!$B$8=2,PF!B72,
IF(Auxiliares!$B$8=3,SC!B64,
IF(Auxiliares!$B$8=4,PA!B68,
IF(Auxiliares!$B$8=5,'PE-TR-CRE'!B64,0)))))</f>
        <v/>
      </c>
      <c r="C58" s="27">
        <f t="shared" si="2"/>
        <v>-3.0000000000427463E-2</v>
      </c>
      <c r="D58" s="27">
        <f t="shared" si="3"/>
        <v>0</v>
      </c>
      <c r="E58" s="27">
        <f t="shared" si="4"/>
        <v>-3.0000000000427463E-2</v>
      </c>
      <c r="F58" s="27">
        <f t="shared" si="5"/>
        <v>0</v>
      </c>
      <c r="G58" s="27">
        <f t="shared" si="6"/>
        <v>0</v>
      </c>
      <c r="H58" s="27">
        <f t="shared" si="7"/>
        <v>0</v>
      </c>
      <c r="I58" s="27">
        <f t="shared" si="8"/>
        <v>0</v>
      </c>
      <c r="J58" s="61">
        <f t="shared" si="9"/>
        <v>0</v>
      </c>
      <c r="K58" s="81">
        <f t="shared" si="13"/>
        <v>0</v>
      </c>
      <c r="L58" s="60">
        <f t="shared" si="14"/>
        <v>0</v>
      </c>
    </row>
    <row r="59" spans="1:12" x14ac:dyDescent="0.25">
      <c r="A59" s="18" t="str">
        <f t="shared" si="12"/>
        <v/>
      </c>
      <c r="B59" s="19" t="str">
        <f>IF(Auxiliares!$B$8=1,TP!B74,
IF(Auxiliares!$B$8=2,PF!B73,
IF(Auxiliares!$B$8=3,SC!B65,
IF(Auxiliares!$B$8=4,PA!B69,
IF(Auxiliares!$B$8=5,'PE-TR-CRE'!B65,0)))))</f>
        <v/>
      </c>
      <c r="C59" s="27">
        <f t="shared" si="2"/>
        <v>-3.0000000000427463E-2</v>
      </c>
      <c r="D59" s="27">
        <f t="shared" si="3"/>
        <v>0</v>
      </c>
      <c r="E59" s="27">
        <f t="shared" si="4"/>
        <v>-3.0000000000427463E-2</v>
      </c>
      <c r="F59" s="27">
        <f t="shared" si="5"/>
        <v>0</v>
      </c>
      <c r="G59" s="27">
        <f t="shared" si="6"/>
        <v>0</v>
      </c>
      <c r="H59" s="27">
        <f t="shared" si="7"/>
        <v>0</v>
      </c>
      <c r="I59" s="27">
        <f t="shared" si="8"/>
        <v>0</v>
      </c>
      <c r="J59" s="61">
        <f t="shared" si="9"/>
        <v>0</v>
      </c>
      <c r="K59" s="81">
        <f t="shared" si="13"/>
        <v>0</v>
      </c>
      <c r="L59" s="60">
        <f t="shared" si="14"/>
        <v>0</v>
      </c>
    </row>
    <row r="60" spans="1:12" x14ac:dyDescent="0.25">
      <c r="A60" s="18" t="str">
        <f t="shared" si="12"/>
        <v/>
      </c>
      <c r="B60" s="19" t="str">
        <f>IF(Auxiliares!$B$8=1,TP!B75,
IF(Auxiliares!$B$8=2,PF!B74,
IF(Auxiliares!$B$8=3,SC!B66,
IF(Auxiliares!$B$8=4,PA!B70,
IF(Auxiliares!$B$8=5,'PE-TR-CRE'!B66,0)))))</f>
        <v/>
      </c>
      <c r="C60" s="27">
        <f t="shared" si="2"/>
        <v>-3.0000000000427463E-2</v>
      </c>
      <c r="D60" s="27">
        <f t="shared" si="3"/>
        <v>0</v>
      </c>
      <c r="E60" s="27">
        <f t="shared" si="4"/>
        <v>-3.0000000000427463E-2</v>
      </c>
      <c r="F60" s="27">
        <f t="shared" si="5"/>
        <v>0</v>
      </c>
      <c r="G60" s="27">
        <f t="shared" si="6"/>
        <v>0</v>
      </c>
      <c r="H60" s="27">
        <f t="shared" si="7"/>
        <v>0</v>
      </c>
      <c r="I60" s="27">
        <f t="shared" si="8"/>
        <v>0</v>
      </c>
      <c r="J60" s="61">
        <f t="shared" si="9"/>
        <v>0</v>
      </c>
      <c r="K60" s="81">
        <f t="shared" si="13"/>
        <v>0</v>
      </c>
      <c r="L60" s="60">
        <f t="shared" si="14"/>
        <v>0</v>
      </c>
    </row>
    <row r="61" spans="1:12" x14ac:dyDescent="0.25">
      <c r="A61" s="18" t="str">
        <f t="shared" si="12"/>
        <v/>
      </c>
      <c r="B61" s="19" t="str">
        <f>IF(Auxiliares!$B$8=1,TP!B76,
IF(Auxiliares!$B$8=2,PF!B75,
IF(Auxiliares!$B$8=3,SC!B67,
IF(Auxiliares!$B$8=4,PA!B71,
IF(Auxiliares!$B$8=5,'PE-TR-CRE'!B67,0)))))</f>
        <v/>
      </c>
      <c r="C61" s="27">
        <f t="shared" si="2"/>
        <v>-3.0000000000427463E-2</v>
      </c>
      <c r="D61" s="27">
        <f t="shared" si="3"/>
        <v>0</v>
      </c>
      <c r="E61" s="27">
        <f t="shared" si="4"/>
        <v>-3.0000000000427463E-2</v>
      </c>
      <c r="F61" s="27">
        <f t="shared" si="5"/>
        <v>0</v>
      </c>
      <c r="G61" s="27">
        <f t="shared" si="6"/>
        <v>0</v>
      </c>
      <c r="H61" s="27">
        <f t="shared" si="7"/>
        <v>0</v>
      </c>
      <c r="I61" s="27">
        <f t="shared" si="8"/>
        <v>0</v>
      </c>
      <c r="J61" s="61">
        <f t="shared" si="9"/>
        <v>0</v>
      </c>
      <c r="K61" s="81">
        <f t="shared" si="13"/>
        <v>0</v>
      </c>
      <c r="L61" s="60">
        <f t="shared" si="14"/>
        <v>0</v>
      </c>
    </row>
    <row r="62" spans="1:12" x14ac:dyDescent="0.25">
      <c r="A62" s="18" t="str">
        <f t="shared" si="12"/>
        <v/>
      </c>
      <c r="B62" s="19" t="str">
        <f>IF(Auxiliares!$B$8=1,TP!B77,
IF(Auxiliares!$B$8=2,PF!B76,
IF(Auxiliares!$B$8=3,SC!B68,
IF(Auxiliares!$B$8=4,PA!B72,
IF(Auxiliares!$B$8=5,'PE-TR-CRE'!B68,0)))))</f>
        <v/>
      </c>
      <c r="C62" s="27">
        <f t="shared" si="2"/>
        <v>-3.0000000000427463E-2</v>
      </c>
      <c r="D62" s="27">
        <f t="shared" si="3"/>
        <v>0</v>
      </c>
      <c r="E62" s="27">
        <f t="shared" si="4"/>
        <v>-3.0000000000427463E-2</v>
      </c>
      <c r="F62" s="27">
        <f t="shared" si="5"/>
        <v>0</v>
      </c>
      <c r="G62" s="27">
        <f t="shared" si="6"/>
        <v>0</v>
      </c>
      <c r="H62" s="27">
        <f t="shared" si="7"/>
        <v>0</v>
      </c>
      <c r="I62" s="27">
        <f t="shared" si="8"/>
        <v>0</v>
      </c>
      <c r="J62" s="61">
        <f t="shared" si="9"/>
        <v>0</v>
      </c>
      <c r="K62" s="81">
        <f t="shared" si="13"/>
        <v>0</v>
      </c>
      <c r="L62" s="60">
        <f t="shared" si="14"/>
        <v>0</v>
      </c>
    </row>
    <row r="63" spans="1:12" x14ac:dyDescent="0.25">
      <c r="A63" s="18" t="str">
        <f t="shared" si="12"/>
        <v/>
      </c>
      <c r="B63" s="19" t="str">
        <f>IF(Auxiliares!$B$8=1,TP!B78,
IF(Auxiliares!$B$8=2,PF!B77,
IF(Auxiliares!$B$8=3,SC!B69,
IF(Auxiliares!$B$8=4,PA!B73,
IF(Auxiliares!$B$8=5,'PE-TR-CRE'!B69,0)))))</f>
        <v/>
      </c>
      <c r="C63" s="27">
        <f t="shared" si="2"/>
        <v>-3.0000000000427463E-2</v>
      </c>
      <c r="D63" s="27">
        <f t="shared" si="3"/>
        <v>0</v>
      </c>
      <c r="E63" s="27">
        <f t="shared" si="4"/>
        <v>-3.0000000000427463E-2</v>
      </c>
      <c r="F63" s="27">
        <f t="shared" si="5"/>
        <v>0</v>
      </c>
      <c r="G63" s="27">
        <f t="shared" si="6"/>
        <v>0</v>
      </c>
      <c r="H63" s="27">
        <f t="shared" si="7"/>
        <v>0</v>
      </c>
      <c r="I63" s="27">
        <f t="shared" si="8"/>
        <v>0</v>
      </c>
      <c r="J63" s="61">
        <f t="shared" si="9"/>
        <v>0</v>
      </c>
      <c r="K63" s="81">
        <f t="shared" si="13"/>
        <v>0</v>
      </c>
      <c r="L63" s="60">
        <f t="shared" si="14"/>
        <v>0</v>
      </c>
    </row>
    <row r="64" spans="1:12" x14ac:dyDescent="0.25">
      <c r="A64" s="18" t="str">
        <f t="shared" si="12"/>
        <v/>
      </c>
      <c r="B64" s="19" t="str">
        <f>IF(Auxiliares!$B$8=1,TP!B79,
IF(Auxiliares!$B$8=2,PF!B78,
IF(Auxiliares!$B$8=3,SC!B70,
IF(Auxiliares!$B$8=4,PA!B74,
IF(Auxiliares!$B$8=5,'PE-TR-CRE'!B70,0)))))</f>
        <v/>
      </c>
      <c r="C64" s="27">
        <f t="shared" si="2"/>
        <v>-3.0000000000427463E-2</v>
      </c>
      <c r="D64" s="27">
        <f t="shared" si="3"/>
        <v>0</v>
      </c>
      <c r="E64" s="27">
        <f t="shared" si="4"/>
        <v>-3.0000000000427463E-2</v>
      </c>
      <c r="F64" s="27">
        <f t="shared" si="5"/>
        <v>0</v>
      </c>
      <c r="G64" s="27">
        <f t="shared" si="6"/>
        <v>0</v>
      </c>
      <c r="H64" s="27">
        <f t="shared" si="7"/>
        <v>0</v>
      </c>
      <c r="I64" s="27">
        <f t="shared" si="8"/>
        <v>0</v>
      </c>
      <c r="J64" s="61">
        <f t="shared" si="9"/>
        <v>0</v>
      </c>
      <c r="K64" s="81">
        <f t="shared" si="13"/>
        <v>0</v>
      </c>
      <c r="L64" s="60">
        <f t="shared" si="14"/>
        <v>0</v>
      </c>
    </row>
    <row r="65" spans="1:12" x14ac:dyDescent="0.25">
      <c r="A65" s="18" t="str">
        <f t="shared" si="12"/>
        <v/>
      </c>
      <c r="B65" s="19" t="str">
        <f>IF(Auxiliares!$B$8=1,TP!B80,
IF(Auxiliares!$B$8=2,PF!B79,
IF(Auxiliares!$B$8=3,SC!B71,
IF(Auxiliares!$B$8=4,PA!B75,
IF(Auxiliares!$B$8=5,'PE-TR-CRE'!B71,0)))))</f>
        <v/>
      </c>
      <c r="C65" s="27">
        <f t="shared" si="2"/>
        <v>-3.0000000000427463E-2</v>
      </c>
      <c r="D65" s="27">
        <f t="shared" si="3"/>
        <v>0</v>
      </c>
      <c r="E65" s="27">
        <f t="shared" si="4"/>
        <v>-3.0000000000427463E-2</v>
      </c>
      <c r="F65" s="27">
        <f t="shared" si="5"/>
        <v>0</v>
      </c>
      <c r="G65" s="27">
        <f t="shared" si="6"/>
        <v>0</v>
      </c>
      <c r="H65" s="27">
        <f t="shared" si="7"/>
        <v>0</v>
      </c>
      <c r="I65" s="27">
        <f t="shared" si="8"/>
        <v>0</v>
      </c>
      <c r="J65" s="61">
        <f t="shared" si="9"/>
        <v>0</v>
      </c>
      <c r="K65" s="81">
        <f t="shared" si="13"/>
        <v>0</v>
      </c>
      <c r="L65" s="60">
        <f t="shared" si="14"/>
        <v>0</v>
      </c>
    </row>
    <row r="66" spans="1:12" x14ac:dyDescent="0.25">
      <c r="A66" s="18" t="str">
        <f t="shared" si="12"/>
        <v/>
      </c>
      <c r="B66" s="19" t="str">
        <f>IF(Auxiliares!$B$8=1,TP!B81,
IF(Auxiliares!$B$8=2,PF!B80,
IF(Auxiliares!$B$8=3,SC!B72,
IF(Auxiliares!$B$8=4,PA!B76,
IF(Auxiliares!$B$8=5,'PE-TR-CRE'!B72,0)))))</f>
        <v/>
      </c>
      <c r="C66" s="27">
        <f t="shared" si="2"/>
        <v>-3.0000000000427463E-2</v>
      </c>
      <c r="D66" s="27">
        <f t="shared" si="3"/>
        <v>0</v>
      </c>
      <c r="E66" s="27">
        <f t="shared" si="4"/>
        <v>-3.0000000000427463E-2</v>
      </c>
      <c r="F66" s="27">
        <f t="shared" si="5"/>
        <v>0</v>
      </c>
      <c r="G66" s="27">
        <f t="shared" si="6"/>
        <v>0</v>
      </c>
      <c r="H66" s="27">
        <f t="shared" si="7"/>
        <v>0</v>
      </c>
      <c r="I66" s="27">
        <f t="shared" si="8"/>
        <v>0</v>
      </c>
      <c r="J66" s="61">
        <f t="shared" si="9"/>
        <v>0</v>
      </c>
      <c r="K66" s="81">
        <f t="shared" si="13"/>
        <v>0</v>
      </c>
      <c r="L66" s="60">
        <f t="shared" si="14"/>
        <v>0</v>
      </c>
    </row>
    <row r="67" spans="1:12" x14ac:dyDescent="0.25">
      <c r="A67" s="18" t="str">
        <f t="shared" si="12"/>
        <v/>
      </c>
      <c r="B67" s="19" t="str">
        <f>IF(Auxiliares!$B$8=1,TP!B82,
IF(Auxiliares!$B$8=2,PF!B81,
IF(Auxiliares!$B$8=3,SC!B73,
IF(Auxiliares!$B$8=4,PA!B77,
IF(Auxiliares!$B$8=5,'PE-TR-CRE'!B73,0)))))</f>
        <v/>
      </c>
      <c r="C67" s="27">
        <f t="shared" si="2"/>
        <v>-3.0000000000427463E-2</v>
      </c>
      <c r="D67" s="27">
        <f t="shared" si="3"/>
        <v>0</v>
      </c>
      <c r="E67" s="27">
        <f t="shared" si="4"/>
        <v>-3.0000000000427463E-2</v>
      </c>
      <c r="F67" s="27">
        <f t="shared" si="5"/>
        <v>0</v>
      </c>
      <c r="G67" s="27">
        <f t="shared" si="6"/>
        <v>0</v>
      </c>
      <c r="H67" s="27">
        <f t="shared" si="7"/>
        <v>0</v>
      </c>
      <c r="I67" s="27">
        <f t="shared" si="8"/>
        <v>0</v>
      </c>
      <c r="J67" s="61">
        <f t="shared" si="9"/>
        <v>0</v>
      </c>
      <c r="K67" s="81">
        <f t="shared" si="13"/>
        <v>0</v>
      </c>
      <c r="L67" s="60">
        <f t="shared" si="14"/>
        <v>0</v>
      </c>
    </row>
    <row r="68" spans="1:12" x14ac:dyDescent="0.25">
      <c r="A68" s="18" t="str">
        <f t="shared" si="12"/>
        <v/>
      </c>
      <c r="B68" s="19" t="str">
        <f>IF(Auxiliares!$B$8=1,TP!B83,
IF(Auxiliares!$B$8=2,PF!B82,
IF(Auxiliares!$B$8=3,SC!B74,
IF(Auxiliares!$B$8=4,PA!B78,
IF(Auxiliares!$B$8=5,'PE-TR-CRE'!B74,0)))))</f>
        <v/>
      </c>
      <c r="C68" s="27">
        <f t="shared" si="2"/>
        <v>-3.0000000000427463E-2</v>
      </c>
      <c r="D68" s="27">
        <f t="shared" si="3"/>
        <v>0</v>
      </c>
      <c r="E68" s="27">
        <f t="shared" si="4"/>
        <v>-3.0000000000427463E-2</v>
      </c>
      <c r="F68" s="27">
        <f t="shared" si="5"/>
        <v>0</v>
      </c>
      <c r="G68" s="27">
        <f t="shared" si="6"/>
        <v>0</v>
      </c>
      <c r="H68" s="27">
        <f t="shared" si="7"/>
        <v>0</v>
      </c>
      <c r="I68" s="27">
        <f t="shared" si="8"/>
        <v>0</v>
      </c>
      <c r="J68" s="61">
        <f t="shared" si="9"/>
        <v>0</v>
      </c>
      <c r="K68" s="81">
        <f t="shared" si="13"/>
        <v>0</v>
      </c>
      <c r="L68" s="60">
        <f t="shared" si="14"/>
        <v>0</v>
      </c>
    </row>
    <row r="69" spans="1:12" x14ac:dyDescent="0.25">
      <c r="A69" s="18" t="str">
        <f t="shared" si="12"/>
        <v/>
      </c>
      <c r="B69" s="19" t="str">
        <f>IF(Auxiliares!$B$8=1,TP!B84,
IF(Auxiliares!$B$8=2,PF!B83,
IF(Auxiliares!$B$8=3,SC!B75,
IF(Auxiliares!$B$8=4,PA!B79,
IF(Auxiliares!$B$8=5,'PE-TR-CRE'!B75,0)))))</f>
        <v/>
      </c>
      <c r="C69" s="27">
        <f t="shared" si="2"/>
        <v>-3.0000000000427463E-2</v>
      </c>
      <c r="D69" s="27">
        <f t="shared" si="3"/>
        <v>0</v>
      </c>
      <c r="E69" s="27">
        <f t="shared" si="4"/>
        <v>-3.0000000000427463E-2</v>
      </c>
      <c r="F69" s="27">
        <f t="shared" si="5"/>
        <v>0</v>
      </c>
      <c r="G69" s="27">
        <f t="shared" si="6"/>
        <v>0</v>
      </c>
      <c r="H69" s="27">
        <f t="shared" si="7"/>
        <v>0</v>
      </c>
      <c r="I69" s="27">
        <f t="shared" si="8"/>
        <v>0</v>
      </c>
      <c r="J69" s="61">
        <f t="shared" si="9"/>
        <v>0</v>
      </c>
      <c r="K69" s="81">
        <f t="shared" si="13"/>
        <v>0</v>
      </c>
      <c r="L69" s="60">
        <f t="shared" si="14"/>
        <v>0</v>
      </c>
    </row>
    <row r="70" spans="1:12" x14ac:dyDescent="0.25">
      <c r="A70" s="18" t="str">
        <f t="shared" si="12"/>
        <v/>
      </c>
      <c r="B70" s="19" t="str">
        <f>IF(Auxiliares!$B$8=1,TP!B85,
IF(Auxiliares!$B$8=2,PF!B84,
IF(Auxiliares!$B$8=3,SC!B76,
IF(Auxiliares!$B$8=4,PA!B80,
IF(Auxiliares!$B$8=5,'PE-TR-CRE'!B76,0)))))</f>
        <v/>
      </c>
      <c r="C70" s="27">
        <f t="shared" si="2"/>
        <v>-3.0000000000427463E-2</v>
      </c>
      <c r="D70" s="27">
        <f t="shared" si="3"/>
        <v>0</v>
      </c>
      <c r="E70" s="27">
        <f t="shared" si="4"/>
        <v>-3.0000000000427463E-2</v>
      </c>
      <c r="F70" s="27">
        <f t="shared" si="5"/>
        <v>0</v>
      </c>
      <c r="G70" s="27">
        <f t="shared" si="6"/>
        <v>0</v>
      </c>
      <c r="H70" s="27">
        <f t="shared" si="7"/>
        <v>0</v>
      </c>
      <c r="I70" s="27">
        <f t="shared" si="8"/>
        <v>0</v>
      </c>
      <c r="J70" s="61">
        <f t="shared" si="9"/>
        <v>0</v>
      </c>
      <c r="K70" s="81">
        <f t="shared" si="13"/>
        <v>0</v>
      </c>
      <c r="L70" s="60">
        <f t="shared" si="14"/>
        <v>0</v>
      </c>
    </row>
    <row r="71" spans="1:12" x14ac:dyDescent="0.25">
      <c r="A71" s="18" t="str">
        <f t="shared" si="12"/>
        <v/>
      </c>
      <c r="B71" s="19" t="str">
        <f>IF(Auxiliares!$B$8=1,TP!B86,
IF(Auxiliares!$B$8=2,PF!B85,
IF(Auxiliares!$B$8=3,SC!B77,
IF(Auxiliares!$B$8=4,PA!B81,
IF(Auxiliares!$B$8=5,'PE-TR-CRE'!B77,0)))))</f>
        <v/>
      </c>
      <c r="C71" s="27">
        <f t="shared" si="2"/>
        <v>-3.0000000000427463E-2</v>
      </c>
      <c r="D71" s="27">
        <f t="shared" si="3"/>
        <v>0</v>
      </c>
      <c r="E71" s="27">
        <f t="shared" si="4"/>
        <v>-3.0000000000427463E-2</v>
      </c>
      <c r="F71" s="27">
        <f t="shared" si="5"/>
        <v>0</v>
      </c>
      <c r="G71" s="27">
        <f t="shared" si="6"/>
        <v>0</v>
      </c>
      <c r="H71" s="27">
        <f t="shared" si="7"/>
        <v>0</v>
      </c>
      <c r="I71" s="27">
        <f t="shared" si="8"/>
        <v>0</v>
      </c>
      <c r="J71" s="61">
        <f t="shared" si="9"/>
        <v>0</v>
      </c>
      <c r="K71" s="81">
        <f t="shared" si="13"/>
        <v>0</v>
      </c>
      <c r="L71" s="60">
        <f t="shared" si="14"/>
        <v>0</v>
      </c>
    </row>
    <row r="72" spans="1:12" x14ac:dyDescent="0.25">
      <c r="A72" s="18" t="str">
        <f t="shared" si="12"/>
        <v/>
      </c>
      <c r="B72" s="19" t="str">
        <f>IF(Auxiliares!$B$8=1,TP!B87,
IF(Auxiliares!$B$8=2,PF!B86,
IF(Auxiliares!$B$8=3,SC!B78,
IF(Auxiliares!$B$8=4,PA!B82,
IF(Auxiliares!$B$8=5,'PE-TR-CRE'!B78,0)))))</f>
        <v/>
      </c>
      <c r="C72" s="27">
        <f t="shared" si="2"/>
        <v>-3.0000000000427463E-2</v>
      </c>
      <c r="D72" s="27">
        <f t="shared" si="3"/>
        <v>0</v>
      </c>
      <c r="E72" s="27">
        <f t="shared" si="4"/>
        <v>-3.0000000000427463E-2</v>
      </c>
      <c r="F72" s="27">
        <f t="shared" si="5"/>
        <v>0</v>
      </c>
      <c r="G72" s="27">
        <f t="shared" si="6"/>
        <v>0</v>
      </c>
      <c r="H72" s="27">
        <f t="shared" si="7"/>
        <v>0</v>
      </c>
      <c r="I72" s="27">
        <f t="shared" si="8"/>
        <v>0</v>
      </c>
      <c r="J72" s="61">
        <f t="shared" si="9"/>
        <v>0</v>
      </c>
      <c r="K72" s="81">
        <f t="shared" si="13"/>
        <v>0</v>
      </c>
      <c r="L72" s="60">
        <f t="shared" si="14"/>
        <v>0</v>
      </c>
    </row>
    <row r="73" spans="1:12" x14ac:dyDescent="0.25">
      <c r="A73" s="18" t="str">
        <f t="shared" si="12"/>
        <v/>
      </c>
      <c r="B73" s="19" t="str">
        <f>IF(Auxiliares!$B$8=1,TP!B88,
IF(Auxiliares!$B$8=2,PF!B87,
IF(Auxiliares!$B$8=3,SC!B79,
IF(Auxiliares!$B$8=4,PA!B83,
IF(Auxiliares!$B$8=5,'PE-TR-CRE'!B79,0)))))</f>
        <v/>
      </c>
      <c r="C73" s="27">
        <f t="shared" si="2"/>
        <v>-3.0000000000427463E-2</v>
      </c>
      <c r="D73" s="27">
        <f t="shared" si="3"/>
        <v>0</v>
      </c>
      <c r="E73" s="27">
        <f t="shared" si="4"/>
        <v>-3.0000000000427463E-2</v>
      </c>
      <c r="F73" s="27">
        <f t="shared" si="5"/>
        <v>0</v>
      </c>
      <c r="G73" s="27">
        <f t="shared" si="6"/>
        <v>0</v>
      </c>
      <c r="H73" s="27">
        <f t="shared" si="7"/>
        <v>0</v>
      </c>
      <c r="I73" s="27">
        <f t="shared" si="8"/>
        <v>0</v>
      </c>
      <c r="J73" s="61">
        <f t="shared" si="9"/>
        <v>0</v>
      </c>
      <c r="K73" s="81">
        <f t="shared" si="13"/>
        <v>0</v>
      </c>
      <c r="L73" s="60">
        <f t="shared" si="14"/>
        <v>0</v>
      </c>
    </row>
    <row r="74" spans="1:12" x14ac:dyDescent="0.25">
      <c r="A74" s="18" t="str">
        <f t="shared" si="12"/>
        <v/>
      </c>
      <c r="B74" s="19" t="str">
        <f>IF(Auxiliares!$B$8=1,TP!B89,
IF(Auxiliares!$B$8=2,PF!B88,
IF(Auxiliares!$B$8=3,SC!B80,
IF(Auxiliares!$B$8=4,PA!B84,
IF(Auxiliares!$B$8=5,'PE-TR-CRE'!B80,0)))))</f>
        <v/>
      </c>
      <c r="C74" s="27">
        <f t="shared" si="2"/>
        <v>-3.0000000000427463E-2</v>
      </c>
      <c r="D74" s="27">
        <f t="shared" si="3"/>
        <v>0</v>
      </c>
      <c r="E74" s="27">
        <f t="shared" si="4"/>
        <v>-3.0000000000427463E-2</v>
      </c>
      <c r="F74" s="27">
        <f t="shared" si="5"/>
        <v>0</v>
      </c>
      <c r="G74" s="27">
        <f t="shared" si="6"/>
        <v>0</v>
      </c>
      <c r="H74" s="27">
        <f t="shared" si="7"/>
        <v>0</v>
      </c>
      <c r="I74" s="27">
        <f t="shared" si="8"/>
        <v>0</v>
      </c>
      <c r="J74" s="61">
        <f t="shared" si="9"/>
        <v>0</v>
      </c>
      <c r="K74" s="81">
        <f t="shared" si="13"/>
        <v>0</v>
      </c>
      <c r="L74" s="60">
        <f t="shared" si="14"/>
        <v>0</v>
      </c>
    </row>
    <row r="75" spans="1:12" x14ac:dyDescent="0.25">
      <c r="A75" s="18" t="str">
        <f t="shared" si="12"/>
        <v/>
      </c>
      <c r="B75" s="19" t="str">
        <f>IF(Auxiliares!$B$8=1,TP!B90,
IF(Auxiliares!$B$8=2,PF!B89,
IF(Auxiliares!$B$8=3,SC!B81,
IF(Auxiliares!$B$8=4,PA!B85,
IF(Auxiliares!$B$8=5,'PE-TR-CRE'!B81,0)))))</f>
        <v/>
      </c>
      <c r="C75" s="27">
        <f t="shared" si="2"/>
        <v>-3.0000000000427463E-2</v>
      </c>
      <c r="D75" s="27">
        <f t="shared" si="3"/>
        <v>0</v>
      </c>
      <c r="E75" s="27">
        <f t="shared" si="4"/>
        <v>-3.0000000000427463E-2</v>
      </c>
      <c r="F75" s="27">
        <f t="shared" si="5"/>
        <v>0</v>
      </c>
      <c r="G75" s="27">
        <f t="shared" si="6"/>
        <v>0</v>
      </c>
      <c r="H75" s="27">
        <f t="shared" si="7"/>
        <v>0</v>
      </c>
      <c r="I75" s="27">
        <f t="shared" si="8"/>
        <v>0</v>
      </c>
      <c r="J75" s="61">
        <f t="shared" si="9"/>
        <v>0</v>
      </c>
      <c r="K75" s="81">
        <f t="shared" si="13"/>
        <v>0</v>
      </c>
      <c r="L75" s="60">
        <f t="shared" si="14"/>
        <v>0</v>
      </c>
    </row>
    <row r="76" spans="1:12" x14ac:dyDescent="0.25">
      <c r="A76" s="18" t="str">
        <f t="shared" si="12"/>
        <v/>
      </c>
      <c r="B76" s="19" t="str">
        <f>IF(Auxiliares!$B$8=1,TP!B91,
IF(Auxiliares!$B$8=2,PF!B90,
IF(Auxiliares!$B$8=3,SC!B82,
IF(Auxiliares!$B$8=4,PA!B86,
IF(Auxiliares!$B$8=5,'PE-TR-CRE'!B82,0)))))</f>
        <v/>
      </c>
      <c r="C76" s="27">
        <f t="shared" si="2"/>
        <v>-3.0000000000427463E-2</v>
      </c>
      <c r="D76" s="27">
        <f t="shared" si="3"/>
        <v>0</v>
      </c>
      <c r="E76" s="27">
        <f t="shared" si="4"/>
        <v>-3.0000000000427463E-2</v>
      </c>
      <c r="F76" s="27">
        <f t="shared" si="5"/>
        <v>0</v>
      </c>
      <c r="G76" s="27">
        <f t="shared" si="6"/>
        <v>0</v>
      </c>
      <c r="H76" s="27">
        <f t="shared" si="7"/>
        <v>0</v>
      </c>
      <c r="I76" s="27">
        <f t="shared" si="8"/>
        <v>0</v>
      </c>
      <c r="J76" s="61">
        <f t="shared" si="9"/>
        <v>0</v>
      </c>
      <c r="K76" s="81">
        <f t="shared" si="13"/>
        <v>0</v>
      </c>
      <c r="L76" s="60">
        <f t="shared" si="14"/>
        <v>0</v>
      </c>
    </row>
    <row r="77" spans="1:12" x14ac:dyDescent="0.25">
      <c r="A77" s="18" t="str">
        <f t="shared" si="12"/>
        <v/>
      </c>
      <c r="B77" s="19" t="str">
        <f>IF(Auxiliares!$B$8=1,TP!B92,
IF(Auxiliares!$B$8=2,PF!B91,
IF(Auxiliares!$B$8=3,SC!B83,
IF(Auxiliares!$B$8=4,PA!B87,
IF(Auxiliares!$B$8=5,'PE-TR-CRE'!B83,0)))))</f>
        <v/>
      </c>
      <c r="C77" s="27">
        <f t="shared" si="2"/>
        <v>-3.0000000000427463E-2</v>
      </c>
      <c r="D77" s="27">
        <f t="shared" si="3"/>
        <v>0</v>
      </c>
      <c r="E77" s="27">
        <f t="shared" si="4"/>
        <v>-3.0000000000427463E-2</v>
      </c>
      <c r="F77" s="27">
        <f t="shared" si="5"/>
        <v>0</v>
      </c>
      <c r="G77" s="27">
        <f t="shared" si="6"/>
        <v>0</v>
      </c>
      <c r="H77" s="27">
        <f t="shared" si="7"/>
        <v>0</v>
      </c>
      <c r="I77" s="27">
        <f t="shared" si="8"/>
        <v>0</v>
      </c>
      <c r="J77" s="61">
        <f t="shared" si="9"/>
        <v>0</v>
      </c>
      <c r="K77" s="81">
        <f t="shared" si="13"/>
        <v>0</v>
      </c>
      <c r="L77" s="60">
        <f t="shared" si="14"/>
        <v>0</v>
      </c>
    </row>
    <row r="78" spans="1:12" x14ac:dyDescent="0.25">
      <c r="A78" s="18" t="str">
        <f t="shared" si="12"/>
        <v/>
      </c>
      <c r="B78" s="19" t="str">
        <f>IF(Auxiliares!$B$8=1,TP!B93,
IF(Auxiliares!$B$8=2,PF!B92,
IF(Auxiliares!$B$8=3,SC!B84,
IF(Auxiliares!$B$8=4,PA!B88,
IF(Auxiliares!$B$8=5,'PE-TR-CRE'!B84,0)))))</f>
        <v/>
      </c>
      <c r="C78" s="27">
        <f t="shared" si="2"/>
        <v>-3.0000000000427463E-2</v>
      </c>
      <c r="D78" s="27">
        <f t="shared" si="3"/>
        <v>0</v>
      </c>
      <c r="E78" s="27">
        <f t="shared" si="4"/>
        <v>-3.0000000000427463E-2</v>
      </c>
      <c r="F78" s="27">
        <f t="shared" si="5"/>
        <v>0</v>
      </c>
      <c r="G78" s="27">
        <f t="shared" si="6"/>
        <v>0</v>
      </c>
      <c r="H78" s="27">
        <f t="shared" si="7"/>
        <v>0</v>
      </c>
      <c r="I78" s="27">
        <f t="shared" si="8"/>
        <v>0</v>
      </c>
      <c r="J78" s="61">
        <f t="shared" si="9"/>
        <v>0</v>
      </c>
      <c r="K78" s="81">
        <f t="shared" si="13"/>
        <v>0</v>
      </c>
      <c r="L78" s="60">
        <f t="shared" si="14"/>
        <v>0</v>
      </c>
    </row>
    <row r="79" spans="1:12" x14ac:dyDescent="0.25">
      <c r="A79" s="18" t="str">
        <f t="shared" si="12"/>
        <v/>
      </c>
      <c r="B79" s="19" t="str">
        <f>IF(Auxiliares!$B$8=1,TP!B94,
IF(Auxiliares!$B$8=2,PF!B93,
IF(Auxiliares!$B$8=3,SC!B85,
IF(Auxiliares!$B$8=4,PA!B89,
IF(Auxiliares!$B$8=5,'PE-TR-CRE'!B85,0)))))</f>
        <v/>
      </c>
      <c r="C79" s="27">
        <f t="shared" si="2"/>
        <v>-3.0000000000427463E-2</v>
      </c>
      <c r="D79" s="27">
        <f t="shared" si="3"/>
        <v>0</v>
      </c>
      <c r="E79" s="27">
        <f t="shared" si="4"/>
        <v>-3.0000000000427463E-2</v>
      </c>
      <c r="F79" s="27">
        <f t="shared" si="5"/>
        <v>0</v>
      </c>
      <c r="G79" s="27">
        <f t="shared" si="6"/>
        <v>0</v>
      </c>
      <c r="H79" s="27">
        <f t="shared" si="7"/>
        <v>0</v>
      </c>
      <c r="I79" s="27">
        <f t="shared" si="8"/>
        <v>0</v>
      </c>
      <c r="J79" s="61">
        <f t="shared" si="9"/>
        <v>0</v>
      </c>
      <c r="K79" s="81">
        <f t="shared" si="13"/>
        <v>0</v>
      </c>
      <c r="L79" s="60">
        <f t="shared" si="14"/>
        <v>0</v>
      </c>
    </row>
    <row r="80" spans="1:12" x14ac:dyDescent="0.25">
      <c r="A80" s="18" t="str">
        <f t="shared" si="12"/>
        <v/>
      </c>
      <c r="B80" s="19" t="str">
        <f>IF(Auxiliares!$B$8=1,TP!B95,
IF(Auxiliares!$B$8=2,PF!B94,
IF(Auxiliares!$B$8=3,SC!B86,
IF(Auxiliares!$B$8=4,PA!B90,
IF(Auxiliares!$B$8=5,'PE-TR-CRE'!B86,0)))))</f>
        <v/>
      </c>
      <c r="C80" s="27">
        <f t="shared" si="2"/>
        <v>-3.0000000000427463E-2</v>
      </c>
      <c r="D80" s="27">
        <f t="shared" si="3"/>
        <v>0</v>
      </c>
      <c r="E80" s="27">
        <f t="shared" si="4"/>
        <v>-3.0000000000427463E-2</v>
      </c>
      <c r="F80" s="27">
        <f t="shared" si="5"/>
        <v>0</v>
      </c>
      <c r="G80" s="27">
        <f t="shared" si="6"/>
        <v>0</v>
      </c>
      <c r="H80" s="27">
        <f t="shared" si="7"/>
        <v>0</v>
      </c>
      <c r="I80" s="27">
        <f t="shared" si="8"/>
        <v>0</v>
      </c>
      <c r="J80" s="61">
        <f t="shared" si="9"/>
        <v>0</v>
      </c>
      <c r="K80" s="81">
        <f t="shared" si="13"/>
        <v>0</v>
      </c>
      <c r="L80" s="60">
        <f t="shared" si="14"/>
        <v>0</v>
      </c>
    </row>
    <row r="81" spans="1:12" x14ac:dyDescent="0.25">
      <c r="A81" s="18" t="str">
        <f t="shared" si="12"/>
        <v/>
      </c>
      <c r="B81" s="19" t="str">
        <f>IF(Auxiliares!$B$8=1,TP!B96,
IF(Auxiliares!$B$8=2,PF!B95,
IF(Auxiliares!$B$8=3,SC!B87,
IF(Auxiliares!$B$8=4,PA!B91,
IF(Auxiliares!$B$8=5,'PE-TR-CRE'!B87,0)))))</f>
        <v/>
      </c>
      <c r="C81" s="27">
        <f t="shared" si="2"/>
        <v>-3.0000000000427463E-2</v>
      </c>
      <c r="D81" s="27">
        <f t="shared" si="3"/>
        <v>0</v>
      </c>
      <c r="E81" s="27">
        <f t="shared" si="4"/>
        <v>-3.0000000000427463E-2</v>
      </c>
      <c r="F81" s="27">
        <f t="shared" si="5"/>
        <v>0</v>
      </c>
      <c r="G81" s="27">
        <f t="shared" si="6"/>
        <v>0</v>
      </c>
      <c r="H81" s="27">
        <f t="shared" si="7"/>
        <v>0</v>
      </c>
      <c r="I81" s="27">
        <f t="shared" si="8"/>
        <v>0</v>
      </c>
      <c r="J81" s="61">
        <f t="shared" si="9"/>
        <v>0</v>
      </c>
      <c r="K81" s="81">
        <f t="shared" si="13"/>
        <v>0</v>
      </c>
      <c r="L81" s="60">
        <f t="shared" si="14"/>
        <v>0</v>
      </c>
    </row>
    <row r="82" spans="1:12" x14ac:dyDescent="0.25">
      <c r="A82" s="18" t="str">
        <f t="shared" si="12"/>
        <v/>
      </c>
      <c r="B82" s="19" t="str">
        <f>IF(Auxiliares!$B$8=1,TP!B97,
IF(Auxiliares!$B$8=2,PF!B96,
IF(Auxiliares!$B$8=3,SC!B88,
IF(Auxiliares!$B$8=4,PA!B92,
IF(Auxiliares!$B$8=5,'PE-TR-CRE'!B88,0)))))</f>
        <v/>
      </c>
      <c r="C82" s="27">
        <f t="shared" si="2"/>
        <v>-3.0000000000427463E-2</v>
      </c>
      <c r="D82" s="27">
        <f t="shared" si="3"/>
        <v>0</v>
      </c>
      <c r="E82" s="27">
        <f t="shared" si="4"/>
        <v>-3.0000000000427463E-2</v>
      </c>
      <c r="F82" s="27">
        <f t="shared" si="5"/>
        <v>0</v>
      </c>
      <c r="G82" s="27">
        <f t="shared" si="6"/>
        <v>0</v>
      </c>
      <c r="H82" s="27">
        <f t="shared" si="7"/>
        <v>0</v>
      </c>
      <c r="I82" s="27">
        <f t="shared" si="8"/>
        <v>0</v>
      </c>
      <c r="J82" s="61">
        <f t="shared" si="9"/>
        <v>0</v>
      </c>
      <c r="K82" s="81">
        <f t="shared" si="13"/>
        <v>0</v>
      </c>
      <c r="L82" s="60">
        <f t="shared" si="14"/>
        <v>0</v>
      </c>
    </row>
    <row r="83" spans="1:12" x14ac:dyDescent="0.25">
      <c r="A83" s="18" t="str">
        <f t="shared" si="12"/>
        <v/>
      </c>
      <c r="B83" s="19" t="str">
        <f>IF(Auxiliares!$B$8=1,TP!B98,
IF(Auxiliares!$B$8=2,PF!B97,
IF(Auxiliares!$B$8=3,SC!B89,
IF(Auxiliares!$B$8=4,PA!B93,
IF(Auxiliares!$B$8=5,'PE-TR-CRE'!B89,0)))))</f>
        <v/>
      </c>
      <c r="C83" s="27">
        <f t="shared" si="2"/>
        <v>-3.0000000000427463E-2</v>
      </c>
      <c r="D83" s="27">
        <f t="shared" si="3"/>
        <v>0</v>
      </c>
      <c r="E83" s="27">
        <f t="shared" si="4"/>
        <v>-3.0000000000427463E-2</v>
      </c>
      <c r="F83" s="27">
        <f t="shared" si="5"/>
        <v>0</v>
      </c>
      <c r="G83" s="27">
        <f t="shared" si="6"/>
        <v>0</v>
      </c>
      <c r="H83" s="27">
        <f t="shared" si="7"/>
        <v>0</v>
      </c>
      <c r="I83" s="27">
        <f t="shared" si="8"/>
        <v>0</v>
      </c>
      <c r="J83" s="61">
        <f t="shared" si="9"/>
        <v>0</v>
      </c>
      <c r="K83" s="81">
        <f t="shared" si="13"/>
        <v>0</v>
      </c>
      <c r="L83" s="60">
        <f t="shared" si="14"/>
        <v>0</v>
      </c>
    </row>
    <row r="84" spans="1:12" x14ac:dyDescent="0.25">
      <c r="A84" s="18" t="str">
        <f t="shared" si="12"/>
        <v/>
      </c>
      <c r="B84" s="19" t="str">
        <f>IF(Auxiliares!$B$8=1,TP!B99,
IF(Auxiliares!$B$8=2,PF!B98,
IF(Auxiliares!$B$8=3,SC!B90,
IF(Auxiliares!$B$8=4,PA!B94,
IF(Auxiliares!$B$8=5,'PE-TR-CRE'!B90,0)))))</f>
        <v/>
      </c>
      <c r="C84" s="27">
        <f t="shared" si="2"/>
        <v>-3.0000000000427463E-2</v>
      </c>
      <c r="D84" s="27">
        <f t="shared" si="3"/>
        <v>0</v>
      </c>
      <c r="E84" s="27">
        <f t="shared" si="4"/>
        <v>-3.0000000000427463E-2</v>
      </c>
      <c r="F84" s="27">
        <f t="shared" si="5"/>
        <v>0</v>
      </c>
      <c r="G84" s="27">
        <f t="shared" si="6"/>
        <v>0</v>
      </c>
      <c r="H84" s="27">
        <f t="shared" si="7"/>
        <v>0</v>
      </c>
      <c r="I84" s="27">
        <f t="shared" si="8"/>
        <v>0</v>
      </c>
      <c r="J84" s="61">
        <f t="shared" si="9"/>
        <v>0</v>
      </c>
      <c r="K84" s="81">
        <f t="shared" si="13"/>
        <v>0</v>
      </c>
      <c r="L84" s="60">
        <f t="shared" si="14"/>
        <v>0</v>
      </c>
    </row>
    <row r="85" spans="1:12" x14ac:dyDescent="0.25">
      <c r="A85" s="18" t="str">
        <f t="shared" si="12"/>
        <v/>
      </c>
      <c r="B85" s="19" t="str">
        <f>IF(Auxiliares!$B$8=1,TP!B100,
IF(Auxiliares!$B$8=2,PF!B99,
IF(Auxiliares!$B$8=3,SC!B91,
IF(Auxiliares!$B$8=4,PA!B95,
IF(Auxiliares!$B$8=5,'PE-TR-CRE'!B91,0)))))</f>
        <v/>
      </c>
      <c r="C85" s="27">
        <f t="shared" si="2"/>
        <v>-3.0000000000427463E-2</v>
      </c>
      <c r="D85" s="27">
        <f t="shared" si="3"/>
        <v>0</v>
      </c>
      <c r="E85" s="27">
        <f t="shared" si="4"/>
        <v>-3.0000000000427463E-2</v>
      </c>
      <c r="F85" s="27">
        <f t="shared" si="5"/>
        <v>0</v>
      </c>
      <c r="G85" s="27">
        <f t="shared" si="6"/>
        <v>0</v>
      </c>
      <c r="H85" s="27">
        <f t="shared" si="7"/>
        <v>0</v>
      </c>
      <c r="I85" s="27">
        <f t="shared" si="8"/>
        <v>0</v>
      </c>
      <c r="J85" s="61">
        <f t="shared" si="9"/>
        <v>0</v>
      </c>
      <c r="K85" s="81">
        <f t="shared" si="13"/>
        <v>0</v>
      </c>
      <c r="L85" s="60">
        <f t="shared" si="14"/>
        <v>0</v>
      </c>
    </row>
    <row r="86" spans="1:12" x14ac:dyDescent="0.25">
      <c r="A86" s="18" t="str">
        <f t="shared" si="12"/>
        <v/>
      </c>
      <c r="B86" s="19" t="str">
        <f>IF(Auxiliares!$B$8=1,TP!B101,
IF(Auxiliares!$B$8=2,PF!B100,
IF(Auxiliares!$B$8=3,SC!B92,
IF(Auxiliares!$B$8=4,PA!B96,
IF(Auxiliares!$B$8=5,'PE-TR-CRE'!B92,0)))))</f>
        <v/>
      </c>
      <c r="C86" s="27">
        <f t="shared" si="2"/>
        <v>-3.0000000000427463E-2</v>
      </c>
      <c r="D86" s="27">
        <f t="shared" si="3"/>
        <v>0</v>
      </c>
      <c r="E86" s="27">
        <f t="shared" si="4"/>
        <v>-3.0000000000427463E-2</v>
      </c>
      <c r="F86" s="27">
        <f t="shared" si="5"/>
        <v>0</v>
      </c>
      <c r="G86" s="27">
        <f t="shared" si="6"/>
        <v>0</v>
      </c>
      <c r="H86" s="27">
        <f t="shared" si="7"/>
        <v>0</v>
      </c>
      <c r="I86" s="27">
        <f t="shared" si="8"/>
        <v>0</v>
      </c>
      <c r="J86" s="61">
        <f t="shared" si="9"/>
        <v>0</v>
      </c>
      <c r="K86" s="81">
        <f t="shared" si="13"/>
        <v>0</v>
      </c>
      <c r="L86" s="60">
        <f t="shared" si="14"/>
        <v>0</v>
      </c>
    </row>
    <row r="87" spans="1:12" x14ac:dyDescent="0.25">
      <c r="A87" s="18" t="str">
        <f t="shared" si="12"/>
        <v/>
      </c>
      <c r="B87" s="19" t="str">
        <f>IF(Auxiliares!$B$8=1,TP!B102,
IF(Auxiliares!$B$8=2,PF!B101,
IF(Auxiliares!$B$8=3,SC!B93,
IF(Auxiliares!$B$8=4,PA!B97,
IF(Auxiliares!$B$8=5,'PE-TR-CRE'!B93,0)))))</f>
        <v/>
      </c>
      <c r="C87" s="27">
        <f t="shared" si="2"/>
        <v>-3.0000000000427463E-2</v>
      </c>
      <c r="D87" s="27">
        <f t="shared" si="3"/>
        <v>0</v>
      </c>
      <c r="E87" s="27">
        <f t="shared" si="4"/>
        <v>-3.0000000000427463E-2</v>
      </c>
      <c r="F87" s="27">
        <f t="shared" si="5"/>
        <v>0</v>
      </c>
      <c r="G87" s="27">
        <f t="shared" si="6"/>
        <v>0</v>
      </c>
      <c r="H87" s="27">
        <f t="shared" si="7"/>
        <v>0</v>
      </c>
      <c r="I87" s="27">
        <f t="shared" si="8"/>
        <v>0</v>
      </c>
      <c r="J87" s="61">
        <f t="shared" si="9"/>
        <v>0</v>
      </c>
      <c r="K87" s="81">
        <f t="shared" si="13"/>
        <v>0</v>
      </c>
      <c r="L87" s="60">
        <f t="shared" si="14"/>
        <v>0</v>
      </c>
    </row>
    <row r="88" spans="1:12" x14ac:dyDescent="0.25">
      <c r="A88" s="18" t="str">
        <f t="shared" si="12"/>
        <v/>
      </c>
      <c r="B88" s="19" t="str">
        <f>IF(Auxiliares!$B$8=1,TP!B103,
IF(Auxiliares!$B$8=2,PF!B102,
IF(Auxiliares!$B$8=3,SC!B94,
IF(Auxiliares!$B$8=4,PA!B98,
IF(Auxiliares!$B$8=5,'PE-TR-CRE'!B94,0)))))</f>
        <v/>
      </c>
      <c r="C88" s="27">
        <f t="shared" si="2"/>
        <v>-3.0000000000427463E-2</v>
      </c>
      <c r="D88" s="27">
        <f t="shared" si="3"/>
        <v>0</v>
      </c>
      <c r="E88" s="27">
        <f t="shared" si="4"/>
        <v>-3.0000000000427463E-2</v>
      </c>
      <c r="F88" s="27">
        <f t="shared" si="5"/>
        <v>0</v>
      </c>
      <c r="G88" s="27">
        <f t="shared" si="6"/>
        <v>0</v>
      </c>
      <c r="H88" s="27">
        <f t="shared" si="7"/>
        <v>0</v>
      </c>
      <c r="I88" s="27">
        <f t="shared" si="8"/>
        <v>0</v>
      </c>
      <c r="J88" s="61">
        <f t="shared" si="9"/>
        <v>0</v>
      </c>
      <c r="K88" s="81">
        <f t="shared" si="13"/>
        <v>0</v>
      </c>
      <c r="L88" s="60">
        <f t="shared" si="14"/>
        <v>0</v>
      </c>
    </row>
    <row r="89" spans="1:12" x14ac:dyDescent="0.25">
      <c r="A89" s="18" t="str">
        <f t="shared" si="12"/>
        <v/>
      </c>
      <c r="B89" s="19" t="str">
        <f>IF(Auxiliares!$B$8=1,TP!B104,
IF(Auxiliares!$B$8=2,PF!B103,
IF(Auxiliares!$B$8=3,SC!B95,
IF(Auxiliares!$B$8=4,PA!B99,
IF(Auxiliares!$B$8=5,'PE-TR-CRE'!B95,0)))))</f>
        <v/>
      </c>
      <c r="C89" s="27">
        <f t="shared" si="2"/>
        <v>-3.0000000000427463E-2</v>
      </c>
      <c r="D89" s="27">
        <f t="shared" si="3"/>
        <v>0</v>
      </c>
      <c r="E89" s="27">
        <f t="shared" si="4"/>
        <v>-3.0000000000427463E-2</v>
      </c>
      <c r="F89" s="27">
        <f t="shared" si="5"/>
        <v>0</v>
      </c>
      <c r="G89" s="27">
        <f t="shared" si="6"/>
        <v>0</v>
      </c>
      <c r="H89" s="27">
        <f t="shared" si="7"/>
        <v>0</v>
      </c>
      <c r="I89" s="27">
        <f t="shared" si="8"/>
        <v>0</v>
      </c>
      <c r="J89" s="61">
        <f t="shared" si="9"/>
        <v>0</v>
      </c>
      <c r="K89" s="81">
        <f t="shared" si="13"/>
        <v>0</v>
      </c>
      <c r="L89" s="60">
        <f t="shared" si="14"/>
        <v>0</v>
      </c>
    </row>
    <row r="90" spans="1:12" x14ac:dyDescent="0.25">
      <c r="A90" s="18" t="str">
        <f t="shared" si="12"/>
        <v/>
      </c>
      <c r="B90" s="19" t="str">
        <f>IF(Auxiliares!$B$8=1,TP!B105,
IF(Auxiliares!$B$8=2,PF!B104,
IF(Auxiliares!$B$8=3,SC!B96,
IF(Auxiliares!$B$8=4,PA!B100,
IF(Auxiliares!$B$8=5,'PE-TR-CRE'!B96,0)))))</f>
        <v/>
      </c>
      <c r="C90" s="27">
        <f t="shared" ref="C90:C96" si="15">C89+G90-I90</f>
        <v>-3.0000000000427463E-2</v>
      </c>
      <c r="D90" s="27">
        <f t="shared" ref="D90:D96" si="16">C90-E90</f>
        <v>0</v>
      </c>
      <c r="E90" s="27">
        <f t="shared" ref="E90:E96" si="17">MIN($C$24,C90,E89)</f>
        <v>-3.0000000000427463E-2</v>
      </c>
      <c r="F90" s="27">
        <f t="shared" ref="F90:F96" si="18">E89-E90</f>
        <v>0</v>
      </c>
      <c r="G90" s="27">
        <f t="shared" ref="G90:G96" si="19">IF(A90="",0,ROUND(((((1+$C$11)^((B90-B89)/30)-1)*C89)),2))</f>
        <v>0</v>
      </c>
      <c r="H90" s="27">
        <f t="shared" ref="H90:H96" si="20">MIN(I90-F90,I90)</f>
        <v>0</v>
      </c>
      <c r="I90" s="27">
        <f t="shared" ref="I90:I96" si="21">IF(A90="",0,ROUND($C$24/$J$98,2))</f>
        <v>0</v>
      </c>
      <c r="J90" s="61">
        <f t="shared" ref="J90:J96" si="22">IF(A90="",0,ROUND(1/((1+$C$11)^((B90-$B$24)/30)),8))</f>
        <v>0</v>
      </c>
      <c r="K90" s="81">
        <f t="shared" si="13"/>
        <v>0</v>
      </c>
      <c r="L90" s="60">
        <f t="shared" si="14"/>
        <v>0</v>
      </c>
    </row>
    <row r="91" spans="1:12" x14ac:dyDescent="0.25">
      <c r="A91" s="18" t="str">
        <f t="shared" si="12"/>
        <v/>
      </c>
      <c r="B91" s="19" t="str">
        <f>IF(Auxiliares!$B$8=1,TP!B106,
IF(Auxiliares!$B$8=2,PF!B105,
IF(Auxiliares!$B$8=3,SC!B97,
IF(Auxiliares!$B$8=4,PA!B101,
IF(Auxiliares!$B$8=5,'PE-TR-CRE'!B97,0)))))</f>
        <v/>
      </c>
      <c r="C91" s="27">
        <f t="shared" si="15"/>
        <v>-3.0000000000427463E-2</v>
      </c>
      <c r="D91" s="27">
        <f t="shared" si="16"/>
        <v>0</v>
      </c>
      <c r="E91" s="27">
        <f t="shared" si="17"/>
        <v>-3.0000000000427463E-2</v>
      </c>
      <c r="F91" s="27">
        <f t="shared" si="18"/>
        <v>0</v>
      </c>
      <c r="G91" s="27">
        <f t="shared" si="19"/>
        <v>0</v>
      </c>
      <c r="H91" s="27">
        <f t="shared" si="20"/>
        <v>0</v>
      </c>
      <c r="I91" s="27">
        <f t="shared" si="21"/>
        <v>0</v>
      </c>
      <c r="J91" s="61">
        <f t="shared" si="22"/>
        <v>0</v>
      </c>
      <c r="K91" s="81">
        <f t="shared" si="13"/>
        <v>0</v>
      </c>
      <c r="L91" s="60">
        <f t="shared" si="14"/>
        <v>0</v>
      </c>
    </row>
    <row r="92" spans="1:12" x14ac:dyDescent="0.25">
      <c r="A92" s="18" t="str">
        <f t="shared" si="12"/>
        <v/>
      </c>
      <c r="B92" s="19" t="str">
        <f>IF(Auxiliares!$B$8=1,TP!B107,
IF(Auxiliares!$B$8=2,PF!B106,
IF(Auxiliares!$B$8=3,SC!B98,
IF(Auxiliares!$B$8=4,PA!B102,
IF(Auxiliares!$B$8=5,'PE-TR-CRE'!B98,0)))))</f>
        <v/>
      </c>
      <c r="C92" s="27">
        <f t="shared" si="15"/>
        <v>-3.0000000000427463E-2</v>
      </c>
      <c r="D92" s="27">
        <f t="shared" si="16"/>
        <v>0</v>
      </c>
      <c r="E92" s="27">
        <f t="shared" si="17"/>
        <v>-3.0000000000427463E-2</v>
      </c>
      <c r="F92" s="27">
        <f t="shared" si="18"/>
        <v>0</v>
      </c>
      <c r="G92" s="27">
        <f t="shared" si="19"/>
        <v>0</v>
      </c>
      <c r="H92" s="27">
        <f t="shared" si="20"/>
        <v>0</v>
      </c>
      <c r="I92" s="27">
        <f t="shared" si="21"/>
        <v>0</v>
      </c>
      <c r="J92" s="61">
        <f t="shared" si="22"/>
        <v>0</v>
      </c>
      <c r="K92" s="81">
        <f t="shared" si="13"/>
        <v>0</v>
      </c>
      <c r="L92" s="60">
        <f t="shared" si="14"/>
        <v>0</v>
      </c>
    </row>
    <row r="93" spans="1:12" x14ac:dyDescent="0.25">
      <c r="A93" s="18" t="str">
        <f t="shared" si="12"/>
        <v/>
      </c>
      <c r="B93" s="19" t="str">
        <f>IF(Auxiliares!$B$8=1,TP!B108,
IF(Auxiliares!$B$8=2,PF!B107,
IF(Auxiliares!$B$8=3,SC!B99,
IF(Auxiliares!$B$8=4,PA!B103,
IF(Auxiliares!$B$8=5,'PE-TR-CRE'!B99,0)))))</f>
        <v/>
      </c>
      <c r="C93" s="27">
        <f t="shared" si="15"/>
        <v>-3.0000000000427463E-2</v>
      </c>
      <c r="D93" s="27">
        <f t="shared" si="16"/>
        <v>0</v>
      </c>
      <c r="E93" s="27">
        <f t="shared" si="17"/>
        <v>-3.0000000000427463E-2</v>
      </c>
      <c r="F93" s="27">
        <f t="shared" si="18"/>
        <v>0</v>
      </c>
      <c r="G93" s="27">
        <f t="shared" si="19"/>
        <v>0</v>
      </c>
      <c r="H93" s="27">
        <f t="shared" si="20"/>
        <v>0</v>
      </c>
      <c r="I93" s="27">
        <f t="shared" si="21"/>
        <v>0</v>
      </c>
      <c r="J93" s="61">
        <f t="shared" si="22"/>
        <v>0</v>
      </c>
      <c r="K93" s="81">
        <f t="shared" si="13"/>
        <v>0</v>
      </c>
      <c r="L93" s="60">
        <f t="shared" si="14"/>
        <v>0</v>
      </c>
    </row>
    <row r="94" spans="1:12" x14ac:dyDescent="0.25">
      <c r="A94" s="18" t="str">
        <f t="shared" si="12"/>
        <v/>
      </c>
      <c r="B94" s="19" t="str">
        <f>IF(Auxiliares!$B$8=1,TP!B109,
IF(Auxiliares!$B$8=2,PF!B108,
IF(Auxiliares!$B$8=3,SC!B100,
IF(Auxiliares!$B$8=4,PA!B104,
IF(Auxiliares!$B$8=5,'PE-TR-CRE'!B100,0)))))</f>
        <v/>
      </c>
      <c r="C94" s="27">
        <f t="shared" si="15"/>
        <v>-3.0000000000427463E-2</v>
      </c>
      <c r="D94" s="27">
        <f t="shared" si="16"/>
        <v>0</v>
      </c>
      <c r="E94" s="27">
        <f t="shared" si="17"/>
        <v>-3.0000000000427463E-2</v>
      </c>
      <c r="F94" s="27">
        <f t="shared" si="18"/>
        <v>0</v>
      </c>
      <c r="G94" s="27">
        <f t="shared" si="19"/>
        <v>0</v>
      </c>
      <c r="H94" s="27">
        <f t="shared" si="20"/>
        <v>0</v>
      </c>
      <c r="I94" s="27">
        <f t="shared" si="21"/>
        <v>0</v>
      </c>
      <c r="J94" s="61">
        <f t="shared" si="22"/>
        <v>0</v>
      </c>
      <c r="K94" s="81">
        <f t="shared" si="13"/>
        <v>0</v>
      </c>
      <c r="L94" s="60">
        <f t="shared" si="14"/>
        <v>0</v>
      </c>
    </row>
    <row r="95" spans="1:12" x14ac:dyDescent="0.25">
      <c r="A95" s="18" t="str">
        <f t="shared" si="12"/>
        <v/>
      </c>
      <c r="B95" s="19" t="str">
        <f>IF(Auxiliares!$B$8=1,TP!B110,
IF(Auxiliares!$B$8=2,PF!B109,
IF(Auxiliares!$B$8=3,SC!B101,
IF(Auxiliares!$B$8=4,PA!B105,
IF(Auxiliares!$B$8=5,'PE-TR-CRE'!B101,0)))))</f>
        <v/>
      </c>
      <c r="C95" s="27">
        <f t="shared" si="15"/>
        <v>-3.0000000000427463E-2</v>
      </c>
      <c r="D95" s="27">
        <f t="shared" si="16"/>
        <v>0</v>
      </c>
      <c r="E95" s="27">
        <f t="shared" si="17"/>
        <v>-3.0000000000427463E-2</v>
      </c>
      <c r="F95" s="27">
        <f t="shared" si="18"/>
        <v>0</v>
      </c>
      <c r="G95" s="27">
        <f t="shared" si="19"/>
        <v>0</v>
      </c>
      <c r="H95" s="27">
        <f t="shared" si="20"/>
        <v>0</v>
      </c>
      <c r="I95" s="27">
        <f t="shared" si="21"/>
        <v>0</v>
      </c>
      <c r="J95" s="61">
        <f t="shared" si="22"/>
        <v>0</v>
      </c>
      <c r="K95" s="81">
        <f t="shared" si="13"/>
        <v>0</v>
      </c>
      <c r="L95" s="60">
        <f t="shared" si="14"/>
        <v>0</v>
      </c>
    </row>
    <row r="96" spans="1:12" x14ac:dyDescent="0.25">
      <c r="A96" s="18" t="str">
        <f t="shared" si="12"/>
        <v/>
      </c>
      <c r="B96" s="19" t="str">
        <f>IF(Auxiliares!$B$8=1,TP!B111,
IF(Auxiliares!$B$8=2,PF!B110,
IF(Auxiliares!$B$8=3,SC!B102,
IF(Auxiliares!$B$8=4,PA!B106,
IF(Auxiliares!$B$8=5,'PE-TR-CRE'!B102,0)))))</f>
        <v/>
      </c>
      <c r="C96" s="27">
        <f t="shared" si="15"/>
        <v>-3.0000000000427463E-2</v>
      </c>
      <c r="D96" s="27">
        <f t="shared" si="16"/>
        <v>0</v>
      </c>
      <c r="E96" s="27">
        <f t="shared" si="17"/>
        <v>-3.0000000000427463E-2</v>
      </c>
      <c r="F96" s="27">
        <f t="shared" si="18"/>
        <v>0</v>
      </c>
      <c r="G96" s="27">
        <f t="shared" si="19"/>
        <v>0</v>
      </c>
      <c r="H96" s="27">
        <f t="shared" si="20"/>
        <v>0</v>
      </c>
      <c r="I96" s="27">
        <f t="shared" si="21"/>
        <v>0</v>
      </c>
      <c r="J96" s="61">
        <f t="shared" si="22"/>
        <v>0</v>
      </c>
      <c r="K96" s="81">
        <f t="shared" si="13"/>
        <v>0</v>
      </c>
      <c r="L96" s="60">
        <f t="shared" si="14"/>
        <v>0</v>
      </c>
    </row>
    <row r="97" spans="1:12" x14ac:dyDescent="0.25">
      <c r="J97" s="46"/>
      <c r="K97" s="78"/>
      <c r="L97" s="38"/>
    </row>
    <row r="98" spans="1:12" ht="15.75" thickBot="1" x14ac:dyDescent="0.3">
      <c r="A98" s="72">
        <f>MAX(A24:A96)</f>
        <v>8</v>
      </c>
      <c r="B98" s="73"/>
      <c r="C98" s="74">
        <f>C53-F53</f>
        <v>-3.0000000000427463E-2</v>
      </c>
      <c r="D98" s="73"/>
      <c r="E98" s="73"/>
      <c r="F98" s="75">
        <f>SUM(F25:F97)</f>
        <v>2000.0300000000004</v>
      </c>
      <c r="G98" s="75">
        <f>SUM(G25:G97)</f>
        <v>585.4899999999999</v>
      </c>
      <c r="H98" s="73"/>
      <c r="I98" s="76">
        <f>SUM(I25:I97)</f>
        <v>2585.52</v>
      </c>
      <c r="J98" s="77">
        <f>SUM(J25:J97)</f>
        <v>6.188361819999999</v>
      </c>
      <c r="K98" s="82">
        <f>SUM(K25:K97)</f>
        <v>212</v>
      </c>
      <c r="L98" s="71">
        <f>SUM(L25:L96)</f>
        <v>18.100000000000001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BE75B-ACE3-4F5D-A50C-31D61F5A6454}">
  <sheetPr codeName="Sheet4"/>
  <dimension ref="A4:N99"/>
  <sheetViews>
    <sheetView workbookViewId="0">
      <selection activeCell="I5" sqref="I5"/>
    </sheetView>
  </sheetViews>
  <sheetFormatPr defaultRowHeight="15" x14ac:dyDescent="0.25"/>
  <cols>
    <col min="1" max="1" width="7.42578125" bestFit="1" customWidth="1"/>
    <col min="2" max="2" width="25.5703125" bestFit="1" customWidth="1"/>
    <col min="3" max="3" width="12.28515625" style="11" bestFit="1" customWidth="1"/>
    <col min="4" max="4" width="14" bestFit="1" customWidth="1"/>
    <col min="5" max="5" width="18.140625" bestFit="1" customWidth="1"/>
    <col min="6" max="7" width="12.28515625" bestFit="1" customWidth="1"/>
    <col min="8" max="8" width="20.42578125" bestFit="1" customWidth="1"/>
    <col min="9" max="9" width="15" style="11" bestFit="1" customWidth="1"/>
    <col min="10" max="11" width="10.7109375" bestFit="1" customWidth="1"/>
    <col min="12" max="12" width="9.5703125" bestFit="1" customWidth="1"/>
    <col min="13" max="13" width="37.42578125" bestFit="1" customWidth="1"/>
    <col min="14" max="14" width="8.28515625" bestFit="1" customWidth="1"/>
  </cols>
  <sheetData>
    <row r="4" spans="1:13" x14ac:dyDescent="0.25">
      <c r="A4" t="s">
        <v>114</v>
      </c>
      <c r="G4" t="s">
        <v>16</v>
      </c>
      <c r="I4" s="11" t="s">
        <v>17</v>
      </c>
      <c r="M4" t="s">
        <v>18</v>
      </c>
    </row>
    <row r="5" spans="1:13" x14ac:dyDescent="0.25">
      <c r="A5" s="33"/>
      <c r="B5" s="33" t="s">
        <v>115</v>
      </c>
      <c r="C5" s="51">
        <f>I5</f>
        <v>0</v>
      </c>
      <c r="D5" s="33"/>
      <c r="E5" s="33"/>
      <c r="F5" s="33"/>
      <c r="G5" s="33"/>
      <c r="H5" s="33"/>
      <c r="I5" s="51">
        <f>'IOF 1'!I5</f>
        <v>0</v>
      </c>
      <c r="J5" s="33"/>
      <c r="K5" s="34"/>
      <c r="M5" t="s">
        <v>19</v>
      </c>
    </row>
    <row r="6" spans="1:13" x14ac:dyDescent="0.25">
      <c r="B6" t="s">
        <v>116</v>
      </c>
      <c r="C6" s="22">
        <f t="shared" ref="C6:C16" si="0">I6</f>
        <v>2000</v>
      </c>
      <c r="I6" s="22">
        <f>'IOF 1'!I6</f>
        <v>2000</v>
      </c>
      <c r="K6" s="35"/>
      <c r="M6" t="s">
        <v>20</v>
      </c>
    </row>
    <row r="7" spans="1:13" x14ac:dyDescent="0.25">
      <c r="B7" t="s">
        <v>110</v>
      </c>
      <c r="C7" s="11" t="str">
        <f t="shared" si="0"/>
        <v>NÃO</v>
      </c>
      <c r="I7" s="11" t="str">
        <f>'IOF 1'!I7</f>
        <v>NÃO</v>
      </c>
      <c r="K7" s="35"/>
      <c r="M7" t="s">
        <v>21</v>
      </c>
    </row>
    <row r="8" spans="1:13" x14ac:dyDescent="0.25">
      <c r="B8" t="s">
        <v>3</v>
      </c>
      <c r="C8" s="11" t="str">
        <f t="shared" si="0"/>
        <v>ENTRADA IGUAL AS DEMAIS PARCELAS</v>
      </c>
      <c r="I8" s="11" t="str">
        <f>'IOF 1'!I8</f>
        <v>ENTRADA IGUAL AS DEMAIS PARCELAS</v>
      </c>
      <c r="K8" s="35"/>
      <c r="M8" t="s">
        <v>22</v>
      </c>
    </row>
    <row r="9" spans="1:13" x14ac:dyDescent="0.25">
      <c r="B9" t="s">
        <v>4</v>
      </c>
      <c r="C9" s="53">
        <f t="shared" si="0"/>
        <v>0</v>
      </c>
      <c r="I9" s="11">
        <f>'IOF 1'!I9</f>
        <v>0</v>
      </c>
      <c r="K9" s="35"/>
    </row>
    <row r="10" spans="1:13" x14ac:dyDescent="0.25">
      <c r="B10" t="s">
        <v>117</v>
      </c>
      <c r="C10" s="22">
        <f t="shared" si="0"/>
        <v>2025.6999999999998</v>
      </c>
      <c r="I10" s="22">
        <f>SUM('IOF 1'!I10,'IOF 1'!I17,'IOF 1'!I18)</f>
        <v>2025.6999999999998</v>
      </c>
      <c r="J10" s="38">
        <f>IF(I5&gt;I9,I5-I9,0)</f>
        <v>0</v>
      </c>
      <c r="K10" s="35"/>
      <c r="M10" t="s">
        <v>125</v>
      </c>
    </row>
    <row r="11" spans="1:13" x14ac:dyDescent="0.25">
      <c r="B11" t="s">
        <v>6</v>
      </c>
      <c r="C11" s="24">
        <f t="shared" si="0"/>
        <v>7.9500000000000001E-2</v>
      </c>
      <c r="I11" s="24">
        <f>'IOF 1'!I11</f>
        <v>7.9500000000000001E-2</v>
      </c>
      <c r="K11" s="35"/>
    </row>
    <row r="12" spans="1:13" x14ac:dyDescent="0.25">
      <c r="B12" t="s">
        <v>7</v>
      </c>
      <c r="C12" s="11">
        <f t="shared" si="0"/>
        <v>8</v>
      </c>
      <c r="I12" s="11">
        <f>'IOF 1'!I12</f>
        <v>8</v>
      </c>
      <c r="K12" s="35"/>
    </row>
    <row r="13" spans="1:13" x14ac:dyDescent="0.25">
      <c r="B13" t="s">
        <v>118</v>
      </c>
      <c r="C13" s="16">
        <f t="shared" si="0"/>
        <v>46255</v>
      </c>
      <c r="I13" s="16">
        <f>'IOF 1'!I13</f>
        <v>46255</v>
      </c>
      <c r="K13" s="35"/>
    </row>
    <row r="14" spans="1:13" x14ac:dyDescent="0.25">
      <c r="B14" t="s">
        <v>90</v>
      </c>
      <c r="C14" s="16">
        <f t="shared" si="0"/>
        <v>46286</v>
      </c>
      <c r="I14" s="16">
        <f>'IOF 1'!I14</f>
        <v>46286</v>
      </c>
      <c r="K14" s="35"/>
    </row>
    <row r="15" spans="1:13" x14ac:dyDescent="0.25">
      <c r="B15" t="s">
        <v>119</v>
      </c>
      <c r="C15" s="16">
        <f t="shared" si="0"/>
        <v>46286</v>
      </c>
      <c r="I15" s="16">
        <f>'IOF 1'!I15</f>
        <v>46286</v>
      </c>
      <c r="K15" s="35"/>
      <c r="L15">
        <v>1</v>
      </c>
    </row>
    <row r="16" spans="1:13" x14ac:dyDescent="0.25">
      <c r="B16" t="s">
        <v>120</v>
      </c>
      <c r="C16" s="16">
        <f t="shared" si="0"/>
        <v>46467</v>
      </c>
      <c r="I16" s="16">
        <f>'IOF 1'!I16</f>
        <v>46467</v>
      </c>
      <c r="J16" t="s">
        <v>123</v>
      </c>
      <c r="K16" s="35"/>
      <c r="M16" s="47">
        <v>9155.4042399999998</v>
      </c>
    </row>
    <row r="17" spans="1:14" x14ac:dyDescent="0.25">
      <c r="B17" t="s">
        <v>12</v>
      </c>
      <c r="C17" s="22">
        <f>SUM(L25:L96)</f>
        <v>18.34</v>
      </c>
      <c r="I17" s="22">
        <f>C17</f>
        <v>18.34</v>
      </c>
      <c r="J17" s="2">
        <v>2.4599999999999999E-3</v>
      </c>
      <c r="K17" s="35"/>
    </row>
    <row r="18" spans="1:14" x14ac:dyDescent="0.25">
      <c r="B18" t="s">
        <v>13</v>
      </c>
      <c r="C18" s="22">
        <f>IF(Auxiliares!$B$8=1,ROUND((I10-J10)*J18,2),
IF(Auxiliares!$B$8=2,ROUND((I10-J10)*J18,2),999))</f>
        <v>7.7</v>
      </c>
      <c r="I18" s="22">
        <f>C18</f>
        <v>7.7</v>
      </c>
      <c r="J18" s="2">
        <v>3.8E-3</v>
      </c>
      <c r="K18" s="35"/>
    </row>
    <row r="19" spans="1:14" x14ac:dyDescent="0.25">
      <c r="K19" s="35"/>
    </row>
    <row r="20" spans="1:14" x14ac:dyDescent="0.25">
      <c r="K20" s="35"/>
      <c r="M20">
        <v>8.3000000000000007</v>
      </c>
      <c r="N20">
        <f>M20*J18</f>
        <v>3.1540000000000006E-2</v>
      </c>
    </row>
    <row r="21" spans="1:14" x14ac:dyDescent="0.25">
      <c r="K21" s="35"/>
    </row>
    <row r="22" spans="1:14" x14ac:dyDescent="0.25">
      <c r="K22" s="35"/>
    </row>
    <row r="23" spans="1:14" s="18" customFormat="1" ht="18.75" x14ac:dyDescent="0.3">
      <c r="A23" s="49" t="s">
        <v>7</v>
      </c>
      <c r="B23" s="49" t="s">
        <v>46</v>
      </c>
      <c r="C23" s="49" t="s">
        <v>47</v>
      </c>
      <c r="D23" s="49" t="s">
        <v>48</v>
      </c>
      <c r="E23" s="49" t="s">
        <v>49</v>
      </c>
      <c r="F23" s="49" t="s">
        <v>50</v>
      </c>
      <c r="G23" s="49" t="s">
        <v>51</v>
      </c>
      <c r="H23" s="49" t="s">
        <v>52</v>
      </c>
      <c r="I23" s="49" t="s">
        <v>53</v>
      </c>
      <c r="J23" s="49"/>
      <c r="K23" s="50" t="s">
        <v>54</v>
      </c>
      <c r="L23" s="49" t="s">
        <v>55</v>
      </c>
    </row>
    <row r="24" spans="1:14" x14ac:dyDescent="0.25">
      <c r="A24">
        <f>'IOF 1'!A24</f>
        <v>0</v>
      </c>
      <c r="B24" s="19">
        <f>'IOF 1'!B24</f>
        <v>46255</v>
      </c>
      <c r="C24" s="29">
        <f>C10</f>
        <v>2025.6999999999998</v>
      </c>
      <c r="D24" s="29"/>
      <c r="E24" s="29">
        <f>C24</f>
        <v>2025.6999999999998</v>
      </c>
      <c r="F24" s="29"/>
      <c r="G24" s="29"/>
      <c r="H24" s="29"/>
      <c r="I24" s="29"/>
      <c r="J24" s="46"/>
      <c r="K24" s="38"/>
      <c r="L24" s="29"/>
    </row>
    <row r="25" spans="1:14" x14ac:dyDescent="0.25">
      <c r="A25">
        <f>'IOF 1'!A25</f>
        <v>1</v>
      </c>
      <c r="B25" s="19">
        <f>'IOF 1'!B25</f>
        <v>46255</v>
      </c>
      <c r="C25" s="29">
        <f>C24+G25-I25</f>
        <v>1698.36</v>
      </c>
      <c r="D25" s="29">
        <f>C25-E25</f>
        <v>0</v>
      </c>
      <c r="E25" s="29">
        <f>MIN($C$24,C25,E24)</f>
        <v>1698.36</v>
      </c>
      <c r="F25" s="29">
        <f>E24-E25</f>
        <v>327.33999999999992</v>
      </c>
      <c r="G25" s="29">
        <f>IF(A25="",0,ROUND(((((1+$C$11)^((B25-B24)/30)-1)*C24)),2))</f>
        <v>0</v>
      </c>
      <c r="H25" s="29">
        <f>MIN(I25-F25,I25)</f>
        <v>5.6843418860808015E-14</v>
      </c>
      <c r="I25" s="29">
        <f t="shared" ref="I25:I56" si="1">IF(A25="",0,ROUND($C$24/$J$98,2))</f>
        <v>327.33999999999997</v>
      </c>
      <c r="J25" s="46">
        <f>IF(A25="",0,ROUND(1/((1+$C$11)^((B25-$B$24)/30)),8))</f>
        <v>1</v>
      </c>
      <c r="K25">
        <f>IFERROR(B25-B24,0)</f>
        <v>0</v>
      </c>
      <c r="L25" s="23">
        <f>IFERROR(ROUND(F25*$J$17/30*MIN(365,(B25-$B$24)),2),0)</f>
        <v>0</v>
      </c>
    </row>
    <row r="26" spans="1:14" x14ac:dyDescent="0.25">
      <c r="A26">
        <f>'IOF 1'!A26</f>
        <v>2</v>
      </c>
      <c r="B26" s="19">
        <f>'IOF 1'!B26</f>
        <v>46286</v>
      </c>
      <c r="C26" s="29">
        <f t="shared" ref="C26:C89" si="2">C25+G26-I26</f>
        <v>1510.72</v>
      </c>
      <c r="D26" s="29">
        <f t="shared" ref="D26:D89" si="3">C26-E26</f>
        <v>0</v>
      </c>
      <c r="E26" s="29">
        <f t="shared" ref="E26:E89" si="4">MIN($C$24,C26,E25)</f>
        <v>1510.72</v>
      </c>
      <c r="F26" s="29">
        <f t="shared" ref="F26:F89" si="5">E25-E26</f>
        <v>187.63999999999987</v>
      </c>
      <c r="G26" s="29">
        <f t="shared" ref="G26:G89" si="6">IF(A26="",0,ROUND(((((1+$C$11)^((B26-B25)/30)-1)*C25)),2))</f>
        <v>139.69999999999999</v>
      </c>
      <c r="H26" s="29">
        <f t="shared" ref="H26:H89" si="7">MIN(I26-F26,I26)</f>
        <v>139.7000000000001</v>
      </c>
      <c r="I26" s="29">
        <f t="shared" si="1"/>
        <v>327.33999999999997</v>
      </c>
      <c r="J26" s="46">
        <f t="shared" ref="J26:J89" si="8">IF(A26="",0,ROUND(1/((1+$C$11)^((B26-$B$24)/30)),8))</f>
        <v>0.92399566</v>
      </c>
      <c r="K26">
        <f t="shared" ref="K26:K89" si="9">IFERROR(B26-B25,0)</f>
        <v>31</v>
      </c>
      <c r="L26" s="23">
        <f t="shared" ref="L26:L89" si="10">IFERROR(ROUND(F26*$J$17/30*MIN(365,(B26-$B$24)),2),0)</f>
        <v>0.48</v>
      </c>
    </row>
    <row r="27" spans="1:14" x14ac:dyDescent="0.25">
      <c r="A27">
        <f>'IOF 1'!A27</f>
        <v>3</v>
      </c>
      <c r="B27" s="19">
        <f>'IOF 1'!B27</f>
        <v>46316</v>
      </c>
      <c r="C27" s="29">
        <f t="shared" si="2"/>
        <v>1303.48</v>
      </c>
      <c r="D27" s="29">
        <f t="shared" si="3"/>
        <v>0</v>
      </c>
      <c r="E27" s="29">
        <f t="shared" si="4"/>
        <v>1303.48</v>
      </c>
      <c r="F27" s="29">
        <f t="shared" si="5"/>
        <v>207.24</v>
      </c>
      <c r="G27" s="29">
        <f t="shared" si="6"/>
        <v>120.1</v>
      </c>
      <c r="H27" s="29">
        <f t="shared" si="7"/>
        <v>120.09999999999997</v>
      </c>
      <c r="I27" s="29">
        <f t="shared" si="1"/>
        <v>327.33999999999997</v>
      </c>
      <c r="J27" s="46">
        <f t="shared" si="8"/>
        <v>0.85594780999999998</v>
      </c>
      <c r="K27">
        <f t="shared" si="9"/>
        <v>30</v>
      </c>
      <c r="L27" s="23">
        <f t="shared" si="10"/>
        <v>1.04</v>
      </c>
    </row>
    <row r="28" spans="1:14" x14ac:dyDescent="0.25">
      <c r="A28">
        <f>'IOF 1'!A28</f>
        <v>4</v>
      </c>
      <c r="B28" s="19">
        <f>'IOF 1'!B28</f>
        <v>46347</v>
      </c>
      <c r="C28" s="29">
        <f t="shared" si="2"/>
        <v>1083.3600000000001</v>
      </c>
      <c r="D28" s="29">
        <f t="shared" si="3"/>
        <v>0</v>
      </c>
      <c r="E28" s="29">
        <f t="shared" si="4"/>
        <v>1083.3600000000001</v>
      </c>
      <c r="F28" s="29">
        <f t="shared" si="5"/>
        <v>220.11999999999989</v>
      </c>
      <c r="G28" s="29">
        <f t="shared" si="6"/>
        <v>107.22</v>
      </c>
      <c r="H28" s="29">
        <f t="shared" si="7"/>
        <v>107.22000000000008</v>
      </c>
      <c r="I28" s="29">
        <f t="shared" si="1"/>
        <v>327.33999999999997</v>
      </c>
      <c r="J28" s="46">
        <f t="shared" si="8"/>
        <v>0.79089206000000001</v>
      </c>
      <c r="K28">
        <f t="shared" si="9"/>
        <v>31</v>
      </c>
      <c r="L28" s="23">
        <f t="shared" si="10"/>
        <v>1.66</v>
      </c>
    </row>
    <row r="29" spans="1:14" x14ac:dyDescent="0.25">
      <c r="A29">
        <f>'IOF 1'!A29</f>
        <v>5</v>
      </c>
      <c r="B29" s="19">
        <f>'IOF 1'!B29</f>
        <v>46377</v>
      </c>
      <c r="C29" s="29">
        <f t="shared" si="2"/>
        <v>842.15000000000032</v>
      </c>
      <c r="D29" s="29">
        <f t="shared" si="3"/>
        <v>0</v>
      </c>
      <c r="E29" s="29">
        <f t="shared" si="4"/>
        <v>842.15000000000032</v>
      </c>
      <c r="F29" s="29">
        <f t="shared" si="5"/>
        <v>241.20999999999981</v>
      </c>
      <c r="G29" s="29">
        <f t="shared" si="6"/>
        <v>86.13</v>
      </c>
      <c r="H29" s="29">
        <f t="shared" si="7"/>
        <v>86.130000000000166</v>
      </c>
      <c r="I29" s="29">
        <f t="shared" si="1"/>
        <v>327.33999999999997</v>
      </c>
      <c r="J29" s="46">
        <f t="shared" si="8"/>
        <v>0.73264664999999995</v>
      </c>
      <c r="K29">
        <f t="shared" si="9"/>
        <v>30</v>
      </c>
      <c r="L29" s="23">
        <f t="shared" si="10"/>
        <v>2.41</v>
      </c>
    </row>
    <row r="30" spans="1:14" x14ac:dyDescent="0.25">
      <c r="A30">
        <f>'IOF 1'!A30</f>
        <v>6</v>
      </c>
      <c r="B30" s="19">
        <f>'IOF 1'!B30</f>
        <v>46408</v>
      </c>
      <c r="C30" s="29">
        <f t="shared" si="2"/>
        <v>584.08000000000038</v>
      </c>
      <c r="D30" s="29">
        <f t="shared" si="3"/>
        <v>0</v>
      </c>
      <c r="E30" s="29">
        <f t="shared" si="4"/>
        <v>584.08000000000038</v>
      </c>
      <c r="F30" s="29">
        <f t="shared" si="5"/>
        <v>258.06999999999994</v>
      </c>
      <c r="G30" s="29">
        <f t="shared" si="6"/>
        <v>69.27</v>
      </c>
      <c r="H30" s="29">
        <f t="shared" si="7"/>
        <v>69.270000000000039</v>
      </c>
      <c r="I30" s="29">
        <f t="shared" si="1"/>
        <v>327.33999999999997</v>
      </c>
      <c r="J30" s="46">
        <f t="shared" si="8"/>
        <v>0.67696232999999995</v>
      </c>
      <c r="K30">
        <f t="shared" si="9"/>
        <v>31</v>
      </c>
      <c r="L30" s="23">
        <f t="shared" si="10"/>
        <v>3.24</v>
      </c>
    </row>
    <row r="31" spans="1:14" x14ac:dyDescent="0.25">
      <c r="A31">
        <f>'IOF 1'!A31</f>
        <v>7</v>
      </c>
      <c r="B31" s="19">
        <f>'IOF 1'!B31</f>
        <v>46439</v>
      </c>
      <c r="C31" s="29">
        <f t="shared" si="2"/>
        <v>304.78000000000037</v>
      </c>
      <c r="D31" s="29">
        <f t="shared" si="3"/>
        <v>0</v>
      </c>
      <c r="E31" s="29">
        <f t="shared" si="4"/>
        <v>304.78000000000037</v>
      </c>
      <c r="F31" s="29">
        <f t="shared" si="5"/>
        <v>279.3</v>
      </c>
      <c r="G31" s="29">
        <f t="shared" si="6"/>
        <v>48.04</v>
      </c>
      <c r="H31" s="29">
        <f t="shared" si="7"/>
        <v>48.039999999999964</v>
      </c>
      <c r="I31" s="29">
        <f t="shared" si="1"/>
        <v>327.33999999999997</v>
      </c>
      <c r="J31" s="46">
        <f t="shared" si="8"/>
        <v>0.62551025000000005</v>
      </c>
      <c r="K31">
        <f t="shared" si="9"/>
        <v>31</v>
      </c>
      <c r="L31" s="23">
        <f t="shared" si="10"/>
        <v>4.21</v>
      </c>
    </row>
    <row r="32" spans="1:14" x14ac:dyDescent="0.25">
      <c r="A32">
        <f>'IOF 1'!A32</f>
        <v>8</v>
      </c>
      <c r="B32" s="19">
        <f>'IOF 1'!B32</f>
        <v>46467</v>
      </c>
      <c r="C32" s="29">
        <f t="shared" si="2"/>
        <v>0</v>
      </c>
      <c r="D32" s="29">
        <f t="shared" si="3"/>
        <v>0</v>
      </c>
      <c r="E32" s="29">
        <f t="shared" si="4"/>
        <v>0</v>
      </c>
      <c r="F32" s="29">
        <f t="shared" si="5"/>
        <v>304.78000000000037</v>
      </c>
      <c r="G32" s="29">
        <f t="shared" si="6"/>
        <v>22.56</v>
      </c>
      <c r="H32" s="29">
        <f t="shared" si="7"/>
        <v>22.559999999999604</v>
      </c>
      <c r="I32" s="29">
        <f t="shared" si="1"/>
        <v>327.33999999999997</v>
      </c>
      <c r="J32" s="46">
        <f t="shared" si="8"/>
        <v>0.58240705999999998</v>
      </c>
      <c r="K32">
        <f t="shared" si="9"/>
        <v>28</v>
      </c>
      <c r="L32" s="23">
        <f t="shared" si="10"/>
        <v>5.3</v>
      </c>
    </row>
    <row r="33" spans="1:12" x14ac:dyDescent="0.25">
      <c r="A33" t="str">
        <f>'IOF 1'!A33</f>
        <v/>
      </c>
      <c r="B33" s="19" t="str">
        <f>'IOF 1'!B33</f>
        <v/>
      </c>
      <c r="C33" s="29">
        <f t="shared" si="2"/>
        <v>0</v>
      </c>
      <c r="D33" s="29">
        <f t="shared" si="3"/>
        <v>0</v>
      </c>
      <c r="E33" s="29">
        <f t="shared" si="4"/>
        <v>0</v>
      </c>
      <c r="F33" s="29">
        <f t="shared" si="5"/>
        <v>0</v>
      </c>
      <c r="G33" s="29">
        <f t="shared" si="6"/>
        <v>0</v>
      </c>
      <c r="H33" s="29">
        <f t="shared" si="7"/>
        <v>0</v>
      </c>
      <c r="I33" s="29">
        <f t="shared" si="1"/>
        <v>0</v>
      </c>
      <c r="J33" s="46">
        <f t="shared" si="8"/>
        <v>0</v>
      </c>
      <c r="K33">
        <f t="shared" si="9"/>
        <v>0</v>
      </c>
      <c r="L33" s="23">
        <f t="shared" si="10"/>
        <v>0</v>
      </c>
    </row>
    <row r="34" spans="1:12" x14ac:dyDescent="0.25">
      <c r="A34" t="str">
        <f>'IOF 1'!A34</f>
        <v/>
      </c>
      <c r="B34" s="19" t="str">
        <f>'IOF 1'!B34</f>
        <v/>
      </c>
      <c r="C34" s="29">
        <f t="shared" si="2"/>
        <v>0</v>
      </c>
      <c r="D34" s="29">
        <f t="shared" si="3"/>
        <v>0</v>
      </c>
      <c r="E34" s="29">
        <f t="shared" si="4"/>
        <v>0</v>
      </c>
      <c r="F34" s="29">
        <f t="shared" si="5"/>
        <v>0</v>
      </c>
      <c r="G34" s="29">
        <f t="shared" si="6"/>
        <v>0</v>
      </c>
      <c r="H34" s="29">
        <f t="shared" si="7"/>
        <v>0</v>
      </c>
      <c r="I34" s="29">
        <f t="shared" si="1"/>
        <v>0</v>
      </c>
      <c r="J34" s="46">
        <f t="shared" si="8"/>
        <v>0</v>
      </c>
      <c r="K34">
        <f t="shared" si="9"/>
        <v>0</v>
      </c>
      <c r="L34" s="23">
        <f t="shared" si="10"/>
        <v>0</v>
      </c>
    </row>
    <row r="35" spans="1:12" x14ac:dyDescent="0.25">
      <c r="A35" t="str">
        <f>'IOF 1'!A35</f>
        <v/>
      </c>
      <c r="B35" s="19" t="str">
        <f>'IOF 1'!B35</f>
        <v/>
      </c>
      <c r="C35" s="29">
        <f t="shared" si="2"/>
        <v>0</v>
      </c>
      <c r="D35" s="29">
        <f t="shared" si="3"/>
        <v>0</v>
      </c>
      <c r="E35" s="29">
        <f t="shared" si="4"/>
        <v>0</v>
      </c>
      <c r="F35" s="29">
        <f t="shared" si="5"/>
        <v>0</v>
      </c>
      <c r="G35" s="29">
        <f t="shared" si="6"/>
        <v>0</v>
      </c>
      <c r="H35" s="29">
        <f t="shared" si="7"/>
        <v>0</v>
      </c>
      <c r="I35" s="29">
        <f t="shared" si="1"/>
        <v>0</v>
      </c>
      <c r="J35">
        <f t="shared" si="8"/>
        <v>0</v>
      </c>
      <c r="K35">
        <f t="shared" si="9"/>
        <v>0</v>
      </c>
      <c r="L35" s="23">
        <f t="shared" si="10"/>
        <v>0</v>
      </c>
    </row>
    <row r="36" spans="1:12" x14ac:dyDescent="0.25">
      <c r="A36" t="str">
        <f>'IOF 1'!A36</f>
        <v/>
      </c>
      <c r="B36" s="19" t="str">
        <f>'IOF 1'!B36</f>
        <v/>
      </c>
      <c r="C36" s="29">
        <f t="shared" si="2"/>
        <v>0</v>
      </c>
      <c r="D36" s="29">
        <f t="shared" si="3"/>
        <v>0</v>
      </c>
      <c r="E36" s="29">
        <f t="shared" si="4"/>
        <v>0</v>
      </c>
      <c r="F36" s="29">
        <f t="shared" si="5"/>
        <v>0</v>
      </c>
      <c r="G36" s="29">
        <f t="shared" si="6"/>
        <v>0</v>
      </c>
      <c r="H36" s="29">
        <f t="shared" si="7"/>
        <v>0</v>
      </c>
      <c r="I36" s="29">
        <f t="shared" si="1"/>
        <v>0</v>
      </c>
      <c r="J36">
        <f t="shared" si="8"/>
        <v>0</v>
      </c>
      <c r="K36">
        <f t="shared" si="9"/>
        <v>0</v>
      </c>
      <c r="L36" s="23">
        <f t="shared" si="10"/>
        <v>0</v>
      </c>
    </row>
    <row r="37" spans="1:12" x14ac:dyDescent="0.25">
      <c r="A37" t="str">
        <f>'IOF 1'!A37</f>
        <v/>
      </c>
      <c r="B37" s="19" t="str">
        <f>'IOF 1'!B37</f>
        <v/>
      </c>
      <c r="C37" s="29">
        <f t="shared" si="2"/>
        <v>0</v>
      </c>
      <c r="D37" s="29">
        <f t="shared" si="3"/>
        <v>0</v>
      </c>
      <c r="E37" s="29">
        <f t="shared" si="4"/>
        <v>0</v>
      </c>
      <c r="F37" s="29">
        <f t="shared" si="5"/>
        <v>0</v>
      </c>
      <c r="G37" s="29">
        <f t="shared" si="6"/>
        <v>0</v>
      </c>
      <c r="H37" s="29">
        <f t="shared" si="7"/>
        <v>0</v>
      </c>
      <c r="I37" s="29">
        <f t="shared" si="1"/>
        <v>0</v>
      </c>
      <c r="J37">
        <f t="shared" si="8"/>
        <v>0</v>
      </c>
      <c r="K37">
        <f t="shared" si="9"/>
        <v>0</v>
      </c>
      <c r="L37" s="23">
        <f t="shared" si="10"/>
        <v>0</v>
      </c>
    </row>
    <row r="38" spans="1:12" x14ac:dyDescent="0.25">
      <c r="A38" t="str">
        <f>'IOF 1'!A38</f>
        <v/>
      </c>
      <c r="B38" s="19" t="str">
        <f>'IOF 1'!B38</f>
        <v/>
      </c>
      <c r="C38" s="29">
        <f t="shared" si="2"/>
        <v>0</v>
      </c>
      <c r="D38" s="29">
        <f t="shared" si="3"/>
        <v>0</v>
      </c>
      <c r="E38" s="29">
        <f t="shared" si="4"/>
        <v>0</v>
      </c>
      <c r="F38" s="29">
        <f t="shared" si="5"/>
        <v>0</v>
      </c>
      <c r="G38" s="29">
        <f t="shared" si="6"/>
        <v>0</v>
      </c>
      <c r="H38" s="29">
        <f t="shared" si="7"/>
        <v>0</v>
      </c>
      <c r="I38" s="29">
        <f t="shared" si="1"/>
        <v>0</v>
      </c>
      <c r="J38">
        <f t="shared" si="8"/>
        <v>0</v>
      </c>
      <c r="K38">
        <f t="shared" si="9"/>
        <v>0</v>
      </c>
      <c r="L38" s="23">
        <f t="shared" si="10"/>
        <v>0</v>
      </c>
    </row>
    <row r="39" spans="1:12" x14ac:dyDescent="0.25">
      <c r="A39" t="str">
        <f>'IOF 1'!A39</f>
        <v/>
      </c>
      <c r="B39" s="19" t="str">
        <f>'IOF 1'!B39</f>
        <v/>
      </c>
      <c r="C39" s="29">
        <f t="shared" si="2"/>
        <v>0</v>
      </c>
      <c r="D39" s="29">
        <f t="shared" si="3"/>
        <v>0</v>
      </c>
      <c r="E39" s="29">
        <f t="shared" si="4"/>
        <v>0</v>
      </c>
      <c r="F39" s="29">
        <f t="shared" si="5"/>
        <v>0</v>
      </c>
      <c r="G39" s="29">
        <f t="shared" si="6"/>
        <v>0</v>
      </c>
      <c r="H39" s="29">
        <f t="shared" si="7"/>
        <v>0</v>
      </c>
      <c r="I39" s="29">
        <f t="shared" si="1"/>
        <v>0</v>
      </c>
      <c r="J39">
        <f t="shared" si="8"/>
        <v>0</v>
      </c>
      <c r="K39">
        <f t="shared" si="9"/>
        <v>0</v>
      </c>
      <c r="L39" s="23">
        <f t="shared" si="10"/>
        <v>0</v>
      </c>
    </row>
    <row r="40" spans="1:12" x14ac:dyDescent="0.25">
      <c r="A40" t="str">
        <f>'IOF 1'!A40</f>
        <v/>
      </c>
      <c r="B40" s="19" t="str">
        <f>'IOF 1'!B40</f>
        <v/>
      </c>
      <c r="C40" s="29">
        <f t="shared" si="2"/>
        <v>0</v>
      </c>
      <c r="D40" s="29">
        <f t="shared" si="3"/>
        <v>0</v>
      </c>
      <c r="E40" s="29">
        <f t="shared" si="4"/>
        <v>0</v>
      </c>
      <c r="F40" s="29">
        <f t="shared" si="5"/>
        <v>0</v>
      </c>
      <c r="G40" s="29">
        <f t="shared" si="6"/>
        <v>0</v>
      </c>
      <c r="H40" s="29">
        <f t="shared" si="7"/>
        <v>0</v>
      </c>
      <c r="I40" s="29">
        <f t="shared" si="1"/>
        <v>0</v>
      </c>
      <c r="J40">
        <f t="shared" si="8"/>
        <v>0</v>
      </c>
      <c r="K40">
        <f t="shared" si="9"/>
        <v>0</v>
      </c>
      <c r="L40" s="23">
        <f t="shared" si="10"/>
        <v>0</v>
      </c>
    </row>
    <row r="41" spans="1:12" x14ac:dyDescent="0.25">
      <c r="A41" t="str">
        <f>'IOF 1'!A41</f>
        <v/>
      </c>
      <c r="B41" s="19" t="str">
        <f>'IOF 1'!B41</f>
        <v/>
      </c>
      <c r="C41" s="29">
        <f t="shared" si="2"/>
        <v>0</v>
      </c>
      <c r="D41" s="29">
        <f t="shared" si="3"/>
        <v>0</v>
      </c>
      <c r="E41" s="29">
        <f t="shared" si="4"/>
        <v>0</v>
      </c>
      <c r="F41" s="29">
        <f t="shared" si="5"/>
        <v>0</v>
      </c>
      <c r="G41" s="29">
        <f t="shared" si="6"/>
        <v>0</v>
      </c>
      <c r="H41" s="29">
        <f t="shared" si="7"/>
        <v>0</v>
      </c>
      <c r="I41" s="29">
        <f t="shared" si="1"/>
        <v>0</v>
      </c>
      <c r="J41">
        <f t="shared" si="8"/>
        <v>0</v>
      </c>
      <c r="K41">
        <f t="shared" si="9"/>
        <v>0</v>
      </c>
      <c r="L41" s="23">
        <f t="shared" si="10"/>
        <v>0</v>
      </c>
    </row>
    <row r="42" spans="1:12" x14ac:dyDescent="0.25">
      <c r="A42" t="str">
        <f>'IOF 1'!A42</f>
        <v/>
      </c>
      <c r="B42" s="19" t="str">
        <f>'IOF 1'!B42</f>
        <v/>
      </c>
      <c r="C42" s="29">
        <f t="shared" si="2"/>
        <v>0</v>
      </c>
      <c r="D42" s="29">
        <f t="shared" si="3"/>
        <v>0</v>
      </c>
      <c r="E42" s="29">
        <f t="shared" si="4"/>
        <v>0</v>
      </c>
      <c r="F42" s="29">
        <f t="shared" si="5"/>
        <v>0</v>
      </c>
      <c r="G42" s="29">
        <f t="shared" si="6"/>
        <v>0</v>
      </c>
      <c r="H42" s="29">
        <f t="shared" si="7"/>
        <v>0</v>
      </c>
      <c r="I42" s="29">
        <f t="shared" si="1"/>
        <v>0</v>
      </c>
      <c r="J42">
        <f t="shared" si="8"/>
        <v>0</v>
      </c>
      <c r="K42">
        <f t="shared" si="9"/>
        <v>0</v>
      </c>
      <c r="L42" s="23">
        <f t="shared" si="10"/>
        <v>0</v>
      </c>
    </row>
    <row r="43" spans="1:12" x14ac:dyDescent="0.25">
      <c r="A43" t="str">
        <f>'IOF 1'!A43</f>
        <v/>
      </c>
      <c r="B43" s="19" t="str">
        <f>'IOF 1'!B43</f>
        <v/>
      </c>
      <c r="C43" s="29">
        <f t="shared" si="2"/>
        <v>0</v>
      </c>
      <c r="D43" s="29">
        <f t="shared" si="3"/>
        <v>0</v>
      </c>
      <c r="E43" s="29">
        <f t="shared" si="4"/>
        <v>0</v>
      </c>
      <c r="F43" s="29">
        <f t="shared" si="5"/>
        <v>0</v>
      </c>
      <c r="G43" s="29">
        <f t="shared" si="6"/>
        <v>0</v>
      </c>
      <c r="H43" s="29">
        <f t="shared" si="7"/>
        <v>0</v>
      </c>
      <c r="I43" s="29">
        <f t="shared" si="1"/>
        <v>0</v>
      </c>
      <c r="J43">
        <f t="shared" si="8"/>
        <v>0</v>
      </c>
      <c r="K43">
        <f t="shared" si="9"/>
        <v>0</v>
      </c>
      <c r="L43" s="23">
        <f t="shared" si="10"/>
        <v>0</v>
      </c>
    </row>
    <row r="44" spans="1:12" x14ac:dyDescent="0.25">
      <c r="A44" t="str">
        <f>'IOF 1'!A44</f>
        <v/>
      </c>
      <c r="B44" s="19" t="str">
        <f>'IOF 1'!B44</f>
        <v/>
      </c>
      <c r="C44" s="29">
        <f t="shared" si="2"/>
        <v>0</v>
      </c>
      <c r="D44" s="29">
        <f t="shared" si="3"/>
        <v>0</v>
      </c>
      <c r="E44" s="29">
        <f t="shared" si="4"/>
        <v>0</v>
      </c>
      <c r="F44" s="29">
        <f t="shared" si="5"/>
        <v>0</v>
      </c>
      <c r="G44" s="29">
        <f t="shared" si="6"/>
        <v>0</v>
      </c>
      <c r="H44" s="29">
        <f t="shared" si="7"/>
        <v>0</v>
      </c>
      <c r="I44" s="29">
        <f t="shared" si="1"/>
        <v>0</v>
      </c>
      <c r="J44">
        <f t="shared" si="8"/>
        <v>0</v>
      </c>
      <c r="K44">
        <f t="shared" si="9"/>
        <v>0</v>
      </c>
      <c r="L44" s="23">
        <f t="shared" si="10"/>
        <v>0</v>
      </c>
    </row>
    <row r="45" spans="1:12" x14ac:dyDescent="0.25">
      <c r="A45" t="str">
        <f>'IOF 1'!A45</f>
        <v/>
      </c>
      <c r="B45" s="19" t="str">
        <f>'IOF 1'!B45</f>
        <v/>
      </c>
      <c r="C45" s="29">
        <f t="shared" si="2"/>
        <v>0</v>
      </c>
      <c r="D45" s="29">
        <f t="shared" si="3"/>
        <v>0</v>
      </c>
      <c r="E45" s="29">
        <f t="shared" si="4"/>
        <v>0</v>
      </c>
      <c r="F45" s="29">
        <f t="shared" si="5"/>
        <v>0</v>
      </c>
      <c r="G45" s="29">
        <f t="shared" si="6"/>
        <v>0</v>
      </c>
      <c r="H45" s="29">
        <f t="shared" si="7"/>
        <v>0</v>
      </c>
      <c r="I45" s="29">
        <f t="shared" si="1"/>
        <v>0</v>
      </c>
      <c r="J45">
        <f t="shared" si="8"/>
        <v>0</v>
      </c>
      <c r="K45">
        <f t="shared" si="9"/>
        <v>0</v>
      </c>
      <c r="L45" s="23">
        <f t="shared" si="10"/>
        <v>0</v>
      </c>
    </row>
    <row r="46" spans="1:12" x14ac:dyDescent="0.25">
      <c r="A46" t="str">
        <f>'IOF 1'!A46</f>
        <v/>
      </c>
      <c r="B46" s="19" t="str">
        <f>'IOF 1'!B46</f>
        <v/>
      </c>
      <c r="C46" s="29">
        <f t="shared" si="2"/>
        <v>0</v>
      </c>
      <c r="D46" s="29">
        <f t="shared" si="3"/>
        <v>0</v>
      </c>
      <c r="E46" s="29">
        <f t="shared" si="4"/>
        <v>0</v>
      </c>
      <c r="F46" s="29">
        <f t="shared" si="5"/>
        <v>0</v>
      </c>
      <c r="G46" s="29">
        <f t="shared" si="6"/>
        <v>0</v>
      </c>
      <c r="H46" s="29">
        <f t="shared" si="7"/>
        <v>0</v>
      </c>
      <c r="I46" s="29">
        <f t="shared" si="1"/>
        <v>0</v>
      </c>
      <c r="J46">
        <f t="shared" si="8"/>
        <v>0</v>
      </c>
      <c r="K46">
        <f t="shared" si="9"/>
        <v>0</v>
      </c>
      <c r="L46" s="23">
        <f t="shared" si="10"/>
        <v>0</v>
      </c>
    </row>
    <row r="47" spans="1:12" x14ac:dyDescent="0.25">
      <c r="A47" t="str">
        <f>'IOF 1'!A47</f>
        <v/>
      </c>
      <c r="B47" s="19" t="str">
        <f>'IOF 1'!B47</f>
        <v/>
      </c>
      <c r="C47" s="29">
        <f t="shared" si="2"/>
        <v>0</v>
      </c>
      <c r="D47" s="29">
        <f t="shared" si="3"/>
        <v>0</v>
      </c>
      <c r="E47" s="29">
        <f t="shared" si="4"/>
        <v>0</v>
      </c>
      <c r="F47" s="29">
        <f t="shared" si="5"/>
        <v>0</v>
      </c>
      <c r="G47" s="29">
        <f t="shared" si="6"/>
        <v>0</v>
      </c>
      <c r="H47" s="29">
        <f t="shared" si="7"/>
        <v>0</v>
      </c>
      <c r="I47" s="29">
        <f t="shared" si="1"/>
        <v>0</v>
      </c>
      <c r="J47">
        <f t="shared" si="8"/>
        <v>0</v>
      </c>
      <c r="K47">
        <f t="shared" si="9"/>
        <v>0</v>
      </c>
      <c r="L47" s="23">
        <f t="shared" si="10"/>
        <v>0</v>
      </c>
    </row>
    <row r="48" spans="1:12" x14ac:dyDescent="0.25">
      <c r="A48" t="str">
        <f>'IOF 1'!A48</f>
        <v/>
      </c>
      <c r="B48" s="19" t="str">
        <f>'IOF 1'!B48</f>
        <v/>
      </c>
      <c r="C48" s="29">
        <f t="shared" si="2"/>
        <v>0</v>
      </c>
      <c r="D48" s="29">
        <f t="shared" si="3"/>
        <v>0</v>
      </c>
      <c r="E48" s="29">
        <f t="shared" si="4"/>
        <v>0</v>
      </c>
      <c r="F48" s="29">
        <f t="shared" si="5"/>
        <v>0</v>
      </c>
      <c r="G48" s="29">
        <f t="shared" si="6"/>
        <v>0</v>
      </c>
      <c r="H48" s="29">
        <f t="shared" si="7"/>
        <v>0</v>
      </c>
      <c r="I48" s="29">
        <f t="shared" si="1"/>
        <v>0</v>
      </c>
      <c r="J48">
        <f t="shared" si="8"/>
        <v>0</v>
      </c>
      <c r="K48">
        <f t="shared" si="9"/>
        <v>0</v>
      </c>
      <c r="L48" s="23">
        <f t="shared" si="10"/>
        <v>0</v>
      </c>
    </row>
    <row r="49" spans="1:12" x14ac:dyDescent="0.25">
      <c r="A49" t="str">
        <f>'IOF 1'!A49</f>
        <v/>
      </c>
      <c r="B49" s="19" t="str">
        <f>'IOF 1'!B49</f>
        <v/>
      </c>
      <c r="C49" s="29">
        <f t="shared" si="2"/>
        <v>0</v>
      </c>
      <c r="D49" s="29">
        <f t="shared" si="3"/>
        <v>0</v>
      </c>
      <c r="E49" s="29">
        <f t="shared" si="4"/>
        <v>0</v>
      </c>
      <c r="F49" s="29">
        <f t="shared" si="5"/>
        <v>0</v>
      </c>
      <c r="G49" s="29">
        <f t="shared" si="6"/>
        <v>0</v>
      </c>
      <c r="H49" s="29">
        <f t="shared" si="7"/>
        <v>0</v>
      </c>
      <c r="I49" s="29">
        <f t="shared" si="1"/>
        <v>0</v>
      </c>
      <c r="J49">
        <f t="shared" si="8"/>
        <v>0</v>
      </c>
      <c r="K49">
        <f t="shared" si="9"/>
        <v>0</v>
      </c>
      <c r="L49" s="23">
        <f t="shared" si="10"/>
        <v>0</v>
      </c>
    </row>
    <row r="50" spans="1:12" x14ac:dyDescent="0.25">
      <c r="A50" t="str">
        <f>'IOF 1'!A50</f>
        <v/>
      </c>
      <c r="B50" s="19" t="str">
        <f>'IOF 1'!B50</f>
        <v/>
      </c>
      <c r="C50" s="29">
        <f t="shared" si="2"/>
        <v>0</v>
      </c>
      <c r="D50" s="29">
        <f t="shared" si="3"/>
        <v>0</v>
      </c>
      <c r="E50" s="29">
        <f t="shared" si="4"/>
        <v>0</v>
      </c>
      <c r="F50" s="29">
        <f t="shared" si="5"/>
        <v>0</v>
      </c>
      <c r="G50" s="29">
        <f t="shared" si="6"/>
        <v>0</v>
      </c>
      <c r="H50" s="29">
        <f t="shared" si="7"/>
        <v>0</v>
      </c>
      <c r="I50" s="29">
        <f t="shared" si="1"/>
        <v>0</v>
      </c>
      <c r="J50">
        <f t="shared" si="8"/>
        <v>0</v>
      </c>
      <c r="K50">
        <f t="shared" si="9"/>
        <v>0</v>
      </c>
      <c r="L50" s="23">
        <f t="shared" si="10"/>
        <v>0</v>
      </c>
    </row>
    <row r="51" spans="1:12" x14ac:dyDescent="0.25">
      <c r="A51" t="str">
        <f>'IOF 1'!A51</f>
        <v/>
      </c>
      <c r="B51" s="19" t="str">
        <f>'IOF 1'!B51</f>
        <v/>
      </c>
      <c r="C51" s="29">
        <f t="shared" si="2"/>
        <v>0</v>
      </c>
      <c r="D51" s="29">
        <f t="shared" si="3"/>
        <v>0</v>
      </c>
      <c r="E51" s="29">
        <f t="shared" si="4"/>
        <v>0</v>
      </c>
      <c r="F51" s="29">
        <f t="shared" si="5"/>
        <v>0</v>
      </c>
      <c r="G51" s="29">
        <f t="shared" si="6"/>
        <v>0</v>
      </c>
      <c r="H51" s="29">
        <f t="shared" si="7"/>
        <v>0</v>
      </c>
      <c r="I51" s="29">
        <f t="shared" si="1"/>
        <v>0</v>
      </c>
      <c r="J51">
        <f t="shared" si="8"/>
        <v>0</v>
      </c>
      <c r="K51">
        <f t="shared" si="9"/>
        <v>0</v>
      </c>
      <c r="L51" s="23">
        <f t="shared" si="10"/>
        <v>0</v>
      </c>
    </row>
    <row r="52" spans="1:12" x14ac:dyDescent="0.25">
      <c r="A52" t="str">
        <f>'IOF 1'!A52</f>
        <v/>
      </c>
      <c r="B52" s="19" t="str">
        <f>'IOF 1'!B52</f>
        <v/>
      </c>
      <c r="C52" s="29">
        <f t="shared" si="2"/>
        <v>0</v>
      </c>
      <c r="D52" s="29">
        <f t="shared" si="3"/>
        <v>0</v>
      </c>
      <c r="E52" s="29">
        <f t="shared" si="4"/>
        <v>0</v>
      </c>
      <c r="F52" s="29">
        <f t="shared" si="5"/>
        <v>0</v>
      </c>
      <c r="G52" s="29">
        <f t="shared" si="6"/>
        <v>0</v>
      </c>
      <c r="H52" s="29">
        <f t="shared" si="7"/>
        <v>0</v>
      </c>
      <c r="I52" s="29">
        <f t="shared" si="1"/>
        <v>0</v>
      </c>
      <c r="J52">
        <f t="shared" si="8"/>
        <v>0</v>
      </c>
      <c r="K52">
        <f t="shared" si="9"/>
        <v>0</v>
      </c>
      <c r="L52" s="23">
        <f t="shared" si="10"/>
        <v>0</v>
      </c>
    </row>
    <row r="53" spans="1:12" x14ac:dyDescent="0.25">
      <c r="A53" t="str">
        <f>'IOF 1'!A53</f>
        <v/>
      </c>
      <c r="B53" s="19" t="str">
        <f>'IOF 1'!B53</f>
        <v/>
      </c>
      <c r="C53" s="29">
        <f t="shared" si="2"/>
        <v>0</v>
      </c>
      <c r="D53" s="29">
        <f t="shared" si="3"/>
        <v>0</v>
      </c>
      <c r="E53" s="29">
        <f t="shared" si="4"/>
        <v>0</v>
      </c>
      <c r="F53" s="29">
        <f t="shared" si="5"/>
        <v>0</v>
      </c>
      <c r="G53" s="29">
        <f t="shared" si="6"/>
        <v>0</v>
      </c>
      <c r="H53" s="29">
        <f t="shared" si="7"/>
        <v>0</v>
      </c>
      <c r="I53" s="29">
        <f t="shared" si="1"/>
        <v>0</v>
      </c>
      <c r="J53">
        <f t="shared" si="8"/>
        <v>0</v>
      </c>
      <c r="K53">
        <f t="shared" si="9"/>
        <v>0</v>
      </c>
      <c r="L53" s="23">
        <f t="shared" si="10"/>
        <v>0</v>
      </c>
    </row>
    <row r="54" spans="1:12" x14ac:dyDescent="0.25">
      <c r="A54" t="str">
        <f>'IOF 1'!A54</f>
        <v/>
      </c>
      <c r="B54" s="19" t="str">
        <f>'IOF 1'!B54</f>
        <v/>
      </c>
      <c r="C54" s="29">
        <f t="shared" si="2"/>
        <v>0</v>
      </c>
      <c r="D54" s="29">
        <f t="shared" si="3"/>
        <v>0</v>
      </c>
      <c r="E54" s="29">
        <f t="shared" si="4"/>
        <v>0</v>
      </c>
      <c r="F54" s="29">
        <f t="shared" si="5"/>
        <v>0</v>
      </c>
      <c r="G54" s="29">
        <f t="shared" si="6"/>
        <v>0</v>
      </c>
      <c r="H54" s="29">
        <f t="shared" si="7"/>
        <v>0</v>
      </c>
      <c r="I54" s="29">
        <f t="shared" si="1"/>
        <v>0</v>
      </c>
      <c r="J54">
        <f t="shared" si="8"/>
        <v>0</v>
      </c>
      <c r="K54">
        <f t="shared" si="9"/>
        <v>0</v>
      </c>
      <c r="L54" s="23">
        <f t="shared" si="10"/>
        <v>0</v>
      </c>
    </row>
    <row r="55" spans="1:12" x14ac:dyDescent="0.25">
      <c r="A55" t="str">
        <f>'IOF 1'!A55</f>
        <v/>
      </c>
      <c r="B55" s="19" t="str">
        <f>'IOF 1'!B55</f>
        <v/>
      </c>
      <c r="C55" s="29">
        <f t="shared" si="2"/>
        <v>0</v>
      </c>
      <c r="D55" s="29">
        <f t="shared" si="3"/>
        <v>0</v>
      </c>
      <c r="E55" s="29">
        <f t="shared" si="4"/>
        <v>0</v>
      </c>
      <c r="F55" s="29">
        <f t="shared" si="5"/>
        <v>0</v>
      </c>
      <c r="G55" s="29">
        <f t="shared" si="6"/>
        <v>0</v>
      </c>
      <c r="H55" s="29">
        <f t="shared" si="7"/>
        <v>0</v>
      </c>
      <c r="I55" s="29">
        <f t="shared" si="1"/>
        <v>0</v>
      </c>
      <c r="J55">
        <f t="shared" si="8"/>
        <v>0</v>
      </c>
      <c r="K55">
        <f t="shared" si="9"/>
        <v>0</v>
      </c>
      <c r="L55" s="23">
        <f t="shared" si="10"/>
        <v>0</v>
      </c>
    </row>
    <row r="56" spans="1:12" x14ac:dyDescent="0.25">
      <c r="A56" t="str">
        <f>'IOF 1'!A56</f>
        <v/>
      </c>
      <c r="B56" s="19" t="str">
        <f>'IOF 1'!B56</f>
        <v/>
      </c>
      <c r="C56" s="29">
        <f t="shared" si="2"/>
        <v>0</v>
      </c>
      <c r="D56" s="29">
        <f t="shared" si="3"/>
        <v>0</v>
      </c>
      <c r="E56" s="29">
        <f t="shared" si="4"/>
        <v>0</v>
      </c>
      <c r="F56" s="29">
        <f t="shared" si="5"/>
        <v>0</v>
      </c>
      <c r="G56" s="29">
        <f t="shared" si="6"/>
        <v>0</v>
      </c>
      <c r="H56" s="29">
        <f t="shared" si="7"/>
        <v>0</v>
      </c>
      <c r="I56" s="29">
        <f t="shared" si="1"/>
        <v>0</v>
      </c>
      <c r="J56">
        <f t="shared" si="8"/>
        <v>0</v>
      </c>
      <c r="K56">
        <f t="shared" si="9"/>
        <v>0</v>
      </c>
      <c r="L56" s="23">
        <f t="shared" si="10"/>
        <v>0</v>
      </c>
    </row>
    <row r="57" spans="1:12" x14ac:dyDescent="0.25">
      <c r="A57" t="str">
        <f>'IOF 1'!A57</f>
        <v/>
      </c>
      <c r="B57" s="19" t="str">
        <f>'IOF 1'!B57</f>
        <v/>
      </c>
      <c r="C57" s="29">
        <f t="shared" si="2"/>
        <v>0</v>
      </c>
      <c r="D57" s="29">
        <f t="shared" si="3"/>
        <v>0</v>
      </c>
      <c r="E57" s="29">
        <f t="shared" si="4"/>
        <v>0</v>
      </c>
      <c r="F57" s="29">
        <f t="shared" si="5"/>
        <v>0</v>
      </c>
      <c r="G57" s="29">
        <f t="shared" si="6"/>
        <v>0</v>
      </c>
      <c r="H57" s="29">
        <f t="shared" si="7"/>
        <v>0</v>
      </c>
      <c r="I57" s="29">
        <f t="shared" ref="I57:I88" si="11">IF(A57="",0,ROUND($C$24/$J$98,2))</f>
        <v>0</v>
      </c>
      <c r="J57">
        <f t="shared" si="8"/>
        <v>0</v>
      </c>
      <c r="K57">
        <f t="shared" si="9"/>
        <v>0</v>
      </c>
      <c r="L57" s="23">
        <f t="shared" si="10"/>
        <v>0</v>
      </c>
    </row>
    <row r="58" spans="1:12" x14ac:dyDescent="0.25">
      <c r="A58" t="str">
        <f>'IOF 1'!A58</f>
        <v/>
      </c>
      <c r="B58" s="19" t="str">
        <f>'IOF 1'!B58</f>
        <v/>
      </c>
      <c r="C58" s="29">
        <f t="shared" si="2"/>
        <v>0</v>
      </c>
      <c r="D58" s="29">
        <f t="shared" si="3"/>
        <v>0</v>
      </c>
      <c r="E58" s="29">
        <f t="shared" si="4"/>
        <v>0</v>
      </c>
      <c r="F58" s="29">
        <f t="shared" si="5"/>
        <v>0</v>
      </c>
      <c r="G58" s="29">
        <f t="shared" si="6"/>
        <v>0</v>
      </c>
      <c r="H58" s="29">
        <f t="shared" si="7"/>
        <v>0</v>
      </c>
      <c r="I58" s="29">
        <f t="shared" si="11"/>
        <v>0</v>
      </c>
      <c r="J58">
        <f t="shared" si="8"/>
        <v>0</v>
      </c>
      <c r="K58">
        <f t="shared" si="9"/>
        <v>0</v>
      </c>
      <c r="L58" s="23">
        <f t="shared" si="10"/>
        <v>0</v>
      </c>
    </row>
    <row r="59" spans="1:12" x14ac:dyDescent="0.25">
      <c r="A59" t="str">
        <f>'IOF 1'!A59</f>
        <v/>
      </c>
      <c r="B59" s="19" t="str">
        <f>'IOF 1'!B59</f>
        <v/>
      </c>
      <c r="C59" s="29">
        <f t="shared" si="2"/>
        <v>0</v>
      </c>
      <c r="D59" s="29">
        <f t="shared" si="3"/>
        <v>0</v>
      </c>
      <c r="E59" s="29">
        <f t="shared" si="4"/>
        <v>0</v>
      </c>
      <c r="F59" s="29">
        <f t="shared" si="5"/>
        <v>0</v>
      </c>
      <c r="G59" s="29">
        <f t="shared" si="6"/>
        <v>0</v>
      </c>
      <c r="H59" s="29">
        <f t="shared" si="7"/>
        <v>0</v>
      </c>
      <c r="I59" s="29">
        <f t="shared" si="11"/>
        <v>0</v>
      </c>
      <c r="J59">
        <f t="shared" si="8"/>
        <v>0</v>
      </c>
      <c r="K59">
        <f t="shared" si="9"/>
        <v>0</v>
      </c>
      <c r="L59" s="23">
        <f t="shared" si="10"/>
        <v>0</v>
      </c>
    </row>
    <row r="60" spans="1:12" x14ac:dyDescent="0.25">
      <c r="A60" t="str">
        <f>'IOF 1'!A60</f>
        <v/>
      </c>
      <c r="B60" s="19" t="str">
        <f>'IOF 1'!B60</f>
        <v/>
      </c>
      <c r="C60" s="29">
        <f t="shared" si="2"/>
        <v>0</v>
      </c>
      <c r="D60" s="29">
        <f t="shared" si="3"/>
        <v>0</v>
      </c>
      <c r="E60" s="29">
        <f t="shared" si="4"/>
        <v>0</v>
      </c>
      <c r="F60" s="29">
        <f t="shared" si="5"/>
        <v>0</v>
      </c>
      <c r="G60" s="29">
        <f t="shared" si="6"/>
        <v>0</v>
      </c>
      <c r="H60" s="29">
        <f t="shared" si="7"/>
        <v>0</v>
      </c>
      <c r="I60" s="29">
        <f t="shared" si="11"/>
        <v>0</v>
      </c>
      <c r="J60">
        <f t="shared" si="8"/>
        <v>0</v>
      </c>
      <c r="K60">
        <f t="shared" si="9"/>
        <v>0</v>
      </c>
      <c r="L60" s="23">
        <f t="shared" si="10"/>
        <v>0</v>
      </c>
    </row>
    <row r="61" spans="1:12" x14ac:dyDescent="0.25">
      <c r="A61" t="str">
        <f>'IOF 1'!A61</f>
        <v/>
      </c>
      <c r="B61" s="19" t="str">
        <f>'IOF 1'!B61</f>
        <v/>
      </c>
      <c r="C61" s="29">
        <f t="shared" si="2"/>
        <v>0</v>
      </c>
      <c r="D61" s="29">
        <f t="shared" si="3"/>
        <v>0</v>
      </c>
      <c r="E61" s="29">
        <f t="shared" si="4"/>
        <v>0</v>
      </c>
      <c r="F61" s="29">
        <f t="shared" si="5"/>
        <v>0</v>
      </c>
      <c r="G61" s="29">
        <f t="shared" si="6"/>
        <v>0</v>
      </c>
      <c r="H61" s="29">
        <f t="shared" si="7"/>
        <v>0</v>
      </c>
      <c r="I61" s="29">
        <f t="shared" si="11"/>
        <v>0</v>
      </c>
      <c r="J61">
        <f t="shared" si="8"/>
        <v>0</v>
      </c>
      <c r="K61">
        <f t="shared" si="9"/>
        <v>0</v>
      </c>
      <c r="L61" s="23">
        <f t="shared" si="10"/>
        <v>0</v>
      </c>
    </row>
    <row r="62" spans="1:12" x14ac:dyDescent="0.25">
      <c r="A62" t="str">
        <f>'IOF 1'!A62</f>
        <v/>
      </c>
      <c r="B62" s="19" t="str">
        <f>'IOF 1'!B62</f>
        <v/>
      </c>
      <c r="C62" s="29">
        <f t="shared" si="2"/>
        <v>0</v>
      </c>
      <c r="D62" s="29">
        <f t="shared" si="3"/>
        <v>0</v>
      </c>
      <c r="E62" s="29">
        <f t="shared" si="4"/>
        <v>0</v>
      </c>
      <c r="F62" s="29">
        <f t="shared" si="5"/>
        <v>0</v>
      </c>
      <c r="G62" s="29">
        <f t="shared" si="6"/>
        <v>0</v>
      </c>
      <c r="H62" s="29">
        <f t="shared" si="7"/>
        <v>0</v>
      </c>
      <c r="I62" s="29">
        <f t="shared" si="11"/>
        <v>0</v>
      </c>
      <c r="J62">
        <f t="shared" si="8"/>
        <v>0</v>
      </c>
      <c r="K62">
        <f t="shared" si="9"/>
        <v>0</v>
      </c>
      <c r="L62" s="23">
        <f t="shared" si="10"/>
        <v>0</v>
      </c>
    </row>
    <row r="63" spans="1:12" x14ac:dyDescent="0.25">
      <c r="A63" t="str">
        <f>'IOF 1'!A63</f>
        <v/>
      </c>
      <c r="B63" s="19" t="str">
        <f>'IOF 1'!B63</f>
        <v/>
      </c>
      <c r="C63" s="29">
        <f t="shared" si="2"/>
        <v>0</v>
      </c>
      <c r="D63" s="29">
        <f t="shared" si="3"/>
        <v>0</v>
      </c>
      <c r="E63" s="29">
        <f t="shared" si="4"/>
        <v>0</v>
      </c>
      <c r="F63" s="29">
        <f t="shared" si="5"/>
        <v>0</v>
      </c>
      <c r="G63" s="29">
        <f t="shared" si="6"/>
        <v>0</v>
      </c>
      <c r="H63" s="29">
        <f t="shared" si="7"/>
        <v>0</v>
      </c>
      <c r="I63" s="29">
        <f t="shared" si="11"/>
        <v>0</v>
      </c>
      <c r="J63">
        <f t="shared" si="8"/>
        <v>0</v>
      </c>
      <c r="K63">
        <f t="shared" si="9"/>
        <v>0</v>
      </c>
      <c r="L63" s="23">
        <f t="shared" si="10"/>
        <v>0</v>
      </c>
    </row>
    <row r="64" spans="1:12" x14ac:dyDescent="0.25">
      <c r="A64" t="str">
        <f>'IOF 1'!A64</f>
        <v/>
      </c>
      <c r="B64" s="19" t="str">
        <f>'IOF 1'!B64</f>
        <v/>
      </c>
      <c r="C64" s="29">
        <f t="shared" si="2"/>
        <v>0</v>
      </c>
      <c r="D64" s="29">
        <f t="shared" si="3"/>
        <v>0</v>
      </c>
      <c r="E64" s="29">
        <f t="shared" si="4"/>
        <v>0</v>
      </c>
      <c r="F64" s="29">
        <f t="shared" si="5"/>
        <v>0</v>
      </c>
      <c r="G64" s="29">
        <f t="shared" si="6"/>
        <v>0</v>
      </c>
      <c r="H64" s="29">
        <f t="shared" si="7"/>
        <v>0</v>
      </c>
      <c r="I64" s="29">
        <f t="shared" si="11"/>
        <v>0</v>
      </c>
      <c r="J64">
        <f t="shared" si="8"/>
        <v>0</v>
      </c>
      <c r="K64">
        <f t="shared" si="9"/>
        <v>0</v>
      </c>
      <c r="L64" s="23">
        <f t="shared" si="10"/>
        <v>0</v>
      </c>
    </row>
    <row r="65" spans="1:12" x14ac:dyDescent="0.25">
      <c r="A65" t="str">
        <f>'IOF 1'!A65</f>
        <v/>
      </c>
      <c r="B65" s="19" t="str">
        <f>'IOF 1'!B65</f>
        <v/>
      </c>
      <c r="C65" s="29">
        <f t="shared" si="2"/>
        <v>0</v>
      </c>
      <c r="D65" s="29">
        <f t="shared" si="3"/>
        <v>0</v>
      </c>
      <c r="E65" s="29">
        <f t="shared" si="4"/>
        <v>0</v>
      </c>
      <c r="F65" s="29">
        <f t="shared" si="5"/>
        <v>0</v>
      </c>
      <c r="G65" s="29">
        <f t="shared" si="6"/>
        <v>0</v>
      </c>
      <c r="H65" s="29">
        <f t="shared" si="7"/>
        <v>0</v>
      </c>
      <c r="I65" s="29">
        <f t="shared" si="11"/>
        <v>0</v>
      </c>
      <c r="J65">
        <f t="shared" si="8"/>
        <v>0</v>
      </c>
      <c r="K65">
        <f t="shared" si="9"/>
        <v>0</v>
      </c>
      <c r="L65" s="23">
        <f t="shared" si="10"/>
        <v>0</v>
      </c>
    </row>
    <row r="66" spans="1:12" x14ac:dyDescent="0.25">
      <c r="A66" t="str">
        <f>'IOF 1'!A66</f>
        <v/>
      </c>
      <c r="B66" s="19" t="str">
        <f>'IOF 1'!B66</f>
        <v/>
      </c>
      <c r="C66" s="29">
        <f t="shared" si="2"/>
        <v>0</v>
      </c>
      <c r="D66" s="29">
        <f t="shared" si="3"/>
        <v>0</v>
      </c>
      <c r="E66" s="29">
        <f t="shared" si="4"/>
        <v>0</v>
      </c>
      <c r="F66" s="29">
        <f t="shared" si="5"/>
        <v>0</v>
      </c>
      <c r="G66" s="29">
        <f t="shared" si="6"/>
        <v>0</v>
      </c>
      <c r="H66" s="29">
        <f t="shared" si="7"/>
        <v>0</v>
      </c>
      <c r="I66" s="29">
        <f t="shared" si="11"/>
        <v>0</v>
      </c>
      <c r="J66">
        <f t="shared" si="8"/>
        <v>0</v>
      </c>
      <c r="K66">
        <f t="shared" si="9"/>
        <v>0</v>
      </c>
      <c r="L66" s="23">
        <f t="shared" si="10"/>
        <v>0</v>
      </c>
    </row>
    <row r="67" spans="1:12" x14ac:dyDescent="0.25">
      <c r="A67" t="str">
        <f>'IOF 1'!A67</f>
        <v/>
      </c>
      <c r="B67" s="19" t="str">
        <f>'IOF 1'!B67</f>
        <v/>
      </c>
      <c r="C67" s="29">
        <f t="shared" si="2"/>
        <v>0</v>
      </c>
      <c r="D67" s="29">
        <f t="shared" si="3"/>
        <v>0</v>
      </c>
      <c r="E67" s="29">
        <f t="shared" si="4"/>
        <v>0</v>
      </c>
      <c r="F67" s="29">
        <f t="shared" si="5"/>
        <v>0</v>
      </c>
      <c r="G67" s="29">
        <f t="shared" si="6"/>
        <v>0</v>
      </c>
      <c r="H67" s="29">
        <f t="shared" si="7"/>
        <v>0</v>
      </c>
      <c r="I67" s="29">
        <f t="shared" si="11"/>
        <v>0</v>
      </c>
      <c r="J67">
        <f t="shared" si="8"/>
        <v>0</v>
      </c>
      <c r="K67">
        <f t="shared" si="9"/>
        <v>0</v>
      </c>
      <c r="L67" s="23">
        <f t="shared" si="10"/>
        <v>0</v>
      </c>
    </row>
    <row r="68" spans="1:12" x14ac:dyDescent="0.25">
      <c r="A68" t="str">
        <f>'IOF 1'!A68</f>
        <v/>
      </c>
      <c r="B68" s="19" t="str">
        <f>'IOF 1'!B68</f>
        <v/>
      </c>
      <c r="C68" s="29">
        <f t="shared" si="2"/>
        <v>0</v>
      </c>
      <c r="D68" s="29">
        <f t="shared" si="3"/>
        <v>0</v>
      </c>
      <c r="E68" s="29">
        <f t="shared" si="4"/>
        <v>0</v>
      </c>
      <c r="F68" s="29">
        <f t="shared" si="5"/>
        <v>0</v>
      </c>
      <c r="G68" s="29">
        <f t="shared" si="6"/>
        <v>0</v>
      </c>
      <c r="H68" s="29">
        <f t="shared" si="7"/>
        <v>0</v>
      </c>
      <c r="I68" s="29">
        <f t="shared" si="11"/>
        <v>0</v>
      </c>
      <c r="J68">
        <f t="shared" si="8"/>
        <v>0</v>
      </c>
      <c r="K68">
        <f t="shared" si="9"/>
        <v>0</v>
      </c>
      <c r="L68" s="23">
        <f t="shared" si="10"/>
        <v>0</v>
      </c>
    </row>
    <row r="69" spans="1:12" x14ac:dyDescent="0.25">
      <c r="A69" t="str">
        <f>'IOF 1'!A69</f>
        <v/>
      </c>
      <c r="B69" s="19" t="str">
        <f>'IOF 1'!B69</f>
        <v/>
      </c>
      <c r="C69" s="29">
        <f t="shared" si="2"/>
        <v>0</v>
      </c>
      <c r="D69" s="29">
        <f t="shared" si="3"/>
        <v>0</v>
      </c>
      <c r="E69" s="29">
        <f t="shared" si="4"/>
        <v>0</v>
      </c>
      <c r="F69" s="29">
        <f t="shared" si="5"/>
        <v>0</v>
      </c>
      <c r="G69" s="29">
        <f t="shared" si="6"/>
        <v>0</v>
      </c>
      <c r="H69" s="29">
        <f t="shared" si="7"/>
        <v>0</v>
      </c>
      <c r="I69" s="29">
        <f t="shared" si="11"/>
        <v>0</v>
      </c>
      <c r="J69">
        <f t="shared" si="8"/>
        <v>0</v>
      </c>
      <c r="K69">
        <f t="shared" si="9"/>
        <v>0</v>
      </c>
      <c r="L69" s="23">
        <f t="shared" si="10"/>
        <v>0</v>
      </c>
    </row>
    <row r="70" spans="1:12" x14ac:dyDescent="0.25">
      <c r="A70" t="str">
        <f>'IOF 1'!A70</f>
        <v/>
      </c>
      <c r="B70" s="19" t="str">
        <f>'IOF 1'!B70</f>
        <v/>
      </c>
      <c r="C70" s="29">
        <f t="shared" si="2"/>
        <v>0</v>
      </c>
      <c r="D70" s="29">
        <f t="shared" si="3"/>
        <v>0</v>
      </c>
      <c r="E70" s="29">
        <f t="shared" si="4"/>
        <v>0</v>
      </c>
      <c r="F70" s="29">
        <f t="shared" si="5"/>
        <v>0</v>
      </c>
      <c r="G70" s="29">
        <f t="shared" si="6"/>
        <v>0</v>
      </c>
      <c r="H70" s="29">
        <f t="shared" si="7"/>
        <v>0</v>
      </c>
      <c r="I70" s="29">
        <f t="shared" si="11"/>
        <v>0</v>
      </c>
      <c r="J70">
        <f t="shared" si="8"/>
        <v>0</v>
      </c>
      <c r="K70">
        <f t="shared" si="9"/>
        <v>0</v>
      </c>
      <c r="L70" s="23">
        <f t="shared" si="10"/>
        <v>0</v>
      </c>
    </row>
    <row r="71" spans="1:12" x14ac:dyDescent="0.25">
      <c r="A71" t="str">
        <f>'IOF 1'!A71</f>
        <v/>
      </c>
      <c r="B71" s="19" t="str">
        <f>'IOF 1'!B71</f>
        <v/>
      </c>
      <c r="C71" s="29">
        <f t="shared" si="2"/>
        <v>0</v>
      </c>
      <c r="D71" s="29">
        <f t="shared" si="3"/>
        <v>0</v>
      </c>
      <c r="E71" s="29">
        <f t="shared" si="4"/>
        <v>0</v>
      </c>
      <c r="F71" s="29">
        <f t="shared" si="5"/>
        <v>0</v>
      </c>
      <c r="G71" s="29">
        <f t="shared" si="6"/>
        <v>0</v>
      </c>
      <c r="H71" s="29">
        <f t="shared" si="7"/>
        <v>0</v>
      </c>
      <c r="I71" s="29">
        <f t="shared" si="11"/>
        <v>0</v>
      </c>
      <c r="J71">
        <f t="shared" si="8"/>
        <v>0</v>
      </c>
      <c r="K71">
        <f t="shared" si="9"/>
        <v>0</v>
      </c>
      <c r="L71" s="23">
        <f t="shared" si="10"/>
        <v>0</v>
      </c>
    </row>
    <row r="72" spans="1:12" x14ac:dyDescent="0.25">
      <c r="A72" t="str">
        <f>'IOF 1'!A72</f>
        <v/>
      </c>
      <c r="B72" s="19" t="str">
        <f>'IOF 1'!B72</f>
        <v/>
      </c>
      <c r="C72" s="29">
        <f t="shared" si="2"/>
        <v>0</v>
      </c>
      <c r="D72" s="29">
        <f t="shared" si="3"/>
        <v>0</v>
      </c>
      <c r="E72" s="29">
        <f t="shared" si="4"/>
        <v>0</v>
      </c>
      <c r="F72" s="29">
        <f t="shared" si="5"/>
        <v>0</v>
      </c>
      <c r="G72" s="29">
        <f t="shared" si="6"/>
        <v>0</v>
      </c>
      <c r="H72" s="29">
        <f t="shared" si="7"/>
        <v>0</v>
      </c>
      <c r="I72" s="29">
        <f t="shared" si="11"/>
        <v>0</v>
      </c>
      <c r="J72">
        <f t="shared" si="8"/>
        <v>0</v>
      </c>
      <c r="K72">
        <f t="shared" si="9"/>
        <v>0</v>
      </c>
      <c r="L72" s="23">
        <f t="shared" si="10"/>
        <v>0</v>
      </c>
    </row>
    <row r="73" spans="1:12" x14ac:dyDescent="0.25">
      <c r="A73" t="str">
        <f>'IOF 1'!A73</f>
        <v/>
      </c>
      <c r="B73" s="19" t="str">
        <f>'IOF 1'!B73</f>
        <v/>
      </c>
      <c r="C73" s="29">
        <f t="shared" si="2"/>
        <v>0</v>
      </c>
      <c r="D73" s="29">
        <f t="shared" si="3"/>
        <v>0</v>
      </c>
      <c r="E73" s="29">
        <f t="shared" si="4"/>
        <v>0</v>
      </c>
      <c r="F73" s="29">
        <f t="shared" si="5"/>
        <v>0</v>
      </c>
      <c r="G73" s="29">
        <f t="shared" si="6"/>
        <v>0</v>
      </c>
      <c r="H73" s="29">
        <f t="shared" si="7"/>
        <v>0</v>
      </c>
      <c r="I73" s="29">
        <f t="shared" si="11"/>
        <v>0</v>
      </c>
      <c r="J73">
        <f t="shared" si="8"/>
        <v>0</v>
      </c>
      <c r="K73">
        <f t="shared" si="9"/>
        <v>0</v>
      </c>
      <c r="L73" s="23">
        <f t="shared" si="10"/>
        <v>0</v>
      </c>
    </row>
    <row r="74" spans="1:12" x14ac:dyDescent="0.25">
      <c r="A74" t="str">
        <f>'IOF 1'!A74</f>
        <v/>
      </c>
      <c r="B74" s="19" t="str">
        <f>'IOF 1'!B74</f>
        <v/>
      </c>
      <c r="C74" s="29">
        <f t="shared" si="2"/>
        <v>0</v>
      </c>
      <c r="D74" s="29">
        <f t="shared" si="3"/>
        <v>0</v>
      </c>
      <c r="E74" s="29">
        <f t="shared" si="4"/>
        <v>0</v>
      </c>
      <c r="F74" s="29">
        <f t="shared" si="5"/>
        <v>0</v>
      </c>
      <c r="G74" s="29">
        <f t="shared" si="6"/>
        <v>0</v>
      </c>
      <c r="H74" s="29">
        <f t="shared" si="7"/>
        <v>0</v>
      </c>
      <c r="I74" s="29">
        <f t="shared" si="11"/>
        <v>0</v>
      </c>
      <c r="J74">
        <f t="shared" si="8"/>
        <v>0</v>
      </c>
      <c r="K74">
        <f t="shared" si="9"/>
        <v>0</v>
      </c>
      <c r="L74" s="23">
        <f t="shared" si="10"/>
        <v>0</v>
      </c>
    </row>
    <row r="75" spans="1:12" x14ac:dyDescent="0.25">
      <c r="A75" t="str">
        <f>'IOF 1'!A75</f>
        <v/>
      </c>
      <c r="B75" s="19" t="str">
        <f>'IOF 1'!B75</f>
        <v/>
      </c>
      <c r="C75" s="29">
        <f t="shared" si="2"/>
        <v>0</v>
      </c>
      <c r="D75" s="29">
        <f t="shared" si="3"/>
        <v>0</v>
      </c>
      <c r="E75" s="29">
        <f t="shared" si="4"/>
        <v>0</v>
      </c>
      <c r="F75" s="29">
        <f t="shared" si="5"/>
        <v>0</v>
      </c>
      <c r="G75" s="29">
        <f t="shared" si="6"/>
        <v>0</v>
      </c>
      <c r="H75" s="29">
        <f t="shared" si="7"/>
        <v>0</v>
      </c>
      <c r="I75" s="29">
        <f t="shared" si="11"/>
        <v>0</v>
      </c>
      <c r="J75">
        <f t="shared" si="8"/>
        <v>0</v>
      </c>
      <c r="K75">
        <f t="shared" si="9"/>
        <v>0</v>
      </c>
      <c r="L75" s="23">
        <f t="shared" si="10"/>
        <v>0</v>
      </c>
    </row>
    <row r="76" spans="1:12" x14ac:dyDescent="0.25">
      <c r="A76" t="str">
        <f>'IOF 1'!A76</f>
        <v/>
      </c>
      <c r="B76" s="19" t="str">
        <f>'IOF 1'!B76</f>
        <v/>
      </c>
      <c r="C76" s="29">
        <f t="shared" si="2"/>
        <v>0</v>
      </c>
      <c r="D76" s="29">
        <f t="shared" si="3"/>
        <v>0</v>
      </c>
      <c r="E76" s="29">
        <f t="shared" si="4"/>
        <v>0</v>
      </c>
      <c r="F76" s="29">
        <f t="shared" si="5"/>
        <v>0</v>
      </c>
      <c r="G76" s="29">
        <f t="shared" si="6"/>
        <v>0</v>
      </c>
      <c r="H76" s="29">
        <f t="shared" si="7"/>
        <v>0</v>
      </c>
      <c r="I76" s="29">
        <f t="shared" si="11"/>
        <v>0</v>
      </c>
      <c r="J76">
        <f t="shared" si="8"/>
        <v>0</v>
      </c>
      <c r="K76">
        <f t="shared" si="9"/>
        <v>0</v>
      </c>
      <c r="L76" s="23">
        <f t="shared" si="10"/>
        <v>0</v>
      </c>
    </row>
    <row r="77" spans="1:12" x14ac:dyDescent="0.25">
      <c r="A77" t="str">
        <f>'IOF 1'!A77</f>
        <v/>
      </c>
      <c r="B77" s="19" t="str">
        <f>'IOF 1'!B77</f>
        <v/>
      </c>
      <c r="C77" s="29">
        <f t="shared" si="2"/>
        <v>0</v>
      </c>
      <c r="D77" s="29">
        <f t="shared" si="3"/>
        <v>0</v>
      </c>
      <c r="E77" s="29">
        <f t="shared" si="4"/>
        <v>0</v>
      </c>
      <c r="F77" s="29">
        <f t="shared" si="5"/>
        <v>0</v>
      </c>
      <c r="G77" s="29">
        <f t="shared" si="6"/>
        <v>0</v>
      </c>
      <c r="H77" s="29">
        <f t="shared" si="7"/>
        <v>0</v>
      </c>
      <c r="I77" s="29">
        <f t="shared" si="11"/>
        <v>0</v>
      </c>
      <c r="J77">
        <f t="shared" si="8"/>
        <v>0</v>
      </c>
      <c r="K77">
        <f t="shared" si="9"/>
        <v>0</v>
      </c>
      <c r="L77" s="23">
        <f t="shared" si="10"/>
        <v>0</v>
      </c>
    </row>
    <row r="78" spans="1:12" x14ac:dyDescent="0.25">
      <c r="A78" t="str">
        <f>'IOF 1'!A78</f>
        <v/>
      </c>
      <c r="B78" s="19" t="str">
        <f>'IOF 1'!B78</f>
        <v/>
      </c>
      <c r="C78" s="29">
        <f t="shared" si="2"/>
        <v>0</v>
      </c>
      <c r="D78" s="29">
        <f t="shared" si="3"/>
        <v>0</v>
      </c>
      <c r="E78" s="29">
        <f t="shared" si="4"/>
        <v>0</v>
      </c>
      <c r="F78" s="29">
        <f t="shared" si="5"/>
        <v>0</v>
      </c>
      <c r="G78" s="29">
        <f t="shared" si="6"/>
        <v>0</v>
      </c>
      <c r="H78" s="29">
        <f t="shared" si="7"/>
        <v>0</v>
      </c>
      <c r="I78" s="29">
        <f t="shared" si="11"/>
        <v>0</v>
      </c>
      <c r="J78">
        <f t="shared" si="8"/>
        <v>0</v>
      </c>
      <c r="K78">
        <f t="shared" si="9"/>
        <v>0</v>
      </c>
      <c r="L78" s="23">
        <f t="shared" si="10"/>
        <v>0</v>
      </c>
    </row>
    <row r="79" spans="1:12" x14ac:dyDescent="0.25">
      <c r="A79" t="str">
        <f>'IOF 1'!A79</f>
        <v/>
      </c>
      <c r="B79" s="19" t="str">
        <f>'IOF 1'!B79</f>
        <v/>
      </c>
      <c r="C79" s="29">
        <f t="shared" si="2"/>
        <v>0</v>
      </c>
      <c r="D79" s="29">
        <f t="shared" si="3"/>
        <v>0</v>
      </c>
      <c r="E79" s="29">
        <f t="shared" si="4"/>
        <v>0</v>
      </c>
      <c r="F79" s="29">
        <f t="shared" si="5"/>
        <v>0</v>
      </c>
      <c r="G79" s="29">
        <f t="shared" si="6"/>
        <v>0</v>
      </c>
      <c r="H79" s="29">
        <f t="shared" si="7"/>
        <v>0</v>
      </c>
      <c r="I79" s="29">
        <f t="shared" si="11"/>
        <v>0</v>
      </c>
      <c r="J79">
        <f t="shared" si="8"/>
        <v>0</v>
      </c>
      <c r="K79">
        <f t="shared" si="9"/>
        <v>0</v>
      </c>
      <c r="L79" s="23">
        <f t="shared" si="10"/>
        <v>0</v>
      </c>
    </row>
    <row r="80" spans="1:12" x14ac:dyDescent="0.25">
      <c r="A80" t="str">
        <f>'IOF 1'!A80</f>
        <v/>
      </c>
      <c r="B80" s="19" t="str">
        <f>'IOF 1'!B80</f>
        <v/>
      </c>
      <c r="C80" s="29">
        <f t="shared" si="2"/>
        <v>0</v>
      </c>
      <c r="D80" s="29">
        <f t="shared" si="3"/>
        <v>0</v>
      </c>
      <c r="E80" s="29">
        <f t="shared" si="4"/>
        <v>0</v>
      </c>
      <c r="F80" s="29">
        <f t="shared" si="5"/>
        <v>0</v>
      </c>
      <c r="G80" s="29">
        <f t="shared" si="6"/>
        <v>0</v>
      </c>
      <c r="H80" s="29">
        <f t="shared" si="7"/>
        <v>0</v>
      </c>
      <c r="I80" s="29">
        <f t="shared" si="11"/>
        <v>0</v>
      </c>
      <c r="J80">
        <f t="shared" si="8"/>
        <v>0</v>
      </c>
      <c r="K80">
        <f t="shared" si="9"/>
        <v>0</v>
      </c>
      <c r="L80" s="23">
        <f t="shared" si="10"/>
        <v>0</v>
      </c>
    </row>
    <row r="81" spans="1:12" x14ac:dyDescent="0.25">
      <c r="A81" t="str">
        <f>'IOF 1'!A81</f>
        <v/>
      </c>
      <c r="B81" s="19" t="str">
        <f>'IOF 1'!B81</f>
        <v/>
      </c>
      <c r="C81" s="29">
        <f t="shared" si="2"/>
        <v>0</v>
      </c>
      <c r="D81" s="29">
        <f t="shared" si="3"/>
        <v>0</v>
      </c>
      <c r="E81" s="29">
        <f t="shared" si="4"/>
        <v>0</v>
      </c>
      <c r="F81" s="29">
        <f t="shared" si="5"/>
        <v>0</v>
      </c>
      <c r="G81" s="29">
        <f t="shared" si="6"/>
        <v>0</v>
      </c>
      <c r="H81" s="29">
        <f t="shared" si="7"/>
        <v>0</v>
      </c>
      <c r="I81" s="29">
        <f t="shared" si="11"/>
        <v>0</v>
      </c>
      <c r="J81">
        <f t="shared" si="8"/>
        <v>0</v>
      </c>
      <c r="K81">
        <f t="shared" si="9"/>
        <v>0</v>
      </c>
      <c r="L81" s="23">
        <f t="shared" si="10"/>
        <v>0</v>
      </c>
    </row>
    <row r="82" spans="1:12" x14ac:dyDescent="0.25">
      <c r="A82" t="str">
        <f>'IOF 1'!A82</f>
        <v/>
      </c>
      <c r="B82" s="19" t="str">
        <f>'IOF 1'!B82</f>
        <v/>
      </c>
      <c r="C82" s="29">
        <f t="shared" si="2"/>
        <v>0</v>
      </c>
      <c r="D82" s="29">
        <f t="shared" si="3"/>
        <v>0</v>
      </c>
      <c r="E82" s="29">
        <f t="shared" si="4"/>
        <v>0</v>
      </c>
      <c r="F82" s="29">
        <f t="shared" si="5"/>
        <v>0</v>
      </c>
      <c r="G82" s="29">
        <f t="shared" si="6"/>
        <v>0</v>
      </c>
      <c r="H82" s="29">
        <f t="shared" si="7"/>
        <v>0</v>
      </c>
      <c r="I82" s="29">
        <f t="shared" si="11"/>
        <v>0</v>
      </c>
      <c r="J82">
        <f t="shared" si="8"/>
        <v>0</v>
      </c>
      <c r="K82">
        <f t="shared" si="9"/>
        <v>0</v>
      </c>
      <c r="L82" s="23">
        <f t="shared" si="10"/>
        <v>0</v>
      </c>
    </row>
    <row r="83" spans="1:12" x14ac:dyDescent="0.25">
      <c r="A83" t="str">
        <f>'IOF 1'!A83</f>
        <v/>
      </c>
      <c r="B83" s="19" t="str">
        <f>'IOF 1'!B83</f>
        <v/>
      </c>
      <c r="C83" s="29">
        <f t="shared" si="2"/>
        <v>0</v>
      </c>
      <c r="D83" s="29">
        <f t="shared" si="3"/>
        <v>0</v>
      </c>
      <c r="E83" s="29">
        <f t="shared" si="4"/>
        <v>0</v>
      </c>
      <c r="F83" s="29">
        <f t="shared" si="5"/>
        <v>0</v>
      </c>
      <c r="G83" s="29">
        <f t="shared" si="6"/>
        <v>0</v>
      </c>
      <c r="H83" s="29">
        <f t="shared" si="7"/>
        <v>0</v>
      </c>
      <c r="I83" s="29">
        <f t="shared" si="11"/>
        <v>0</v>
      </c>
      <c r="J83">
        <f t="shared" si="8"/>
        <v>0</v>
      </c>
      <c r="K83">
        <f t="shared" si="9"/>
        <v>0</v>
      </c>
      <c r="L83" s="23">
        <f t="shared" si="10"/>
        <v>0</v>
      </c>
    </row>
    <row r="84" spans="1:12" x14ac:dyDescent="0.25">
      <c r="A84" t="str">
        <f>'IOF 1'!A84</f>
        <v/>
      </c>
      <c r="B84" s="19" t="str">
        <f>'IOF 1'!B84</f>
        <v/>
      </c>
      <c r="C84" s="29">
        <f t="shared" si="2"/>
        <v>0</v>
      </c>
      <c r="D84" s="29">
        <f t="shared" si="3"/>
        <v>0</v>
      </c>
      <c r="E84" s="29">
        <f t="shared" si="4"/>
        <v>0</v>
      </c>
      <c r="F84" s="29">
        <f t="shared" si="5"/>
        <v>0</v>
      </c>
      <c r="G84" s="29">
        <f t="shared" si="6"/>
        <v>0</v>
      </c>
      <c r="H84" s="29">
        <f t="shared" si="7"/>
        <v>0</v>
      </c>
      <c r="I84" s="29">
        <f t="shared" si="11"/>
        <v>0</v>
      </c>
      <c r="J84">
        <f t="shared" si="8"/>
        <v>0</v>
      </c>
      <c r="K84">
        <f t="shared" si="9"/>
        <v>0</v>
      </c>
      <c r="L84" s="23">
        <f t="shared" si="10"/>
        <v>0</v>
      </c>
    </row>
    <row r="85" spans="1:12" x14ac:dyDescent="0.25">
      <c r="A85" t="str">
        <f>'IOF 1'!A85</f>
        <v/>
      </c>
      <c r="B85" s="19" t="str">
        <f>'IOF 1'!B85</f>
        <v/>
      </c>
      <c r="C85" s="29">
        <f t="shared" si="2"/>
        <v>0</v>
      </c>
      <c r="D85" s="29">
        <f t="shared" si="3"/>
        <v>0</v>
      </c>
      <c r="E85" s="29">
        <f t="shared" si="4"/>
        <v>0</v>
      </c>
      <c r="F85" s="29">
        <f t="shared" si="5"/>
        <v>0</v>
      </c>
      <c r="G85" s="29">
        <f t="shared" si="6"/>
        <v>0</v>
      </c>
      <c r="H85" s="29">
        <f t="shared" si="7"/>
        <v>0</v>
      </c>
      <c r="I85" s="29">
        <f t="shared" si="11"/>
        <v>0</v>
      </c>
      <c r="J85">
        <f t="shared" si="8"/>
        <v>0</v>
      </c>
      <c r="K85">
        <f t="shared" si="9"/>
        <v>0</v>
      </c>
      <c r="L85" s="23">
        <f t="shared" si="10"/>
        <v>0</v>
      </c>
    </row>
    <row r="86" spans="1:12" x14ac:dyDescent="0.25">
      <c r="A86" t="str">
        <f>'IOF 1'!A86</f>
        <v/>
      </c>
      <c r="B86" s="19" t="str">
        <f>'IOF 1'!B86</f>
        <v/>
      </c>
      <c r="C86" s="29">
        <f t="shared" si="2"/>
        <v>0</v>
      </c>
      <c r="D86" s="29">
        <f t="shared" si="3"/>
        <v>0</v>
      </c>
      <c r="E86" s="29">
        <f t="shared" si="4"/>
        <v>0</v>
      </c>
      <c r="F86" s="29">
        <f t="shared" si="5"/>
        <v>0</v>
      </c>
      <c r="G86" s="29">
        <f t="shared" si="6"/>
        <v>0</v>
      </c>
      <c r="H86" s="29">
        <f t="shared" si="7"/>
        <v>0</v>
      </c>
      <c r="I86" s="29">
        <f t="shared" si="11"/>
        <v>0</v>
      </c>
      <c r="J86">
        <f t="shared" si="8"/>
        <v>0</v>
      </c>
      <c r="K86">
        <f t="shared" si="9"/>
        <v>0</v>
      </c>
      <c r="L86" s="23">
        <f t="shared" si="10"/>
        <v>0</v>
      </c>
    </row>
    <row r="87" spans="1:12" x14ac:dyDescent="0.25">
      <c r="A87" t="str">
        <f>'IOF 1'!A87</f>
        <v/>
      </c>
      <c r="B87" s="19" t="str">
        <f>'IOF 1'!B87</f>
        <v/>
      </c>
      <c r="C87" s="29">
        <f t="shared" si="2"/>
        <v>0</v>
      </c>
      <c r="D87" s="29">
        <f t="shared" si="3"/>
        <v>0</v>
      </c>
      <c r="E87" s="29">
        <f t="shared" si="4"/>
        <v>0</v>
      </c>
      <c r="F87" s="29">
        <f t="shared" si="5"/>
        <v>0</v>
      </c>
      <c r="G87" s="29">
        <f t="shared" si="6"/>
        <v>0</v>
      </c>
      <c r="H87" s="29">
        <f t="shared" si="7"/>
        <v>0</v>
      </c>
      <c r="I87" s="29">
        <f t="shared" si="11"/>
        <v>0</v>
      </c>
      <c r="J87">
        <f t="shared" si="8"/>
        <v>0</v>
      </c>
      <c r="K87">
        <f t="shared" si="9"/>
        <v>0</v>
      </c>
      <c r="L87" s="23">
        <f t="shared" si="10"/>
        <v>0</v>
      </c>
    </row>
    <row r="88" spans="1:12" x14ac:dyDescent="0.25">
      <c r="A88" t="str">
        <f>'IOF 1'!A88</f>
        <v/>
      </c>
      <c r="B88" s="19" t="str">
        <f>'IOF 1'!B88</f>
        <v/>
      </c>
      <c r="C88" s="29">
        <f t="shared" si="2"/>
        <v>0</v>
      </c>
      <c r="D88" s="29">
        <f t="shared" si="3"/>
        <v>0</v>
      </c>
      <c r="E88" s="29">
        <f t="shared" si="4"/>
        <v>0</v>
      </c>
      <c r="F88" s="29">
        <f t="shared" si="5"/>
        <v>0</v>
      </c>
      <c r="G88" s="29">
        <f t="shared" si="6"/>
        <v>0</v>
      </c>
      <c r="H88" s="29">
        <f t="shared" si="7"/>
        <v>0</v>
      </c>
      <c r="I88" s="29">
        <f t="shared" si="11"/>
        <v>0</v>
      </c>
      <c r="J88">
        <f t="shared" si="8"/>
        <v>0</v>
      </c>
      <c r="K88">
        <f t="shared" si="9"/>
        <v>0</v>
      </c>
      <c r="L88" s="23">
        <f t="shared" si="10"/>
        <v>0</v>
      </c>
    </row>
    <row r="89" spans="1:12" x14ac:dyDescent="0.25">
      <c r="A89" t="str">
        <f>'IOF 1'!A89</f>
        <v/>
      </c>
      <c r="B89" s="19" t="str">
        <f>'IOF 1'!B89</f>
        <v/>
      </c>
      <c r="C89" s="29">
        <f t="shared" si="2"/>
        <v>0</v>
      </c>
      <c r="D89" s="29">
        <f t="shared" si="3"/>
        <v>0</v>
      </c>
      <c r="E89" s="29">
        <f t="shared" si="4"/>
        <v>0</v>
      </c>
      <c r="F89" s="29">
        <f t="shared" si="5"/>
        <v>0</v>
      </c>
      <c r="G89" s="29">
        <f t="shared" si="6"/>
        <v>0</v>
      </c>
      <c r="H89" s="29">
        <f t="shared" si="7"/>
        <v>0</v>
      </c>
      <c r="I89" s="29">
        <f t="shared" ref="I89:I96" si="12">IF(A89="",0,ROUND($C$24/$J$98,2))</f>
        <v>0</v>
      </c>
      <c r="J89">
        <f t="shared" si="8"/>
        <v>0</v>
      </c>
      <c r="K89">
        <f t="shared" si="9"/>
        <v>0</v>
      </c>
      <c r="L89" s="23">
        <f t="shared" si="10"/>
        <v>0</v>
      </c>
    </row>
    <row r="90" spans="1:12" x14ac:dyDescent="0.25">
      <c r="A90" t="str">
        <f>'IOF 1'!A90</f>
        <v/>
      </c>
      <c r="B90" s="19" t="str">
        <f>'IOF 1'!B90</f>
        <v/>
      </c>
      <c r="C90" s="29">
        <f t="shared" ref="C90:C96" si="13">C89+G90-I90</f>
        <v>0</v>
      </c>
      <c r="D90" s="29">
        <f t="shared" ref="D90:D96" si="14">C90-E90</f>
        <v>0</v>
      </c>
      <c r="E90" s="29">
        <f t="shared" ref="E90:E96" si="15">MIN($C$24,C90,E89)</f>
        <v>0</v>
      </c>
      <c r="F90" s="29">
        <f t="shared" ref="F90:F96" si="16">E89-E90</f>
        <v>0</v>
      </c>
      <c r="G90" s="29">
        <f t="shared" ref="G90:G96" si="17">IF(A90="",0,ROUND(((((1+$C$11)^((B90-B89)/30)-1)*C89)),2))</f>
        <v>0</v>
      </c>
      <c r="H90" s="29">
        <f t="shared" ref="H90:H96" si="18">MIN(I90-F90,I90)</f>
        <v>0</v>
      </c>
      <c r="I90" s="29">
        <f t="shared" si="12"/>
        <v>0</v>
      </c>
      <c r="J90">
        <f t="shared" ref="J90:J96" si="19">IF(A90="",0,ROUND(1/((1+$C$11)^((B90-$B$24)/30)),8))</f>
        <v>0</v>
      </c>
      <c r="K90">
        <f t="shared" ref="K90:K96" si="20">IFERROR(B90-B89,0)</f>
        <v>0</v>
      </c>
      <c r="L90" s="23">
        <f t="shared" ref="L90:L96" si="21">IFERROR(ROUND(F90*$J$17/30*MIN(365,(B90-$B$24)),2),0)</f>
        <v>0</v>
      </c>
    </row>
    <row r="91" spans="1:12" x14ac:dyDescent="0.25">
      <c r="A91" t="str">
        <f>'IOF 1'!A91</f>
        <v/>
      </c>
      <c r="B91" s="19" t="str">
        <f>'IOF 1'!B91</f>
        <v/>
      </c>
      <c r="C91" s="29">
        <f t="shared" si="13"/>
        <v>0</v>
      </c>
      <c r="D91" s="29">
        <f t="shared" si="14"/>
        <v>0</v>
      </c>
      <c r="E91" s="29">
        <f t="shared" si="15"/>
        <v>0</v>
      </c>
      <c r="F91" s="29">
        <f t="shared" si="16"/>
        <v>0</v>
      </c>
      <c r="G91" s="29">
        <f t="shared" si="17"/>
        <v>0</v>
      </c>
      <c r="H91" s="29">
        <f t="shared" si="18"/>
        <v>0</v>
      </c>
      <c r="I91" s="29">
        <f t="shared" si="12"/>
        <v>0</v>
      </c>
      <c r="J91">
        <f t="shared" si="19"/>
        <v>0</v>
      </c>
      <c r="K91">
        <f t="shared" si="20"/>
        <v>0</v>
      </c>
      <c r="L91" s="23">
        <f t="shared" si="21"/>
        <v>0</v>
      </c>
    </row>
    <row r="92" spans="1:12" x14ac:dyDescent="0.25">
      <c r="A92" t="str">
        <f>'IOF 1'!A92</f>
        <v/>
      </c>
      <c r="B92" s="19" t="str">
        <f>'IOF 1'!B92</f>
        <v/>
      </c>
      <c r="C92" s="29">
        <f t="shared" si="13"/>
        <v>0</v>
      </c>
      <c r="D92" s="29">
        <f t="shared" si="14"/>
        <v>0</v>
      </c>
      <c r="E92" s="29">
        <f t="shared" si="15"/>
        <v>0</v>
      </c>
      <c r="F92" s="29">
        <f t="shared" si="16"/>
        <v>0</v>
      </c>
      <c r="G92" s="29">
        <f t="shared" si="17"/>
        <v>0</v>
      </c>
      <c r="H92" s="29">
        <f t="shared" si="18"/>
        <v>0</v>
      </c>
      <c r="I92" s="29">
        <f t="shared" si="12"/>
        <v>0</v>
      </c>
      <c r="J92">
        <f t="shared" si="19"/>
        <v>0</v>
      </c>
      <c r="K92">
        <f t="shared" si="20"/>
        <v>0</v>
      </c>
      <c r="L92" s="23">
        <f t="shared" si="21"/>
        <v>0</v>
      </c>
    </row>
    <row r="93" spans="1:12" x14ac:dyDescent="0.25">
      <c r="A93" t="str">
        <f>'IOF 1'!A93</f>
        <v/>
      </c>
      <c r="B93" s="19" t="str">
        <f>'IOF 1'!B93</f>
        <v/>
      </c>
      <c r="C93" s="29">
        <f t="shared" si="13"/>
        <v>0</v>
      </c>
      <c r="D93" s="29">
        <f t="shared" si="14"/>
        <v>0</v>
      </c>
      <c r="E93" s="29">
        <f t="shared" si="15"/>
        <v>0</v>
      </c>
      <c r="F93" s="29">
        <f t="shared" si="16"/>
        <v>0</v>
      </c>
      <c r="G93" s="29">
        <f t="shared" si="17"/>
        <v>0</v>
      </c>
      <c r="H93" s="29">
        <f t="shared" si="18"/>
        <v>0</v>
      </c>
      <c r="I93" s="29">
        <f t="shared" si="12"/>
        <v>0</v>
      </c>
      <c r="J93">
        <f t="shared" si="19"/>
        <v>0</v>
      </c>
      <c r="K93">
        <f t="shared" si="20"/>
        <v>0</v>
      </c>
      <c r="L93" s="23">
        <f t="shared" si="21"/>
        <v>0</v>
      </c>
    </row>
    <row r="94" spans="1:12" x14ac:dyDescent="0.25">
      <c r="A94" t="str">
        <f>'IOF 1'!A94</f>
        <v/>
      </c>
      <c r="B94" s="19" t="str">
        <f>'IOF 1'!B94</f>
        <v/>
      </c>
      <c r="C94" s="29">
        <f t="shared" si="13"/>
        <v>0</v>
      </c>
      <c r="D94" s="29">
        <f t="shared" si="14"/>
        <v>0</v>
      </c>
      <c r="E94" s="29">
        <f t="shared" si="15"/>
        <v>0</v>
      </c>
      <c r="F94" s="29">
        <f t="shared" si="16"/>
        <v>0</v>
      </c>
      <c r="G94" s="29">
        <f t="shared" si="17"/>
        <v>0</v>
      </c>
      <c r="H94" s="29">
        <f t="shared" si="18"/>
        <v>0</v>
      </c>
      <c r="I94" s="29">
        <f t="shared" si="12"/>
        <v>0</v>
      </c>
      <c r="J94">
        <f t="shared" si="19"/>
        <v>0</v>
      </c>
      <c r="K94">
        <f t="shared" si="20"/>
        <v>0</v>
      </c>
      <c r="L94" s="23">
        <f t="shared" si="21"/>
        <v>0</v>
      </c>
    </row>
    <row r="95" spans="1:12" x14ac:dyDescent="0.25">
      <c r="A95" t="str">
        <f>'IOF 1'!A95</f>
        <v/>
      </c>
      <c r="B95" s="19" t="str">
        <f>'IOF 1'!B95</f>
        <v/>
      </c>
      <c r="C95" s="29">
        <f t="shared" si="13"/>
        <v>0</v>
      </c>
      <c r="D95" s="29">
        <f t="shared" si="14"/>
        <v>0</v>
      </c>
      <c r="E95" s="29">
        <f t="shared" si="15"/>
        <v>0</v>
      </c>
      <c r="F95" s="29">
        <f t="shared" si="16"/>
        <v>0</v>
      </c>
      <c r="G95" s="29">
        <f t="shared" si="17"/>
        <v>0</v>
      </c>
      <c r="H95" s="29">
        <f t="shared" si="18"/>
        <v>0</v>
      </c>
      <c r="I95" s="29">
        <f t="shared" si="12"/>
        <v>0</v>
      </c>
      <c r="J95">
        <f t="shared" si="19"/>
        <v>0</v>
      </c>
      <c r="K95">
        <f t="shared" si="20"/>
        <v>0</v>
      </c>
      <c r="L95" s="23">
        <f t="shared" si="21"/>
        <v>0</v>
      </c>
    </row>
    <row r="96" spans="1:12" x14ac:dyDescent="0.25">
      <c r="A96" t="str">
        <f>'IOF 1'!A96</f>
        <v/>
      </c>
      <c r="B96" s="19" t="str">
        <f>'IOF 1'!B96</f>
        <v/>
      </c>
      <c r="C96" s="29">
        <f t="shared" si="13"/>
        <v>0</v>
      </c>
      <c r="D96" s="29">
        <f t="shared" si="14"/>
        <v>0</v>
      </c>
      <c r="E96" s="29">
        <f t="shared" si="15"/>
        <v>0</v>
      </c>
      <c r="F96" s="29">
        <f t="shared" si="16"/>
        <v>0</v>
      </c>
      <c r="G96" s="29">
        <f t="shared" si="17"/>
        <v>0</v>
      </c>
      <c r="H96" s="29">
        <f t="shared" si="18"/>
        <v>0</v>
      </c>
      <c r="I96" s="29">
        <f t="shared" si="12"/>
        <v>0</v>
      </c>
      <c r="J96">
        <f t="shared" si="19"/>
        <v>0</v>
      </c>
      <c r="K96">
        <f t="shared" si="20"/>
        <v>0</v>
      </c>
      <c r="L96" s="23">
        <f t="shared" si="21"/>
        <v>0</v>
      </c>
    </row>
    <row r="97" spans="1:12" x14ac:dyDescent="0.25">
      <c r="B97" s="29"/>
      <c r="C97" s="29"/>
      <c r="D97" s="29"/>
      <c r="E97" s="29"/>
      <c r="F97" s="29"/>
      <c r="G97" s="29"/>
      <c r="H97" s="29"/>
      <c r="I97" s="46"/>
      <c r="L97" s="23"/>
    </row>
    <row r="98" spans="1:12" x14ac:dyDescent="0.25">
      <c r="A98" s="23"/>
      <c r="B98" s="23"/>
      <c r="C98" s="23">
        <f>C53-F53</f>
        <v>0</v>
      </c>
      <c r="D98" s="23"/>
      <c r="E98" s="23"/>
      <c r="F98" s="23">
        <f>SUM(F25:F97)</f>
        <v>2025.6999999999998</v>
      </c>
      <c r="G98" s="23">
        <f>SUM(G25:G97)</f>
        <v>593.01999999999987</v>
      </c>
      <c r="H98" s="23"/>
      <c r="I98" s="23">
        <f>SUM(I25:I97)</f>
        <v>2618.7199999999998</v>
      </c>
      <c r="J98" s="54">
        <f>SUM(J25:J97)</f>
        <v>6.188361819999999</v>
      </c>
      <c r="K98" s="52">
        <f>'IOF 1'!K98</f>
        <v>212</v>
      </c>
      <c r="L98" s="23">
        <f>'IOF 1'!L98</f>
        <v>18.100000000000001</v>
      </c>
    </row>
    <row r="99" spans="1:12" x14ac:dyDescent="0.25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99CFD-F585-48DC-9605-D6072E9AF0C1}">
  <sheetPr codeName="Planilha5"/>
  <dimension ref="A2:Q114"/>
  <sheetViews>
    <sheetView topLeftCell="A21" zoomScale="175" zoomScaleNormal="175" workbookViewId="0">
      <selection activeCell="C26" sqref="C26"/>
    </sheetView>
  </sheetViews>
  <sheetFormatPr defaultRowHeight="15" x14ac:dyDescent="0.25"/>
  <cols>
    <col min="1" max="1" width="6" bestFit="1" customWidth="1"/>
    <col min="2" max="2" width="28" customWidth="1"/>
    <col min="3" max="3" width="13.5703125" style="11" bestFit="1" customWidth="1"/>
    <col min="4" max="4" width="11.140625" bestFit="1" customWidth="1"/>
    <col min="5" max="5" width="14.5703125" bestFit="1" customWidth="1"/>
    <col min="6" max="6" width="13.28515625" bestFit="1" customWidth="1"/>
    <col min="7" max="7" width="11.7109375" bestFit="1" customWidth="1"/>
    <col min="8" max="8" width="16.28515625" bestFit="1" customWidth="1"/>
    <col min="9" max="9" width="13.28515625" bestFit="1" customWidth="1"/>
    <col min="10" max="10" width="13" bestFit="1" customWidth="1"/>
    <col min="11" max="11" width="21.85546875" bestFit="1" customWidth="1"/>
    <col min="12" max="12" width="11.7109375" bestFit="1" customWidth="1"/>
    <col min="13" max="13" width="12.85546875" style="18" bestFit="1" customWidth="1"/>
    <col min="14" max="14" width="22.42578125" bestFit="1" customWidth="1"/>
    <col min="16" max="16" width="12.85546875" bestFit="1" customWidth="1"/>
  </cols>
  <sheetData>
    <row r="2" spans="2:17" x14ac:dyDescent="0.25">
      <c r="B2" t="s">
        <v>129</v>
      </c>
      <c r="D2" t="s">
        <v>130</v>
      </c>
      <c r="F2" t="s">
        <v>131</v>
      </c>
    </row>
    <row r="5" spans="2:17" x14ac:dyDescent="0.25">
      <c r="N5" t="s">
        <v>99</v>
      </c>
    </row>
    <row r="6" spans="2:17" x14ac:dyDescent="0.25">
      <c r="N6" t="s">
        <v>100</v>
      </c>
      <c r="P6" s="23">
        <f>C39</f>
        <v>0</v>
      </c>
    </row>
    <row r="7" spans="2:17" x14ac:dyDescent="0.25">
      <c r="B7" t="s">
        <v>44</v>
      </c>
      <c r="C7" s="11">
        <v>2</v>
      </c>
      <c r="D7" s="90" t="s">
        <v>40</v>
      </c>
      <c r="E7" s="90"/>
      <c r="N7" t="s">
        <v>101</v>
      </c>
      <c r="P7" s="23">
        <f>P6-P8</f>
        <v>0</v>
      </c>
    </row>
    <row r="8" spans="2:17" x14ac:dyDescent="0.25">
      <c r="B8" s="8" t="s">
        <v>82</v>
      </c>
      <c r="C8" s="48">
        <v>3517.58</v>
      </c>
      <c r="N8" t="s">
        <v>102</v>
      </c>
      <c r="P8" s="23">
        <f>IF(Q8&lt;&gt;"",C24*Q8,0)</f>
        <v>0</v>
      </c>
      <c r="Q8" t="str">
        <f>IFERROR(IF(AND(auxseguro!H8=auxseguro!D1,auxseguro!$H$8=2),VLOOKUP(1,auxseguro!C:E,3,0),""),"")</f>
        <v/>
      </c>
    </row>
    <row r="10" spans="2:17" x14ac:dyDescent="0.25">
      <c r="B10" s="8" t="s">
        <v>83</v>
      </c>
      <c r="C10" s="48">
        <v>600</v>
      </c>
      <c r="N10" t="s">
        <v>103</v>
      </c>
      <c r="P10" s="25">
        <f>C15</f>
        <v>4.2000000000000003E-2</v>
      </c>
    </row>
    <row r="12" spans="2:17" x14ac:dyDescent="0.25">
      <c r="B12" s="8" t="s">
        <v>110</v>
      </c>
      <c r="C12" s="42" t="s">
        <v>23</v>
      </c>
      <c r="N12" t="s">
        <v>104</v>
      </c>
      <c r="P12">
        <f>C19</f>
        <v>10</v>
      </c>
    </row>
    <row r="13" spans="2:17" x14ac:dyDescent="0.25">
      <c r="B13" s="8" t="s">
        <v>84</v>
      </c>
      <c r="C13" s="48">
        <v>600</v>
      </c>
    </row>
    <row r="14" spans="2:17" x14ac:dyDescent="0.25">
      <c r="N14" t="s">
        <v>124</v>
      </c>
      <c r="P14" s="23">
        <f>I40</f>
        <v>0</v>
      </c>
    </row>
    <row r="15" spans="2:17" x14ac:dyDescent="0.25">
      <c r="B15" s="8" t="s">
        <v>85</v>
      </c>
      <c r="C15" s="13">
        <v>4.2000000000000003E-2</v>
      </c>
    </row>
    <row r="16" spans="2:17" x14ac:dyDescent="0.25">
      <c r="B16" s="9" t="s">
        <v>111</v>
      </c>
      <c r="C16" s="14">
        <f>((1+C15)^(1/30)-1)</f>
        <v>1.3723389074482562E-3</v>
      </c>
    </row>
    <row r="17" spans="2:16" x14ac:dyDescent="0.25">
      <c r="B17" s="7" t="s">
        <v>112</v>
      </c>
      <c r="C17" s="15">
        <f>(1+C15)^12-1</f>
        <v>0.63837241631174524</v>
      </c>
    </row>
    <row r="19" spans="2:16" x14ac:dyDescent="0.25">
      <c r="B19" t="s">
        <v>7</v>
      </c>
      <c r="C19" s="11">
        <v>10</v>
      </c>
      <c r="N19" t="s">
        <v>106</v>
      </c>
      <c r="P19" s="23">
        <f>SUM(P21:P22)</f>
        <v>0</v>
      </c>
    </row>
    <row r="21" spans="2:16" x14ac:dyDescent="0.25">
      <c r="B21" t="s">
        <v>86</v>
      </c>
      <c r="C21" s="93" t="s">
        <v>32</v>
      </c>
      <c r="D21" s="93"/>
      <c r="E21" s="93"/>
      <c r="F21" s="93"/>
      <c r="N21" t="s">
        <v>12</v>
      </c>
      <c r="P21" s="23">
        <f>C31</f>
        <v>0</v>
      </c>
    </row>
    <row r="22" spans="2:16" x14ac:dyDescent="0.25">
      <c r="B22" t="s">
        <v>87</v>
      </c>
      <c r="N22" t="s">
        <v>43</v>
      </c>
      <c r="P22" s="23">
        <f>C32</f>
        <v>0</v>
      </c>
    </row>
    <row r="23" spans="2:16" x14ac:dyDescent="0.25">
      <c r="B23" t="s">
        <v>113</v>
      </c>
      <c r="C23" s="22">
        <f>IF(C21="SEM ENTRADA",0,IF(C21="ENTRADA IGUAL AS DEMAIS PARCELAS",P15,C22))</f>
        <v>0</v>
      </c>
    </row>
    <row r="24" spans="2:16" x14ac:dyDescent="0.25">
      <c r="B24" t="s">
        <v>88</v>
      </c>
      <c r="C24" s="22">
        <f>IF(C21="ENTRADA DIFERENTE DAS DEMAIS PARCELAS",C8-C22,C8)</f>
        <v>3517.58</v>
      </c>
    </row>
    <row r="26" spans="2:16" x14ac:dyDescent="0.25">
      <c r="B26" t="s">
        <v>89</v>
      </c>
      <c r="C26" s="19">
        <v>46121</v>
      </c>
      <c r="N26" t="s">
        <v>107</v>
      </c>
      <c r="P26" s="23">
        <f>G113</f>
        <v>0</v>
      </c>
    </row>
    <row r="27" spans="2:16" x14ac:dyDescent="0.25">
      <c r="C27" s="18"/>
    </row>
    <row r="28" spans="2:16" x14ac:dyDescent="0.25">
      <c r="B28" t="s">
        <v>90</v>
      </c>
      <c r="C28" s="19">
        <v>46144</v>
      </c>
      <c r="N28" t="s">
        <v>108</v>
      </c>
      <c r="P28" s="23">
        <f>I113</f>
        <v>0</v>
      </c>
    </row>
    <row r="29" spans="2:16" x14ac:dyDescent="0.25">
      <c r="C29" s="18"/>
    </row>
    <row r="30" spans="2:16" x14ac:dyDescent="0.25">
      <c r="B30" s="7" t="s">
        <v>91</v>
      </c>
      <c r="C30" s="20">
        <f>DATE(YEAR(C28),MONTH(C28)+C19-1,DAY(C28))</f>
        <v>46420</v>
      </c>
    </row>
    <row r="31" spans="2:16" x14ac:dyDescent="0.25">
      <c r="B31" s="7" t="s">
        <v>12</v>
      </c>
      <c r="C31" s="41">
        <f>IF(Auxiliares!B8=1,'IOF 2'!C17,0)</f>
        <v>0</v>
      </c>
    </row>
    <row r="32" spans="2:16" x14ac:dyDescent="0.25">
      <c r="B32" s="7" t="s">
        <v>43</v>
      </c>
      <c r="C32" s="41">
        <f>IF(Auxiliares!$B$8=1,'IOF 2'!C18,0)</f>
        <v>0</v>
      </c>
      <c r="N32" t="s">
        <v>109</v>
      </c>
      <c r="P32" s="10">
        <f>IF(C28="","",MAX($B$38:$B$111))</f>
        <v>46420</v>
      </c>
    </row>
    <row r="33" spans="1:14" x14ac:dyDescent="0.25">
      <c r="B33" s="7" t="s">
        <v>92</v>
      </c>
      <c r="C33" s="15" t="e">
        <f ca="1">XIRR(I39:INDIRECT(CONCATENATE("I",ROW(I39)+C19)),B39:INDIRECT(CONCATENATE("B",ROW(B39)+C19)),0)</f>
        <v>#NUM!</v>
      </c>
    </row>
    <row r="35" spans="1:14" x14ac:dyDescent="0.25">
      <c r="B35" t="s">
        <v>93</v>
      </c>
      <c r="C35" s="11">
        <v>2</v>
      </c>
    </row>
    <row r="36" spans="1:14" x14ac:dyDescent="0.25">
      <c r="M36" s="18" t="s">
        <v>98</v>
      </c>
    </row>
    <row r="37" spans="1:14" x14ac:dyDescent="0.25">
      <c r="M37" s="28">
        <f ca="1">M113-C8</f>
        <v>-3517.58</v>
      </c>
    </row>
    <row r="38" spans="1:14" x14ac:dyDescent="0.25">
      <c r="A38" s="26" t="s">
        <v>7</v>
      </c>
      <c r="B38" s="26" t="s">
        <v>46</v>
      </c>
      <c r="C38" s="26" t="s">
        <v>47</v>
      </c>
      <c r="D38" s="26" t="s">
        <v>48</v>
      </c>
      <c r="E38" s="26" t="s">
        <v>49</v>
      </c>
      <c r="F38" s="26" t="s">
        <v>50</v>
      </c>
      <c r="G38" s="26" t="s">
        <v>51</v>
      </c>
      <c r="H38" s="26" t="s">
        <v>52</v>
      </c>
      <c r="I38" s="26" t="s">
        <v>53</v>
      </c>
      <c r="J38" s="26" t="s">
        <v>12</v>
      </c>
      <c r="K38" s="26" t="s">
        <v>94</v>
      </c>
      <c r="L38" s="26" t="s">
        <v>95</v>
      </c>
      <c r="M38" s="18" t="s">
        <v>96</v>
      </c>
      <c r="N38" s="18" t="s">
        <v>97</v>
      </c>
    </row>
    <row r="39" spans="1:14" x14ac:dyDescent="0.25">
      <c r="A39" s="26">
        <v>0</v>
      </c>
      <c r="B39" s="20">
        <f>IF(C26="","",C26)</f>
        <v>46121</v>
      </c>
      <c r="C39" s="27">
        <f>IF(Auxiliares!B8=1,IF(C21="ENTRADA DIFERENTE DAS DEMAIS PARCELAS",C8+C31+C32-C22+P8,C8+C31+C32+P8),0)</f>
        <v>0</v>
      </c>
      <c r="D39" s="27"/>
      <c r="E39" s="27">
        <f>C39</f>
        <v>0</v>
      </c>
      <c r="F39" s="27"/>
      <c r="G39" s="27"/>
      <c r="H39" s="27"/>
      <c r="I39" s="27">
        <f>-C24</f>
        <v>-3517.58</v>
      </c>
      <c r="J39" s="27"/>
      <c r="K39" s="18"/>
      <c r="L39" s="27"/>
      <c r="M39" s="28">
        <f ca="1">M37</f>
        <v>-3517.58</v>
      </c>
      <c r="N39" s="18"/>
    </row>
    <row r="40" spans="1:14" x14ac:dyDescent="0.25">
      <c r="A40" s="26">
        <f>IF(A39="","",IF(A39+1&lt;=$C$19,A39+1,""))</f>
        <v>1</v>
      </c>
      <c r="B40" s="20">
        <f>IF(C28="","",IF(C21=Auxiliares!D1,C26,C28))</f>
        <v>46144</v>
      </c>
      <c r="C40" s="27">
        <f>C39+G40-I40</f>
        <v>0</v>
      </c>
      <c r="D40" s="27">
        <f>C40-E40</f>
        <v>0</v>
      </c>
      <c r="E40" s="27">
        <f>MIN($C$38,C40,E39)</f>
        <v>0</v>
      </c>
      <c r="F40" s="27">
        <f>E39-E40</f>
        <v>0</v>
      </c>
      <c r="G40" s="27">
        <f>IF(A40="",0,ROUND(((((1+$C$15)^((B40-B39)/30)-1)*C39)),2))</f>
        <v>0</v>
      </c>
      <c r="H40" s="27">
        <f>MIN(I40-F40,I40)</f>
        <v>0</v>
      </c>
      <c r="I40" s="27">
        <f>IF(A40="",0,$C$39/$L$113)</f>
        <v>0</v>
      </c>
      <c r="J40" s="27">
        <f>IFERROR('IOF 2'!#REF!+TP!$C$32/TP!$C$39*TP!F40,0)</f>
        <v>0</v>
      </c>
      <c r="K40" s="18">
        <f>IFERROR(B40-B39,0)</f>
        <v>23</v>
      </c>
      <c r="L40" s="30">
        <f>IF(A40="",0,ROUND(1/((1+$C$15)^((B40-$B$39)/30)),8))</f>
        <v>0.96895010999999998</v>
      </c>
      <c r="M40" s="31">
        <f ca="1">IFERROR(I40/((1+$C$33)^((B40-$B$39)/365)),0)</f>
        <v>0</v>
      </c>
      <c r="N40" s="28">
        <f>IFERROR(ROUND($P$8*F40/$P$6,2),0)</f>
        <v>0</v>
      </c>
    </row>
    <row r="41" spans="1:14" x14ac:dyDescent="0.25">
      <c r="A41" s="26">
        <f t="shared" ref="A41:A104" si="0">IF(A40="","",IF(A40+1&lt;=$C$19,A40+1,""))</f>
        <v>2</v>
      </c>
      <c r="B41" s="20">
        <f>IF(A41="","",DATE(YEAR(B40),IF(DAY(B40)&lt;$C$35,MONTH(B40),MONTH(B40)+1),$C$35)+IF(AND(DAY(DATE(YEAR(B40),IF(DAY(B40)&lt;$C$35,MONTH(B40),MONTH(B40)+1),$C$35))&lt;&gt;$C$35,DAY(DATE(YEAR(B40),IF(DAY(B40)&lt;$C$35,MONTH(B40)*MONTH(B40)+1),$C$35))=2),-1,0))</f>
        <v>46175</v>
      </c>
      <c r="C41" s="27">
        <f t="shared" ref="C41:C104" si="1">C40+G41-I41</f>
        <v>0</v>
      </c>
      <c r="D41" s="27">
        <f t="shared" ref="D41:D104" si="2">C41-E41</f>
        <v>0</v>
      </c>
      <c r="E41" s="27">
        <f t="shared" ref="E41:E104" si="3">MIN($C$38,C41,E40)</f>
        <v>0</v>
      </c>
      <c r="F41" s="27">
        <f t="shared" ref="F41:F104" si="4">E40-E41</f>
        <v>0</v>
      </c>
      <c r="G41" s="27">
        <f t="shared" ref="G41:G104" si="5">IF(A41="",0,ROUND(((((1+$C$15)^((B41-B40)/30)-1)*C40)),2))</f>
        <v>0</v>
      </c>
      <c r="H41" s="27">
        <f t="shared" ref="H41:H104" si="6">MIN(I41-F41,I41)</f>
        <v>0</v>
      </c>
      <c r="I41" s="27">
        <f t="shared" ref="I41:I104" si="7">IF(A41="",0,$C$39/$L$113)</f>
        <v>0</v>
      </c>
      <c r="J41" s="27">
        <f>IFERROR('IOF 2'!#REF!+TP!$C$32/TP!$C$39*TP!F41,0)</f>
        <v>0</v>
      </c>
      <c r="K41" s="18">
        <f t="shared" ref="K41:K104" si="8">IFERROR(B41-B40,0)</f>
        <v>31</v>
      </c>
      <c r="L41" s="30">
        <f t="shared" ref="L41:L104" si="9">IF(A41="",0,ROUND(1/((1+$C$15)^((B41-$B$39)/30)),8))</f>
        <v>0.92862016000000003</v>
      </c>
      <c r="M41" s="31">
        <f t="shared" ref="M41:M104" ca="1" si="10">IFERROR(I41/((1+$C$33)^((B41-$B$39)/365)),0)</f>
        <v>0</v>
      </c>
      <c r="N41" s="28">
        <f t="shared" ref="N41:N104" si="11">IFERROR(ROUND($P$8*F41/$P$6,2),0)</f>
        <v>0</v>
      </c>
    </row>
    <row r="42" spans="1:14" x14ac:dyDescent="0.25">
      <c r="A42" s="26">
        <f t="shared" si="0"/>
        <v>3</v>
      </c>
      <c r="B42" s="20">
        <f t="shared" ref="B42:B105" si="12">IF(A42="","",DATE(YEAR(B41),IF(DAY(B41)&lt;$C$35,MONTH(B41),MONTH(B41)+1),$C$35)+IF(AND(DAY(DATE(YEAR(B41),IF(DAY(B41)&lt;$C$35,MONTH(B41),MONTH(B41)+1),$C$35))&lt;&gt;$C$35,DAY(DATE(YEAR(B41),IF(DAY(B41)&lt;$C$35,MONTH(B41)*MONTH(B41)+1),$C$35))=2),-1,0))</f>
        <v>46205</v>
      </c>
      <c r="C42" s="27">
        <f t="shared" si="1"/>
        <v>0</v>
      </c>
      <c r="D42" s="27">
        <f t="shared" si="2"/>
        <v>0</v>
      </c>
      <c r="E42" s="27">
        <f t="shared" si="3"/>
        <v>0</v>
      </c>
      <c r="F42" s="27">
        <f t="shared" si="4"/>
        <v>0</v>
      </c>
      <c r="G42" s="27">
        <f t="shared" si="5"/>
        <v>0</v>
      </c>
      <c r="H42" s="27">
        <f t="shared" si="6"/>
        <v>0</v>
      </c>
      <c r="I42" s="27">
        <f t="shared" si="7"/>
        <v>0</v>
      </c>
      <c r="J42" s="27">
        <f>IFERROR('IOF 2'!#REF!+TP!$C$32/TP!$C$39*TP!F42,0)</f>
        <v>0</v>
      </c>
      <c r="K42" s="18">
        <f t="shared" si="8"/>
        <v>30</v>
      </c>
      <c r="L42" s="30">
        <f t="shared" si="9"/>
        <v>0.89119017</v>
      </c>
      <c r="M42" s="31">
        <f t="shared" ca="1" si="10"/>
        <v>0</v>
      </c>
      <c r="N42" s="28">
        <f t="shared" si="11"/>
        <v>0</v>
      </c>
    </row>
    <row r="43" spans="1:14" x14ac:dyDescent="0.25">
      <c r="A43" s="26">
        <f t="shared" si="0"/>
        <v>4</v>
      </c>
      <c r="B43" s="20">
        <f t="shared" si="12"/>
        <v>46236</v>
      </c>
      <c r="C43" s="27">
        <f t="shared" si="1"/>
        <v>0</v>
      </c>
      <c r="D43" s="27">
        <f t="shared" si="2"/>
        <v>0</v>
      </c>
      <c r="E43" s="27">
        <f t="shared" si="3"/>
        <v>0</v>
      </c>
      <c r="F43" s="27">
        <f t="shared" si="4"/>
        <v>0</v>
      </c>
      <c r="G43" s="27">
        <f t="shared" si="5"/>
        <v>0</v>
      </c>
      <c r="H43" s="27">
        <f t="shared" si="6"/>
        <v>0</v>
      </c>
      <c r="I43" s="27">
        <f t="shared" si="7"/>
        <v>0</v>
      </c>
      <c r="J43" s="27">
        <f>IFERROR('IOF 2'!#REF!+TP!$C$32/TP!$C$39*TP!F43,0)</f>
        <v>0</v>
      </c>
      <c r="K43" s="18">
        <f t="shared" si="8"/>
        <v>31</v>
      </c>
      <c r="L43" s="30">
        <f t="shared" si="9"/>
        <v>0.85409676999999995</v>
      </c>
      <c r="M43" s="31">
        <f t="shared" ca="1" si="10"/>
        <v>0</v>
      </c>
      <c r="N43" s="28">
        <f t="shared" si="11"/>
        <v>0</v>
      </c>
    </row>
    <row r="44" spans="1:14" x14ac:dyDescent="0.25">
      <c r="A44" s="26">
        <f t="shared" si="0"/>
        <v>5</v>
      </c>
      <c r="B44" s="20">
        <f t="shared" si="12"/>
        <v>46267</v>
      </c>
      <c r="C44" s="27">
        <f t="shared" si="1"/>
        <v>0</v>
      </c>
      <c r="D44" s="27">
        <f t="shared" si="2"/>
        <v>0</v>
      </c>
      <c r="E44" s="27">
        <f t="shared" si="3"/>
        <v>0</v>
      </c>
      <c r="F44" s="27">
        <f t="shared" si="4"/>
        <v>0</v>
      </c>
      <c r="G44" s="27">
        <f t="shared" si="5"/>
        <v>0</v>
      </c>
      <c r="H44" s="27">
        <f t="shared" si="6"/>
        <v>0</v>
      </c>
      <c r="I44" s="27">
        <f t="shared" si="7"/>
        <v>0</v>
      </c>
      <c r="J44" s="27">
        <f>IFERROR('IOF 2'!#REF!+TP!$C$32/TP!$C$39*TP!F44,0)</f>
        <v>0</v>
      </c>
      <c r="K44" s="18">
        <f t="shared" si="8"/>
        <v>31</v>
      </c>
      <c r="L44" s="30">
        <f t="shared" si="9"/>
        <v>0.81854727999999999</v>
      </c>
      <c r="M44" s="31">
        <f t="shared" ca="1" si="10"/>
        <v>0</v>
      </c>
      <c r="N44" s="28">
        <f t="shared" si="11"/>
        <v>0</v>
      </c>
    </row>
    <row r="45" spans="1:14" x14ac:dyDescent="0.25">
      <c r="A45" s="26">
        <f t="shared" si="0"/>
        <v>6</v>
      </c>
      <c r="B45" s="20">
        <f t="shared" si="12"/>
        <v>46297</v>
      </c>
      <c r="C45" s="27">
        <f t="shared" si="1"/>
        <v>0</v>
      </c>
      <c r="D45" s="27">
        <f t="shared" si="2"/>
        <v>0</v>
      </c>
      <c r="E45" s="27">
        <f t="shared" si="3"/>
        <v>0</v>
      </c>
      <c r="F45" s="27">
        <f t="shared" si="4"/>
        <v>0</v>
      </c>
      <c r="G45" s="27">
        <f t="shared" si="5"/>
        <v>0</v>
      </c>
      <c r="H45" s="27">
        <f t="shared" si="6"/>
        <v>0</v>
      </c>
      <c r="I45" s="27">
        <f t="shared" si="7"/>
        <v>0</v>
      </c>
      <c r="J45" s="27">
        <f>IFERROR('IOF 2'!#REF!+TP!$C$32/TP!$C$39*TP!F45,0)</f>
        <v>0</v>
      </c>
      <c r="K45" s="18">
        <f t="shared" si="8"/>
        <v>30</v>
      </c>
      <c r="L45" s="30">
        <f t="shared" si="9"/>
        <v>0.78555401000000002</v>
      </c>
      <c r="M45" s="31">
        <f t="shared" ca="1" si="10"/>
        <v>0</v>
      </c>
      <c r="N45" s="28">
        <f t="shared" si="11"/>
        <v>0</v>
      </c>
    </row>
    <row r="46" spans="1:14" x14ac:dyDescent="0.25">
      <c r="A46" s="26">
        <f t="shared" si="0"/>
        <v>7</v>
      </c>
      <c r="B46" s="20">
        <f t="shared" si="12"/>
        <v>46328</v>
      </c>
      <c r="C46" s="27">
        <f t="shared" si="1"/>
        <v>0</v>
      </c>
      <c r="D46" s="27">
        <f t="shared" si="2"/>
        <v>0</v>
      </c>
      <c r="E46" s="27">
        <f t="shared" si="3"/>
        <v>0</v>
      </c>
      <c r="F46" s="27">
        <f t="shared" si="4"/>
        <v>0</v>
      </c>
      <c r="G46" s="27">
        <f t="shared" si="5"/>
        <v>0</v>
      </c>
      <c r="H46" s="27">
        <f t="shared" si="6"/>
        <v>0</v>
      </c>
      <c r="I46" s="27">
        <f t="shared" si="7"/>
        <v>0</v>
      </c>
      <c r="J46" s="27">
        <f>IFERROR('IOF 2'!#REF!+TP!$C$32/TP!$C$39*TP!F46,0)</f>
        <v>0</v>
      </c>
      <c r="K46" s="18">
        <f t="shared" si="8"/>
        <v>31</v>
      </c>
      <c r="L46" s="30">
        <f t="shared" si="9"/>
        <v>0.75285743000000005</v>
      </c>
      <c r="M46" s="31">
        <f t="shared" ca="1" si="10"/>
        <v>0</v>
      </c>
      <c r="N46" s="28">
        <f t="shared" si="11"/>
        <v>0</v>
      </c>
    </row>
    <row r="47" spans="1:14" x14ac:dyDescent="0.25">
      <c r="A47" s="26">
        <f t="shared" si="0"/>
        <v>8</v>
      </c>
      <c r="B47" s="20">
        <f t="shared" si="12"/>
        <v>46358</v>
      </c>
      <c r="C47" s="27">
        <f t="shared" si="1"/>
        <v>0</v>
      </c>
      <c r="D47" s="27">
        <f t="shared" si="2"/>
        <v>0</v>
      </c>
      <c r="E47" s="27">
        <f t="shared" si="3"/>
        <v>0</v>
      </c>
      <c r="F47" s="27">
        <f t="shared" si="4"/>
        <v>0</v>
      </c>
      <c r="G47" s="27">
        <f t="shared" si="5"/>
        <v>0</v>
      </c>
      <c r="H47" s="27">
        <f t="shared" si="6"/>
        <v>0</v>
      </c>
      <c r="I47" s="27">
        <f t="shared" si="7"/>
        <v>0</v>
      </c>
      <c r="J47" s="27">
        <f>IFERROR('IOF 2'!#REF!+TP!$C$32/TP!$C$39*TP!F47,0)</f>
        <v>0</v>
      </c>
      <c r="K47" s="18">
        <f t="shared" si="8"/>
        <v>30</v>
      </c>
      <c r="L47" s="30">
        <f t="shared" si="9"/>
        <v>0.72251193000000002</v>
      </c>
      <c r="M47" s="31">
        <f t="shared" ca="1" si="10"/>
        <v>0</v>
      </c>
      <c r="N47" s="28">
        <f t="shared" si="11"/>
        <v>0</v>
      </c>
    </row>
    <row r="48" spans="1:14" x14ac:dyDescent="0.25">
      <c r="A48" s="26">
        <f t="shared" si="0"/>
        <v>9</v>
      </c>
      <c r="B48" s="20">
        <f t="shared" si="12"/>
        <v>46389</v>
      </c>
      <c r="C48" s="27">
        <f t="shared" si="1"/>
        <v>0</v>
      </c>
      <c r="D48" s="27">
        <f t="shared" si="2"/>
        <v>0</v>
      </c>
      <c r="E48" s="27">
        <f t="shared" si="3"/>
        <v>0</v>
      </c>
      <c r="F48" s="27">
        <f t="shared" si="4"/>
        <v>0</v>
      </c>
      <c r="G48" s="27">
        <f t="shared" si="5"/>
        <v>0</v>
      </c>
      <c r="H48" s="27">
        <f t="shared" si="6"/>
        <v>0</v>
      </c>
      <c r="I48" s="27">
        <f t="shared" si="7"/>
        <v>0</v>
      </c>
      <c r="J48" s="27">
        <f>IFERROR('IOF 2'!#REF!+TP!$C$32/TP!$C$39*TP!F48,0)</f>
        <v>0</v>
      </c>
      <c r="K48" s="18">
        <f t="shared" si="8"/>
        <v>31</v>
      </c>
      <c r="L48" s="30">
        <f t="shared" si="9"/>
        <v>0.69243929999999998</v>
      </c>
      <c r="M48" s="31">
        <f t="shared" ca="1" si="10"/>
        <v>0</v>
      </c>
      <c r="N48" s="28">
        <f t="shared" si="11"/>
        <v>0</v>
      </c>
    </row>
    <row r="49" spans="1:14" x14ac:dyDescent="0.25">
      <c r="A49" s="26">
        <f t="shared" si="0"/>
        <v>10</v>
      </c>
      <c r="B49" s="20">
        <f t="shared" si="12"/>
        <v>46420</v>
      </c>
      <c r="C49" s="27">
        <f t="shared" si="1"/>
        <v>0</v>
      </c>
      <c r="D49" s="27">
        <f t="shared" si="2"/>
        <v>0</v>
      </c>
      <c r="E49" s="27">
        <f t="shared" si="3"/>
        <v>0</v>
      </c>
      <c r="F49" s="27">
        <f t="shared" si="4"/>
        <v>0</v>
      </c>
      <c r="G49" s="27">
        <f t="shared" si="5"/>
        <v>0</v>
      </c>
      <c r="H49" s="27">
        <f t="shared" si="6"/>
        <v>0</v>
      </c>
      <c r="I49" s="27">
        <f t="shared" si="7"/>
        <v>0</v>
      </c>
      <c r="J49" s="27">
        <f>IFERROR('IOF 2'!#REF!+TP!$C$32/TP!$C$39*TP!F49,0)</f>
        <v>0</v>
      </c>
      <c r="K49" s="18">
        <f t="shared" si="8"/>
        <v>31</v>
      </c>
      <c r="L49" s="30">
        <f t="shared" si="9"/>
        <v>0.66361837000000001</v>
      </c>
      <c r="M49" s="31">
        <f t="shared" ca="1" si="10"/>
        <v>0</v>
      </c>
      <c r="N49" s="28">
        <f t="shared" si="11"/>
        <v>0</v>
      </c>
    </row>
    <row r="50" spans="1:14" x14ac:dyDescent="0.25">
      <c r="A50" s="26" t="str">
        <f t="shared" si="0"/>
        <v/>
      </c>
      <c r="B50" s="20" t="str">
        <f t="shared" si="12"/>
        <v/>
      </c>
      <c r="C50" s="27">
        <f t="shared" si="1"/>
        <v>0</v>
      </c>
      <c r="D50" s="27">
        <f t="shared" si="2"/>
        <v>0</v>
      </c>
      <c r="E50" s="27">
        <f t="shared" si="3"/>
        <v>0</v>
      </c>
      <c r="F50" s="27">
        <f t="shared" si="4"/>
        <v>0</v>
      </c>
      <c r="G50" s="27">
        <f t="shared" si="5"/>
        <v>0</v>
      </c>
      <c r="H50" s="27">
        <f t="shared" si="6"/>
        <v>0</v>
      </c>
      <c r="I50" s="27">
        <f t="shared" si="7"/>
        <v>0</v>
      </c>
      <c r="J50" s="27">
        <f>IFERROR('IOF 2'!#REF!+TP!$C$32/TP!$C$39*TP!F50,0)</f>
        <v>0</v>
      </c>
      <c r="K50" s="18">
        <f t="shared" si="8"/>
        <v>0</v>
      </c>
      <c r="L50" s="30">
        <f t="shared" si="9"/>
        <v>0</v>
      </c>
      <c r="M50" s="31">
        <f t="shared" ca="1" si="10"/>
        <v>0</v>
      </c>
      <c r="N50" s="28">
        <f t="shared" si="11"/>
        <v>0</v>
      </c>
    </row>
    <row r="51" spans="1:14" x14ac:dyDescent="0.25">
      <c r="A51" s="26" t="str">
        <f t="shared" si="0"/>
        <v/>
      </c>
      <c r="B51" s="20" t="str">
        <f t="shared" si="12"/>
        <v/>
      </c>
      <c r="C51" s="27">
        <f t="shared" si="1"/>
        <v>0</v>
      </c>
      <c r="D51" s="27">
        <f t="shared" si="2"/>
        <v>0</v>
      </c>
      <c r="E51" s="27">
        <f t="shared" si="3"/>
        <v>0</v>
      </c>
      <c r="F51" s="27">
        <f t="shared" si="4"/>
        <v>0</v>
      </c>
      <c r="G51" s="27">
        <f t="shared" si="5"/>
        <v>0</v>
      </c>
      <c r="H51" s="27">
        <f t="shared" si="6"/>
        <v>0</v>
      </c>
      <c r="I51" s="27">
        <f t="shared" si="7"/>
        <v>0</v>
      </c>
      <c r="J51" s="27">
        <f>IFERROR('IOF 2'!#REF!+TP!$C$32/TP!$C$39*TP!F51,0)</f>
        <v>0</v>
      </c>
      <c r="K51" s="18">
        <f t="shared" si="8"/>
        <v>0</v>
      </c>
      <c r="L51" s="30">
        <f t="shared" si="9"/>
        <v>0</v>
      </c>
      <c r="M51" s="31">
        <f t="shared" ca="1" si="10"/>
        <v>0</v>
      </c>
      <c r="N51" s="28">
        <f t="shared" si="11"/>
        <v>0</v>
      </c>
    </row>
    <row r="52" spans="1:14" x14ac:dyDescent="0.25">
      <c r="A52" s="26" t="str">
        <f t="shared" si="0"/>
        <v/>
      </c>
      <c r="B52" s="20" t="str">
        <f t="shared" si="12"/>
        <v/>
      </c>
      <c r="C52" s="27">
        <f t="shared" si="1"/>
        <v>0</v>
      </c>
      <c r="D52" s="27">
        <f t="shared" si="2"/>
        <v>0</v>
      </c>
      <c r="E52" s="27">
        <f t="shared" si="3"/>
        <v>0</v>
      </c>
      <c r="F52" s="27">
        <f t="shared" si="4"/>
        <v>0</v>
      </c>
      <c r="G52" s="27">
        <f t="shared" si="5"/>
        <v>0</v>
      </c>
      <c r="H52" s="27">
        <f t="shared" si="6"/>
        <v>0</v>
      </c>
      <c r="I52" s="27">
        <f t="shared" si="7"/>
        <v>0</v>
      </c>
      <c r="J52" s="27">
        <f>IFERROR('IOF 2'!#REF!+TP!$C$32/TP!$C$39*TP!F52,0)</f>
        <v>0</v>
      </c>
      <c r="K52" s="18">
        <f t="shared" si="8"/>
        <v>0</v>
      </c>
      <c r="L52" s="30">
        <f t="shared" si="9"/>
        <v>0</v>
      </c>
      <c r="M52" s="31">
        <f t="shared" ca="1" si="10"/>
        <v>0</v>
      </c>
      <c r="N52" s="28">
        <f t="shared" si="11"/>
        <v>0</v>
      </c>
    </row>
    <row r="53" spans="1:14" x14ac:dyDescent="0.25">
      <c r="A53" s="26" t="str">
        <f t="shared" si="0"/>
        <v/>
      </c>
      <c r="B53" s="20" t="str">
        <f t="shared" si="12"/>
        <v/>
      </c>
      <c r="C53" s="27">
        <f t="shared" si="1"/>
        <v>0</v>
      </c>
      <c r="D53" s="27">
        <f t="shared" si="2"/>
        <v>0</v>
      </c>
      <c r="E53" s="27">
        <f t="shared" si="3"/>
        <v>0</v>
      </c>
      <c r="F53" s="27">
        <f t="shared" si="4"/>
        <v>0</v>
      </c>
      <c r="G53" s="27">
        <f t="shared" si="5"/>
        <v>0</v>
      </c>
      <c r="H53" s="27">
        <f t="shared" si="6"/>
        <v>0</v>
      </c>
      <c r="I53" s="27">
        <f t="shared" si="7"/>
        <v>0</v>
      </c>
      <c r="J53" s="27">
        <f>IFERROR('IOF 2'!#REF!+TP!$C$32/TP!$C$39*TP!F53,0)</f>
        <v>0</v>
      </c>
      <c r="K53" s="18">
        <f t="shared" si="8"/>
        <v>0</v>
      </c>
      <c r="L53" s="30">
        <f t="shared" si="9"/>
        <v>0</v>
      </c>
      <c r="M53" s="31">
        <f t="shared" ca="1" si="10"/>
        <v>0</v>
      </c>
      <c r="N53" s="28">
        <f t="shared" si="11"/>
        <v>0</v>
      </c>
    </row>
    <row r="54" spans="1:14" x14ac:dyDescent="0.25">
      <c r="A54" s="26" t="str">
        <f t="shared" si="0"/>
        <v/>
      </c>
      <c r="B54" s="20" t="str">
        <f t="shared" si="12"/>
        <v/>
      </c>
      <c r="C54" s="27">
        <f t="shared" si="1"/>
        <v>0</v>
      </c>
      <c r="D54" s="27">
        <f t="shared" si="2"/>
        <v>0</v>
      </c>
      <c r="E54" s="27">
        <f t="shared" si="3"/>
        <v>0</v>
      </c>
      <c r="F54" s="27">
        <f t="shared" si="4"/>
        <v>0</v>
      </c>
      <c r="G54" s="27">
        <f t="shared" si="5"/>
        <v>0</v>
      </c>
      <c r="H54" s="27">
        <f t="shared" si="6"/>
        <v>0</v>
      </c>
      <c r="I54" s="27">
        <f t="shared" si="7"/>
        <v>0</v>
      </c>
      <c r="J54" s="27">
        <f>IFERROR('IOF 2'!#REF!+TP!$C$32/TP!$C$39*TP!F54,0)</f>
        <v>0</v>
      </c>
      <c r="K54" s="18">
        <f t="shared" si="8"/>
        <v>0</v>
      </c>
      <c r="L54" s="30">
        <f t="shared" si="9"/>
        <v>0</v>
      </c>
      <c r="M54" s="31">
        <f t="shared" ca="1" si="10"/>
        <v>0</v>
      </c>
      <c r="N54" s="28">
        <f t="shared" si="11"/>
        <v>0</v>
      </c>
    </row>
    <row r="55" spans="1:14" x14ac:dyDescent="0.25">
      <c r="A55" s="26" t="str">
        <f t="shared" si="0"/>
        <v/>
      </c>
      <c r="B55" s="20" t="str">
        <f t="shared" si="12"/>
        <v/>
      </c>
      <c r="C55" s="27">
        <f t="shared" si="1"/>
        <v>0</v>
      </c>
      <c r="D55" s="27">
        <f t="shared" si="2"/>
        <v>0</v>
      </c>
      <c r="E55" s="27">
        <f t="shared" si="3"/>
        <v>0</v>
      </c>
      <c r="F55" s="27">
        <f t="shared" si="4"/>
        <v>0</v>
      </c>
      <c r="G55" s="27">
        <f t="shared" si="5"/>
        <v>0</v>
      </c>
      <c r="H55" s="27">
        <f t="shared" si="6"/>
        <v>0</v>
      </c>
      <c r="I55" s="27">
        <f t="shared" si="7"/>
        <v>0</v>
      </c>
      <c r="J55" s="27">
        <f>IFERROR('IOF 2'!#REF!+TP!$C$32/TP!$C$39*TP!F55,0)</f>
        <v>0</v>
      </c>
      <c r="K55" s="18">
        <f t="shared" si="8"/>
        <v>0</v>
      </c>
      <c r="L55" s="30">
        <f t="shared" si="9"/>
        <v>0</v>
      </c>
      <c r="M55" s="31">
        <f t="shared" ca="1" si="10"/>
        <v>0</v>
      </c>
      <c r="N55" s="28">
        <f t="shared" si="11"/>
        <v>0</v>
      </c>
    </row>
    <row r="56" spans="1:14" x14ac:dyDescent="0.25">
      <c r="A56" s="26" t="str">
        <f t="shared" si="0"/>
        <v/>
      </c>
      <c r="B56" s="20" t="str">
        <f t="shared" si="12"/>
        <v/>
      </c>
      <c r="C56" s="27">
        <f t="shared" si="1"/>
        <v>0</v>
      </c>
      <c r="D56" s="27">
        <f t="shared" si="2"/>
        <v>0</v>
      </c>
      <c r="E56" s="27">
        <f t="shared" si="3"/>
        <v>0</v>
      </c>
      <c r="F56" s="27">
        <f t="shared" si="4"/>
        <v>0</v>
      </c>
      <c r="G56" s="27">
        <f t="shared" si="5"/>
        <v>0</v>
      </c>
      <c r="H56" s="27">
        <f t="shared" si="6"/>
        <v>0</v>
      </c>
      <c r="I56" s="27">
        <f t="shared" si="7"/>
        <v>0</v>
      </c>
      <c r="J56" s="27">
        <f>IFERROR('IOF 2'!#REF!+TP!$C$32/TP!$C$39*TP!F56,0)</f>
        <v>0</v>
      </c>
      <c r="K56" s="18">
        <f t="shared" si="8"/>
        <v>0</v>
      </c>
      <c r="L56" s="30">
        <f t="shared" si="9"/>
        <v>0</v>
      </c>
      <c r="M56" s="31">
        <f t="shared" ca="1" si="10"/>
        <v>0</v>
      </c>
      <c r="N56" s="28">
        <f t="shared" si="11"/>
        <v>0</v>
      </c>
    </row>
    <row r="57" spans="1:14" x14ac:dyDescent="0.25">
      <c r="A57" s="26" t="str">
        <f t="shared" si="0"/>
        <v/>
      </c>
      <c r="B57" s="20" t="str">
        <f t="shared" si="12"/>
        <v/>
      </c>
      <c r="C57" s="27">
        <f t="shared" si="1"/>
        <v>0</v>
      </c>
      <c r="D57" s="27">
        <f t="shared" si="2"/>
        <v>0</v>
      </c>
      <c r="E57" s="27">
        <f t="shared" si="3"/>
        <v>0</v>
      </c>
      <c r="F57" s="27">
        <f t="shared" si="4"/>
        <v>0</v>
      </c>
      <c r="G57" s="27">
        <f t="shared" si="5"/>
        <v>0</v>
      </c>
      <c r="H57" s="27">
        <f t="shared" si="6"/>
        <v>0</v>
      </c>
      <c r="I57" s="27">
        <f t="shared" si="7"/>
        <v>0</v>
      </c>
      <c r="J57" s="27">
        <f>IFERROR('IOF 2'!#REF!+TP!$C$32/TP!$C$39*TP!F57,0)</f>
        <v>0</v>
      </c>
      <c r="K57" s="18">
        <f t="shared" si="8"/>
        <v>0</v>
      </c>
      <c r="L57" s="30">
        <f t="shared" si="9"/>
        <v>0</v>
      </c>
      <c r="M57" s="31">
        <f t="shared" ca="1" si="10"/>
        <v>0</v>
      </c>
      <c r="N57" s="28">
        <f t="shared" si="11"/>
        <v>0</v>
      </c>
    </row>
    <row r="58" spans="1:14" x14ac:dyDescent="0.25">
      <c r="A58" s="26" t="str">
        <f t="shared" si="0"/>
        <v/>
      </c>
      <c r="B58" s="20" t="str">
        <f t="shared" si="12"/>
        <v/>
      </c>
      <c r="C58" s="27">
        <f t="shared" si="1"/>
        <v>0</v>
      </c>
      <c r="D58" s="27">
        <f t="shared" si="2"/>
        <v>0</v>
      </c>
      <c r="E58" s="27">
        <f t="shared" si="3"/>
        <v>0</v>
      </c>
      <c r="F58" s="27">
        <f t="shared" si="4"/>
        <v>0</v>
      </c>
      <c r="G58" s="27">
        <f t="shared" si="5"/>
        <v>0</v>
      </c>
      <c r="H58" s="27">
        <f t="shared" si="6"/>
        <v>0</v>
      </c>
      <c r="I58" s="27">
        <f t="shared" si="7"/>
        <v>0</v>
      </c>
      <c r="J58" s="27">
        <f>IFERROR('IOF 2'!#REF!+TP!$C$32/TP!$C$39*TP!F58,0)</f>
        <v>0</v>
      </c>
      <c r="K58" s="18">
        <f t="shared" si="8"/>
        <v>0</v>
      </c>
      <c r="L58" s="30">
        <f t="shared" si="9"/>
        <v>0</v>
      </c>
      <c r="M58" s="31">
        <f t="shared" ca="1" si="10"/>
        <v>0</v>
      </c>
      <c r="N58" s="28">
        <f t="shared" si="11"/>
        <v>0</v>
      </c>
    </row>
    <row r="59" spans="1:14" x14ac:dyDescent="0.25">
      <c r="A59" s="26" t="str">
        <f t="shared" si="0"/>
        <v/>
      </c>
      <c r="B59" s="20" t="str">
        <f t="shared" si="12"/>
        <v/>
      </c>
      <c r="C59" s="27">
        <f t="shared" si="1"/>
        <v>0</v>
      </c>
      <c r="D59" s="27">
        <f t="shared" si="2"/>
        <v>0</v>
      </c>
      <c r="E59" s="27">
        <f t="shared" si="3"/>
        <v>0</v>
      </c>
      <c r="F59" s="27">
        <f t="shared" si="4"/>
        <v>0</v>
      </c>
      <c r="G59" s="27">
        <f t="shared" si="5"/>
        <v>0</v>
      </c>
      <c r="H59" s="27">
        <f t="shared" si="6"/>
        <v>0</v>
      </c>
      <c r="I59" s="27">
        <f t="shared" si="7"/>
        <v>0</v>
      </c>
      <c r="J59" s="27">
        <f>IFERROR('IOF 2'!#REF!+TP!$C$32/TP!$C$39*TP!F59,0)</f>
        <v>0</v>
      </c>
      <c r="K59" s="18">
        <f t="shared" si="8"/>
        <v>0</v>
      </c>
      <c r="L59" s="30">
        <f t="shared" si="9"/>
        <v>0</v>
      </c>
      <c r="M59" s="31">
        <f t="shared" ca="1" si="10"/>
        <v>0</v>
      </c>
      <c r="N59" s="28">
        <f t="shared" si="11"/>
        <v>0</v>
      </c>
    </row>
    <row r="60" spans="1:14" x14ac:dyDescent="0.25">
      <c r="A60" s="26" t="str">
        <f t="shared" si="0"/>
        <v/>
      </c>
      <c r="B60" s="20" t="str">
        <f t="shared" si="12"/>
        <v/>
      </c>
      <c r="C60" s="27">
        <f t="shared" si="1"/>
        <v>0</v>
      </c>
      <c r="D60" s="27">
        <f t="shared" si="2"/>
        <v>0</v>
      </c>
      <c r="E60" s="27">
        <f t="shared" si="3"/>
        <v>0</v>
      </c>
      <c r="F60" s="27">
        <f t="shared" si="4"/>
        <v>0</v>
      </c>
      <c r="G60" s="27">
        <f t="shared" si="5"/>
        <v>0</v>
      </c>
      <c r="H60" s="27">
        <f t="shared" si="6"/>
        <v>0</v>
      </c>
      <c r="I60" s="27">
        <f t="shared" si="7"/>
        <v>0</v>
      </c>
      <c r="J60" s="27">
        <f>IFERROR('IOF 2'!#REF!+TP!$C$32/TP!$C$39*TP!F60,0)</f>
        <v>0</v>
      </c>
      <c r="K60" s="18">
        <f t="shared" si="8"/>
        <v>0</v>
      </c>
      <c r="L60" s="30">
        <f t="shared" si="9"/>
        <v>0</v>
      </c>
      <c r="M60" s="31">
        <f t="shared" ca="1" si="10"/>
        <v>0</v>
      </c>
      <c r="N60" s="28">
        <f t="shared" si="11"/>
        <v>0</v>
      </c>
    </row>
    <row r="61" spans="1:14" x14ac:dyDescent="0.25">
      <c r="A61" s="26" t="str">
        <f t="shared" si="0"/>
        <v/>
      </c>
      <c r="B61" s="20" t="str">
        <f t="shared" si="12"/>
        <v/>
      </c>
      <c r="C61" s="27">
        <f t="shared" si="1"/>
        <v>0</v>
      </c>
      <c r="D61" s="27">
        <f t="shared" si="2"/>
        <v>0</v>
      </c>
      <c r="E61" s="27">
        <f t="shared" si="3"/>
        <v>0</v>
      </c>
      <c r="F61" s="27">
        <f t="shared" si="4"/>
        <v>0</v>
      </c>
      <c r="G61" s="27">
        <f t="shared" si="5"/>
        <v>0</v>
      </c>
      <c r="H61" s="27">
        <f t="shared" si="6"/>
        <v>0</v>
      </c>
      <c r="I61" s="27">
        <f t="shared" si="7"/>
        <v>0</v>
      </c>
      <c r="J61" s="27">
        <f>IFERROR('IOF 2'!#REF!+TP!$C$32/TP!$C$39*TP!F61,0)</f>
        <v>0</v>
      </c>
      <c r="K61" s="18">
        <f t="shared" si="8"/>
        <v>0</v>
      </c>
      <c r="L61" s="30">
        <f t="shared" si="9"/>
        <v>0</v>
      </c>
      <c r="M61" s="31">
        <f t="shared" ca="1" si="10"/>
        <v>0</v>
      </c>
      <c r="N61" s="28">
        <f t="shared" si="11"/>
        <v>0</v>
      </c>
    </row>
    <row r="62" spans="1:14" x14ac:dyDescent="0.25">
      <c r="A62" s="26" t="str">
        <f t="shared" si="0"/>
        <v/>
      </c>
      <c r="B62" s="20" t="str">
        <f t="shared" si="12"/>
        <v/>
      </c>
      <c r="C62" s="27">
        <f t="shared" si="1"/>
        <v>0</v>
      </c>
      <c r="D62" s="27">
        <f t="shared" si="2"/>
        <v>0</v>
      </c>
      <c r="E62" s="27">
        <f t="shared" si="3"/>
        <v>0</v>
      </c>
      <c r="F62" s="27">
        <f t="shared" si="4"/>
        <v>0</v>
      </c>
      <c r="G62" s="27">
        <f t="shared" si="5"/>
        <v>0</v>
      </c>
      <c r="H62" s="27">
        <f t="shared" si="6"/>
        <v>0</v>
      </c>
      <c r="I62" s="27">
        <f t="shared" si="7"/>
        <v>0</v>
      </c>
      <c r="J62" s="27">
        <f>IFERROR('IOF 2'!#REF!+TP!$C$32/TP!$C$39*TP!F62,0)</f>
        <v>0</v>
      </c>
      <c r="K62" s="18">
        <f t="shared" si="8"/>
        <v>0</v>
      </c>
      <c r="L62" s="30">
        <f t="shared" si="9"/>
        <v>0</v>
      </c>
      <c r="M62" s="31">
        <f t="shared" ca="1" si="10"/>
        <v>0</v>
      </c>
      <c r="N62" s="28">
        <f t="shared" si="11"/>
        <v>0</v>
      </c>
    </row>
    <row r="63" spans="1:14" x14ac:dyDescent="0.25">
      <c r="A63" s="26" t="str">
        <f t="shared" si="0"/>
        <v/>
      </c>
      <c r="B63" s="20" t="str">
        <f t="shared" si="12"/>
        <v/>
      </c>
      <c r="C63" s="27">
        <f t="shared" si="1"/>
        <v>0</v>
      </c>
      <c r="D63" s="27">
        <f t="shared" si="2"/>
        <v>0</v>
      </c>
      <c r="E63" s="27">
        <f t="shared" si="3"/>
        <v>0</v>
      </c>
      <c r="F63" s="27">
        <f t="shared" si="4"/>
        <v>0</v>
      </c>
      <c r="G63" s="27">
        <f t="shared" si="5"/>
        <v>0</v>
      </c>
      <c r="H63" s="27">
        <f t="shared" si="6"/>
        <v>0</v>
      </c>
      <c r="I63" s="27">
        <f t="shared" si="7"/>
        <v>0</v>
      </c>
      <c r="J63" s="27">
        <f>IFERROR('IOF 2'!#REF!+TP!$C$32/TP!$C$39*TP!F63,0)</f>
        <v>0</v>
      </c>
      <c r="K63" s="18">
        <f t="shared" si="8"/>
        <v>0</v>
      </c>
      <c r="L63" s="30">
        <f t="shared" si="9"/>
        <v>0</v>
      </c>
      <c r="M63" s="31">
        <f t="shared" ca="1" si="10"/>
        <v>0</v>
      </c>
      <c r="N63" s="28">
        <f t="shared" si="11"/>
        <v>0</v>
      </c>
    </row>
    <row r="64" spans="1:14" x14ac:dyDescent="0.25">
      <c r="A64" s="26" t="str">
        <f t="shared" si="0"/>
        <v/>
      </c>
      <c r="B64" s="20" t="str">
        <f t="shared" si="12"/>
        <v/>
      </c>
      <c r="C64" s="27">
        <f t="shared" si="1"/>
        <v>0</v>
      </c>
      <c r="D64" s="27">
        <f t="shared" si="2"/>
        <v>0</v>
      </c>
      <c r="E64" s="27">
        <f t="shared" si="3"/>
        <v>0</v>
      </c>
      <c r="F64" s="27">
        <f t="shared" si="4"/>
        <v>0</v>
      </c>
      <c r="G64" s="27">
        <f t="shared" si="5"/>
        <v>0</v>
      </c>
      <c r="H64" s="27">
        <f t="shared" si="6"/>
        <v>0</v>
      </c>
      <c r="I64" s="27">
        <f t="shared" si="7"/>
        <v>0</v>
      </c>
      <c r="J64" s="27">
        <f>IFERROR('IOF 2'!#REF!+TP!$C$32/TP!$C$39*TP!F64,0)</f>
        <v>0</v>
      </c>
      <c r="K64" s="18">
        <f t="shared" si="8"/>
        <v>0</v>
      </c>
      <c r="L64" s="30">
        <f t="shared" si="9"/>
        <v>0</v>
      </c>
      <c r="M64" s="31">
        <f t="shared" ca="1" si="10"/>
        <v>0</v>
      </c>
      <c r="N64" s="28">
        <f t="shared" si="11"/>
        <v>0</v>
      </c>
    </row>
    <row r="65" spans="1:14" x14ac:dyDescent="0.25">
      <c r="A65" s="26" t="str">
        <f t="shared" si="0"/>
        <v/>
      </c>
      <c r="B65" s="20" t="str">
        <f t="shared" si="12"/>
        <v/>
      </c>
      <c r="C65" s="27">
        <f t="shared" si="1"/>
        <v>0</v>
      </c>
      <c r="D65" s="27">
        <f t="shared" si="2"/>
        <v>0</v>
      </c>
      <c r="E65" s="27">
        <f t="shared" si="3"/>
        <v>0</v>
      </c>
      <c r="F65" s="27">
        <f t="shared" si="4"/>
        <v>0</v>
      </c>
      <c r="G65" s="27">
        <f t="shared" si="5"/>
        <v>0</v>
      </c>
      <c r="H65" s="27">
        <f t="shared" si="6"/>
        <v>0</v>
      </c>
      <c r="I65" s="27">
        <f t="shared" si="7"/>
        <v>0</v>
      </c>
      <c r="J65" s="27">
        <f>IFERROR('IOF 2'!#REF!+TP!$C$32/TP!$C$39*TP!F65,0)</f>
        <v>0</v>
      </c>
      <c r="K65" s="18">
        <f t="shared" si="8"/>
        <v>0</v>
      </c>
      <c r="L65" s="30">
        <f t="shared" si="9"/>
        <v>0</v>
      </c>
      <c r="M65" s="31">
        <f t="shared" ca="1" si="10"/>
        <v>0</v>
      </c>
      <c r="N65" s="28">
        <f t="shared" si="11"/>
        <v>0</v>
      </c>
    </row>
    <row r="66" spans="1:14" x14ac:dyDescent="0.25">
      <c r="A66" s="26" t="str">
        <f t="shared" si="0"/>
        <v/>
      </c>
      <c r="B66" s="20" t="str">
        <f t="shared" si="12"/>
        <v/>
      </c>
      <c r="C66" s="27">
        <f t="shared" si="1"/>
        <v>0</v>
      </c>
      <c r="D66" s="27">
        <f t="shared" si="2"/>
        <v>0</v>
      </c>
      <c r="E66" s="27">
        <f t="shared" si="3"/>
        <v>0</v>
      </c>
      <c r="F66" s="27">
        <f t="shared" si="4"/>
        <v>0</v>
      </c>
      <c r="G66" s="27">
        <f t="shared" si="5"/>
        <v>0</v>
      </c>
      <c r="H66" s="27">
        <f t="shared" si="6"/>
        <v>0</v>
      </c>
      <c r="I66" s="27">
        <f t="shared" si="7"/>
        <v>0</v>
      </c>
      <c r="J66" s="27">
        <f>IFERROR('IOF 2'!#REF!+TP!$C$32/TP!$C$39*TP!F66,0)</f>
        <v>0</v>
      </c>
      <c r="K66" s="18">
        <f t="shared" si="8"/>
        <v>0</v>
      </c>
      <c r="L66" s="30">
        <f t="shared" si="9"/>
        <v>0</v>
      </c>
      <c r="M66" s="31">
        <f t="shared" ca="1" si="10"/>
        <v>0</v>
      </c>
      <c r="N66" s="28">
        <f t="shared" si="11"/>
        <v>0</v>
      </c>
    </row>
    <row r="67" spans="1:14" x14ac:dyDescent="0.25">
      <c r="A67" s="26" t="str">
        <f t="shared" si="0"/>
        <v/>
      </c>
      <c r="B67" s="20" t="str">
        <f t="shared" si="12"/>
        <v/>
      </c>
      <c r="C67" s="27">
        <f t="shared" si="1"/>
        <v>0</v>
      </c>
      <c r="D67" s="27">
        <f t="shared" si="2"/>
        <v>0</v>
      </c>
      <c r="E67" s="27">
        <f t="shared" si="3"/>
        <v>0</v>
      </c>
      <c r="F67" s="27">
        <f t="shared" si="4"/>
        <v>0</v>
      </c>
      <c r="G67" s="27">
        <f t="shared" si="5"/>
        <v>0</v>
      </c>
      <c r="H67" s="27">
        <f t="shared" si="6"/>
        <v>0</v>
      </c>
      <c r="I67" s="27">
        <f t="shared" si="7"/>
        <v>0</v>
      </c>
      <c r="J67" s="27">
        <f>IFERROR('IOF 2'!#REF!+TP!$C$32/TP!$C$39*TP!F67,0)</f>
        <v>0</v>
      </c>
      <c r="K67" s="18">
        <f t="shared" si="8"/>
        <v>0</v>
      </c>
      <c r="L67" s="30">
        <f t="shared" si="9"/>
        <v>0</v>
      </c>
      <c r="M67" s="31">
        <f t="shared" ca="1" si="10"/>
        <v>0</v>
      </c>
      <c r="N67" s="28">
        <f t="shared" si="11"/>
        <v>0</v>
      </c>
    </row>
    <row r="68" spans="1:14" x14ac:dyDescent="0.25">
      <c r="A68" s="26" t="str">
        <f t="shared" si="0"/>
        <v/>
      </c>
      <c r="B68" s="20" t="str">
        <f t="shared" si="12"/>
        <v/>
      </c>
      <c r="C68" s="27">
        <f t="shared" si="1"/>
        <v>0</v>
      </c>
      <c r="D68" s="27">
        <f t="shared" si="2"/>
        <v>0</v>
      </c>
      <c r="E68" s="27">
        <f t="shared" si="3"/>
        <v>0</v>
      </c>
      <c r="F68" s="27">
        <f t="shared" si="4"/>
        <v>0</v>
      </c>
      <c r="G68" s="27">
        <f t="shared" si="5"/>
        <v>0</v>
      </c>
      <c r="H68" s="27">
        <f t="shared" si="6"/>
        <v>0</v>
      </c>
      <c r="I68" s="27">
        <f t="shared" si="7"/>
        <v>0</v>
      </c>
      <c r="J68" s="27">
        <f>IFERROR('IOF 2'!#REF!+TP!$C$32/TP!$C$39*TP!F68,0)</f>
        <v>0</v>
      </c>
      <c r="K68" s="18">
        <f t="shared" si="8"/>
        <v>0</v>
      </c>
      <c r="L68" s="30">
        <f t="shared" si="9"/>
        <v>0</v>
      </c>
      <c r="M68" s="31">
        <f t="shared" ca="1" si="10"/>
        <v>0</v>
      </c>
      <c r="N68" s="28">
        <f t="shared" si="11"/>
        <v>0</v>
      </c>
    </row>
    <row r="69" spans="1:14" x14ac:dyDescent="0.25">
      <c r="A69" s="26" t="str">
        <f t="shared" si="0"/>
        <v/>
      </c>
      <c r="B69" s="20" t="str">
        <f t="shared" si="12"/>
        <v/>
      </c>
      <c r="C69" s="27">
        <f t="shared" si="1"/>
        <v>0</v>
      </c>
      <c r="D69" s="27">
        <f t="shared" si="2"/>
        <v>0</v>
      </c>
      <c r="E69" s="27">
        <f t="shared" si="3"/>
        <v>0</v>
      </c>
      <c r="F69" s="27">
        <f t="shared" si="4"/>
        <v>0</v>
      </c>
      <c r="G69" s="27">
        <f t="shared" si="5"/>
        <v>0</v>
      </c>
      <c r="H69" s="27">
        <f t="shared" si="6"/>
        <v>0</v>
      </c>
      <c r="I69" s="27">
        <f t="shared" si="7"/>
        <v>0</v>
      </c>
      <c r="J69" s="27">
        <f>IFERROR('IOF 2'!#REF!+TP!$C$32/TP!$C$39*TP!F69,0)</f>
        <v>0</v>
      </c>
      <c r="K69" s="18">
        <f t="shared" si="8"/>
        <v>0</v>
      </c>
      <c r="L69" s="30">
        <f t="shared" si="9"/>
        <v>0</v>
      </c>
      <c r="M69" s="31">
        <f t="shared" ca="1" si="10"/>
        <v>0</v>
      </c>
      <c r="N69" s="28">
        <f t="shared" si="11"/>
        <v>0</v>
      </c>
    </row>
    <row r="70" spans="1:14" x14ac:dyDescent="0.25">
      <c r="A70" s="26" t="str">
        <f t="shared" si="0"/>
        <v/>
      </c>
      <c r="B70" s="20" t="str">
        <f t="shared" si="12"/>
        <v/>
      </c>
      <c r="C70" s="27">
        <f t="shared" si="1"/>
        <v>0</v>
      </c>
      <c r="D70" s="27">
        <f t="shared" si="2"/>
        <v>0</v>
      </c>
      <c r="E70" s="27">
        <f t="shared" si="3"/>
        <v>0</v>
      </c>
      <c r="F70" s="27">
        <f t="shared" si="4"/>
        <v>0</v>
      </c>
      <c r="G70" s="27">
        <f t="shared" si="5"/>
        <v>0</v>
      </c>
      <c r="H70" s="27">
        <f t="shared" si="6"/>
        <v>0</v>
      </c>
      <c r="I70" s="27">
        <f t="shared" si="7"/>
        <v>0</v>
      </c>
      <c r="J70" s="27">
        <f>IFERROR('IOF 2'!#REF!+TP!$C$32/TP!$C$39*TP!F70,0)</f>
        <v>0</v>
      </c>
      <c r="K70" s="18">
        <f t="shared" si="8"/>
        <v>0</v>
      </c>
      <c r="L70" s="30">
        <f t="shared" si="9"/>
        <v>0</v>
      </c>
      <c r="M70" s="31">
        <f t="shared" ca="1" si="10"/>
        <v>0</v>
      </c>
      <c r="N70" s="28">
        <f t="shared" si="11"/>
        <v>0</v>
      </c>
    </row>
    <row r="71" spans="1:14" x14ac:dyDescent="0.25">
      <c r="A71" s="26" t="str">
        <f t="shared" si="0"/>
        <v/>
      </c>
      <c r="B71" s="20" t="str">
        <f t="shared" si="12"/>
        <v/>
      </c>
      <c r="C71" s="27">
        <f t="shared" si="1"/>
        <v>0</v>
      </c>
      <c r="D71" s="27">
        <f t="shared" si="2"/>
        <v>0</v>
      </c>
      <c r="E71" s="27">
        <f t="shared" si="3"/>
        <v>0</v>
      </c>
      <c r="F71" s="27">
        <f t="shared" si="4"/>
        <v>0</v>
      </c>
      <c r="G71" s="27">
        <f t="shared" si="5"/>
        <v>0</v>
      </c>
      <c r="H71" s="27">
        <f t="shared" si="6"/>
        <v>0</v>
      </c>
      <c r="I71" s="27">
        <f t="shared" si="7"/>
        <v>0</v>
      </c>
      <c r="J71" s="27">
        <f>IFERROR('IOF 2'!#REF!+TP!$C$32/TP!$C$39*TP!F71,0)</f>
        <v>0</v>
      </c>
      <c r="K71" s="18">
        <f t="shared" si="8"/>
        <v>0</v>
      </c>
      <c r="L71" s="30">
        <f t="shared" si="9"/>
        <v>0</v>
      </c>
      <c r="M71" s="31">
        <f t="shared" ca="1" si="10"/>
        <v>0</v>
      </c>
      <c r="N71" s="28">
        <f t="shared" si="11"/>
        <v>0</v>
      </c>
    </row>
    <row r="72" spans="1:14" x14ac:dyDescent="0.25">
      <c r="A72" s="26" t="str">
        <f t="shared" si="0"/>
        <v/>
      </c>
      <c r="B72" s="20" t="str">
        <f t="shared" si="12"/>
        <v/>
      </c>
      <c r="C72" s="27">
        <f t="shared" si="1"/>
        <v>0</v>
      </c>
      <c r="D72" s="27">
        <f t="shared" si="2"/>
        <v>0</v>
      </c>
      <c r="E72" s="27">
        <f t="shared" si="3"/>
        <v>0</v>
      </c>
      <c r="F72" s="27">
        <f t="shared" si="4"/>
        <v>0</v>
      </c>
      <c r="G72" s="27">
        <f t="shared" si="5"/>
        <v>0</v>
      </c>
      <c r="H72" s="27">
        <f t="shared" si="6"/>
        <v>0</v>
      </c>
      <c r="I72" s="27">
        <f t="shared" si="7"/>
        <v>0</v>
      </c>
      <c r="J72" s="27">
        <f>IFERROR('IOF 2'!#REF!+TP!$C$32/TP!$C$39*TP!F72,0)</f>
        <v>0</v>
      </c>
      <c r="K72" s="18">
        <f t="shared" si="8"/>
        <v>0</v>
      </c>
      <c r="L72" s="30">
        <f t="shared" si="9"/>
        <v>0</v>
      </c>
      <c r="M72" s="31">
        <f t="shared" ca="1" si="10"/>
        <v>0</v>
      </c>
      <c r="N72" s="28">
        <f t="shared" si="11"/>
        <v>0</v>
      </c>
    </row>
    <row r="73" spans="1:14" x14ac:dyDescent="0.25">
      <c r="A73" s="26" t="str">
        <f t="shared" si="0"/>
        <v/>
      </c>
      <c r="B73" s="20" t="str">
        <f t="shared" si="12"/>
        <v/>
      </c>
      <c r="C73" s="27">
        <f t="shared" si="1"/>
        <v>0</v>
      </c>
      <c r="D73" s="27">
        <f t="shared" si="2"/>
        <v>0</v>
      </c>
      <c r="E73" s="27">
        <f t="shared" si="3"/>
        <v>0</v>
      </c>
      <c r="F73" s="27">
        <f t="shared" si="4"/>
        <v>0</v>
      </c>
      <c r="G73" s="27">
        <f t="shared" si="5"/>
        <v>0</v>
      </c>
      <c r="H73" s="27">
        <f t="shared" si="6"/>
        <v>0</v>
      </c>
      <c r="I73" s="27">
        <f t="shared" si="7"/>
        <v>0</v>
      </c>
      <c r="J73" s="27">
        <f>IFERROR('IOF 2'!#REF!+TP!$C$32/TP!$C$39*TP!F73,0)</f>
        <v>0</v>
      </c>
      <c r="K73" s="18">
        <f t="shared" si="8"/>
        <v>0</v>
      </c>
      <c r="L73" s="30">
        <f t="shared" si="9"/>
        <v>0</v>
      </c>
      <c r="M73" s="31">
        <f t="shared" ca="1" si="10"/>
        <v>0</v>
      </c>
      <c r="N73" s="28">
        <f t="shared" si="11"/>
        <v>0</v>
      </c>
    </row>
    <row r="74" spans="1:14" x14ac:dyDescent="0.25">
      <c r="A74" s="26" t="str">
        <f t="shared" si="0"/>
        <v/>
      </c>
      <c r="B74" s="20" t="str">
        <f t="shared" si="12"/>
        <v/>
      </c>
      <c r="C74" s="27">
        <f t="shared" si="1"/>
        <v>0</v>
      </c>
      <c r="D74" s="27">
        <f t="shared" si="2"/>
        <v>0</v>
      </c>
      <c r="E74" s="27">
        <f t="shared" si="3"/>
        <v>0</v>
      </c>
      <c r="F74" s="27">
        <f t="shared" si="4"/>
        <v>0</v>
      </c>
      <c r="G74" s="27">
        <f t="shared" si="5"/>
        <v>0</v>
      </c>
      <c r="H74" s="27">
        <f t="shared" si="6"/>
        <v>0</v>
      </c>
      <c r="I74" s="27">
        <f t="shared" si="7"/>
        <v>0</v>
      </c>
      <c r="J74" s="27">
        <f>IFERROR('IOF 2'!#REF!+TP!$C$32/TP!$C$39*TP!F74,0)</f>
        <v>0</v>
      </c>
      <c r="K74" s="18">
        <f t="shared" si="8"/>
        <v>0</v>
      </c>
      <c r="L74" s="30">
        <f t="shared" si="9"/>
        <v>0</v>
      </c>
      <c r="M74" s="31">
        <f t="shared" ca="1" si="10"/>
        <v>0</v>
      </c>
      <c r="N74" s="28">
        <f t="shared" si="11"/>
        <v>0</v>
      </c>
    </row>
    <row r="75" spans="1:14" x14ac:dyDescent="0.25">
      <c r="A75" s="26" t="str">
        <f t="shared" si="0"/>
        <v/>
      </c>
      <c r="B75" s="20" t="str">
        <f t="shared" si="12"/>
        <v/>
      </c>
      <c r="C75" s="27">
        <f t="shared" si="1"/>
        <v>0</v>
      </c>
      <c r="D75" s="27">
        <f t="shared" si="2"/>
        <v>0</v>
      </c>
      <c r="E75" s="27">
        <f t="shared" si="3"/>
        <v>0</v>
      </c>
      <c r="F75" s="27">
        <f t="shared" si="4"/>
        <v>0</v>
      </c>
      <c r="G75" s="27">
        <f t="shared" si="5"/>
        <v>0</v>
      </c>
      <c r="H75" s="27">
        <f t="shared" si="6"/>
        <v>0</v>
      </c>
      <c r="I75" s="27">
        <f t="shared" si="7"/>
        <v>0</v>
      </c>
      <c r="J75" s="27">
        <f>IFERROR('IOF 2'!#REF!+TP!$C$32/TP!$C$39*TP!F75,0)</f>
        <v>0</v>
      </c>
      <c r="K75" s="18">
        <f t="shared" si="8"/>
        <v>0</v>
      </c>
      <c r="L75" s="30">
        <f t="shared" si="9"/>
        <v>0</v>
      </c>
      <c r="M75" s="31">
        <f t="shared" ca="1" si="10"/>
        <v>0</v>
      </c>
      <c r="N75" s="28">
        <f t="shared" si="11"/>
        <v>0</v>
      </c>
    </row>
    <row r="76" spans="1:14" x14ac:dyDescent="0.25">
      <c r="A76" s="26" t="str">
        <f t="shared" si="0"/>
        <v/>
      </c>
      <c r="B76" s="20" t="str">
        <f t="shared" si="12"/>
        <v/>
      </c>
      <c r="C76" s="27">
        <f t="shared" si="1"/>
        <v>0</v>
      </c>
      <c r="D76" s="27">
        <f t="shared" si="2"/>
        <v>0</v>
      </c>
      <c r="E76" s="27">
        <f t="shared" si="3"/>
        <v>0</v>
      </c>
      <c r="F76" s="27">
        <f t="shared" si="4"/>
        <v>0</v>
      </c>
      <c r="G76" s="27">
        <f t="shared" si="5"/>
        <v>0</v>
      </c>
      <c r="H76" s="27">
        <f t="shared" si="6"/>
        <v>0</v>
      </c>
      <c r="I76" s="27">
        <f t="shared" si="7"/>
        <v>0</v>
      </c>
      <c r="J76" s="27">
        <f>IFERROR('IOF 2'!#REF!+TP!$C$32/TP!$C$39*TP!F76,0)</f>
        <v>0</v>
      </c>
      <c r="K76" s="18">
        <f t="shared" si="8"/>
        <v>0</v>
      </c>
      <c r="L76" s="30">
        <f t="shared" si="9"/>
        <v>0</v>
      </c>
      <c r="M76" s="31">
        <f t="shared" ca="1" si="10"/>
        <v>0</v>
      </c>
      <c r="N76" s="28">
        <f t="shared" si="11"/>
        <v>0</v>
      </c>
    </row>
    <row r="77" spans="1:14" x14ac:dyDescent="0.25">
      <c r="A77" s="26" t="str">
        <f t="shared" si="0"/>
        <v/>
      </c>
      <c r="B77" s="20" t="str">
        <f t="shared" si="12"/>
        <v/>
      </c>
      <c r="C77" s="27">
        <f t="shared" si="1"/>
        <v>0</v>
      </c>
      <c r="D77" s="27">
        <f t="shared" si="2"/>
        <v>0</v>
      </c>
      <c r="E77" s="27">
        <f t="shared" si="3"/>
        <v>0</v>
      </c>
      <c r="F77" s="27">
        <f t="shared" si="4"/>
        <v>0</v>
      </c>
      <c r="G77" s="27">
        <f t="shared" si="5"/>
        <v>0</v>
      </c>
      <c r="H77" s="27">
        <f t="shared" si="6"/>
        <v>0</v>
      </c>
      <c r="I77" s="27">
        <f t="shared" si="7"/>
        <v>0</v>
      </c>
      <c r="J77" s="27">
        <f>IFERROR('IOF 2'!#REF!+TP!$C$32/TP!$C$39*TP!F77,0)</f>
        <v>0</v>
      </c>
      <c r="K77" s="18">
        <f t="shared" si="8"/>
        <v>0</v>
      </c>
      <c r="L77" s="30">
        <f t="shared" si="9"/>
        <v>0</v>
      </c>
      <c r="M77" s="31">
        <f t="shared" ca="1" si="10"/>
        <v>0</v>
      </c>
      <c r="N77" s="28">
        <f t="shared" si="11"/>
        <v>0</v>
      </c>
    </row>
    <row r="78" spans="1:14" x14ac:dyDescent="0.25">
      <c r="A78" s="26" t="str">
        <f t="shared" si="0"/>
        <v/>
      </c>
      <c r="B78" s="20" t="str">
        <f t="shared" si="12"/>
        <v/>
      </c>
      <c r="C78" s="27">
        <f t="shared" si="1"/>
        <v>0</v>
      </c>
      <c r="D78" s="27">
        <f t="shared" si="2"/>
        <v>0</v>
      </c>
      <c r="E78" s="27">
        <f t="shared" si="3"/>
        <v>0</v>
      </c>
      <c r="F78" s="27">
        <f t="shared" si="4"/>
        <v>0</v>
      </c>
      <c r="G78" s="27">
        <f t="shared" si="5"/>
        <v>0</v>
      </c>
      <c r="H78" s="27">
        <f t="shared" si="6"/>
        <v>0</v>
      </c>
      <c r="I78" s="27">
        <f t="shared" si="7"/>
        <v>0</v>
      </c>
      <c r="J78" s="27">
        <f>IFERROR('IOF 2'!#REF!+TP!$C$32/TP!$C$39*TP!F78,0)</f>
        <v>0</v>
      </c>
      <c r="K78" s="18">
        <f t="shared" si="8"/>
        <v>0</v>
      </c>
      <c r="L78" s="30">
        <f t="shared" si="9"/>
        <v>0</v>
      </c>
      <c r="M78" s="31">
        <f t="shared" ca="1" si="10"/>
        <v>0</v>
      </c>
      <c r="N78" s="28">
        <f t="shared" si="11"/>
        <v>0</v>
      </c>
    </row>
    <row r="79" spans="1:14" x14ac:dyDescent="0.25">
      <c r="A79" s="26" t="str">
        <f t="shared" si="0"/>
        <v/>
      </c>
      <c r="B79" s="20" t="str">
        <f t="shared" si="12"/>
        <v/>
      </c>
      <c r="C79" s="27">
        <f t="shared" si="1"/>
        <v>0</v>
      </c>
      <c r="D79" s="27">
        <f t="shared" si="2"/>
        <v>0</v>
      </c>
      <c r="E79" s="27">
        <f t="shared" si="3"/>
        <v>0</v>
      </c>
      <c r="F79" s="27">
        <f t="shared" si="4"/>
        <v>0</v>
      </c>
      <c r="G79" s="27">
        <f t="shared" si="5"/>
        <v>0</v>
      </c>
      <c r="H79" s="27">
        <f t="shared" si="6"/>
        <v>0</v>
      </c>
      <c r="I79" s="27">
        <f t="shared" si="7"/>
        <v>0</v>
      </c>
      <c r="J79" s="27">
        <f>IFERROR('IOF 2'!#REF!+TP!$C$32/TP!$C$39*TP!F79,0)</f>
        <v>0</v>
      </c>
      <c r="K79" s="18">
        <f t="shared" si="8"/>
        <v>0</v>
      </c>
      <c r="L79" s="30">
        <f t="shared" si="9"/>
        <v>0</v>
      </c>
      <c r="M79" s="31">
        <f t="shared" ca="1" si="10"/>
        <v>0</v>
      </c>
      <c r="N79" s="28">
        <f t="shared" si="11"/>
        <v>0</v>
      </c>
    </row>
    <row r="80" spans="1:14" x14ac:dyDescent="0.25">
      <c r="A80" s="26" t="str">
        <f t="shared" si="0"/>
        <v/>
      </c>
      <c r="B80" s="20" t="str">
        <f t="shared" si="12"/>
        <v/>
      </c>
      <c r="C80" s="27">
        <f t="shared" si="1"/>
        <v>0</v>
      </c>
      <c r="D80" s="27">
        <f t="shared" si="2"/>
        <v>0</v>
      </c>
      <c r="E80" s="27">
        <f t="shared" si="3"/>
        <v>0</v>
      </c>
      <c r="F80" s="27">
        <f t="shared" si="4"/>
        <v>0</v>
      </c>
      <c r="G80" s="27">
        <f t="shared" si="5"/>
        <v>0</v>
      </c>
      <c r="H80" s="27">
        <f t="shared" si="6"/>
        <v>0</v>
      </c>
      <c r="I80" s="27">
        <f t="shared" si="7"/>
        <v>0</v>
      </c>
      <c r="J80" s="27">
        <f>IFERROR('IOF 2'!#REF!+TP!$C$32/TP!$C$39*TP!F80,0)</f>
        <v>0</v>
      </c>
      <c r="K80" s="18">
        <f t="shared" si="8"/>
        <v>0</v>
      </c>
      <c r="L80" s="30">
        <f t="shared" si="9"/>
        <v>0</v>
      </c>
      <c r="M80" s="31">
        <f t="shared" ca="1" si="10"/>
        <v>0</v>
      </c>
      <c r="N80" s="28">
        <f t="shared" si="11"/>
        <v>0</v>
      </c>
    </row>
    <row r="81" spans="1:14" x14ac:dyDescent="0.25">
      <c r="A81" s="26" t="str">
        <f t="shared" si="0"/>
        <v/>
      </c>
      <c r="B81" s="20" t="str">
        <f t="shared" si="12"/>
        <v/>
      </c>
      <c r="C81" s="27">
        <f t="shared" si="1"/>
        <v>0</v>
      </c>
      <c r="D81" s="27">
        <f t="shared" si="2"/>
        <v>0</v>
      </c>
      <c r="E81" s="27">
        <f t="shared" si="3"/>
        <v>0</v>
      </c>
      <c r="F81" s="27">
        <f t="shared" si="4"/>
        <v>0</v>
      </c>
      <c r="G81" s="27">
        <f t="shared" si="5"/>
        <v>0</v>
      </c>
      <c r="H81" s="27">
        <f t="shared" si="6"/>
        <v>0</v>
      </c>
      <c r="I81" s="27">
        <f t="shared" si="7"/>
        <v>0</v>
      </c>
      <c r="J81" s="27">
        <f>IFERROR('IOF 2'!#REF!+TP!$C$32/TP!$C$39*TP!F81,0)</f>
        <v>0</v>
      </c>
      <c r="K81" s="18">
        <f t="shared" si="8"/>
        <v>0</v>
      </c>
      <c r="L81" s="30">
        <f t="shared" si="9"/>
        <v>0</v>
      </c>
      <c r="M81" s="31">
        <f t="shared" ca="1" si="10"/>
        <v>0</v>
      </c>
      <c r="N81" s="28">
        <f t="shared" si="11"/>
        <v>0</v>
      </c>
    </row>
    <row r="82" spans="1:14" x14ac:dyDescent="0.25">
      <c r="A82" s="26" t="str">
        <f t="shared" si="0"/>
        <v/>
      </c>
      <c r="B82" s="20" t="str">
        <f t="shared" si="12"/>
        <v/>
      </c>
      <c r="C82" s="27">
        <f t="shared" si="1"/>
        <v>0</v>
      </c>
      <c r="D82" s="27">
        <f t="shared" si="2"/>
        <v>0</v>
      </c>
      <c r="E82" s="27">
        <f t="shared" si="3"/>
        <v>0</v>
      </c>
      <c r="F82" s="27">
        <f t="shared" si="4"/>
        <v>0</v>
      </c>
      <c r="G82" s="27">
        <f t="shared" si="5"/>
        <v>0</v>
      </c>
      <c r="H82" s="27">
        <f t="shared" si="6"/>
        <v>0</v>
      </c>
      <c r="I82" s="27">
        <f t="shared" si="7"/>
        <v>0</v>
      </c>
      <c r="J82" s="27">
        <f>IFERROR('IOF 2'!#REF!+TP!$C$32/TP!$C$39*TP!F82,0)</f>
        <v>0</v>
      </c>
      <c r="K82" s="18">
        <f t="shared" si="8"/>
        <v>0</v>
      </c>
      <c r="L82" s="30">
        <f t="shared" si="9"/>
        <v>0</v>
      </c>
      <c r="M82" s="31">
        <f t="shared" ca="1" si="10"/>
        <v>0</v>
      </c>
      <c r="N82" s="28">
        <f t="shared" si="11"/>
        <v>0</v>
      </c>
    </row>
    <row r="83" spans="1:14" x14ac:dyDescent="0.25">
      <c r="A83" s="26" t="str">
        <f t="shared" si="0"/>
        <v/>
      </c>
      <c r="B83" s="20" t="str">
        <f t="shared" si="12"/>
        <v/>
      </c>
      <c r="C83" s="27">
        <f t="shared" si="1"/>
        <v>0</v>
      </c>
      <c r="D83" s="27">
        <f t="shared" si="2"/>
        <v>0</v>
      </c>
      <c r="E83" s="27">
        <f t="shared" si="3"/>
        <v>0</v>
      </c>
      <c r="F83" s="27">
        <f t="shared" si="4"/>
        <v>0</v>
      </c>
      <c r="G83" s="27">
        <f t="shared" si="5"/>
        <v>0</v>
      </c>
      <c r="H83" s="27">
        <f t="shared" si="6"/>
        <v>0</v>
      </c>
      <c r="I83" s="27">
        <f t="shared" si="7"/>
        <v>0</v>
      </c>
      <c r="J83" s="27">
        <f>IFERROR('IOF 2'!#REF!+TP!$C$32/TP!$C$39*TP!F83,0)</f>
        <v>0</v>
      </c>
      <c r="K83" s="18">
        <f t="shared" si="8"/>
        <v>0</v>
      </c>
      <c r="L83" s="30">
        <f t="shared" si="9"/>
        <v>0</v>
      </c>
      <c r="M83" s="31">
        <f t="shared" ca="1" si="10"/>
        <v>0</v>
      </c>
      <c r="N83" s="28">
        <f t="shared" si="11"/>
        <v>0</v>
      </c>
    </row>
    <row r="84" spans="1:14" x14ac:dyDescent="0.25">
      <c r="A84" s="26" t="str">
        <f t="shared" si="0"/>
        <v/>
      </c>
      <c r="B84" s="20" t="str">
        <f t="shared" si="12"/>
        <v/>
      </c>
      <c r="C84" s="27">
        <f t="shared" si="1"/>
        <v>0</v>
      </c>
      <c r="D84" s="27">
        <f t="shared" si="2"/>
        <v>0</v>
      </c>
      <c r="E84" s="27">
        <f t="shared" si="3"/>
        <v>0</v>
      </c>
      <c r="F84" s="27">
        <f t="shared" si="4"/>
        <v>0</v>
      </c>
      <c r="G84" s="27">
        <f t="shared" si="5"/>
        <v>0</v>
      </c>
      <c r="H84" s="27">
        <f t="shared" si="6"/>
        <v>0</v>
      </c>
      <c r="I84" s="27">
        <f t="shared" si="7"/>
        <v>0</v>
      </c>
      <c r="J84" s="27">
        <f>IFERROR('IOF 2'!#REF!+TP!$C$32/TP!$C$39*TP!F84,0)</f>
        <v>0</v>
      </c>
      <c r="K84" s="18">
        <f t="shared" si="8"/>
        <v>0</v>
      </c>
      <c r="L84" s="30">
        <f t="shared" si="9"/>
        <v>0</v>
      </c>
      <c r="M84" s="31">
        <f t="shared" ca="1" si="10"/>
        <v>0</v>
      </c>
      <c r="N84" s="28">
        <f t="shared" si="11"/>
        <v>0</v>
      </c>
    </row>
    <row r="85" spans="1:14" x14ac:dyDescent="0.25">
      <c r="A85" s="26" t="str">
        <f t="shared" si="0"/>
        <v/>
      </c>
      <c r="B85" s="20" t="str">
        <f t="shared" si="12"/>
        <v/>
      </c>
      <c r="C85" s="27">
        <f t="shared" si="1"/>
        <v>0</v>
      </c>
      <c r="D85" s="27">
        <f t="shared" si="2"/>
        <v>0</v>
      </c>
      <c r="E85" s="27">
        <f t="shared" si="3"/>
        <v>0</v>
      </c>
      <c r="F85" s="27">
        <f t="shared" si="4"/>
        <v>0</v>
      </c>
      <c r="G85" s="27">
        <f t="shared" si="5"/>
        <v>0</v>
      </c>
      <c r="H85" s="27">
        <f t="shared" si="6"/>
        <v>0</v>
      </c>
      <c r="I85" s="27">
        <f t="shared" si="7"/>
        <v>0</v>
      </c>
      <c r="J85" s="27">
        <f>IFERROR('IOF 2'!#REF!+TP!$C$32/TP!$C$39*TP!F85,0)</f>
        <v>0</v>
      </c>
      <c r="K85" s="18">
        <f t="shared" si="8"/>
        <v>0</v>
      </c>
      <c r="L85" s="30">
        <f t="shared" si="9"/>
        <v>0</v>
      </c>
      <c r="M85" s="31">
        <f t="shared" ca="1" si="10"/>
        <v>0</v>
      </c>
      <c r="N85" s="28">
        <f t="shared" si="11"/>
        <v>0</v>
      </c>
    </row>
    <row r="86" spans="1:14" x14ac:dyDescent="0.25">
      <c r="A86" s="26" t="str">
        <f t="shared" si="0"/>
        <v/>
      </c>
      <c r="B86" s="20" t="str">
        <f t="shared" si="12"/>
        <v/>
      </c>
      <c r="C86" s="27">
        <f t="shared" si="1"/>
        <v>0</v>
      </c>
      <c r="D86" s="27">
        <f t="shared" si="2"/>
        <v>0</v>
      </c>
      <c r="E86" s="27">
        <f t="shared" si="3"/>
        <v>0</v>
      </c>
      <c r="F86" s="27">
        <f t="shared" si="4"/>
        <v>0</v>
      </c>
      <c r="G86" s="27">
        <f t="shared" si="5"/>
        <v>0</v>
      </c>
      <c r="H86" s="27">
        <f t="shared" si="6"/>
        <v>0</v>
      </c>
      <c r="I86" s="27">
        <f t="shared" si="7"/>
        <v>0</v>
      </c>
      <c r="J86" s="27">
        <f>IFERROR('IOF 2'!#REF!+TP!$C$32/TP!$C$39*TP!F86,0)</f>
        <v>0</v>
      </c>
      <c r="K86" s="18">
        <f t="shared" si="8"/>
        <v>0</v>
      </c>
      <c r="L86" s="30">
        <f t="shared" si="9"/>
        <v>0</v>
      </c>
      <c r="M86" s="31">
        <f t="shared" ca="1" si="10"/>
        <v>0</v>
      </c>
      <c r="N86" s="28">
        <f t="shared" si="11"/>
        <v>0</v>
      </c>
    </row>
    <row r="87" spans="1:14" x14ac:dyDescent="0.25">
      <c r="A87" s="26" t="str">
        <f t="shared" si="0"/>
        <v/>
      </c>
      <c r="B87" s="20" t="str">
        <f t="shared" si="12"/>
        <v/>
      </c>
      <c r="C87" s="27">
        <f t="shared" si="1"/>
        <v>0</v>
      </c>
      <c r="D87" s="27">
        <f t="shared" si="2"/>
        <v>0</v>
      </c>
      <c r="E87" s="27">
        <f t="shared" si="3"/>
        <v>0</v>
      </c>
      <c r="F87" s="27">
        <f t="shared" si="4"/>
        <v>0</v>
      </c>
      <c r="G87" s="27">
        <f t="shared" si="5"/>
        <v>0</v>
      </c>
      <c r="H87" s="27">
        <f t="shared" si="6"/>
        <v>0</v>
      </c>
      <c r="I87" s="27">
        <f t="shared" si="7"/>
        <v>0</v>
      </c>
      <c r="J87" s="27">
        <f>IFERROR('IOF 2'!#REF!+TP!$C$32/TP!$C$39*TP!F87,0)</f>
        <v>0</v>
      </c>
      <c r="K87" s="18">
        <f t="shared" si="8"/>
        <v>0</v>
      </c>
      <c r="L87" s="30">
        <f t="shared" si="9"/>
        <v>0</v>
      </c>
      <c r="M87" s="31">
        <f t="shared" ca="1" si="10"/>
        <v>0</v>
      </c>
      <c r="N87" s="28">
        <f t="shared" si="11"/>
        <v>0</v>
      </c>
    </row>
    <row r="88" spans="1:14" x14ac:dyDescent="0.25">
      <c r="A88" s="26" t="str">
        <f t="shared" si="0"/>
        <v/>
      </c>
      <c r="B88" s="20" t="str">
        <f t="shared" si="12"/>
        <v/>
      </c>
      <c r="C88" s="27">
        <f t="shared" si="1"/>
        <v>0</v>
      </c>
      <c r="D88" s="27">
        <f t="shared" si="2"/>
        <v>0</v>
      </c>
      <c r="E88" s="27">
        <f t="shared" si="3"/>
        <v>0</v>
      </c>
      <c r="F88" s="27">
        <f t="shared" si="4"/>
        <v>0</v>
      </c>
      <c r="G88" s="27">
        <f t="shared" si="5"/>
        <v>0</v>
      </c>
      <c r="H88" s="27">
        <f t="shared" si="6"/>
        <v>0</v>
      </c>
      <c r="I88" s="27">
        <f t="shared" si="7"/>
        <v>0</v>
      </c>
      <c r="J88" s="27">
        <f>IFERROR('IOF 2'!#REF!+TP!$C$32/TP!$C$39*TP!F88,0)</f>
        <v>0</v>
      </c>
      <c r="K88" s="18">
        <f t="shared" si="8"/>
        <v>0</v>
      </c>
      <c r="L88" s="30">
        <f t="shared" si="9"/>
        <v>0</v>
      </c>
      <c r="M88" s="31">
        <f t="shared" ca="1" si="10"/>
        <v>0</v>
      </c>
      <c r="N88" s="28">
        <f t="shared" si="11"/>
        <v>0</v>
      </c>
    </row>
    <row r="89" spans="1:14" x14ac:dyDescent="0.25">
      <c r="A89" s="26" t="str">
        <f t="shared" si="0"/>
        <v/>
      </c>
      <c r="B89" s="20" t="str">
        <f t="shared" si="12"/>
        <v/>
      </c>
      <c r="C89" s="27">
        <f t="shared" si="1"/>
        <v>0</v>
      </c>
      <c r="D89" s="27">
        <f t="shared" si="2"/>
        <v>0</v>
      </c>
      <c r="E89" s="27">
        <f t="shared" si="3"/>
        <v>0</v>
      </c>
      <c r="F89" s="27">
        <f t="shared" si="4"/>
        <v>0</v>
      </c>
      <c r="G89" s="27">
        <f t="shared" si="5"/>
        <v>0</v>
      </c>
      <c r="H89" s="27">
        <f t="shared" si="6"/>
        <v>0</v>
      </c>
      <c r="I89" s="27">
        <f t="shared" si="7"/>
        <v>0</v>
      </c>
      <c r="J89" s="27">
        <f>IFERROR('IOF 2'!#REF!+TP!$C$32/TP!$C$39*TP!F89,0)</f>
        <v>0</v>
      </c>
      <c r="K89" s="18">
        <f t="shared" si="8"/>
        <v>0</v>
      </c>
      <c r="L89" s="30">
        <f t="shared" si="9"/>
        <v>0</v>
      </c>
      <c r="M89" s="31">
        <f t="shared" ca="1" si="10"/>
        <v>0</v>
      </c>
      <c r="N89" s="28">
        <f t="shared" si="11"/>
        <v>0</v>
      </c>
    </row>
    <row r="90" spans="1:14" x14ac:dyDescent="0.25">
      <c r="A90" s="26" t="str">
        <f t="shared" si="0"/>
        <v/>
      </c>
      <c r="B90" s="20" t="str">
        <f t="shared" si="12"/>
        <v/>
      </c>
      <c r="C90" s="27">
        <f t="shared" si="1"/>
        <v>0</v>
      </c>
      <c r="D90" s="27">
        <f t="shared" si="2"/>
        <v>0</v>
      </c>
      <c r="E90" s="27">
        <f t="shared" si="3"/>
        <v>0</v>
      </c>
      <c r="F90" s="27">
        <f t="shared" si="4"/>
        <v>0</v>
      </c>
      <c r="G90" s="27">
        <f t="shared" si="5"/>
        <v>0</v>
      </c>
      <c r="H90" s="27">
        <f t="shared" si="6"/>
        <v>0</v>
      </c>
      <c r="I90" s="27">
        <f t="shared" si="7"/>
        <v>0</v>
      </c>
      <c r="J90" s="27">
        <f>IFERROR('IOF 2'!#REF!+TP!$C$32/TP!$C$39*TP!F90,0)</f>
        <v>0</v>
      </c>
      <c r="K90" s="18">
        <f t="shared" si="8"/>
        <v>0</v>
      </c>
      <c r="L90" s="30">
        <f t="shared" si="9"/>
        <v>0</v>
      </c>
      <c r="M90" s="31">
        <f t="shared" ca="1" si="10"/>
        <v>0</v>
      </c>
      <c r="N90" s="28">
        <f t="shared" si="11"/>
        <v>0</v>
      </c>
    </row>
    <row r="91" spans="1:14" x14ac:dyDescent="0.25">
      <c r="A91" s="26" t="str">
        <f t="shared" si="0"/>
        <v/>
      </c>
      <c r="B91" s="20" t="str">
        <f t="shared" si="12"/>
        <v/>
      </c>
      <c r="C91" s="27">
        <f t="shared" si="1"/>
        <v>0</v>
      </c>
      <c r="D91" s="27">
        <f t="shared" si="2"/>
        <v>0</v>
      </c>
      <c r="E91" s="27">
        <f t="shared" si="3"/>
        <v>0</v>
      </c>
      <c r="F91" s="27">
        <f t="shared" si="4"/>
        <v>0</v>
      </c>
      <c r="G91" s="27">
        <f t="shared" si="5"/>
        <v>0</v>
      </c>
      <c r="H91" s="27">
        <f t="shared" si="6"/>
        <v>0</v>
      </c>
      <c r="I91" s="27">
        <f t="shared" si="7"/>
        <v>0</v>
      </c>
      <c r="J91" s="27">
        <f>IFERROR('IOF 2'!#REF!+TP!$C$32/TP!$C$39*TP!F91,0)</f>
        <v>0</v>
      </c>
      <c r="K91" s="18">
        <f t="shared" si="8"/>
        <v>0</v>
      </c>
      <c r="L91" s="30">
        <f t="shared" si="9"/>
        <v>0</v>
      </c>
      <c r="M91" s="31">
        <f t="shared" ca="1" si="10"/>
        <v>0</v>
      </c>
      <c r="N91" s="28">
        <f t="shared" si="11"/>
        <v>0</v>
      </c>
    </row>
    <row r="92" spans="1:14" x14ac:dyDescent="0.25">
      <c r="A92" s="26" t="str">
        <f t="shared" si="0"/>
        <v/>
      </c>
      <c r="B92" s="20" t="str">
        <f t="shared" si="12"/>
        <v/>
      </c>
      <c r="C92" s="27">
        <f t="shared" si="1"/>
        <v>0</v>
      </c>
      <c r="D92" s="27">
        <f t="shared" si="2"/>
        <v>0</v>
      </c>
      <c r="E92" s="27">
        <f t="shared" si="3"/>
        <v>0</v>
      </c>
      <c r="F92" s="27">
        <f t="shared" si="4"/>
        <v>0</v>
      </c>
      <c r="G92" s="27">
        <f t="shared" si="5"/>
        <v>0</v>
      </c>
      <c r="H92" s="27">
        <f t="shared" si="6"/>
        <v>0</v>
      </c>
      <c r="I92" s="27">
        <f t="shared" si="7"/>
        <v>0</v>
      </c>
      <c r="J92" s="27">
        <f>IFERROR('IOF 2'!#REF!+TP!$C$32/TP!$C$39*TP!F92,0)</f>
        <v>0</v>
      </c>
      <c r="K92" s="18">
        <f t="shared" si="8"/>
        <v>0</v>
      </c>
      <c r="L92" s="30">
        <f t="shared" si="9"/>
        <v>0</v>
      </c>
      <c r="M92" s="31">
        <f t="shared" ca="1" si="10"/>
        <v>0</v>
      </c>
      <c r="N92" s="28">
        <f t="shared" si="11"/>
        <v>0</v>
      </c>
    </row>
    <row r="93" spans="1:14" x14ac:dyDescent="0.25">
      <c r="A93" s="26" t="str">
        <f t="shared" si="0"/>
        <v/>
      </c>
      <c r="B93" s="20" t="str">
        <f t="shared" si="12"/>
        <v/>
      </c>
      <c r="C93" s="27">
        <f t="shared" si="1"/>
        <v>0</v>
      </c>
      <c r="D93" s="27">
        <f t="shared" si="2"/>
        <v>0</v>
      </c>
      <c r="E93" s="27">
        <f t="shared" si="3"/>
        <v>0</v>
      </c>
      <c r="F93" s="27">
        <f t="shared" si="4"/>
        <v>0</v>
      </c>
      <c r="G93" s="27">
        <f t="shared" si="5"/>
        <v>0</v>
      </c>
      <c r="H93" s="27">
        <f t="shared" si="6"/>
        <v>0</v>
      </c>
      <c r="I93" s="27">
        <f t="shared" si="7"/>
        <v>0</v>
      </c>
      <c r="J93" s="27">
        <f>IFERROR('IOF 2'!#REF!+TP!$C$32/TP!$C$39*TP!F93,0)</f>
        <v>0</v>
      </c>
      <c r="K93" s="18">
        <f t="shared" si="8"/>
        <v>0</v>
      </c>
      <c r="L93" s="30">
        <f t="shared" si="9"/>
        <v>0</v>
      </c>
      <c r="M93" s="31">
        <f t="shared" ca="1" si="10"/>
        <v>0</v>
      </c>
      <c r="N93" s="28">
        <f t="shared" si="11"/>
        <v>0</v>
      </c>
    </row>
    <row r="94" spans="1:14" x14ac:dyDescent="0.25">
      <c r="A94" s="26" t="str">
        <f t="shared" si="0"/>
        <v/>
      </c>
      <c r="B94" s="20" t="str">
        <f t="shared" si="12"/>
        <v/>
      </c>
      <c r="C94" s="27">
        <f t="shared" si="1"/>
        <v>0</v>
      </c>
      <c r="D94" s="27">
        <f t="shared" si="2"/>
        <v>0</v>
      </c>
      <c r="E94" s="27">
        <f t="shared" si="3"/>
        <v>0</v>
      </c>
      <c r="F94" s="27">
        <f t="shared" si="4"/>
        <v>0</v>
      </c>
      <c r="G94" s="27">
        <f t="shared" si="5"/>
        <v>0</v>
      </c>
      <c r="H94" s="27">
        <f t="shared" si="6"/>
        <v>0</v>
      </c>
      <c r="I94" s="27">
        <f t="shared" si="7"/>
        <v>0</v>
      </c>
      <c r="J94" s="27">
        <f>IFERROR('IOF 2'!#REF!+TP!$C$32/TP!$C$39*TP!F94,0)</f>
        <v>0</v>
      </c>
      <c r="K94" s="18">
        <f t="shared" si="8"/>
        <v>0</v>
      </c>
      <c r="L94" s="30">
        <f t="shared" si="9"/>
        <v>0</v>
      </c>
      <c r="M94" s="31">
        <f t="shared" ca="1" si="10"/>
        <v>0</v>
      </c>
      <c r="N94" s="28">
        <f t="shared" si="11"/>
        <v>0</v>
      </c>
    </row>
    <row r="95" spans="1:14" x14ac:dyDescent="0.25">
      <c r="A95" s="26" t="str">
        <f t="shared" si="0"/>
        <v/>
      </c>
      <c r="B95" s="20" t="str">
        <f t="shared" si="12"/>
        <v/>
      </c>
      <c r="C95" s="27">
        <f t="shared" si="1"/>
        <v>0</v>
      </c>
      <c r="D95" s="27">
        <f t="shared" si="2"/>
        <v>0</v>
      </c>
      <c r="E95" s="27">
        <f t="shared" si="3"/>
        <v>0</v>
      </c>
      <c r="F95" s="27">
        <f t="shared" si="4"/>
        <v>0</v>
      </c>
      <c r="G95" s="27">
        <f t="shared" si="5"/>
        <v>0</v>
      </c>
      <c r="H95" s="27">
        <f t="shared" si="6"/>
        <v>0</v>
      </c>
      <c r="I95" s="27">
        <f t="shared" si="7"/>
        <v>0</v>
      </c>
      <c r="J95" s="27">
        <f>IFERROR('IOF 2'!#REF!+TP!$C$32/TP!$C$39*TP!F95,0)</f>
        <v>0</v>
      </c>
      <c r="K95" s="18">
        <f t="shared" si="8"/>
        <v>0</v>
      </c>
      <c r="L95" s="30">
        <f t="shared" si="9"/>
        <v>0</v>
      </c>
      <c r="M95" s="31">
        <f t="shared" ca="1" si="10"/>
        <v>0</v>
      </c>
      <c r="N95" s="28">
        <f t="shared" si="11"/>
        <v>0</v>
      </c>
    </row>
    <row r="96" spans="1:14" x14ac:dyDescent="0.25">
      <c r="A96" s="26" t="str">
        <f t="shared" si="0"/>
        <v/>
      </c>
      <c r="B96" s="20" t="str">
        <f t="shared" si="12"/>
        <v/>
      </c>
      <c r="C96" s="27">
        <f t="shared" si="1"/>
        <v>0</v>
      </c>
      <c r="D96" s="27">
        <f t="shared" si="2"/>
        <v>0</v>
      </c>
      <c r="E96" s="27">
        <f t="shared" si="3"/>
        <v>0</v>
      </c>
      <c r="F96" s="27">
        <f t="shared" si="4"/>
        <v>0</v>
      </c>
      <c r="G96" s="27">
        <f t="shared" si="5"/>
        <v>0</v>
      </c>
      <c r="H96" s="27">
        <f t="shared" si="6"/>
        <v>0</v>
      </c>
      <c r="I96" s="27">
        <f t="shared" si="7"/>
        <v>0</v>
      </c>
      <c r="J96" s="27">
        <f>IFERROR('IOF 2'!#REF!+TP!$C$32/TP!$C$39*TP!F96,0)</f>
        <v>0</v>
      </c>
      <c r="K96" s="18">
        <f t="shared" si="8"/>
        <v>0</v>
      </c>
      <c r="L96" s="30">
        <f t="shared" si="9"/>
        <v>0</v>
      </c>
      <c r="M96" s="31">
        <f t="shared" ca="1" si="10"/>
        <v>0</v>
      </c>
      <c r="N96" s="28">
        <f t="shared" si="11"/>
        <v>0</v>
      </c>
    </row>
    <row r="97" spans="1:14" x14ac:dyDescent="0.25">
      <c r="A97" s="26" t="str">
        <f t="shared" si="0"/>
        <v/>
      </c>
      <c r="B97" s="20" t="str">
        <f t="shared" si="12"/>
        <v/>
      </c>
      <c r="C97" s="27">
        <f t="shared" si="1"/>
        <v>0</v>
      </c>
      <c r="D97" s="27">
        <f t="shared" si="2"/>
        <v>0</v>
      </c>
      <c r="E97" s="27">
        <f t="shared" si="3"/>
        <v>0</v>
      </c>
      <c r="F97" s="27">
        <f t="shared" si="4"/>
        <v>0</v>
      </c>
      <c r="G97" s="27">
        <f t="shared" si="5"/>
        <v>0</v>
      </c>
      <c r="H97" s="27">
        <f t="shared" si="6"/>
        <v>0</v>
      </c>
      <c r="I97" s="27">
        <f t="shared" si="7"/>
        <v>0</v>
      </c>
      <c r="J97" s="27">
        <f>IFERROR('IOF 2'!#REF!+TP!$C$32/TP!$C$39*TP!F97,0)</f>
        <v>0</v>
      </c>
      <c r="K97" s="18">
        <f t="shared" si="8"/>
        <v>0</v>
      </c>
      <c r="L97" s="30">
        <f t="shared" si="9"/>
        <v>0</v>
      </c>
      <c r="M97" s="31">
        <f t="shared" ca="1" si="10"/>
        <v>0</v>
      </c>
      <c r="N97" s="28">
        <f t="shared" si="11"/>
        <v>0</v>
      </c>
    </row>
    <row r="98" spans="1:14" x14ac:dyDescent="0.25">
      <c r="A98" s="26" t="str">
        <f t="shared" si="0"/>
        <v/>
      </c>
      <c r="B98" s="20" t="str">
        <f t="shared" si="12"/>
        <v/>
      </c>
      <c r="C98" s="27">
        <f t="shared" si="1"/>
        <v>0</v>
      </c>
      <c r="D98" s="27">
        <f t="shared" si="2"/>
        <v>0</v>
      </c>
      <c r="E98" s="27">
        <f t="shared" si="3"/>
        <v>0</v>
      </c>
      <c r="F98" s="27">
        <f t="shared" si="4"/>
        <v>0</v>
      </c>
      <c r="G98" s="27">
        <f t="shared" si="5"/>
        <v>0</v>
      </c>
      <c r="H98" s="27">
        <f t="shared" si="6"/>
        <v>0</v>
      </c>
      <c r="I98" s="27">
        <f t="shared" si="7"/>
        <v>0</v>
      </c>
      <c r="J98" s="27">
        <f>IFERROR('IOF 2'!#REF!+TP!$C$32/TP!$C$39*TP!F98,0)</f>
        <v>0</v>
      </c>
      <c r="K98" s="18">
        <f t="shared" si="8"/>
        <v>0</v>
      </c>
      <c r="L98" s="30">
        <f t="shared" si="9"/>
        <v>0</v>
      </c>
      <c r="M98" s="31">
        <f t="shared" ca="1" si="10"/>
        <v>0</v>
      </c>
      <c r="N98" s="28">
        <f t="shared" si="11"/>
        <v>0</v>
      </c>
    </row>
    <row r="99" spans="1:14" x14ac:dyDescent="0.25">
      <c r="A99" s="26" t="str">
        <f t="shared" si="0"/>
        <v/>
      </c>
      <c r="B99" s="20" t="str">
        <f t="shared" si="12"/>
        <v/>
      </c>
      <c r="C99" s="27">
        <f t="shared" si="1"/>
        <v>0</v>
      </c>
      <c r="D99" s="27">
        <f t="shared" si="2"/>
        <v>0</v>
      </c>
      <c r="E99" s="27">
        <f t="shared" si="3"/>
        <v>0</v>
      </c>
      <c r="F99" s="27">
        <f t="shared" si="4"/>
        <v>0</v>
      </c>
      <c r="G99" s="27">
        <f t="shared" si="5"/>
        <v>0</v>
      </c>
      <c r="H99" s="27">
        <f t="shared" si="6"/>
        <v>0</v>
      </c>
      <c r="I99" s="27">
        <f t="shared" si="7"/>
        <v>0</v>
      </c>
      <c r="J99" s="27">
        <f>IFERROR('IOF 2'!#REF!+TP!$C$32/TP!$C$39*TP!F99,0)</f>
        <v>0</v>
      </c>
      <c r="K99" s="18">
        <f t="shared" si="8"/>
        <v>0</v>
      </c>
      <c r="L99" s="30">
        <f t="shared" si="9"/>
        <v>0</v>
      </c>
      <c r="M99" s="31">
        <f t="shared" ca="1" si="10"/>
        <v>0</v>
      </c>
      <c r="N99" s="28">
        <f t="shared" si="11"/>
        <v>0</v>
      </c>
    </row>
    <row r="100" spans="1:14" x14ac:dyDescent="0.25">
      <c r="A100" s="26" t="str">
        <f t="shared" si="0"/>
        <v/>
      </c>
      <c r="B100" s="20" t="str">
        <f t="shared" si="12"/>
        <v/>
      </c>
      <c r="C100" s="27">
        <f t="shared" si="1"/>
        <v>0</v>
      </c>
      <c r="D100" s="27">
        <f t="shared" si="2"/>
        <v>0</v>
      </c>
      <c r="E100" s="27">
        <f t="shared" si="3"/>
        <v>0</v>
      </c>
      <c r="F100" s="27">
        <f t="shared" si="4"/>
        <v>0</v>
      </c>
      <c r="G100" s="27">
        <f t="shared" si="5"/>
        <v>0</v>
      </c>
      <c r="H100" s="27">
        <f t="shared" si="6"/>
        <v>0</v>
      </c>
      <c r="I100" s="27">
        <f t="shared" si="7"/>
        <v>0</v>
      </c>
      <c r="J100" s="27">
        <f>IFERROR('IOF 2'!#REF!+TP!$C$32/TP!$C$39*TP!F100,0)</f>
        <v>0</v>
      </c>
      <c r="K100" s="18">
        <f t="shared" si="8"/>
        <v>0</v>
      </c>
      <c r="L100" s="30">
        <f t="shared" si="9"/>
        <v>0</v>
      </c>
      <c r="M100" s="31">
        <f t="shared" ca="1" si="10"/>
        <v>0</v>
      </c>
      <c r="N100" s="28">
        <f t="shared" si="11"/>
        <v>0</v>
      </c>
    </row>
    <row r="101" spans="1:14" x14ac:dyDescent="0.25">
      <c r="A101" s="26" t="str">
        <f t="shared" si="0"/>
        <v/>
      </c>
      <c r="B101" s="20" t="str">
        <f t="shared" si="12"/>
        <v/>
      </c>
      <c r="C101" s="27">
        <f t="shared" si="1"/>
        <v>0</v>
      </c>
      <c r="D101" s="27">
        <f t="shared" si="2"/>
        <v>0</v>
      </c>
      <c r="E101" s="27">
        <f t="shared" si="3"/>
        <v>0</v>
      </c>
      <c r="F101" s="27">
        <f t="shared" si="4"/>
        <v>0</v>
      </c>
      <c r="G101" s="27">
        <f t="shared" si="5"/>
        <v>0</v>
      </c>
      <c r="H101" s="27">
        <f t="shared" si="6"/>
        <v>0</v>
      </c>
      <c r="I101" s="27">
        <f t="shared" si="7"/>
        <v>0</v>
      </c>
      <c r="J101" s="27">
        <f>IFERROR('IOF 2'!#REF!+TP!$C$32/TP!$C$39*TP!F101,0)</f>
        <v>0</v>
      </c>
      <c r="K101" s="18">
        <f t="shared" si="8"/>
        <v>0</v>
      </c>
      <c r="L101" s="30">
        <f t="shared" si="9"/>
        <v>0</v>
      </c>
      <c r="M101" s="31">
        <f t="shared" ca="1" si="10"/>
        <v>0</v>
      </c>
      <c r="N101" s="28">
        <f t="shared" si="11"/>
        <v>0</v>
      </c>
    </row>
    <row r="102" spans="1:14" x14ac:dyDescent="0.25">
      <c r="A102" s="26" t="str">
        <f t="shared" si="0"/>
        <v/>
      </c>
      <c r="B102" s="20" t="str">
        <f t="shared" si="12"/>
        <v/>
      </c>
      <c r="C102" s="27">
        <f t="shared" si="1"/>
        <v>0</v>
      </c>
      <c r="D102" s="27">
        <f t="shared" si="2"/>
        <v>0</v>
      </c>
      <c r="E102" s="27">
        <f t="shared" si="3"/>
        <v>0</v>
      </c>
      <c r="F102" s="27">
        <f t="shared" si="4"/>
        <v>0</v>
      </c>
      <c r="G102" s="27">
        <f t="shared" si="5"/>
        <v>0</v>
      </c>
      <c r="H102" s="27">
        <f t="shared" si="6"/>
        <v>0</v>
      </c>
      <c r="I102" s="27">
        <f t="shared" si="7"/>
        <v>0</v>
      </c>
      <c r="J102" s="27">
        <f>IFERROR('IOF 2'!#REF!+TP!$C$32/TP!$C$39*TP!F102,0)</f>
        <v>0</v>
      </c>
      <c r="K102" s="18">
        <f t="shared" si="8"/>
        <v>0</v>
      </c>
      <c r="L102" s="30">
        <f t="shared" si="9"/>
        <v>0</v>
      </c>
      <c r="M102" s="31">
        <f t="shared" ca="1" si="10"/>
        <v>0</v>
      </c>
      <c r="N102" s="28">
        <f t="shared" si="11"/>
        <v>0</v>
      </c>
    </row>
    <row r="103" spans="1:14" x14ac:dyDescent="0.25">
      <c r="A103" s="26" t="str">
        <f t="shared" si="0"/>
        <v/>
      </c>
      <c r="B103" s="20" t="str">
        <f t="shared" si="12"/>
        <v/>
      </c>
      <c r="C103" s="27">
        <f t="shared" si="1"/>
        <v>0</v>
      </c>
      <c r="D103" s="27">
        <f t="shared" si="2"/>
        <v>0</v>
      </c>
      <c r="E103" s="27">
        <f t="shared" si="3"/>
        <v>0</v>
      </c>
      <c r="F103" s="27">
        <f t="shared" si="4"/>
        <v>0</v>
      </c>
      <c r="G103" s="27">
        <f t="shared" si="5"/>
        <v>0</v>
      </c>
      <c r="H103" s="27">
        <f t="shared" si="6"/>
        <v>0</v>
      </c>
      <c r="I103" s="27">
        <f t="shared" si="7"/>
        <v>0</v>
      </c>
      <c r="J103" s="27">
        <f>IFERROR('IOF 2'!#REF!+TP!$C$32/TP!$C$39*TP!F103,0)</f>
        <v>0</v>
      </c>
      <c r="K103" s="18">
        <f t="shared" si="8"/>
        <v>0</v>
      </c>
      <c r="L103" s="30">
        <f t="shared" si="9"/>
        <v>0</v>
      </c>
      <c r="M103" s="31">
        <f t="shared" ca="1" si="10"/>
        <v>0</v>
      </c>
      <c r="N103" s="28">
        <f t="shared" si="11"/>
        <v>0</v>
      </c>
    </row>
    <row r="104" spans="1:14" x14ac:dyDescent="0.25">
      <c r="A104" s="26" t="str">
        <f t="shared" si="0"/>
        <v/>
      </c>
      <c r="B104" s="20" t="str">
        <f t="shared" si="12"/>
        <v/>
      </c>
      <c r="C104" s="27">
        <f t="shared" si="1"/>
        <v>0</v>
      </c>
      <c r="D104" s="27">
        <f t="shared" si="2"/>
        <v>0</v>
      </c>
      <c r="E104" s="27">
        <f t="shared" si="3"/>
        <v>0</v>
      </c>
      <c r="F104" s="27">
        <f t="shared" si="4"/>
        <v>0</v>
      </c>
      <c r="G104" s="27">
        <f t="shared" si="5"/>
        <v>0</v>
      </c>
      <c r="H104" s="27">
        <f t="shared" si="6"/>
        <v>0</v>
      </c>
      <c r="I104" s="27">
        <f t="shared" si="7"/>
        <v>0</v>
      </c>
      <c r="J104" s="27">
        <f>IFERROR('IOF 2'!#REF!+TP!$C$32/TP!$C$39*TP!F104,0)</f>
        <v>0</v>
      </c>
      <c r="K104" s="18">
        <f t="shared" si="8"/>
        <v>0</v>
      </c>
      <c r="L104" s="30">
        <f t="shared" si="9"/>
        <v>0</v>
      </c>
      <c r="M104" s="31">
        <f t="shared" ca="1" si="10"/>
        <v>0</v>
      </c>
      <c r="N104" s="28">
        <f t="shared" si="11"/>
        <v>0</v>
      </c>
    </row>
    <row r="105" spans="1:14" x14ac:dyDescent="0.25">
      <c r="A105" s="26" t="str">
        <f t="shared" ref="A105:A111" si="13">IF(A104="","",IF(A104+1&lt;=$C$19,A104+1,""))</f>
        <v/>
      </c>
      <c r="B105" s="20" t="str">
        <f t="shared" si="12"/>
        <v/>
      </c>
      <c r="C105" s="27">
        <f t="shared" ref="C105:C111" si="14">C104+G105-I105</f>
        <v>0</v>
      </c>
      <c r="D105" s="27">
        <f t="shared" ref="D105:D111" si="15">C105-E105</f>
        <v>0</v>
      </c>
      <c r="E105" s="27">
        <f t="shared" ref="E105:E111" si="16">MIN($C$38,C105,E104)</f>
        <v>0</v>
      </c>
      <c r="F105" s="27">
        <f t="shared" ref="F105:F111" si="17">E104-E105</f>
        <v>0</v>
      </c>
      <c r="G105" s="27">
        <f t="shared" ref="G105:G111" si="18">IF(A105="",0,ROUND(((((1+$C$15)^((B105-B104)/30)-1)*C104)),2))</f>
        <v>0</v>
      </c>
      <c r="H105" s="27">
        <f t="shared" ref="H105:H111" si="19">MIN(I105-F105,I105)</f>
        <v>0</v>
      </c>
      <c r="I105" s="27">
        <f t="shared" ref="I105:I111" si="20">IF(A105="",0,$C$39/$L$113)</f>
        <v>0</v>
      </c>
      <c r="J105" s="27">
        <f>IFERROR('IOF 2'!#REF!+TP!$C$32/TP!$C$39*TP!F105,0)</f>
        <v>0</v>
      </c>
      <c r="K105" s="18">
        <f t="shared" ref="K105:K111" si="21">IFERROR(B105-B104,0)</f>
        <v>0</v>
      </c>
      <c r="L105" s="30">
        <f t="shared" ref="L105:L111" si="22">IF(A105="",0,ROUND(1/((1+$C$15)^((B105-$B$39)/30)),8))</f>
        <v>0</v>
      </c>
      <c r="M105" s="31">
        <f t="shared" ref="M105:M111" ca="1" si="23">IFERROR(I105/((1+$C$33)^((B105-$B$39)/365)),0)</f>
        <v>0</v>
      </c>
      <c r="N105" s="28">
        <f t="shared" ref="N105:N111" si="24">IFERROR(ROUND($P$8*F105/$P$6,2),0)</f>
        <v>0</v>
      </c>
    </row>
    <row r="106" spans="1:14" x14ac:dyDescent="0.25">
      <c r="A106" s="26" t="str">
        <f t="shared" si="13"/>
        <v/>
      </c>
      <c r="B106" s="20" t="str">
        <f t="shared" ref="B106:B111" si="25">IF(A106="","",DATE(YEAR(B105),IF(DAY(B105)&lt;$C$35,MONTH(B105),MONTH(B105)+1),$C$35)+IF(AND(DAY(DATE(YEAR(B105),IF(DAY(B105)&lt;$C$35,MONTH(B105),MONTH(B105)+1),$C$35))&lt;&gt;$C$35,DAY(DATE(YEAR(B105),IF(DAY(B105)&lt;$C$35,MONTH(B105)*MONTH(B105)+1),$C$35))=2),-1,0))</f>
        <v/>
      </c>
      <c r="C106" s="27">
        <f t="shared" si="14"/>
        <v>0</v>
      </c>
      <c r="D106" s="27">
        <f t="shared" si="15"/>
        <v>0</v>
      </c>
      <c r="E106" s="27">
        <f t="shared" si="16"/>
        <v>0</v>
      </c>
      <c r="F106" s="27">
        <f t="shared" si="17"/>
        <v>0</v>
      </c>
      <c r="G106" s="27">
        <f t="shared" si="18"/>
        <v>0</v>
      </c>
      <c r="H106" s="27">
        <f t="shared" si="19"/>
        <v>0</v>
      </c>
      <c r="I106" s="27">
        <f t="shared" si="20"/>
        <v>0</v>
      </c>
      <c r="J106" s="27">
        <f>IFERROR('IOF 2'!#REF!+TP!$C$32/TP!$C$39*TP!F106,0)</f>
        <v>0</v>
      </c>
      <c r="K106" s="18">
        <f t="shared" si="21"/>
        <v>0</v>
      </c>
      <c r="L106" s="30">
        <f t="shared" si="22"/>
        <v>0</v>
      </c>
      <c r="M106" s="31">
        <f t="shared" ca="1" si="23"/>
        <v>0</v>
      </c>
      <c r="N106" s="28">
        <f t="shared" si="24"/>
        <v>0</v>
      </c>
    </row>
    <row r="107" spans="1:14" x14ac:dyDescent="0.25">
      <c r="A107" s="26" t="str">
        <f t="shared" si="13"/>
        <v/>
      </c>
      <c r="B107" s="20" t="str">
        <f t="shared" si="25"/>
        <v/>
      </c>
      <c r="C107" s="27">
        <f t="shared" si="14"/>
        <v>0</v>
      </c>
      <c r="D107" s="27">
        <f t="shared" si="15"/>
        <v>0</v>
      </c>
      <c r="E107" s="27">
        <f t="shared" si="16"/>
        <v>0</v>
      </c>
      <c r="F107" s="27">
        <f t="shared" si="17"/>
        <v>0</v>
      </c>
      <c r="G107" s="27">
        <f t="shared" si="18"/>
        <v>0</v>
      </c>
      <c r="H107" s="27">
        <f t="shared" si="19"/>
        <v>0</v>
      </c>
      <c r="I107" s="27">
        <f t="shared" si="20"/>
        <v>0</v>
      </c>
      <c r="J107" s="27">
        <f>IFERROR('IOF 2'!#REF!+TP!$C$32/TP!$C$39*TP!F107,0)</f>
        <v>0</v>
      </c>
      <c r="K107" s="18">
        <f t="shared" si="21"/>
        <v>0</v>
      </c>
      <c r="L107" s="30">
        <f t="shared" si="22"/>
        <v>0</v>
      </c>
      <c r="M107" s="31">
        <f t="shared" ca="1" si="23"/>
        <v>0</v>
      </c>
      <c r="N107" s="28">
        <f t="shared" si="24"/>
        <v>0</v>
      </c>
    </row>
    <row r="108" spans="1:14" x14ac:dyDescent="0.25">
      <c r="A108" s="26" t="str">
        <f t="shared" si="13"/>
        <v/>
      </c>
      <c r="B108" s="20" t="str">
        <f t="shared" si="25"/>
        <v/>
      </c>
      <c r="C108" s="27">
        <f t="shared" si="14"/>
        <v>0</v>
      </c>
      <c r="D108" s="27">
        <f t="shared" si="15"/>
        <v>0</v>
      </c>
      <c r="E108" s="27">
        <f t="shared" si="16"/>
        <v>0</v>
      </c>
      <c r="F108" s="27">
        <f t="shared" si="17"/>
        <v>0</v>
      </c>
      <c r="G108" s="27">
        <f t="shared" si="18"/>
        <v>0</v>
      </c>
      <c r="H108" s="27">
        <f t="shared" si="19"/>
        <v>0</v>
      </c>
      <c r="I108" s="27">
        <f t="shared" si="20"/>
        <v>0</v>
      </c>
      <c r="J108" s="27">
        <f>IFERROR('IOF 2'!#REF!+TP!$C$32/TP!$C$39*TP!F108,0)</f>
        <v>0</v>
      </c>
      <c r="K108" s="18">
        <f t="shared" si="21"/>
        <v>0</v>
      </c>
      <c r="L108" s="30">
        <f t="shared" si="22"/>
        <v>0</v>
      </c>
      <c r="M108" s="31">
        <f t="shared" ca="1" si="23"/>
        <v>0</v>
      </c>
      <c r="N108" s="28">
        <f t="shared" si="24"/>
        <v>0</v>
      </c>
    </row>
    <row r="109" spans="1:14" x14ac:dyDescent="0.25">
      <c r="A109" s="26" t="str">
        <f t="shared" si="13"/>
        <v/>
      </c>
      <c r="B109" s="20" t="str">
        <f t="shared" si="25"/>
        <v/>
      </c>
      <c r="C109" s="27">
        <f t="shared" si="14"/>
        <v>0</v>
      </c>
      <c r="D109" s="27">
        <f t="shared" si="15"/>
        <v>0</v>
      </c>
      <c r="E109" s="27">
        <f t="shared" si="16"/>
        <v>0</v>
      </c>
      <c r="F109" s="27">
        <f t="shared" si="17"/>
        <v>0</v>
      </c>
      <c r="G109" s="27">
        <f t="shared" si="18"/>
        <v>0</v>
      </c>
      <c r="H109" s="27">
        <f t="shared" si="19"/>
        <v>0</v>
      </c>
      <c r="I109" s="27">
        <f t="shared" si="20"/>
        <v>0</v>
      </c>
      <c r="J109" s="27">
        <f>IFERROR('IOF 2'!#REF!+TP!$C$32/TP!$C$39*TP!F109,0)</f>
        <v>0</v>
      </c>
      <c r="K109" s="18">
        <f t="shared" si="21"/>
        <v>0</v>
      </c>
      <c r="L109" s="30">
        <f t="shared" si="22"/>
        <v>0</v>
      </c>
      <c r="M109" s="31">
        <f t="shared" ca="1" si="23"/>
        <v>0</v>
      </c>
      <c r="N109" s="28">
        <f t="shared" si="24"/>
        <v>0</v>
      </c>
    </row>
    <row r="110" spans="1:14" x14ac:dyDescent="0.25">
      <c r="A110" s="26" t="str">
        <f t="shared" si="13"/>
        <v/>
      </c>
      <c r="B110" s="20" t="str">
        <f t="shared" si="25"/>
        <v/>
      </c>
      <c r="C110" s="27">
        <f t="shared" si="14"/>
        <v>0</v>
      </c>
      <c r="D110" s="27">
        <f t="shared" si="15"/>
        <v>0</v>
      </c>
      <c r="E110" s="27">
        <f t="shared" si="16"/>
        <v>0</v>
      </c>
      <c r="F110" s="27">
        <f t="shared" si="17"/>
        <v>0</v>
      </c>
      <c r="G110" s="27">
        <f t="shared" si="18"/>
        <v>0</v>
      </c>
      <c r="H110" s="27">
        <f t="shared" si="19"/>
        <v>0</v>
      </c>
      <c r="I110" s="27">
        <f t="shared" si="20"/>
        <v>0</v>
      </c>
      <c r="J110" s="27">
        <f>IFERROR('IOF 2'!#REF!+TP!$C$32/TP!$C$39*TP!F110,0)</f>
        <v>0</v>
      </c>
      <c r="K110" s="18">
        <f t="shared" si="21"/>
        <v>0</v>
      </c>
      <c r="L110" s="30">
        <f t="shared" si="22"/>
        <v>0</v>
      </c>
      <c r="M110" s="31">
        <f t="shared" ca="1" si="23"/>
        <v>0</v>
      </c>
      <c r="N110" s="28">
        <f t="shared" si="24"/>
        <v>0</v>
      </c>
    </row>
    <row r="111" spans="1:14" x14ac:dyDescent="0.25">
      <c r="A111" s="26" t="str">
        <f t="shared" si="13"/>
        <v/>
      </c>
      <c r="B111" s="20" t="str">
        <f t="shared" si="25"/>
        <v/>
      </c>
      <c r="C111" s="27">
        <f t="shared" si="14"/>
        <v>0</v>
      </c>
      <c r="D111" s="27">
        <f t="shared" si="15"/>
        <v>0</v>
      </c>
      <c r="E111" s="27">
        <f t="shared" si="16"/>
        <v>0</v>
      </c>
      <c r="F111" s="27">
        <f t="shared" si="17"/>
        <v>0</v>
      </c>
      <c r="G111" s="27">
        <f t="shared" si="18"/>
        <v>0</v>
      </c>
      <c r="H111" s="27">
        <f t="shared" si="19"/>
        <v>0</v>
      </c>
      <c r="I111" s="27">
        <f t="shared" si="20"/>
        <v>0</v>
      </c>
      <c r="J111" s="27">
        <f>IFERROR('IOF 2'!#REF!+TP!$C$32/TP!$C$39*TP!F111,0)</f>
        <v>0</v>
      </c>
      <c r="K111" s="18">
        <f t="shared" si="21"/>
        <v>0</v>
      </c>
      <c r="L111" s="30">
        <f t="shared" si="22"/>
        <v>0</v>
      </c>
      <c r="M111" s="31">
        <f t="shared" ca="1" si="23"/>
        <v>0</v>
      </c>
      <c r="N111" s="28">
        <f t="shared" si="24"/>
        <v>0</v>
      </c>
    </row>
    <row r="112" spans="1:14" x14ac:dyDescent="0.25">
      <c r="A112" s="18"/>
    </row>
    <row r="113" spans="1:14" s="18" customFormat="1" ht="15.75" thickBot="1" x14ac:dyDescent="0.3">
      <c r="A113" s="43">
        <f>MAX(A39:A111)</f>
        <v>10</v>
      </c>
      <c r="B113" s="43"/>
      <c r="C113" s="44">
        <f>VLOOKUP(A113,A39:M111,3,0)</f>
        <v>0</v>
      </c>
      <c r="D113" s="44"/>
      <c r="E113" s="44"/>
      <c r="F113" s="44">
        <f>SUM(F40:F111)</f>
        <v>0</v>
      </c>
      <c r="G113" s="44">
        <f>SUM(G40:G111)</f>
        <v>0</v>
      </c>
      <c r="H113" s="44"/>
      <c r="I113" s="44">
        <f>SUM(I40:I111)</f>
        <v>0</v>
      </c>
      <c r="J113" s="44">
        <f t="shared" ref="J113:N113" si="26">SUM(J40:J111)</f>
        <v>0</v>
      </c>
      <c r="K113" s="43">
        <f t="shared" si="26"/>
        <v>299</v>
      </c>
      <c r="L113" s="45">
        <f t="shared" si="26"/>
        <v>8.0783855300000003</v>
      </c>
      <c r="M113" s="43">
        <f t="shared" ca="1" si="26"/>
        <v>0</v>
      </c>
      <c r="N113" s="44">
        <f t="shared" si="26"/>
        <v>0</v>
      </c>
    </row>
    <row r="114" spans="1:14" ht="15.75" thickTop="1" x14ac:dyDescent="0.25"/>
  </sheetData>
  <mergeCells count="2">
    <mergeCell ref="C21:F21"/>
    <mergeCell ref="D7:E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EE973D-A4EE-4344-BEE8-2A981CB9A316}">
          <x14:formula1>
            <xm:f>Auxiliares!$D$2:$D$4</xm:f>
          </x14:formula1>
          <xm:sqref>C21</xm:sqref>
        </x14:dataValidation>
        <x14:dataValidation type="list" allowBlank="1" showInputMessage="1" showErrorMessage="1" xr:uid="{5A69AC3F-CCC7-4E12-A348-064390485D85}">
          <x14:formula1>
            <xm:f>Auxiliares!$B$2:$B$3</xm:f>
          </x14:formula1>
          <xm:sqref>C12</xm:sqref>
        </x14:dataValidation>
        <x14:dataValidation type="list" allowBlank="1" showInputMessage="1" showErrorMessage="1" xr:uid="{6A50BEB9-AA52-495F-8046-2B179B0473B8}">
          <x14:formula1>
            <xm:f>Auxiliares!$E$18:$E$20</xm:f>
          </x14:formula1>
          <xm:sqref>D7:E7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19C4-A4E2-4C4D-A4E1-BBA323A8F439}">
  <sheetPr codeName="Planilha1"/>
  <dimension ref="A3:R112"/>
  <sheetViews>
    <sheetView tabSelected="1" topLeftCell="A5" zoomScale="115" zoomScaleNormal="115" workbookViewId="0">
      <selection activeCell="C36" sqref="C36"/>
    </sheetView>
  </sheetViews>
  <sheetFormatPr defaultRowHeight="15" x14ac:dyDescent="0.25"/>
  <cols>
    <col min="1" max="1" width="9.7109375" bestFit="1" customWidth="1"/>
    <col min="2" max="2" width="27.28515625" bestFit="1" customWidth="1"/>
    <col min="3" max="3" width="12.7109375" style="11" bestFit="1" customWidth="1"/>
    <col min="4" max="4" width="10.7109375" bestFit="1" customWidth="1"/>
    <col min="5" max="5" width="13.5703125" bestFit="1" customWidth="1"/>
    <col min="6" max="7" width="10.7109375" bestFit="1" customWidth="1"/>
    <col min="8" max="8" width="15.28515625" bestFit="1" customWidth="1"/>
    <col min="9" max="9" width="12.42578125" bestFit="1" customWidth="1"/>
    <col min="10" max="10" width="9.7109375" bestFit="1" customWidth="1"/>
    <col min="11" max="11" width="20.28515625" bestFit="1" customWidth="1"/>
    <col min="12" max="12" width="8.5703125" bestFit="1" customWidth="1"/>
    <col min="13" max="13" width="12.28515625" bestFit="1" customWidth="1"/>
    <col min="14" max="14" width="20.85546875" bestFit="1" customWidth="1"/>
    <col min="15" max="15" width="9.140625" customWidth="1"/>
    <col min="16" max="16" width="12.7109375" bestFit="1" customWidth="1"/>
    <col min="17" max="17" width="10.7109375" bestFit="1" customWidth="1"/>
    <col min="18" max="18" width="13" bestFit="1" customWidth="1"/>
  </cols>
  <sheetData>
    <row r="3" spans="2:18" x14ac:dyDescent="0.25">
      <c r="O3" s="8"/>
    </row>
    <row r="6" spans="2:18" x14ac:dyDescent="0.25">
      <c r="N6" t="s">
        <v>99</v>
      </c>
    </row>
    <row r="7" spans="2:18" x14ac:dyDescent="0.25">
      <c r="N7" s="91" t="s">
        <v>100</v>
      </c>
      <c r="O7" s="92"/>
      <c r="P7" s="23">
        <f>IFERROR(C38,0)</f>
        <v>2026.04</v>
      </c>
      <c r="Q7" s="38">
        <f>C9-C22</f>
        <v>1672.6</v>
      </c>
      <c r="R7">
        <f>Q8/P28</f>
        <v>0</v>
      </c>
    </row>
    <row r="8" spans="2:18" x14ac:dyDescent="0.25">
      <c r="B8" t="s">
        <v>44</v>
      </c>
      <c r="C8" s="11">
        <v>2</v>
      </c>
      <c r="D8" s="90" t="s">
        <v>40</v>
      </c>
      <c r="E8" s="90"/>
      <c r="N8" s="91" t="s">
        <v>101</v>
      </c>
      <c r="O8" s="92"/>
      <c r="P8" s="23">
        <f>P7-P9</f>
        <v>2026.04</v>
      </c>
    </row>
    <row r="9" spans="2:18" x14ac:dyDescent="0.25">
      <c r="B9" s="8" t="s">
        <v>121</v>
      </c>
      <c r="C9" s="21">
        <v>2000</v>
      </c>
      <c r="N9" s="91" t="s">
        <v>102</v>
      </c>
      <c r="O9" s="92"/>
      <c r="P9" s="23">
        <f>IF(Q9&lt;&gt;"",C24*Q9,0)</f>
        <v>0</v>
      </c>
    </row>
    <row r="11" spans="2:18" x14ac:dyDescent="0.25">
      <c r="B11" s="8" t="s">
        <v>83</v>
      </c>
      <c r="C11" s="21">
        <v>0</v>
      </c>
      <c r="N11" t="s">
        <v>103</v>
      </c>
      <c r="P11" s="25">
        <f>C15</f>
        <v>7.9500000000000001E-2</v>
      </c>
    </row>
    <row r="13" spans="2:18" x14ac:dyDescent="0.25">
      <c r="B13" s="8" t="s">
        <v>110</v>
      </c>
      <c r="C13" s="12" t="s">
        <v>24</v>
      </c>
      <c r="N13" t="s">
        <v>104</v>
      </c>
      <c r="P13">
        <f>C19</f>
        <v>8</v>
      </c>
    </row>
    <row r="14" spans="2:18" x14ac:dyDescent="0.25">
      <c r="C14"/>
    </row>
    <row r="15" spans="2:18" x14ac:dyDescent="0.25">
      <c r="B15" s="8" t="s">
        <v>85</v>
      </c>
      <c r="C15" s="13">
        <v>7.9500000000000001E-2</v>
      </c>
      <c r="N15" t="s">
        <v>105</v>
      </c>
      <c r="P15">
        <f>IFERROR(I39,0)</f>
        <v>327.39999999999998</v>
      </c>
    </row>
    <row r="16" spans="2:18" x14ac:dyDescent="0.25">
      <c r="B16" s="9" t="s">
        <v>111</v>
      </c>
      <c r="C16" s="14">
        <f>((1+C15)^(1/30)-1)</f>
        <v>2.5531862083976176E-3</v>
      </c>
    </row>
    <row r="17" spans="2:18" x14ac:dyDescent="0.25">
      <c r="B17" s="7" t="s">
        <v>112</v>
      </c>
      <c r="C17" s="15">
        <f>(1+C15)^12-1</f>
        <v>1.5042158501836957</v>
      </c>
    </row>
    <row r="19" spans="2:18" x14ac:dyDescent="0.25">
      <c r="B19" t="s">
        <v>7</v>
      </c>
      <c r="C19" s="11">
        <v>8</v>
      </c>
      <c r="N19" t="s">
        <v>106</v>
      </c>
      <c r="P19">
        <f>IFERROR(SUM(P21:P22),0)</f>
        <v>26.04</v>
      </c>
    </row>
    <row r="21" spans="2:18" x14ac:dyDescent="0.25">
      <c r="B21" s="8" t="s">
        <v>86</v>
      </c>
      <c r="C21" s="89" t="s">
        <v>31</v>
      </c>
      <c r="D21" s="89"/>
      <c r="E21" s="89"/>
      <c r="F21" s="89"/>
      <c r="G21" s="89"/>
      <c r="N21" t="s">
        <v>12</v>
      </c>
      <c r="P21" s="29">
        <f>C31</f>
        <v>18.34</v>
      </c>
      <c r="Q21" s="29">
        <f>P21</f>
        <v>18.34</v>
      </c>
      <c r="R21">
        <f>P21/P28</f>
        <v>7.0021380574221128E-3</v>
      </c>
    </row>
    <row r="22" spans="2:18" x14ac:dyDescent="0.25">
      <c r="B22" s="8" t="s">
        <v>87</v>
      </c>
      <c r="C22" s="90">
        <v>327.39999999999998</v>
      </c>
      <c r="D22" s="90"/>
      <c r="E22" s="90"/>
      <c r="F22" s="90"/>
      <c r="G22" s="90"/>
      <c r="N22" t="s">
        <v>43</v>
      </c>
      <c r="P22" s="29">
        <f>C32</f>
        <v>7.7</v>
      </c>
      <c r="Q22" s="29">
        <f>P22</f>
        <v>7.7</v>
      </c>
      <c r="R22">
        <f>P22/P28</f>
        <v>2.9398289554062305E-3</v>
      </c>
    </row>
    <row r="23" spans="2:18" x14ac:dyDescent="0.25">
      <c r="B23" t="s">
        <v>113</v>
      </c>
      <c r="C23" s="22" cm="1">
        <f t="array" ref="C23">_xlfn.IFS(C21="SEM ENTRADA",0,C21="ENTRADA IGUAL AS DEMAIS PARCELAS",P16,TRUE,C22)</f>
        <v>0</v>
      </c>
    </row>
    <row r="24" spans="2:18" x14ac:dyDescent="0.25">
      <c r="B24" t="s">
        <v>88</v>
      </c>
      <c r="C24" s="22">
        <f>IF(C21="ENTRADA DIFERENTE DAS DEMAIS PARCELAS",C9-C22,C9)</f>
        <v>2000</v>
      </c>
    </row>
    <row r="26" spans="2:18" x14ac:dyDescent="0.25">
      <c r="B26" t="s">
        <v>89</v>
      </c>
      <c r="C26" s="19">
        <v>46255</v>
      </c>
      <c r="N26" t="s">
        <v>107</v>
      </c>
      <c r="P26">
        <f>IFERROR(G112,0)</f>
        <v>593.1099999999999</v>
      </c>
      <c r="Q26">
        <f>P26</f>
        <v>593.1099999999999</v>
      </c>
      <c r="R26">
        <f>P26/P28</f>
        <v>0.22644700671960899</v>
      </c>
    </row>
    <row r="27" spans="2:18" x14ac:dyDescent="0.25">
      <c r="C27" s="18"/>
    </row>
    <row r="28" spans="2:18" x14ac:dyDescent="0.25">
      <c r="B28" t="s">
        <v>90</v>
      </c>
      <c r="C28" s="19">
        <v>46286</v>
      </c>
      <c r="L28" s="38">
        <f>C9-C22</f>
        <v>1672.6</v>
      </c>
      <c r="N28" t="s">
        <v>108</v>
      </c>
      <c r="P28">
        <f>IFERROR(I112,0)</f>
        <v>2619.2000000000003</v>
      </c>
      <c r="Q28" s="29">
        <f>SUM(Q8,Q21:Q26)</f>
        <v>619.14999999999986</v>
      </c>
      <c r="R28">
        <f>SUM(R8,R21:R26)</f>
        <v>0.23638897373243734</v>
      </c>
    </row>
    <row r="29" spans="2:18" x14ac:dyDescent="0.25">
      <c r="C29" s="18"/>
    </row>
    <row r="30" spans="2:18" x14ac:dyDescent="0.25">
      <c r="B30" s="7" t="s">
        <v>91</v>
      </c>
      <c r="C30" s="20">
        <f>DATE(YEAR(C28),MONTH(C28)+C19-1,DAY(C28))</f>
        <v>46498</v>
      </c>
    </row>
    <row r="31" spans="2:18" x14ac:dyDescent="0.25">
      <c r="B31" s="7" t="s">
        <v>12</v>
      </c>
      <c r="C31" s="41">
        <f>IF(Auxiliares!B8=2,'IOF 2'!C17,0)</f>
        <v>18.34</v>
      </c>
    </row>
    <row r="32" spans="2:18" x14ac:dyDescent="0.25">
      <c r="B32" s="7" t="s">
        <v>43</v>
      </c>
      <c r="C32" s="41">
        <f>IF(Auxiliares!B8=2,'IOF 2'!C18,0)</f>
        <v>7.7</v>
      </c>
    </row>
    <row r="33" spans="1:16" x14ac:dyDescent="0.25">
      <c r="B33" s="7" t="s">
        <v>92</v>
      </c>
      <c r="C33" s="15">
        <f ca="1">XIRR(I38:INDIRECT(CONCATENATE("I",ROW(I38)+C19)),B38:INDIRECT(CONCATENATE("B",ROW(B38)+C19)),0)</f>
        <v>1.6668313085937503</v>
      </c>
      <c r="N33" t="s">
        <v>109</v>
      </c>
      <c r="P33" s="10">
        <f>IF(C28="","",MAX($B$38:B110))</f>
        <v>46467</v>
      </c>
    </row>
    <row r="34" spans="1:16" ht="3" customHeight="1" x14ac:dyDescent="0.25"/>
    <row r="35" spans="1:16" x14ac:dyDescent="0.25">
      <c r="B35" t="s">
        <v>93</v>
      </c>
      <c r="C35" s="11">
        <v>21</v>
      </c>
      <c r="M35" t="s">
        <v>98</v>
      </c>
    </row>
    <row r="36" spans="1:16" x14ac:dyDescent="0.25">
      <c r="E36" s="10">
        <f>EOMONTH(B38,0)+C35</f>
        <v>46286</v>
      </c>
      <c r="M36" s="38">
        <f ca="1">M112-C9</f>
        <v>-2.5584893137420295E-6</v>
      </c>
    </row>
    <row r="37" spans="1:16" x14ac:dyDescent="0.25">
      <c r="A37" s="26" t="s">
        <v>7</v>
      </c>
      <c r="B37" s="26" t="s">
        <v>46</v>
      </c>
      <c r="C37" s="26" t="s">
        <v>47</v>
      </c>
      <c r="D37" s="26" t="s">
        <v>48</v>
      </c>
      <c r="E37" s="26" t="s">
        <v>49</v>
      </c>
      <c r="F37" s="26" t="s">
        <v>50</v>
      </c>
      <c r="G37" s="26" t="s">
        <v>51</v>
      </c>
      <c r="H37" s="26" t="s">
        <v>52</v>
      </c>
      <c r="I37" s="26" t="s">
        <v>53</v>
      </c>
      <c r="J37" s="26" t="s">
        <v>12</v>
      </c>
      <c r="K37" s="26" t="s">
        <v>94</v>
      </c>
      <c r="L37" s="18" t="s">
        <v>95</v>
      </c>
      <c r="M37" s="18" t="s">
        <v>96</v>
      </c>
      <c r="N37" s="18" t="s">
        <v>97</v>
      </c>
    </row>
    <row r="38" spans="1:16" x14ac:dyDescent="0.25">
      <c r="A38" s="26">
        <v>0</v>
      </c>
      <c r="B38" s="20">
        <f>IF(C26="","",C26)</f>
        <v>46255</v>
      </c>
      <c r="C38" s="27">
        <f>IF(Auxiliares!B8=2,IF(C21="ENTRADA DIFERENTE DAS DEMAIS PARCELAS",C9+C31+C32-C22+P9,C9+C31+C32+P9),0)</f>
        <v>2026.04</v>
      </c>
      <c r="D38" s="27"/>
      <c r="E38" s="27">
        <f>C38</f>
        <v>2026.04</v>
      </c>
      <c r="F38" s="27"/>
      <c r="G38" s="27"/>
      <c r="H38" s="27"/>
      <c r="I38" s="27">
        <f>-C9</f>
        <v>-2000</v>
      </c>
      <c r="J38" s="27"/>
      <c r="K38" s="27"/>
      <c r="L38" s="18"/>
      <c r="M38" s="31">
        <f ca="1">M36</f>
        <v>-2.5584893137420295E-6</v>
      </c>
      <c r="N38" s="18"/>
    </row>
    <row r="39" spans="1:16" x14ac:dyDescent="0.25">
      <c r="A39" s="26">
        <f>IF(A38="","",IF(A38+1&lt;=$C$19,A38+1,""))</f>
        <v>1</v>
      </c>
      <c r="B39" s="20">
        <f>IF(C28="","",IF(C21=Auxiliares!D2,C26,C28))</f>
        <v>46255</v>
      </c>
      <c r="C39" s="27">
        <f>C38+G39-I39</f>
        <v>1698.6399999999999</v>
      </c>
      <c r="D39" s="27">
        <f>C39-E39</f>
        <v>0</v>
      </c>
      <c r="E39" s="27">
        <f>MIN($C$38,C39,E38)</f>
        <v>1698.6399999999999</v>
      </c>
      <c r="F39" s="27">
        <f>E38-E39</f>
        <v>327.40000000000009</v>
      </c>
      <c r="G39" s="27">
        <f>IF(A39="",0,ROUND(((((1+$C$15)^((B39-B38)/30)-1)*C38)),2))</f>
        <v>0</v>
      </c>
      <c r="H39" s="88">
        <f>MIN(I39-F39,I39)</f>
        <v>-1.1368683772161603E-13</v>
      </c>
      <c r="I39" s="27">
        <f>IF(A39="",0,ROUND($C$38/$L$112,2))</f>
        <v>327.39999999999998</v>
      </c>
      <c r="J39" s="27">
        <f>IFERROR('IOF 2'!L25+PF!$C$32/PF!$C$38*PF!F39,0)</f>
        <v>1.2442893526287737</v>
      </c>
      <c r="K39" s="39">
        <f>IFERROR(B39-B38,0)</f>
        <v>0</v>
      </c>
      <c r="L39" s="40">
        <f>IF(A39="",0,ROUND(1/((1+$C$15)^((B39-$B$38)/30)),8))</f>
        <v>1</v>
      </c>
      <c r="M39" s="31">
        <f ca="1">IFERROR(I39/((1+$C$33)^((B39-$B$38)/365)),0)</f>
        <v>327.39999999999998</v>
      </c>
      <c r="N39" s="28">
        <f t="shared" ref="N39:N70" si="0">IFERROR(ROUND($P$10*F39/$P$8,2),0)</f>
        <v>0</v>
      </c>
    </row>
    <row r="40" spans="1:16" x14ac:dyDescent="0.25">
      <c r="A40" s="26">
        <f t="shared" ref="A40:A103" si="1">IF(A39="","",IF(A39+1&lt;=$C$19,A39+1,""))</f>
        <v>2</v>
      </c>
      <c r="B40" s="20">
        <f>IF(C28="","",IF(C21=Auxiliares!D2,C28,DATE(YEAR(B39),IF(DAY(B39)&lt;$C$35,MONTH(B39),MONTH(B39)+1),$C$35)+IF(AND(DAY(DATE(YEAR(B39),IF(DAY(B39)&lt;$C$35,MONTH(B39),MONTH(B39)+1),$C$35))&lt;&gt;$C$35,DAY(DATE(YEAR(B39),IF(DAY(B39)&lt;$C$35,MONTH(B39),MONTH(B39)+1),$C$35))=2),-1,0)))</f>
        <v>46286</v>
      </c>
      <c r="C40" s="27">
        <f t="shared" ref="C40:C103" si="2">C39+G40-I40</f>
        <v>1510.96</v>
      </c>
      <c r="D40" s="27">
        <f t="shared" ref="D40:D103" si="3">C40-E40</f>
        <v>0</v>
      </c>
      <c r="E40" s="27">
        <f t="shared" ref="E40:E103" si="4">MIN($C$38,C40,E39)</f>
        <v>1510.96</v>
      </c>
      <c r="F40" s="27">
        <f t="shared" ref="F40:F103" si="5">E39-E40</f>
        <v>187.67999999999984</v>
      </c>
      <c r="G40" s="27">
        <f t="shared" ref="G40:G103" si="6">IF(A40="",0,ROUND(((((1+$C$15)^((B40-B39)/30)-1)*C39)),2))</f>
        <v>139.72</v>
      </c>
      <c r="H40" s="27">
        <f t="shared" ref="H40:H103" si="7">MIN(I40-F40,I40)</f>
        <v>139.72000000000014</v>
      </c>
      <c r="I40" s="27">
        <f t="shared" ref="I40:I103" si="8">IF(A40="",0,ROUND($C$38/$L$112,2))</f>
        <v>327.39999999999998</v>
      </c>
      <c r="J40" s="27">
        <f>IFERROR('IOF 2'!L26+PF!$C$32/PF!$C$38*PF!F40,0)</f>
        <v>1.1932810803340501</v>
      </c>
      <c r="K40" s="39">
        <f t="shared" ref="K40:K103" si="9">IFERROR(B40-B39,0)</f>
        <v>31</v>
      </c>
      <c r="L40" s="40">
        <f t="shared" ref="L40:L103" si="10">IF(A40="",0,ROUND(1/((1+$C$15)^((B40-$B$38)/30)),8))</f>
        <v>0.92399566</v>
      </c>
      <c r="M40" s="31">
        <f t="shared" ref="M40:M103" ca="1" si="11">IFERROR(I40/((1+$C$33)^((B40-$B$38)/365)),0)</f>
        <v>301.23000674353545</v>
      </c>
      <c r="N40" s="28">
        <f t="shared" si="0"/>
        <v>0</v>
      </c>
    </row>
    <row r="41" spans="1:16" x14ac:dyDescent="0.25">
      <c r="A41" s="26">
        <f t="shared" si="1"/>
        <v>3</v>
      </c>
      <c r="B41" s="20">
        <f>IF(A41="","",DATE(YEAR(B40),IF(DAY(B40)&lt;$C$35,MONTH(B40),MONTH(B40)+1),$C$35)+IF(AND(DAY(DATE(YEAR(B40),IF(DAY(B40)&lt;$C$35,MONTH(B40),MONTH(B40)+1),$C$35))&lt;&gt;$C$35,DAY(DATE(YEAR(B40),IF(DAY(B40)&lt;$C$35,MONTH(B40)+1),$C$35))=2),-1,0))</f>
        <v>46316</v>
      </c>
      <c r="C41" s="27">
        <f t="shared" si="2"/>
        <v>1303.6799999999998</v>
      </c>
      <c r="D41" s="27">
        <f t="shared" si="3"/>
        <v>0</v>
      </c>
      <c r="E41" s="27">
        <f t="shared" si="4"/>
        <v>1303.6799999999998</v>
      </c>
      <c r="F41" s="27">
        <f t="shared" si="5"/>
        <v>207.2800000000002</v>
      </c>
      <c r="G41" s="27">
        <f t="shared" si="6"/>
        <v>120.12</v>
      </c>
      <c r="H41" s="27">
        <f t="shared" si="7"/>
        <v>120.11999999999978</v>
      </c>
      <c r="I41" s="27">
        <f t="shared" si="8"/>
        <v>327.39999999999998</v>
      </c>
      <c r="J41" s="27">
        <f>IFERROR('IOF 2'!L27+PF!$C$32/PF!$C$38*PF!F41,0)</f>
        <v>1.8277712187321087</v>
      </c>
      <c r="K41" s="39">
        <f t="shared" si="9"/>
        <v>30</v>
      </c>
      <c r="L41" s="40">
        <f t="shared" si="10"/>
        <v>0.85594780999999998</v>
      </c>
      <c r="M41" s="31">
        <f t="shared" ca="1" si="11"/>
        <v>277.89766586853773</v>
      </c>
      <c r="N41" s="28">
        <f t="shared" si="0"/>
        <v>0</v>
      </c>
    </row>
    <row r="42" spans="1:16" x14ac:dyDescent="0.25">
      <c r="A42" s="26">
        <f t="shared" si="1"/>
        <v>4</v>
      </c>
      <c r="B42" s="20">
        <f t="shared" ref="B42:B105" si="12">IF(A42="","",DATE(YEAR(B41),IF(DAY(B41)&lt;$C$35,MONTH(B41),MONTH(B41)+1),$C$35)+IF(AND(DAY(DATE(YEAR(B41),IF(DAY(B41)&lt;$C$35,MONTH(B41),MONTH(B41)+1),$C$35))&lt;&gt;$C$35,DAY(DATE(YEAR(B41),IF(DAY(B41)&lt;$C$35,MONTH(B41)+1),$C$35))=2),-1,0))</f>
        <v>46347</v>
      </c>
      <c r="C42" s="27">
        <f t="shared" si="2"/>
        <v>1083.52</v>
      </c>
      <c r="D42" s="27">
        <f t="shared" si="3"/>
        <v>0</v>
      </c>
      <c r="E42" s="27">
        <f t="shared" si="4"/>
        <v>1083.52</v>
      </c>
      <c r="F42" s="27">
        <f t="shared" si="5"/>
        <v>220.15999999999985</v>
      </c>
      <c r="G42" s="27">
        <f t="shared" si="6"/>
        <v>107.24</v>
      </c>
      <c r="H42" s="27">
        <f t="shared" si="7"/>
        <v>107.24000000000012</v>
      </c>
      <c r="I42" s="27">
        <f t="shared" si="8"/>
        <v>327.39999999999998</v>
      </c>
      <c r="J42" s="27">
        <f>IFERROR('IOF 2'!L28+PF!$C$32/PF!$C$38*PF!F42,0)</f>
        <v>2.4967218811079737</v>
      </c>
      <c r="K42" s="39">
        <f t="shared" si="9"/>
        <v>31</v>
      </c>
      <c r="L42" s="40">
        <f t="shared" si="10"/>
        <v>0.79089206000000001</v>
      </c>
      <c r="M42" s="31">
        <f t="shared" ca="1" si="11"/>
        <v>255.68453195965907</v>
      </c>
      <c r="N42" s="28">
        <f t="shared" si="0"/>
        <v>0</v>
      </c>
    </row>
    <row r="43" spans="1:16" x14ac:dyDescent="0.25">
      <c r="A43" s="26">
        <f t="shared" si="1"/>
        <v>5</v>
      </c>
      <c r="B43" s="20">
        <f t="shared" si="12"/>
        <v>46377</v>
      </c>
      <c r="C43" s="27">
        <f t="shared" si="2"/>
        <v>842.2600000000001</v>
      </c>
      <c r="D43" s="27">
        <f t="shared" si="3"/>
        <v>0</v>
      </c>
      <c r="E43" s="27">
        <f t="shared" si="4"/>
        <v>842.2600000000001</v>
      </c>
      <c r="F43" s="27">
        <f t="shared" si="5"/>
        <v>241.25999999999988</v>
      </c>
      <c r="G43" s="27">
        <f t="shared" si="6"/>
        <v>86.14</v>
      </c>
      <c r="H43" s="27">
        <f t="shared" si="7"/>
        <v>86.1400000000001</v>
      </c>
      <c r="I43" s="27">
        <f t="shared" si="8"/>
        <v>327.39999999999998</v>
      </c>
      <c r="J43" s="27">
        <f>IFERROR('IOF 2'!L29+PF!$C$32/PF!$C$38*PF!F43,0)</f>
        <v>3.3269127954038415</v>
      </c>
      <c r="K43" s="39">
        <f t="shared" si="9"/>
        <v>30</v>
      </c>
      <c r="L43" s="40">
        <f t="shared" si="10"/>
        <v>0.73264664999999995</v>
      </c>
      <c r="M43" s="31">
        <f t="shared" ca="1" si="11"/>
        <v>235.88000212333978</v>
      </c>
      <c r="N43" s="28">
        <f t="shared" si="0"/>
        <v>0</v>
      </c>
    </row>
    <row r="44" spans="1:16" x14ac:dyDescent="0.25">
      <c r="A44" s="26">
        <f t="shared" si="1"/>
        <v>6</v>
      </c>
      <c r="B44" s="20">
        <f t="shared" si="12"/>
        <v>46408</v>
      </c>
      <c r="C44" s="27">
        <f t="shared" si="2"/>
        <v>584.1400000000001</v>
      </c>
      <c r="D44" s="27">
        <f t="shared" si="3"/>
        <v>0</v>
      </c>
      <c r="E44" s="27">
        <f t="shared" si="4"/>
        <v>584.1400000000001</v>
      </c>
      <c r="F44" s="27">
        <f t="shared" si="5"/>
        <v>258.12</v>
      </c>
      <c r="G44" s="27">
        <f t="shared" si="6"/>
        <v>69.28</v>
      </c>
      <c r="H44" s="27">
        <f t="shared" si="7"/>
        <v>69.279999999999973</v>
      </c>
      <c r="I44" s="27">
        <f t="shared" si="8"/>
        <v>327.39999999999998</v>
      </c>
      <c r="J44" s="27">
        <f>IFERROR('IOF 2'!L30+PF!$C$32/PF!$C$38*PF!F44,0)</f>
        <v>4.2209895164952327</v>
      </c>
      <c r="K44" s="39">
        <f t="shared" si="9"/>
        <v>31</v>
      </c>
      <c r="L44" s="40">
        <f t="shared" si="10"/>
        <v>0.67696232999999995</v>
      </c>
      <c r="M44" s="31">
        <f t="shared" ca="1" si="11"/>
        <v>217.02545702589737</v>
      </c>
      <c r="N44" s="28">
        <f t="shared" si="0"/>
        <v>0</v>
      </c>
    </row>
    <row r="45" spans="1:16" x14ac:dyDescent="0.25">
      <c r="A45" s="26">
        <f t="shared" si="1"/>
        <v>7</v>
      </c>
      <c r="B45" s="20">
        <f t="shared" si="12"/>
        <v>46439</v>
      </c>
      <c r="C45" s="27">
        <f t="shared" si="2"/>
        <v>304.79000000000008</v>
      </c>
      <c r="D45" s="27">
        <f t="shared" si="3"/>
        <v>0</v>
      </c>
      <c r="E45" s="27">
        <f t="shared" si="4"/>
        <v>304.79000000000008</v>
      </c>
      <c r="F45" s="27">
        <f t="shared" si="5"/>
        <v>279.35000000000002</v>
      </c>
      <c r="G45" s="27">
        <f t="shared" si="6"/>
        <v>48.05</v>
      </c>
      <c r="H45" s="27">
        <f t="shared" si="7"/>
        <v>48.049999999999955</v>
      </c>
      <c r="I45" s="27">
        <f t="shared" si="8"/>
        <v>327.39999999999998</v>
      </c>
      <c r="J45" s="27">
        <f>IFERROR('IOF 2'!L31+PF!$C$32/PF!$C$38*PF!F45,0)</f>
        <v>5.2716744980355772</v>
      </c>
      <c r="K45" s="39">
        <f t="shared" si="9"/>
        <v>31</v>
      </c>
      <c r="L45" s="40">
        <f t="shared" si="10"/>
        <v>0.62551025000000005</v>
      </c>
      <c r="M45" s="31">
        <f t="shared" ca="1" si="11"/>
        <v>199.67800819618182</v>
      </c>
      <c r="N45" s="28">
        <f t="shared" si="0"/>
        <v>0</v>
      </c>
    </row>
    <row r="46" spans="1:16" x14ac:dyDescent="0.25">
      <c r="A46" s="26">
        <f t="shared" si="1"/>
        <v>8</v>
      </c>
      <c r="B46" s="20">
        <f t="shared" si="12"/>
        <v>46467</v>
      </c>
      <c r="C46" s="27">
        <f t="shared" si="2"/>
        <v>-4.9999999999897682E-2</v>
      </c>
      <c r="D46" s="27">
        <f t="shared" si="3"/>
        <v>0</v>
      </c>
      <c r="E46" s="27">
        <f t="shared" si="4"/>
        <v>-4.9999999999897682E-2</v>
      </c>
      <c r="F46" s="27">
        <f t="shared" si="5"/>
        <v>304.83999999999997</v>
      </c>
      <c r="G46" s="27">
        <f t="shared" si="6"/>
        <v>22.56</v>
      </c>
      <c r="H46" s="27">
        <f t="shared" si="7"/>
        <v>22.560000000000002</v>
      </c>
      <c r="I46" s="27">
        <f t="shared" si="8"/>
        <v>327.39999999999998</v>
      </c>
      <c r="J46" s="27">
        <f>IFERROR('IOF 2'!L32+PF!$C$32/PF!$C$38*PF!F46,0)</f>
        <v>6.4585496831257032</v>
      </c>
      <c r="K46" s="39">
        <f t="shared" si="9"/>
        <v>28</v>
      </c>
      <c r="L46" s="40">
        <f t="shared" si="10"/>
        <v>0.58240705999999998</v>
      </c>
      <c r="M46" s="31">
        <f t="shared" ca="1" si="11"/>
        <v>185.20432552435958</v>
      </c>
      <c r="N46" s="28">
        <f t="shared" si="0"/>
        <v>0</v>
      </c>
    </row>
    <row r="47" spans="1:16" x14ac:dyDescent="0.25">
      <c r="A47" s="26" t="str">
        <f t="shared" si="1"/>
        <v/>
      </c>
      <c r="B47" s="20" t="str">
        <f t="shared" si="12"/>
        <v/>
      </c>
      <c r="C47" s="27">
        <f t="shared" si="2"/>
        <v>-4.9999999999897682E-2</v>
      </c>
      <c r="D47" s="27">
        <f t="shared" si="3"/>
        <v>0</v>
      </c>
      <c r="E47" s="27">
        <f t="shared" si="4"/>
        <v>-4.9999999999897682E-2</v>
      </c>
      <c r="F47" s="27">
        <f t="shared" si="5"/>
        <v>0</v>
      </c>
      <c r="G47" s="27">
        <f t="shared" si="6"/>
        <v>0</v>
      </c>
      <c r="H47" s="27">
        <f t="shared" si="7"/>
        <v>0</v>
      </c>
      <c r="I47" s="27">
        <f t="shared" si="8"/>
        <v>0</v>
      </c>
      <c r="J47" s="27">
        <f>IFERROR('IOF 2'!L33+PF!$C$32/PF!$C$38*PF!F47,0)</f>
        <v>0</v>
      </c>
      <c r="K47" s="39">
        <f t="shared" si="9"/>
        <v>0</v>
      </c>
      <c r="L47" s="40">
        <f t="shared" si="10"/>
        <v>0</v>
      </c>
      <c r="M47" s="31">
        <f t="shared" ca="1" si="11"/>
        <v>0</v>
      </c>
      <c r="N47" s="28">
        <f t="shared" si="0"/>
        <v>0</v>
      </c>
    </row>
    <row r="48" spans="1:16" x14ac:dyDescent="0.25">
      <c r="A48" s="26" t="str">
        <f t="shared" si="1"/>
        <v/>
      </c>
      <c r="B48" s="20" t="str">
        <f t="shared" si="12"/>
        <v/>
      </c>
      <c r="C48" s="27">
        <f t="shared" si="2"/>
        <v>-4.9999999999897682E-2</v>
      </c>
      <c r="D48" s="27">
        <f t="shared" si="3"/>
        <v>0</v>
      </c>
      <c r="E48" s="27">
        <f t="shared" si="4"/>
        <v>-4.9999999999897682E-2</v>
      </c>
      <c r="F48" s="27">
        <f t="shared" si="5"/>
        <v>0</v>
      </c>
      <c r="G48" s="27">
        <f t="shared" si="6"/>
        <v>0</v>
      </c>
      <c r="H48" s="27">
        <f t="shared" si="7"/>
        <v>0</v>
      </c>
      <c r="I48" s="27">
        <f t="shared" si="8"/>
        <v>0</v>
      </c>
      <c r="J48" s="27">
        <f>IFERROR('IOF 2'!L34+PF!$C$32/PF!$C$38*PF!F48,0)</f>
        <v>0</v>
      </c>
      <c r="K48" s="39">
        <f t="shared" si="9"/>
        <v>0</v>
      </c>
      <c r="L48" s="40">
        <f t="shared" si="10"/>
        <v>0</v>
      </c>
      <c r="M48" s="31">
        <f t="shared" ca="1" si="11"/>
        <v>0</v>
      </c>
      <c r="N48" s="28">
        <f t="shared" si="0"/>
        <v>0</v>
      </c>
    </row>
    <row r="49" spans="1:14" x14ac:dyDescent="0.25">
      <c r="A49" s="26" t="str">
        <f t="shared" si="1"/>
        <v/>
      </c>
      <c r="B49" s="20" t="str">
        <f t="shared" si="12"/>
        <v/>
      </c>
      <c r="C49" s="27">
        <f t="shared" si="2"/>
        <v>-4.9999999999897682E-2</v>
      </c>
      <c r="D49" s="27">
        <f t="shared" si="3"/>
        <v>0</v>
      </c>
      <c r="E49" s="27">
        <f t="shared" si="4"/>
        <v>-4.9999999999897682E-2</v>
      </c>
      <c r="F49" s="27">
        <f t="shared" si="5"/>
        <v>0</v>
      </c>
      <c r="G49" s="27">
        <f t="shared" si="6"/>
        <v>0</v>
      </c>
      <c r="H49" s="27">
        <f t="shared" si="7"/>
        <v>0</v>
      </c>
      <c r="I49" s="27">
        <f t="shared" si="8"/>
        <v>0</v>
      </c>
      <c r="J49" s="27">
        <f>IFERROR('IOF 2'!L35+PF!$C$32/PF!$C$38*PF!F49,0)</f>
        <v>0</v>
      </c>
      <c r="K49" s="39">
        <f t="shared" si="9"/>
        <v>0</v>
      </c>
      <c r="L49" s="40">
        <f t="shared" si="10"/>
        <v>0</v>
      </c>
      <c r="M49" s="31">
        <f t="shared" ca="1" si="11"/>
        <v>0</v>
      </c>
      <c r="N49" s="28">
        <f t="shared" si="0"/>
        <v>0</v>
      </c>
    </row>
    <row r="50" spans="1:14" x14ac:dyDescent="0.25">
      <c r="A50" s="26" t="str">
        <f t="shared" si="1"/>
        <v/>
      </c>
      <c r="B50" s="20" t="str">
        <f t="shared" si="12"/>
        <v/>
      </c>
      <c r="C50" s="27">
        <f t="shared" si="2"/>
        <v>-4.9999999999897682E-2</v>
      </c>
      <c r="D50" s="27">
        <f t="shared" si="3"/>
        <v>0</v>
      </c>
      <c r="E50" s="27">
        <f t="shared" si="4"/>
        <v>-4.9999999999897682E-2</v>
      </c>
      <c r="F50" s="27">
        <f t="shared" si="5"/>
        <v>0</v>
      </c>
      <c r="G50" s="27">
        <f t="shared" si="6"/>
        <v>0</v>
      </c>
      <c r="H50" s="27">
        <f t="shared" si="7"/>
        <v>0</v>
      </c>
      <c r="I50" s="27">
        <f t="shared" si="8"/>
        <v>0</v>
      </c>
      <c r="J50" s="27">
        <f>IFERROR('IOF 2'!L36+PF!$C$32/PF!$C$38*PF!F50,0)</f>
        <v>0</v>
      </c>
      <c r="K50" s="39">
        <f t="shared" si="9"/>
        <v>0</v>
      </c>
      <c r="L50" s="40">
        <f t="shared" si="10"/>
        <v>0</v>
      </c>
      <c r="M50" s="31">
        <f t="shared" ca="1" si="11"/>
        <v>0</v>
      </c>
      <c r="N50" s="28">
        <f t="shared" si="0"/>
        <v>0</v>
      </c>
    </row>
    <row r="51" spans="1:14" x14ac:dyDescent="0.25">
      <c r="A51" s="26" t="str">
        <f t="shared" si="1"/>
        <v/>
      </c>
      <c r="B51" s="20" t="str">
        <f t="shared" si="12"/>
        <v/>
      </c>
      <c r="C51" s="27">
        <f t="shared" si="2"/>
        <v>-4.9999999999897682E-2</v>
      </c>
      <c r="D51" s="27">
        <f t="shared" si="3"/>
        <v>0</v>
      </c>
      <c r="E51" s="27">
        <f t="shared" si="4"/>
        <v>-4.9999999999897682E-2</v>
      </c>
      <c r="F51" s="27">
        <f t="shared" si="5"/>
        <v>0</v>
      </c>
      <c r="G51" s="27">
        <f t="shared" si="6"/>
        <v>0</v>
      </c>
      <c r="H51" s="27">
        <f t="shared" si="7"/>
        <v>0</v>
      </c>
      <c r="I51" s="27">
        <f t="shared" si="8"/>
        <v>0</v>
      </c>
      <c r="J51" s="27">
        <f>IFERROR('IOF 2'!L37+PF!$C$32/PF!$C$38*PF!F51,0)</f>
        <v>0</v>
      </c>
      <c r="K51" s="39">
        <f t="shared" si="9"/>
        <v>0</v>
      </c>
      <c r="L51" s="40">
        <f t="shared" si="10"/>
        <v>0</v>
      </c>
      <c r="M51" s="31">
        <f t="shared" ca="1" si="11"/>
        <v>0</v>
      </c>
      <c r="N51" s="28">
        <f t="shared" si="0"/>
        <v>0</v>
      </c>
    </row>
    <row r="52" spans="1:14" x14ac:dyDescent="0.25">
      <c r="A52" s="26" t="str">
        <f t="shared" si="1"/>
        <v/>
      </c>
      <c r="B52" s="20" t="str">
        <f t="shared" si="12"/>
        <v/>
      </c>
      <c r="C52" s="27">
        <f t="shared" si="2"/>
        <v>-4.9999999999897682E-2</v>
      </c>
      <c r="D52" s="27">
        <f t="shared" si="3"/>
        <v>0</v>
      </c>
      <c r="E52" s="27">
        <f t="shared" si="4"/>
        <v>-4.9999999999897682E-2</v>
      </c>
      <c r="F52" s="27">
        <f t="shared" si="5"/>
        <v>0</v>
      </c>
      <c r="G52" s="27">
        <f t="shared" si="6"/>
        <v>0</v>
      </c>
      <c r="H52" s="27">
        <f t="shared" si="7"/>
        <v>0</v>
      </c>
      <c r="I52" s="27">
        <f t="shared" si="8"/>
        <v>0</v>
      </c>
      <c r="J52" s="27">
        <f>IFERROR('IOF 2'!L38+PF!$C$32/PF!$C$38*PF!F52,0)</f>
        <v>0</v>
      </c>
      <c r="K52" s="39">
        <f t="shared" si="9"/>
        <v>0</v>
      </c>
      <c r="L52" s="40">
        <f t="shared" si="10"/>
        <v>0</v>
      </c>
      <c r="M52" s="31">
        <f t="shared" ca="1" si="11"/>
        <v>0</v>
      </c>
      <c r="N52" s="28">
        <f t="shared" si="0"/>
        <v>0</v>
      </c>
    </row>
    <row r="53" spans="1:14" x14ac:dyDescent="0.25">
      <c r="A53" s="26" t="str">
        <f t="shared" si="1"/>
        <v/>
      </c>
      <c r="B53" s="20" t="str">
        <f t="shared" si="12"/>
        <v/>
      </c>
      <c r="C53" s="27">
        <f t="shared" si="2"/>
        <v>-4.9999999999897682E-2</v>
      </c>
      <c r="D53" s="27">
        <f t="shared" si="3"/>
        <v>0</v>
      </c>
      <c r="E53" s="27">
        <f t="shared" si="4"/>
        <v>-4.9999999999897682E-2</v>
      </c>
      <c r="F53" s="27">
        <f t="shared" si="5"/>
        <v>0</v>
      </c>
      <c r="G53" s="27">
        <f t="shared" si="6"/>
        <v>0</v>
      </c>
      <c r="H53" s="27">
        <f t="shared" si="7"/>
        <v>0</v>
      </c>
      <c r="I53" s="27">
        <f t="shared" si="8"/>
        <v>0</v>
      </c>
      <c r="J53" s="27">
        <f>IFERROR('IOF 2'!L39+PF!$C$32/PF!$C$38*PF!F53,0)</f>
        <v>0</v>
      </c>
      <c r="K53" s="39">
        <f t="shared" si="9"/>
        <v>0</v>
      </c>
      <c r="L53" s="40">
        <f t="shared" si="10"/>
        <v>0</v>
      </c>
      <c r="M53" s="31">
        <f t="shared" ca="1" si="11"/>
        <v>0</v>
      </c>
      <c r="N53" s="28">
        <f t="shared" si="0"/>
        <v>0</v>
      </c>
    </row>
    <row r="54" spans="1:14" x14ac:dyDescent="0.25">
      <c r="A54" s="26" t="str">
        <f t="shared" si="1"/>
        <v/>
      </c>
      <c r="B54" s="20" t="str">
        <f t="shared" si="12"/>
        <v/>
      </c>
      <c r="C54" s="27">
        <f t="shared" si="2"/>
        <v>-4.9999999999897682E-2</v>
      </c>
      <c r="D54" s="27">
        <f t="shared" si="3"/>
        <v>0</v>
      </c>
      <c r="E54" s="27">
        <f t="shared" si="4"/>
        <v>-4.9999999999897682E-2</v>
      </c>
      <c r="F54" s="27">
        <f t="shared" si="5"/>
        <v>0</v>
      </c>
      <c r="G54" s="27">
        <f t="shared" si="6"/>
        <v>0</v>
      </c>
      <c r="H54" s="27">
        <f t="shared" si="7"/>
        <v>0</v>
      </c>
      <c r="I54" s="27">
        <f t="shared" si="8"/>
        <v>0</v>
      </c>
      <c r="J54" s="27">
        <f>IFERROR('IOF 2'!L40+PF!$C$32/PF!$C$38*PF!F54,0)</f>
        <v>0</v>
      </c>
      <c r="K54" s="39">
        <f t="shared" si="9"/>
        <v>0</v>
      </c>
      <c r="L54" s="40">
        <f t="shared" si="10"/>
        <v>0</v>
      </c>
      <c r="M54" s="31">
        <f t="shared" ca="1" si="11"/>
        <v>0</v>
      </c>
      <c r="N54" s="28">
        <f t="shared" si="0"/>
        <v>0</v>
      </c>
    </row>
    <row r="55" spans="1:14" x14ac:dyDescent="0.25">
      <c r="A55" s="26" t="str">
        <f t="shared" si="1"/>
        <v/>
      </c>
      <c r="B55" s="20" t="str">
        <f t="shared" si="12"/>
        <v/>
      </c>
      <c r="C55" s="27">
        <f t="shared" si="2"/>
        <v>-4.9999999999897682E-2</v>
      </c>
      <c r="D55" s="27">
        <f t="shared" si="3"/>
        <v>0</v>
      </c>
      <c r="E55" s="27">
        <f t="shared" si="4"/>
        <v>-4.9999999999897682E-2</v>
      </c>
      <c r="F55" s="27">
        <f t="shared" si="5"/>
        <v>0</v>
      </c>
      <c r="G55" s="27">
        <f t="shared" si="6"/>
        <v>0</v>
      </c>
      <c r="H55" s="27">
        <f t="shared" si="7"/>
        <v>0</v>
      </c>
      <c r="I55" s="27">
        <f t="shared" si="8"/>
        <v>0</v>
      </c>
      <c r="J55" s="27">
        <f>IFERROR('IOF 2'!L41+PF!$C$32/PF!$C$38*PF!F55,0)</f>
        <v>0</v>
      </c>
      <c r="K55" s="39">
        <f t="shared" si="9"/>
        <v>0</v>
      </c>
      <c r="L55" s="40">
        <f t="shared" si="10"/>
        <v>0</v>
      </c>
      <c r="M55" s="31">
        <f t="shared" ca="1" si="11"/>
        <v>0</v>
      </c>
      <c r="N55" s="28">
        <f t="shared" si="0"/>
        <v>0</v>
      </c>
    </row>
    <row r="56" spans="1:14" x14ac:dyDescent="0.25">
      <c r="A56" s="26" t="str">
        <f t="shared" si="1"/>
        <v/>
      </c>
      <c r="B56" s="20" t="str">
        <f t="shared" si="12"/>
        <v/>
      </c>
      <c r="C56" s="27">
        <f t="shared" si="2"/>
        <v>-4.9999999999897682E-2</v>
      </c>
      <c r="D56" s="27">
        <f t="shared" si="3"/>
        <v>0</v>
      </c>
      <c r="E56" s="27">
        <f t="shared" si="4"/>
        <v>-4.9999999999897682E-2</v>
      </c>
      <c r="F56" s="27">
        <f t="shared" si="5"/>
        <v>0</v>
      </c>
      <c r="G56" s="27">
        <f t="shared" si="6"/>
        <v>0</v>
      </c>
      <c r="H56" s="27">
        <f t="shared" si="7"/>
        <v>0</v>
      </c>
      <c r="I56" s="27">
        <f t="shared" si="8"/>
        <v>0</v>
      </c>
      <c r="J56" s="27">
        <f>IFERROR('IOF 2'!L42+PF!$C$32/PF!$C$38*PF!F56,0)</f>
        <v>0</v>
      </c>
      <c r="K56" s="39">
        <f t="shared" si="9"/>
        <v>0</v>
      </c>
      <c r="L56" s="40">
        <f t="shared" si="10"/>
        <v>0</v>
      </c>
      <c r="M56" s="31">
        <f t="shared" ca="1" si="11"/>
        <v>0</v>
      </c>
      <c r="N56" s="28">
        <f t="shared" si="0"/>
        <v>0</v>
      </c>
    </row>
    <row r="57" spans="1:14" x14ac:dyDescent="0.25">
      <c r="A57" s="26" t="str">
        <f t="shared" si="1"/>
        <v/>
      </c>
      <c r="B57" s="20" t="str">
        <f t="shared" si="12"/>
        <v/>
      </c>
      <c r="C57" s="27">
        <f t="shared" si="2"/>
        <v>-4.9999999999897682E-2</v>
      </c>
      <c r="D57" s="27">
        <f t="shared" si="3"/>
        <v>0</v>
      </c>
      <c r="E57" s="27">
        <f t="shared" si="4"/>
        <v>-4.9999999999897682E-2</v>
      </c>
      <c r="F57" s="27">
        <f t="shared" si="5"/>
        <v>0</v>
      </c>
      <c r="G57" s="27">
        <f t="shared" si="6"/>
        <v>0</v>
      </c>
      <c r="H57" s="27">
        <f t="shared" si="7"/>
        <v>0</v>
      </c>
      <c r="I57" s="27">
        <f t="shared" si="8"/>
        <v>0</v>
      </c>
      <c r="J57" s="27">
        <f>IFERROR('IOF 2'!L43+PF!$C$32/PF!$C$38*PF!F57,0)</f>
        <v>0</v>
      </c>
      <c r="K57" s="39">
        <f t="shared" si="9"/>
        <v>0</v>
      </c>
      <c r="L57" s="40">
        <f t="shared" si="10"/>
        <v>0</v>
      </c>
      <c r="M57" s="31">
        <f t="shared" ca="1" si="11"/>
        <v>0</v>
      </c>
      <c r="N57" s="28">
        <f t="shared" si="0"/>
        <v>0</v>
      </c>
    </row>
    <row r="58" spans="1:14" x14ac:dyDescent="0.25">
      <c r="A58" s="26" t="str">
        <f t="shared" si="1"/>
        <v/>
      </c>
      <c r="B58" s="20" t="str">
        <f t="shared" si="12"/>
        <v/>
      </c>
      <c r="C58" s="27">
        <f t="shared" si="2"/>
        <v>-4.9999999999897682E-2</v>
      </c>
      <c r="D58" s="27">
        <f t="shared" si="3"/>
        <v>0</v>
      </c>
      <c r="E58" s="27">
        <f t="shared" si="4"/>
        <v>-4.9999999999897682E-2</v>
      </c>
      <c r="F58" s="27">
        <f t="shared" si="5"/>
        <v>0</v>
      </c>
      <c r="G58" s="27">
        <f t="shared" si="6"/>
        <v>0</v>
      </c>
      <c r="H58" s="27">
        <f t="shared" si="7"/>
        <v>0</v>
      </c>
      <c r="I58" s="27">
        <f t="shared" si="8"/>
        <v>0</v>
      </c>
      <c r="J58" s="27">
        <f>IFERROR('IOF 2'!L44+PF!$C$32/PF!$C$38*PF!F58,0)</f>
        <v>0</v>
      </c>
      <c r="K58" s="39">
        <f t="shared" si="9"/>
        <v>0</v>
      </c>
      <c r="L58" s="40">
        <f t="shared" si="10"/>
        <v>0</v>
      </c>
      <c r="M58" s="31">
        <f t="shared" ca="1" si="11"/>
        <v>0</v>
      </c>
      <c r="N58" s="28">
        <f t="shared" si="0"/>
        <v>0</v>
      </c>
    </row>
    <row r="59" spans="1:14" x14ac:dyDescent="0.25">
      <c r="A59" s="26" t="str">
        <f t="shared" si="1"/>
        <v/>
      </c>
      <c r="B59" s="20" t="str">
        <f t="shared" si="12"/>
        <v/>
      </c>
      <c r="C59" s="27">
        <f t="shared" si="2"/>
        <v>-4.9999999999897682E-2</v>
      </c>
      <c r="D59" s="27">
        <f t="shared" si="3"/>
        <v>0</v>
      </c>
      <c r="E59" s="27">
        <f t="shared" si="4"/>
        <v>-4.9999999999897682E-2</v>
      </c>
      <c r="F59" s="27">
        <f t="shared" si="5"/>
        <v>0</v>
      </c>
      <c r="G59" s="27">
        <f t="shared" si="6"/>
        <v>0</v>
      </c>
      <c r="H59" s="27">
        <f t="shared" si="7"/>
        <v>0</v>
      </c>
      <c r="I59" s="27">
        <f t="shared" si="8"/>
        <v>0</v>
      </c>
      <c r="J59" s="27">
        <f>IFERROR('IOF 2'!L45+PF!$C$32/PF!$C$38*PF!F59,0)</f>
        <v>0</v>
      </c>
      <c r="K59" s="39">
        <f t="shared" si="9"/>
        <v>0</v>
      </c>
      <c r="L59" s="40">
        <f t="shared" si="10"/>
        <v>0</v>
      </c>
      <c r="M59" s="31">
        <f t="shared" ca="1" si="11"/>
        <v>0</v>
      </c>
      <c r="N59" s="28">
        <f t="shared" si="0"/>
        <v>0</v>
      </c>
    </row>
    <row r="60" spans="1:14" x14ac:dyDescent="0.25">
      <c r="A60" s="26" t="str">
        <f t="shared" si="1"/>
        <v/>
      </c>
      <c r="B60" s="20" t="str">
        <f t="shared" si="12"/>
        <v/>
      </c>
      <c r="C60" s="27">
        <f t="shared" si="2"/>
        <v>-4.9999999999897682E-2</v>
      </c>
      <c r="D60" s="27">
        <f t="shared" si="3"/>
        <v>0</v>
      </c>
      <c r="E60" s="27">
        <f t="shared" si="4"/>
        <v>-4.9999999999897682E-2</v>
      </c>
      <c r="F60" s="27">
        <f t="shared" si="5"/>
        <v>0</v>
      </c>
      <c r="G60" s="27">
        <f t="shared" si="6"/>
        <v>0</v>
      </c>
      <c r="H60" s="27">
        <f t="shared" si="7"/>
        <v>0</v>
      </c>
      <c r="I60" s="27">
        <f t="shared" si="8"/>
        <v>0</v>
      </c>
      <c r="J60" s="27">
        <f>IFERROR('IOF 2'!L46+PF!$C$32/PF!$C$38*PF!F60,0)</f>
        <v>0</v>
      </c>
      <c r="K60" s="39">
        <f t="shared" si="9"/>
        <v>0</v>
      </c>
      <c r="L60" s="40">
        <f t="shared" si="10"/>
        <v>0</v>
      </c>
      <c r="M60" s="31">
        <f t="shared" ca="1" si="11"/>
        <v>0</v>
      </c>
      <c r="N60" s="28">
        <f t="shared" si="0"/>
        <v>0</v>
      </c>
    </row>
    <row r="61" spans="1:14" x14ac:dyDescent="0.25">
      <c r="A61" s="26" t="str">
        <f t="shared" si="1"/>
        <v/>
      </c>
      <c r="B61" s="20" t="str">
        <f t="shared" si="12"/>
        <v/>
      </c>
      <c r="C61" s="27">
        <f t="shared" si="2"/>
        <v>-4.9999999999897682E-2</v>
      </c>
      <c r="D61" s="27">
        <f t="shared" si="3"/>
        <v>0</v>
      </c>
      <c r="E61" s="27">
        <f t="shared" si="4"/>
        <v>-4.9999999999897682E-2</v>
      </c>
      <c r="F61" s="27">
        <f t="shared" si="5"/>
        <v>0</v>
      </c>
      <c r="G61" s="27">
        <f t="shared" si="6"/>
        <v>0</v>
      </c>
      <c r="H61" s="27">
        <f t="shared" si="7"/>
        <v>0</v>
      </c>
      <c r="I61" s="27">
        <f t="shared" si="8"/>
        <v>0</v>
      </c>
      <c r="J61" s="27">
        <f>IFERROR('IOF 2'!L47+PF!$C$32/PF!$C$38*PF!F61,0)</f>
        <v>0</v>
      </c>
      <c r="K61" s="39">
        <f t="shared" si="9"/>
        <v>0</v>
      </c>
      <c r="L61" s="40">
        <f t="shared" si="10"/>
        <v>0</v>
      </c>
      <c r="M61" s="31">
        <f t="shared" ca="1" si="11"/>
        <v>0</v>
      </c>
      <c r="N61" s="28">
        <f t="shared" si="0"/>
        <v>0</v>
      </c>
    </row>
    <row r="62" spans="1:14" x14ac:dyDescent="0.25">
      <c r="A62" s="26" t="str">
        <f t="shared" si="1"/>
        <v/>
      </c>
      <c r="B62" s="20" t="str">
        <f t="shared" si="12"/>
        <v/>
      </c>
      <c r="C62" s="27">
        <f t="shared" si="2"/>
        <v>-4.9999999999897682E-2</v>
      </c>
      <c r="D62" s="27">
        <f t="shared" si="3"/>
        <v>0</v>
      </c>
      <c r="E62" s="27">
        <f t="shared" si="4"/>
        <v>-4.9999999999897682E-2</v>
      </c>
      <c r="F62" s="27">
        <f t="shared" si="5"/>
        <v>0</v>
      </c>
      <c r="G62" s="27">
        <f t="shared" si="6"/>
        <v>0</v>
      </c>
      <c r="H62" s="27">
        <f t="shared" si="7"/>
        <v>0</v>
      </c>
      <c r="I62" s="27">
        <f t="shared" si="8"/>
        <v>0</v>
      </c>
      <c r="J62" s="27">
        <f>IFERROR('IOF 2'!L48+PF!$C$32/PF!$C$38*PF!F62,0)</f>
        <v>0</v>
      </c>
      <c r="K62" s="39">
        <f t="shared" si="9"/>
        <v>0</v>
      </c>
      <c r="L62" s="40">
        <f t="shared" si="10"/>
        <v>0</v>
      </c>
      <c r="M62" s="31">
        <f t="shared" ca="1" si="11"/>
        <v>0</v>
      </c>
      <c r="N62" s="28">
        <f t="shared" si="0"/>
        <v>0</v>
      </c>
    </row>
    <row r="63" spans="1:14" x14ac:dyDescent="0.25">
      <c r="A63" s="26" t="str">
        <f t="shared" si="1"/>
        <v/>
      </c>
      <c r="B63" s="20" t="str">
        <f t="shared" si="12"/>
        <v/>
      </c>
      <c r="C63" s="27">
        <f t="shared" si="2"/>
        <v>-4.9999999999897682E-2</v>
      </c>
      <c r="D63" s="27">
        <f t="shared" si="3"/>
        <v>0</v>
      </c>
      <c r="E63" s="27">
        <f t="shared" si="4"/>
        <v>-4.9999999999897682E-2</v>
      </c>
      <c r="F63" s="27">
        <f t="shared" si="5"/>
        <v>0</v>
      </c>
      <c r="G63" s="27">
        <f t="shared" si="6"/>
        <v>0</v>
      </c>
      <c r="H63" s="27">
        <f t="shared" si="7"/>
        <v>0</v>
      </c>
      <c r="I63" s="27">
        <f t="shared" si="8"/>
        <v>0</v>
      </c>
      <c r="J63" s="27">
        <f>IFERROR('IOF 2'!L49+PF!$C$32/PF!$C$38*PF!F63,0)</f>
        <v>0</v>
      </c>
      <c r="K63" s="39">
        <f t="shared" si="9"/>
        <v>0</v>
      </c>
      <c r="L63" s="40">
        <f t="shared" si="10"/>
        <v>0</v>
      </c>
      <c r="M63" s="31">
        <f t="shared" ca="1" si="11"/>
        <v>0</v>
      </c>
      <c r="N63" s="28">
        <f t="shared" si="0"/>
        <v>0</v>
      </c>
    </row>
    <row r="64" spans="1:14" x14ac:dyDescent="0.25">
      <c r="A64" s="26" t="str">
        <f t="shared" si="1"/>
        <v/>
      </c>
      <c r="B64" s="20" t="str">
        <f t="shared" si="12"/>
        <v/>
      </c>
      <c r="C64" s="27">
        <f t="shared" si="2"/>
        <v>-4.9999999999897682E-2</v>
      </c>
      <c r="D64" s="27">
        <f t="shared" si="3"/>
        <v>0</v>
      </c>
      <c r="E64" s="27">
        <f t="shared" si="4"/>
        <v>-4.9999999999897682E-2</v>
      </c>
      <c r="F64" s="27">
        <f t="shared" si="5"/>
        <v>0</v>
      </c>
      <c r="G64" s="27">
        <f t="shared" si="6"/>
        <v>0</v>
      </c>
      <c r="H64" s="27">
        <f t="shared" si="7"/>
        <v>0</v>
      </c>
      <c r="I64" s="27">
        <f t="shared" si="8"/>
        <v>0</v>
      </c>
      <c r="J64" s="27">
        <f>IFERROR('IOF 2'!L50+PF!$C$32/PF!$C$38*PF!F64,0)</f>
        <v>0</v>
      </c>
      <c r="K64" s="39">
        <f t="shared" si="9"/>
        <v>0</v>
      </c>
      <c r="L64" s="40">
        <f t="shared" si="10"/>
        <v>0</v>
      </c>
      <c r="M64" s="31">
        <f t="shared" ca="1" si="11"/>
        <v>0</v>
      </c>
      <c r="N64" s="28">
        <f t="shared" si="0"/>
        <v>0</v>
      </c>
    </row>
    <row r="65" spans="1:14" x14ac:dyDescent="0.25">
      <c r="A65" s="26" t="str">
        <f t="shared" si="1"/>
        <v/>
      </c>
      <c r="B65" s="20" t="str">
        <f t="shared" si="12"/>
        <v/>
      </c>
      <c r="C65" s="27">
        <f t="shared" si="2"/>
        <v>-4.9999999999897682E-2</v>
      </c>
      <c r="D65" s="27">
        <f t="shared" si="3"/>
        <v>0</v>
      </c>
      <c r="E65" s="27">
        <f t="shared" si="4"/>
        <v>-4.9999999999897682E-2</v>
      </c>
      <c r="F65" s="27">
        <f t="shared" si="5"/>
        <v>0</v>
      </c>
      <c r="G65" s="27">
        <f t="shared" si="6"/>
        <v>0</v>
      </c>
      <c r="H65" s="27">
        <f t="shared" si="7"/>
        <v>0</v>
      </c>
      <c r="I65" s="27">
        <f t="shared" si="8"/>
        <v>0</v>
      </c>
      <c r="J65" s="27">
        <f>IFERROR('IOF 2'!L51+PF!$C$32/PF!$C$38*PF!F65,0)</f>
        <v>0</v>
      </c>
      <c r="K65" s="39">
        <f t="shared" si="9"/>
        <v>0</v>
      </c>
      <c r="L65" s="40">
        <f t="shared" si="10"/>
        <v>0</v>
      </c>
      <c r="M65" s="31">
        <f t="shared" ca="1" si="11"/>
        <v>0</v>
      </c>
      <c r="N65" s="28">
        <f t="shared" si="0"/>
        <v>0</v>
      </c>
    </row>
    <row r="66" spans="1:14" x14ac:dyDescent="0.25">
      <c r="A66" s="26" t="str">
        <f t="shared" si="1"/>
        <v/>
      </c>
      <c r="B66" s="20" t="str">
        <f t="shared" si="12"/>
        <v/>
      </c>
      <c r="C66" s="27">
        <f t="shared" si="2"/>
        <v>-4.9999999999897682E-2</v>
      </c>
      <c r="D66" s="27">
        <f t="shared" si="3"/>
        <v>0</v>
      </c>
      <c r="E66" s="27">
        <f t="shared" si="4"/>
        <v>-4.9999999999897682E-2</v>
      </c>
      <c r="F66" s="27">
        <f t="shared" si="5"/>
        <v>0</v>
      </c>
      <c r="G66" s="27">
        <f t="shared" si="6"/>
        <v>0</v>
      </c>
      <c r="H66" s="27">
        <f t="shared" si="7"/>
        <v>0</v>
      </c>
      <c r="I66" s="27">
        <f t="shared" si="8"/>
        <v>0</v>
      </c>
      <c r="J66" s="27">
        <f>IFERROR('IOF 2'!L52+PF!$C$32/PF!$C$38*PF!F66,0)</f>
        <v>0</v>
      </c>
      <c r="K66" s="39">
        <f t="shared" si="9"/>
        <v>0</v>
      </c>
      <c r="L66" s="40">
        <f t="shared" si="10"/>
        <v>0</v>
      </c>
      <c r="M66" s="31">
        <f t="shared" ca="1" si="11"/>
        <v>0</v>
      </c>
      <c r="N66" s="28">
        <f t="shared" si="0"/>
        <v>0</v>
      </c>
    </row>
    <row r="67" spans="1:14" x14ac:dyDescent="0.25">
      <c r="A67" s="26" t="str">
        <f t="shared" si="1"/>
        <v/>
      </c>
      <c r="B67" s="20" t="str">
        <f t="shared" si="12"/>
        <v/>
      </c>
      <c r="C67" s="27">
        <f t="shared" si="2"/>
        <v>-4.9999999999897682E-2</v>
      </c>
      <c r="D67" s="27">
        <f t="shared" si="3"/>
        <v>0</v>
      </c>
      <c r="E67" s="27">
        <f t="shared" si="4"/>
        <v>-4.9999999999897682E-2</v>
      </c>
      <c r="F67" s="27">
        <f t="shared" si="5"/>
        <v>0</v>
      </c>
      <c r="G67" s="27">
        <f t="shared" si="6"/>
        <v>0</v>
      </c>
      <c r="H67" s="27">
        <f t="shared" si="7"/>
        <v>0</v>
      </c>
      <c r="I67" s="27">
        <f t="shared" si="8"/>
        <v>0</v>
      </c>
      <c r="J67" s="27">
        <f>IFERROR('IOF 2'!L53+PF!$C$32/PF!$C$38*PF!F67,0)</f>
        <v>0</v>
      </c>
      <c r="K67" s="39">
        <f t="shared" si="9"/>
        <v>0</v>
      </c>
      <c r="L67" s="40">
        <f t="shared" si="10"/>
        <v>0</v>
      </c>
      <c r="M67" s="31">
        <f t="shared" ca="1" si="11"/>
        <v>0</v>
      </c>
      <c r="N67" s="28">
        <f t="shared" si="0"/>
        <v>0</v>
      </c>
    </row>
    <row r="68" spans="1:14" x14ac:dyDescent="0.25">
      <c r="A68" s="26" t="str">
        <f t="shared" si="1"/>
        <v/>
      </c>
      <c r="B68" s="20" t="str">
        <f t="shared" si="12"/>
        <v/>
      </c>
      <c r="C68" s="27">
        <f t="shared" si="2"/>
        <v>-4.9999999999897682E-2</v>
      </c>
      <c r="D68" s="27">
        <f t="shared" si="3"/>
        <v>0</v>
      </c>
      <c r="E68" s="27">
        <f t="shared" si="4"/>
        <v>-4.9999999999897682E-2</v>
      </c>
      <c r="F68" s="27">
        <f t="shared" si="5"/>
        <v>0</v>
      </c>
      <c r="G68" s="27">
        <f t="shared" si="6"/>
        <v>0</v>
      </c>
      <c r="H68" s="27">
        <f t="shared" si="7"/>
        <v>0</v>
      </c>
      <c r="I68" s="27">
        <f t="shared" si="8"/>
        <v>0</v>
      </c>
      <c r="J68" s="27">
        <f>IFERROR('IOF 2'!L54+PF!$C$32/PF!$C$38*PF!F68,0)</f>
        <v>0</v>
      </c>
      <c r="K68" s="39">
        <f t="shared" si="9"/>
        <v>0</v>
      </c>
      <c r="L68" s="40">
        <f t="shared" si="10"/>
        <v>0</v>
      </c>
      <c r="M68" s="31">
        <f t="shared" ca="1" si="11"/>
        <v>0</v>
      </c>
      <c r="N68" s="28">
        <f t="shared" si="0"/>
        <v>0</v>
      </c>
    </row>
    <row r="69" spans="1:14" x14ac:dyDescent="0.25">
      <c r="A69" s="26" t="str">
        <f t="shared" si="1"/>
        <v/>
      </c>
      <c r="B69" s="20" t="str">
        <f t="shared" si="12"/>
        <v/>
      </c>
      <c r="C69" s="27">
        <f t="shared" si="2"/>
        <v>-4.9999999999897682E-2</v>
      </c>
      <c r="D69" s="27">
        <f t="shared" si="3"/>
        <v>0</v>
      </c>
      <c r="E69" s="27">
        <f t="shared" si="4"/>
        <v>-4.9999999999897682E-2</v>
      </c>
      <c r="F69" s="27">
        <f t="shared" si="5"/>
        <v>0</v>
      </c>
      <c r="G69" s="27">
        <f t="shared" si="6"/>
        <v>0</v>
      </c>
      <c r="H69" s="27">
        <f t="shared" si="7"/>
        <v>0</v>
      </c>
      <c r="I69" s="27">
        <f t="shared" si="8"/>
        <v>0</v>
      </c>
      <c r="J69" s="27">
        <f>IFERROR('IOF 2'!L55+PF!$C$32/PF!$C$38*PF!F69,0)</f>
        <v>0</v>
      </c>
      <c r="K69" s="39">
        <f t="shared" si="9"/>
        <v>0</v>
      </c>
      <c r="L69" s="40">
        <f t="shared" si="10"/>
        <v>0</v>
      </c>
      <c r="M69" s="31">
        <f t="shared" ca="1" si="11"/>
        <v>0</v>
      </c>
      <c r="N69" s="28">
        <f t="shared" si="0"/>
        <v>0</v>
      </c>
    </row>
    <row r="70" spans="1:14" x14ac:dyDescent="0.25">
      <c r="A70" s="26" t="str">
        <f t="shared" si="1"/>
        <v/>
      </c>
      <c r="B70" s="20" t="str">
        <f t="shared" si="12"/>
        <v/>
      </c>
      <c r="C70" s="27">
        <f t="shared" si="2"/>
        <v>-4.9999999999897682E-2</v>
      </c>
      <c r="D70" s="27">
        <f t="shared" si="3"/>
        <v>0</v>
      </c>
      <c r="E70" s="27">
        <f t="shared" si="4"/>
        <v>-4.9999999999897682E-2</v>
      </c>
      <c r="F70" s="27">
        <f t="shared" si="5"/>
        <v>0</v>
      </c>
      <c r="G70" s="27">
        <f t="shared" si="6"/>
        <v>0</v>
      </c>
      <c r="H70" s="27">
        <f t="shared" si="7"/>
        <v>0</v>
      </c>
      <c r="I70" s="27">
        <f t="shared" si="8"/>
        <v>0</v>
      </c>
      <c r="J70" s="27">
        <f>IFERROR('IOF 2'!L56+PF!$C$32/PF!$C$38*PF!F70,0)</f>
        <v>0</v>
      </c>
      <c r="K70" s="39">
        <f t="shared" si="9"/>
        <v>0</v>
      </c>
      <c r="L70" s="40">
        <f t="shared" si="10"/>
        <v>0</v>
      </c>
      <c r="M70" s="31">
        <f t="shared" ca="1" si="11"/>
        <v>0</v>
      </c>
      <c r="N70" s="28">
        <f t="shared" si="0"/>
        <v>0</v>
      </c>
    </row>
    <row r="71" spans="1:14" x14ac:dyDescent="0.25">
      <c r="A71" s="26" t="str">
        <f t="shared" si="1"/>
        <v/>
      </c>
      <c r="B71" s="20" t="str">
        <f t="shared" si="12"/>
        <v/>
      </c>
      <c r="C71" s="27">
        <f t="shared" si="2"/>
        <v>-4.9999999999897682E-2</v>
      </c>
      <c r="D71" s="27">
        <f t="shared" si="3"/>
        <v>0</v>
      </c>
      <c r="E71" s="27">
        <f t="shared" si="4"/>
        <v>-4.9999999999897682E-2</v>
      </c>
      <c r="F71" s="27">
        <f t="shared" si="5"/>
        <v>0</v>
      </c>
      <c r="G71" s="27">
        <f t="shared" si="6"/>
        <v>0</v>
      </c>
      <c r="H71" s="27">
        <f t="shared" si="7"/>
        <v>0</v>
      </c>
      <c r="I71" s="27">
        <f t="shared" si="8"/>
        <v>0</v>
      </c>
      <c r="J71" s="27">
        <f>IFERROR('IOF 2'!L57+PF!$C$32/PF!$C$38*PF!F71,0)</f>
        <v>0</v>
      </c>
      <c r="K71" s="39">
        <f t="shared" si="9"/>
        <v>0</v>
      </c>
      <c r="L71" s="40">
        <f t="shared" si="10"/>
        <v>0</v>
      </c>
      <c r="M71" s="31">
        <f t="shared" ca="1" si="11"/>
        <v>0</v>
      </c>
      <c r="N71" s="28">
        <f t="shared" ref="N71:N102" si="13">IFERROR(ROUND($P$10*F71/$P$8,2),0)</f>
        <v>0</v>
      </c>
    </row>
    <row r="72" spans="1:14" x14ac:dyDescent="0.25">
      <c r="A72" s="26" t="str">
        <f t="shared" si="1"/>
        <v/>
      </c>
      <c r="B72" s="20" t="str">
        <f t="shared" si="12"/>
        <v/>
      </c>
      <c r="C72" s="27">
        <f t="shared" si="2"/>
        <v>-4.9999999999897682E-2</v>
      </c>
      <c r="D72" s="27">
        <f t="shared" si="3"/>
        <v>0</v>
      </c>
      <c r="E72" s="27">
        <f t="shared" si="4"/>
        <v>-4.9999999999897682E-2</v>
      </c>
      <c r="F72" s="27">
        <f t="shared" si="5"/>
        <v>0</v>
      </c>
      <c r="G72" s="27">
        <f t="shared" si="6"/>
        <v>0</v>
      </c>
      <c r="H72" s="27">
        <f t="shared" si="7"/>
        <v>0</v>
      </c>
      <c r="I72" s="27">
        <f t="shared" si="8"/>
        <v>0</v>
      </c>
      <c r="J72" s="27">
        <f>IFERROR('IOF 2'!L58+PF!$C$32/PF!$C$38*PF!F72,0)</f>
        <v>0</v>
      </c>
      <c r="K72" s="39">
        <f t="shared" si="9"/>
        <v>0</v>
      </c>
      <c r="L72" s="40">
        <f t="shared" si="10"/>
        <v>0</v>
      </c>
      <c r="M72" s="31">
        <f t="shared" ca="1" si="11"/>
        <v>0</v>
      </c>
      <c r="N72" s="28">
        <f t="shared" si="13"/>
        <v>0</v>
      </c>
    </row>
    <row r="73" spans="1:14" x14ac:dyDescent="0.25">
      <c r="A73" s="26" t="str">
        <f t="shared" si="1"/>
        <v/>
      </c>
      <c r="B73" s="20" t="str">
        <f t="shared" si="12"/>
        <v/>
      </c>
      <c r="C73" s="27">
        <f t="shared" si="2"/>
        <v>-4.9999999999897682E-2</v>
      </c>
      <c r="D73" s="27">
        <f t="shared" si="3"/>
        <v>0</v>
      </c>
      <c r="E73" s="27">
        <f t="shared" si="4"/>
        <v>-4.9999999999897682E-2</v>
      </c>
      <c r="F73" s="27">
        <f t="shared" si="5"/>
        <v>0</v>
      </c>
      <c r="G73" s="27">
        <f t="shared" si="6"/>
        <v>0</v>
      </c>
      <c r="H73" s="27">
        <f t="shared" si="7"/>
        <v>0</v>
      </c>
      <c r="I73" s="27">
        <f t="shared" si="8"/>
        <v>0</v>
      </c>
      <c r="J73" s="27">
        <f>IFERROR('IOF 2'!L59+PF!$C$32/PF!$C$38*PF!F73,0)</f>
        <v>0</v>
      </c>
      <c r="K73" s="39">
        <f t="shared" si="9"/>
        <v>0</v>
      </c>
      <c r="L73" s="40">
        <f t="shared" si="10"/>
        <v>0</v>
      </c>
      <c r="M73" s="31">
        <f t="shared" ca="1" si="11"/>
        <v>0</v>
      </c>
      <c r="N73" s="28">
        <f t="shared" si="13"/>
        <v>0</v>
      </c>
    </row>
    <row r="74" spans="1:14" x14ac:dyDescent="0.25">
      <c r="A74" s="26" t="str">
        <f t="shared" si="1"/>
        <v/>
      </c>
      <c r="B74" s="20" t="str">
        <f t="shared" si="12"/>
        <v/>
      </c>
      <c r="C74" s="27">
        <f t="shared" si="2"/>
        <v>-4.9999999999897682E-2</v>
      </c>
      <c r="D74" s="27">
        <f t="shared" si="3"/>
        <v>0</v>
      </c>
      <c r="E74" s="27">
        <f t="shared" si="4"/>
        <v>-4.9999999999897682E-2</v>
      </c>
      <c r="F74" s="27">
        <f t="shared" si="5"/>
        <v>0</v>
      </c>
      <c r="G74" s="27">
        <f t="shared" si="6"/>
        <v>0</v>
      </c>
      <c r="H74" s="27">
        <f t="shared" si="7"/>
        <v>0</v>
      </c>
      <c r="I74" s="27">
        <f t="shared" si="8"/>
        <v>0</v>
      </c>
      <c r="J74" s="27">
        <f>IFERROR('IOF 2'!L60+PF!$C$32/PF!$C$38*PF!F74,0)</f>
        <v>0</v>
      </c>
      <c r="K74" s="39">
        <f t="shared" si="9"/>
        <v>0</v>
      </c>
      <c r="L74" s="40">
        <f t="shared" si="10"/>
        <v>0</v>
      </c>
      <c r="M74" s="31">
        <f t="shared" ca="1" si="11"/>
        <v>0</v>
      </c>
      <c r="N74" s="28">
        <f t="shared" si="13"/>
        <v>0</v>
      </c>
    </row>
    <row r="75" spans="1:14" x14ac:dyDescent="0.25">
      <c r="A75" s="26" t="str">
        <f t="shared" si="1"/>
        <v/>
      </c>
      <c r="B75" s="20" t="str">
        <f t="shared" si="12"/>
        <v/>
      </c>
      <c r="C75" s="27">
        <f t="shared" si="2"/>
        <v>-4.9999999999897682E-2</v>
      </c>
      <c r="D75" s="27">
        <f t="shared" si="3"/>
        <v>0</v>
      </c>
      <c r="E75" s="27">
        <f t="shared" si="4"/>
        <v>-4.9999999999897682E-2</v>
      </c>
      <c r="F75" s="27">
        <f t="shared" si="5"/>
        <v>0</v>
      </c>
      <c r="G75" s="27">
        <f t="shared" si="6"/>
        <v>0</v>
      </c>
      <c r="H75" s="27">
        <f t="shared" si="7"/>
        <v>0</v>
      </c>
      <c r="I75" s="27">
        <f t="shared" si="8"/>
        <v>0</v>
      </c>
      <c r="J75" s="27">
        <f>IFERROR('IOF 2'!L61+PF!$C$32/PF!$C$38*PF!F75,0)</f>
        <v>0</v>
      </c>
      <c r="K75" s="39">
        <f t="shared" si="9"/>
        <v>0</v>
      </c>
      <c r="L75" s="40">
        <f t="shared" si="10"/>
        <v>0</v>
      </c>
      <c r="M75" s="31">
        <f t="shared" ca="1" si="11"/>
        <v>0</v>
      </c>
      <c r="N75" s="28">
        <f t="shared" si="13"/>
        <v>0</v>
      </c>
    </row>
    <row r="76" spans="1:14" x14ac:dyDescent="0.25">
      <c r="A76" s="26" t="str">
        <f t="shared" si="1"/>
        <v/>
      </c>
      <c r="B76" s="20" t="str">
        <f t="shared" si="12"/>
        <v/>
      </c>
      <c r="C76" s="27">
        <f t="shared" si="2"/>
        <v>-4.9999999999897682E-2</v>
      </c>
      <c r="D76" s="27">
        <f t="shared" si="3"/>
        <v>0</v>
      </c>
      <c r="E76" s="27">
        <f t="shared" si="4"/>
        <v>-4.9999999999897682E-2</v>
      </c>
      <c r="F76" s="27">
        <f t="shared" si="5"/>
        <v>0</v>
      </c>
      <c r="G76" s="27">
        <f t="shared" si="6"/>
        <v>0</v>
      </c>
      <c r="H76" s="27">
        <f t="shared" si="7"/>
        <v>0</v>
      </c>
      <c r="I76" s="27">
        <f t="shared" si="8"/>
        <v>0</v>
      </c>
      <c r="J76" s="27">
        <f>IFERROR('IOF 2'!L62+PF!$C$32/PF!$C$38*PF!F76,0)</f>
        <v>0</v>
      </c>
      <c r="K76" s="39">
        <f t="shared" si="9"/>
        <v>0</v>
      </c>
      <c r="L76" s="40">
        <f t="shared" si="10"/>
        <v>0</v>
      </c>
      <c r="M76" s="31">
        <f t="shared" ca="1" si="11"/>
        <v>0</v>
      </c>
      <c r="N76" s="28">
        <f t="shared" si="13"/>
        <v>0</v>
      </c>
    </row>
    <row r="77" spans="1:14" x14ac:dyDescent="0.25">
      <c r="A77" s="26" t="str">
        <f t="shared" si="1"/>
        <v/>
      </c>
      <c r="B77" s="20" t="str">
        <f t="shared" si="12"/>
        <v/>
      </c>
      <c r="C77" s="27">
        <f t="shared" si="2"/>
        <v>-4.9999999999897682E-2</v>
      </c>
      <c r="D77" s="27">
        <f t="shared" si="3"/>
        <v>0</v>
      </c>
      <c r="E77" s="27">
        <f t="shared" si="4"/>
        <v>-4.9999999999897682E-2</v>
      </c>
      <c r="F77" s="27">
        <f t="shared" si="5"/>
        <v>0</v>
      </c>
      <c r="G77" s="27">
        <f t="shared" si="6"/>
        <v>0</v>
      </c>
      <c r="H77" s="27">
        <f t="shared" si="7"/>
        <v>0</v>
      </c>
      <c r="I77" s="27">
        <f t="shared" si="8"/>
        <v>0</v>
      </c>
      <c r="J77" s="27">
        <f>IFERROR('IOF 2'!L63+PF!$C$32/PF!$C$38*PF!F77,0)</f>
        <v>0</v>
      </c>
      <c r="K77" s="39">
        <f t="shared" si="9"/>
        <v>0</v>
      </c>
      <c r="L77" s="40">
        <f t="shared" si="10"/>
        <v>0</v>
      </c>
      <c r="M77" s="31">
        <f t="shared" ca="1" si="11"/>
        <v>0</v>
      </c>
      <c r="N77" s="28">
        <f t="shared" si="13"/>
        <v>0</v>
      </c>
    </row>
    <row r="78" spans="1:14" x14ac:dyDescent="0.25">
      <c r="A78" s="26" t="str">
        <f t="shared" si="1"/>
        <v/>
      </c>
      <c r="B78" s="20" t="str">
        <f t="shared" si="12"/>
        <v/>
      </c>
      <c r="C78" s="27">
        <f t="shared" si="2"/>
        <v>-4.9999999999897682E-2</v>
      </c>
      <c r="D78" s="27">
        <f t="shared" si="3"/>
        <v>0</v>
      </c>
      <c r="E78" s="27">
        <f t="shared" si="4"/>
        <v>-4.9999999999897682E-2</v>
      </c>
      <c r="F78" s="27">
        <f t="shared" si="5"/>
        <v>0</v>
      </c>
      <c r="G78" s="27">
        <f t="shared" si="6"/>
        <v>0</v>
      </c>
      <c r="H78" s="27">
        <f t="shared" si="7"/>
        <v>0</v>
      </c>
      <c r="I78" s="27">
        <f t="shared" si="8"/>
        <v>0</v>
      </c>
      <c r="J78" s="27">
        <f>IFERROR('IOF 2'!L64+PF!$C$32/PF!$C$38*PF!F78,0)</f>
        <v>0</v>
      </c>
      <c r="K78" s="39">
        <f t="shared" si="9"/>
        <v>0</v>
      </c>
      <c r="L78" s="40">
        <f t="shared" si="10"/>
        <v>0</v>
      </c>
      <c r="M78" s="31">
        <f t="shared" ca="1" si="11"/>
        <v>0</v>
      </c>
      <c r="N78" s="28">
        <f t="shared" si="13"/>
        <v>0</v>
      </c>
    </row>
    <row r="79" spans="1:14" x14ac:dyDescent="0.25">
      <c r="A79" s="26" t="str">
        <f t="shared" si="1"/>
        <v/>
      </c>
      <c r="B79" s="20" t="str">
        <f t="shared" si="12"/>
        <v/>
      </c>
      <c r="C79" s="27">
        <f t="shared" si="2"/>
        <v>-4.9999999999897682E-2</v>
      </c>
      <c r="D79" s="27">
        <f t="shared" si="3"/>
        <v>0</v>
      </c>
      <c r="E79" s="27">
        <f t="shared" si="4"/>
        <v>-4.9999999999897682E-2</v>
      </c>
      <c r="F79" s="27">
        <f t="shared" si="5"/>
        <v>0</v>
      </c>
      <c r="G79" s="27">
        <f t="shared" si="6"/>
        <v>0</v>
      </c>
      <c r="H79" s="27">
        <f t="shared" si="7"/>
        <v>0</v>
      </c>
      <c r="I79" s="27">
        <f t="shared" si="8"/>
        <v>0</v>
      </c>
      <c r="J79" s="27">
        <f>IFERROR('IOF 2'!L65+PF!$C$32/PF!$C$38*PF!F79,0)</f>
        <v>0</v>
      </c>
      <c r="K79" s="39">
        <f t="shared" si="9"/>
        <v>0</v>
      </c>
      <c r="L79" s="40">
        <f t="shared" si="10"/>
        <v>0</v>
      </c>
      <c r="M79" s="31">
        <f t="shared" ca="1" si="11"/>
        <v>0</v>
      </c>
      <c r="N79" s="28">
        <f t="shared" si="13"/>
        <v>0</v>
      </c>
    </row>
    <row r="80" spans="1:14" x14ac:dyDescent="0.25">
      <c r="A80" s="26" t="str">
        <f t="shared" si="1"/>
        <v/>
      </c>
      <c r="B80" s="20" t="str">
        <f t="shared" si="12"/>
        <v/>
      </c>
      <c r="C80" s="27">
        <f t="shared" si="2"/>
        <v>-4.9999999999897682E-2</v>
      </c>
      <c r="D80" s="27">
        <f t="shared" si="3"/>
        <v>0</v>
      </c>
      <c r="E80" s="27">
        <f t="shared" si="4"/>
        <v>-4.9999999999897682E-2</v>
      </c>
      <c r="F80" s="27">
        <f t="shared" si="5"/>
        <v>0</v>
      </c>
      <c r="G80" s="27">
        <f t="shared" si="6"/>
        <v>0</v>
      </c>
      <c r="H80" s="27">
        <f t="shared" si="7"/>
        <v>0</v>
      </c>
      <c r="I80" s="27">
        <f t="shared" si="8"/>
        <v>0</v>
      </c>
      <c r="J80" s="27">
        <f>IFERROR('IOF 2'!L66+PF!$C$32/PF!$C$38*PF!F80,0)</f>
        <v>0</v>
      </c>
      <c r="K80" s="39">
        <f t="shared" si="9"/>
        <v>0</v>
      </c>
      <c r="L80" s="40">
        <f t="shared" si="10"/>
        <v>0</v>
      </c>
      <c r="M80" s="31">
        <f t="shared" ca="1" si="11"/>
        <v>0</v>
      </c>
      <c r="N80" s="28">
        <f t="shared" si="13"/>
        <v>0</v>
      </c>
    </row>
    <row r="81" spans="1:14" x14ac:dyDescent="0.25">
      <c r="A81" s="26" t="str">
        <f t="shared" si="1"/>
        <v/>
      </c>
      <c r="B81" s="20" t="str">
        <f t="shared" si="12"/>
        <v/>
      </c>
      <c r="C81" s="27">
        <f t="shared" si="2"/>
        <v>-4.9999999999897682E-2</v>
      </c>
      <c r="D81" s="27">
        <f t="shared" si="3"/>
        <v>0</v>
      </c>
      <c r="E81" s="27">
        <f t="shared" si="4"/>
        <v>-4.9999999999897682E-2</v>
      </c>
      <c r="F81" s="27">
        <f t="shared" si="5"/>
        <v>0</v>
      </c>
      <c r="G81" s="27">
        <f t="shared" si="6"/>
        <v>0</v>
      </c>
      <c r="H81" s="27">
        <f t="shared" si="7"/>
        <v>0</v>
      </c>
      <c r="I81" s="27">
        <f t="shared" si="8"/>
        <v>0</v>
      </c>
      <c r="J81" s="27">
        <f>IFERROR('IOF 2'!L67+PF!$C$32/PF!$C$38*PF!F81,0)</f>
        <v>0</v>
      </c>
      <c r="K81" s="39">
        <f t="shared" si="9"/>
        <v>0</v>
      </c>
      <c r="L81" s="40">
        <f t="shared" si="10"/>
        <v>0</v>
      </c>
      <c r="M81" s="31">
        <f t="shared" ca="1" si="11"/>
        <v>0</v>
      </c>
      <c r="N81" s="28">
        <f t="shared" si="13"/>
        <v>0</v>
      </c>
    </row>
    <row r="82" spans="1:14" x14ac:dyDescent="0.25">
      <c r="A82" s="26" t="str">
        <f t="shared" si="1"/>
        <v/>
      </c>
      <c r="B82" s="20" t="str">
        <f t="shared" si="12"/>
        <v/>
      </c>
      <c r="C82" s="27">
        <f t="shared" si="2"/>
        <v>-4.9999999999897682E-2</v>
      </c>
      <c r="D82" s="27">
        <f t="shared" si="3"/>
        <v>0</v>
      </c>
      <c r="E82" s="27">
        <f t="shared" si="4"/>
        <v>-4.9999999999897682E-2</v>
      </c>
      <c r="F82" s="27">
        <f t="shared" si="5"/>
        <v>0</v>
      </c>
      <c r="G82" s="27">
        <f t="shared" si="6"/>
        <v>0</v>
      </c>
      <c r="H82" s="27">
        <f t="shared" si="7"/>
        <v>0</v>
      </c>
      <c r="I82" s="27">
        <f t="shared" si="8"/>
        <v>0</v>
      </c>
      <c r="J82" s="27">
        <f>IFERROR('IOF 2'!L68+PF!$C$32/PF!$C$38*PF!F82,0)</f>
        <v>0</v>
      </c>
      <c r="K82" s="39">
        <f t="shared" si="9"/>
        <v>0</v>
      </c>
      <c r="L82" s="40">
        <f t="shared" si="10"/>
        <v>0</v>
      </c>
      <c r="M82" s="31">
        <f t="shared" ca="1" si="11"/>
        <v>0</v>
      </c>
      <c r="N82" s="28">
        <f t="shared" si="13"/>
        <v>0</v>
      </c>
    </row>
    <row r="83" spans="1:14" x14ac:dyDescent="0.25">
      <c r="A83" s="26" t="str">
        <f t="shared" si="1"/>
        <v/>
      </c>
      <c r="B83" s="20" t="str">
        <f t="shared" si="12"/>
        <v/>
      </c>
      <c r="C83" s="27">
        <f t="shared" si="2"/>
        <v>-4.9999999999897682E-2</v>
      </c>
      <c r="D83" s="27">
        <f t="shared" si="3"/>
        <v>0</v>
      </c>
      <c r="E83" s="27">
        <f t="shared" si="4"/>
        <v>-4.9999999999897682E-2</v>
      </c>
      <c r="F83" s="27">
        <f t="shared" si="5"/>
        <v>0</v>
      </c>
      <c r="G83" s="27">
        <f t="shared" si="6"/>
        <v>0</v>
      </c>
      <c r="H83" s="27">
        <f t="shared" si="7"/>
        <v>0</v>
      </c>
      <c r="I83" s="27">
        <f t="shared" si="8"/>
        <v>0</v>
      </c>
      <c r="J83" s="27">
        <f>IFERROR('IOF 2'!L69+PF!$C$32/PF!$C$38*PF!F83,0)</f>
        <v>0</v>
      </c>
      <c r="K83" s="39">
        <f t="shared" si="9"/>
        <v>0</v>
      </c>
      <c r="L83" s="40">
        <f t="shared" si="10"/>
        <v>0</v>
      </c>
      <c r="M83" s="31">
        <f t="shared" ca="1" si="11"/>
        <v>0</v>
      </c>
      <c r="N83" s="28">
        <f t="shared" si="13"/>
        <v>0</v>
      </c>
    </row>
    <row r="84" spans="1:14" x14ac:dyDescent="0.25">
      <c r="A84" s="26" t="str">
        <f t="shared" si="1"/>
        <v/>
      </c>
      <c r="B84" s="20" t="str">
        <f t="shared" si="12"/>
        <v/>
      </c>
      <c r="C84" s="27">
        <f t="shared" si="2"/>
        <v>-4.9999999999897682E-2</v>
      </c>
      <c r="D84" s="27">
        <f t="shared" si="3"/>
        <v>0</v>
      </c>
      <c r="E84" s="27">
        <f t="shared" si="4"/>
        <v>-4.9999999999897682E-2</v>
      </c>
      <c r="F84" s="27">
        <f t="shared" si="5"/>
        <v>0</v>
      </c>
      <c r="G84" s="27">
        <f t="shared" si="6"/>
        <v>0</v>
      </c>
      <c r="H84" s="27">
        <f t="shared" si="7"/>
        <v>0</v>
      </c>
      <c r="I84" s="27">
        <f t="shared" si="8"/>
        <v>0</v>
      </c>
      <c r="J84" s="27">
        <f>IFERROR('IOF 2'!L70+PF!$C$32/PF!$C$38*PF!F84,0)</f>
        <v>0</v>
      </c>
      <c r="K84" s="39">
        <f t="shared" si="9"/>
        <v>0</v>
      </c>
      <c r="L84" s="40">
        <f t="shared" si="10"/>
        <v>0</v>
      </c>
      <c r="M84" s="31">
        <f t="shared" ca="1" si="11"/>
        <v>0</v>
      </c>
      <c r="N84" s="28">
        <f t="shared" si="13"/>
        <v>0</v>
      </c>
    </row>
    <row r="85" spans="1:14" x14ac:dyDescent="0.25">
      <c r="A85" s="26" t="str">
        <f t="shared" si="1"/>
        <v/>
      </c>
      <c r="B85" s="20" t="str">
        <f t="shared" si="12"/>
        <v/>
      </c>
      <c r="C85" s="27">
        <f t="shared" si="2"/>
        <v>-4.9999999999897682E-2</v>
      </c>
      <c r="D85" s="27">
        <f t="shared" si="3"/>
        <v>0</v>
      </c>
      <c r="E85" s="27">
        <f t="shared" si="4"/>
        <v>-4.9999999999897682E-2</v>
      </c>
      <c r="F85" s="27">
        <f t="shared" si="5"/>
        <v>0</v>
      </c>
      <c r="G85" s="27">
        <f t="shared" si="6"/>
        <v>0</v>
      </c>
      <c r="H85" s="27">
        <f t="shared" si="7"/>
        <v>0</v>
      </c>
      <c r="I85" s="27">
        <f t="shared" si="8"/>
        <v>0</v>
      </c>
      <c r="J85" s="27">
        <f>IFERROR('IOF 2'!L71+PF!$C$32/PF!$C$38*PF!F85,0)</f>
        <v>0</v>
      </c>
      <c r="K85" s="39">
        <f t="shared" si="9"/>
        <v>0</v>
      </c>
      <c r="L85" s="40">
        <f t="shared" si="10"/>
        <v>0</v>
      </c>
      <c r="M85" s="31">
        <f t="shared" ca="1" si="11"/>
        <v>0</v>
      </c>
      <c r="N85" s="28">
        <f t="shared" si="13"/>
        <v>0</v>
      </c>
    </row>
    <row r="86" spans="1:14" x14ac:dyDescent="0.25">
      <c r="A86" s="26" t="str">
        <f t="shared" si="1"/>
        <v/>
      </c>
      <c r="B86" s="20" t="str">
        <f t="shared" si="12"/>
        <v/>
      </c>
      <c r="C86" s="27">
        <f t="shared" si="2"/>
        <v>-4.9999999999897682E-2</v>
      </c>
      <c r="D86" s="27">
        <f t="shared" si="3"/>
        <v>0</v>
      </c>
      <c r="E86" s="27">
        <f t="shared" si="4"/>
        <v>-4.9999999999897682E-2</v>
      </c>
      <c r="F86" s="27">
        <f t="shared" si="5"/>
        <v>0</v>
      </c>
      <c r="G86" s="27">
        <f t="shared" si="6"/>
        <v>0</v>
      </c>
      <c r="H86" s="27">
        <f t="shared" si="7"/>
        <v>0</v>
      </c>
      <c r="I86" s="27">
        <f t="shared" si="8"/>
        <v>0</v>
      </c>
      <c r="J86" s="27">
        <f>IFERROR('IOF 2'!L72+PF!$C$32/PF!$C$38*PF!F86,0)</f>
        <v>0</v>
      </c>
      <c r="K86" s="39">
        <f t="shared" si="9"/>
        <v>0</v>
      </c>
      <c r="L86" s="40">
        <f t="shared" si="10"/>
        <v>0</v>
      </c>
      <c r="M86" s="31">
        <f t="shared" ca="1" si="11"/>
        <v>0</v>
      </c>
      <c r="N86" s="28">
        <f t="shared" si="13"/>
        <v>0</v>
      </c>
    </row>
    <row r="87" spans="1:14" x14ac:dyDescent="0.25">
      <c r="A87" s="26" t="str">
        <f t="shared" si="1"/>
        <v/>
      </c>
      <c r="B87" s="20" t="str">
        <f t="shared" si="12"/>
        <v/>
      </c>
      <c r="C87" s="27">
        <f t="shared" si="2"/>
        <v>-4.9999999999897682E-2</v>
      </c>
      <c r="D87" s="27">
        <f t="shared" si="3"/>
        <v>0</v>
      </c>
      <c r="E87" s="27">
        <f t="shared" si="4"/>
        <v>-4.9999999999897682E-2</v>
      </c>
      <c r="F87" s="27">
        <f t="shared" si="5"/>
        <v>0</v>
      </c>
      <c r="G87" s="27">
        <f t="shared" si="6"/>
        <v>0</v>
      </c>
      <c r="H87" s="27">
        <f t="shared" si="7"/>
        <v>0</v>
      </c>
      <c r="I87" s="27">
        <f t="shared" si="8"/>
        <v>0</v>
      </c>
      <c r="J87" s="27">
        <f>IFERROR('IOF 2'!L73+PF!$C$32/PF!$C$38*PF!F87,0)</f>
        <v>0</v>
      </c>
      <c r="K87" s="39">
        <f t="shared" si="9"/>
        <v>0</v>
      </c>
      <c r="L87" s="40">
        <f t="shared" si="10"/>
        <v>0</v>
      </c>
      <c r="M87" s="31">
        <f t="shared" ca="1" si="11"/>
        <v>0</v>
      </c>
      <c r="N87" s="28">
        <f t="shared" si="13"/>
        <v>0</v>
      </c>
    </row>
    <row r="88" spans="1:14" x14ac:dyDescent="0.25">
      <c r="A88" s="26" t="str">
        <f t="shared" si="1"/>
        <v/>
      </c>
      <c r="B88" s="20" t="str">
        <f t="shared" si="12"/>
        <v/>
      </c>
      <c r="C88" s="27">
        <f t="shared" si="2"/>
        <v>-4.9999999999897682E-2</v>
      </c>
      <c r="D88" s="27">
        <f t="shared" si="3"/>
        <v>0</v>
      </c>
      <c r="E88" s="27">
        <f t="shared" si="4"/>
        <v>-4.9999999999897682E-2</v>
      </c>
      <c r="F88" s="27">
        <f t="shared" si="5"/>
        <v>0</v>
      </c>
      <c r="G88" s="27">
        <f t="shared" si="6"/>
        <v>0</v>
      </c>
      <c r="H88" s="27">
        <f t="shared" si="7"/>
        <v>0</v>
      </c>
      <c r="I88" s="27">
        <f t="shared" si="8"/>
        <v>0</v>
      </c>
      <c r="J88" s="27">
        <f>IFERROR('IOF 2'!L74+PF!$C$32/PF!$C$38*PF!F88,0)</f>
        <v>0</v>
      </c>
      <c r="K88" s="39">
        <f t="shared" si="9"/>
        <v>0</v>
      </c>
      <c r="L88" s="40">
        <f t="shared" si="10"/>
        <v>0</v>
      </c>
      <c r="M88" s="31">
        <f t="shared" ca="1" si="11"/>
        <v>0</v>
      </c>
      <c r="N88" s="28">
        <f t="shared" si="13"/>
        <v>0</v>
      </c>
    </row>
    <row r="89" spans="1:14" x14ac:dyDescent="0.25">
      <c r="A89" s="26" t="str">
        <f t="shared" si="1"/>
        <v/>
      </c>
      <c r="B89" s="20" t="str">
        <f t="shared" si="12"/>
        <v/>
      </c>
      <c r="C89" s="27">
        <f t="shared" si="2"/>
        <v>-4.9999999999897682E-2</v>
      </c>
      <c r="D89" s="27">
        <f t="shared" si="3"/>
        <v>0</v>
      </c>
      <c r="E89" s="27">
        <f t="shared" si="4"/>
        <v>-4.9999999999897682E-2</v>
      </c>
      <c r="F89" s="27">
        <f t="shared" si="5"/>
        <v>0</v>
      </c>
      <c r="G89" s="27">
        <f t="shared" si="6"/>
        <v>0</v>
      </c>
      <c r="H89" s="27">
        <f t="shared" si="7"/>
        <v>0</v>
      </c>
      <c r="I89" s="27">
        <f t="shared" si="8"/>
        <v>0</v>
      </c>
      <c r="J89" s="27">
        <f>IFERROR('IOF 2'!L75+PF!$C$32/PF!$C$38*PF!F89,0)</f>
        <v>0</v>
      </c>
      <c r="K89" s="39">
        <f t="shared" si="9"/>
        <v>0</v>
      </c>
      <c r="L89" s="40">
        <f t="shared" si="10"/>
        <v>0</v>
      </c>
      <c r="M89" s="31">
        <f t="shared" ca="1" si="11"/>
        <v>0</v>
      </c>
      <c r="N89" s="28">
        <f t="shared" si="13"/>
        <v>0</v>
      </c>
    </row>
    <row r="90" spans="1:14" x14ac:dyDescent="0.25">
      <c r="A90" s="26" t="str">
        <f t="shared" si="1"/>
        <v/>
      </c>
      <c r="B90" s="20" t="str">
        <f t="shared" si="12"/>
        <v/>
      </c>
      <c r="C90" s="27">
        <f t="shared" si="2"/>
        <v>-4.9999999999897682E-2</v>
      </c>
      <c r="D90" s="27">
        <f t="shared" si="3"/>
        <v>0</v>
      </c>
      <c r="E90" s="27">
        <f t="shared" si="4"/>
        <v>-4.9999999999897682E-2</v>
      </c>
      <c r="F90" s="27">
        <f t="shared" si="5"/>
        <v>0</v>
      </c>
      <c r="G90" s="27">
        <f t="shared" si="6"/>
        <v>0</v>
      </c>
      <c r="H90" s="27">
        <f t="shared" si="7"/>
        <v>0</v>
      </c>
      <c r="I90" s="27">
        <f t="shared" si="8"/>
        <v>0</v>
      </c>
      <c r="J90" s="27">
        <f>IFERROR('IOF 2'!L76+PF!$C$32/PF!$C$38*PF!F90,0)</f>
        <v>0</v>
      </c>
      <c r="K90" s="39">
        <f t="shared" si="9"/>
        <v>0</v>
      </c>
      <c r="L90" s="40">
        <f t="shared" si="10"/>
        <v>0</v>
      </c>
      <c r="M90" s="31">
        <f t="shared" ca="1" si="11"/>
        <v>0</v>
      </c>
      <c r="N90" s="28">
        <f t="shared" si="13"/>
        <v>0</v>
      </c>
    </row>
    <row r="91" spans="1:14" x14ac:dyDescent="0.25">
      <c r="A91" s="26" t="str">
        <f t="shared" si="1"/>
        <v/>
      </c>
      <c r="B91" s="20" t="str">
        <f t="shared" si="12"/>
        <v/>
      </c>
      <c r="C91" s="27">
        <f t="shared" si="2"/>
        <v>-4.9999999999897682E-2</v>
      </c>
      <c r="D91" s="27">
        <f t="shared" si="3"/>
        <v>0</v>
      </c>
      <c r="E91" s="27">
        <f t="shared" si="4"/>
        <v>-4.9999999999897682E-2</v>
      </c>
      <c r="F91" s="27">
        <f t="shared" si="5"/>
        <v>0</v>
      </c>
      <c r="G91" s="27">
        <f t="shared" si="6"/>
        <v>0</v>
      </c>
      <c r="H91" s="27">
        <f t="shared" si="7"/>
        <v>0</v>
      </c>
      <c r="I91" s="27">
        <f t="shared" si="8"/>
        <v>0</v>
      </c>
      <c r="J91" s="27">
        <f>IFERROR('IOF 2'!L77+PF!$C$32/PF!$C$38*PF!F91,0)</f>
        <v>0</v>
      </c>
      <c r="K91" s="39">
        <f t="shared" si="9"/>
        <v>0</v>
      </c>
      <c r="L91" s="40">
        <f t="shared" si="10"/>
        <v>0</v>
      </c>
      <c r="M91" s="31">
        <f t="shared" ca="1" si="11"/>
        <v>0</v>
      </c>
      <c r="N91" s="28">
        <f t="shared" si="13"/>
        <v>0</v>
      </c>
    </row>
    <row r="92" spans="1:14" x14ac:dyDescent="0.25">
      <c r="A92" s="26" t="str">
        <f t="shared" si="1"/>
        <v/>
      </c>
      <c r="B92" s="20" t="str">
        <f t="shared" si="12"/>
        <v/>
      </c>
      <c r="C92" s="27">
        <f t="shared" si="2"/>
        <v>-4.9999999999897682E-2</v>
      </c>
      <c r="D92" s="27">
        <f t="shared" si="3"/>
        <v>0</v>
      </c>
      <c r="E92" s="27">
        <f t="shared" si="4"/>
        <v>-4.9999999999897682E-2</v>
      </c>
      <c r="F92" s="27">
        <f t="shared" si="5"/>
        <v>0</v>
      </c>
      <c r="G92" s="27">
        <f t="shared" si="6"/>
        <v>0</v>
      </c>
      <c r="H92" s="27">
        <f t="shared" si="7"/>
        <v>0</v>
      </c>
      <c r="I92" s="27">
        <f t="shared" si="8"/>
        <v>0</v>
      </c>
      <c r="J92" s="27">
        <f>IFERROR('IOF 2'!L78+PF!$C$32/PF!$C$38*PF!F92,0)</f>
        <v>0</v>
      </c>
      <c r="K92" s="39">
        <f t="shared" si="9"/>
        <v>0</v>
      </c>
      <c r="L92" s="40">
        <f t="shared" si="10"/>
        <v>0</v>
      </c>
      <c r="M92" s="31">
        <f t="shared" ca="1" si="11"/>
        <v>0</v>
      </c>
      <c r="N92" s="28">
        <f t="shared" si="13"/>
        <v>0</v>
      </c>
    </row>
    <row r="93" spans="1:14" x14ac:dyDescent="0.25">
      <c r="A93" s="26" t="str">
        <f t="shared" si="1"/>
        <v/>
      </c>
      <c r="B93" s="20" t="str">
        <f t="shared" si="12"/>
        <v/>
      </c>
      <c r="C93" s="27">
        <f t="shared" si="2"/>
        <v>-4.9999999999897682E-2</v>
      </c>
      <c r="D93" s="27">
        <f t="shared" si="3"/>
        <v>0</v>
      </c>
      <c r="E93" s="27">
        <f t="shared" si="4"/>
        <v>-4.9999999999897682E-2</v>
      </c>
      <c r="F93" s="27">
        <f t="shared" si="5"/>
        <v>0</v>
      </c>
      <c r="G93" s="27">
        <f t="shared" si="6"/>
        <v>0</v>
      </c>
      <c r="H93" s="27">
        <f t="shared" si="7"/>
        <v>0</v>
      </c>
      <c r="I93" s="27">
        <f t="shared" si="8"/>
        <v>0</v>
      </c>
      <c r="J93" s="27">
        <f>IFERROR('IOF 2'!L79+PF!$C$32/PF!$C$38*PF!F93,0)</f>
        <v>0</v>
      </c>
      <c r="K93" s="39">
        <f t="shared" si="9"/>
        <v>0</v>
      </c>
      <c r="L93" s="40">
        <f t="shared" si="10"/>
        <v>0</v>
      </c>
      <c r="M93" s="31">
        <f t="shared" ca="1" si="11"/>
        <v>0</v>
      </c>
      <c r="N93" s="28">
        <f t="shared" si="13"/>
        <v>0</v>
      </c>
    </row>
    <row r="94" spans="1:14" x14ac:dyDescent="0.25">
      <c r="A94" s="26" t="str">
        <f t="shared" si="1"/>
        <v/>
      </c>
      <c r="B94" s="20" t="str">
        <f t="shared" si="12"/>
        <v/>
      </c>
      <c r="C94" s="27">
        <f t="shared" si="2"/>
        <v>-4.9999999999897682E-2</v>
      </c>
      <c r="D94" s="27">
        <f t="shared" si="3"/>
        <v>0</v>
      </c>
      <c r="E94" s="27">
        <f t="shared" si="4"/>
        <v>-4.9999999999897682E-2</v>
      </c>
      <c r="F94" s="27">
        <f t="shared" si="5"/>
        <v>0</v>
      </c>
      <c r="G94" s="27">
        <f t="shared" si="6"/>
        <v>0</v>
      </c>
      <c r="H94" s="27">
        <f t="shared" si="7"/>
        <v>0</v>
      </c>
      <c r="I94" s="27">
        <f t="shared" si="8"/>
        <v>0</v>
      </c>
      <c r="J94" s="27">
        <f>IFERROR('IOF 2'!L80+PF!$C$32/PF!$C$38*PF!F94,0)</f>
        <v>0</v>
      </c>
      <c r="K94" s="39">
        <f t="shared" si="9"/>
        <v>0</v>
      </c>
      <c r="L94" s="40">
        <f t="shared" si="10"/>
        <v>0</v>
      </c>
      <c r="M94" s="31">
        <f t="shared" ca="1" si="11"/>
        <v>0</v>
      </c>
      <c r="N94" s="28">
        <f t="shared" si="13"/>
        <v>0</v>
      </c>
    </row>
    <row r="95" spans="1:14" x14ac:dyDescent="0.25">
      <c r="A95" s="26" t="str">
        <f t="shared" si="1"/>
        <v/>
      </c>
      <c r="B95" s="20" t="str">
        <f t="shared" si="12"/>
        <v/>
      </c>
      <c r="C95" s="27">
        <f t="shared" si="2"/>
        <v>-4.9999999999897682E-2</v>
      </c>
      <c r="D95" s="27">
        <f t="shared" si="3"/>
        <v>0</v>
      </c>
      <c r="E95" s="27">
        <f t="shared" si="4"/>
        <v>-4.9999999999897682E-2</v>
      </c>
      <c r="F95" s="27">
        <f t="shared" si="5"/>
        <v>0</v>
      </c>
      <c r="G95" s="27">
        <f t="shared" si="6"/>
        <v>0</v>
      </c>
      <c r="H95" s="27">
        <f t="shared" si="7"/>
        <v>0</v>
      </c>
      <c r="I95" s="27">
        <f t="shared" si="8"/>
        <v>0</v>
      </c>
      <c r="J95" s="27">
        <f>IFERROR('IOF 2'!L81+PF!$C$32/PF!$C$38*PF!F95,0)</f>
        <v>0</v>
      </c>
      <c r="K95" s="39">
        <f t="shared" si="9"/>
        <v>0</v>
      </c>
      <c r="L95" s="40">
        <f t="shared" si="10"/>
        <v>0</v>
      </c>
      <c r="M95" s="31">
        <f t="shared" ca="1" si="11"/>
        <v>0</v>
      </c>
      <c r="N95" s="28">
        <f t="shared" si="13"/>
        <v>0</v>
      </c>
    </row>
    <row r="96" spans="1:14" x14ac:dyDescent="0.25">
      <c r="A96" s="26" t="str">
        <f t="shared" si="1"/>
        <v/>
      </c>
      <c r="B96" s="20" t="str">
        <f t="shared" si="12"/>
        <v/>
      </c>
      <c r="C96" s="27">
        <f t="shared" si="2"/>
        <v>-4.9999999999897682E-2</v>
      </c>
      <c r="D96" s="27">
        <f t="shared" si="3"/>
        <v>0</v>
      </c>
      <c r="E96" s="27">
        <f t="shared" si="4"/>
        <v>-4.9999999999897682E-2</v>
      </c>
      <c r="F96" s="27">
        <f t="shared" si="5"/>
        <v>0</v>
      </c>
      <c r="G96" s="27">
        <f t="shared" si="6"/>
        <v>0</v>
      </c>
      <c r="H96" s="27">
        <f t="shared" si="7"/>
        <v>0</v>
      </c>
      <c r="I96" s="27">
        <f t="shared" si="8"/>
        <v>0</v>
      </c>
      <c r="J96" s="27">
        <f>IFERROR('IOF 2'!L82+PF!$C$32/PF!$C$38*PF!F96,0)</f>
        <v>0</v>
      </c>
      <c r="K96" s="39">
        <f t="shared" si="9"/>
        <v>0</v>
      </c>
      <c r="L96" s="40">
        <f t="shared" si="10"/>
        <v>0</v>
      </c>
      <c r="M96" s="31">
        <f t="shared" ca="1" si="11"/>
        <v>0</v>
      </c>
      <c r="N96" s="28">
        <f t="shared" si="13"/>
        <v>0</v>
      </c>
    </row>
    <row r="97" spans="1:14" x14ac:dyDescent="0.25">
      <c r="A97" s="26" t="str">
        <f t="shared" si="1"/>
        <v/>
      </c>
      <c r="B97" s="20" t="str">
        <f t="shared" si="12"/>
        <v/>
      </c>
      <c r="C97" s="27">
        <f t="shared" si="2"/>
        <v>-4.9999999999897682E-2</v>
      </c>
      <c r="D97" s="27">
        <f t="shared" si="3"/>
        <v>0</v>
      </c>
      <c r="E97" s="27">
        <f t="shared" si="4"/>
        <v>-4.9999999999897682E-2</v>
      </c>
      <c r="F97" s="27">
        <f t="shared" si="5"/>
        <v>0</v>
      </c>
      <c r="G97" s="27">
        <f t="shared" si="6"/>
        <v>0</v>
      </c>
      <c r="H97" s="27">
        <f t="shared" si="7"/>
        <v>0</v>
      </c>
      <c r="I97" s="27">
        <f t="shared" si="8"/>
        <v>0</v>
      </c>
      <c r="J97" s="27">
        <f>IFERROR('IOF 2'!L83+PF!$C$32/PF!$C$38*PF!F97,0)</f>
        <v>0</v>
      </c>
      <c r="K97" s="39">
        <f t="shared" si="9"/>
        <v>0</v>
      </c>
      <c r="L97" s="40">
        <f t="shared" si="10"/>
        <v>0</v>
      </c>
      <c r="M97" s="31">
        <f t="shared" ca="1" si="11"/>
        <v>0</v>
      </c>
      <c r="N97" s="28">
        <f t="shared" si="13"/>
        <v>0</v>
      </c>
    </row>
    <row r="98" spans="1:14" x14ac:dyDescent="0.25">
      <c r="A98" s="26" t="str">
        <f t="shared" si="1"/>
        <v/>
      </c>
      <c r="B98" s="20" t="str">
        <f t="shared" si="12"/>
        <v/>
      </c>
      <c r="C98" s="27">
        <f t="shared" si="2"/>
        <v>-4.9999999999897682E-2</v>
      </c>
      <c r="D98" s="27">
        <f t="shared" si="3"/>
        <v>0</v>
      </c>
      <c r="E98" s="27">
        <f t="shared" si="4"/>
        <v>-4.9999999999897682E-2</v>
      </c>
      <c r="F98" s="27">
        <f t="shared" si="5"/>
        <v>0</v>
      </c>
      <c r="G98" s="27">
        <f t="shared" si="6"/>
        <v>0</v>
      </c>
      <c r="H98" s="27">
        <f t="shared" si="7"/>
        <v>0</v>
      </c>
      <c r="I98" s="27">
        <f t="shared" si="8"/>
        <v>0</v>
      </c>
      <c r="J98" s="27">
        <f>IFERROR('IOF 2'!L84+PF!$C$32/PF!$C$38*PF!F98,0)</f>
        <v>0</v>
      </c>
      <c r="K98" s="39">
        <f t="shared" si="9"/>
        <v>0</v>
      </c>
      <c r="L98" s="40">
        <f t="shared" si="10"/>
        <v>0</v>
      </c>
      <c r="M98" s="31">
        <f t="shared" ca="1" si="11"/>
        <v>0</v>
      </c>
      <c r="N98" s="28">
        <f t="shared" si="13"/>
        <v>0</v>
      </c>
    </row>
    <row r="99" spans="1:14" x14ac:dyDescent="0.25">
      <c r="A99" s="26" t="str">
        <f t="shared" si="1"/>
        <v/>
      </c>
      <c r="B99" s="20" t="str">
        <f t="shared" si="12"/>
        <v/>
      </c>
      <c r="C99" s="27">
        <f t="shared" si="2"/>
        <v>-4.9999999999897682E-2</v>
      </c>
      <c r="D99" s="27">
        <f t="shared" si="3"/>
        <v>0</v>
      </c>
      <c r="E99" s="27">
        <f t="shared" si="4"/>
        <v>-4.9999999999897682E-2</v>
      </c>
      <c r="F99" s="27">
        <f t="shared" si="5"/>
        <v>0</v>
      </c>
      <c r="G99" s="27">
        <f t="shared" si="6"/>
        <v>0</v>
      </c>
      <c r="H99" s="27">
        <f t="shared" si="7"/>
        <v>0</v>
      </c>
      <c r="I99" s="27">
        <f t="shared" si="8"/>
        <v>0</v>
      </c>
      <c r="J99" s="27">
        <f>IFERROR('IOF 2'!L85+PF!$C$32/PF!$C$38*PF!F99,0)</f>
        <v>0</v>
      </c>
      <c r="K99" s="39">
        <f t="shared" si="9"/>
        <v>0</v>
      </c>
      <c r="L99" s="40">
        <f t="shared" si="10"/>
        <v>0</v>
      </c>
      <c r="M99" s="31">
        <f t="shared" ca="1" si="11"/>
        <v>0</v>
      </c>
      <c r="N99" s="28">
        <f t="shared" si="13"/>
        <v>0</v>
      </c>
    </row>
    <row r="100" spans="1:14" x14ac:dyDescent="0.25">
      <c r="A100" s="26" t="str">
        <f t="shared" si="1"/>
        <v/>
      </c>
      <c r="B100" s="20" t="str">
        <f t="shared" si="12"/>
        <v/>
      </c>
      <c r="C100" s="27">
        <f t="shared" si="2"/>
        <v>-4.9999999999897682E-2</v>
      </c>
      <c r="D100" s="27">
        <f t="shared" si="3"/>
        <v>0</v>
      </c>
      <c r="E100" s="27">
        <f t="shared" si="4"/>
        <v>-4.9999999999897682E-2</v>
      </c>
      <c r="F100" s="27">
        <f t="shared" si="5"/>
        <v>0</v>
      </c>
      <c r="G100" s="27">
        <f t="shared" si="6"/>
        <v>0</v>
      </c>
      <c r="H100" s="27">
        <f t="shared" si="7"/>
        <v>0</v>
      </c>
      <c r="I100" s="27">
        <f t="shared" si="8"/>
        <v>0</v>
      </c>
      <c r="J100" s="27">
        <f>IFERROR('IOF 2'!L86+PF!$C$32/PF!$C$38*PF!F100,0)</f>
        <v>0</v>
      </c>
      <c r="K100" s="39">
        <f t="shared" si="9"/>
        <v>0</v>
      </c>
      <c r="L100" s="40">
        <f t="shared" si="10"/>
        <v>0</v>
      </c>
      <c r="M100" s="31">
        <f t="shared" ca="1" si="11"/>
        <v>0</v>
      </c>
      <c r="N100" s="28">
        <f t="shared" si="13"/>
        <v>0</v>
      </c>
    </row>
    <row r="101" spans="1:14" x14ac:dyDescent="0.25">
      <c r="A101" s="26" t="str">
        <f t="shared" si="1"/>
        <v/>
      </c>
      <c r="B101" s="20" t="str">
        <f t="shared" si="12"/>
        <v/>
      </c>
      <c r="C101" s="27">
        <f t="shared" si="2"/>
        <v>-4.9999999999897682E-2</v>
      </c>
      <c r="D101" s="27">
        <f t="shared" si="3"/>
        <v>0</v>
      </c>
      <c r="E101" s="27">
        <f t="shared" si="4"/>
        <v>-4.9999999999897682E-2</v>
      </c>
      <c r="F101" s="27">
        <f t="shared" si="5"/>
        <v>0</v>
      </c>
      <c r="G101" s="27">
        <f t="shared" si="6"/>
        <v>0</v>
      </c>
      <c r="H101" s="27">
        <f t="shared" si="7"/>
        <v>0</v>
      </c>
      <c r="I101" s="27">
        <f t="shared" si="8"/>
        <v>0</v>
      </c>
      <c r="J101" s="27">
        <f>IFERROR('IOF 2'!L87+PF!$C$32/PF!$C$38*PF!F101,0)</f>
        <v>0</v>
      </c>
      <c r="K101" s="39">
        <f t="shared" si="9"/>
        <v>0</v>
      </c>
      <c r="L101" s="40">
        <f t="shared" si="10"/>
        <v>0</v>
      </c>
      <c r="M101" s="31">
        <f t="shared" ca="1" si="11"/>
        <v>0</v>
      </c>
      <c r="N101" s="28">
        <f t="shared" si="13"/>
        <v>0</v>
      </c>
    </row>
    <row r="102" spans="1:14" x14ac:dyDescent="0.25">
      <c r="A102" s="26" t="str">
        <f t="shared" si="1"/>
        <v/>
      </c>
      <c r="B102" s="20" t="str">
        <f t="shared" si="12"/>
        <v/>
      </c>
      <c r="C102" s="27">
        <f t="shared" si="2"/>
        <v>-4.9999999999897682E-2</v>
      </c>
      <c r="D102" s="27">
        <f t="shared" si="3"/>
        <v>0</v>
      </c>
      <c r="E102" s="27">
        <f t="shared" si="4"/>
        <v>-4.9999999999897682E-2</v>
      </c>
      <c r="F102" s="27">
        <f t="shared" si="5"/>
        <v>0</v>
      </c>
      <c r="G102" s="27">
        <f t="shared" si="6"/>
        <v>0</v>
      </c>
      <c r="H102" s="27">
        <f t="shared" si="7"/>
        <v>0</v>
      </c>
      <c r="I102" s="27">
        <f t="shared" si="8"/>
        <v>0</v>
      </c>
      <c r="J102" s="27">
        <f>IFERROR('IOF 2'!L88+PF!$C$32/PF!$C$38*PF!F102,0)</f>
        <v>0</v>
      </c>
      <c r="K102" s="39">
        <f t="shared" si="9"/>
        <v>0</v>
      </c>
      <c r="L102" s="40">
        <f t="shared" si="10"/>
        <v>0</v>
      </c>
      <c r="M102" s="31">
        <f t="shared" ca="1" si="11"/>
        <v>0</v>
      </c>
      <c r="N102" s="28">
        <f t="shared" si="13"/>
        <v>0</v>
      </c>
    </row>
    <row r="103" spans="1:14" x14ac:dyDescent="0.25">
      <c r="A103" s="26" t="str">
        <f t="shared" si="1"/>
        <v/>
      </c>
      <c r="B103" s="20" t="str">
        <f t="shared" si="12"/>
        <v/>
      </c>
      <c r="C103" s="27">
        <f t="shared" si="2"/>
        <v>-4.9999999999897682E-2</v>
      </c>
      <c r="D103" s="27">
        <f t="shared" si="3"/>
        <v>0</v>
      </c>
      <c r="E103" s="27">
        <f t="shared" si="4"/>
        <v>-4.9999999999897682E-2</v>
      </c>
      <c r="F103" s="27">
        <f t="shared" si="5"/>
        <v>0</v>
      </c>
      <c r="G103" s="27">
        <f t="shared" si="6"/>
        <v>0</v>
      </c>
      <c r="H103" s="27">
        <f t="shared" si="7"/>
        <v>0</v>
      </c>
      <c r="I103" s="27">
        <f t="shared" si="8"/>
        <v>0</v>
      </c>
      <c r="J103" s="27">
        <f>IFERROR('IOF 2'!L89+PF!$C$32/PF!$C$38*PF!F103,0)</f>
        <v>0</v>
      </c>
      <c r="K103" s="39">
        <f t="shared" si="9"/>
        <v>0</v>
      </c>
      <c r="L103" s="40">
        <f t="shared" si="10"/>
        <v>0</v>
      </c>
      <c r="M103" s="31">
        <f t="shared" ca="1" si="11"/>
        <v>0</v>
      </c>
      <c r="N103" s="28">
        <f t="shared" ref="N103:N110" si="14">IFERROR(ROUND($P$10*F103/$P$8,2),0)</f>
        <v>0</v>
      </c>
    </row>
    <row r="104" spans="1:14" x14ac:dyDescent="0.25">
      <c r="A104" s="26" t="str">
        <f t="shared" ref="A104:A110" si="15">IF(A103="","",IF(A103+1&lt;=$C$19,A103+1,""))</f>
        <v/>
      </c>
      <c r="B104" s="20" t="str">
        <f t="shared" si="12"/>
        <v/>
      </c>
      <c r="C104" s="27">
        <f t="shared" ref="C104:C110" si="16">C103+G104-I104</f>
        <v>-4.9999999999897682E-2</v>
      </c>
      <c r="D104" s="27">
        <f t="shared" ref="D104:D110" si="17">C104-E104</f>
        <v>0</v>
      </c>
      <c r="E104" s="27">
        <f t="shared" ref="E104:E110" si="18">MIN($C$38,C104,E103)</f>
        <v>-4.9999999999897682E-2</v>
      </c>
      <c r="F104" s="27">
        <f t="shared" ref="F104:F110" si="19">E103-E104</f>
        <v>0</v>
      </c>
      <c r="G104" s="27">
        <f t="shared" ref="G104:G110" si="20">IF(A104="",0,ROUND(((((1+$C$15)^((B104-B103)/30)-1)*C103)),2))</f>
        <v>0</v>
      </c>
      <c r="H104" s="27">
        <f t="shared" ref="H104:H110" si="21">MIN(I104-F104,I104)</f>
        <v>0</v>
      </c>
      <c r="I104" s="27">
        <f t="shared" ref="I104:I110" si="22">IF(A104="",0,ROUND($C$38/$L$112,2))</f>
        <v>0</v>
      </c>
      <c r="J104" s="27">
        <f>IFERROR('IOF 2'!L90+PF!$C$32/PF!$C$38*PF!F104,0)</f>
        <v>0</v>
      </c>
      <c r="K104" s="39">
        <f t="shared" ref="K104:K110" si="23">IFERROR(B104-B103,0)</f>
        <v>0</v>
      </c>
      <c r="L104" s="40">
        <f t="shared" ref="L104:L110" si="24">IF(A104="",0,ROUND(1/((1+$C$15)^((B104-$B$38)/30)),8))</f>
        <v>0</v>
      </c>
      <c r="M104" s="31">
        <f t="shared" ref="M104:M110" ca="1" si="25">IFERROR(I104/((1+$C$33)^((B104-$B$38)/365)),0)</f>
        <v>0</v>
      </c>
      <c r="N104" s="28">
        <f t="shared" si="14"/>
        <v>0</v>
      </c>
    </row>
    <row r="105" spans="1:14" x14ac:dyDescent="0.25">
      <c r="A105" s="26" t="str">
        <f t="shared" si="15"/>
        <v/>
      </c>
      <c r="B105" s="20" t="str">
        <f t="shared" si="12"/>
        <v/>
      </c>
      <c r="C105" s="27">
        <f t="shared" si="16"/>
        <v>-4.9999999999897682E-2</v>
      </c>
      <c r="D105" s="27">
        <f t="shared" si="17"/>
        <v>0</v>
      </c>
      <c r="E105" s="27">
        <f t="shared" si="18"/>
        <v>-4.9999999999897682E-2</v>
      </c>
      <c r="F105" s="27">
        <f t="shared" si="19"/>
        <v>0</v>
      </c>
      <c r="G105" s="27">
        <f t="shared" si="20"/>
        <v>0</v>
      </c>
      <c r="H105" s="27">
        <f t="shared" si="21"/>
        <v>0</v>
      </c>
      <c r="I105" s="27">
        <f t="shared" si="22"/>
        <v>0</v>
      </c>
      <c r="J105" s="27">
        <f>IFERROR('IOF 2'!L91+PF!$C$32/PF!$C$38*PF!F105,0)</f>
        <v>0</v>
      </c>
      <c r="K105" s="39">
        <f t="shared" si="23"/>
        <v>0</v>
      </c>
      <c r="L105" s="40">
        <f t="shared" si="24"/>
        <v>0</v>
      </c>
      <c r="M105" s="31">
        <f t="shared" ca="1" si="25"/>
        <v>0</v>
      </c>
      <c r="N105" s="28">
        <f t="shared" si="14"/>
        <v>0</v>
      </c>
    </row>
    <row r="106" spans="1:14" x14ac:dyDescent="0.25">
      <c r="A106" s="26" t="str">
        <f t="shared" si="15"/>
        <v/>
      </c>
      <c r="B106" s="20" t="str">
        <f t="shared" ref="B106:B110" si="26">IF(A106="","",DATE(YEAR(B105),IF(DAY(B105)&lt;$C$35,MONTH(B105),MONTH(B105)+1),$C$35)+IF(AND(DAY(DATE(YEAR(B105),IF(DAY(B105)&lt;$C$35,MONTH(B105),MONTH(B105)+1),$C$35))&lt;&gt;$C$35,DAY(DATE(YEAR(B105),IF(DAY(B105)&lt;$C$35,MONTH(B105)+1),$C$35))=2),-1,0))</f>
        <v/>
      </c>
      <c r="C106" s="27">
        <f t="shared" si="16"/>
        <v>-4.9999999999897682E-2</v>
      </c>
      <c r="D106" s="27">
        <f t="shared" si="17"/>
        <v>0</v>
      </c>
      <c r="E106" s="27">
        <f t="shared" si="18"/>
        <v>-4.9999999999897682E-2</v>
      </c>
      <c r="F106" s="27">
        <f t="shared" si="19"/>
        <v>0</v>
      </c>
      <c r="G106" s="27">
        <f t="shared" si="20"/>
        <v>0</v>
      </c>
      <c r="H106" s="27">
        <f t="shared" si="21"/>
        <v>0</v>
      </c>
      <c r="I106" s="27">
        <f t="shared" si="22"/>
        <v>0</v>
      </c>
      <c r="J106" s="27">
        <f>IFERROR('IOF 2'!L92+PF!$C$32/PF!$C$38*PF!F106,0)</f>
        <v>0</v>
      </c>
      <c r="K106" s="39">
        <f t="shared" si="23"/>
        <v>0</v>
      </c>
      <c r="L106" s="40">
        <f t="shared" si="24"/>
        <v>0</v>
      </c>
      <c r="M106" s="31">
        <f t="shared" ca="1" si="25"/>
        <v>0</v>
      </c>
      <c r="N106" s="28">
        <f t="shared" si="14"/>
        <v>0</v>
      </c>
    </row>
    <row r="107" spans="1:14" x14ac:dyDescent="0.25">
      <c r="A107" s="26" t="str">
        <f t="shared" si="15"/>
        <v/>
      </c>
      <c r="B107" s="20" t="str">
        <f t="shared" si="26"/>
        <v/>
      </c>
      <c r="C107" s="27">
        <f t="shared" si="16"/>
        <v>-4.9999999999897682E-2</v>
      </c>
      <c r="D107" s="27">
        <f t="shared" si="17"/>
        <v>0</v>
      </c>
      <c r="E107" s="27">
        <f t="shared" si="18"/>
        <v>-4.9999999999897682E-2</v>
      </c>
      <c r="F107" s="27">
        <f t="shared" si="19"/>
        <v>0</v>
      </c>
      <c r="G107" s="27">
        <f t="shared" si="20"/>
        <v>0</v>
      </c>
      <c r="H107" s="27">
        <f t="shared" si="21"/>
        <v>0</v>
      </c>
      <c r="I107" s="27">
        <f t="shared" si="22"/>
        <v>0</v>
      </c>
      <c r="J107" s="27">
        <f>IFERROR('IOF 2'!L93+PF!$C$32/PF!$C$38*PF!F107,0)</f>
        <v>0</v>
      </c>
      <c r="K107" s="39">
        <f t="shared" si="23"/>
        <v>0</v>
      </c>
      <c r="L107" s="40">
        <f t="shared" si="24"/>
        <v>0</v>
      </c>
      <c r="M107" s="31">
        <f t="shared" ca="1" si="25"/>
        <v>0</v>
      </c>
      <c r="N107" s="28">
        <f t="shared" si="14"/>
        <v>0</v>
      </c>
    </row>
    <row r="108" spans="1:14" x14ac:dyDescent="0.25">
      <c r="A108" s="26" t="str">
        <f t="shared" si="15"/>
        <v/>
      </c>
      <c r="B108" s="20" t="str">
        <f t="shared" si="26"/>
        <v/>
      </c>
      <c r="C108" s="27">
        <f t="shared" si="16"/>
        <v>-4.9999999999897682E-2</v>
      </c>
      <c r="D108" s="27">
        <f t="shared" si="17"/>
        <v>0</v>
      </c>
      <c r="E108" s="27">
        <f t="shared" si="18"/>
        <v>-4.9999999999897682E-2</v>
      </c>
      <c r="F108" s="27">
        <f t="shared" si="19"/>
        <v>0</v>
      </c>
      <c r="G108" s="27">
        <f t="shared" si="20"/>
        <v>0</v>
      </c>
      <c r="H108" s="27">
        <f t="shared" si="21"/>
        <v>0</v>
      </c>
      <c r="I108" s="27">
        <f t="shared" si="22"/>
        <v>0</v>
      </c>
      <c r="J108" s="27">
        <f>IFERROR('IOF 2'!L94+PF!$C$32/PF!$C$38*PF!F108,0)</f>
        <v>0</v>
      </c>
      <c r="K108" s="39">
        <f t="shared" si="23"/>
        <v>0</v>
      </c>
      <c r="L108" s="40">
        <f t="shared" si="24"/>
        <v>0</v>
      </c>
      <c r="M108" s="31">
        <f t="shared" ca="1" si="25"/>
        <v>0</v>
      </c>
      <c r="N108" s="28">
        <f t="shared" si="14"/>
        <v>0</v>
      </c>
    </row>
    <row r="109" spans="1:14" x14ac:dyDescent="0.25">
      <c r="A109" s="26" t="str">
        <f t="shared" si="15"/>
        <v/>
      </c>
      <c r="B109" s="20" t="str">
        <f t="shared" si="26"/>
        <v/>
      </c>
      <c r="C109" s="27">
        <f t="shared" si="16"/>
        <v>-4.9999999999897682E-2</v>
      </c>
      <c r="D109" s="27">
        <f t="shared" si="17"/>
        <v>0</v>
      </c>
      <c r="E109" s="27">
        <f t="shared" si="18"/>
        <v>-4.9999999999897682E-2</v>
      </c>
      <c r="F109" s="27">
        <f t="shared" si="19"/>
        <v>0</v>
      </c>
      <c r="G109" s="27">
        <f t="shared" si="20"/>
        <v>0</v>
      </c>
      <c r="H109" s="27">
        <f t="shared" si="21"/>
        <v>0</v>
      </c>
      <c r="I109" s="27">
        <f t="shared" si="22"/>
        <v>0</v>
      </c>
      <c r="J109" s="27">
        <f>IFERROR('IOF 2'!L95+PF!$C$32/PF!$C$38*PF!F109,0)</f>
        <v>0</v>
      </c>
      <c r="K109" s="39">
        <f t="shared" si="23"/>
        <v>0</v>
      </c>
      <c r="L109" s="40">
        <f t="shared" si="24"/>
        <v>0</v>
      </c>
      <c r="M109" s="31">
        <f t="shared" ca="1" si="25"/>
        <v>0</v>
      </c>
      <c r="N109" s="28">
        <f t="shared" si="14"/>
        <v>0</v>
      </c>
    </row>
    <row r="110" spans="1:14" x14ac:dyDescent="0.25">
      <c r="A110" s="26" t="str">
        <f t="shared" si="15"/>
        <v/>
      </c>
      <c r="B110" s="20" t="str">
        <f t="shared" si="26"/>
        <v/>
      </c>
      <c r="C110" s="27">
        <f t="shared" si="16"/>
        <v>-4.9999999999897682E-2</v>
      </c>
      <c r="D110" s="27">
        <f t="shared" si="17"/>
        <v>0</v>
      </c>
      <c r="E110" s="27">
        <f t="shared" si="18"/>
        <v>-4.9999999999897682E-2</v>
      </c>
      <c r="F110" s="27">
        <f t="shared" si="19"/>
        <v>0</v>
      </c>
      <c r="G110" s="27">
        <f t="shared" si="20"/>
        <v>0</v>
      </c>
      <c r="H110" s="27">
        <f t="shared" si="21"/>
        <v>0</v>
      </c>
      <c r="I110" s="27">
        <f t="shared" si="22"/>
        <v>0</v>
      </c>
      <c r="J110" s="27">
        <f>IFERROR('IOF 2'!L96+PF!$C$32/PF!$C$38*PF!F110,0)</f>
        <v>0</v>
      </c>
      <c r="K110" s="39">
        <f t="shared" si="23"/>
        <v>0</v>
      </c>
      <c r="L110" s="40">
        <f t="shared" si="24"/>
        <v>0</v>
      </c>
      <c r="M110" s="31">
        <f t="shared" ca="1" si="25"/>
        <v>0</v>
      </c>
      <c r="N110" s="28">
        <f t="shared" si="14"/>
        <v>0</v>
      </c>
    </row>
    <row r="111" spans="1:14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31"/>
      <c r="N111" s="18"/>
    </row>
    <row r="112" spans="1:14" x14ac:dyDescent="0.25">
      <c r="A112" s="28">
        <f>MAX(A38:A110)</f>
        <v>8</v>
      </c>
      <c r="B112" s="28"/>
      <c r="C112" s="28">
        <f>VLOOKUP(A112,A38:M110,3,0)</f>
        <v>-4.9999999999897682E-2</v>
      </c>
      <c r="D112" s="28">
        <f>SUM(D39:D110)</f>
        <v>0</v>
      </c>
      <c r="E112" s="28">
        <f t="shared" ref="E112:N112" si="27">SUM(E39:E110)</f>
        <v>7324.739999999988</v>
      </c>
      <c r="F112" s="28">
        <f t="shared" si="27"/>
        <v>2026.0899999999995</v>
      </c>
      <c r="G112" s="28">
        <f>SUM(G39:G110)</f>
        <v>593.1099999999999</v>
      </c>
      <c r="H112" s="28">
        <f t="shared" si="27"/>
        <v>593.1099999999999</v>
      </c>
      <c r="I112" s="28">
        <f t="shared" si="27"/>
        <v>2619.2000000000003</v>
      </c>
      <c r="J112" s="28">
        <f>'IOF 2'!L98+PF!$C$32/PF!$C$38*PF!F112</f>
        <v>25.800190025863259</v>
      </c>
      <c r="K112" s="28">
        <f t="shared" si="27"/>
        <v>212</v>
      </c>
      <c r="L112" s="28">
        <f t="shared" si="27"/>
        <v>6.188361819999999</v>
      </c>
      <c r="M112" s="28">
        <f t="shared" ca="1" si="27"/>
        <v>1999.9999974415107</v>
      </c>
      <c r="N112" s="28">
        <f t="shared" si="27"/>
        <v>0</v>
      </c>
    </row>
  </sheetData>
  <mergeCells count="6">
    <mergeCell ref="C21:G21"/>
    <mergeCell ref="C22:G22"/>
    <mergeCell ref="D8:E8"/>
    <mergeCell ref="N7:O7"/>
    <mergeCell ref="N8:O8"/>
    <mergeCell ref="N9:O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EA33FE9-4F8B-4470-97FA-08D94846A11D}">
          <x14:formula1>
            <xm:f>Auxiliares!$B$2:$B$3</xm:f>
          </x14:formula1>
          <xm:sqref>C13</xm:sqref>
        </x14:dataValidation>
        <x14:dataValidation type="list" allowBlank="1" showInputMessage="1" showErrorMessage="1" xr:uid="{1222AA55-8CD6-4A87-97F4-EAD0434ACD12}">
          <x14:formula1>
            <xm:f>Auxiliares!$D$2:$D$4</xm:f>
          </x14:formula1>
          <xm:sqref>C21</xm:sqref>
        </x14:dataValidation>
        <x14:dataValidation type="list" allowBlank="1" showInputMessage="1" showErrorMessage="1" xr:uid="{77601883-CB61-426C-95A4-112A20CAED35}">
          <x14:formula1>
            <xm:f>Auxiliares!$E$18:$E$20</xm:f>
          </x14:formula1>
          <xm:sqref>D8:E8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3C2C-E2CA-4AAB-B355-8AF1C68671B6}">
  <sheetPr codeName="Planilha3"/>
  <dimension ref="A6:T104"/>
  <sheetViews>
    <sheetView zoomScale="90" zoomScaleNormal="90" workbookViewId="0"/>
  </sheetViews>
  <sheetFormatPr defaultRowHeight="15" x14ac:dyDescent="0.25"/>
  <cols>
    <col min="1" max="1" width="5.7109375" bestFit="1" customWidth="1"/>
    <col min="2" max="2" width="21.28515625" bestFit="1" customWidth="1"/>
    <col min="3" max="3" width="12.7109375" style="11" bestFit="1" customWidth="1"/>
    <col min="4" max="4" width="12.5703125" bestFit="1" customWidth="1"/>
    <col min="5" max="5" width="13.7109375" bestFit="1" customWidth="1"/>
    <col min="6" max="6" width="8.7109375" bestFit="1" customWidth="1"/>
    <col min="7" max="7" width="12.7109375" bestFit="1" customWidth="1"/>
    <col min="8" max="8" width="15.5703125" bestFit="1" customWidth="1"/>
    <col min="9" max="9" width="11" bestFit="1" customWidth="1"/>
    <col min="10" max="10" width="7.85546875" bestFit="1" customWidth="1"/>
    <col min="11" max="11" width="20.7109375" bestFit="1" customWidth="1"/>
    <col min="12" max="12" width="8.28515625" bestFit="1" customWidth="1"/>
    <col min="13" max="13" width="11" bestFit="1" customWidth="1"/>
    <col min="14" max="14" width="21.28515625" bestFit="1" customWidth="1"/>
    <col min="15" max="15" width="4.42578125" customWidth="1"/>
    <col min="16" max="16" width="11.28515625" bestFit="1" customWidth="1"/>
    <col min="17" max="17" width="5.7109375" bestFit="1" customWidth="1"/>
    <col min="18" max="18" width="7.140625" bestFit="1" customWidth="1"/>
    <col min="19" max="19" width="13.85546875" bestFit="1" customWidth="1"/>
    <col min="20" max="20" width="8.85546875" bestFit="1" customWidth="1"/>
  </cols>
  <sheetData>
    <row r="6" spans="2:20" x14ac:dyDescent="0.25">
      <c r="N6" t="s">
        <v>99</v>
      </c>
    </row>
    <row r="7" spans="2:20" x14ac:dyDescent="0.25">
      <c r="N7" t="s">
        <v>100</v>
      </c>
      <c r="P7" s="23">
        <f>C30</f>
        <v>0</v>
      </c>
      <c r="Q7" s="38"/>
    </row>
    <row r="8" spans="2:20" x14ac:dyDescent="0.25">
      <c r="B8" t="s">
        <v>44</v>
      </c>
      <c r="C8" s="11">
        <v>2</v>
      </c>
      <c r="N8" t="s">
        <v>101</v>
      </c>
      <c r="P8" s="23">
        <f>P7-P9</f>
        <v>0</v>
      </c>
    </row>
    <row r="9" spans="2:20" x14ac:dyDescent="0.25">
      <c r="B9" s="8" t="s">
        <v>121</v>
      </c>
      <c r="C9" s="21">
        <v>100</v>
      </c>
      <c r="N9" t="s">
        <v>102</v>
      </c>
      <c r="P9" s="23">
        <f>IF(Q9&lt;&gt;"",C9,0)</f>
        <v>0</v>
      </c>
      <c r="S9" t="s">
        <v>106</v>
      </c>
      <c r="T9">
        <f>SUM(U11:U15)</f>
        <v>0</v>
      </c>
    </row>
    <row r="11" spans="2:20" x14ac:dyDescent="0.25">
      <c r="B11" s="8" t="s">
        <v>85</v>
      </c>
      <c r="C11" s="13">
        <v>2.1999999999999999E-2</v>
      </c>
      <c r="N11" t="s">
        <v>103</v>
      </c>
      <c r="P11" s="25">
        <f>C11</f>
        <v>2.1999999999999999E-2</v>
      </c>
      <c r="S11" s="94" t="s">
        <v>12</v>
      </c>
      <c r="T11" s="29">
        <f>C22</f>
        <v>0</v>
      </c>
    </row>
    <row r="12" spans="2:20" x14ac:dyDescent="0.25">
      <c r="B12" s="9" t="s">
        <v>111</v>
      </c>
      <c r="C12" s="14">
        <f>((1+C11)^(1/30)-1)</f>
        <v>7.256462133005126E-4</v>
      </c>
      <c r="S12" s="94"/>
    </row>
    <row r="13" spans="2:20" x14ac:dyDescent="0.25">
      <c r="B13" s="7" t="s">
        <v>112</v>
      </c>
      <c r="C13" s="15">
        <f>(1+C11)^12-1</f>
        <v>0.29840670516253787</v>
      </c>
      <c r="S13" s="94"/>
    </row>
    <row r="14" spans="2:20" x14ac:dyDescent="0.25">
      <c r="S14" s="94"/>
    </row>
    <row r="15" spans="2:20" x14ac:dyDescent="0.25">
      <c r="B15" t="s">
        <v>7</v>
      </c>
      <c r="C15" s="11">
        <v>3</v>
      </c>
      <c r="N15" t="s">
        <v>104</v>
      </c>
      <c r="P15">
        <f>C15</f>
        <v>3</v>
      </c>
      <c r="S15" t="s">
        <v>43</v>
      </c>
      <c r="T15" s="29">
        <f>C23</f>
        <v>0</v>
      </c>
    </row>
    <row r="17" spans="1:20" x14ac:dyDescent="0.25">
      <c r="B17" t="s">
        <v>89</v>
      </c>
      <c r="C17" s="19">
        <v>46128</v>
      </c>
      <c r="N17" t="s">
        <v>124</v>
      </c>
      <c r="P17" s="29">
        <f>I31</f>
        <v>0</v>
      </c>
      <c r="S17" t="s">
        <v>107</v>
      </c>
      <c r="T17">
        <f>G104</f>
        <v>0</v>
      </c>
    </row>
    <row r="18" spans="1:20" x14ac:dyDescent="0.25">
      <c r="C18" s="18"/>
    </row>
    <row r="19" spans="1:20" x14ac:dyDescent="0.25">
      <c r="B19" t="s">
        <v>90</v>
      </c>
      <c r="C19" s="19">
        <v>46158</v>
      </c>
      <c r="L19" s="38"/>
      <c r="N19" t="s">
        <v>109</v>
      </c>
      <c r="P19" s="10">
        <f>IF(C19="","",MAX($B$31:$B$102))</f>
        <v>46219</v>
      </c>
      <c r="S19" t="s">
        <v>108</v>
      </c>
      <c r="T19">
        <f>I104</f>
        <v>0</v>
      </c>
    </row>
    <row r="20" spans="1:20" x14ac:dyDescent="0.25">
      <c r="C20" s="18"/>
      <c r="Q20" s="29"/>
    </row>
    <row r="21" spans="1:20" x14ac:dyDescent="0.25">
      <c r="B21" s="7" t="s">
        <v>91</v>
      </c>
      <c r="C21" s="20">
        <f>DATE(YEAR(C19),MONTH(C19)+C15-1,DAY(C19))</f>
        <v>46219</v>
      </c>
    </row>
    <row r="22" spans="1:20" x14ac:dyDescent="0.25">
      <c r="B22" s="7" t="s">
        <v>12</v>
      </c>
      <c r="C22" s="41">
        <f>IF(Auxiliares!B8=3,'IOF 2'!C17,0)</f>
        <v>0</v>
      </c>
    </row>
    <row r="23" spans="1:20" x14ac:dyDescent="0.25">
      <c r="B23" s="7" t="s">
        <v>43</v>
      </c>
      <c r="C23" s="41">
        <f>IF(Auxiliares!B9=3,'IOF 2'!C18,0)</f>
        <v>0</v>
      </c>
    </row>
    <row r="24" spans="1:20" x14ac:dyDescent="0.25">
      <c r="B24" s="7" t="s">
        <v>92</v>
      </c>
      <c r="C24" s="17"/>
    </row>
    <row r="26" spans="1:20" x14ac:dyDescent="0.25">
      <c r="B26" t="s">
        <v>93</v>
      </c>
      <c r="C26" s="11">
        <v>16</v>
      </c>
      <c r="M26" t="s">
        <v>98</v>
      </c>
    </row>
    <row r="27" spans="1:20" x14ac:dyDescent="0.25">
      <c r="M27" t="s">
        <v>98</v>
      </c>
    </row>
    <row r="28" spans="1:20" x14ac:dyDescent="0.25">
      <c r="M28" s="38">
        <f>M104-C9</f>
        <v>-100</v>
      </c>
    </row>
    <row r="29" spans="1:20" x14ac:dyDescent="0.25">
      <c r="A29" s="26" t="s">
        <v>7</v>
      </c>
      <c r="B29" s="26" t="s">
        <v>46</v>
      </c>
      <c r="C29" s="26" t="s">
        <v>47</v>
      </c>
      <c r="D29" s="26" t="s">
        <v>48</v>
      </c>
      <c r="E29" s="26" t="s">
        <v>49</v>
      </c>
      <c r="F29" s="26" t="s">
        <v>50</v>
      </c>
      <c r="G29" s="26" t="s">
        <v>51</v>
      </c>
      <c r="H29" s="26" t="s">
        <v>52</v>
      </c>
      <c r="I29" s="26" t="s">
        <v>53</v>
      </c>
      <c r="J29" s="26" t="s">
        <v>12</v>
      </c>
      <c r="K29" s="26" t="s">
        <v>94</v>
      </c>
      <c r="L29" s="18" t="s">
        <v>95</v>
      </c>
      <c r="M29" s="18" t="s">
        <v>96</v>
      </c>
      <c r="N29" s="18" t="s">
        <v>97</v>
      </c>
    </row>
    <row r="30" spans="1:20" x14ac:dyDescent="0.25">
      <c r="A30" s="26">
        <v>0</v>
      </c>
      <c r="B30" s="20">
        <f>IF(C17="","",C17)</f>
        <v>46128</v>
      </c>
      <c r="C30" s="27">
        <f>IF(Auxiliares!B8=3,C9+C23+C22+P9,0)</f>
        <v>0</v>
      </c>
      <c r="D30" s="27"/>
      <c r="E30" s="27">
        <f>C30</f>
        <v>0</v>
      </c>
      <c r="F30" s="27"/>
      <c r="G30" s="27"/>
      <c r="H30" s="27"/>
      <c r="I30" s="27"/>
      <c r="J30" s="27"/>
      <c r="K30" s="27"/>
      <c r="L30" s="18"/>
      <c r="M30" s="28">
        <f>M28</f>
        <v>-100</v>
      </c>
      <c r="N30" s="18"/>
    </row>
    <row r="31" spans="1:20" x14ac:dyDescent="0.25">
      <c r="A31" s="26">
        <f>IF(A30="","",IF(A30+1&lt;=$C$15,A30+1,""))</f>
        <v>1</v>
      </c>
      <c r="B31" s="20">
        <f>IF(C19="","",C19)</f>
        <v>46158</v>
      </c>
      <c r="C31" s="27">
        <f>C30+G31-I31</f>
        <v>0</v>
      </c>
      <c r="D31" s="27">
        <f>C31-E31</f>
        <v>0</v>
      </c>
      <c r="E31" s="27">
        <f>MIN($C$38,C31,E30)</f>
        <v>0</v>
      </c>
      <c r="F31" s="27">
        <f>E30-E31</f>
        <v>0</v>
      </c>
      <c r="G31" s="27">
        <f>IF(A31="",0,ROUND(((((1+$C$15)^((B31-B30)/30)-1)*C30)),2))</f>
        <v>0</v>
      </c>
      <c r="H31" s="27">
        <f>MIN(I31-F31,I31)</f>
        <v>0</v>
      </c>
      <c r="I31" s="27">
        <f>IF(A31="",0,ROUND($C$30/$L$104,2))</f>
        <v>0</v>
      </c>
      <c r="J31" s="27">
        <f>IFERROR('IOF 2'!L25+SC!$C$23/SC!$C$30*SC!F31,0)</f>
        <v>0</v>
      </c>
      <c r="K31" s="39">
        <f>IFERROR(B31-B30,0)</f>
        <v>30</v>
      </c>
      <c r="L31" s="40">
        <f t="shared" ref="L31:L62" si="0">IF(A31="",0,ROUND(1/((1+$C$11)^((B31-$B$30)/30)),8))</f>
        <v>0.97847357999999995</v>
      </c>
      <c r="M31" s="18">
        <f>IFERROR(I31/((1+$C$24)^((B31-$B$30)/365)),0)</f>
        <v>0</v>
      </c>
      <c r="N31" s="18">
        <f>IFERROR(ROUND($P$9*F31/$P$7,2),0)</f>
        <v>0</v>
      </c>
    </row>
    <row r="32" spans="1:20" x14ac:dyDescent="0.25">
      <c r="A32" s="26">
        <f t="shared" ref="A32:A95" si="1">IF(A31="","",IF(A31+1&lt;=$C$15,A31+1,""))</f>
        <v>2</v>
      </c>
      <c r="B32" s="20">
        <f>IF(A32="","",DATE(YEAR(B31),IF(DAY(B31)&lt;$C$26,MONTH(B31),MONTH(B31)+1),$C$26)+IF(AND(DAY(DATE(YEAR(B31),IF(DAY(B31)&lt;$C$26,MONTH(B31),MONTH(B31)+1),$C$26))&lt;&gt;$C$26,DAY(DATE(YEAR(B31),IF(DAY(B31)&lt;$C$26,MONTH(B31)+1),$C$26))=2),-1,0))</f>
        <v>46189</v>
      </c>
      <c r="C32" s="27">
        <f t="shared" ref="C32:C95" si="2">C31+G32-I32</f>
        <v>0</v>
      </c>
      <c r="D32" s="27">
        <f t="shared" ref="D32:D95" si="3">C32-E32</f>
        <v>0</v>
      </c>
      <c r="E32" s="27">
        <f t="shared" ref="E32:E95" si="4">MIN($C$38,C32,E31)</f>
        <v>0</v>
      </c>
      <c r="F32" s="27">
        <f t="shared" ref="F32:F95" si="5">E31-E32</f>
        <v>0</v>
      </c>
      <c r="G32" s="27">
        <f t="shared" ref="G32:G95" si="6">IF(A32="",0,ROUND(((((1+$C$15)^((B32-B31)/30)-1)*C31)),2))</f>
        <v>0</v>
      </c>
      <c r="H32" s="27">
        <f t="shared" ref="H32:H95" si="7">MIN(I32-F32,I32)</f>
        <v>0</v>
      </c>
      <c r="I32" s="27">
        <f t="shared" ref="I32:I95" si="8">IF(A32="",0,ROUND($C$30/$L$104,2))</f>
        <v>0</v>
      </c>
      <c r="J32" s="27">
        <f>IFERROR('IOF 2'!L26+SC!$C$23/SC!$C$30*SC!F32,0)</f>
        <v>0</v>
      </c>
      <c r="K32" s="39">
        <f t="shared" ref="K32:K95" si="9">IFERROR(B32-B31,0)</f>
        <v>31</v>
      </c>
      <c r="L32" s="40">
        <f t="shared" si="0"/>
        <v>0.95671631000000001</v>
      </c>
      <c r="M32" s="18">
        <f t="shared" ref="M32:M95" si="10">IFERROR(I32/((1+$C$24)^((B32-$B$30)/365)),0)</f>
        <v>0</v>
      </c>
      <c r="N32" s="18">
        <f t="shared" ref="N32:N95" si="11">IFERROR(ROUND($P$9*F32/$P$7,2),0)</f>
        <v>0</v>
      </c>
    </row>
    <row r="33" spans="1:14" x14ac:dyDescent="0.25">
      <c r="A33" s="26">
        <f t="shared" si="1"/>
        <v>3</v>
      </c>
      <c r="B33" s="20">
        <f>IF(A33="","",DATE(YEAR(B32),IF(DAY(B32)&lt;$C$26,MONTH(B32),MONTH(B32)+1),$C$26)+IF(AND(DAY(DATE(YEAR(B32),IF(DAY(B32)&lt;$C$26,MONTH(B32),MONTH(B32)+1),$C$26))&lt;&gt;$C$26,DAY(DATE(YEAR(B32),IF(DAY(B32)&lt;$C$26,MONTH(B32)+1),$C$26))=2),-1,0))</f>
        <v>46219</v>
      </c>
      <c r="C33" s="27">
        <f t="shared" si="2"/>
        <v>0</v>
      </c>
      <c r="D33" s="27">
        <f t="shared" si="3"/>
        <v>0</v>
      </c>
      <c r="E33" s="27">
        <f t="shared" si="4"/>
        <v>0</v>
      </c>
      <c r="F33" s="27">
        <f t="shared" si="5"/>
        <v>0</v>
      </c>
      <c r="G33" s="27">
        <f t="shared" si="6"/>
        <v>0</v>
      </c>
      <c r="H33" s="27">
        <f t="shared" si="7"/>
        <v>0</v>
      </c>
      <c r="I33" s="27">
        <f t="shared" si="8"/>
        <v>0</v>
      </c>
      <c r="J33" s="27">
        <f>IFERROR('IOF 2'!L27+SC!$C$23/SC!$C$30*SC!F33,0)</f>
        <v>0</v>
      </c>
      <c r="K33" s="39">
        <f t="shared" si="9"/>
        <v>30</v>
      </c>
      <c r="L33" s="40">
        <f t="shared" si="0"/>
        <v>0.93612163999999998</v>
      </c>
      <c r="M33" s="18">
        <f t="shared" si="10"/>
        <v>0</v>
      </c>
      <c r="N33" s="18">
        <f t="shared" si="11"/>
        <v>0</v>
      </c>
    </row>
    <row r="34" spans="1:14" x14ac:dyDescent="0.25">
      <c r="A34" s="26" t="str">
        <f t="shared" si="1"/>
        <v/>
      </c>
      <c r="B34" s="20" t="str">
        <f t="shared" ref="B34:B97" si="12">IF(A34="","",DATE(YEAR(B33),IF(DAY(B33)&lt;$C$26,MONTH(B33),MONTH(B33)+1),$C$26)+IF(AND(DAY(DATE(YEAR(B33),IF(DAY(B33)&lt;$C$26,MONTH(B33),MONTH(B33)+1),$C$26))&lt;&gt;$C$26,DAY(DATE(YEAR(B33),IF(DAY(B33)&lt;$C$26,MONTH(B33)+1),$C$26))=2),-1,0))</f>
        <v/>
      </c>
      <c r="C34" s="27">
        <f t="shared" si="2"/>
        <v>0</v>
      </c>
      <c r="D34" s="27">
        <f t="shared" si="3"/>
        <v>0</v>
      </c>
      <c r="E34" s="27">
        <f t="shared" si="4"/>
        <v>0</v>
      </c>
      <c r="F34" s="27">
        <f t="shared" si="5"/>
        <v>0</v>
      </c>
      <c r="G34" s="27">
        <f t="shared" si="6"/>
        <v>0</v>
      </c>
      <c r="H34" s="27">
        <f t="shared" si="7"/>
        <v>0</v>
      </c>
      <c r="I34" s="27">
        <f t="shared" si="8"/>
        <v>0</v>
      </c>
      <c r="J34" s="27">
        <f>IFERROR('IOF 2'!L28+SC!$C$23/SC!$C$30*SC!F34,0)</f>
        <v>0</v>
      </c>
      <c r="K34" s="39">
        <f t="shared" si="9"/>
        <v>0</v>
      </c>
      <c r="L34" s="40">
        <f t="shared" si="0"/>
        <v>0</v>
      </c>
      <c r="M34" s="18">
        <f t="shared" si="10"/>
        <v>0</v>
      </c>
      <c r="N34" s="18">
        <f t="shared" si="11"/>
        <v>0</v>
      </c>
    </row>
    <row r="35" spans="1:14" x14ac:dyDescent="0.25">
      <c r="A35" s="26" t="str">
        <f t="shared" si="1"/>
        <v/>
      </c>
      <c r="B35" s="20" t="str">
        <f t="shared" si="12"/>
        <v/>
      </c>
      <c r="C35" s="27">
        <f t="shared" si="2"/>
        <v>0</v>
      </c>
      <c r="D35" s="27">
        <f t="shared" si="3"/>
        <v>0</v>
      </c>
      <c r="E35" s="27">
        <f t="shared" si="4"/>
        <v>0</v>
      </c>
      <c r="F35" s="27">
        <f t="shared" si="5"/>
        <v>0</v>
      </c>
      <c r="G35" s="27">
        <f t="shared" si="6"/>
        <v>0</v>
      </c>
      <c r="H35" s="27">
        <f t="shared" si="7"/>
        <v>0</v>
      </c>
      <c r="I35" s="27">
        <f t="shared" si="8"/>
        <v>0</v>
      </c>
      <c r="J35" s="27">
        <f>IFERROR('IOF 2'!L29+SC!$C$23/SC!$C$30*SC!F35,0)</f>
        <v>0</v>
      </c>
      <c r="K35" s="39">
        <f t="shared" si="9"/>
        <v>0</v>
      </c>
      <c r="L35" s="40">
        <f t="shared" si="0"/>
        <v>0</v>
      </c>
      <c r="M35" s="18">
        <f t="shared" si="10"/>
        <v>0</v>
      </c>
      <c r="N35" s="18">
        <f t="shared" si="11"/>
        <v>0</v>
      </c>
    </row>
    <row r="36" spans="1:14" x14ac:dyDescent="0.25">
      <c r="A36" s="26" t="str">
        <f t="shared" si="1"/>
        <v/>
      </c>
      <c r="B36" s="20" t="str">
        <f t="shared" si="12"/>
        <v/>
      </c>
      <c r="C36" s="27">
        <f t="shared" si="2"/>
        <v>0</v>
      </c>
      <c r="D36" s="27">
        <f t="shared" si="3"/>
        <v>0</v>
      </c>
      <c r="E36" s="27">
        <f t="shared" si="4"/>
        <v>0</v>
      </c>
      <c r="F36" s="27">
        <f t="shared" si="5"/>
        <v>0</v>
      </c>
      <c r="G36" s="27">
        <f t="shared" si="6"/>
        <v>0</v>
      </c>
      <c r="H36" s="27">
        <f t="shared" si="7"/>
        <v>0</v>
      </c>
      <c r="I36" s="27">
        <f t="shared" si="8"/>
        <v>0</v>
      </c>
      <c r="J36" s="27">
        <f>IFERROR('IOF 2'!L30+SC!$C$23/SC!$C$30*SC!F36,0)</f>
        <v>0</v>
      </c>
      <c r="K36" s="39">
        <f t="shared" si="9"/>
        <v>0</v>
      </c>
      <c r="L36" s="40">
        <f t="shared" si="0"/>
        <v>0</v>
      </c>
      <c r="M36" s="18">
        <f t="shared" si="10"/>
        <v>0</v>
      </c>
      <c r="N36" s="18">
        <f t="shared" si="11"/>
        <v>0</v>
      </c>
    </row>
    <row r="37" spans="1:14" x14ac:dyDescent="0.25">
      <c r="A37" s="26" t="str">
        <f t="shared" si="1"/>
        <v/>
      </c>
      <c r="B37" s="20" t="str">
        <f t="shared" si="12"/>
        <v/>
      </c>
      <c r="C37" s="27">
        <f t="shared" si="2"/>
        <v>0</v>
      </c>
      <c r="D37" s="27">
        <f t="shared" si="3"/>
        <v>0</v>
      </c>
      <c r="E37" s="27">
        <f t="shared" si="4"/>
        <v>0</v>
      </c>
      <c r="F37" s="27">
        <f t="shared" si="5"/>
        <v>0</v>
      </c>
      <c r="G37" s="27">
        <f t="shared" si="6"/>
        <v>0</v>
      </c>
      <c r="H37" s="27">
        <f t="shared" si="7"/>
        <v>0</v>
      </c>
      <c r="I37" s="27">
        <f t="shared" si="8"/>
        <v>0</v>
      </c>
      <c r="J37" s="27">
        <f>IFERROR('IOF 2'!L31+SC!$C$23/SC!$C$30*SC!F37,0)</f>
        <v>0</v>
      </c>
      <c r="K37" s="39">
        <f t="shared" si="9"/>
        <v>0</v>
      </c>
      <c r="L37" s="40">
        <f t="shared" si="0"/>
        <v>0</v>
      </c>
      <c r="M37" s="18">
        <f t="shared" si="10"/>
        <v>0</v>
      </c>
      <c r="N37" s="18">
        <f t="shared" si="11"/>
        <v>0</v>
      </c>
    </row>
    <row r="38" spans="1:14" x14ac:dyDescent="0.25">
      <c r="A38" s="26" t="str">
        <f t="shared" si="1"/>
        <v/>
      </c>
      <c r="B38" s="20" t="str">
        <f t="shared" si="12"/>
        <v/>
      </c>
      <c r="C38" s="27">
        <f t="shared" si="2"/>
        <v>0</v>
      </c>
      <c r="D38" s="27">
        <f t="shared" si="3"/>
        <v>0</v>
      </c>
      <c r="E38" s="27">
        <f t="shared" si="4"/>
        <v>0</v>
      </c>
      <c r="F38" s="27">
        <f t="shared" si="5"/>
        <v>0</v>
      </c>
      <c r="G38" s="27">
        <f t="shared" si="6"/>
        <v>0</v>
      </c>
      <c r="H38" s="27">
        <f t="shared" si="7"/>
        <v>0</v>
      </c>
      <c r="I38" s="27">
        <f t="shared" si="8"/>
        <v>0</v>
      </c>
      <c r="J38" s="27">
        <f>IFERROR('IOF 2'!L32+SC!$C$23/SC!$C$30*SC!F38,0)</f>
        <v>0</v>
      </c>
      <c r="K38" s="39">
        <f t="shared" si="9"/>
        <v>0</v>
      </c>
      <c r="L38" s="40">
        <f t="shared" si="0"/>
        <v>0</v>
      </c>
      <c r="M38" s="18">
        <f t="shared" si="10"/>
        <v>0</v>
      </c>
      <c r="N38" s="18">
        <f t="shared" si="11"/>
        <v>0</v>
      </c>
    </row>
    <row r="39" spans="1:14" x14ac:dyDescent="0.25">
      <c r="A39" s="26" t="str">
        <f t="shared" si="1"/>
        <v/>
      </c>
      <c r="B39" s="20" t="str">
        <f t="shared" si="12"/>
        <v/>
      </c>
      <c r="C39" s="27">
        <f t="shared" si="2"/>
        <v>0</v>
      </c>
      <c r="D39" s="27">
        <f t="shared" si="3"/>
        <v>0</v>
      </c>
      <c r="E39" s="27">
        <f t="shared" si="4"/>
        <v>0</v>
      </c>
      <c r="F39" s="27">
        <f t="shared" si="5"/>
        <v>0</v>
      </c>
      <c r="G39" s="27">
        <f t="shared" si="6"/>
        <v>0</v>
      </c>
      <c r="H39" s="27">
        <f t="shared" si="7"/>
        <v>0</v>
      </c>
      <c r="I39" s="27">
        <f t="shared" si="8"/>
        <v>0</v>
      </c>
      <c r="J39" s="27">
        <f>IFERROR('IOF 2'!L33+SC!$C$23/SC!$C$30*SC!F39,0)</f>
        <v>0</v>
      </c>
      <c r="K39" s="39">
        <f t="shared" si="9"/>
        <v>0</v>
      </c>
      <c r="L39" s="40">
        <f t="shared" si="0"/>
        <v>0</v>
      </c>
      <c r="M39" s="18">
        <f t="shared" si="10"/>
        <v>0</v>
      </c>
      <c r="N39" s="18">
        <f t="shared" si="11"/>
        <v>0</v>
      </c>
    </row>
    <row r="40" spans="1:14" x14ac:dyDescent="0.25">
      <c r="A40" s="26" t="str">
        <f t="shared" si="1"/>
        <v/>
      </c>
      <c r="B40" s="20" t="str">
        <f t="shared" si="12"/>
        <v/>
      </c>
      <c r="C40" s="27">
        <f t="shared" si="2"/>
        <v>0</v>
      </c>
      <c r="D40" s="27">
        <f t="shared" si="3"/>
        <v>0</v>
      </c>
      <c r="E40" s="27">
        <f t="shared" si="4"/>
        <v>0</v>
      </c>
      <c r="F40" s="27">
        <f t="shared" si="5"/>
        <v>0</v>
      </c>
      <c r="G40" s="27">
        <f t="shared" si="6"/>
        <v>0</v>
      </c>
      <c r="H40" s="27">
        <f t="shared" si="7"/>
        <v>0</v>
      </c>
      <c r="I40" s="27">
        <f t="shared" si="8"/>
        <v>0</v>
      </c>
      <c r="J40" s="27">
        <f>IFERROR('IOF 2'!L34+SC!$C$23/SC!$C$30*SC!F40,0)</f>
        <v>0</v>
      </c>
      <c r="K40" s="39">
        <f t="shared" si="9"/>
        <v>0</v>
      </c>
      <c r="L40" s="40">
        <f t="shared" si="0"/>
        <v>0</v>
      </c>
      <c r="M40" s="18">
        <f t="shared" si="10"/>
        <v>0</v>
      </c>
      <c r="N40" s="18">
        <f t="shared" si="11"/>
        <v>0</v>
      </c>
    </row>
    <row r="41" spans="1:14" x14ac:dyDescent="0.25">
      <c r="A41" s="26" t="str">
        <f t="shared" si="1"/>
        <v/>
      </c>
      <c r="B41" s="20" t="str">
        <f t="shared" si="12"/>
        <v/>
      </c>
      <c r="C41" s="27">
        <f t="shared" si="2"/>
        <v>0</v>
      </c>
      <c r="D41" s="27">
        <f t="shared" si="3"/>
        <v>0</v>
      </c>
      <c r="E41" s="27">
        <f t="shared" si="4"/>
        <v>0</v>
      </c>
      <c r="F41" s="27">
        <f t="shared" si="5"/>
        <v>0</v>
      </c>
      <c r="G41" s="27">
        <f t="shared" si="6"/>
        <v>0</v>
      </c>
      <c r="H41" s="27">
        <f t="shared" si="7"/>
        <v>0</v>
      </c>
      <c r="I41" s="27">
        <f t="shared" si="8"/>
        <v>0</v>
      </c>
      <c r="J41" s="27">
        <f>IFERROR('IOF 2'!L35+SC!$C$23/SC!$C$30*SC!F41,0)</f>
        <v>0</v>
      </c>
      <c r="K41" s="39">
        <f t="shared" si="9"/>
        <v>0</v>
      </c>
      <c r="L41" s="40">
        <f t="shared" si="0"/>
        <v>0</v>
      </c>
      <c r="M41" s="18">
        <f t="shared" si="10"/>
        <v>0</v>
      </c>
      <c r="N41" s="18">
        <f t="shared" si="11"/>
        <v>0</v>
      </c>
    </row>
    <row r="42" spans="1:14" x14ac:dyDescent="0.25">
      <c r="A42" s="26" t="str">
        <f t="shared" si="1"/>
        <v/>
      </c>
      <c r="B42" s="20" t="str">
        <f t="shared" si="12"/>
        <v/>
      </c>
      <c r="C42" s="27">
        <f t="shared" si="2"/>
        <v>0</v>
      </c>
      <c r="D42" s="27">
        <f t="shared" si="3"/>
        <v>0</v>
      </c>
      <c r="E42" s="27">
        <f t="shared" si="4"/>
        <v>0</v>
      </c>
      <c r="F42" s="27">
        <f t="shared" si="5"/>
        <v>0</v>
      </c>
      <c r="G42" s="27">
        <f t="shared" si="6"/>
        <v>0</v>
      </c>
      <c r="H42" s="27">
        <f t="shared" si="7"/>
        <v>0</v>
      </c>
      <c r="I42" s="27">
        <f t="shared" si="8"/>
        <v>0</v>
      </c>
      <c r="J42" s="27">
        <f>IFERROR('IOF 2'!L36+SC!$C$23/SC!$C$30*SC!F42,0)</f>
        <v>0</v>
      </c>
      <c r="K42" s="39">
        <f t="shared" si="9"/>
        <v>0</v>
      </c>
      <c r="L42" s="40">
        <f t="shared" si="0"/>
        <v>0</v>
      </c>
      <c r="M42" s="18">
        <f t="shared" si="10"/>
        <v>0</v>
      </c>
      <c r="N42" s="18">
        <f t="shared" si="11"/>
        <v>0</v>
      </c>
    </row>
    <row r="43" spans="1:14" x14ac:dyDescent="0.25">
      <c r="A43" s="26" t="str">
        <f t="shared" si="1"/>
        <v/>
      </c>
      <c r="B43" s="20" t="str">
        <f t="shared" si="12"/>
        <v/>
      </c>
      <c r="C43" s="27">
        <f t="shared" si="2"/>
        <v>0</v>
      </c>
      <c r="D43" s="27">
        <f t="shared" si="3"/>
        <v>0</v>
      </c>
      <c r="E43" s="27">
        <f t="shared" si="4"/>
        <v>0</v>
      </c>
      <c r="F43" s="27">
        <f t="shared" si="5"/>
        <v>0</v>
      </c>
      <c r="G43" s="27">
        <f t="shared" si="6"/>
        <v>0</v>
      </c>
      <c r="H43" s="27">
        <f t="shared" si="7"/>
        <v>0</v>
      </c>
      <c r="I43" s="27">
        <f t="shared" si="8"/>
        <v>0</v>
      </c>
      <c r="J43" s="27">
        <f>IFERROR('IOF 2'!L37+SC!$C$23/SC!$C$30*SC!F43,0)</f>
        <v>0</v>
      </c>
      <c r="K43" s="39">
        <f t="shared" si="9"/>
        <v>0</v>
      </c>
      <c r="L43" s="40">
        <f t="shared" si="0"/>
        <v>0</v>
      </c>
      <c r="M43" s="18">
        <f t="shared" si="10"/>
        <v>0</v>
      </c>
      <c r="N43" s="18">
        <f t="shared" si="11"/>
        <v>0</v>
      </c>
    </row>
    <row r="44" spans="1:14" x14ac:dyDescent="0.25">
      <c r="A44" s="26" t="str">
        <f t="shared" si="1"/>
        <v/>
      </c>
      <c r="B44" s="20" t="str">
        <f t="shared" si="12"/>
        <v/>
      </c>
      <c r="C44" s="27">
        <f t="shared" si="2"/>
        <v>0</v>
      </c>
      <c r="D44" s="27">
        <f t="shared" si="3"/>
        <v>0</v>
      </c>
      <c r="E44" s="27">
        <f t="shared" si="4"/>
        <v>0</v>
      </c>
      <c r="F44" s="27">
        <f t="shared" si="5"/>
        <v>0</v>
      </c>
      <c r="G44" s="27">
        <f t="shared" si="6"/>
        <v>0</v>
      </c>
      <c r="H44" s="27">
        <f t="shared" si="7"/>
        <v>0</v>
      </c>
      <c r="I44" s="27">
        <f t="shared" si="8"/>
        <v>0</v>
      </c>
      <c r="J44" s="27">
        <f>IFERROR('IOF 2'!L38+SC!$C$23/SC!$C$30*SC!F44,0)</f>
        <v>0</v>
      </c>
      <c r="K44" s="39">
        <f t="shared" si="9"/>
        <v>0</v>
      </c>
      <c r="L44" s="40">
        <f t="shared" si="0"/>
        <v>0</v>
      </c>
      <c r="M44" s="18">
        <f t="shared" si="10"/>
        <v>0</v>
      </c>
      <c r="N44" s="18">
        <f t="shared" si="11"/>
        <v>0</v>
      </c>
    </row>
    <row r="45" spans="1:14" x14ac:dyDescent="0.25">
      <c r="A45" s="26" t="str">
        <f t="shared" si="1"/>
        <v/>
      </c>
      <c r="B45" s="20" t="str">
        <f t="shared" si="12"/>
        <v/>
      </c>
      <c r="C45" s="27">
        <f t="shared" si="2"/>
        <v>0</v>
      </c>
      <c r="D45" s="27">
        <f t="shared" si="3"/>
        <v>0</v>
      </c>
      <c r="E45" s="27">
        <f t="shared" si="4"/>
        <v>0</v>
      </c>
      <c r="F45" s="27">
        <f t="shared" si="5"/>
        <v>0</v>
      </c>
      <c r="G45" s="27">
        <f t="shared" si="6"/>
        <v>0</v>
      </c>
      <c r="H45" s="27">
        <f t="shared" si="7"/>
        <v>0</v>
      </c>
      <c r="I45" s="27">
        <f t="shared" si="8"/>
        <v>0</v>
      </c>
      <c r="J45" s="27">
        <f>IFERROR('IOF 2'!L39+SC!$C$23/SC!$C$30*SC!F45,0)</f>
        <v>0</v>
      </c>
      <c r="K45" s="39">
        <f t="shared" si="9"/>
        <v>0</v>
      </c>
      <c r="L45" s="40">
        <f t="shared" si="0"/>
        <v>0</v>
      </c>
      <c r="M45" s="18">
        <f t="shared" si="10"/>
        <v>0</v>
      </c>
      <c r="N45" s="18">
        <f t="shared" si="11"/>
        <v>0</v>
      </c>
    </row>
    <row r="46" spans="1:14" x14ac:dyDescent="0.25">
      <c r="A46" s="26" t="str">
        <f t="shared" si="1"/>
        <v/>
      </c>
      <c r="B46" s="20" t="str">
        <f t="shared" si="12"/>
        <v/>
      </c>
      <c r="C46" s="27">
        <f t="shared" si="2"/>
        <v>0</v>
      </c>
      <c r="D46" s="27">
        <f t="shared" si="3"/>
        <v>0</v>
      </c>
      <c r="E46" s="27">
        <f t="shared" si="4"/>
        <v>0</v>
      </c>
      <c r="F46" s="27">
        <f t="shared" si="5"/>
        <v>0</v>
      </c>
      <c r="G46" s="27">
        <f t="shared" si="6"/>
        <v>0</v>
      </c>
      <c r="H46" s="27">
        <f t="shared" si="7"/>
        <v>0</v>
      </c>
      <c r="I46" s="27">
        <f t="shared" si="8"/>
        <v>0</v>
      </c>
      <c r="J46" s="27">
        <f>IFERROR('IOF 2'!L40+SC!$C$23/SC!$C$30*SC!F46,0)</f>
        <v>0</v>
      </c>
      <c r="K46" s="39">
        <f t="shared" si="9"/>
        <v>0</v>
      </c>
      <c r="L46" s="40">
        <f t="shared" si="0"/>
        <v>0</v>
      </c>
      <c r="M46" s="18">
        <f t="shared" si="10"/>
        <v>0</v>
      </c>
      <c r="N46" s="18">
        <f t="shared" si="11"/>
        <v>0</v>
      </c>
    </row>
    <row r="47" spans="1:14" x14ac:dyDescent="0.25">
      <c r="A47" s="26" t="str">
        <f t="shared" si="1"/>
        <v/>
      </c>
      <c r="B47" s="20" t="str">
        <f t="shared" si="12"/>
        <v/>
      </c>
      <c r="C47" s="27">
        <f t="shared" si="2"/>
        <v>0</v>
      </c>
      <c r="D47" s="27">
        <f t="shared" si="3"/>
        <v>0</v>
      </c>
      <c r="E47" s="27">
        <f t="shared" si="4"/>
        <v>0</v>
      </c>
      <c r="F47" s="27">
        <f t="shared" si="5"/>
        <v>0</v>
      </c>
      <c r="G47" s="27">
        <f t="shared" si="6"/>
        <v>0</v>
      </c>
      <c r="H47" s="27">
        <f t="shared" si="7"/>
        <v>0</v>
      </c>
      <c r="I47" s="27">
        <f t="shared" si="8"/>
        <v>0</v>
      </c>
      <c r="J47" s="27">
        <f>IFERROR('IOF 2'!L41+SC!$C$23/SC!$C$30*SC!F47,0)</f>
        <v>0</v>
      </c>
      <c r="K47" s="39">
        <f t="shared" si="9"/>
        <v>0</v>
      </c>
      <c r="L47" s="40">
        <f t="shared" si="0"/>
        <v>0</v>
      </c>
      <c r="M47" s="18">
        <f t="shared" si="10"/>
        <v>0</v>
      </c>
      <c r="N47" s="18">
        <f t="shared" si="11"/>
        <v>0</v>
      </c>
    </row>
    <row r="48" spans="1:14" x14ac:dyDescent="0.25">
      <c r="A48" s="26" t="str">
        <f t="shared" si="1"/>
        <v/>
      </c>
      <c r="B48" s="20" t="str">
        <f t="shared" si="12"/>
        <v/>
      </c>
      <c r="C48" s="27">
        <f t="shared" si="2"/>
        <v>0</v>
      </c>
      <c r="D48" s="27">
        <f t="shared" si="3"/>
        <v>0</v>
      </c>
      <c r="E48" s="27">
        <f t="shared" si="4"/>
        <v>0</v>
      </c>
      <c r="F48" s="27">
        <f t="shared" si="5"/>
        <v>0</v>
      </c>
      <c r="G48" s="27">
        <f t="shared" si="6"/>
        <v>0</v>
      </c>
      <c r="H48" s="27">
        <f t="shared" si="7"/>
        <v>0</v>
      </c>
      <c r="I48" s="27">
        <f t="shared" si="8"/>
        <v>0</v>
      </c>
      <c r="J48" s="27">
        <f>IFERROR('IOF 2'!L42+SC!$C$23/SC!$C$30*SC!F48,0)</f>
        <v>0</v>
      </c>
      <c r="K48" s="39">
        <f t="shared" si="9"/>
        <v>0</v>
      </c>
      <c r="L48" s="40">
        <f t="shared" si="0"/>
        <v>0</v>
      </c>
      <c r="M48" s="18">
        <f t="shared" si="10"/>
        <v>0</v>
      </c>
      <c r="N48" s="18">
        <f t="shared" si="11"/>
        <v>0</v>
      </c>
    </row>
    <row r="49" spans="1:14" x14ac:dyDescent="0.25">
      <c r="A49" s="26" t="str">
        <f t="shared" si="1"/>
        <v/>
      </c>
      <c r="B49" s="20" t="str">
        <f t="shared" si="12"/>
        <v/>
      </c>
      <c r="C49" s="27">
        <f t="shared" si="2"/>
        <v>0</v>
      </c>
      <c r="D49" s="27">
        <f t="shared" si="3"/>
        <v>0</v>
      </c>
      <c r="E49" s="27">
        <f t="shared" si="4"/>
        <v>0</v>
      </c>
      <c r="F49" s="27">
        <f t="shared" si="5"/>
        <v>0</v>
      </c>
      <c r="G49" s="27">
        <f t="shared" si="6"/>
        <v>0</v>
      </c>
      <c r="H49" s="27">
        <f t="shared" si="7"/>
        <v>0</v>
      </c>
      <c r="I49" s="27">
        <f t="shared" si="8"/>
        <v>0</v>
      </c>
      <c r="J49" s="27">
        <f>IFERROR('IOF 2'!L43+SC!$C$23/SC!$C$30*SC!F49,0)</f>
        <v>0</v>
      </c>
      <c r="K49" s="39">
        <f t="shared" si="9"/>
        <v>0</v>
      </c>
      <c r="L49" s="40">
        <f t="shared" si="0"/>
        <v>0</v>
      </c>
      <c r="M49" s="18">
        <f t="shared" si="10"/>
        <v>0</v>
      </c>
      <c r="N49" s="18">
        <f t="shared" si="11"/>
        <v>0</v>
      </c>
    </row>
    <row r="50" spans="1:14" x14ac:dyDescent="0.25">
      <c r="A50" s="26" t="str">
        <f t="shared" si="1"/>
        <v/>
      </c>
      <c r="B50" s="20" t="str">
        <f t="shared" si="12"/>
        <v/>
      </c>
      <c r="C50" s="27">
        <f t="shared" si="2"/>
        <v>0</v>
      </c>
      <c r="D50" s="27">
        <f t="shared" si="3"/>
        <v>0</v>
      </c>
      <c r="E50" s="27">
        <f t="shared" si="4"/>
        <v>0</v>
      </c>
      <c r="F50" s="27">
        <f t="shared" si="5"/>
        <v>0</v>
      </c>
      <c r="G50" s="27">
        <f t="shared" si="6"/>
        <v>0</v>
      </c>
      <c r="H50" s="27">
        <f t="shared" si="7"/>
        <v>0</v>
      </c>
      <c r="I50" s="27">
        <f t="shared" si="8"/>
        <v>0</v>
      </c>
      <c r="J50" s="27">
        <f>IFERROR('IOF 2'!L44+SC!$C$23/SC!$C$30*SC!F50,0)</f>
        <v>0</v>
      </c>
      <c r="K50" s="39">
        <f t="shared" si="9"/>
        <v>0</v>
      </c>
      <c r="L50" s="40">
        <f t="shared" si="0"/>
        <v>0</v>
      </c>
      <c r="M50" s="18">
        <f t="shared" si="10"/>
        <v>0</v>
      </c>
      <c r="N50" s="18">
        <f t="shared" si="11"/>
        <v>0</v>
      </c>
    </row>
    <row r="51" spans="1:14" x14ac:dyDescent="0.25">
      <c r="A51" s="26" t="str">
        <f t="shared" si="1"/>
        <v/>
      </c>
      <c r="B51" s="20" t="str">
        <f t="shared" si="12"/>
        <v/>
      </c>
      <c r="C51" s="27">
        <f t="shared" si="2"/>
        <v>0</v>
      </c>
      <c r="D51" s="27">
        <f t="shared" si="3"/>
        <v>0</v>
      </c>
      <c r="E51" s="27">
        <f t="shared" si="4"/>
        <v>0</v>
      </c>
      <c r="F51" s="27">
        <f t="shared" si="5"/>
        <v>0</v>
      </c>
      <c r="G51" s="27">
        <f t="shared" si="6"/>
        <v>0</v>
      </c>
      <c r="H51" s="27">
        <f t="shared" si="7"/>
        <v>0</v>
      </c>
      <c r="I51" s="27">
        <f t="shared" si="8"/>
        <v>0</v>
      </c>
      <c r="J51" s="27">
        <f>IFERROR('IOF 2'!L45+SC!$C$23/SC!$C$30*SC!F51,0)</f>
        <v>0</v>
      </c>
      <c r="K51" s="39">
        <f t="shared" si="9"/>
        <v>0</v>
      </c>
      <c r="L51" s="40">
        <f t="shared" si="0"/>
        <v>0</v>
      </c>
      <c r="M51" s="18">
        <f t="shared" si="10"/>
        <v>0</v>
      </c>
      <c r="N51" s="18">
        <f t="shared" si="11"/>
        <v>0</v>
      </c>
    </row>
    <row r="52" spans="1:14" x14ac:dyDescent="0.25">
      <c r="A52" s="26" t="str">
        <f t="shared" si="1"/>
        <v/>
      </c>
      <c r="B52" s="20" t="str">
        <f t="shared" si="12"/>
        <v/>
      </c>
      <c r="C52" s="27">
        <f t="shared" si="2"/>
        <v>0</v>
      </c>
      <c r="D52" s="27">
        <f t="shared" si="3"/>
        <v>0</v>
      </c>
      <c r="E52" s="27">
        <f t="shared" si="4"/>
        <v>0</v>
      </c>
      <c r="F52" s="27">
        <f t="shared" si="5"/>
        <v>0</v>
      </c>
      <c r="G52" s="27">
        <f t="shared" si="6"/>
        <v>0</v>
      </c>
      <c r="H52" s="27">
        <f t="shared" si="7"/>
        <v>0</v>
      </c>
      <c r="I52" s="27">
        <f t="shared" si="8"/>
        <v>0</v>
      </c>
      <c r="J52" s="27">
        <f>IFERROR('IOF 2'!L46+SC!$C$23/SC!$C$30*SC!F52,0)</f>
        <v>0</v>
      </c>
      <c r="K52" s="39">
        <f t="shared" si="9"/>
        <v>0</v>
      </c>
      <c r="L52" s="40">
        <f t="shared" si="0"/>
        <v>0</v>
      </c>
      <c r="M52" s="18">
        <f t="shared" si="10"/>
        <v>0</v>
      </c>
      <c r="N52" s="18">
        <f t="shared" si="11"/>
        <v>0</v>
      </c>
    </row>
    <row r="53" spans="1:14" x14ac:dyDescent="0.25">
      <c r="A53" s="26" t="str">
        <f t="shared" si="1"/>
        <v/>
      </c>
      <c r="B53" s="20" t="str">
        <f t="shared" si="12"/>
        <v/>
      </c>
      <c r="C53" s="27">
        <f t="shared" si="2"/>
        <v>0</v>
      </c>
      <c r="D53" s="27">
        <f t="shared" si="3"/>
        <v>0</v>
      </c>
      <c r="E53" s="27">
        <f t="shared" si="4"/>
        <v>0</v>
      </c>
      <c r="F53" s="27">
        <f t="shared" si="5"/>
        <v>0</v>
      </c>
      <c r="G53" s="27">
        <f t="shared" si="6"/>
        <v>0</v>
      </c>
      <c r="H53" s="27">
        <f t="shared" si="7"/>
        <v>0</v>
      </c>
      <c r="I53" s="27">
        <f t="shared" si="8"/>
        <v>0</v>
      </c>
      <c r="J53" s="27">
        <f>IFERROR('IOF 2'!L47+SC!$C$23/SC!$C$30*SC!F53,0)</f>
        <v>0</v>
      </c>
      <c r="K53" s="39">
        <f t="shared" si="9"/>
        <v>0</v>
      </c>
      <c r="L53" s="40">
        <f t="shared" si="0"/>
        <v>0</v>
      </c>
      <c r="M53" s="18">
        <f t="shared" si="10"/>
        <v>0</v>
      </c>
      <c r="N53" s="18">
        <f t="shared" si="11"/>
        <v>0</v>
      </c>
    </row>
    <row r="54" spans="1:14" x14ac:dyDescent="0.25">
      <c r="A54" s="26" t="str">
        <f t="shared" si="1"/>
        <v/>
      </c>
      <c r="B54" s="20" t="str">
        <f t="shared" si="12"/>
        <v/>
      </c>
      <c r="C54" s="27">
        <f t="shared" si="2"/>
        <v>0</v>
      </c>
      <c r="D54" s="27">
        <f t="shared" si="3"/>
        <v>0</v>
      </c>
      <c r="E54" s="27">
        <f t="shared" si="4"/>
        <v>0</v>
      </c>
      <c r="F54" s="27">
        <f t="shared" si="5"/>
        <v>0</v>
      </c>
      <c r="G54" s="27">
        <f t="shared" si="6"/>
        <v>0</v>
      </c>
      <c r="H54" s="27">
        <f t="shared" si="7"/>
        <v>0</v>
      </c>
      <c r="I54" s="27">
        <f t="shared" si="8"/>
        <v>0</v>
      </c>
      <c r="J54" s="27">
        <f>IFERROR('IOF 2'!L48+SC!$C$23/SC!$C$30*SC!F54,0)</f>
        <v>0</v>
      </c>
      <c r="K54" s="39">
        <f t="shared" si="9"/>
        <v>0</v>
      </c>
      <c r="L54" s="40">
        <f t="shared" si="0"/>
        <v>0</v>
      </c>
      <c r="M54" s="18">
        <f t="shared" si="10"/>
        <v>0</v>
      </c>
      <c r="N54" s="18">
        <f t="shared" si="11"/>
        <v>0</v>
      </c>
    </row>
    <row r="55" spans="1:14" x14ac:dyDescent="0.25">
      <c r="A55" s="26" t="str">
        <f t="shared" si="1"/>
        <v/>
      </c>
      <c r="B55" s="20" t="str">
        <f t="shared" si="12"/>
        <v/>
      </c>
      <c r="C55" s="27">
        <f t="shared" si="2"/>
        <v>0</v>
      </c>
      <c r="D55" s="27">
        <f t="shared" si="3"/>
        <v>0</v>
      </c>
      <c r="E55" s="27">
        <f t="shared" si="4"/>
        <v>0</v>
      </c>
      <c r="F55" s="27">
        <f t="shared" si="5"/>
        <v>0</v>
      </c>
      <c r="G55" s="27">
        <f t="shared" si="6"/>
        <v>0</v>
      </c>
      <c r="H55" s="27">
        <f t="shared" si="7"/>
        <v>0</v>
      </c>
      <c r="I55" s="27">
        <f t="shared" si="8"/>
        <v>0</v>
      </c>
      <c r="J55" s="27">
        <f>IFERROR('IOF 2'!L49+SC!$C$23/SC!$C$30*SC!F55,0)</f>
        <v>0</v>
      </c>
      <c r="K55" s="39">
        <f t="shared" si="9"/>
        <v>0</v>
      </c>
      <c r="L55" s="40">
        <f t="shared" si="0"/>
        <v>0</v>
      </c>
      <c r="M55" s="18">
        <f t="shared" si="10"/>
        <v>0</v>
      </c>
      <c r="N55" s="18">
        <f t="shared" si="11"/>
        <v>0</v>
      </c>
    </row>
    <row r="56" spans="1:14" x14ac:dyDescent="0.25">
      <c r="A56" s="26" t="str">
        <f t="shared" si="1"/>
        <v/>
      </c>
      <c r="B56" s="20" t="str">
        <f t="shared" si="12"/>
        <v/>
      </c>
      <c r="C56" s="27">
        <f t="shared" si="2"/>
        <v>0</v>
      </c>
      <c r="D56" s="27">
        <f t="shared" si="3"/>
        <v>0</v>
      </c>
      <c r="E56" s="27">
        <f t="shared" si="4"/>
        <v>0</v>
      </c>
      <c r="F56" s="27">
        <f t="shared" si="5"/>
        <v>0</v>
      </c>
      <c r="G56" s="27">
        <f t="shared" si="6"/>
        <v>0</v>
      </c>
      <c r="H56" s="27">
        <f t="shared" si="7"/>
        <v>0</v>
      </c>
      <c r="I56" s="27">
        <f t="shared" si="8"/>
        <v>0</v>
      </c>
      <c r="J56" s="27">
        <f>IFERROR('IOF 2'!L50+SC!$C$23/SC!$C$30*SC!F56,0)</f>
        <v>0</v>
      </c>
      <c r="K56" s="39">
        <f t="shared" si="9"/>
        <v>0</v>
      </c>
      <c r="L56" s="40">
        <f t="shared" si="0"/>
        <v>0</v>
      </c>
      <c r="M56" s="18">
        <f t="shared" si="10"/>
        <v>0</v>
      </c>
      <c r="N56" s="18">
        <f t="shared" si="11"/>
        <v>0</v>
      </c>
    </row>
    <row r="57" spans="1:14" x14ac:dyDescent="0.25">
      <c r="A57" s="26" t="str">
        <f t="shared" si="1"/>
        <v/>
      </c>
      <c r="B57" s="20" t="str">
        <f t="shared" si="12"/>
        <v/>
      </c>
      <c r="C57" s="27">
        <f t="shared" si="2"/>
        <v>0</v>
      </c>
      <c r="D57" s="27">
        <f t="shared" si="3"/>
        <v>0</v>
      </c>
      <c r="E57" s="27">
        <f t="shared" si="4"/>
        <v>0</v>
      </c>
      <c r="F57" s="27">
        <f t="shared" si="5"/>
        <v>0</v>
      </c>
      <c r="G57" s="27">
        <f t="shared" si="6"/>
        <v>0</v>
      </c>
      <c r="H57" s="27">
        <f t="shared" si="7"/>
        <v>0</v>
      </c>
      <c r="I57" s="27">
        <f t="shared" si="8"/>
        <v>0</v>
      </c>
      <c r="J57" s="27">
        <f>IFERROR('IOF 2'!L51+SC!$C$23/SC!$C$30*SC!F57,0)</f>
        <v>0</v>
      </c>
      <c r="K57" s="39">
        <f t="shared" si="9"/>
        <v>0</v>
      </c>
      <c r="L57" s="40">
        <f t="shared" si="0"/>
        <v>0</v>
      </c>
      <c r="M57" s="18">
        <f t="shared" si="10"/>
        <v>0</v>
      </c>
      <c r="N57" s="18">
        <f t="shared" si="11"/>
        <v>0</v>
      </c>
    </row>
    <row r="58" spans="1:14" x14ac:dyDescent="0.25">
      <c r="A58" s="26" t="str">
        <f t="shared" si="1"/>
        <v/>
      </c>
      <c r="B58" s="20" t="str">
        <f t="shared" si="12"/>
        <v/>
      </c>
      <c r="C58" s="27">
        <f t="shared" si="2"/>
        <v>0</v>
      </c>
      <c r="D58" s="27">
        <f t="shared" si="3"/>
        <v>0</v>
      </c>
      <c r="E58" s="27">
        <f t="shared" si="4"/>
        <v>0</v>
      </c>
      <c r="F58" s="27">
        <f t="shared" si="5"/>
        <v>0</v>
      </c>
      <c r="G58" s="27">
        <f t="shared" si="6"/>
        <v>0</v>
      </c>
      <c r="H58" s="27">
        <f t="shared" si="7"/>
        <v>0</v>
      </c>
      <c r="I58" s="27">
        <f t="shared" si="8"/>
        <v>0</v>
      </c>
      <c r="J58" s="27">
        <f>IFERROR('IOF 2'!L52+SC!$C$23/SC!$C$30*SC!F58,0)</f>
        <v>0</v>
      </c>
      <c r="K58" s="39">
        <f t="shared" si="9"/>
        <v>0</v>
      </c>
      <c r="L58" s="40">
        <f t="shared" si="0"/>
        <v>0</v>
      </c>
      <c r="M58" s="18">
        <f t="shared" si="10"/>
        <v>0</v>
      </c>
      <c r="N58" s="18">
        <f t="shared" si="11"/>
        <v>0</v>
      </c>
    </row>
    <row r="59" spans="1:14" x14ac:dyDescent="0.25">
      <c r="A59" s="26" t="str">
        <f t="shared" si="1"/>
        <v/>
      </c>
      <c r="B59" s="20" t="str">
        <f t="shared" si="12"/>
        <v/>
      </c>
      <c r="C59" s="27">
        <f t="shared" si="2"/>
        <v>0</v>
      </c>
      <c r="D59" s="27">
        <f t="shared" si="3"/>
        <v>0</v>
      </c>
      <c r="E59" s="27">
        <f t="shared" si="4"/>
        <v>0</v>
      </c>
      <c r="F59" s="27">
        <f t="shared" si="5"/>
        <v>0</v>
      </c>
      <c r="G59" s="27">
        <f t="shared" si="6"/>
        <v>0</v>
      </c>
      <c r="H59" s="27">
        <f t="shared" si="7"/>
        <v>0</v>
      </c>
      <c r="I59" s="27">
        <f t="shared" si="8"/>
        <v>0</v>
      </c>
      <c r="J59" s="27">
        <f>IFERROR('IOF 2'!L53+SC!$C$23/SC!$C$30*SC!F59,0)</f>
        <v>0</v>
      </c>
      <c r="K59" s="39">
        <f t="shared" si="9"/>
        <v>0</v>
      </c>
      <c r="L59" s="40">
        <f t="shared" si="0"/>
        <v>0</v>
      </c>
      <c r="M59" s="18">
        <f t="shared" si="10"/>
        <v>0</v>
      </c>
      <c r="N59" s="18">
        <f t="shared" si="11"/>
        <v>0</v>
      </c>
    </row>
    <row r="60" spans="1:14" x14ac:dyDescent="0.25">
      <c r="A60" s="26" t="str">
        <f t="shared" si="1"/>
        <v/>
      </c>
      <c r="B60" s="20" t="str">
        <f t="shared" si="12"/>
        <v/>
      </c>
      <c r="C60" s="27">
        <f t="shared" si="2"/>
        <v>0</v>
      </c>
      <c r="D60" s="27">
        <f t="shared" si="3"/>
        <v>0</v>
      </c>
      <c r="E60" s="27">
        <f t="shared" si="4"/>
        <v>0</v>
      </c>
      <c r="F60" s="27">
        <f t="shared" si="5"/>
        <v>0</v>
      </c>
      <c r="G60" s="27">
        <f t="shared" si="6"/>
        <v>0</v>
      </c>
      <c r="H60" s="27">
        <f t="shared" si="7"/>
        <v>0</v>
      </c>
      <c r="I60" s="27">
        <f t="shared" si="8"/>
        <v>0</v>
      </c>
      <c r="J60" s="27">
        <f>IFERROR('IOF 2'!L54+SC!$C$23/SC!$C$30*SC!F60,0)</f>
        <v>0</v>
      </c>
      <c r="K60" s="39">
        <f t="shared" si="9"/>
        <v>0</v>
      </c>
      <c r="L60" s="40">
        <f t="shared" si="0"/>
        <v>0</v>
      </c>
      <c r="M60" s="18">
        <f t="shared" si="10"/>
        <v>0</v>
      </c>
      <c r="N60" s="18">
        <f t="shared" si="11"/>
        <v>0</v>
      </c>
    </row>
    <row r="61" spans="1:14" x14ac:dyDescent="0.25">
      <c r="A61" s="26" t="str">
        <f t="shared" si="1"/>
        <v/>
      </c>
      <c r="B61" s="20" t="str">
        <f t="shared" si="12"/>
        <v/>
      </c>
      <c r="C61" s="27">
        <f t="shared" si="2"/>
        <v>0</v>
      </c>
      <c r="D61" s="27">
        <f t="shared" si="3"/>
        <v>0</v>
      </c>
      <c r="E61" s="27">
        <f t="shared" si="4"/>
        <v>0</v>
      </c>
      <c r="F61" s="27">
        <f t="shared" si="5"/>
        <v>0</v>
      </c>
      <c r="G61" s="27">
        <f t="shared" si="6"/>
        <v>0</v>
      </c>
      <c r="H61" s="27">
        <f t="shared" si="7"/>
        <v>0</v>
      </c>
      <c r="I61" s="27">
        <f t="shared" si="8"/>
        <v>0</v>
      </c>
      <c r="J61" s="27">
        <f>IFERROR('IOF 2'!L55+SC!$C$23/SC!$C$30*SC!F61,0)</f>
        <v>0</v>
      </c>
      <c r="K61" s="39">
        <f t="shared" si="9"/>
        <v>0</v>
      </c>
      <c r="L61" s="40">
        <f t="shared" si="0"/>
        <v>0</v>
      </c>
      <c r="M61" s="18">
        <f t="shared" si="10"/>
        <v>0</v>
      </c>
      <c r="N61" s="18">
        <f t="shared" si="11"/>
        <v>0</v>
      </c>
    </row>
    <row r="62" spans="1:14" x14ac:dyDescent="0.25">
      <c r="A62" s="26" t="str">
        <f t="shared" si="1"/>
        <v/>
      </c>
      <c r="B62" s="20" t="str">
        <f t="shared" si="12"/>
        <v/>
      </c>
      <c r="C62" s="27">
        <f t="shared" si="2"/>
        <v>0</v>
      </c>
      <c r="D62" s="27">
        <f t="shared" si="3"/>
        <v>0</v>
      </c>
      <c r="E62" s="27">
        <f t="shared" si="4"/>
        <v>0</v>
      </c>
      <c r="F62" s="27">
        <f t="shared" si="5"/>
        <v>0</v>
      </c>
      <c r="G62" s="27">
        <f t="shared" si="6"/>
        <v>0</v>
      </c>
      <c r="H62" s="27">
        <f t="shared" si="7"/>
        <v>0</v>
      </c>
      <c r="I62" s="27">
        <f t="shared" si="8"/>
        <v>0</v>
      </c>
      <c r="J62" s="27">
        <f>IFERROR('IOF 2'!L56+SC!$C$23/SC!$C$30*SC!F62,0)</f>
        <v>0</v>
      </c>
      <c r="K62" s="39">
        <f t="shared" si="9"/>
        <v>0</v>
      </c>
      <c r="L62" s="40">
        <f t="shared" si="0"/>
        <v>0</v>
      </c>
      <c r="M62" s="18">
        <f t="shared" si="10"/>
        <v>0</v>
      </c>
      <c r="N62" s="18">
        <f t="shared" si="11"/>
        <v>0</v>
      </c>
    </row>
    <row r="63" spans="1:14" x14ac:dyDescent="0.25">
      <c r="A63" s="26" t="str">
        <f t="shared" si="1"/>
        <v/>
      </c>
      <c r="B63" s="20" t="str">
        <f t="shared" si="12"/>
        <v/>
      </c>
      <c r="C63" s="27">
        <f t="shared" si="2"/>
        <v>0</v>
      </c>
      <c r="D63" s="27">
        <f t="shared" si="3"/>
        <v>0</v>
      </c>
      <c r="E63" s="27">
        <f t="shared" si="4"/>
        <v>0</v>
      </c>
      <c r="F63" s="27">
        <f t="shared" si="5"/>
        <v>0</v>
      </c>
      <c r="G63" s="27">
        <f t="shared" si="6"/>
        <v>0</v>
      </c>
      <c r="H63" s="27">
        <f t="shared" si="7"/>
        <v>0</v>
      </c>
      <c r="I63" s="27">
        <f t="shared" si="8"/>
        <v>0</v>
      </c>
      <c r="J63" s="27">
        <f>IFERROR('IOF 2'!L57+SC!$C$23/SC!$C$30*SC!F63,0)</f>
        <v>0</v>
      </c>
      <c r="K63" s="39">
        <f t="shared" si="9"/>
        <v>0</v>
      </c>
      <c r="L63" s="40">
        <f t="shared" ref="L63:L94" si="13">IF(A63="",0,ROUND(1/((1+$C$11)^((B63-$B$30)/30)),8))</f>
        <v>0</v>
      </c>
      <c r="M63" s="18">
        <f t="shared" si="10"/>
        <v>0</v>
      </c>
      <c r="N63" s="18">
        <f t="shared" si="11"/>
        <v>0</v>
      </c>
    </row>
    <row r="64" spans="1:14" x14ac:dyDescent="0.25">
      <c r="A64" s="26" t="str">
        <f t="shared" si="1"/>
        <v/>
      </c>
      <c r="B64" s="20" t="str">
        <f t="shared" si="12"/>
        <v/>
      </c>
      <c r="C64" s="27">
        <f t="shared" si="2"/>
        <v>0</v>
      </c>
      <c r="D64" s="27">
        <f t="shared" si="3"/>
        <v>0</v>
      </c>
      <c r="E64" s="27">
        <f t="shared" si="4"/>
        <v>0</v>
      </c>
      <c r="F64" s="27">
        <f t="shared" si="5"/>
        <v>0</v>
      </c>
      <c r="G64" s="27">
        <f t="shared" si="6"/>
        <v>0</v>
      </c>
      <c r="H64" s="27">
        <f t="shared" si="7"/>
        <v>0</v>
      </c>
      <c r="I64" s="27">
        <f t="shared" si="8"/>
        <v>0</v>
      </c>
      <c r="J64" s="27">
        <f>IFERROR('IOF 2'!L58+SC!$C$23/SC!$C$30*SC!F64,0)</f>
        <v>0</v>
      </c>
      <c r="K64" s="39">
        <f t="shared" si="9"/>
        <v>0</v>
      </c>
      <c r="L64" s="40">
        <f t="shared" si="13"/>
        <v>0</v>
      </c>
      <c r="M64" s="18">
        <f t="shared" si="10"/>
        <v>0</v>
      </c>
      <c r="N64" s="18">
        <f t="shared" si="11"/>
        <v>0</v>
      </c>
    </row>
    <row r="65" spans="1:14" x14ac:dyDescent="0.25">
      <c r="A65" s="26" t="str">
        <f t="shared" si="1"/>
        <v/>
      </c>
      <c r="B65" s="20" t="str">
        <f t="shared" si="12"/>
        <v/>
      </c>
      <c r="C65" s="27">
        <f t="shared" si="2"/>
        <v>0</v>
      </c>
      <c r="D65" s="27">
        <f t="shared" si="3"/>
        <v>0</v>
      </c>
      <c r="E65" s="27">
        <f t="shared" si="4"/>
        <v>0</v>
      </c>
      <c r="F65" s="27">
        <f t="shared" si="5"/>
        <v>0</v>
      </c>
      <c r="G65" s="27">
        <f t="shared" si="6"/>
        <v>0</v>
      </c>
      <c r="H65" s="27">
        <f t="shared" si="7"/>
        <v>0</v>
      </c>
      <c r="I65" s="27">
        <f t="shared" si="8"/>
        <v>0</v>
      </c>
      <c r="J65" s="27">
        <f>IFERROR('IOF 2'!L59+SC!$C$23/SC!$C$30*SC!F65,0)</f>
        <v>0</v>
      </c>
      <c r="K65" s="39">
        <f t="shared" si="9"/>
        <v>0</v>
      </c>
      <c r="L65" s="40">
        <f t="shared" si="13"/>
        <v>0</v>
      </c>
      <c r="M65" s="18">
        <f t="shared" si="10"/>
        <v>0</v>
      </c>
      <c r="N65" s="18">
        <f t="shared" si="11"/>
        <v>0</v>
      </c>
    </row>
    <row r="66" spans="1:14" x14ac:dyDescent="0.25">
      <c r="A66" s="26" t="str">
        <f t="shared" si="1"/>
        <v/>
      </c>
      <c r="B66" s="20" t="str">
        <f t="shared" si="12"/>
        <v/>
      </c>
      <c r="C66" s="27">
        <f t="shared" si="2"/>
        <v>0</v>
      </c>
      <c r="D66" s="27">
        <f t="shared" si="3"/>
        <v>0</v>
      </c>
      <c r="E66" s="27">
        <f t="shared" si="4"/>
        <v>0</v>
      </c>
      <c r="F66" s="27">
        <f t="shared" si="5"/>
        <v>0</v>
      </c>
      <c r="G66" s="27">
        <f t="shared" si="6"/>
        <v>0</v>
      </c>
      <c r="H66" s="27">
        <f t="shared" si="7"/>
        <v>0</v>
      </c>
      <c r="I66" s="27">
        <f t="shared" si="8"/>
        <v>0</v>
      </c>
      <c r="J66" s="27">
        <f>IFERROR('IOF 2'!L60+SC!$C$23/SC!$C$30*SC!F66,0)</f>
        <v>0</v>
      </c>
      <c r="K66" s="39">
        <f t="shared" si="9"/>
        <v>0</v>
      </c>
      <c r="L66" s="40">
        <f t="shared" si="13"/>
        <v>0</v>
      </c>
      <c r="M66" s="18">
        <f t="shared" si="10"/>
        <v>0</v>
      </c>
      <c r="N66" s="18">
        <f t="shared" si="11"/>
        <v>0</v>
      </c>
    </row>
    <row r="67" spans="1:14" x14ac:dyDescent="0.25">
      <c r="A67" s="26" t="str">
        <f t="shared" si="1"/>
        <v/>
      </c>
      <c r="B67" s="20" t="str">
        <f t="shared" si="12"/>
        <v/>
      </c>
      <c r="C67" s="27">
        <f t="shared" si="2"/>
        <v>0</v>
      </c>
      <c r="D67" s="27">
        <f t="shared" si="3"/>
        <v>0</v>
      </c>
      <c r="E67" s="27">
        <f t="shared" si="4"/>
        <v>0</v>
      </c>
      <c r="F67" s="27">
        <f t="shared" si="5"/>
        <v>0</v>
      </c>
      <c r="G67" s="27">
        <f t="shared" si="6"/>
        <v>0</v>
      </c>
      <c r="H67" s="27">
        <f t="shared" si="7"/>
        <v>0</v>
      </c>
      <c r="I67" s="27">
        <f t="shared" si="8"/>
        <v>0</v>
      </c>
      <c r="J67" s="27">
        <f>IFERROR('IOF 2'!L61+SC!$C$23/SC!$C$30*SC!F67,0)</f>
        <v>0</v>
      </c>
      <c r="K67" s="39">
        <f t="shared" si="9"/>
        <v>0</v>
      </c>
      <c r="L67" s="40">
        <f t="shared" si="13"/>
        <v>0</v>
      </c>
      <c r="M67" s="18">
        <f t="shared" si="10"/>
        <v>0</v>
      </c>
      <c r="N67" s="18">
        <f t="shared" si="11"/>
        <v>0</v>
      </c>
    </row>
    <row r="68" spans="1:14" x14ac:dyDescent="0.25">
      <c r="A68" s="26" t="str">
        <f t="shared" si="1"/>
        <v/>
      </c>
      <c r="B68" s="20" t="str">
        <f t="shared" si="12"/>
        <v/>
      </c>
      <c r="C68" s="27">
        <f t="shared" si="2"/>
        <v>0</v>
      </c>
      <c r="D68" s="27">
        <f t="shared" si="3"/>
        <v>0</v>
      </c>
      <c r="E68" s="27">
        <f t="shared" si="4"/>
        <v>0</v>
      </c>
      <c r="F68" s="27">
        <f t="shared" si="5"/>
        <v>0</v>
      </c>
      <c r="G68" s="27">
        <f t="shared" si="6"/>
        <v>0</v>
      </c>
      <c r="H68" s="27">
        <f t="shared" si="7"/>
        <v>0</v>
      </c>
      <c r="I68" s="27">
        <f t="shared" si="8"/>
        <v>0</v>
      </c>
      <c r="J68" s="27">
        <f>IFERROR('IOF 2'!L62+SC!$C$23/SC!$C$30*SC!F68,0)</f>
        <v>0</v>
      </c>
      <c r="K68" s="39">
        <f t="shared" si="9"/>
        <v>0</v>
      </c>
      <c r="L68" s="40">
        <f t="shared" si="13"/>
        <v>0</v>
      </c>
      <c r="M68" s="18">
        <f t="shared" si="10"/>
        <v>0</v>
      </c>
      <c r="N68" s="18">
        <f t="shared" si="11"/>
        <v>0</v>
      </c>
    </row>
    <row r="69" spans="1:14" x14ac:dyDescent="0.25">
      <c r="A69" s="26" t="str">
        <f t="shared" si="1"/>
        <v/>
      </c>
      <c r="B69" s="20" t="str">
        <f t="shared" si="12"/>
        <v/>
      </c>
      <c r="C69" s="27">
        <f t="shared" si="2"/>
        <v>0</v>
      </c>
      <c r="D69" s="27">
        <f t="shared" si="3"/>
        <v>0</v>
      </c>
      <c r="E69" s="27">
        <f t="shared" si="4"/>
        <v>0</v>
      </c>
      <c r="F69" s="27">
        <f t="shared" si="5"/>
        <v>0</v>
      </c>
      <c r="G69" s="27">
        <f t="shared" si="6"/>
        <v>0</v>
      </c>
      <c r="H69" s="27">
        <f t="shared" si="7"/>
        <v>0</v>
      </c>
      <c r="I69" s="27">
        <f t="shared" si="8"/>
        <v>0</v>
      </c>
      <c r="J69" s="27">
        <f>IFERROR('IOF 2'!L63+SC!$C$23/SC!$C$30*SC!F69,0)</f>
        <v>0</v>
      </c>
      <c r="K69" s="39">
        <f t="shared" si="9"/>
        <v>0</v>
      </c>
      <c r="L69" s="40">
        <f t="shared" si="13"/>
        <v>0</v>
      </c>
      <c r="M69" s="18">
        <f t="shared" si="10"/>
        <v>0</v>
      </c>
      <c r="N69" s="18">
        <f t="shared" si="11"/>
        <v>0</v>
      </c>
    </row>
    <row r="70" spans="1:14" x14ac:dyDescent="0.25">
      <c r="A70" s="26" t="str">
        <f t="shared" si="1"/>
        <v/>
      </c>
      <c r="B70" s="20" t="str">
        <f t="shared" si="12"/>
        <v/>
      </c>
      <c r="C70" s="27">
        <f t="shared" si="2"/>
        <v>0</v>
      </c>
      <c r="D70" s="27">
        <f t="shared" si="3"/>
        <v>0</v>
      </c>
      <c r="E70" s="27">
        <f t="shared" si="4"/>
        <v>0</v>
      </c>
      <c r="F70" s="27">
        <f t="shared" si="5"/>
        <v>0</v>
      </c>
      <c r="G70" s="27">
        <f t="shared" si="6"/>
        <v>0</v>
      </c>
      <c r="H70" s="27">
        <f t="shared" si="7"/>
        <v>0</v>
      </c>
      <c r="I70" s="27">
        <f t="shared" si="8"/>
        <v>0</v>
      </c>
      <c r="J70" s="27">
        <f>IFERROR('IOF 2'!L64+SC!$C$23/SC!$C$30*SC!F70,0)</f>
        <v>0</v>
      </c>
      <c r="K70" s="39">
        <f t="shared" si="9"/>
        <v>0</v>
      </c>
      <c r="L70" s="40">
        <f t="shared" si="13"/>
        <v>0</v>
      </c>
      <c r="M70" s="18">
        <f t="shared" si="10"/>
        <v>0</v>
      </c>
      <c r="N70" s="18">
        <f t="shared" si="11"/>
        <v>0</v>
      </c>
    </row>
    <row r="71" spans="1:14" x14ac:dyDescent="0.25">
      <c r="A71" s="26" t="str">
        <f t="shared" si="1"/>
        <v/>
      </c>
      <c r="B71" s="20" t="str">
        <f t="shared" si="12"/>
        <v/>
      </c>
      <c r="C71" s="27">
        <f t="shared" si="2"/>
        <v>0</v>
      </c>
      <c r="D71" s="27">
        <f t="shared" si="3"/>
        <v>0</v>
      </c>
      <c r="E71" s="27">
        <f t="shared" si="4"/>
        <v>0</v>
      </c>
      <c r="F71" s="27">
        <f t="shared" si="5"/>
        <v>0</v>
      </c>
      <c r="G71" s="27">
        <f t="shared" si="6"/>
        <v>0</v>
      </c>
      <c r="H71" s="27">
        <f t="shared" si="7"/>
        <v>0</v>
      </c>
      <c r="I71" s="27">
        <f t="shared" si="8"/>
        <v>0</v>
      </c>
      <c r="J71" s="27">
        <f>IFERROR('IOF 2'!L65+SC!$C$23/SC!$C$30*SC!F71,0)</f>
        <v>0</v>
      </c>
      <c r="K71" s="39">
        <f t="shared" si="9"/>
        <v>0</v>
      </c>
      <c r="L71" s="40">
        <f t="shared" si="13"/>
        <v>0</v>
      </c>
      <c r="M71" s="18">
        <f t="shared" si="10"/>
        <v>0</v>
      </c>
      <c r="N71" s="18">
        <f t="shared" si="11"/>
        <v>0</v>
      </c>
    </row>
    <row r="72" spans="1:14" x14ac:dyDescent="0.25">
      <c r="A72" s="26" t="str">
        <f t="shared" si="1"/>
        <v/>
      </c>
      <c r="B72" s="20" t="str">
        <f t="shared" si="12"/>
        <v/>
      </c>
      <c r="C72" s="27">
        <f t="shared" si="2"/>
        <v>0</v>
      </c>
      <c r="D72" s="27">
        <f t="shared" si="3"/>
        <v>0</v>
      </c>
      <c r="E72" s="27">
        <f t="shared" si="4"/>
        <v>0</v>
      </c>
      <c r="F72" s="27">
        <f t="shared" si="5"/>
        <v>0</v>
      </c>
      <c r="G72" s="27">
        <f t="shared" si="6"/>
        <v>0</v>
      </c>
      <c r="H72" s="27">
        <f t="shared" si="7"/>
        <v>0</v>
      </c>
      <c r="I72" s="27">
        <f t="shared" si="8"/>
        <v>0</v>
      </c>
      <c r="J72" s="27">
        <f>IFERROR('IOF 2'!L66+SC!$C$23/SC!$C$30*SC!F72,0)</f>
        <v>0</v>
      </c>
      <c r="K72" s="39">
        <f t="shared" si="9"/>
        <v>0</v>
      </c>
      <c r="L72" s="40">
        <f t="shared" si="13"/>
        <v>0</v>
      </c>
      <c r="M72" s="18">
        <f t="shared" si="10"/>
        <v>0</v>
      </c>
      <c r="N72" s="18">
        <f t="shared" si="11"/>
        <v>0</v>
      </c>
    </row>
    <row r="73" spans="1:14" x14ac:dyDescent="0.25">
      <c r="A73" s="26" t="str">
        <f t="shared" si="1"/>
        <v/>
      </c>
      <c r="B73" s="20" t="str">
        <f t="shared" si="12"/>
        <v/>
      </c>
      <c r="C73" s="27">
        <f t="shared" si="2"/>
        <v>0</v>
      </c>
      <c r="D73" s="27">
        <f t="shared" si="3"/>
        <v>0</v>
      </c>
      <c r="E73" s="27">
        <f t="shared" si="4"/>
        <v>0</v>
      </c>
      <c r="F73" s="27">
        <f t="shared" si="5"/>
        <v>0</v>
      </c>
      <c r="G73" s="27">
        <f t="shared" si="6"/>
        <v>0</v>
      </c>
      <c r="H73" s="27">
        <f t="shared" si="7"/>
        <v>0</v>
      </c>
      <c r="I73" s="27">
        <f t="shared" si="8"/>
        <v>0</v>
      </c>
      <c r="J73" s="27">
        <f>IFERROR('IOF 2'!L67+SC!$C$23/SC!$C$30*SC!F73,0)</f>
        <v>0</v>
      </c>
      <c r="K73" s="39">
        <f t="shared" si="9"/>
        <v>0</v>
      </c>
      <c r="L73" s="40">
        <f t="shared" si="13"/>
        <v>0</v>
      </c>
      <c r="M73" s="18">
        <f t="shared" si="10"/>
        <v>0</v>
      </c>
      <c r="N73" s="18">
        <f t="shared" si="11"/>
        <v>0</v>
      </c>
    </row>
    <row r="74" spans="1:14" x14ac:dyDescent="0.25">
      <c r="A74" s="26" t="str">
        <f t="shared" si="1"/>
        <v/>
      </c>
      <c r="B74" s="20" t="str">
        <f t="shared" si="12"/>
        <v/>
      </c>
      <c r="C74" s="27">
        <f t="shared" si="2"/>
        <v>0</v>
      </c>
      <c r="D74" s="27">
        <f t="shared" si="3"/>
        <v>0</v>
      </c>
      <c r="E74" s="27">
        <f t="shared" si="4"/>
        <v>0</v>
      </c>
      <c r="F74" s="27">
        <f t="shared" si="5"/>
        <v>0</v>
      </c>
      <c r="G74" s="27">
        <f t="shared" si="6"/>
        <v>0</v>
      </c>
      <c r="H74" s="27">
        <f t="shared" si="7"/>
        <v>0</v>
      </c>
      <c r="I74" s="27">
        <f t="shared" si="8"/>
        <v>0</v>
      </c>
      <c r="J74" s="27">
        <f>IFERROR('IOF 2'!L68+SC!$C$23/SC!$C$30*SC!F74,0)</f>
        <v>0</v>
      </c>
      <c r="K74" s="39">
        <f t="shared" si="9"/>
        <v>0</v>
      </c>
      <c r="L74" s="40">
        <f t="shared" si="13"/>
        <v>0</v>
      </c>
      <c r="M74" s="18">
        <f t="shared" si="10"/>
        <v>0</v>
      </c>
      <c r="N74" s="18">
        <f t="shared" si="11"/>
        <v>0</v>
      </c>
    </row>
    <row r="75" spans="1:14" x14ac:dyDescent="0.25">
      <c r="A75" s="26" t="str">
        <f t="shared" si="1"/>
        <v/>
      </c>
      <c r="B75" s="20" t="str">
        <f t="shared" si="12"/>
        <v/>
      </c>
      <c r="C75" s="27">
        <f t="shared" si="2"/>
        <v>0</v>
      </c>
      <c r="D75" s="27">
        <f t="shared" si="3"/>
        <v>0</v>
      </c>
      <c r="E75" s="27">
        <f t="shared" si="4"/>
        <v>0</v>
      </c>
      <c r="F75" s="27">
        <f t="shared" si="5"/>
        <v>0</v>
      </c>
      <c r="G75" s="27">
        <f t="shared" si="6"/>
        <v>0</v>
      </c>
      <c r="H75" s="27">
        <f t="shared" si="7"/>
        <v>0</v>
      </c>
      <c r="I75" s="27">
        <f t="shared" si="8"/>
        <v>0</v>
      </c>
      <c r="J75" s="27">
        <f>IFERROR('IOF 2'!L69+SC!$C$23/SC!$C$30*SC!F75,0)</f>
        <v>0</v>
      </c>
      <c r="K75" s="39">
        <f t="shared" si="9"/>
        <v>0</v>
      </c>
      <c r="L75" s="40">
        <f t="shared" si="13"/>
        <v>0</v>
      </c>
      <c r="M75" s="18">
        <f t="shared" si="10"/>
        <v>0</v>
      </c>
      <c r="N75" s="18">
        <f t="shared" si="11"/>
        <v>0</v>
      </c>
    </row>
    <row r="76" spans="1:14" x14ac:dyDescent="0.25">
      <c r="A76" s="26" t="str">
        <f t="shared" si="1"/>
        <v/>
      </c>
      <c r="B76" s="20" t="str">
        <f t="shared" si="12"/>
        <v/>
      </c>
      <c r="C76" s="27">
        <f t="shared" si="2"/>
        <v>0</v>
      </c>
      <c r="D76" s="27">
        <f t="shared" si="3"/>
        <v>0</v>
      </c>
      <c r="E76" s="27">
        <f t="shared" si="4"/>
        <v>0</v>
      </c>
      <c r="F76" s="27">
        <f t="shared" si="5"/>
        <v>0</v>
      </c>
      <c r="G76" s="27">
        <f t="shared" si="6"/>
        <v>0</v>
      </c>
      <c r="H76" s="27">
        <f t="shared" si="7"/>
        <v>0</v>
      </c>
      <c r="I76" s="27">
        <f t="shared" si="8"/>
        <v>0</v>
      </c>
      <c r="J76" s="27">
        <f>IFERROR('IOF 2'!L70+SC!$C$23/SC!$C$30*SC!F76,0)</f>
        <v>0</v>
      </c>
      <c r="K76" s="39">
        <f t="shared" si="9"/>
        <v>0</v>
      </c>
      <c r="L76" s="40">
        <f t="shared" si="13"/>
        <v>0</v>
      </c>
      <c r="M76" s="18">
        <f t="shared" si="10"/>
        <v>0</v>
      </c>
      <c r="N76" s="18">
        <f t="shared" si="11"/>
        <v>0</v>
      </c>
    </row>
    <row r="77" spans="1:14" x14ac:dyDescent="0.25">
      <c r="A77" s="26" t="str">
        <f t="shared" si="1"/>
        <v/>
      </c>
      <c r="B77" s="20" t="str">
        <f t="shared" si="12"/>
        <v/>
      </c>
      <c r="C77" s="27">
        <f t="shared" si="2"/>
        <v>0</v>
      </c>
      <c r="D77" s="27">
        <f t="shared" si="3"/>
        <v>0</v>
      </c>
      <c r="E77" s="27">
        <f t="shared" si="4"/>
        <v>0</v>
      </c>
      <c r="F77" s="27">
        <f t="shared" si="5"/>
        <v>0</v>
      </c>
      <c r="G77" s="27">
        <f t="shared" si="6"/>
        <v>0</v>
      </c>
      <c r="H77" s="27">
        <f t="shared" si="7"/>
        <v>0</v>
      </c>
      <c r="I77" s="27">
        <f t="shared" si="8"/>
        <v>0</v>
      </c>
      <c r="J77" s="27">
        <f>IFERROR('IOF 2'!L71+SC!$C$23/SC!$C$30*SC!F77,0)</f>
        <v>0</v>
      </c>
      <c r="K77" s="39">
        <f t="shared" si="9"/>
        <v>0</v>
      </c>
      <c r="L77" s="40">
        <f t="shared" si="13"/>
        <v>0</v>
      </c>
      <c r="M77" s="18">
        <f t="shared" si="10"/>
        <v>0</v>
      </c>
      <c r="N77" s="18">
        <f t="shared" si="11"/>
        <v>0</v>
      </c>
    </row>
    <row r="78" spans="1:14" x14ac:dyDescent="0.25">
      <c r="A78" s="26" t="str">
        <f t="shared" si="1"/>
        <v/>
      </c>
      <c r="B78" s="20" t="str">
        <f t="shared" si="12"/>
        <v/>
      </c>
      <c r="C78" s="27">
        <f t="shared" si="2"/>
        <v>0</v>
      </c>
      <c r="D78" s="27">
        <f t="shared" si="3"/>
        <v>0</v>
      </c>
      <c r="E78" s="27">
        <f t="shared" si="4"/>
        <v>0</v>
      </c>
      <c r="F78" s="27">
        <f t="shared" si="5"/>
        <v>0</v>
      </c>
      <c r="G78" s="27">
        <f t="shared" si="6"/>
        <v>0</v>
      </c>
      <c r="H78" s="27">
        <f t="shared" si="7"/>
        <v>0</v>
      </c>
      <c r="I78" s="27">
        <f t="shared" si="8"/>
        <v>0</v>
      </c>
      <c r="J78" s="27">
        <f>IFERROR('IOF 2'!L72+SC!$C$23/SC!$C$30*SC!F78,0)</f>
        <v>0</v>
      </c>
      <c r="K78" s="39">
        <f t="shared" si="9"/>
        <v>0</v>
      </c>
      <c r="L78" s="40">
        <f t="shared" si="13"/>
        <v>0</v>
      </c>
      <c r="M78" s="18">
        <f t="shared" si="10"/>
        <v>0</v>
      </c>
      <c r="N78" s="18">
        <f t="shared" si="11"/>
        <v>0</v>
      </c>
    </row>
    <row r="79" spans="1:14" x14ac:dyDescent="0.25">
      <c r="A79" s="26" t="str">
        <f t="shared" si="1"/>
        <v/>
      </c>
      <c r="B79" s="20" t="str">
        <f t="shared" si="12"/>
        <v/>
      </c>
      <c r="C79" s="27">
        <f t="shared" si="2"/>
        <v>0</v>
      </c>
      <c r="D79" s="27">
        <f t="shared" si="3"/>
        <v>0</v>
      </c>
      <c r="E79" s="27">
        <f t="shared" si="4"/>
        <v>0</v>
      </c>
      <c r="F79" s="27">
        <f t="shared" si="5"/>
        <v>0</v>
      </c>
      <c r="G79" s="27">
        <f t="shared" si="6"/>
        <v>0</v>
      </c>
      <c r="H79" s="27">
        <f t="shared" si="7"/>
        <v>0</v>
      </c>
      <c r="I79" s="27">
        <f t="shared" si="8"/>
        <v>0</v>
      </c>
      <c r="J79" s="27">
        <f>IFERROR('IOF 2'!L73+SC!$C$23/SC!$C$30*SC!F79,0)</f>
        <v>0</v>
      </c>
      <c r="K79" s="39">
        <f t="shared" si="9"/>
        <v>0</v>
      </c>
      <c r="L79" s="40">
        <f t="shared" si="13"/>
        <v>0</v>
      </c>
      <c r="M79" s="18">
        <f t="shared" si="10"/>
        <v>0</v>
      </c>
      <c r="N79" s="18">
        <f t="shared" si="11"/>
        <v>0</v>
      </c>
    </row>
    <row r="80" spans="1:14" x14ac:dyDescent="0.25">
      <c r="A80" s="26" t="str">
        <f t="shared" si="1"/>
        <v/>
      </c>
      <c r="B80" s="20" t="str">
        <f t="shared" si="12"/>
        <v/>
      </c>
      <c r="C80" s="27">
        <f t="shared" si="2"/>
        <v>0</v>
      </c>
      <c r="D80" s="27">
        <f t="shared" si="3"/>
        <v>0</v>
      </c>
      <c r="E80" s="27">
        <f t="shared" si="4"/>
        <v>0</v>
      </c>
      <c r="F80" s="27">
        <f t="shared" si="5"/>
        <v>0</v>
      </c>
      <c r="G80" s="27">
        <f t="shared" si="6"/>
        <v>0</v>
      </c>
      <c r="H80" s="27">
        <f t="shared" si="7"/>
        <v>0</v>
      </c>
      <c r="I80" s="27">
        <f t="shared" si="8"/>
        <v>0</v>
      </c>
      <c r="J80" s="27">
        <f>IFERROR('IOF 2'!L74+SC!$C$23/SC!$C$30*SC!F80,0)</f>
        <v>0</v>
      </c>
      <c r="K80" s="39">
        <f t="shared" si="9"/>
        <v>0</v>
      </c>
      <c r="L80" s="40">
        <f t="shared" si="13"/>
        <v>0</v>
      </c>
      <c r="M80" s="18">
        <f t="shared" si="10"/>
        <v>0</v>
      </c>
      <c r="N80" s="18">
        <f t="shared" si="11"/>
        <v>0</v>
      </c>
    </row>
    <row r="81" spans="1:14" x14ac:dyDescent="0.25">
      <c r="A81" s="26" t="str">
        <f t="shared" si="1"/>
        <v/>
      </c>
      <c r="B81" s="20" t="str">
        <f t="shared" si="12"/>
        <v/>
      </c>
      <c r="C81" s="27">
        <f t="shared" si="2"/>
        <v>0</v>
      </c>
      <c r="D81" s="27">
        <f t="shared" si="3"/>
        <v>0</v>
      </c>
      <c r="E81" s="27">
        <f t="shared" si="4"/>
        <v>0</v>
      </c>
      <c r="F81" s="27">
        <f t="shared" si="5"/>
        <v>0</v>
      </c>
      <c r="G81" s="27">
        <f t="shared" si="6"/>
        <v>0</v>
      </c>
      <c r="H81" s="27">
        <f t="shared" si="7"/>
        <v>0</v>
      </c>
      <c r="I81" s="27">
        <f t="shared" si="8"/>
        <v>0</v>
      </c>
      <c r="J81" s="27">
        <f>IFERROR('IOF 2'!L75+SC!$C$23/SC!$C$30*SC!F81,0)</f>
        <v>0</v>
      </c>
      <c r="K81" s="39">
        <f t="shared" si="9"/>
        <v>0</v>
      </c>
      <c r="L81" s="40">
        <f t="shared" si="13"/>
        <v>0</v>
      </c>
      <c r="M81" s="18">
        <f t="shared" si="10"/>
        <v>0</v>
      </c>
      <c r="N81" s="18">
        <f t="shared" si="11"/>
        <v>0</v>
      </c>
    </row>
    <row r="82" spans="1:14" x14ac:dyDescent="0.25">
      <c r="A82" s="26" t="str">
        <f t="shared" si="1"/>
        <v/>
      </c>
      <c r="B82" s="20" t="str">
        <f t="shared" si="12"/>
        <v/>
      </c>
      <c r="C82" s="27">
        <f t="shared" si="2"/>
        <v>0</v>
      </c>
      <c r="D82" s="27">
        <f t="shared" si="3"/>
        <v>0</v>
      </c>
      <c r="E82" s="27">
        <f t="shared" si="4"/>
        <v>0</v>
      </c>
      <c r="F82" s="27">
        <f t="shared" si="5"/>
        <v>0</v>
      </c>
      <c r="G82" s="27">
        <f t="shared" si="6"/>
        <v>0</v>
      </c>
      <c r="H82" s="27">
        <f t="shared" si="7"/>
        <v>0</v>
      </c>
      <c r="I82" s="27">
        <f t="shared" si="8"/>
        <v>0</v>
      </c>
      <c r="J82" s="27">
        <f>IFERROR('IOF 2'!L76+SC!$C$23/SC!$C$30*SC!F82,0)</f>
        <v>0</v>
      </c>
      <c r="K82" s="39">
        <f t="shared" si="9"/>
        <v>0</v>
      </c>
      <c r="L82" s="40">
        <f t="shared" si="13"/>
        <v>0</v>
      </c>
      <c r="M82" s="18">
        <f t="shared" si="10"/>
        <v>0</v>
      </c>
      <c r="N82" s="18">
        <f t="shared" si="11"/>
        <v>0</v>
      </c>
    </row>
    <row r="83" spans="1:14" x14ac:dyDescent="0.25">
      <c r="A83" s="26" t="str">
        <f t="shared" si="1"/>
        <v/>
      </c>
      <c r="B83" s="20" t="str">
        <f t="shared" si="12"/>
        <v/>
      </c>
      <c r="C83" s="27">
        <f t="shared" si="2"/>
        <v>0</v>
      </c>
      <c r="D83" s="27">
        <f t="shared" si="3"/>
        <v>0</v>
      </c>
      <c r="E83" s="27">
        <f t="shared" si="4"/>
        <v>0</v>
      </c>
      <c r="F83" s="27">
        <f t="shared" si="5"/>
        <v>0</v>
      </c>
      <c r="G83" s="27">
        <f t="shared" si="6"/>
        <v>0</v>
      </c>
      <c r="H83" s="27">
        <f t="shared" si="7"/>
        <v>0</v>
      </c>
      <c r="I83" s="27">
        <f t="shared" si="8"/>
        <v>0</v>
      </c>
      <c r="J83" s="27">
        <f>IFERROR('IOF 2'!L77+SC!$C$23/SC!$C$30*SC!F83,0)</f>
        <v>0</v>
      </c>
      <c r="K83" s="39">
        <f t="shared" si="9"/>
        <v>0</v>
      </c>
      <c r="L83" s="40">
        <f t="shared" si="13"/>
        <v>0</v>
      </c>
      <c r="M83" s="18">
        <f t="shared" si="10"/>
        <v>0</v>
      </c>
      <c r="N83" s="18">
        <f t="shared" si="11"/>
        <v>0</v>
      </c>
    </row>
    <row r="84" spans="1:14" x14ac:dyDescent="0.25">
      <c r="A84" s="26" t="str">
        <f t="shared" si="1"/>
        <v/>
      </c>
      <c r="B84" s="20" t="str">
        <f t="shared" si="12"/>
        <v/>
      </c>
      <c r="C84" s="27">
        <f t="shared" si="2"/>
        <v>0</v>
      </c>
      <c r="D84" s="27">
        <f t="shared" si="3"/>
        <v>0</v>
      </c>
      <c r="E84" s="27">
        <f t="shared" si="4"/>
        <v>0</v>
      </c>
      <c r="F84" s="27">
        <f t="shared" si="5"/>
        <v>0</v>
      </c>
      <c r="G84" s="27">
        <f t="shared" si="6"/>
        <v>0</v>
      </c>
      <c r="H84" s="27">
        <f t="shared" si="7"/>
        <v>0</v>
      </c>
      <c r="I84" s="27">
        <f t="shared" si="8"/>
        <v>0</v>
      </c>
      <c r="J84" s="27">
        <f>IFERROR('IOF 2'!L78+SC!$C$23/SC!$C$30*SC!F84,0)</f>
        <v>0</v>
      </c>
      <c r="K84" s="39">
        <f t="shared" si="9"/>
        <v>0</v>
      </c>
      <c r="L84" s="40">
        <f t="shared" si="13"/>
        <v>0</v>
      </c>
      <c r="M84" s="18">
        <f t="shared" si="10"/>
        <v>0</v>
      </c>
      <c r="N84" s="18">
        <f t="shared" si="11"/>
        <v>0</v>
      </c>
    </row>
    <row r="85" spans="1:14" x14ac:dyDescent="0.25">
      <c r="A85" s="26" t="str">
        <f t="shared" si="1"/>
        <v/>
      </c>
      <c r="B85" s="20" t="str">
        <f t="shared" si="12"/>
        <v/>
      </c>
      <c r="C85" s="27">
        <f t="shared" si="2"/>
        <v>0</v>
      </c>
      <c r="D85" s="27">
        <f t="shared" si="3"/>
        <v>0</v>
      </c>
      <c r="E85" s="27">
        <f t="shared" si="4"/>
        <v>0</v>
      </c>
      <c r="F85" s="27">
        <f t="shared" si="5"/>
        <v>0</v>
      </c>
      <c r="G85" s="27">
        <f t="shared" si="6"/>
        <v>0</v>
      </c>
      <c r="H85" s="27">
        <f t="shared" si="7"/>
        <v>0</v>
      </c>
      <c r="I85" s="27">
        <f t="shared" si="8"/>
        <v>0</v>
      </c>
      <c r="J85" s="27">
        <f>IFERROR('IOF 2'!L79+SC!$C$23/SC!$C$30*SC!F85,0)</f>
        <v>0</v>
      </c>
      <c r="K85" s="39">
        <f t="shared" si="9"/>
        <v>0</v>
      </c>
      <c r="L85" s="40">
        <f t="shared" si="13"/>
        <v>0</v>
      </c>
      <c r="M85" s="18">
        <f t="shared" si="10"/>
        <v>0</v>
      </c>
      <c r="N85" s="18">
        <f t="shared" si="11"/>
        <v>0</v>
      </c>
    </row>
    <row r="86" spans="1:14" x14ac:dyDescent="0.25">
      <c r="A86" s="26" t="str">
        <f t="shared" si="1"/>
        <v/>
      </c>
      <c r="B86" s="20" t="str">
        <f t="shared" si="12"/>
        <v/>
      </c>
      <c r="C86" s="27">
        <f t="shared" si="2"/>
        <v>0</v>
      </c>
      <c r="D86" s="27">
        <f t="shared" si="3"/>
        <v>0</v>
      </c>
      <c r="E86" s="27">
        <f t="shared" si="4"/>
        <v>0</v>
      </c>
      <c r="F86" s="27">
        <f t="shared" si="5"/>
        <v>0</v>
      </c>
      <c r="G86" s="27">
        <f t="shared" si="6"/>
        <v>0</v>
      </c>
      <c r="H86" s="27">
        <f t="shared" si="7"/>
        <v>0</v>
      </c>
      <c r="I86" s="27">
        <f t="shared" si="8"/>
        <v>0</v>
      </c>
      <c r="J86" s="27">
        <f>IFERROR('IOF 2'!L80+SC!$C$23/SC!$C$30*SC!F86,0)</f>
        <v>0</v>
      </c>
      <c r="K86" s="39">
        <f t="shared" si="9"/>
        <v>0</v>
      </c>
      <c r="L86" s="40">
        <f t="shared" si="13"/>
        <v>0</v>
      </c>
      <c r="M86" s="18">
        <f t="shared" si="10"/>
        <v>0</v>
      </c>
      <c r="N86" s="18">
        <f t="shared" si="11"/>
        <v>0</v>
      </c>
    </row>
    <row r="87" spans="1:14" x14ac:dyDescent="0.25">
      <c r="A87" s="26" t="str">
        <f t="shared" si="1"/>
        <v/>
      </c>
      <c r="B87" s="20" t="str">
        <f t="shared" si="12"/>
        <v/>
      </c>
      <c r="C87" s="27">
        <f t="shared" si="2"/>
        <v>0</v>
      </c>
      <c r="D87" s="27">
        <f t="shared" si="3"/>
        <v>0</v>
      </c>
      <c r="E87" s="27">
        <f t="shared" si="4"/>
        <v>0</v>
      </c>
      <c r="F87" s="27">
        <f t="shared" si="5"/>
        <v>0</v>
      </c>
      <c r="G87" s="27">
        <f t="shared" si="6"/>
        <v>0</v>
      </c>
      <c r="H87" s="27">
        <f t="shared" si="7"/>
        <v>0</v>
      </c>
      <c r="I87" s="27">
        <f t="shared" si="8"/>
        <v>0</v>
      </c>
      <c r="J87" s="27">
        <f>IFERROR('IOF 2'!L81+SC!$C$23/SC!$C$30*SC!F87,0)</f>
        <v>0</v>
      </c>
      <c r="K87" s="39">
        <f t="shared" si="9"/>
        <v>0</v>
      </c>
      <c r="L87" s="40">
        <f t="shared" si="13"/>
        <v>0</v>
      </c>
      <c r="M87" s="18">
        <f t="shared" si="10"/>
        <v>0</v>
      </c>
      <c r="N87" s="18">
        <f t="shared" si="11"/>
        <v>0</v>
      </c>
    </row>
    <row r="88" spans="1:14" x14ac:dyDescent="0.25">
      <c r="A88" s="26" t="str">
        <f t="shared" si="1"/>
        <v/>
      </c>
      <c r="B88" s="20" t="str">
        <f t="shared" si="12"/>
        <v/>
      </c>
      <c r="C88" s="27">
        <f t="shared" si="2"/>
        <v>0</v>
      </c>
      <c r="D88" s="27">
        <f t="shared" si="3"/>
        <v>0</v>
      </c>
      <c r="E88" s="27">
        <f t="shared" si="4"/>
        <v>0</v>
      </c>
      <c r="F88" s="27">
        <f t="shared" si="5"/>
        <v>0</v>
      </c>
      <c r="G88" s="27">
        <f t="shared" si="6"/>
        <v>0</v>
      </c>
      <c r="H88" s="27">
        <f t="shared" si="7"/>
        <v>0</v>
      </c>
      <c r="I88" s="27">
        <f t="shared" si="8"/>
        <v>0</v>
      </c>
      <c r="J88" s="27">
        <f>IFERROR('IOF 2'!L82+SC!$C$23/SC!$C$30*SC!F88,0)</f>
        <v>0</v>
      </c>
      <c r="K88" s="39">
        <f t="shared" si="9"/>
        <v>0</v>
      </c>
      <c r="L88" s="40">
        <f t="shared" si="13"/>
        <v>0</v>
      </c>
      <c r="M88" s="18">
        <f t="shared" si="10"/>
        <v>0</v>
      </c>
      <c r="N88" s="18">
        <f t="shared" si="11"/>
        <v>0</v>
      </c>
    </row>
    <row r="89" spans="1:14" x14ac:dyDescent="0.25">
      <c r="A89" s="26" t="str">
        <f t="shared" si="1"/>
        <v/>
      </c>
      <c r="B89" s="20" t="str">
        <f t="shared" si="12"/>
        <v/>
      </c>
      <c r="C89" s="27">
        <f t="shared" si="2"/>
        <v>0</v>
      </c>
      <c r="D89" s="27">
        <f t="shared" si="3"/>
        <v>0</v>
      </c>
      <c r="E89" s="27">
        <f t="shared" si="4"/>
        <v>0</v>
      </c>
      <c r="F89" s="27">
        <f t="shared" si="5"/>
        <v>0</v>
      </c>
      <c r="G89" s="27">
        <f t="shared" si="6"/>
        <v>0</v>
      </c>
      <c r="H89" s="27">
        <f t="shared" si="7"/>
        <v>0</v>
      </c>
      <c r="I89" s="27">
        <f t="shared" si="8"/>
        <v>0</v>
      </c>
      <c r="J89" s="27">
        <f>IFERROR('IOF 2'!L83+SC!$C$23/SC!$C$30*SC!F89,0)</f>
        <v>0</v>
      </c>
      <c r="K89" s="39">
        <f t="shared" si="9"/>
        <v>0</v>
      </c>
      <c r="L89" s="40">
        <f t="shared" si="13"/>
        <v>0</v>
      </c>
      <c r="M89" s="18">
        <f t="shared" si="10"/>
        <v>0</v>
      </c>
      <c r="N89" s="18">
        <f t="shared" si="11"/>
        <v>0</v>
      </c>
    </row>
    <row r="90" spans="1:14" x14ac:dyDescent="0.25">
      <c r="A90" s="26" t="str">
        <f t="shared" si="1"/>
        <v/>
      </c>
      <c r="B90" s="20" t="str">
        <f t="shared" si="12"/>
        <v/>
      </c>
      <c r="C90" s="27">
        <f t="shared" si="2"/>
        <v>0</v>
      </c>
      <c r="D90" s="27">
        <f t="shared" si="3"/>
        <v>0</v>
      </c>
      <c r="E90" s="27">
        <f t="shared" si="4"/>
        <v>0</v>
      </c>
      <c r="F90" s="27">
        <f t="shared" si="5"/>
        <v>0</v>
      </c>
      <c r="G90" s="27">
        <f t="shared" si="6"/>
        <v>0</v>
      </c>
      <c r="H90" s="27">
        <f t="shared" si="7"/>
        <v>0</v>
      </c>
      <c r="I90" s="27">
        <f t="shared" si="8"/>
        <v>0</v>
      </c>
      <c r="J90" s="27">
        <f>IFERROR('IOF 2'!L84+SC!$C$23/SC!$C$30*SC!F90,0)</f>
        <v>0</v>
      </c>
      <c r="K90" s="39">
        <f t="shared" si="9"/>
        <v>0</v>
      </c>
      <c r="L90" s="40">
        <f t="shared" si="13"/>
        <v>0</v>
      </c>
      <c r="M90" s="18">
        <f t="shared" si="10"/>
        <v>0</v>
      </c>
      <c r="N90" s="18">
        <f t="shared" si="11"/>
        <v>0</v>
      </c>
    </row>
    <row r="91" spans="1:14" x14ac:dyDescent="0.25">
      <c r="A91" s="26" t="str">
        <f t="shared" si="1"/>
        <v/>
      </c>
      <c r="B91" s="20" t="str">
        <f t="shared" si="12"/>
        <v/>
      </c>
      <c r="C91" s="27">
        <f t="shared" si="2"/>
        <v>0</v>
      </c>
      <c r="D91" s="27">
        <f t="shared" si="3"/>
        <v>0</v>
      </c>
      <c r="E91" s="27">
        <f t="shared" si="4"/>
        <v>0</v>
      </c>
      <c r="F91" s="27">
        <f t="shared" si="5"/>
        <v>0</v>
      </c>
      <c r="G91" s="27">
        <f t="shared" si="6"/>
        <v>0</v>
      </c>
      <c r="H91" s="27">
        <f t="shared" si="7"/>
        <v>0</v>
      </c>
      <c r="I91" s="27">
        <f t="shared" si="8"/>
        <v>0</v>
      </c>
      <c r="J91" s="27">
        <f>IFERROR('IOF 2'!L85+SC!$C$23/SC!$C$30*SC!F91,0)</f>
        <v>0</v>
      </c>
      <c r="K91" s="39">
        <f t="shared" si="9"/>
        <v>0</v>
      </c>
      <c r="L91" s="40">
        <f t="shared" si="13"/>
        <v>0</v>
      </c>
      <c r="M91" s="18">
        <f t="shared" si="10"/>
        <v>0</v>
      </c>
      <c r="N91" s="18">
        <f t="shared" si="11"/>
        <v>0</v>
      </c>
    </row>
    <row r="92" spans="1:14" x14ac:dyDescent="0.25">
      <c r="A92" s="26" t="str">
        <f t="shared" si="1"/>
        <v/>
      </c>
      <c r="B92" s="20" t="str">
        <f t="shared" si="12"/>
        <v/>
      </c>
      <c r="C92" s="27">
        <f t="shared" si="2"/>
        <v>0</v>
      </c>
      <c r="D92" s="27">
        <f t="shared" si="3"/>
        <v>0</v>
      </c>
      <c r="E92" s="27">
        <f t="shared" si="4"/>
        <v>0</v>
      </c>
      <c r="F92" s="27">
        <f t="shared" si="5"/>
        <v>0</v>
      </c>
      <c r="G92" s="27">
        <f t="shared" si="6"/>
        <v>0</v>
      </c>
      <c r="H92" s="27">
        <f t="shared" si="7"/>
        <v>0</v>
      </c>
      <c r="I92" s="27">
        <f t="shared" si="8"/>
        <v>0</v>
      </c>
      <c r="J92" s="27">
        <f>IFERROR('IOF 2'!L86+SC!$C$23/SC!$C$30*SC!F92,0)</f>
        <v>0</v>
      </c>
      <c r="K92" s="39">
        <f t="shared" si="9"/>
        <v>0</v>
      </c>
      <c r="L92" s="40">
        <f t="shared" si="13"/>
        <v>0</v>
      </c>
      <c r="M92" s="18">
        <f t="shared" si="10"/>
        <v>0</v>
      </c>
      <c r="N92" s="18">
        <f t="shared" si="11"/>
        <v>0</v>
      </c>
    </row>
    <row r="93" spans="1:14" x14ac:dyDescent="0.25">
      <c r="A93" s="26" t="str">
        <f t="shared" si="1"/>
        <v/>
      </c>
      <c r="B93" s="20" t="str">
        <f t="shared" si="12"/>
        <v/>
      </c>
      <c r="C93" s="27">
        <f t="shared" si="2"/>
        <v>0</v>
      </c>
      <c r="D93" s="27">
        <f t="shared" si="3"/>
        <v>0</v>
      </c>
      <c r="E93" s="27">
        <f t="shared" si="4"/>
        <v>0</v>
      </c>
      <c r="F93" s="27">
        <f t="shared" si="5"/>
        <v>0</v>
      </c>
      <c r="G93" s="27">
        <f t="shared" si="6"/>
        <v>0</v>
      </c>
      <c r="H93" s="27">
        <f t="shared" si="7"/>
        <v>0</v>
      </c>
      <c r="I93" s="27">
        <f t="shared" si="8"/>
        <v>0</v>
      </c>
      <c r="J93" s="27">
        <f>IFERROR('IOF 2'!L87+SC!$C$23/SC!$C$30*SC!F93,0)</f>
        <v>0</v>
      </c>
      <c r="K93" s="39">
        <f t="shared" si="9"/>
        <v>0</v>
      </c>
      <c r="L93" s="40">
        <f t="shared" si="13"/>
        <v>0</v>
      </c>
      <c r="M93" s="18">
        <f t="shared" si="10"/>
        <v>0</v>
      </c>
      <c r="N93" s="18">
        <f t="shared" si="11"/>
        <v>0</v>
      </c>
    </row>
    <row r="94" spans="1:14" x14ac:dyDescent="0.25">
      <c r="A94" s="26" t="str">
        <f t="shared" si="1"/>
        <v/>
      </c>
      <c r="B94" s="20" t="str">
        <f t="shared" si="12"/>
        <v/>
      </c>
      <c r="C94" s="27">
        <f t="shared" si="2"/>
        <v>0</v>
      </c>
      <c r="D94" s="27">
        <f t="shared" si="3"/>
        <v>0</v>
      </c>
      <c r="E94" s="27">
        <f t="shared" si="4"/>
        <v>0</v>
      </c>
      <c r="F94" s="27">
        <f t="shared" si="5"/>
        <v>0</v>
      </c>
      <c r="G94" s="27">
        <f t="shared" si="6"/>
        <v>0</v>
      </c>
      <c r="H94" s="27">
        <f t="shared" si="7"/>
        <v>0</v>
      </c>
      <c r="I94" s="27">
        <f t="shared" si="8"/>
        <v>0</v>
      </c>
      <c r="J94" s="27">
        <f>IFERROR('IOF 2'!L88+SC!$C$23/SC!$C$30*SC!F94,0)</f>
        <v>0</v>
      </c>
      <c r="K94" s="39">
        <f t="shared" si="9"/>
        <v>0</v>
      </c>
      <c r="L94" s="40">
        <f t="shared" si="13"/>
        <v>0</v>
      </c>
      <c r="M94" s="18">
        <f t="shared" si="10"/>
        <v>0</v>
      </c>
      <c r="N94" s="18">
        <f t="shared" si="11"/>
        <v>0</v>
      </c>
    </row>
    <row r="95" spans="1:14" x14ac:dyDescent="0.25">
      <c r="A95" s="26" t="str">
        <f t="shared" si="1"/>
        <v/>
      </c>
      <c r="B95" s="20" t="str">
        <f t="shared" si="12"/>
        <v/>
      </c>
      <c r="C95" s="27">
        <f t="shared" si="2"/>
        <v>0</v>
      </c>
      <c r="D95" s="27">
        <f t="shared" si="3"/>
        <v>0</v>
      </c>
      <c r="E95" s="27">
        <f t="shared" si="4"/>
        <v>0</v>
      </c>
      <c r="F95" s="27">
        <f t="shared" si="5"/>
        <v>0</v>
      </c>
      <c r="G95" s="27">
        <f t="shared" si="6"/>
        <v>0</v>
      </c>
      <c r="H95" s="27">
        <f t="shared" si="7"/>
        <v>0</v>
      </c>
      <c r="I95" s="27">
        <f t="shared" si="8"/>
        <v>0</v>
      </c>
      <c r="J95" s="27">
        <f>IFERROR('IOF 2'!L89+SC!$C$23/SC!$C$30*SC!F95,0)</f>
        <v>0</v>
      </c>
      <c r="K95" s="39">
        <f t="shared" si="9"/>
        <v>0</v>
      </c>
      <c r="L95" s="40">
        <f t="shared" ref="L95:L102" si="14">IF(A95="",0,ROUND(1/((1+$C$11)^((B95-$B$30)/30)),8))</f>
        <v>0</v>
      </c>
      <c r="M95" s="18">
        <f t="shared" si="10"/>
        <v>0</v>
      </c>
      <c r="N95" s="18">
        <f t="shared" si="11"/>
        <v>0</v>
      </c>
    </row>
    <row r="96" spans="1:14" x14ac:dyDescent="0.25">
      <c r="A96" s="26" t="str">
        <f t="shared" ref="A96:A102" si="15">IF(A95="","",IF(A95+1&lt;=$C$15,A95+1,""))</f>
        <v/>
      </c>
      <c r="B96" s="20" t="str">
        <f t="shared" si="12"/>
        <v/>
      </c>
      <c r="C96" s="27">
        <f t="shared" ref="C96:C101" si="16">C95+G96-I96</f>
        <v>0</v>
      </c>
      <c r="D96" s="27">
        <f t="shared" ref="D96:D102" si="17">C96-E96</f>
        <v>0</v>
      </c>
      <c r="E96" s="27">
        <f t="shared" ref="E96:E101" si="18">MIN($C$38,C96,E95)</f>
        <v>0</v>
      </c>
      <c r="F96" s="27">
        <f t="shared" ref="F96:F102" si="19">E95-E96</f>
        <v>0</v>
      </c>
      <c r="G96" s="27">
        <f t="shared" ref="G96:G101" si="20">IF(A96="",0,ROUND(((((1+$C$15)^((B96-B95)/30)-1)*C95)),2))</f>
        <v>0</v>
      </c>
      <c r="H96" s="27">
        <f t="shared" ref="H96:H101" si="21">MIN(I96-F96,I96)</f>
        <v>0</v>
      </c>
      <c r="I96" s="27">
        <f t="shared" ref="I96:I102" si="22">IF(A96="",0,ROUND($C$30/$L$104,2))</f>
        <v>0</v>
      </c>
      <c r="J96" s="27">
        <f>IFERROR('IOF 2'!L90+SC!$C$23/SC!$C$30*SC!F96,0)</f>
        <v>0</v>
      </c>
      <c r="K96" s="39">
        <f t="shared" ref="K96:K102" si="23">IFERROR(B96-B95,0)</f>
        <v>0</v>
      </c>
      <c r="L96" s="40">
        <f t="shared" si="14"/>
        <v>0</v>
      </c>
      <c r="M96" s="18">
        <f t="shared" ref="M96:M101" si="24">IFERROR(I96/((1+$C$24)^((B96-$B$30)/365)),0)</f>
        <v>0</v>
      </c>
      <c r="N96" s="18">
        <f t="shared" ref="N96:N101" si="25">IFERROR(ROUND($P$9*F96/$P$7,2),0)</f>
        <v>0</v>
      </c>
    </row>
    <row r="97" spans="1:14" x14ac:dyDescent="0.25">
      <c r="A97" s="26" t="str">
        <f t="shared" si="15"/>
        <v/>
      </c>
      <c r="B97" s="20" t="str">
        <f t="shared" si="12"/>
        <v/>
      </c>
      <c r="C97" s="27">
        <f t="shared" si="16"/>
        <v>0</v>
      </c>
      <c r="D97" s="27">
        <f t="shared" si="17"/>
        <v>0</v>
      </c>
      <c r="E97" s="27">
        <f t="shared" si="18"/>
        <v>0</v>
      </c>
      <c r="F97" s="27">
        <f t="shared" si="19"/>
        <v>0</v>
      </c>
      <c r="G97" s="27">
        <f t="shared" si="20"/>
        <v>0</v>
      </c>
      <c r="H97" s="27">
        <f t="shared" si="21"/>
        <v>0</v>
      </c>
      <c r="I97" s="27">
        <f t="shared" si="22"/>
        <v>0</v>
      </c>
      <c r="J97" s="27">
        <f>IFERROR('IOF 2'!L91+SC!$C$23/SC!$C$30*SC!F97,0)</f>
        <v>0</v>
      </c>
      <c r="K97" s="39">
        <f t="shared" si="23"/>
        <v>0</v>
      </c>
      <c r="L97" s="40">
        <f t="shared" si="14"/>
        <v>0</v>
      </c>
      <c r="M97" s="18">
        <f t="shared" si="24"/>
        <v>0</v>
      </c>
      <c r="N97" s="18">
        <f t="shared" si="25"/>
        <v>0</v>
      </c>
    </row>
    <row r="98" spans="1:14" x14ac:dyDescent="0.25">
      <c r="A98" s="26" t="str">
        <f t="shared" si="15"/>
        <v/>
      </c>
      <c r="B98" s="20" t="str">
        <f t="shared" ref="B98:B102" si="26">IF(A98="","",DATE(YEAR(B97),IF(DAY(B97)&lt;$C$26,MONTH(B97),MONTH(B97)+1),$C$26)+IF(AND(DAY(DATE(YEAR(B97),IF(DAY(B97)&lt;$C$26,MONTH(B97),MONTH(B97)+1),$C$26))&lt;&gt;$C$26,DAY(DATE(YEAR(B97),IF(DAY(B97)&lt;$C$26,MONTH(B97)+1),$C$26))=2),-1,0))</f>
        <v/>
      </c>
      <c r="C98" s="27">
        <f t="shared" si="16"/>
        <v>0</v>
      </c>
      <c r="D98" s="27">
        <f t="shared" si="17"/>
        <v>0</v>
      </c>
      <c r="E98" s="27">
        <f t="shared" si="18"/>
        <v>0</v>
      </c>
      <c r="F98" s="27">
        <f t="shared" si="19"/>
        <v>0</v>
      </c>
      <c r="G98" s="27">
        <f t="shared" si="20"/>
        <v>0</v>
      </c>
      <c r="H98" s="27">
        <f t="shared" si="21"/>
        <v>0</v>
      </c>
      <c r="I98" s="27">
        <f t="shared" si="22"/>
        <v>0</v>
      </c>
      <c r="J98" s="27">
        <f>IFERROR('IOF 2'!L92+SC!$C$23/SC!$C$30*SC!F98,0)</f>
        <v>0</v>
      </c>
      <c r="K98" s="39">
        <f t="shared" si="23"/>
        <v>0</v>
      </c>
      <c r="L98" s="40">
        <f t="shared" si="14"/>
        <v>0</v>
      </c>
      <c r="M98" s="18">
        <f t="shared" si="24"/>
        <v>0</v>
      </c>
      <c r="N98" s="18">
        <f t="shared" si="25"/>
        <v>0</v>
      </c>
    </row>
    <row r="99" spans="1:14" x14ac:dyDescent="0.25">
      <c r="A99" s="26" t="str">
        <f t="shared" si="15"/>
        <v/>
      </c>
      <c r="B99" s="20" t="str">
        <f t="shared" si="26"/>
        <v/>
      </c>
      <c r="C99" s="27">
        <f t="shared" si="16"/>
        <v>0</v>
      </c>
      <c r="D99" s="27">
        <f t="shared" si="17"/>
        <v>0</v>
      </c>
      <c r="E99" s="27">
        <f t="shared" si="18"/>
        <v>0</v>
      </c>
      <c r="F99" s="27">
        <f t="shared" si="19"/>
        <v>0</v>
      </c>
      <c r="G99" s="27">
        <f t="shared" si="20"/>
        <v>0</v>
      </c>
      <c r="H99" s="27">
        <f t="shared" si="21"/>
        <v>0</v>
      </c>
      <c r="I99" s="27">
        <f t="shared" si="22"/>
        <v>0</v>
      </c>
      <c r="J99" s="27">
        <f>IFERROR('IOF 2'!L93+SC!$C$23/SC!$C$30*SC!F99,0)</f>
        <v>0</v>
      </c>
      <c r="K99" s="39">
        <f t="shared" si="23"/>
        <v>0</v>
      </c>
      <c r="L99" s="40">
        <f t="shared" si="14"/>
        <v>0</v>
      </c>
      <c r="M99" s="18">
        <f t="shared" si="24"/>
        <v>0</v>
      </c>
      <c r="N99" s="18">
        <f t="shared" si="25"/>
        <v>0</v>
      </c>
    </row>
    <row r="100" spans="1:14" x14ac:dyDescent="0.25">
      <c r="A100" s="26" t="str">
        <f t="shared" si="15"/>
        <v/>
      </c>
      <c r="B100" s="20" t="str">
        <f t="shared" si="26"/>
        <v/>
      </c>
      <c r="C100" s="27">
        <f t="shared" si="16"/>
        <v>0</v>
      </c>
      <c r="D100" s="27">
        <f t="shared" si="17"/>
        <v>0</v>
      </c>
      <c r="E100" s="27">
        <f t="shared" si="18"/>
        <v>0</v>
      </c>
      <c r="F100" s="27">
        <f t="shared" si="19"/>
        <v>0</v>
      </c>
      <c r="G100" s="27">
        <f t="shared" si="20"/>
        <v>0</v>
      </c>
      <c r="H100" s="27">
        <f t="shared" si="21"/>
        <v>0</v>
      </c>
      <c r="I100" s="27">
        <f t="shared" si="22"/>
        <v>0</v>
      </c>
      <c r="J100" s="27">
        <f>IFERROR('IOF 2'!L94+SC!$C$23/SC!$C$30*SC!F100,0)</f>
        <v>0</v>
      </c>
      <c r="K100" s="39">
        <f t="shared" si="23"/>
        <v>0</v>
      </c>
      <c r="L100" s="40">
        <f t="shared" si="14"/>
        <v>0</v>
      </c>
      <c r="M100" s="18">
        <f t="shared" si="24"/>
        <v>0</v>
      </c>
      <c r="N100" s="18">
        <f t="shared" si="25"/>
        <v>0</v>
      </c>
    </row>
    <row r="101" spans="1:14" x14ac:dyDescent="0.25">
      <c r="A101" s="26" t="str">
        <f t="shared" si="15"/>
        <v/>
      </c>
      <c r="B101" s="20" t="str">
        <f t="shared" si="26"/>
        <v/>
      </c>
      <c r="C101" s="27">
        <f t="shared" si="16"/>
        <v>0</v>
      </c>
      <c r="D101" s="27">
        <f t="shared" si="17"/>
        <v>0</v>
      </c>
      <c r="E101" s="27">
        <f t="shared" si="18"/>
        <v>0</v>
      </c>
      <c r="F101" s="27">
        <f t="shared" si="19"/>
        <v>0</v>
      </c>
      <c r="G101" s="27">
        <f t="shared" si="20"/>
        <v>0</v>
      </c>
      <c r="H101" s="27">
        <f t="shared" si="21"/>
        <v>0</v>
      </c>
      <c r="I101" s="27">
        <f t="shared" si="22"/>
        <v>0</v>
      </c>
      <c r="J101" s="27">
        <f>IFERROR('IOF 2'!L95+SC!$C$23/SC!$C$30*SC!F101,0)</f>
        <v>0</v>
      </c>
      <c r="K101" s="39">
        <f t="shared" si="23"/>
        <v>0</v>
      </c>
      <c r="L101" s="40">
        <f t="shared" si="14"/>
        <v>0</v>
      </c>
      <c r="M101" s="18">
        <f t="shared" si="24"/>
        <v>0</v>
      </c>
      <c r="N101" s="18">
        <f t="shared" si="25"/>
        <v>0</v>
      </c>
    </row>
    <row r="102" spans="1:14" x14ac:dyDescent="0.25">
      <c r="A102" s="26" t="str">
        <f t="shared" si="15"/>
        <v/>
      </c>
      <c r="B102" s="20" t="str">
        <f t="shared" si="26"/>
        <v/>
      </c>
      <c r="C102" s="27">
        <f t="shared" ref="C102" si="27">C101+G102-I102</f>
        <v>0</v>
      </c>
      <c r="D102" s="27">
        <f t="shared" si="17"/>
        <v>0</v>
      </c>
      <c r="E102" s="27">
        <f>MIN($C$30,C102,E101)</f>
        <v>0</v>
      </c>
      <c r="F102" s="27">
        <f t="shared" si="19"/>
        <v>0</v>
      </c>
      <c r="G102" s="27">
        <f t="shared" ref="G102" si="28">IF(A102="",0,ROUND(((((1+$C$11)^((B102-B101)/30)-1)*C101)),2))</f>
        <v>0</v>
      </c>
      <c r="H102" s="27">
        <f t="shared" ref="H102" si="29">MIN(I102-F102,I102)</f>
        <v>0</v>
      </c>
      <c r="I102" s="27">
        <f t="shared" si="22"/>
        <v>0</v>
      </c>
      <c r="J102" s="27">
        <f>IFERROR('IOF 2'!L96+SC!$C$23/SC!$C$30*SC!F102,0)</f>
        <v>0</v>
      </c>
      <c r="K102" s="39">
        <f t="shared" si="23"/>
        <v>0</v>
      </c>
      <c r="L102" s="40">
        <f t="shared" si="14"/>
        <v>0</v>
      </c>
      <c r="M102" s="18">
        <f t="shared" ref="M102" si="30">IFERROR(I102/((1+$C$24)^((B102-$B$30)/365)),0)</f>
        <v>0</v>
      </c>
      <c r="N102" s="18">
        <f>IFERROR(ROUND($P$10*F102/$P$8,2),0)</f>
        <v>0</v>
      </c>
    </row>
    <row r="103" spans="1:14" x14ac:dyDescent="0.25">
      <c r="B103" s="18"/>
      <c r="C103" s="18"/>
      <c r="D103" s="55"/>
      <c r="E103" s="18"/>
      <c r="F103" s="18"/>
      <c r="G103" s="18"/>
      <c r="H103" s="18"/>
      <c r="I103" s="18"/>
      <c r="J103" s="18"/>
      <c r="K103" s="18"/>
      <c r="L103" s="40"/>
      <c r="M103" s="40"/>
      <c r="N103" s="40"/>
    </row>
    <row r="104" spans="1:14" x14ac:dyDescent="0.25">
      <c r="A104" s="18">
        <f>MAX(A30:A102)</f>
        <v>3</v>
      </c>
      <c r="C104" s="22">
        <f>VLOOKUP(A104,A30:M102,3,0)</f>
        <v>0</v>
      </c>
      <c r="D104" s="23"/>
      <c r="E104" s="23"/>
      <c r="F104" s="23">
        <f>SUM(F31:F102)</f>
        <v>0</v>
      </c>
      <c r="G104" s="23">
        <f>SUM(G31:G102)</f>
        <v>0</v>
      </c>
      <c r="H104" s="23"/>
      <c r="I104" s="23">
        <f>SUM(I31:I102)</f>
        <v>0</v>
      </c>
      <c r="J104" s="23" t="e">
        <f>'IOF 2'!L98+SC!$C$23/SC!$C$30*SC!F104</f>
        <v>#DIV/0!</v>
      </c>
      <c r="K104">
        <f>SUM(K31:K102)</f>
        <v>91</v>
      </c>
      <c r="L104" s="38">
        <f>SUM(L31:L102)</f>
        <v>2.8713115299999998</v>
      </c>
      <c r="M104">
        <f t="shared" ref="M104:N104" si="31">SUM(M31:M102)</f>
        <v>0</v>
      </c>
      <c r="N104" s="23">
        <f t="shared" si="31"/>
        <v>0</v>
      </c>
    </row>
  </sheetData>
  <mergeCells count="1">
    <mergeCell ref="S11:S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Drop Down 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5</xdr:col>
                    <xdr:colOff>352425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5B13-BBBF-4E40-BA20-7F179D7D4770}">
  <sheetPr codeName="Planilha2"/>
  <dimension ref="A7:T109"/>
  <sheetViews>
    <sheetView zoomScaleNormal="100" workbookViewId="0"/>
  </sheetViews>
  <sheetFormatPr defaultRowHeight="15" x14ac:dyDescent="0.25"/>
  <cols>
    <col min="1" max="1" width="5.5703125" bestFit="1" customWidth="1"/>
    <col min="2" max="2" width="22.7109375" bestFit="1" customWidth="1"/>
    <col min="3" max="3" width="11.85546875" style="11" bestFit="1" customWidth="1"/>
    <col min="4" max="4" width="10" bestFit="1" customWidth="1"/>
    <col min="5" max="5" width="12.85546875" bestFit="1" customWidth="1"/>
    <col min="6" max="6" width="8.140625" bestFit="1" customWidth="1"/>
    <col min="7" max="7" width="10.28515625" bestFit="1" customWidth="1"/>
    <col min="8" max="8" width="14.7109375" bestFit="1" customWidth="1"/>
    <col min="9" max="9" width="11.85546875" bestFit="1" customWidth="1"/>
    <col min="10" max="10" width="7.140625" bestFit="1" customWidth="1"/>
    <col min="11" max="11" width="19.28515625" bestFit="1" customWidth="1"/>
    <col min="12" max="12" width="11" bestFit="1" customWidth="1"/>
    <col min="13" max="13" width="8.7109375" bestFit="1" customWidth="1"/>
    <col min="14" max="14" width="24.140625" bestFit="1" customWidth="1"/>
    <col min="16" max="16" width="8" bestFit="1" customWidth="1"/>
    <col min="18" max="18" width="13.7109375" bestFit="1" customWidth="1"/>
    <col min="20" max="20" width="7.140625" bestFit="1" customWidth="1"/>
  </cols>
  <sheetData>
    <row r="7" spans="2:20" x14ac:dyDescent="0.25">
      <c r="N7" t="s">
        <v>128</v>
      </c>
    </row>
    <row r="9" spans="2:20" x14ac:dyDescent="0.25">
      <c r="B9" s="8" t="s">
        <v>121</v>
      </c>
      <c r="C9" s="21">
        <v>8010.97</v>
      </c>
      <c r="N9" t="s">
        <v>100</v>
      </c>
      <c r="P9">
        <f>C34</f>
        <v>0</v>
      </c>
      <c r="R9" t="s">
        <v>106</v>
      </c>
      <c r="T9">
        <f>SUM(C26:C27)</f>
        <v>0</v>
      </c>
    </row>
    <row r="10" spans="2:20" ht="7.15" customHeight="1" x14ac:dyDescent="0.25"/>
    <row r="11" spans="2:20" x14ac:dyDescent="0.25">
      <c r="B11" s="8" t="s">
        <v>127</v>
      </c>
      <c r="C11" s="21">
        <v>830.32</v>
      </c>
      <c r="N11" t="s">
        <v>103</v>
      </c>
      <c r="P11" s="25">
        <f>C15</f>
        <v>8.9499999999999996E-2</v>
      </c>
      <c r="R11" t="s">
        <v>12</v>
      </c>
      <c r="T11">
        <f>C26</f>
        <v>0</v>
      </c>
    </row>
    <row r="12" spans="2:20" ht="5.45" customHeight="1" x14ac:dyDescent="0.25">
      <c r="R12" t="s">
        <v>43</v>
      </c>
      <c r="T12">
        <f>C27</f>
        <v>0</v>
      </c>
    </row>
    <row r="13" spans="2:20" x14ac:dyDescent="0.25">
      <c r="B13" s="8" t="s">
        <v>110</v>
      </c>
      <c r="C13" s="12" t="s">
        <v>24</v>
      </c>
      <c r="N13" t="s">
        <v>104</v>
      </c>
      <c r="P13">
        <f>C19</f>
        <v>10</v>
      </c>
    </row>
    <row r="14" spans="2:20" ht="4.1500000000000004" customHeight="1" x14ac:dyDescent="0.25">
      <c r="C14"/>
      <c r="R14" t="s">
        <v>107</v>
      </c>
      <c r="T14" t="e">
        <f>G108</f>
        <v>#DIV/0!</v>
      </c>
    </row>
    <row r="15" spans="2:20" x14ac:dyDescent="0.25">
      <c r="B15" s="8" t="s">
        <v>85</v>
      </c>
      <c r="C15" s="13">
        <v>8.9499999999999996E-2</v>
      </c>
      <c r="N15" t="s">
        <v>124</v>
      </c>
      <c r="P15">
        <f>I35</f>
        <v>0</v>
      </c>
    </row>
    <row r="16" spans="2:20" x14ac:dyDescent="0.25">
      <c r="B16" s="9" t="s">
        <v>111</v>
      </c>
      <c r="C16" s="14">
        <f>((1+C15)^(1/30)-1)</f>
        <v>2.861381807201635E-3</v>
      </c>
    </row>
    <row r="17" spans="2:20" x14ac:dyDescent="0.25">
      <c r="B17" s="7" t="s">
        <v>112</v>
      </c>
      <c r="C17" s="15">
        <f>(1+C15)^12-1</f>
        <v>1.797221225186223</v>
      </c>
    </row>
    <row r="18" spans="2:20" ht="6" customHeight="1" x14ac:dyDescent="0.25"/>
    <row r="19" spans="2:20" x14ac:dyDescent="0.25">
      <c r="B19" t="s">
        <v>7</v>
      </c>
      <c r="C19" s="11">
        <v>10</v>
      </c>
      <c r="N19" t="s">
        <v>109</v>
      </c>
      <c r="P19">
        <f>IF(B35="","",MAX($B$34:$B$106))</f>
        <v>46414</v>
      </c>
      <c r="R19" t="s">
        <v>108</v>
      </c>
      <c r="T19" t="e">
        <f>I108</f>
        <v>#DIV/0!</v>
      </c>
    </row>
    <row r="20" spans="2:20" ht="5.45" customHeight="1" x14ac:dyDescent="0.25"/>
    <row r="21" spans="2:20" x14ac:dyDescent="0.25">
      <c r="B21" t="s">
        <v>89</v>
      </c>
      <c r="C21" s="19">
        <v>46108</v>
      </c>
    </row>
    <row r="22" spans="2:20" ht="4.9000000000000004" customHeight="1" x14ac:dyDescent="0.25">
      <c r="C22" s="18"/>
    </row>
    <row r="23" spans="2:20" x14ac:dyDescent="0.25">
      <c r="B23" t="s">
        <v>90</v>
      </c>
      <c r="C23" s="19">
        <v>46139</v>
      </c>
    </row>
    <row r="24" spans="2:20" ht="5.45" customHeight="1" x14ac:dyDescent="0.25">
      <c r="C24" s="18"/>
    </row>
    <row r="25" spans="2:20" x14ac:dyDescent="0.25">
      <c r="B25" s="7" t="s">
        <v>91</v>
      </c>
      <c r="C25" s="20">
        <f>DATE(YEAR(C23),MONTH(C23)+C19-1,DAY(C23))</f>
        <v>46414</v>
      </c>
    </row>
    <row r="26" spans="2:20" x14ac:dyDescent="0.25">
      <c r="B26" s="7" t="s">
        <v>12</v>
      </c>
      <c r="C26" s="41">
        <f>IF(Auxiliares!B8=4,'IOF 2'!C17,0)</f>
        <v>0</v>
      </c>
    </row>
    <row r="27" spans="2:20" x14ac:dyDescent="0.25">
      <c r="B27" s="7" t="s">
        <v>43</v>
      </c>
      <c r="C27" s="41">
        <f>IF(Auxiliares!B9=4,'IOF 2'!C18,0)</f>
        <v>0</v>
      </c>
    </row>
    <row r="28" spans="2:20" x14ac:dyDescent="0.25">
      <c r="B28" s="7" t="s">
        <v>92</v>
      </c>
      <c r="C28" s="41"/>
    </row>
    <row r="29" spans="2:20" ht="3.6" customHeight="1" x14ac:dyDescent="0.25"/>
    <row r="30" spans="2:20" x14ac:dyDescent="0.25">
      <c r="B30" s="8" t="s">
        <v>93</v>
      </c>
      <c r="C30" s="58">
        <v>27</v>
      </c>
    </row>
    <row r="31" spans="2:20" x14ac:dyDescent="0.25">
      <c r="M31" t="s">
        <v>98</v>
      </c>
    </row>
    <row r="32" spans="2:20" x14ac:dyDescent="0.25">
      <c r="M32" s="38">
        <f>M108-C9+C11</f>
        <v>-7180.6500000000005</v>
      </c>
    </row>
    <row r="33" spans="1:13" x14ac:dyDescent="0.25">
      <c r="A33" s="26" t="s">
        <v>7</v>
      </c>
      <c r="B33" s="26" t="s">
        <v>46</v>
      </c>
      <c r="C33" s="26" t="s">
        <v>47</v>
      </c>
      <c r="D33" s="26" t="s">
        <v>48</v>
      </c>
      <c r="E33" s="26" t="s">
        <v>49</v>
      </c>
      <c r="F33" s="26" t="s">
        <v>50</v>
      </c>
      <c r="G33" s="26" t="s">
        <v>51</v>
      </c>
      <c r="H33" s="26" t="s">
        <v>52</v>
      </c>
      <c r="I33" s="26" t="s">
        <v>53</v>
      </c>
      <c r="J33" s="57" t="s">
        <v>12</v>
      </c>
      <c r="K33" s="26" t="s">
        <v>94</v>
      </c>
      <c r="L33" s="26" t="s">
        <v>95</v>
      </c>
      <c r="M33" s="18" t="s">
        <v>96</v>
      </c>
    </row>
    <row r="34" spans="1:13" x14ac:dyDescent="0.25">
      <c r="A34" s="26">
        <v>0</v>
      </c>
      <c r="B34" s="20">
        <f>IF(C21="","",C21)</f>
        <v>46108</v>
      </c>
      <c r="C34" s="27">
        <f>IF(Auxiliares!B8=4,SUM(C26:C27,C9,-C11,),0)</f>
        <v>0</v>
      </c>
      <c r="D34" s="27"/>
      <c r="E34" s="27">
        <f>C34</f>
        <v>0</v>
      </c>
      <c r="F34" s="27"/>
      <c r="G34" s="27"/>
      <c r="H34" s="27"/>
      <c r="I34" s="27">
        <f>-(C9-C11)</f>
        <v>-7180.6500000000005</v>
      </c>
      <c r="J34" s="26"/>
      <c r="K34" s="26"/>
      <c r="L34" s="18"/>
      <c r="M34" s="18">
        <f>M32</f>
        <v>-7180.6500000000005</v>
      </c>
    </row>
    <row r="35" spans="1:13" x14ac:dyDescent="0.25">
      <c r="A35" s="26">
        <f>IF(A34="","",IF(A34+1&lt;=$C$19,A34+1,""))</f>
        <v>1</v>
      </c>
      <c r="B35" s="20">
        <f>IF(C23="","",C23)</f>
        <v>46139</v>
      </c>
      <c r="C35" s="27">
        <f>C34+G35-I35</f>
        <v>0</v>
      </c>
      <c r="D35" s="27" t="e">
        <f>C35-E35</f>
        <v>#DIV/0!</v>
      </c>
      <c r="E35" s="27" t="e">
        <f>MIN($C$38,C35,E34)</f>
        <v>#DIV/0!</v>
      </c>
      <c r="F35" s="27" t="e">
        <f>E34-E35</f>
        <v>#DIV/0!</v>
      </c>
      <c r="G35" s="27">
        <f>IF(A35="",0,ROUND(((((1+$C$15)^((B35-B34)/30)-1)*C34)),2))</f>
        <v>0</v>
      </c>
      <c r="H35" s="27" t="e">
        <f>MIN(I35-F35,I35)</f>
        <v>#DIV/0!</v>
      </c>
      <c r="I35" s="27">
        <f>IF(A35="",0,ROUND($C$34/$L$108,2))</f>
        <v>0</v>
      </c>
      <c r="J35" s="26">
        <f>IFERROR('IOF 2'!L25+PA!$C$27/PA!$C$34*PA!F35,0)</f>
        <v>0</v>
      </c>
      <c r="K35" s="26">
        <f>IFERROR(B35-B34,0)</f>
        <v>31</v>
      </c>
      <c r="L35" s="40">
        <f>IF(A35="",0,ROUND(1/((1+$C$15)^((B35-$B$34)/30)),8))</f>
        <v>0.91523339000000004</v>
      </c>
      <c r="M35" s="18">
        <f>IFERROR(I35/((1+$C$28)^((B35-$B$34)/365)),0)</f>
        <v>0</v>
      </c>
    </row>
    <row r="36" spans="1:13" x14ac:dyDescent="0.25">
      <c r="A36" s="26">
        <f t="shared" ref="A36:A99" si="0">IF(A35="","",IF(A35+1&lt;=$C$19,A35+1,""))</f>
        <v>2</v>
      </c>
      <c r="B36" s="20">
        <f>IF(A36="","",DATE(YEAR(B35),IF(DAY(B35)&lt;$C$30,MONTH(B35),MONTH(B35)+1),$C$30)+IF(AND(DAY(DATE(YEAR(B35),IF(DAY(B35)&lt;$C$30,MONTH(B35),MONTH(B35)+1),$C$30))&lt;&gt;$C$30,DAY(DATE(YEAR(B35),IF(DAY(B35)&lt;$C$30,MONTH(B35),MONTH(B35)+1),$C$30))=2),-1,0))</f>
        <v>46169</v>
      </c>
      <c r="C36" s="27" t="e">
        <f t="shared" ref="C36:C99" si="1">C35+G36-I36</f>
        <v>#DIV/0!</v>
      </c>
      <c r="D36" s="27" t="e">
        <f t="shared" ref="D36:D99" si="2">C36-E36</f>
        <v>#DIV/0!</v>
      </c>
      <c r="E36" s="27" t="e">
        <f t="shared" ref="E36:E99" si="3">MIN($C$38,C36,E35)</f>
        <v>#DIV/0!</v>
      </c>
      <c r="F36" s="27" t="e">
        <f t="shared" ref="F36:F99" si="4">E35-E36</f>
        <v>#DIV/0!</v>
      </c>
      <c r="G36" s="27">
        <f t="shared" ref="G36:G99" si="5">IF(A36="",0,ROUND(((((1+$C$15)^((B36-B35)/30)-1)*C35)),2))</f>
        <v>0</v>
      </c>
      <c r="H36" s="27" t="e">
        <f t="shared" ref="H36:H99" si="6">MIN(I36-F36,I36)</f>
        <v>#DIV/0!</v>
      </c>
      <c r="I36" s="27" t="e">
        <f t="shared" ref="I36:I99" si="7">IF(A36="",0,ROUND($C$30/$L$104,2))</f>
        <v>#DIV/0!</v>
      </c>
      <c r="J36" s="26">
        <f>IFERROR('IOF 2'!L26+PA!$C$27/PA!$C$34*PA!F36,0)</f>
        <v>0</v>
      </c>
      <c r="K36" s="26">
        <f t="shared" ref="K36:K99" si="8">IFERROR(B36-B35,0)</f>
        <v>30</v>
      </c>
      <c r="L36" s="40">
        <f t="shared" ref="L36:L99" si="9">IF(A36="",0,ROUND(1/((1+$C$15)^((B36-$B$34)/30)),8))</f>
        <v>0.84004900999999998</v>
      </c>
      <c r="M36" s="18">
        <f t="shared" ref="M36:M99" si="10">IFERROR(I36/((1+$C$28)^((B36-$B$34)/365)),0)</f>
        <v>0</v>
      </c>
    </row>
    <row r="37" spans="1:13" x14ac:dyDescent="0.25">
      <c r="A37" s="26">
        <f t="shared" si="0"/>
        <v>3</v>
      </c>
      <c r="B37" s="20">
        <f t="shared" ref="B37:B100" si="11">IF(A37="","",DATE(YEAR(B36),IF(DAY(B36)&lt;$C$30,MONTH(B36),MONTH(B36)+1),$C$30)+IF(AND(DAY(DATE(YEAR(B36),IF(DAY(B36)&lt;$C$30,MONTH(B36),MONTH(B36)+1),$C$30))&lt;&gt;$C$30,DAY(DATE(YEAR(B36),IF(DAY(B36)&lt;$C$30,MONTH(B36),MONTH(B36)+1),$C$30))=2),-1,0))</f>
        <v>46200</v>
      </c>
      <c r="C37" s="27" t="e">
        <f t="shared" si="1"/>
        <v>#DIV/0!</v>
      </c>
      <c r="D37" s="27" t="e">
        <f t="shared" si="2"/>
        <v>#DIV/0!</v>
      </c>
      <c r="E37" s="27" t="e">
        <f t="shared" si="3"/>
        <v>#DIV/0!</v>
      </c>
      <c r="F37" s="27" t="e">
        <f t="shared" si="4"/>
        <v>#DIV/0!</v>
      </c>
      <c r="G37" s="27" t="e">
        <f t="shared" si="5"/>
        <v>#DIV/0!</v>
      </c>
      <c r="H37" s="27" t="e">
        <f t="shared" si="6"/>
        <v>#DIV/0!</v>
      </c>
      <c r="I37" s="27" t="e">
        <f t="shared" si="7"/>
        <v>#DIV/0!</v>
      </c>
      <c r="J37" s="26">
        <f>IFERROR('IOF 2'!L27+PA!$C$27/PA!$C$34*PA!F37,0)</f>
        <v>0</v>
      </c>
      <c r="K37" s="26">
        <f t="shared" si="8"/>
        <v>31</v>
      </c>
      <c r="L37" s="40">
        <f t="shared" si="9"/>
        <v>0.76884090000000005</v>
      </c>
      <c r="M37" s="18">
        <f t="shared" si="10"/>
        <v>0</v>
      </c>
    </row>
    <row r="38" spans="1:13" x14ac:dyDescent="0.25">
      <c r="A38" s="26">
        <f t="shared" si="0"/>
        <v>4</v>
      </c>
      <c r="B38" s="20">
        <f t="shared" si="11"/>
        <v>46230</v>
      </c>
      <c r="C38" s="27" t="e">
        <f t="shared" si="1"/>
        <v>#DIV/0!</v>
      </c>
      <c r="D38" s="27" t="e">
        <f t="shared" si="2"/>
        <v>#DIV/0!</v>
      </c>
      <c r="E38" s="27" t="e">
        <f t="shared" si="3"/>
        <v>#DIV/0!</v>
      </c>
      <c r="F38" s="27" t="e">
        <f t="shared" si="4"/>
        <v>#DIV/0!</v>
      </c>
      <c r="G38" s="27" t="e">
        <f t="shared" si="5"/>
        <v>#DIV/0!</v>
      </c>
      <c r="H38" s="27" t="e">
        <f t="shared" si="6"/>
        <v>#DIV/0!</v>
      </c>
      <c r="I38" s="27" t="e">
        <f t="shared" si="7"/>
        <v>#DIV/0!</v>
      </c>
      <c r="J38" s="26">
        <f>IFERROR('IOF 2'!L28+PA!$C$27/PA!$C$34*PA!F38,0)</f>
        <v>0</v>
      </c>
      <c r="K38" s="26">
        <f t="shared" si="8"/>
        <v>30</v>
      </c>
      <c r="L38" s="40">
        <f t="shared" si="9"/>
        <v>0.70568233000000002</v>
      </c>
      <c r="M38" s="18">
        <f t="shared" si="10"/>
        <v>0</v>
      </c>
    </row>
    <row r="39" spans="1:13" x14ac:dyDescent="0.25">
      <c r="A39" s="26">
        <f t="shared" si="0"/>
        <v>5</v>
      </c>
      <c r="B39" s="20">
        <f t="shared" si="11"/>
        <v>46261</v>
      </c>
      <c r="C39" s="27" t="e">
        <f t="shared" si="1"/>
        <v>#DIV/0!</v>
      </c>
      <c r="D39" s="27" t="e">
        <f t="shared" si="2"/>
        <v>#DIV/0!</v>
      </c>
      <c r="E39" s="27" t="e">
        <f t="shared" si="3"/>
        <v>#DIV/0!</v>
      </c>
      <c r="F39" s="27" t="e">
        <f t="shared" si="4"/>
        <v>#DIV/0!</v>
      </c>
      <c r="G39" s="27" t="e">
        <f t="shared" si="5"/>
        <v>#DIV/0!</v>
      </c>
      <c r="H39" s="27" t="e">
        <f t="shared" si="6"/>
        <v>#DIV/0!</v>
      </c>
      <c r="I39" s="27" t="e">
        <f t="shared" si="7"/>
        <v>#DIV/0!</v>
      </c>
      <c r="J39" s="26">
        <f>IFERROR('IOF 2'!L29+PA!$C$27/PA!$C$34*PA!F39,0)</f>
        <v>0</v>
      </c>
      <c r="K39" s="26">
        <f t="shared" si="8"/>
        <v>31</v>
      </c>
      <c r="L39" s="40">
        <f t="shared" si="9"/>
        <v>0.64586403999999997</v>
      </c>
      <c r="M39" s="18">
        <f t="shared" si="10"/>
        <v>0</v>
      </c>
    </row>
    <row r="40" spans="1:13" x14ac:dyDescent="0.25">
      <c r="A40" s="26">
        <f t="shared" si="0"/>
        <v>6</v>
      </c>
      <c r="B40" s="20">
        <f t="shared" si="11"/>
        <v>46292</v>
      </c>
      <c r="C40" s="27" t="e">
        <f t="shared" si="1"/>
        <v>#DIV/0!</v>
      </c>
      <c r="D40" s="27" t="e">
        <f t="shared" si="2"/>
        <v>#DIV/0!</v>
      </c>
      <c r="E40" s="27" t="e">
        <f t="shared" si="3"/>
        <v>#DIV/0!</v>
      </c>
      <c r="F40" s="27" t="e">
        <f t="shared" si="4"/>
        <v>#DIV/0!</v>
      </c>
      <c r="G40" s="27" t="e">
        <f t="shared" si="5"/>
        <v>#DIV/0!</v>
      </c>
      <c r="H40" s="27" t="e">
        <f t="shared" si="6"/>
        <v>#DIV/0!</v>
      </c>
      <c r="I40" s="27" t="e">
        <f t="shared" si="7"/>
        <v>#DIV/0!</v>
      </c>
      <c r="J40" s="26">
        <f>IFERROR('IOF 2'!L30+PA!$C$27/PA!$C$34*PA!F40,0)</f>
        <v>0</v>
      </c>
      <c r="K40" s="26">
        <f t="shared" si="8"/>
        <v>31</v>
      </c>
      <c r="L40" s="40">
        <f t="shared" si="9"/>
        <v>0.59111634000000002</v>
      </c>
      <c r="M40" s="18">
        <f t="shared" si="10"/>
        <v>0</v>
      </c>
    </row>
    <row r="41" spans="1:13" x14ac:dyDescent="0.25">
      <c r="A41" s="26">
        <f t="shared" si="0"/>
        <v>7</v>
      </c>
      <c r="B41" s="20">
        <f t="shared" si="11"/>
        <v>46322</v>
      </c>
      <c r="C41" s="27" t="e">
        <f t="shared" si="1"/>
        <v>#DIV/0!</v>
      </c>
      <c r="D41" s="27" t="e">
        <f t="shared" si="2"/>
        <v>#DIV/0!</v>
      </c>
      <c r="E41" s="27" t="e">
        <f t="shared" si="3"/>
        <v>#DIV/0!</v>
      </c>
      <c r="F41" s="27" t="e">
        <f t="shared" si="4"/>
        <v>#DIV/0!</v>
      </c>
      <c r="G41" s="27" t="e">
        <f t="shared" si="5"/>
        <v>#DIV/0!</v>
      </c>
      <c r="H41" s="27" t="e">
        <f t="shared" si="6"/>
        <v>#DIV/0!</v>
      </c>
      <c r="I41" s="27" t="e">
        <f t="shared" si="7"/>
        <v>#DIV/0!</v>
      </c>
      <c r="J41" s="26">
        <f>IFERROR('IOF 2'!L31+PA!$C$27/PA!$C$34*PA!F41,0)</f>
        <v>0</v>
      </c>
      <c r="K41" s="26">
        <f t="shared" si="8"/>
        <v>30</v>
      </c>
      <c r="L41" s="40">
        <f t="shared" si="9"/>
        <v>0.54255743999999995</v>
      </c>
      <c r="M41" s="18">
        <f t="shared" si="10"/>
        <v>0</v>
      </c>
    </row>
    <row r="42" spans="1:13" x14ac:dyDescent="0.25">
      <c r="A42" s="26">
        <f t="shared" si="0"/>
        <v>8</v>
      </c>
      <c r="B42" s="20">
        <f t="shared" si="11"/>
        <v>46353</v>
      </c>
      <c r="C42" s="27" t="e">
        <f t="shared" si="1"/>
        <v>#DIV/0!</v>
      </c>
      <c r="D42" s="27" t="e">
        <f t="shared" si="2"/>
        <v>#DIV/0!</v>
      </c>
      <c r="E42" s="27" t="e">
        <f t="shared" si="3"/>
        <v>#DIV/0!</v>
      </c>
      <c r="F42" s="27" t="e">
        <f t="shared" si="4"/>
        <v>#DIV/0!</v>
      </c>
      <c r="G42" s="27" t="e">
        <f t="shared" si="5"/>
        <v>#DIV/0!</v>
      </c>
      <c r="H42" s="27" t="e">
        <f t="shared" si="6"/>
        <v>#DIV/0!</v>
      </c>
      <c r="I42" s="27" t="e">
        <f t="shared" si="7"/>
        <v>#DIV/0!</v>
      </c>
      <c r="J42" s="26">
        <f>IFERROR('IOF 2'!L32+PA!$C$27/PA!$C$34*PA!F42,0)</f>
        <v>0</v>
      </c>
      <c r="K42" s="26">
        <f t="shared" si="8"/>
        <v>31</v>
      </c>
      <c r="L42" s="40">
        <f t="shared" si="9"/>
        <v>0.49656668999999998</v>
      </c>
      <c r="M42" s="18">
        <f t="shared" si="10"/>
        <v>0</v>
      </c>
    </row>
    <row r="43" spans="1:13" x14ac:dyDescent="0.25">
      <c r="A43" s="26">
        <f t="shared" si="0"/>
        <v>9</v>
      </c>
      <c r="B43" s="20">
        <f t="shared" si="11"/>
        <v>46383</v>
      </c>
      <c r="C43" s="27" t="e">
        <f t="shared" si="1"/>
        <v>#DIV/0!</v>
      </c>
      <c r="D43" s="27" t="e">
        <f t="shared" si="2"/>
        <v>#DIV/0!</v>
      </c>
      <c r="E43" s="27" t="e">
        <f t="shared" si="3"/>
        <v>#DIV/0!</v>
      </c>
      <c r="F43" s="27" t="e">
        <f t="shared" si="4"/>
        <v>#DIV/0!</v>
      </c>
      <c r="G43" s="27" t="e">
        <f t="shared" si="5"/>
        <v>#DIV/0!</v>
      </c>
      <c r="H43" s="27" t="e">
        <f t="shared" si="6"/>
        <v>#DIV/0!</v>
      </c>
      <c r="I43" s="27" t="e">
        <f t="shared" si="7"/>
        <v>#DIV/0!</v>
      </c>
      <c r="J43" s="26">
        <f>IFERROR('IOF 2'!L33+PA!$C$27/PA!$C$34*PA!F43,0)</f>
        <v>0</v>
      </c>
      <c r="K43" s="26">
        <f t="shared" si="8"/>
        <v>30</v>
      </c>
      <c r="L43" s="40">
        <f t="shared" si="9"/>
        <v>0.45577484000000001</v>
      </c>
      <c r="M43" s="18">
        <f t="shared" si="10"/>
        <v>0</v>
      </c>
    </row>
    <row r="44" spans="1:13" x14ac:dyDescent="0.25">
      <c r="A44" s="26">
        <f t="shared" si="0"/>
        <v>10</v>
      </c>
      <c r="B44" s="20">
        <f t="shared" si="11"/>
        <v>46414</v>
      </c>
      <c r="C44" s="27" t="e">
        <f t="shared" si="1"/>
        <v>#DIV/0!</v>
      </c>
      <c r="D44" s="27" t="e">
        <f t="shared" si="2"/>
        <v>#DIV/0!</v>
      </c>
      <c r="E44" s="27" t="e">
        <f t="shared" si="3"/>
        <v>#DIV/0!</v>
      </c>
      <c r="F44" s="27" t="e">
        <f t="shared" si="4"/>
        <v>#DIV/0!</v>
      </c>
      <c r="G44" s="27" t="e">
        <f t="shared" si="5"/>
        <v>#DIV/0!</v>
      </c>
      <c r="H44" s="27" t="e">
        <f t="shared" si="6"/>
        <v>#DIV/0!</v>
      </c>
      <c r="I44" s="27" t="e">
        <f t="shared" si="7"/>
        <v>#DIV/0!</v>
      </c>
      <c r="J44" s="26">
        <f>IFERROR('IOF 2'!L34+PA!$C$27/PA!$C$34*PA!F44,0)</f>
        <v>0</v>
      </c>
      <c r="K44" s="26">
        <f t="shared" si="8"/>
        <v>31</v>
      </c>
      <c r="L44" s="40">
        <f t="shared" si="9"/>
        <v>0.41714035999999999</v>
      </c>
      <c r="M44" s="18">
        <f t="shared" si="10"/>
        <v>0</v>
      </c>
    </row>
    <row r="45" spans="1:13" x14ac:dyDescent="0.25">
      <c r="A45" s="26" t="str">
        <f t="shared" si="0"/>
        <v/>
      </c>
      <c r="B45" s="20" t="str">
        <f t="shared" si="11"/>
        <v/>
      </c>
      <c r="C45" s="27" t="e">
        <f t="shared" si="1"/>
        <v>#DIV/0!</v>
      </c>
      <c r="D45" s="27" t="e">
        <f t="shared" si="2"/>
        <v>#DIV/0!</v>
      </c>
      <c r="E45" s="27" t="e">
        <f t="shared" si="3"/>
        <v>#DIV/0!</v>
      </c>
      <c r="F45" s="27" t="e">
        <f t="shared" si="4"/>
        <v>#DIV/0!</v>
      </c>
      <c r="G45" s="27">
        <f t="shared" si="5"/>
        <v>0</v>
      </c>
      <c r="H45" s="27" t="e">
        <f t="shared" si="6"/>
        <v>#DIV/0!</v>
      </c>
      <c r="I45" s="27">
        <f t="shared" si="7"/>
        <v>0</v>
      </c>
      <c r="J45" s="26">
        <f>IFERROR('IOF 2'!L35+PA!$C$27/PA!$C$34*PA!F45,0)</f>
        <v>0</v>
      </c>
      <c r="K45" s="26">
        <f t="shared" si="8"/>
        <v>0</v>
      </c>
      <c r="L45" s="40">
        <f t="shared" si="9"/>
        <v>0</v>
      </c>
      <c r="M45" s="18">
        <f t="shared" si="10"/>
        <v>0</v>
      </c>
    </row>
    <row r="46" spans="1:13" x14ac:dyDescent="0.25">
      <c r="A46" s="26" t="str">
        <f t="shared" si="0"/>
        <v/>
      </c>
      <c r="B46" s="20" t="str">
        <f t="shared" si="11"/>
        <v/>
      </c>
      <c r="C46" s="27" t="e">
        <f t="shared" si="1"/>
        <v>#DIV/0!</v>
      </c>
      <c r="D46" s="27" t="e">
        <f t="shared" si="2"/>
        <v>#DIV/0!</v>
      </c>
      <c r="E46" s="27" t="e">
        <f t="shared" si="3"/>
        <v>#DIV/0!</v>
      </c>
      <c r="F46" s="27" t="e">
        <f t="shared" si="4"/>
        <v>#DIV/0!</v>
      </c>
      <c r="G46" s="27">
        <f t="shared" si="5"/>
        <v>0</v>
      </c>
      <c r="H46" s="27" t="e">
        <f t="shared" si="6"/>
        <v>#DIV/0!</v>
      </c>
      <c r="I46" s="27">
        <f t="shared" si="7"/>
        <v>0</v>
      </c>
      <c r="J46" s="26">
        <f>IFERROR('IOF 2'!L36+PA!$C$27/PA!$C$34*PA!F46,0)</f>
        <v>0</v>
      </c>
      <c r="K46" s="26">
        <f t="shared" si="8"/>
        <v>0</v>
      </c>
      <c r="L46" s="40">
        <f t="shared" si="9"/>
        <v>0</v>
      </c>
      <c r="M46" s="18">
        <f t="shared" si="10"/>
        <v>0</v>
      </c>
    </row>
    <row r="47" spans="1:13" x14ac:dyDescent="0.25">
      <c r="A47" s="26" t="str">
        <f t="shared" si="0"/>
        <v/>
      </c>
      <c r="B47" s="20" t="str">
        <f t="shared" si="11"/>
        <v/>
      </c>
      <c r="C47" s="27" t="e">
        <f t="shared" si="1"/>
        <v>#DIV/0!</v>
      </c>
      <c r="D47" s="27" t="e">
        <f t="shared" si="2"/>
        <v>#DIV/0!</v>
      </c>
      <c r="E47" s="27" t="e">
        <f t="shared" si="3"/>
        <v>#DIV/0!</v>
      </c>
      <c r="F47" s="27" t="e">
        <f t="shared" si="4"/>
        <v>#DIV/0!</v>
      </c>
      <c r="G47" s="27">
        <f t="shared" si="5"/>
        <v>0</v>
      </c>
      <c r="H47" s="27" t="e">
        <f t="shared" si="6"/>
        <v>#DIV/0!</v>
      </c>
      <c r="I47" s="27">
        <f t="shared" si="7"/>
        <v>0</v>
      </c>
      <c r="J47" s="26">
        <f>IFERROR('IOF 2'!L37+PA!$C$27/PA!$C$34*PA!F47,0)</f>
        <v>0</v>
      </c>
      <c r="K47" s="26">
        <f t="shared" si="8"/>
        <v>0</v>
      </c>
      <c r="L47" s="40">
        <f t="shared" si="9"/>
        <v>0</v>
      </c>
      <c r="M47" s="18">
        <f t="shared" si="10"/>
        <v>0</v>
      </c>
    </row>
    <row r="48" spans="1:13" x14ac:dyDescent="0.25">
      <c r="A48" s="26" t="str">
        <f t="shared" si="0"/>
        <v/>
      </c>
      <c r="B48" s="20" t="str">
        <f t="shared" si="11"/>
        <v/>
      </c>
      <c r="C48" s="27" t="e">
        <f t="shared" si="1"/>
        <v>#DIV/0!</v>
      </c>
      <c r="D48" s="27" t="e">
        <f t="shared" si="2"/>
        <v>#DIV/0!</v>
      </c>
      <c r="E48" s="27" t="e">
        <f t="shared" si="3"/>
        <v>#DIV/0!</v>
      </c>
      <c r="F48" s="27" t="e">
        <f t="shared" si="4"/>
        <v>#DIV/0!</v>
      </c>
      <c r="G48" s="27">
        <f t="shared" si="5"/>
        <v>0</v>
      </c>
      <c r="H48" s="27" t="e">
        <f t="shared" si="6"/>
        <v>#DIV/0!</v>
      </c>
      <c r="I48" s="27">
        <f t="shared" si="7"/>
        <v>0</v>
      </c>
      <c r="J48" s="26">
        <f>IFERROR('IOF 2'!L38+PA!$C$27/PA!$C$34*PA!F48,0)</f>
        <v>0</v>
      </c>
      <c r="K48" s="26">
        <f t="shared" si="8"/>
        <v>0</v>
      </c>
      <c r="L48" s="40">
        <f t="shared" si="9"/>
        <v>0</v>
      </c>
      <c r="M48" s="18">
        <f t="shared" si="10"/>
        <v>0</v>
      </c>
    </row>
    <row r="49" spans="1:13" x14ac:dyDescent="0.25">
      <c r="A49" s="26" t="str">
        <f t="shared" si="0"/>
        <v/>
      </c>
      <c r="B49" s="20" t="str">
        <f t="shared" si="11"/>
        <v/>
      </c>
      <c r="C49" s="27" t="e">
        <f t="shared" si="1"/>
        <v>#DIV/0!</v>
      </c>
      <c r="D49" s="27" t="e">
        <f t="shared" si="2"/>
        <v>#DIV/0!</v>
      </c>
      <c r="E49" s="27" t="e">
        <f t="shared" si="3"/>
        <v>#DIV/0!</v>
      </c>
      <c r="F49" s="27" t="e">
        <f t="shared" si="4"/>
        <v>#DIV/0!</v>
      </c>
      <c r="G49" s="27">
        <f t="shared" si="5"/>
        <v>0</v>
      </c>
      <c r="H49" s="27" t="e">
        <f t="shared" si="6"/>
        <v>#DIV/0!</v>
      </c>
      <c r="I49" s="27">
        <f t="shared" si="7"/>
        <v>0</v>
      </c>
      <c r="J49" s="26">
        <f>IFERROR('IOF 2'!L39+PA!$C$27/PA!$C$34*PA!F49,0)</f>
        <v>0</v>
      </c>
      <c r="K49" s="26">
        <f t="shared" si="8"/>
        <v>0</v>
      </c>
      <c r="L49" s="40">
        <f t="shared" si="9"/>
        <v>0</v>
      </c>
      <c r="M49" s="18">
        <f t="shared" si="10"/>
        <v>0</v>
      </c>
    </row>
    <row r="50" spans="1:13" x14ac:dyDescent="0.25">
      <c r="A50" s="26" t="str">
        <f t="shared" si="0"/>
        <v/>
      </c>
      <c r="B50" s="20" t="str">
        <f t="shared" si="11"/>
        <v/>
      </c>
      <c r="C50" s="27" t="e">
        <f t="shared" si="1"/>
        <v>#DIV/0!</v>
      </c>
      <c r="D50" s="27" t="e">
        <f t="shared" si="2"/>
        <v>#DIV/0!</v>
      </c>
      <c r="E50" s="27" t="e">
        <f t="shared" si="3"/>
        <v>#DIV/0!</v>
      </c>
      <c r="F50" s="27" t="e">
        <f t="shared" si="4"/>
        <v>#DIV/0!</v>
      </c>
      <c r="G50" s="27">
        <f t="shared" si="5"/>
        <v>0</v>
      </c>
      <c r="H50" s="27" t="e">
        <f t="shared" si="6"/>
        <v>#DIV/0!</v>
      </c>
      <c r="I50" s="27">
        <f t="shared" si="7"/>
        <v>0</v>
      </c>
      <c r="J50" s="26">
        <f>IFERROR('IOF 2'!L40+PA!$C$27/PA!$C$34*PA!F50,0)</f>
        <v>0</v>
      </c>
      <c r="K50" s="26">
        <f t="shared" si="8"/>
        <v>0</v>
      </c>
      <c r="L50" s="40">
        <f t="shared" si="9"/>
        <v>0</v>
      </c>
      <c r="M50" s="18">
        <f t="shared" si="10"/>
        <v>0</v>
      </c>
    </row>
    <row r="51" spans="1:13" x14ac:dyDescent="0.25">
      <c r="A51" s="26" t="str">
        <f t="shared" si="0"/>
        <v/>
      </c>
      <c r="B51" s="20" t="str">
        <f t="shared" si="11"/>
        <v/>
      </c>
      <c r="C51" s="27" t="e">
        <f t="shared" si="1"/>
        <v>#DIV/0!</v>
      </c>
      <c r="D51" s="27" t="e">
        <f t="shared" si="2"/>
        <v>#DIV/0!</v>
      </c>
      <c r="E51" s="27" t="e">
        <f t="shared" si="3"/>
        <v>#DIV/0!</v>
      </c>
      <c r="F51" s="27" t="e">
        <f t="shared" si="4"/>
        <v>#DIV/0!</v>
      </c>
      <c r="G51" s="27">
        <f t="shared" si="5"/>
        <v>0</v>
      </c>
      <c r="H51" s="27" t="e">
        <f t="shared" si="6"/>
        <v>#DIV/0!</v>
      </c>
      <c r="I51" s="27">
        <f t="shared" si="7"/>
        <v>0</v>
      </c>
      <c r="J51" s="26">
        <f>IFERROR('IOF 2'!L41+PA!$C$27/PA!$C$34*PA!F51,0)</f>
        <v>0</v>
      </c>
      <c r="K51" s="26">
        <f t="shared" si="8"/>
        <v>0</v>
      </c>
      <c r="L51" s="40">
        <f t="shared" si="9"/>
        <v>0</v>
      </c>
      <c r="M51" s="18">
        <f t="shared" si="10"/>
        <v>0</v>
      </c>
    </row>
    <row r="52" spans="1:13" x14ac:dyDescent="0.25">
      <c r="A52" s="26" t="str">
        <f t="shared" si="0"/>
        <v/>
      </c>
      <c r="B52" s="20" t="str">
        <f t="shared" si="11"/>
        <v/>
      </c>
      <c r="C52" s="27" t="e">
        <f t="shared" si="1"/>
        <v>#DIV/0!</v>
      </c>
      <c r="D52" s="27" t="e">
        <f t="shared" si="2"/>
        <v>#DIV/0!</v>
      </c>
      <c r="E52" s="27" t="e">
        <f t="shared" si="3"/>
        <v>#DIV/0!</v>
      </c>
      <c r="F52" s="27" t="e">
        <f t="shared" si="4"/>
        <v>#DIV/0!</v>
      </c>
      <c r="G52" s="27">
        <f t="shared" si="5"/>
        <v>0</v>
      </c>
      <c r="H52" s="27" t="e">
        <f t="shared" si="6"/>
        <v>#DIV/0!</v>
      </c>
      <c r="I52" s="27">
        <f t="shared" si="7"/>
        <v>0</v>
      </c>
      <c r="J52" s="26">
        <f>IFERROR('IOF 2'!L42+PA!$C$27/PA!$C$34*PA!F52,0)</f>
        <v>0</v>
      </c>
      <c r="K52" s="26">
        <f t="shared" si="8"/>
        <v>0</v>
      </c>
      <c r="L52" s="40">
        <f t="shared" si="9"/>
        <v>0</v>
      </c>
      <c r="M52" s="18">
        <f t="shared" si="10"/>
        <v>0</v>
      </c>
    </row>
    <row r="53" spans="1:13" x14ac:dyDescent="0.25">
      <c r="A53" s="26" t="str">
        <f t="shared" si="0"/>
        <v/>
      </c>
      <c r="B53" s="20" t="str">
        <f t="shared" si="11"/>
        <v/>
      </c>
      <c r="C53" s="27" t="e">
        <f t="shared" si="1"/>
        <v>#DIV/0!</v>
      </c>
      <c r="D53" s="27" t="e">
        <f t="shared" si="2"/>
        <v>#DIV/0!</v>
      </c>
      <c r="E53" s="27" t="e">
        <f t="shared" si="3"/>
        <v>#DIV/0!</v>
      </c>
      <c r="F53" s="27" t="e">
        <f t="shared" si="4"/>
        <v>#DIV/0!</v>
      </c>
      <c r="G53" s="27">
        <f t="shared" si="5"/>
        <v>0</v>
      </c>
      <c r="H53" s="27" t="e">
        <f t="shared" si="6"/>
        <v>#DIV/0!</v>
      </c>
      <c r="I53" s="27">
        <f t="shared" si="7"/>
        <v>0</v>
      </c>
      <c r="J53" s="26">
        <f>IFERROR('IOF 2'!L43+PA!$C$27/PA!$C$34*PA!F53,0)</f>
        <v>0</v>
      </c>
      <c r="K53" s="26">
        <f t="shared" si="8"/>
        <v>0</v>
      </c>
      <c r="L53" s="40">
        <f t="shared" si="9"/>
        <v>0</v>
      </c>
      <c r="M53" s="18">
        <f t="shared" si="10"/>
        <v>0</v>
      </c>
    </row>
    <row r="54" spans="1:13" x14ac:dyDescent="0.25">
      <c r="A54" s="26" t="str">
        <f t="shared" si="0"/>
        <v/>
      </c>
      <c r="B54" s="20" t="str">
        <f t="shared" si="11"/>
        <v/>
      </c>
      <c r="C54" s="27" t="e">
        <f t="shared" si="1"/>
        <v>#DIV/0!</v>
      </c>
      <c r="D54" s="27" t="e">
        <f t="shared" si="2"/>
        <v>#DIV/0!</v>
      </c>
      <c r="E54" s="27" t="e">
        <f t="shared" si="3"/>
        <v>#DIV/0!</v>
      </c>
      <c r="F54" s="27" t="e">
        <f t="shared" si="4"/>
        <v>#DIV/0!</v>
      </c>
      <c r="G54" s="27">
        <f t="shared" si="5"/>
        <v>0</v>
      </c>
      <c r="H54" s="27" t="e">
        <f t="shared" si="6"/>
        <v>#DIV/0!</v>
      </c>
      <c r="I54" s="27">
        <f t="shared" si="7"/>
        <v>0</v>
      </c>
      <c r="J54" s="26">
        <f>IFERROR('IOF 2'!L44+PA!$C$27/PA!$C$34*PA!F54,0)</f>
        <v>0</v>
      </c>
      <c r="K54" s="26">
        <f t="shared" si="8"/>
        <v>0</v>
      </c>
      <c r="L54" s="40">
        <f t="shared" si="9"/>
        <v>0</v>
      </c>
      <c r="M54" s="18">
        <f t="shared" si="10"/>
        <v>0</v>
      </c>
    </row>
    <row r="55" spans="1:13" x14ac:dyDescent="0.25">
      <c r="A55" s="26" t="str">
        <f t="shared" si="0"/>
        <v/>
      </c>
      <c r="B55" s="20" t="str">
        <f t="shared" si="11"/>
        <v/>
      </c>
      <c r="C55" s="27" t="e">
        <f t="shared" si="1"/>
        <v>#DIV/0!</v>
      </c>
      <c r="D55" s="27" t="e">
        <f t="shared" si="2"/>
        <v>#DIV/0!</v>
      </c>
      <c r="E55" s="27" t="e">
        <f t="shared" si="3"/>
        <v>#DIV/0!</v>
      </c>
      <c r="F55" s="27" t="e">
        <f t="shared" si="4"/>
        <v>#DIV/0!</v>
      </c>
      <c r="G55" s="27">
        <f t="shared" si="5"/>
        <v>0</v>
      </c>
      <c r="H55" s="27" t="e">
        <f t="shared" si="6"/>
        <v>#DIV/0!</v>
      </c>
      <c r="I55" s="27">
        <f t="shared" si="7"/>
        <v>0</v>
      </c>
      <c r="J55" s="26">
        <f>IFERROR('IOF 2'!L45+PA!$C$27/PA!$C$34*PA!F55,0)</f>
        <v>0</v>
      </c>
      <c r="K55" s="26">
        <f t="shared" si="8"/>
        <v>0</v>
      </c>
      <c r="L55" s="40">
        <f t="shared" si="9"/>
        <v>0</v>
      </c>
      <c r="M55" s="18">
        <f t="shared" si="10"/>
        <v>0</v>
      </c>
    </row>
    <row r="56" spans="1:13" x14ac:dyDescent="0.25">
      <c r="A56" s="26" t="str">
        <f t="shared" si="0"/>
        <v/>
      </c>
      <c r="B56" s="20" t="str">
        <f t="shared" si="11"/>
        <v/>
      </c>
      <c r="C56" s="27" t="e">
        <f t="shared" si="1"/>
        <v>#DIV/0!</v>
      </c>
      <c r="D56" s="27" t="e">
        <f t="shared" si="2"/>
        <v>#DIV/0!</v>
      </c>
      <c r="E56" s="27" t="e">
        <f t="shared" si="3"/>
        <v>#DIV/0!</v>
      </c>
      <c r="F56" s="27" t="e">
        <f t="shared" si="4"/>
        <v>#DIV/0!</v>
      </c>
      <c r="G56" s="27">
        <f t="shared" si="5"/>
        <v>0</v>
      </c>
      <c r="H56" s="27" t="e">
        <f t="shared" si="6"/>
        <v>#DIV/0!</v>
      </c>
      <c r="I56" s="27">
        <f t="shared" si="7"/>
        <v>0</v>
      </c>
      <c r="J56" s="26">
        <f>IFERROR('IOF 2'!L46+PA!$C$27/PA!$C$34*PA!F56,0)</f>
        <v>0</v>
      </c>
      <c r="K56" s="26">
        <f t="shared" si="8"/>
        <v>0</v>
      </c>
      <c r="L56" s="40">
        <f t="shared" si="9"/>
        <v>0</v>
      </c>
      <c r="M56" s="18">
        <f t="shared" si="10"/>
        <v>0</v>
      </c>
    </row>
    <row r="57" spans="1:13" x14ac:dyDescent="0.25">
      <c r="A57" s="26" t="str">
        <f t="shared" si="0"/>
        <v/>
      </c>
      <c r="B57" s="20" t="str">
        <f t="shared" si="11"/>
        <v/>
      </c>
      <c r="C57" s="27" t="e">
        <f t="shared" si="1"/>
        <v>#DIV/0!</v>
      </c>
      <c r="D57" s="27" t="e">
        <f t="shared" si="2"/>
        <v>#DIV/0!</v>
      </c>
      <c r="E57" s="27" t="e">
        <f t="shared" si="3"/>
        <v>#DIV/0!</v>
      </c>
      <c r="F57" s="27" t="e">
        <f t="shared" si="4"/>
        <v>#DIV/0!</v>
      </c>
      <c r="G57" s="27">
        <f t="shared" si="5"/>
        <v>0</v>
      </c>
      <c r="H57" s="27" t="e">
        <f t="shared" si="6"/>
        <v>#DIV/0!</v>
      </c>
      <c r="I57" s="27">
        <f t="shared" si="7"/>
        <v>0</v>
      </c>
      <c r="J57" s="26">
        <f>IFERROR('IOF 2'!L47+PA!$C$27/PA!$C$34*PA!F57,0)</f>
        <v>0</v>
      </c>
      <c r="K57" s="26">
        <f t="shared" si="8"/>
        <v>0</v>
      </c>
      <c r="L57" s="40">
        <f t="shared" si="9"/>
        <v>0</v>
      </c>
      <c r="M57" s="18">
        <f t="shared" si="10"/>
        <v>0</v>
      </c>
    </row>
    <row r="58" spans="1:13" x14ac:dyDescent="0.25">
      <c r="A58" s="26" t="str">
        <f t="shared" si="0"/>
        <v/>
      </c>
      <c r="B58" s="20" t="str">
        <f t="shared" si="11"/>
        <v/>
      </c>
      <c r="C58" s="27" t="e">
        <f t="shared" si="1"/>
        <v>#DIV/0!</v>
      </c>
      <c r="D58" s="27" t="e">
        <f t="shared" si="2"/>
        <v>#DIV/0!</v>
      </c>
      <c r="E58" s="27" t="e">
        <f t="shared" si="3"/>
        <v>#DIV/0!</v>
      </c>
      <c r="F58" s="27" t="e">
        <f t="shared" si="4"/>
        <v>#DIV/0!</v>
      </c>
      <c r="G58" s="27">
        <f t="shared" si="5"/>
        <v>0</v>
      </c>
      <c r="H58" s="27" t="e">
        <f t="shared" si="6"/>
        <v>#DIV/0!</v>
      </c>
      <c r="I58" s="27">
        <f t="shared" si="7"/>
        <v>0</v>
      </c>
      <c r="J58" s="26">
        <f>IFERROR('IOF 2'!L48+PA!$C$27/PA!$C$34*PA!F58,0)</f>
        <v>0</v>
      </c>
      <c r="K58" s="26">
        <f t="shared" si="8"/>
        <v>0</v>
      </c>
      <c r="L58" s="40">
        <f t="shared" si="9"/>
        <v>0</v>
      </c>
      <c r="M58" s="18">
        <f t="shared" si="10"/>
        <v>0</v>
      </c>
    </row>
    <row r="59" spans="1:13" x14ac:dyDescent="0.25">
      <c r="A59" s="26" t="str">
        <f t="shared" si="0"/>
        <v/>
      </c>
      <c r="B59" s="20" t="str">
        <f t="shared" si="11"/>
        <v/>
      </c>
      <c r="C59" s="27" t="e">
        <f t="shared" si="1"/>
        <v>#DIV/0!</v>
      </c>
      <c r="D59" s="27" t="e">
        <f t="shared" si="2"/>
        <v>#DIV/0!</v>
      </c>
      <c r="E59" s="27" t="e">
        <f t="shared" si="3"/>
        <v>#DIV/0!</v>
      </c>
      <c r="F59" s="27" t="e">
        <f t="shared" si="4"/>
        <v>#DIV/0!</v>
      </c>
      <c r="G59" s="27">
        <f t="shared" si="5"/>
        <v>0</v>
      </c>
      <c r="H59" s="27" t="e">
        <f t="shared" si="6"/>
        <v>#DIV/0!</v>
      </c>
      <c r="I59" s="27">
        <f t="shared" si="7"/>
        <v>0</v>
      </c>
      <c r="J59" s="26">
        <f>IFERROR('IOF 2'!L49+PA!$C$27/PA!$C$34*PA!F59,0)</f>
        <v>0</v>
      </c>
      <c r="K59" s="26">
        <f t="shared" si="8"/>
        <v>0</v>
      </c>
      <c r="L59" s="40">
        <f t="shared" si="9"/>
        <v>0</v>
      </c>
      <c r="M59" s="18">
        <f t="shared" si="10"/>
        <v>0</v>
      </c>
    </row>
    <row r="60" spans="1:13" x14ac:dyDescent="0.25">
      <c r="A60" s="26" t="str">
        <f t="shared" si="0"/>
        <v/>
      </c>
      <c r="B60" s="20" t="str">
        <f t="shared" si="11"/>
        <v/>
      </c>
      <c r="C60" s="27" t="e">
        <f t="shared" si="1"/>
        <v>#DIV/0!</v>
      </c>
      <c r="D60" s="27" t="e">
        <f t="shared" si="2"/>
        <v>#DIV/0!</v>
      </c>
      <c r="E60" s="27" t="e">
        <f t="shared" si="3"/>
        <v>#DIV/0!</v>
      </c>
      <c r="F60" s="27" t="e">
        <f t="shared" si="4"/>
        <v>#DIV/0!</v>
      </c>
      <c r="G60" s="27">
        <f t="shared" si="5"/>
        <v>0</v>
      </c>
      <c r="H60" s="27" t="e">
        <f t="shared" si="6"/>
        <v>#DIV/0!</v>
      </c>
      <c r="I60" s="27">
        <f t="shared" si="7"/>
        <v>0</v>
      </c>
      <c r="J60" s="26">
        <f>IFERROR('IOF 2'!L50+PA!$C$27/PA!$C$34*PA!F60,0)</f>
        <v>0</v>
      </c>
      <c r="K60" s="26">
        <f t="shared" si="8"/>
        <v>0</v>
      </c>
      <c r="L60" s="40">
        <f t="shared" si="9"/>
        <v>0</v>
      </c>
      <c r="M60" s="18">
        <f t="shared" si="10"/>
        <v>0</v>
      </c>
    </row>
    <row r="61" spans="1:13" x14ac:dyDescent="0.25">
      <c r="A61" s="26" t="str">
        <f t="shared" si="0"/>
        <v/>
      </c>
      <c r="B61" s="20" t="str">
        <f t="shared" si="11"/>
        <v/>
      </c>
      <c r="C61" s="27" t="e">
        <f t="shared" si="1"/>
        <v>#DIV/0!</v>
      </c>
      <c r="D61" s="27" t="e">
        <f t="shared" si="2"/>
        <v>#DIV/0!</v>
      </c>
      <c r="E61" s="27" t="e">
        <f t="shared" si="3"/>
        <v>#DIV/0!</v>
      </c>
      <c r="F61" s="27" t="e">
        <f t="shared" si="4"/>
        <v>#DIV/0!</v>
      </c>
      <c r="G61" s="27">
        <f t="shared" si="5"/>
        <v>0</v>
      </c>
      <c r="H61" s="27" t="e">
        <f t="shared" si="6"/>
        <v>#DIV/0!</v>
      </c>
      <c r="I61" s="27">
        <f t="shared" si="7"/>
        <v>0</v>
      </c>
      <c r="J61" s="26">
        <f>IFERROR('IOF 2'!L51+PA!$C$27/PA!$C$34*PA!F61,0)</f>
        <v>0</v>
      </c>
      <c r="K61" s="26">
        <f t="shared" si="8"/>
        <v>0</v>
      </c>
      <c r="L61" s="40">
        <f t="shared" si="9"/>
        <v>0</v>
      </c>
      <c r="M61" s="18">
        <f t="shared" si="10"/>
        <v>0</v>
      </c>
    </row>
    <row r="62" spans="1:13" x14ac:dyDescent="0.25">
      <c r="A62" s="26" t="str">
        <f t="shared" si="0"/>
        <v/>
      </c>
      <c r="B62" s="20" t="str">
        <f t="shared" si="11"/>
        <v/>
      </c>
      <c r="C62" s="27" t="e">
        <f t="shared" si="1"/>
        <v>#DIV/0!</v>
      </c>
      <c r="D62" s="27" t="e">
        <f t="shared" si="2"/>
        <v>#DIV/0!</v>
      </c>
      <c r="E62" s="27" t="e">
        <f t="shared" si="3"/>
        <v>#DIV/0!</v>
      </c>
      <c r="F62" s="27" t="e">
        <f t="shared" si="4"/>
        <v>#DIV/0!</v>
      </c>
      <c r="G62" s="27">
        <f t="shared" si="5"/>
        <v>0</v>
      </c>
      <c r="H62" s="27" t="e">
        <f t="shared" si="6"/>
        <v>#DIV/0!</v>
      </c>
      <c r="I62" s="27">
        <f t="shared" si="7"/>
        <v>0</v>
      </c>
      <c r="J62" s="26">
        <f>IFERROR('IOF 2'!L52+PA!$C$27/PA!$C$34*PA!F62,0)</f>
        <v>0</v>
      </c>
      <c r="K62" s="26">
        <f t="shared" si="8"/>
        <v>0</v>
      </c>
      <c r="L62" s="40">
        <f t="shared" si="9"/>
        <v>0</v>
      </c>
      <c r="M62" s="18">
        <f t="shared" si="10"/>
        <v>0</v>
      </c>
    </row>
    <row r="63" spans="1:13" x14ac:dyDescent="0.25">
      <c r="A63" s="26" t="str">
        <f t="shared" si="0"/>
        <v/>
      </c>
      <c r="B63" s="20" t="str">
        <f t="shared" si="11"/>
        <v/>
      </c>
      <c r="C63" s="27" t="e">
        <f t="shared" si="1"/>
        <v>#DIV/0!</v>
      </c>
      <c r="D63" s="27" t="e">
        <f t="shared" si="2"/>
        <v>#DIV/0!</v>
      </c>
      <c r="E63" s="27" t="e">
        <f t="shared" si="3"/>
        <v>#DIV/0!</v>
      </c>
      <c r="F63" s="27" t="e">
        <f t="shared" si="4"/>
        <v>#DIV/0!</v>
      </c>
      <c r="G63" s="27">
        <f t="shared" si="5"/>
        <v>0</v>
      </c>
      <c r="H63" s="27" t="e">
        <f t="shared" si="6"/>
        <v>#DIV/0!</v>
      </c>
      <c r="I63" s="27">
        <f t="shared" si="7"/>
        <v>0</v>
      </c>
      <c r="J63" s="26">
        <f>IFERROR('IOF 2'!L53+PA!$C$27/PA!$C$34*PA!F63,0)</f>
        <v>0</v>
      </c>
      <c r="K63" s="26">
        <f t="shared" si="8"/>
        <v>0</v>
      </c>
      <c r="L63" s="40">
        <f t="shared" si="9"/>
        <v>0</v>
      </c>
      <c r="M63" s="18">
        <f t="shared" si="10"/>
        <v>0</v>
      </c>
    </row>
    <row r="64" spans="1:13" x14ac:dyDescent="0.25">
      <c r="A64" s="26" t="str">
        <f t="shared" si="0"/>
        <v/>
      </c>
      <c r="B64" s="20" t="str">
        <f t="shared" si="11"/>
        <v/>
      </c>
      <c r="C64" s="27" t="e">
        <f t="shared" si="1"/>
        <v>#DIV/0!</v>
      </c>
      <c r="D64" s="27" t="e">
        <f t="shared" si="2"/>
        <v>#DIV/0!</v>
      </c>
      <c r="E64" s="27" t="e">
        <f t="shared" si="3"/>
        <v>#DIV/0!</v>
      </c>
      <c r="F64" s="27" t="e">
        <f t="shared" si="4"/>
        <v>#DIV/0!</v>
      </c>
      <c r="G64" s="27">
        <f t="shared" si="5"/>
        <v>0</v>
      </c>
      <c r="H64" s="27" t="e">
        <f t="shared" si="6"/>
        <v>#DIV/0!</v>
      </c>
      <c r="I64" s="27">
        <f t="shared" si="7"/>
        <v>0</v>
      </c>
      <c r="J64" s="26">
        <f>IFERROR('IOF 2'!L54+PA!$C$27/PA!$C$34*PA!F64,0)</f>
        <v>0</v>
      </c>
      <c r="K64" s="26">
        <f t="shared" si="8"/>
        <v>0</v>
      </c>
      <c r="L64" s="40">
        <f t="shared" si="9"/>
        <v>0</v>
      </c>
      <c r="M64" s="18">
        <f t="shared" si="10"/>
        <v>0</v>
      </c>
    </row>
    <row r="65" spans="1:13" x14ac:dyDescent="0.25">
      <c r="A65" s="26" t="str">
        <f t="shared" si="0"/>
        <v/>
      </c>
      <c r="B65" s="20" t="str">
        <f t="shared" si="11"/>
        <v/>
      </c>
      <c r="C65" s="27" t="e">
        <f t="shared" si="1"/>
        <v>#DIV/0!</v>
      </c>
      <c r="D65" s="27" t="e">
        <f t="shared" si="2"/>
        <v>#DIV/0!</v>
      </c>
      <c r="E65" s="27" t="e">
        <f t="shared" si="3"/>
        <v>#DIV/0!</v>
      </c>
      <c r="F65" s="27" t="e">
        <f t="shared" si="4"/>
        <v>#DIV/0!</v>
      </c>
      <c r="G65" s="27">
        <f t="shared" si="5"/>
        <v>0</v>
      </c>
      <c r="H65" s="27" t="e">
        <f t="shared" si="6"/>
        <v>#DIV/0!</v>
      </c>
      <c r="I65" s="27">
        <f t="shared" si="7"/>
        <v>0</v>
      </c>
      <c r="J65" s="26">
        <f>IFERROR('IOF 2'!L55+PA!$C$27/PA!$C$34*PA!F65,0)</f>
        <v>0</v>
      </c>
      <c r="K65" s="26">
        <f t="shared" si="8"/>
        <v>0</v>
      </c>
      <c r="L65" s="40">
        <f t="shared" si="9"/>
        <v>0</v>
      </c>
      <c r="M65" s="18">
        <f t="shared" si="10"/>
        <v>0</v>
      </c>
    </row>
    <row r="66" spans="1:13" x14ac:dyDescent="0.25">
      <c r="A66" s="26" t="str">
        <f t="shared" si="0"/>
        <v/>
      </c>
      <c r="B66" s="20" t="str">
        <f t="shared" si="11"/>
        <v/>
      </c>
      <c r="C66" s="27" t="e">
        <f t="shared" si="1"/>
        <v>#DIV/0!</v>
      </c>
      <c r="D66" s="27" t="e">
        <f t="shared" si="2"/>
        <v>#DIV/0!</v>
      </c>
      <c r="E66" s="27" t="e">
        <f t="shared" si="3"/>
        <v>#DIV/0!</v>
      </c>
      <c r="F66" s="27" t="e">
        <f t="shared" si="4"/>
        <v>#DIV/0!</v>
      </c>
      <c r="G66" s="27">
        <f t="shared" si="5"/>
        <v>0</v>
      </c>
      <c r="H66" s="27" t="e">
        <f t="shared" si="6"/>
        <v>#DIV/0!</v>
      </c>
      <c r="I66" s="27">
        <f t="shared" si="7"/>
        <v>0</v>
      </c>
      <c r="J66" s="26">
        <f>IFERROR('IOF 2'!L56+PA!$C$27/PA!$C$34*PA!F66,0)</f>
        <v>0</v>
      </c>
      <c r="K66" s="26">
        <f t="shared" si="8"/>
        <v>0</v>
      </c>
      <c r="L66" s="40">
        <f t="shared" si="9"/>
        <v>0</v>
      </c>
      <c r="M66" s="18">
        <f t="shared" si="10"/>
        <v>0</v>
      </c>
    </row>
    <row r="67" spans="1:13" x14ac:dyDescent="0.25">
      <c r="A67" s="26" t="str">
        <f t="shared" si="0"/>
        <v/>
      </c>
      <c r="B67" s="20" t="str">
        <f t="shared" si="11"/>
        <v/>
      </c>
      <c r="C67" s="27" t="e">
        <f t="shared" si="1"/>
        <v>#DIV/0!</v>
      </c>
      <c r="D67" s="27" t="e">
        <f t="shared" si="2"/>
        <v>#DIV/0!</v>
      </c>
      <c r="E67" s="27" t="e">
        <f t="shared" si="3"/>
        <v>#DIV/0!</v>
      </c>
      <c r="F67" s="27" t="e">
        <f t="shared" si="4"/>
        <v>#DIV/0!</v>
      </c>
      <c r="G67" s="27">
        <f t="shared" si="5"/>
        <v>0</v>
      </c>
      <c r="H67" s="27" t="e">
        <f t="shared" si="6"/>
        <v>#DIV/0!</v>
      </c>
      <c r="I67" s="27">
        <f t="shared" si="7"/>
        <v>0</v>
      </c>
      <c r="J67" s="26">
        <f>IFERROR('IOF 2'!L57+PA!$C$27/PA!$C$34*PA!F67,0)</f>
        <v>0</v>
      </c>
      <c r="K67" s="26">
        <f t="shared" si="8"/>
        <v>0</v>
      </c>
      <c r="L67" s="40">
        <f t="shared" si="9"/>
        <v>0</v>
      </c>
      <c r="M67" s="18">
        <f t="shared" si="10"/>
        <v>0</v>
      </c>
    </row>
    <row r="68" spans="1:13" x14ac:dyDescent="0.25">
      <c r="A68" s="26" t="str">
        <f t="shared" si="0"/>
        <v/>
      </c>
      <c r="B68" s="20" t="str">
        <f t="shared" si="11"/>
        <v/>
      </c>
      <c r="C68" s="27" t="e">
        <f t="shared" si="1"/>
        <v>#DIV/0!</v>
      </c>
      <c r="D68" s="27" t="e">
        <f t="shared" si="2"/>
        <v>#DIV/0!</v>
      </c>
      <c r="E68" s="27" t="e">
        <f t="shared" si="3"/>
        <v>#DIV/0!</v>
      </c>
      <c r="F68" s="27" t="e">
        <f t="shared" si="4"/>
        <v>#DIV/0!</v>
      </c>
      <c r="G68" s="27">
        <f t="shared" si="5"/>
        <v>0</v>
      </c>
      <c r="H68" s="27" t="e">
        <f t="shared" si="6"/>
        <v>#DIV/0!</v>
      </c>
      <c r="I68" s="27">
        <f t="shared" si="7"/>
        <v>0</v>
      </c>
      <c r="J68" s="26">
        <f>IFERROR('IOF 2'!L58+PA!$C$27/PA!$C$34*PA!F68,0)</f>
        <v>0</v>
      </c>
      <c r="K68" s="26">
        <f t="shared" si="8"/>
        <v>0</v>
      </c>
      <c r="L68" s="40">
        <f t="shared" si="9"/>
        <v>0</v>
      </c>
      <c r="M68" s="18">
        <f t="shared" si="10"/>
        <v>0</v>
      </c>
    </row>
    <row r="69" spans="1:13" x14ac:dyDescent="0.25">
      <c r="A69" s="26" t="str">
        <f t="shared" si="0"/>
        <v/>
      </c>
      <c r="B69" s="20" t="str">
        <f t="shared" si="11"/>
        <v/>
      </c>
      <c r="C69" s="27" t="e">
        <f t="shared" si="1"/>
        <v>#DIV/0!</v>
      </c>
      <c r="D69" s="27" t="e">
        <f t="shared" si="2"/>
        <v>#DIV/0!</v>
      </c>
      <c r="E69" s="27" t="e">
        <f t="shared" si="3"/>
        <v>#DIV/0!</v>
      </c>
      <c r="F69" s="27" t="e">
        <f t="shared" si="4"/>
        <v>#DIV/0!</v>
      </c>
      <c r="G69" s="27">
        <f t="shared" si="5"/>
        <v>0</v>
      </c>
      <c r="H69" s="27" t="e">
        <f t="shared" si="6"/>
        <v>#DIV/0!</v>
      </c>
      <c r="I69" s="27">
        <f t="shared" si="7"/>
        <v>0</v>
      </c>
      <c r="J69" s="26">
        <f>IFERROR('IOF 2'!L59+PA!$C$27/PA!$C$34*PA!F69,0)</f>
        <v>0</v>
      </c>
      <c r="K69" s="26">
        <f t="shared" si="8"/>
        <v>0</v>
      </c>
      <c r="L69" s="40">
        <f t="shared" si="9"/>
        <v>0</v>
      </c>
      <c r="M69" s="18">
        <f t="shared" si="10"/>
        <v>0</v>
      </c>
    </row>
    <row r="70" spans="1:13" x14ac:dyDescent="0.25">
      <c r="A70" s="26" t="str">
        <f t="shared" si="0"/>
        <v/>
      </c>
      <c r="B70" s="20" t="str">
        <f t="shared" si="11"/>
        <v/>
      </c>
      <c r="C70" s="27" t="e">
        <f t="shared" si="1"/>
        <v>#DIV/0!</v>
      </c>
      <c r="D70" s="27" t="e">
        <f t="shared" si="2"/>
        <v>#DIV/0!</v>
      </c>
      <c r="E70" s="27" t="e">
        <f t="shared" si="3"/>
        <v>#DIV/0!</v>
      </c>
      <c r="F70" s="27" t="e">
        <f t="shared" si="4"/>
        <v>#DIV/0!</v>
      </c>
      <c r="G70" s="27">
        <f t="shared" si="5"/>
        <v>0</v>
      </c>
      <c r="H70" s="27" t="e">
        <f t="shared" si="6"/>
        <v>#DIV/0!</v>
      </c>
      <c r="I70" s="27">
        <f t="shared" si="7"/>
        <v>0</v>
      </c>
      <c r="J70" s="26">
        <f>IFERROR('IOF 2'!L60+PA!$C$27/PA!$C$34*PA!F70,0)</f>
        <v>0</v>
      </c>
      <c r="K70" s="26">
        <f t="shared" si="8"/>
        <v>0</v>
      </c>
      <c r="L70" s="40">
        <f t="shared" si="9"/>
        <v>0</v>
      </c>
      <c r="M70" s="18">
        <f t="shared" si="10"/>
        <v>0</v>
      </c>
    </row>
    <row r="71" spans="1:13" x14ac:dyDescent="0.25">
      <c r="A71" s="26" t="str">
        <f t="shared" si="0"/>
        <v/>
      </c>
      <c r="B71" s="20" t="str">
        <f t="shared" si="11"/>
        <v/>
      </c>
      <c r="C71" s="27" t="e">
        <f t="shared" si="1"/>
        <v>#DIV/0!</v>
      </c>
      <c r="D71" s="27" t="e">
        <f t="shared" si="2"/>
        <v>#DIV/0!</v>
      </c>
      <c r="E71" s="27" t="e">
        <f t="shared" si="3"/>
        <v>#DIV/0!</v>
      </c>
      <c r="F71" s="27" t="e">
        <f t="shared" si="4"/>
        <v>#DIV/0!</v>
      </c>
      <c r="G71" s="27">
        <f t="shared" si="5"/>
        <v>0</v>
      </c>
      <c r="H71" s="27" t="e">
        <f t="shared" si="6"/>
        <v>#DIV/0!</v>
      </c>
      <c r="I71" s="27">
        <f t="shared" si="7"/>
        <v>0</v>
      </c>
      <c r="J71" s="26">
        <f>IFERROR('IOF 2'!L61+PA!$C$27/PA!$C$34*PA!F71,0)</f>
        <v>0</v>
      </c>
      <c r="K71" s="26">
        <f t="shared" si="8"/>
        <v>0</v>
      </c>
      <c r="L71" s="40">
        <f t="shared" si="9"/>
        <v>0</v>
      </c>
      <c r="M71" s="18">
        <f t="shared" si="10"/>
        <v>0</v>
      </c>
    </row>
    <row r="72" spans="1:13" x14ac:dyDescent="0.25">
      <c r="A72" s="26" t="str">
        <f t="shared" si="0"/>
        <v/>
      </c>
      <c r="B72" s="20" t="str">
        <f t="shared" si="11"/>
        <v/>
      </c>
      <c r="C72" s="27" t="e">
        <f t="shared" si="1"/>
        <v>#DIV/0!</v>
      </c>
      <c r="D72" s="27" t="e">
        <f t="shared" si="2"/>
        <v>#DIV/0!</v>
      </c>
      <c r="E72" s="27" t="e">
        <f t="shared" si="3"/>
        <v>#DIV/0!</v>
      </c>
      <c r="F72" s="27" t="e">
        <f t="shared" si="4"/>
        <v>#DIV/0!</v>
      </c>
      <c r="G72" s="27">
        <f t="shared" si="5"/>
        <v>0</v>
      </c>
      <c r="H72" s="27" t="e">
        <f t="shared" si="6"/>
        <v>#DIV/0!</v>
      </c>
      <c r="I72" s="27">
        <f t="shared" si="7"/>
        <v>0</v>
      </c>
      <c r="J72" s="26">
        <f>IFERROR('IOF 2'!L62+PA!$C$27/PA!$C$34*PA!F72,0)</f>
        <v>0</v>
      </c>
      <c r="K72" s="26">
        <f t="shared" si="8"/>
        <v>0</v>
      </c>
      <c r="L72" s="40">
        <f t="shared" si="9"/>
        <v>0</v>
      </c>
      <c r="M72" s="18">
        <f t="shared" si="10"/>
        <v>0</v>
      </c>
    </row>
    <row r="73" spans="1:13" x14ac:dyDescent="0.25">
      <c r="A73" s="26" t="str">
        <f t="shared" si="0"/>
        <v/>
      </c>
      <c r="B73" s="20" t="str">
        <f t="shared" si="11"/>
        <v/>
      </c>
      <c r="C73" s="27" t="e">
        <f t="shared" si="1"/>
        <v>#DIV/0!</v>
      </c>
      <c r="D73" s="27" t="e">
        <f t="shared" si="2"/>
        <v>#DIV/0!</v>
      </c>
      <c r="E73" s="27" t="e">
        <f t="shared" si="3"/>
        <v>#DIV/0!</v>
      </c>
      <c r="F73" s="27" t="e">
        <f t="shared" si="4"/>
        <v>#DIV/0!</v>
      </c>
      <c r="G73" s="27">
        <f t="shared" si="5"/>
        <v>0</v>
      </c>
      <c r="H73" s="27" t="e">
        <f t="shared" si="6"/>
        <v>#DIV/0!</v>
      </c>
      <c r="I73" s="27">
        <f t="shared" si="7"/>
        <v>0</v>
      </c>
      <c r="J73" s="26">
        <f>IFERROR('IOF 2'!L63+PA!$C$27/PA!$C$34*PA!F73,0)</f>
        <v>0</v>
      </c>
      <c r="K73" s="26">
        <f t="shared" si="8"/>
        <v>0</v>
      </c>
      <c r="L73" s="40">
        <f t="shared" si="9"/>
        <v>0</v>
      </c>
      <c r="M73" s="18">
        <f t="shared" si="10"/>
        <v>0</v>
      </c>
    </row>
    <row r="74" spans="1:13" x14ac:dyDescent="0.25">
      <c r="A74" s="26" t="str">
        <f t="shared" si="0"/>
        <v/>
      </c>
      <c r="B74" s="20" t="str">
        <f t="shared" si="11"/>
        <v/>
      </c>
      <c r="C74" s="27" t="e">
        <f t="shared" si="1"/>
        <v>#DIV/0!</v>
      </c>
      <c r="D74" s="27" t="e">
        <f t="shared" si="2"/>
        <v>#DIV/0!</v>
      </c>
      <c r="E74" s="27" t="e">
        <f t="shared" si="3"/>
        <v>#DIV/0!</v>
      </c>
      <c r="F74" s="27" t="e">
        <f t="shared" si="4"/>
        <v>#DIV/0!</v>
      </c>
      <c r="G74" s="27">
        <f t="shared" si="5"/>
        <v>0</v>
      </c>
      <c r="H74" s="27" t="e">
        <f t="shared" si="6"/>
        <v>#DIV/0!</v>
      </c>
      <c r="I74" s="27">
        <f t="shared" si="7"/>
        <v>0</v>
      </c>
      <c r="J74" s="26">
        <f>IFERROR('IOF 2'!L64+PA!$C$27/PA!$C$34*PA!F74,0)</f>
        <v>0</v>
      </c>
      <c r="K74" s="26">
        <f t="shared" si="8"/>
        <v>0</v>
      </c>
      <c r="L74" s="40">
        <f t="shared" si="9"/>
        <v>0</v>
      </c>
      <c r="M74" s="18">
        <f t="shared" si="10"/>
        <v>0</v>
      </c>
    </row>
    <row r="75" spans="1:13" x14ac:dyDescent="0.25">
      <c r="A75" s="26" t="str">
        <f t="shared" si="0"/>
        <v/>
      </c>
      <c r="B75" s="20" t="str">
        <f t="shared" si="11"/>
        <v/>
      </c>
      <c r="C75" s="27" t="e">
        <f t="shared" si="1"/>
        <v>#DIV/0!</v>
      </c>
      <c r="D75" s="27" t="e">
        <f t="shared" si="2"/>
        <v>#DIV/0!</v>
      </c>
      <c r="E75" s="27" t="e">
        <f t="shared" si="3"/>
        <v>#DIV/0!</v>
      </c>
      <c r="F75" s="27" t="e">
        <f t="shared" si="4"/>
        <v>#DIV/0!</v>
      </c>
      <c r="G75" s="27">
        <f t="shared" si="5"/>
        <v>0</v>
      </c>
      <c r="H75" s="27" t="e">
        <f t="shared" si="6"/>
        <v>#DIV/0!</v>
      </c>
      <c r="I75" s="27">
        <f t="shared" si="7"/>
        <v>0</v>
      </c>
      <c r="J75" s="26">
        <f>IFERROR('IOF 2'!L65+PA!$C$27/PA!$C$34*PA!F75,0)</f>
        <v>0</v>
      </c>
      <c r="K75" s="26">
        <f t="shared" si="8"/>
        <v>0</v>
      </c>
      <c r="L75" s="40">
        <f t="shared" si="9"/>
        <v>0</v>
      </c>
      <c r="M75" s="18">
        <f t="shared" si="10"/>
        <v>0</v>
      </c>
    </row>
    <row r="76" spans="1:13" x14ac:dyDescent="0.25">
      <c r="A76" s="26" t="str">
        <f t="shared" si="0"/>
        <v/>
      </c>
      <c r="B76" s="20" t="str">
        <f t="shared" si="11"/>
        <v/>
      </c>
      <c r="C76" s="27" t="e">
        <f t="shared" si="1"/>
        <v>#DIV/0!</v>
      </c>
      <c r="D76" s="27" t="e">
        <f t="shared" si="2"/>
        <v>#DIV/0!</v>
      </c>
      <c r="E76" s="27" t="e">
        <f t="shared" si="3"/>
        <v>#DIV/0!</v>
      </c>
      <c r="F76" s="27" t="e">
        <f t="shared" si="4"/>
        <v>#DIV/0!</v>
      </c>
      <c r="G76" s="27">
        <f t="shared" si="5"/>
        <v>0</v>
      </c>
      <c r="H76" s="27" t="e">
        <f t="shared" si="6"/>
        <v>#DIV/0!</v>
      </c>
      <c r="I76" s="27">
        <f t="shared" si="7"/>
        <v>0</v>
      </c>
      <c r="J76" s="26">
        <f>IFERROR('IOF 2'!L66+PA!$C$27/PA!$C$34*PA!F76,0)</f>
        <v>0</v>
      </c>
      <c r="K76" s="26">
        <f t="shared" si="8"/>
        <v>0</v>
      </c>
      <c r="L76" s="40">
        <f t="shared" si="9"/>
        <v>0</v>
      </c>
      <c r="M76" s="18">
        <f t="shared" si="10"/>
        <v>0</v>
      </c>
    </row>
    <row r="77" spans="1:13" x14ac:dyDescent="0.25">
      <c r="A77" s="26" t="str">
        <f t="shared" si="0"/>
        <v/>
      </c>
      <c r="B77" s="20" t="str">
        <f t="shared" si="11"/>
        <v/>
      </c>
      <c r="C77" s="27" t="e">
        <f t="shared" si="1"/>
        <v>#DIV/0!</v>
      </c>
      <c r="D77" s="27" t="e">
        <f t="shared" si="2"/>
        <v>#DIV/0!</v>
      </c>
      <c r="E77" s="27" t="e">
        <f t="shared" si="3"/>
        <v>#DIV/0!</v>
      </c>
      <c r="F77" s="27" t="e">
        <f t="shared" si="4"/>
        <v>#DIV/0!</v>
      </c>
      <c r="G77" s="27">
        <f t="shared" si="5"/>
        <v>0</v>
      </c>
      <c r="H77" s="27" t="e">
        <f t="shared" si="6"/>
        <v>#DIV/0!</v>
      </c>
      <c r="I77" s="27">
        <f t="shared" si="7"/>
        <v>0</v>
      </c>
      <c r="J77" s="26">
        <f>IFERROR('IOF 2'!L67+PA!$C$27/PA!$C$34*PA!F77,0)</f>
        <v>0</v>
      </c>
      <c r="K77" s="26">
        <f t="shared" si="8"/>
        <v>0</v>
      </c>
      <c r="L77" s="40">
        <f t="shared" si="9"/>
        <v>0</v>
      </c>
      <c r="M77" s="18">
        <f t="shared" si="10"/>
        <v>0</v>
      </c>
    </row>
    <row r="78" spans="1:13" x14ac:dyDescent="0.25">
      <c r="A78" s="26" t="str">
        <f t="shared" si="0"/>
        <v/>
      </c>
      <c r="B78" s="20" t="str">
        <f t="shared" si="11"/>
        <v/>
      </c>
      <c r="C78" s="27" t="e">
        <f t="shared" si="1"/>
        <v>#DIV/0!</v>
      </c>
      <c r="D78" s="27" t="e">
        <f t="shared" si="2"/>
        <v>#DIV/0!</v>
      </c>
      <c r="E78" s="27" t="e">
        <f t="shared" si="3"/>
        <v>#DIV/0!</v>
      </c>
      <c r="F78" s="27" t="e">
        <f t="shared" si="4"/>
        <v>#DIV/0!</v>
      </c>
      <c r="G78" s="27">
        <f t="shared" si="5"/>
        <v>0</v>
      </c>
      <c r="H78" s="27" t="e">
        <f t="shared" si="6"/>
        <v>#DIV/0!</v>
      </c>
      <c r="I78" s="27">
        <f t="shared" si="7"/>
        <v>0</v>
      </c>
      <c r="J78" s="26">
        <f>IFERROR('IOF 2'!L68+PA!$C$27/PA!$C$34*PA!F78,0)</f>
        <v>0</v>
      </c>
      <c r="K78" s="26">
        <f t="shared" si="8"/>
        <v>0</v>
      </c>
      <c r="L78" s="40">
        <f t="shared" si="9"/>
        <v>0</v>
      </c>
      <c r="M78" s="18">
        <f t="shared" si="10"/>
        <v>0</v>
      </c>
    </row>
    <row r="79" spans="1:13" x14ac:dyDescent="0.25">
      <c r="A79" s="26" t="str">
        <f t="shared" si="0"/>
        <v/>
      </c>
      <c r="B79" s="20" t="str">
        <f t="shared" si="11"/>
        <v/>
      </c>
      <c r="C79" s="27" t="e">
        <f t="shared" si="1"/>
        <v>#DIV/0!</v>
      </c>
      <c r="D79" s="27" t="e">
        <f t="shared" si="2"/>
        <v>#DIV/0!</v>
      </c>
      <c r="E79" s="27" t="e">
        <f t="shared" si="3"/>
        <v>#DIV/0!</v>
      </c>
      <c r="F79" s="27" t="e">
        <f t="shared" si="4"/>
        <v>#DIV/0!</v>
      </c>
      <c r="G79" s="27">
        <f t="shared" si="5"/>
        <v>0</v>
      </c>
      <c r="H79" s="27" t="e">
        <f t="shared" si="6"/>
        <v>#DIV/0!</v>
      </c>
      <c r="I79" s="27">
        <f t="shared" si="7"/>
        <v>0</v>
      </c>
      <c r="J79" s="26">
        <f>IFERROR('IOF 2'!L69+PA!$C$27/PA!$C$34*PA!F79,0)</f>
        <v>0</v>
      </c>
      <c r="K79" s="26">
        <f t="shared" si="8"/>
        <v>0</v>
      </c>
      <c r="L79" s="40">
        <f t="shared" si="9"/>
        <v>0</v>
      </c>
      <c r="M79" s="18">
        <f t="shared" si="10"/>
        <v>0</v>
      </c>
    </row>
    <row r="80" spans="1:13" x14ac:dyDescent="0.25">
      <c r="A80" s="26" t="str">
        <f t="shared" si="0"/>
        <v/>
      </c>
      <c r="B80" s="20" t="str">
        <f t="shared" si="11"/>
        <v/>
      </c>
      <c r="C80" s="27" t="e">
        <f t="shared" si="1"/>
        <v>#DIV/0!</v>
      </c>
      <c r="D80" s="27" t="e">
        <f t="shared" si="2"/>
        <v>#DIV/0!</v>
      </c>
      <c r="E80" s="27" t="e">
        <f t="shared" si="3"/>
        <v>#DIV/0!</v>
      </c>
      <c r="F80" s="27" t="e">
        <f t="shared" si="4"/>
        <v>#DIV/0!</v>
      </c>
      <c r="G80" s="27">
        <f t="shared" si="5"/>
        <v>0</v>
      </c>
      <c r="H80" s="27" t="e">
        <f t="shared" si="6"/>
        <v>#DIV/0!</v>
      </c>
      <c r="I80" s="27">
        <f t="shared" si="7"/>
        <v>0</v>
      </c>
      <c r="J80" s="26">
        <f>IFERROR('IOF 2'!L70+PA!$C$27/PA!$C$34*PA!F80,0)</f>
        <v>0</v>
      </c>
      <c r="K80" s="26">
        <f t="shared" si="8"/>
        <v>0</v>
      </c>
      <c r="L80" s="40">
        <f t="shared" si="9"/>
        <v>0</v>
      </c>
      <c r="M80" s="18">
        <f t="shared" si="10"/>
        <v>0</v>
      </c>
    </row>
    <row r="81" spans="1:13" x14ac:dyDescent="0.25">
      <c r="A81" s="26" t="str">
        <f t="shared" si="0"/>
        <v/>
      </c>
      <c r="B81" s="20" t="str">
        <f t="shared" si="11"/>
        <v/>
      </c>
      <c r="C81" s="27" t="e">
        <f t="shared" si="1"/>
        <v>#DIV/0!</v>
      </c>
      <c r="D81" s="27" t="e">
        <f t="shared" si="2"/>
        <v>#DIV/0!</v>
      </c>
      <c r="E81" s="27" t="e">
        <f t="shared" si="3"/>
        <v>#DIV/0!</v>
      </c>
      <c r="F81" s="27" t="e">
        <f t="shared" si="4"/>
        <v>#DIV/0!</v>
      </c>
      <c r="G81" s="27">
        <f t="shared" si="5"/>
        <v>0</v>
      </c>
      <c r="H81" s="27" t="e">
        <f t="shared" si="6"/>
        <v>#DIV/0!</v>
      </c>
      <c r="I81" s="27">
        <f t="shared" si="7"/>
        <v>0</v>
      </c>
      <c r="J81" s="26">
        <f>IFERROR('IOF 2'!L71+PA!$C$27/PA!$C$34*PA!F81,0)</f>
        <v>0</v>
      </c>
      <c r="K81" s="26">
        <f t="shared" si="8"/>
        <v>0</v>
      </c>
      <c r="L81" s="40">
        <f t="shared" si="9"/>
        <v>0</v>
      </c>
      <c r="M81" s="18">
        <f t="shared" si="10"/>
        <v>0</v>
      </c>
    </row>
    <row r="82" spans="1:13" x14ac:dyDescent="0.25">
      <c r="A82" s="26" t="str">
        <f t="shared" si="0"/>
        <v/>
      </c>
      <c r="B82" s="20" t="str">
        <f t="shared" si="11"/>
        <v/>
      </c>
      <c r="C82" s="27" t="e">
        <f t="shared" si="1"/>
        <v>#DIV/0!</v>
      </c>
      <c r="D82" s="27" t="e">
        <f t="shared" si="2"/>
        <v>#DIV/0!</v>
      </c>
      <c r="E82" s="27" t="e">
        <f t="shared" si="3"/>
        <v>#DIV/0!</v>
      </c>
      <c r="F82" s="27" t="e">
        <f t="shared" si="4"/>
        <v>#DIV/0!</v>
      </c>
      <c r="G82" s="27">
        <f t="shared" si="5"/>
        <v>0</v>
      </c>
      <c r="H82" s="27" t="e">
        <f t="shared" si="6"/>
        <v>#DIV/0!</v>
      </c>
      <c r="I82" s="27">
        <f t="shared" si="7"/>
        <v>0</v>
      </c>
      <c r="J82" s="26">
        <f>IFERROR('IOF 2'!L72+PA!$C$27/PA!$C$34*PA!F82,0)</f>
        <v>0</v>
      </c>
      <c r="K82" s="26">
        <f t="shared" si="8"/>
        <v>0</v>
      </c>
      <c r="L82" s="40">
        <f t="shared" si="9"/>
        <v>0</v>
      </c>
      <c r="M82" s="18">
        <f t="shared" si="10"/>
        <v>0</v>
      </c>
    </row>
    <row r="83" spans="1:13" x14ac:dyDescent="0.25">
      <c r="A83" s="26" t="str">
        <f t="shared" si="0"/>
        <v/>
      </c>
      <c r="B83" s="20" t="str">
        <f t="shared" si="11"/>
        <v/>
      </c>
      <c r="C83" s="27" t="e">
        <f t="shared" si="1"/>
        <v>#DIV/0!</v>
      </c>
      <c r="D83" s="27" t="e">
        <f t="shared" si="2"/>
        <v>#DIV/0!</v>
      </c>
      <c r="E83" s="27" t="e">
        <f t="shared" si="3"/>
        <v>#DIV/0!</v>
      </c>
      <c r="F83" s="27" t="e">
        <f t="shared" si="4"/>
        <v>#DIV/0!</v>
      </c>
      <c r="G83" s="27">
        <f t="shared" si="5"/>
        <v>0</v>
      </c>
      <c r="H83" s="27" t="e">
        <f t="shared" si="6"/>
        <v>#DIV/0!</v>
      </c>
      <c r="I83" s="27">
        <f t="shared" si="7"/>
        <v>0</v>
      </c>
      <c r="J83" s="26">
        <f>IFERROR('IOF 2'!L73+PA!$C$27/PA!$C$34*PA!F83,0)</f>
        <v>0</v>
      </c>
      <c r="K83" s="26">
        <f t="shared" si="8"/>
        <v>0</v>
      </c>
      <c r="L83" s="40">
        <f t="shared" si="9"/>
        <v>0</v>
      </c>
      <c r="M83" s="18">
        <f t="shared" si="10"/>
        <v>0</v>
      </c>
    </row>
    <row r="84" spans="1:13" x14ac:dyDescent="0.25">
      <c r="A84" s="26" t="str">
        <f t="shared" si="0"/>
        <v/>
      </c>
      <c r="B84" s="20" t="str">
        <f t="shared" si="11"/>
        <v/>
      </c>
      <c r="C84" s="27" t="e">
        <f t="shared" si="1"/>
        <v>#DIV/0!</v>
      </c>
      <c r="D84" s="27" t="e">
        <f t="shared" si="2"/>
        <v>#DIV/0!</v>
      </c>
      <c r="E84" s="27" t="e">
        <f t="shared" si="3"/>
        <v>#DIV/0!</v>
      </c>
      <c r="F84" s="27" t="e">
        <f t="shared" si="4"/>
        <v>#DIV/0!</v>
      </c>
      <c r="G84" s="27">
        <f t="shared" si="5"/>
        <v>0</v>
      </c>
      <c r="H84" s="27" t="e">
        <f t="shared" si="6"/>
        <v>#DIV/0!</v>
      </c>
      <c r="I84" s="27">
        <f t="shared" si="7"/>
        <v>0</v>
      </c>
      <c r="J84" s="26">
        <f>IFERROR('IOF 2'!L74+PA!$C$27/PA!$C$34*PA!F84,0)</f>
        <v>0</v>
      </c>
      <c r="K84" s="26">
        <f t="shared" si="8"/>
        <v>0</v>
      </c>
      <c r="L84" s="40">
        <f t="shared" si="9"/>
        <v>0</v>
      </c>
      <c r="M84" s="18">
        <f t="shared" si="10"/>
        <v>0</v>
      </c>
    </row>
    <row r="85" spans="1:13" x14ac:dyDescent="0.25">
      <c r="A85" s="26" t="str">
        <f t="shared" si="0"/>
        <v/>
      </c>
      <c r="B85" s="20" t="str">
        <f t="shared" si="11"/>
        <v/>
      </c>
      <c r="C85" s="27" t="e">
        <f t="shared" si="1"/>
        <v>#DIV/0!</v>
      </c>
      <c r="D85" s="27" t="e">
        <f t="shared" si="2"/>
        <v>#DIV/0!</v>
      </c>
      <c r="E85" s="27" t="e">
        <f t="shared" si="3"/>
        <v>#DIV/0!</v>
      </c>
      <c r="F85" s="27" t="e">
        <f t="shared" si="4"/>
        <v>#DIV/0!</v>
      </c>
      <c r="G85" s="27">
        <f t="shared" si="5"/>
        <v>0</v>
      </c>
      <c r="H85" s="27" t="e">
        <f t="shared" si="6"/>
        <v>#DIV/0!</v>
      </c>
      <c r="I85" s="27">
        <f t="shared" si="7"/>
        <v>0</v>
      </c>
      <c r="J85" s="26">
        <f>IFERROR('IOF 2'!L75+PA!$C$27/PA!$C$34*PA!F85,0)</f>
        <v>0</v>
      </c>
      <c r="K85" s="26">
        <f t="shared" si="8"/>
        <v>0</v>
      </c>
      <c r="L85" s="40">
        <f t="shared" si="9"/>
        <v>0</v>
      </c>
      <c r="M85" s="18">
        <f t="shared" si="10"/>
        <v>0</v>
      </c>
    </row>
    <row r="86" spans="1:13" x14ac:dyDescent="0.25">
      <c r="A86" s="26" t="str">
        <f t="shared" si="0"/>
        <v/>
      </c>
      <c r="B86" s="20" t="str">
        <f t="shared" si="11"/>
        <v/>
      </c>
      <c r="C86" s="27" t="e">
        <f t="shared" si="1"/>
        <v>#DIV/0!</v>
      </c>
      <c r="D86" s="27" t="e">
        <f t="shared" si="2"/>
        <v>#DIV/0!</v>
      </c>
      <c r="E86" s="27" t="e">
        <f t="shared" si="3"/>
        <v>#DIV/0!</v>
      </c>
      <c r="F86" s="27" t="e">
        <f t="shared" si="4"/>
        <v>#DIV/0!</v>
      </c>
      <c r="G86" s="27">
        <f t="shared" si="5"/>
        <v>0</v>
      </c>
      <c r="H86" s="27" t="e">
        <f t="shared" si="6"/>
        <v>#DIV/0!</v>
      </c>
      <c r="I86" s="27">
        <f t="shared" si="7"/>
        <v>0</v>
      </c>
      <c r="J86" s="26">
        <f>IFERROR('IOF 2'!L76+PA!$C$27/PA!$C$34*PA!F86,0)</f>
        <v>0</v>
      </c>
      <c r="K86" s="26">
        <f t="shared" si="8"/>
        <v>0</v>
      </c>
      <c r="L86" s="40">
        <f t="shared" si="9"/>
        <v>0</v>
      </c>
      <c r="M86" s="18">
        <f t="shared" si="10"/>
        <v>0</v>
      </c>
    </row>
    <row r="87" spans="1:13" x14ac:dyDescent="0.25">
      <c r="A87" s="26" t="str">
        <f t="shared" si="0"/>
        <v/>
      </c>
      <c r="B87" s="20" t="str">
        <f t="shared" si="11"/>
        <v/>
      </c>
      <c r="C87" s="27" t="e">
        <f t="shared" si="1"/>
        <v>#DIV/0!</v>
      </c>
      <c r="D87" s="27" t="e">
        <f t="shared" si="2"/>
        <v>#DIV/0!</v>
      </c>
      <c r="E87" s="27" t="e">
        <f t="shared" si="3"/>
        <v>#DIV/0!</v>
      </c>
      <c r="F87" s="27" t="e">
        <f t="shared" si="4"/>
        <v>#DIV/0!</v>
      </c>
      <c r="G87" s="27">
        <f t="shared" si="5"/>
        <v>0</v>
      </c>
      <c r="H87" s="27" t="e">
        <f t="shared" si="6"/>
        <v>#DIV/0!</v>
      </c>
      <c r="I87" s="27">
        <f t="shared" si="7"/>
        <v>0</v>
      </c>
      <c r="J87" s="26">
        <f>IFERROR('IOF 2'!L77+PA!$C$27/PA!$C$34*PA!F87,0)</f>
        <v>0</v>
      </c>
      <c r="K87" s="26">
        <f t="shared" si="8"/>
        <v>0</v>
      </c>
      <c r="L87" s="40">
        <f t="shared" si="9"/>
        <v>0</v>
      </c>
      <c r="M87" s="18">
        <f t="shared" si="10"/>
        <v>0</v>
      </c>
    </row>
    <row r="88" spans="1:13" x14ac:dyDescent="0.25">
      <c r="A88" s="26" t="str">
        <f t="shared" si="0"/>
        <v/>
      </c>
      <c r="B88" s="20" t="str">
        <f t="shared" si="11"/>
        <v/>
      </c>
      <c r="C88" s="27" t="e">
        <f t="shared" si="1"/>
        <v>#DIV/0!</v>
      </c>
      <c r="D88" s="27" t="e">
        <f t="shared" si="2"/>
        <v>#DIV/0!</v>
      </c>
      <c r="E88" s="27" t="e">
        <f t="shared" si="3"/>
        <v>#DIV/0!</v>
      </c>
      <c r="F88" s="27" t="e">
        <f t="shared" si="4"/>
        <v>#DIV/0!</v>
      </c>
      <c r="G88" s="27">
        <f t="shared" si="5"/>
        <v>0</v>
      </c>
      <c r="H88" s="27" t="e">
        <f t="shared" si="6"/>
        <v>#DIV/0!</v>
      </c>
      <c r="I88" s="27">
        <f t="shared" si="7"/>
        <v>0</v>
      </c>
      <c r="J88" s="26">
        <f>IFERROR('IOF 2'!L78+PA!$C$27/PA!$C$34*PA!F88,0)</f>
        <v>0</v>
      </c>
      <c r="K88" s="26">
        <f t="shared" si="8"/>
        <v>0</v>
      </c>
      <c r="L88" s="40">
        <f t="shared" si="9"/>
        <v>0</v>
      </c>
      <c r="M88" s="18">
        <f t="shared" si="10"/>
        <v>0</v>
      </c>
    </row>
    <row r="89" spans="1:13" x14ac:dyDescent="0.25">
      <c r="A89" s="26" t="str">
        <f t="shared" si="0"/>
        <v/>
      </c>
      <c r="B89" s="20" t="str">
        <f t="shared" si="11"/>
        <v/>
      </c>
      <c r="C89" s="27" t="e">
        <f t="shared" si="1"/>
        <v>#DIV/0!</v>
      </c>
      <c r="D89" s="27" t="e">
        <f t="shared" si="2"/>
        <v>#DIV/0!</v>
      </c>
      <c r="E89" s="27" t="e">
        <f t="shared" si="3"/>
        <v>#DIV/0!</v>
      </c>
      <c r="F89" s="27" t="e">
        <f t="shared" si="4"/>
        <v>#DIV/0!</v>
      </c>
      <c r="G89" s="27">
        <f t="shared" si="5"/>
        <v>0</v>
      </c>
      <c r="H89" s="27" t="e">
        <f t="shared" si="6"/>
        <v>#DIV/0!</v>
      </c>
      <c r="I89" s="27">
        <f t="shared" si="7"/>
        <v>0</v>
      </c>
      <c r="J89" s="26">
        <f>IFERROR('IOF 2'!L79+PA!$C$27/PA!$C$34*PA!F89,0)</f>
        <v>0</v>
      </c>
      <c r="K89" s="26">
        <f t="shared" si="8"/>
        <v>0</v>
      </c>
      <c r="L89" s="40">
        <f t="shared" si="9"/>
        <v>0</v>
      </c>
      <c r="M89" s="18">
        <f t="shared" si="10"/>
        <v>0</v>
      </c>
    </row>
    <row r="90" spans="1:13" x14ac:dyDescent="0.25">
      <c r="A90" s="26" t="str">
        <f t="shared" si="0"/>
        <v/>
      </c>
      <c r="B90" s="20" t="str">
        <f t="shared" si="11"/>
        <v/>
      </c>
      <c r="C90" s="27" t="e">
        <f t="shared" si="1"/>
        <v>#DIV/0!</v>
      </c>
      <c r="D90" s="27" t="e">
        <f t="shared" si="2"/>
        <v>#DIV/0!</v>
      </c>
      <c r="E90" s="27" t="e">
        <f t="shared" si="3"/>
        <v>#DIV/0!</v>
      </c>
      <c r="F90" s="27" t="e">
        <f t="shared" si="4"/>
        <v>#DIV/0!</v>
      </c>
      <c r="G90" s="27">
        <f t="shared" si="5"/>
        <v>0</v>
      </c>
      <c r="H90" s="27" t="e">
        <f t="shared" si="6"/>
        <v>#DIV/0!</v>
      </c>
      <c r="I90" s="27">
        <f t="shared" si="7"/>
        <v>0</v>
      </c>
      <c r="J90" s="26">
        <f>IFERROR('IOF 2'!L80+PA!$C$27/PA!$C$34*PA!F90,0)</f>
        <v>0</v>
      </c>
      <c r="K90" s="26">
        <f t="shared" si="8"/>
        <v>0</v>
      </c>
      <c r="L90" s="40">
        <f t="shared" si="9"/>
        <v>0</v>
      </c>
      <c r="M90" s="18">
        <f t="shared" si="10"/>
        <v>0</v>
      </c>
    </row>
    <row r="91" spans="1:13" x14ac:dyDescent="0.25">
      <c r="A91" s="26" t="str">
        <f t="shared" si="0"/>
        <v/>
      </c>
      <c r="B91" s="20" t="str">
        <f t="shared" si="11"/>
        <v/>
      </c>
      <c r="C91" s="27" t="e">
        <f t="shared" si="1"/>
        <v>#DIV/0!</v>
      </c>
      <c r="D91" s="27" t="e">
        <f t="shared" si="2"/>
        <v>#DIV/0!</v>
      </c>
      <c r="E91" s="27" t="e">
        <f t="shared" si="3"/>
        <v>#DIV/0!</v>
      </c>
      <c r="F91" s="27" t="e">
        <f t="shared" si="4"/>
        <v>#DIV/0!</v>
      </c>
      <c r="G91" s="27">
        <f t="shared" si="5"/>
        <v>0</v>
      </c>
      <c r="H91" s="27" t="e">
        <f t="shared" si="6"/>
        <v>#DIV/0!</v>
      </c>
      <c r="I91" s="27">
        <f t="shared" si="7"/>
        <v>0</v>
      </c>
      <c r="J91" s="26">
        <f>IFERROR('IOF 2'!L81+PA!$C$27/PA!$C$34*PA!F91,0)</f>
        <v>0</v>
      </c>
      <c r="K91" s="26">
        <f t="shared" si="8"/>
        <v>0</v>
      </c>
      <c r="L91" s="40">
        <f t="shared" si="9"/>
        <v>0</v>
      </c>
      <c r="M91" s="18">
        <f t="shared" si="10"/>
        <v>0</v>
      </c>
    </row>
    <row r="92" spans="1:13" x14ac:dyDescent="0.25">
      <c r="A92" s="26" t="str">
        <f t="shared" si="0"/>
        <v/>
      </c>
      <c r="B92" s="20" t="str">
        <f t="shared" si="11"/>
        <v/>
      </c>
      <c r="C92" s="27" t="e">
        <f t="shared" si="1"/>
        <v>#DIV/0!</v>
      </c>
      <c r="D92" s="27" t="e">
        <f t="shared" si="2"/>
        <v>#DIV/0!</v>
      </c>
      <c r="E92" s="27" t="e">
        <f t="shared" si="3"/>
        <v>#DIV/0!</v>
      </c>
      <c r="F92" s="27" t="e">
        <f t="shared" si="4"/>
        <v>#DIV/0!</v>
      </c>
      <c r="G92" s="27">
        <f t="shared" si="5"/>
        <v>0</v>
      </c>
      <c r="H92" s="27" t="e">
        <f t="shared" si="6"/>
        <v>#DIV/0!</v>
      </c>
      <c r="I92" s="27">
        <f t="shared" si="7"/>
        <v>0</v>
      </c>
      <c r="J92" s="26">
        <f>IFERROR('IOF 2'!L82+PA!$C$27/PA!$C$34*PA!F92,0)</f>
        <v>0</v>
      </c>
      <c r="K92" s="26">
        <f t="shared" si="8"/>
        <v>0</v>
      </c>
      <c r="L92" s="40">
        <f t="shared" si="9"/>
        <v>0</v>
      </c>
      <c r="M92" s="18">
        <f t="shared" si="10"/>
        <v>0</v>
      </c>
    </row>
    <row r="93" spans="1:13" x14ac:dyDescent="0.25">
      <c r="A93" s="26" t="str">
        <f t="shared" si="0"/>
        <v/>
      </c>
      <c r="B93" s="20" t="str">
        <f t="shared" si="11"/>
        <v/>
      </c>
      <c r="C93" s="27" t="e">
        <f t="shared" si="1"/>
        <v>#DIV/0!</v>
      </c>
      <c r="D93" s="27" t="e">
        <f t="shared" si="2"/>
        <v>#DIV/0!</v>
      </c>
      <c r="E93" s="27" t="e">
        <f t="shared" si="3"/>
        <v>#DIV/0!</v>
      </c>
      <c r="F93" s="27" t="e">
        <f t="shared" si="4"/>
        <v>#DIV/0!</v>
      </c>
      <c r="G93" s="27">
        <f t="shared" si="5"/>
        <v>0</v>
      </c>
      <c r="H93" s="27" t="e">
        <f t="shared" si="6"/>
        <v>#DIV/0!</v>
      </c>
      <c r="I93" s="27">
        <f t="shared" si="7"/>
        <v>0</v>
      </c>
      <c r="J93" s="26">
        <f>IFERROR('IOF 2'!L83+PA!$C$27/PA!$C$34*PA!F93,0)</f>
        <v>0</v>
      </c>
      <c r="K93" s="26">
        <f t="shared" si="8"/>
        <v>0</v>
      </c>
      <c r="L93" s="40">
        <f t="shared" si="9"/>
        <v>0</v>
      </c>
      <c r="M93" s="18">
        <f t="shared" si="10"/>
        <v>0</v>
      </c>
    </row>
    <row r="94" spans="1:13" x14ac:dyDescent="0.25">
      <c r="A94" s="26" t="str">
        <f t="shared" si="0"/>
        <v/>
      </c>
      <c r="B94" s="20" t="str">
        <f t="shared" si="11"/>
        <v/>
      </c>
      <c r="C94" s="27" t="e">
        <f t="shared" si="1"/>
        <v>#DIV/0!</v>
      </c>
      <c r="D94" s="27" t="e">
        <f t="shared" si="2"/>
        <v>#DIV/0!</v>
      </c>
      <c r="E94" s="27" t="e">
        <f t="shared" si="3"/>
        <v>#DIV/0!</v>
      </c>
      <c r="F94" s="27" t="e">
        <f t="shared" si="4"/>
        <v>#DIV/0!</v>
      </c>
      <c r="G94" s="27">
        <f t="shared" si="5"/>
        <v>0</v>
      </c>
      <c r="H94" s="27" t="e">
        <f t="shared" si="6"/>
        <v>#DIV/0!</v>
      </c>
      <c r="I94" s="27">
        <f t="shared" si="7"/>
        <v>0</v>
      </c>
      <c r="J94" s="26">
        <f>IFERROR('IOF 2'!L84+PA!$C$27/PA!$C$34*PA!F94,0)</f>
        <v>0</v>
      </c>
      <c r="K94" s="26">
        <f t="shared" si="8"/>
        <v>0</v>
      </c>
      <c r="L94" s="40">
        <f t="shared" si="9"/>
        <v>0</v>
      </c>
      <c r="M94" s="18">
        <f t="shared" si="10"/>
        <v>0</v>
      </c>
    </row>
    <row r="95" spans="1:13" x14ac:dyDescent="0.25">
      <c r="A95" s="26" t="str">
        <f t="shared" si="0"/>
        <v/>
      </c>
      <c r="B95" s="20" t="str">
        <f t="shared" si="11"/>
        <v/>
      </c>
      <c r="C95" s="27" t="e">
        <f t="shared" si="1"/>
        <v>#DIV/0!</v>
      </c>
      <c r="D95" s="27" t="e">
        <f t="shared" si="2"/>
        <v>#DIV/0!</v>
      </c>
      <c r="E95" s="27" t="e">
        <f t="shared" si="3"/>
        <v>#DIV/0!</v>
      </c>
      <c r="F95" s="27" t="e">
        <f t="shared" si="4"/>
        <v>#DIV/0!</v>
      </c>
      <c r="G95" s="27">
        <f t="shared" si="5"/>
        <v>0</v>
      </c>
      <c r="H95" s="27" t="e">
        <f t="shared" si="6"/>
        <v>#DIV/0!</v>
      </c>
      <c r="I95" s="27">
        <f t="shared" si="7"/>
        <v>0</v>
      </c>
      <c r="J95" s="26">
        <f>IFERROR('IOF 2'!L85+PA!$C$27/PA!$C$34*PA!F95,0)</f>
        <v>0</v>
      </c>
      <c r="K95" s="26">
        <f t="shared" si="8"/>
        <v>0</v>
      </c>
      <c r="L95" s="40">
        <f t="shared" si="9"/>
        <v>0</v>
      </c>
      <c r="M95" s="18">
        <f t="shared" si="10"/>
        <v>0</v>
      </c>
    </row>
    <row r="96" spans="1:13" x14ac:dyDescent="0.25">
      <c r="A96" s="26" t="str">
        <f t="shared" si="0"/>
        <v/>
      </c>
      <c r="B96" s="20" t="str">
        <f t="shared" si="11"/>
        <v/>
      </c>
      <c r="C96" s="27" t="e">
        <f t="shared" si="1"/>
        <v>#DIV/0!</v>
      </c>
      <c r="D96" s="27" t="e">
        <f t="shared" si="2"/>
        <v>#DIV/0!</v>
      </c>
      <c r="E96" s="27" t="e">
        <f t="shared" si="3"/>
        <v>#DIV/0!</v>
      </c>
      <c r="F96" s="27" t="e">
        <f t="shared" si="4"/>
        <v>#DIV/0!</v>
      </c>
      <c r="G96" s="27">
        <f t="shared" si="5"/>
        <v>0</v>
      </c>
      <c r="H96" s="27" t="e">
        <f t="shared" si="6"/>
        <v>#DIV/0!</v>
      </c>
      <c r="I96" s="27">
        <f t="shared" si="7"/>
        <v>0</v>
      </c>
      <c r="J96" s="26">
        <f>IFERROR('IOF 2'!L86+PA!$C$27/PA!$C$34*PA!F96,0)</f>
        <v>0</v>
      </c>
      <c r="K96" s="26">
        <f t="shared" si="8"/>
        <v>0</v>
      </c>
      <c r="L96" s="40">
        <f t="shared" si="9"/>
        <v>0</v>
      </c>
      <c r="M96" s="18">
        <f t="shared" si="10"/>
        <v>0</v>
      </c>
    </row>
    <row r="97" spans="1:13" x14ac:dyDescent="0.25">
      <c r="A97" s="26" t="str">
        <f t="shared" si="0"/>
        <v/>
      </c>
      <c r="B97" s="20" t="str">
        <f t="shared" si="11"/>
        <v/>
      </c>
      <c r="C97" s="27" t="e">
        <f t="shared" si="1"/>
        <v>#DIV/0!</v>
      </c>
      <c r="D97" s="27" t="e">
        <f t="shared" si="2"/>
        <v>#DIV/0!</v>
      </c>
      <c r="E97" s="27" t="e">
        <f t="shared" si="3"/>
        <v>#DIV/0!</v>
      </c>
      <c r="F97" s="27" t="e">
        <f t="shared" si="4"/>
        <v>#DIV/0!</v>
      </c>
      <c r="G97" s="27">
        <f t="shared" si="5"/>
        <v>0</v>
      </c>
      <c r="H97" s="27" t="e">
        <f t="shared" si="6"/>
        <v>#DIV/0!</v>
      </c>
      <c r="I97" s="27">
        <f t="shared" si="7"/>
        <v>0</v>
      </c>
      <c r="J97" s="26">
        <f>IFERROR('IOF 2'!L87+PA!$C$27/PA!$C$34*PA!F97,0)</f>
        <v>0</v>
      </c>
      <c r="K97" s="26">
        <f t="shared" si="8"/>
        <v>0</v>
      </c>
      <c r="L97" s="40">
        <f t="shared" si="9"/>
        <v>0</v>
      </c>
      <c r="M97" s="18">
        <f t="shared" si="10"/>
        <v>0</v>
      </c>
    </row>
    <row r="98" spans="1:13" x14ac:dyDescent="0.25">
      <c r="A98" s="26" t="str">
        <f t="shared" si="0"/>
        <v/>
      </c>
      <c r="B98" s="20" t="str">
        <f t="shared" si="11"/>
        <v/>
      </c>
      <c r="C98" s="27" t="e">
        <f t="shared" si="1"/>
        <v>#DIV/0!</v>
      </c>
      <c r="D98" s="27" t="e">
        <f t="shared" si="2"/>
        <v>#DIV/0!</v>
      </c>
      <c r="E98" s="27" t="e">
        <f t="shared" si="3"/>
        <v>#DIV/0!</v>
      </c>
      <c r="F98" s="27" t="e">
        <f t="shared" si="4"/>
        <v>#DIV/0!</v>
      </c>
      <c r="G98" s="27">
        <f t="shared" si="5"/>
        <v>0</v>
      </c>
      <c r="H98" s="27" t="e">
        <f t="shared" si="6"/>
        <v>#DIV/0!</v>
      </c>
      <c r="I98" s="27">
        <f t="shared" si="7"/>
        <v>0</v>
      </c>
      <c r="J98" s="26">
        <f>IFERROR('IOF 2'!L88+PA!$C$27/PA!$C$34*PA!F98,0)</f>
        <v>0</v>
      </c>
      <c r="K98" s="26">
        <f t="shared" si="8"/>
        <v>0</v>
      </c>
      <c r="L98" s="40">
        <f t="shared" si="9"/>
        <v>0</v>
      </c>
      <c r="M98" s="18">
        <f t="shared" si="10"/>
        <v>0</v>
      </c>
    </row>
    <row r="99" spans="1:13" x14ac:dyDescent="0.25">
      <c r="A99" s="26" t="str">
        <f t="shared" si="0"/>
        <v/>
      </c>
      <c r="B99" s="20" t="str">
        <f t="shared" si="11"/>
        <v/>
      </c>
      <c r="C99" s="27" t="e">
        <f t="shared" si="1"/>
        <v>#DIV/0!</v>
      </c>
      <c r="D99" s="27" t="e">
        <f t="shared" si="2"/>
        <v>#DIV/0!</v>
      </c>
      <c r="E99" s="27" t="e">
        <f t="shared" si="3"/>
        <v>#DIV/0!</v>
      </c>
      <c r="F99" s="27" t="e">
        <f t="shared" si="4"/>
        <v>#DIV/0!</v>
      </c>
      <c r="G99" s="27">
        <f t="shared" si="5"/>
        <v>0</v>
      </c>
      <c r="H99" s="27" t="e">
        <f t="shared" si="6"/>
        <v>#DIV/0!</v>
      </c>
      <c r="I99" s="27">
        <f t="shared" si="7"/>
        <v>0</v>
      </c>
      <c r="J99" s="26">
        <f>IFERROR('IOF 2'!L89+PA!$C$27/PA!$C$34*PA!F99,0)</f>
        <v>0</v>
      </c>
      <c r="K99" s="26">
        <f t="shared" si="8"/>
        <v>0</v>
      </c>
      <c r="L99" s="40">
        <f t="shared" si="9"/>
        <v>0</v>
      </c>
      <c r="M99" s="18">
        <f t="shared" si="10"/>
        <v>0</v>
      </c>
    </row>
    <row r="100" spans="1:13" x14ac:dyDescent="0.25">
      <c r="A100" s="26" t="str">
        <f t="shared" ref="A100:A106" si="12">IF(A99="","",IF(A99+1&lt;=$C$19,A99+1,""))</f>
        <v/>
      </c>
      <c r="B100" s="20" t="str">
        <f t="shared" si="11"/>
        <v/>
      </c>
      <c r="C100" s="27" t="e">
        <f t="shared" ref="C100:C106" si="13">C99+G100-I100</f>
        <v>#DIV/0!</v>
      </c>
      <c r="D100" s="27" t="e">
        <f t="shared" ref="D100:D106" si="14">C100-E100</f>
        <v>#DIV/0!</v>
      </c>
      <c r="E100" s="27" t="e">
        <f t="shared" ref="E100:E106" si="15">MIN($C$38,C100,E99)</f>
        <v>#DIV/0!</v>
      </c>
      <c r="F100" s="27" t="e">
        <f t="shared" ref="F100:F106" si="16">E99-E100</f>
        <v>#DIV/0!</v>
      </c>
      <c r="G100" s="27">
        <f t="shared" ref="G100:G106" si="17">IF(A100="",0,ROUND(((((1+$C$15)^((B100-B99)/30)-1)*C99)),2))</f>
        <v>0</v>
      </c>
      <c r="H100" s="27" t="e">
        <f t="shared" ref="H100:H106" si="18">MIN(I100-F100,I100)</f>
        <v>#DIV/0!</v>
      </c>
      <c r="I100" s="27">
        <f t="shared" ref="I100:I106" si="19">IF(A100="",0,ROUND($C$30/$L$104,2))</f>
        <v>0</v>
      </c>
      <c r="J100" s="26">
        <f>IFERROR('IOF 2'!L90+PA!$C$27/PA!$C$34*PA!F100,0)</f>
        <v>0</v>
      </c>
      <c r="K100" s="26">
        <f t="shared" ref="K100:K106" si="20">IFERROR(B100-B99,0)</f>
        <v>0</v>
      </c>
      <c r="L100" s="40">
        <f t="shared" ref="L100:L106" si="21">IF(A100="",0,ROUND(1/((1+$C$15)^((B100-$B$34)/30)),8))</f>
        <v>0</v>
      </c>
      <c r="M100" s="18">
        <f t="shared" ref="M100:M106" si="22">IFERROR(I100/((1+$C$28)^((B100-$B$34)/365)),0)</f>
        <v>0</v>
      </c>
    </row>
    <row r="101" spans="1:13" x14ac:dyDescent="0.25">
      <c r="A101" s="26" t="str">
        <f t="shared" si="12"/>
        <v/>
      </c>
      <c r="B101" s="20" t="str">
        <f t="shared" ref="B101:B106" si="23">IF(A101="","",DATE(YEAR(B100),IF(DAY(B100)&lt;$C$30,MONTH(B100),MONTH(B100)+1),$C$30)+IF(AND(DAY(DATE(YEAR(B100),IF(DAY(B100)&lt;$C$30,MONTH(B100),MONTH(B100)+1),$C$30))&lt;&gt;$C$30,DAY(DATE(YEAR(B100),IF(DAY(B100)&lt;$C$30,MONTH(B100),MONTH(B100)+1),$C$30))=2),-1,0))</f>
        <v/>
      </c>
      <c r="C101" s="27" t="e">
        <f t="shared" si="13"/>
        <v>#DIV/0!</v>
      </c>
      <c r="D101" s="27" t="e">
        <f t="shared" si="14"/>
        <v>#DIV/0!</v>
      </c>
      <c r="E101" s="27" t="e">
        <f t="shared" si="15"/>
        <v>#DIV/0!</v>
      </c>
      <c r="F101" s="27" t="e">
        <f t="shared" si="16"/>
        <v>#DIV/0!</v>
      </c>
      <c r="G101" s="27">
        <f t="shared" si="17"/>
        <v>0</v>
      </c>
      <c r="H101" s="27" t="e">
        <f t="shared" si="18"/>
        <v>#DIV/0!</v>
      </c>
      <c r="I101" s="27">
        <f t="shared" si="19"/>
        <v>0</v>
      </c>
      <c r="J101" s="26">
        <f>IFERROR('IOF 2'!L91+PA!$C$27/PA!$C$34*PA!F101,0)</f>
        <v>0</v>
      </c>
      <c r="K101" s="26">
        <f t="shared" si="20"/>
        <v>0</v>
      </c>
      <c r="L101" s="40">
        <f t="shared" si="21"/>
        <v>0</v>
      </c>
      <c r="M101" s="18">
        <f t="shared" si="22"/>
        <v>0</v>
      </c>
    </row>
    <row r="102" spans="1:13" x14ac:dyDescent="0.25">
      <c r="A102" s="26" t="str">
        <f t="shared" si="12"/>
        <v/>
      </c>
      <c r="B102" s="20" t="str">
        <f t="shared" si="23"/>
        <v/>
      </c>
      <c r="C102" s="27" t="e">
        <f t="shared" si="13"/>
        <v>#DIV/0!</v>
      </c>
      <c r="D102" s="27" t="e">
        <f t="shared" si="14"/>
        <v>#DIV/0!</v>
      </c>
      <c r="E102" s="27" t="e">
        <f t="shared" si="15"/>
        <v>#DIV/0!</v>
      </c>
      <c r="F102" s="27" t="e">
        <f t="shared" si="16"/>
        <v>#DIV/0!</v>
      </c>
      <c r="G102" s="27">
        <f t="shared" si="17"/>
        <v>0</v>
      </c>
      <c r="H102" s="27" t="e">
        <f t="shared" si="18"/>
        <v>#DIV/0!</v>
      </c>
      <c r="I102" s="27">
        <f t="shared" si="19"/>
        <v>0</v>
      </c>
      <c r="J102" s="26">
        <f>IFERROR('IOF 2'!L92+PA!$C$27/PA!$C$34*PA!F102,0)</f>
        <v>0</v>
      </c>
      <c r="K102" s="26">
        <f t="shared" si="20"/>
        <v>0</v>
      </c>
      <c r="L102" s="40">
        <f t="shared" si="21"/>
        <v>0</v>
      </c>
      <c r="M102" s="18">
        <f t="shared" si="22"/>
        <v>0</v>
      </c>
    </row>
    <row r="103" spans="1:13" x14ac:dyDescent="0.25">
      <c r="A103" s="26" t="str">
        <f t="shared" si="12"/>
        <v/>
      </c>
      <c r="B103" s="20" t="str">
        <f t="shared" si="23"/>
        <v/>
      </c>
      <c r="C103" s="27" t="e">
        <f t="shared" si="13"/>
        <v>#DIV/0!</v>
      </c>
      <c r="D103" s="27" t="e">
        <f t="shared" si="14"/>
        <v>#DIV/0!</v>
      </c>
      <c r="E103" s="27" t="e">
        <f t="shared" si="15"/>
        <v>#DIV/0!</v>
      </c>
      <c r="F103" s="27" t="e">
        <f t="shared" si="16"/>
        <v>#DIV/0!</v>
      </c>
      <c r="G103" s="27">
        <f t="shared" si="17"/>
        <v>0</v>
      </c>
      <c r="H103" s="27" t="e">
        <f t="shared" si="18"/>
        <v>#DIV/0!</v>
      </c>
      <c r="I103" s="27">
        <f t="shared" si="19"/>
        <v>0</v>
      </c>
      <c r="J103" s="26">
        <f>IFERROR('IOF 2'!L93+PA!$C$27/PA!$C$34*PA!F103,0)</f>
        <v>0</v>
      </c>
      <c r="K103" s="26">
        <f t="shared" si="20"/>
        <v>0</v>
      </c>
      <c r="L103" s="40">
        <f t="shared" si="21"/>
        <v>0</v>
      </c>
      <c r="M103" s="18">
        <f t="shared" si="22"/>
        <v>0</v>
      </c>
    </row>
    <row r="104" spans="1:13" x14ac:dyDescent="0.25">
      <c r="A104" s="26" t="str">
        <f t="shared" si="12"/>
        <v/>
      </c>
      <c r="B104" s="20" t="str">
        <f t="shared" si="23"/>
        <v/>
      </c>
      <c r="C104" s="27" t="e">
        <f t="shared" si="13"/>
        <v>#DIV/0!</v>
      </c>
      <c r="D104" s="27" t="e">
        <f t="shared" si="14"/>
        <v>#DIV/0!</v>
      </c>
      <c r="E104" s="27" t="e">
        <f t="shared" si="15"/>
        <v>#DIV/0!</v>
      </c>
      <c r="F104" s="27" t="e">
        <f t="shared" si="16"/>
        <v>#DIV/0!</v>
      </c>
      <c r="G104" s="27">
        <f t="shared" si="17"/>
        <v>0</v>
      </c>
      <c r="H104" s="27" t="e">
        <f t="shared" si="18"/>
        <v>#DIV/0!</v>
      </c>
      <c r="I104" s="27">
        <f t="shared" si="19"/>
        <v>0</v>
      </c>
      <c r="J104" s="26">
        <f>IFERROR('IOF 2'!L94+PA!$C$27/PA!$C$34*PA!F104,0)</f>
        <v>0</v>
      </c>
      <c r="K104" s="26">
        <f t="shared" si="20"/>
        <v>0</v>
      </c>
      <c r="L104" s="40">
        <f t="shared" si="21"/>
        <v>0</v>
      </c>
      <c r="M104" s="18">
        <f t="shared" si="22"/>
        <v>0</v>
      </c>
    </row>
    <row r="105" spans="1:13" x14ac:dyDescent="0.25">
      <c r="A105" s="26" t="str">
        <f t="shared" si="12"/>
        <v/>
      </c>
      <c r="B105" s="20" t="str">
        <f t="shared" si="23"/>
        <v/>
      </c>
      <c r="C105" s="27" t="e">
        <f t="shared" si="13"/>
        <v>#DIV/0!</v>
      </c>
      <c r="D105" s="27" t="e">
        <f t="shared" si="14"/>
        <v>#DIV/0!</v>
      </c>
      <c r="E105" s="27" t="e">
        <f t="shared" si="15"/>
        <v>#DIV/0!</v>
      </c>
      <c r="F105" s="27" t="e">
        <f t="shared" si="16"/>
        <v>#DIV/0!</v>
      </c>
      <c r="G105" s="27">
        <f t="shared" si="17"/>
        <v>0</v>
      </c>
      <c r="H105" s="27" t="e">
        <f t="shared" si="18"/>
        <v>#DIV/0!</v>
      </c>
      <c r="I105" s="27">
        <f t="shared" si="19"/>
        <v>0</v>
      </c>
      <c r="J105" s="26">
        <f>IFERROR('IOF 2'!L95+PA!$C$27/PA!$C$34*PA!F105,0)</f>
        <v>0</v>
      </c>
      <c r="K105" s="26">
        <f t="shared" si="20"/>
        <v>0</v>
      </c>
      <c r="L105" s="40">
        <f t="shared" si="21"/>
        <v>0</v>
      </c>
      <c r="M105" s="18">
        <f t="shared" si="22"/>
        <v>0</v>
      </c>
    </row>
    <row r="106" spans="1:13" x14ac:dyDescent="0.25">
      <c r="A106" s="26" t="str">
        <f t="shared" si="12"/>
        <v/>
      </c>
      <c r="B106" s="20" t="str">
        <f t="shared" si="23"/>
        <v/>
      </c>
      <c r="C106" s="27" t="e">
        <f t="shared" si="13"/>
        <v>#DIV/0!</v>
      </c>
      <c r="D106" s="27" t="e">
        <f t="shared" si="14"/>
        <v>#DIV/0!</v>
      </c>
      <c r="E106" s="27" t="e">
        <f t="shared" si="15"/>
        <v>#DIV/0!</v>
      </c>
      <c r="F106" s="27" t="e">
        <f t="shared" si="16"/>
        <v>#DIV/0!</v>
      </c>
      <c r="G106" s="27">
        <f t="shared" si="17"/>
        <v>0</v>
      </c>
      <c r="H106" s="27" t="e">
        <f t="shared" si="18"/>
        <v>#DIV/0!</v>
      </c>
      <c r="I106" s="27">
        <f t="shared" si="19"/>
        <v>0</v>
      </c>
      <c r="J106" s="26">
        <f>IFERROR('IOF 2'!L96+PA!$C$27/PA!$C$34*PA!F106,0)</f>
        <v>0</v>
      </c>
      <c r="K106" s="26">
        <f t="shared" si="20"/>
        <v>0</v>
      </c>
      <c r="L106" s="40">
        <f t="shared" si="21"/>
        <v>0</v>
      </c>
      <c r="M106" s="18">
        <f t="shared" si="22"/>
        <v>0</v>
      </c>
    </row>
    <row r="107" spans="1:13" x14ac:dyDescent="0.25">
      <c r="A107" s="18"/>
      <c r="B107" s="18"/>
      <c r="C107" s="28"/>
      <c r="D107" s="28"/>
      <c r="E107" s="28"/>
      <c r="F107" s="28"/>
      <c r="G107" s="28"/>
      <c r="H107" s="28"/>
      <c r="I107" s="28"/>
      <c r="J107" s="18"/>
      <c r="K107" s="18"/>
      <c r="L107" s="18"/>
      <c r="M107" s="18"/>
    </row>
    <row r="108" spans="1:13" x14ac:dyDescent="0.25">
      <c r="A108" s="18">
        <f>MAX(A34:A106)</f>
        <v>10</v>
      </c>
      <c r="B108" s="18"/>
      <c r="C108" s="28" t="e">
        <f>VLOOKUP(A108,A34:M106,3,0)</f>
        <v>#DIV/0!</v>
      </c>
      <c r="D108" s="28"/>
      <c r="E108" s="28"/>
      <c r="F108" s="28" t="e">
        <f>SUM(F35:F106)</f>
        <v>#DIV/0!</v>
      </c>
      <c r="G108" s="28" t="e">
        <f>SUM(G35:G107)</f>
        <v>#DIV/0!</v>
      </c>
      <c r="H108" s="28"/>
      <c r="I108" s="28" t="e">
        <f>SUM(I35:I107)</f>
        <v>#DIV/0!</v>
      </c>
      <c r="J108" s="18" t="e">
        <f>'IOF 2'!L98+PA!$C$27/PA!$C$34*PA!F108</f>
        <v>#DIV/0!</v>
      </c>
      <c r="K108" s="18">
        <f>SUM(K35:K107)</f>
        <v>306</v>
      </c>
      <c r="L108" s="18">
        <f>SUM(L35:L107)</f>
        <v>6.3788253400000015</v>
      </c>
      <c r="M108" s="18">
        <f>SUM(M35:M107)</f>
        <v>0</v>
      </c>
    </row>
    <row r="109" spans="1:13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9879A40-0F3D-42F2-90FD-4412A140B4A7}">
          <x14:formula1>
            <xm:f>Auxiliares!$B$2:$B$3</xm:f>
          </x14:formula1>
          <xm:sqref>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81CD2-1BAC-49FA-A231-B26595B3E0BE}">
  <sheetPr codeName="Planilha4"/>
  <dimension ref="A5:N111"/>
  <sheetViews>
    <sheetView topLeftCell="A5" zoomScale="150" zoomScaleNormal="150" workbookViewId="0">
      <selection activeCell="C13" sqref="C13"/>
    </sheetView>
  </sheetViews>
  <sheetFormatPr defaultRowHeight="15" x14ac:dyDescent="0.25"/>
  <cols>
    <col min="2" max="2" width="29.42578125" bestFit="1" customWidth="1"/>
    <col min="3" max="3" width="12.42578125" style="11" bestFit="1" customWidth="1"/>
    <col min="4" max="4" width="11.140625" bestFit="1" customWidth="1"/>
  </cols>
  <sheetData>
    <row r="5" spans="2:14" x14ac:dyDescent="0.25">
      <c r="N5" t="s">
        <v>99</v>
      </c>
    </row>
    <row r="6" spans="2:14" x14ac:dyDescent="0.25">
      <c r="N6" t="s">
        <v>100</v>
      </c>
    </row>
    <row r="7" spans="2:14" x14ac:dyDescent="0.25">
      <c r="N7" t="s">
        <v>101</v>
      </c>
    </row>
    <row r="8" spans="2:14" x14ac:dyDescent="0.25">
      <c r="B8" t="s">
        <v>44</v>
      </c>
      <c r="C8" s="11">
        <v>2</v>
      </c>
      <c r="N8" t="s">
        <v>102</v>
      </c>
    </row>
    <row r="9" spans="2:14" x14ac:dyDescent="0.25">
      <c r="B9" s="8" t="s">
        <v>121</v>
      </c>
      <c r="C9" s="21">
        <v>2600</v>
      </c>
    </row>
    <row r="10" spans="2:14" x14ac:dyDescent="0.25">
      <c r="N10" t="s">
        <v>103</v>
      </c>
    </row>
    <row r="11" spans="2:14" x14ac:dyDescent="0.25">
      <c r="B11" s="8" t="s">
        <v>83</v>
      </c>
      <c r="C11" s="21">
        <v>2600</v>
      </c>
    </row>
    <row r="12" spans="2:14" x14ac:dyDescent="0.25">
      <c r="N12" t="s">
        <v>104</v>
      </c>
    </row>
    <row r="13" spans="2:14" x14ac:dyDescent="0.25">
      <c r="B13" s="8" t="s">
        <v>110</v>
      </c>
      <c r="C13" s="12" t="s">
        <v>24</v>
      </c>
    </row>
    <row r="14" spans="2:14" x14ac:dyDescent="0.25">
      <c r="C14"/>
      <c r="N14" t="s">
        <v>105</v>
      </c>
    </row>
    <row r="15" spans="2:14" x14ac:dyDescent="0.25">
      <c r="B15" s="8" t="s">
        <v>85</v>
      </c>
      <c r="C15" s="13">
        <v>7.9500000000000001E-2</v>
      </c>
    </row>
    <row r="16" spans="2:14" x14ac:dyDescent="0.25">
      <c r="B16" s="9" t="s">
        <v>111</v>
      </c>
      <c r="C16" s="14">
        <f>((1+C15)^(1/30)-1)</f>
        <v>2.5531862083976176E-3</v>
      </c>
    </row>
    <row r="17" spans="2:14" x14ac:dyDescent="0.25">
      <c r="B17" s="7" t="s">
        <v>112</v>
      </c>
      <c r="C17" s="15">
        <f>(1+C15)^12-1</f>
        <v>1.5042158501836957</v>
      </c>
    </row>
    <row r="19" spans="2:14" x14ac:dyDescent="0.25">
      <c r="B19" t="s">
        <v>7</v>
      </c>
      <c r="C19" s="11">
        <v>8</v>
      </c>
      <c r="N19" t="s">
        <v>106</v>
      </c>
    </row>
    <row r="21" spans="2:14" x14ac:dyDescent="0.25">
      <c r="B21" t="s">
        <v>86</v>
      </c>
      <c r="C21" s="11">
        <v>3</v>
      </c>
      <c r="N21" t="s">
        <v>12</v>
      </c>
    </row>
    <row r="22" spans="2:14" x14ac:dyDescent="0.25">
      <c r="B22" t="s">
        <v>87</v>
      </c>
      <c r="N22" t="s">
        <v>43</v>
      </c>
    </row>
    <row r="23" spans="2:14" x14ac:dyDescent="0.25">
      <c r="B23" t="s">
        <v>113</v>
      </c>
      <c r="C23" s="22" cm="1">
        <f t="array" ref="C23">_xlfn.IFS(C21="SEM ENTRADA",0,C21="ENTRADA IGUAL AS DEMAIS PARCELAS",P15,TRUE,C22)</f>
        <v>0</v>
      </c>
    </row>
    <row r="24" spans="2:14" x14ac:dyDescent="0.25">
      <c r="B24" t="s">
        <v>88</v>
      </c>
      <c r="C24" s="22" cm="1">
        <f t="array" ref="C24">_xlfn.IFS(C21="ENTRADA DIFERENTE DAS DEMAIS PARCELAS",#REF!-C22,TRUE,C9)</f>
        <v>2600</v>
      </c>
    </row>
    <row r="26" spans="2:14" x14ac:dyDescent="0.25">
      <c r="B26" t="s">
        <v>89</v>
      </c>
      <c r="C26" s="18" t="s">
        <v>122</v>
      </c>
      <c r="N26" t="s">
        <v>107</v>
      </c>
    </row>
    <row r="27" spans="2:14" x14ac:dyDescent="0.25">
      <c r="C27" s="18"/>
    </row>
    <row r="28" spans="2:14" x14ac:dyDescent="0.25">
      <c r="B28" t="s">
        <v>90</v>
      </c>
      <c r="C28" s="19">
        <v>46136</v>
      </c>
      <c r="N28" t="s">
        <v>108</v>
      </c>
    </row>
    <row r="29" spans="2:14" x14ac:dyDescent="0.25">
      <c r="C29" s="18"/>
    </row>
    <row r="30" spans="2:14" x14ac:dyDescent="0.25">
      <c r="B30" s="7" t="s">
        <v>91</v>
      </c>
      <c r="C30" s="20">
        <f>DATE(YEAR(C28),MONTH(C28)+C19-1,DAY(C28))</f>
        <v>46350</v>
      </c>
    </row>
    <row r="31" spans="2:14" x14ac:dyDescent="0.25">
      <c r="B31" s="7" t="s">
        <v>12</v>
      </c>
      <c r="C31" s="17"/>
    </row>
    <row r="32" spans="2:14" x14ac:dyDescent="0.25">
      <c r="B32" s="7" t="s">
        <v>43</v>
      </c>
      <c r="C32" s="17"/>
      <c r="N32" t="s">
        <v>109</v>
      </c>
    </row>
    <row r="33" spans="1:13" x14ac:dyDescent="0.25">
      <c r="B33" s="7" t="s">
        <v>92</v>
      </c>
      <c r="C33" s="17"/>
    </row>
    <row r="35" spans="1:13" x14ac:dyDescent="0.25">
      <c r="B35" t="s">
        <v>93</v>
      </c>
      <c r="C35" s="11">
        <v>5</v>
      </c>
    </row>
    <row r="36" spans="1:13" x14ac:dyDescent="0.25">
      <c r="L36" t="s">
        <v>98</v>
      </c>
    </row>
    <row r="38" spans="1:13" x14ac:dyDescent="0.25">
      <c r="A38" s="7" t="s">
        <v>7</v>
      </c>
      <c r="B38" s="7" t="s">
        <v>46</v>
      </c>
      <c r="C38" s="17" t="s">
        <v>47</v>
      </c>
      <c r="D38" s="7" t="s">
        <v>48</v>
      </c>
      <c r="E38" s="7" t="s">
        <v>49</v>
      </c>
      <c r="F38" s="7" t="s">
        <v>50</v>
      </c>
      <c r="G38" s="7" t="s">
        <v>51</v>
      </c>
      <c r="H38" s="7" t="s">
        <v>52</v>
      </c>
      <c r="I38" s="7" t="s">
        <v>53</v>
      </c>
      <c r="J38" s="7" t="s">
        <v>94</v>
      </c>
      <c r="K38" s="7" t="s">
        <v>95</v>
      </c>
      <c r="L38" t="s">
        <v>96</v>
      </c>
      <c r="M38" t="s">
        <v>97</v>
      </c>
    </row>
    <row r="39" spans="1:13" x14ac:dyDescent="0.25">
      <c r="A39" s="7">
        <v>0</v>
      </c>
      <c r="B39" s="7"/>
      <c r="C39" s="17"/>
      <c r="D39" s="7"/>
      <c r="E39" s="7"/>
      <c r="F39" s="7"/>
      <c r="G39" s="7"/>
      <c r="H39" s="7"/>
      <c r="I39" s="7"/>
      <c r="J39" s="7"/>
      <c r="K39" s="7"/>
    </row>
    <row r="40" spans="1:13" x14ac:dyDescent="0.25">
      <c r="A40" s="7"/>
      <c r="B40" s="7"/>
      <c r="C40" s="17"/>
      <c r="D40" s="7"/>
      <c r="E40" s="7"/>
      <c r="F40" s="7"/>
      <c r="G40" s="7"/>
      <c r="H40" s="7"/>
      <c r="I40" s="7"/>
      <c r="J40" s="7"/>
      <c r="K40" s="7"/>
    </row>
    <row r="41" spans="1:13" x14ac:dyDescent="0.25">
      <c r="A41" s="7"/>
      <c r="B41" s="7"/>
      <c r="C41" s="17"/>
      <c r="D41" s="7"/>
      <c r="E41" s="7"/>
      <c r="F41" s="7"/>
      <c r="G41" s="7"/>
      <c r="H41" s="7"/>
      <c r="I41" s="7"/>
      <c r="J41" s="7"/>
      <c r="K41" s="7"/>
    </row>
    <row r="42" spans="1:13" x14ac:dyDescent="0.25">
      <c r="A42" s="7"/>
      <c r="B42" s="7"/>
      <c r="C42" s="17"/>
      <c r="D42" s="7"/>
      <c r="E42" s="7"/>
      <c r="F42" s="7"/>
      <c r="G42" s="7"/>
      <c r="H42" s="7"/>
      <c r="I42" s="7"/>
      <c r="J42" s="7"/>
      <c r="K42" s="7"/>
    </row>
    <row r="43" spans="1:13" x14ac:dyDescent="0.25">
      <c r="A43" s="7"/>
      <c r="B43" s="7"/>
      <c r="C43" s="17"/>
      <c r="D43" s="7"/>
      <c r="E43" s="7"/>
      <c r="F43" s="7"/>
      <c r="G43" s="7"/>
      <c r="H43" s="7"/>
      <c r="I43" s="7"/>
      <c r="J43" s="7"/>
      <c r="K43" s="7"/>
    </row>
    <row r="44" spans="1:13" x14ac:dyDescent="0.25">
      <c r="A44" s="7"/>
      <c r="B44" s="7"/>
      <c r="C44" s="17"/>
      <c r="D44" s="7"/>
      <c r="E44" s="7"/>
      <c r="F44" s="7"/>
      <c r="G44" s="7"/>
      <c r="H44" s="7"/>
      <c r="I44" s="7"/>
      <c r="J44" s="7"/>
      <c r="K44" s="7"/>
    </row>
    <row r="45" spans="1:13" x14ac:dyDescent="0.25">
      <c r="A45" s="7"/>
      <c r="B45" s="7"/>
      <c r="C45" s="17"/>
      <c r="D45" s="7"/>
      <c r="E45" s="7"/>
      <c r="F45" s="7"/>
      <c r="G45" s="7"/>
      <c r="H45" s="7"/>
      <c r="I45" s="7"/>
      <c r="J45" s="7"/>
      <c r="K45" s="7"/>
    </row>
    <row r="46" spans="1:13" x14ac:dyDescent="0.25">
      <c r="A46" s="7"/>
      <c r="B46" s="7"/>
      <c r="C46" s="17"/>
      <c r="D46" s="7"/>
      <c r="E46" s="7"/>
      <c r="F46" s="7"/>
      <c r="G46" s="7"/>
      <c r="H46" s="7"/>
      <c r="I46" s="7"/>
      <c r="J46" s="7"/>
      <c r="K46" s="7"/>
    </row>
    <row r="47" spans="1:13" x14ac:dyDescent="0.25">
      <c r="A47" s="7"/>
      <c r="B47" s="7"/>
      <c r="C47" s="17"/>
      <c r="D47" s="7"/>
      <c r="E47" s="7"/>
      <c r="F47" s="7"/>
      <c r="G47" s="7"/>
      <c r="H47" s="7"/>
      <c r="I47" s="7"/>
      <c r="J47" s="7"/>
      <c r="K47" s="7"/>
    </row>
    <row r="48" spans="1:13" x14ac:dyDescent="0.25">
      <c r="A48" s="7"/>
      <c r="B48" s="7"/>
      <c r="C48" s="17"/>
      <c r="D48" s="7"/>
      <c r="E48" s="7"/>
      <c r="F48" s="7"/>
      <c r="G48" s="7"/>
      <c r="H48" s="7"/>
      <c r="I48" s="7"/>
      <c r="J48" s="7"/>
      <c r="K48" s="7"/>
    </row>
    <row r="49" spans="1:11" x14ac:dyDescent="0.25">
      <c r="A49" s="7"/>
      <c r="B49" s="7"/>
      <c r="C49" s="17"/>
      <c r="D49" s="7"/>
      <c r="E49" s="7"/>
      <c r="F49" s="7"/>
      <c r="G49" s="7"/>
      <c r="H49" s="7"/>
      <c r="I49" s="7"/>
      <c r="J49" s="7"/>
      <c r="K49" s="7"/>
    </row>
    <row r="50" spans="1:11" x14ac:dyDescent="0.25">
      <c r="A50" s="7"/>
      <c r="B50" s="7"/>
      <c r="C50" s="17"/>
      <c r="D50" s="7"/>
      <c r="E50" s="7"/>
      <c r="F50" s="7"/>
      <c r="G50" s="7"/>
      <c r="H50" s="7"/>
      <c r="I50" s="7"/>
      <c r="J50" s="7"/>
      <c r="K50" s="7"/>
    </row>
    <row r="51" spans="1:11" x14ac:dyDescent="0.25">
      <c r="A51" s="7"/>
      <c r="B51" s="7"/>
      <c r="C51" s="17"/>
      <c r="D51" s="7"/>
      <c r="E51" s="7"/>
      <c r="F51" s="7"/>
      <c r="G51" s="7"/>
      <c r="H51" s="7"/>
      <c r="I51" s="7"/>
      <c r="J51" s="7"/>
      <c r="K51" s="7"/>
    </row>
    <row r="52" spans="1:11" x14ac:dyDescent="0.25">
      <c r="A52" s="7"/>
      <c r="B52" s="7"/>
      <c r="C52" s="17"/>
      <c r="D52" s="7"/>
      <c r="E52" s="7"/>
      <c r="F52" s="7"/>
      <c r="G52" s="7"/>
      <c r="H52" s="7"/>
      <c r="I52" s="7"/>
      <c r="J52" s="7"/>
      <c r="K52" s="7"/>
    </row>
    <row r="53" spans="1:11" x14ac:dyDescent="0.25">
      <c r="A53" s="7"/>
      <c r="B53" s="7"/>
      <c r="C53" s="17"/>
      <c r="D53" s="7"/>
      <c r="E53" s="7"/>
      <c r="F53" s="7"/>
      <c r="G53" s="7"/>
      <c r="H53" s="7"/>
      <c r="I53" s="7"/>
      <c r="J53" s="7"/>
      <c r="K53" s="7"/>
    </row>
    <row r="54" spans="1:11" x14ac:dyDescent="0.25">
      <c r="A54" s="7"/>
      <c r="B54" s="7"/>
      <c r="C54" s="17"/>
      <c r="D54" s="7"/>
      <c r="E54" s="7"/>
      <c r="F54" s="7"/>
      <c r="G54" s="7"/>
      <c r="H54" s="7"/>
      <c r="I54" s="7"/>
      <c r="J54" s="7"/>
      <c r="K54" s="7"/>
    </row>
    <row r="55" spans="1:11" x14ac:dyDescent="0.25">
      <c r="A55" s="7"/>
      <c r="B55" s="7"/>
      <c r="C55" s="17"/>
      <c r="D55" s="7"/>
      <c r="E55" s="7"/>
      <c r="F55" s="7"/>
      <c r="G55" s="7"/>
      <c r="H55" s="7"/>
      <c r="I55" s="7"/>
      <c r="J55" s="7"/>
      <c r="K55" s="7"/>
    </row>
    <row r="56" spans="1:11" x14ac:dyDescent="0.25">
      <c r="A56" s="7"/>
      <c r="B56" s="7"/>
      <c r="C56" s="17"/>
      <c r="D56" s="7"/>
      <c r="E56" s="7"/>
      <c r="F56" s="7"/>
      <c r="G56" s="7"/>
      <c r="H56" s="7"/>
      <c r="I56" s="7"/>
      <c r="J56" s="7"/>
      <c r="K56" s="7"/>
    </row>
    <row r="57" spans="1:11" x14ac:dyDescent="0.25">
      <c r="A57" s="7"/>
      <c r="B57" s="7"/>
      <c r="C57" s="17"/>
      <c r="D57" s="7"/>
      <c r="E57" s="7"/>
      <c r="F57" s="7"/>
      <c r="G57" s="7"/>
      <c r="H57" s="7"/>
      <c r="I57" s="7"/>
      <c r="J57" s="7"/>
      <c r="K57" s="7"/>
    </row>
    <row r="58" spans="1:11" x14ac:dyDescent="0.25">
      <c r="A58" s="7"/>
      <c r="B58" s="7"/>
      <c r="C58" s="17"/>
      <c r="D58" s="7"/>
      <c r="E58" s="7"/>
      <c r="F58" s="7"/>
      <c r="G58" s="7"/>
      <c r="H58" s="7"/>
      <c r="I58" s="7"/>
      <c r="J58" s="7"/>
      <c r="K58" s="7"/>
    </row>
    <row r="59" spans="1:11" x14ac:dyDescent="0.25">
      <c r="A59" s="7"/>
      <c r="B59" s="7"/>
      <c r="C59" s="17"/>
      <c r="D59" s="7"/>
      <c r="E59" s="7"/>
      <c r="F59" s="7"/>
      <c r="G59" s="7"/>
      <c r="H59" s="7"/>
      <c r="I59" s="7"/>
      <c r="J59" s="7"/>
      <c r="K59" s="7"/>
    </row>
    <row r="60" spans="1:11" x14ac:dyDescent="0.25">
      <c r="A60" s="7"/>
      <c r="B60" s="7"/>
      <c r="C60" s="17"/>
      <c r="D60" s="7"/>
      <c r="E60" s="7"/>
      <c r="F60" s="7"/>
      <c r="G60" s="7"/>
      <c r="H60" s="7"/>
      <c r="I60" s="7"/>
      <c r="J60" s="7"/>
      <c r="K60" s="7"/>
    </row>
    <row r="61" spans="1:11" x14ac:dyDescent="0.25">
      <c r="A61" s="7"/>
      <c r="B61" s="7"/>
      <c r="C61" s="17"/>
      <c r="D61" s="7"/>
      <c r="E61" s="7"/>
      <c r="F61" s="7"/>
      <c r="G61" s="7"/>
      <c r="H61" s="7"/>
      <c r="I61" s="7"/>
      <c r="J61" s="7"/>
      <c r="K61" s="7"/>
    </row>
    <row r="62" spans="1:11" x14ac:dyDescent="0.25">
      <c r="A62" s="7"/>
      <c r="B62" s="7"/>
      <c r="C62" s="17"/>
      <c r="D62" s="7"/>
      <c r="E62" s="7"/>
      <c r="F62" s="7"/>
      <c r="G62" s="7"/>
      <c r="H62" s="7"/>
      <c r="I62" s="7"/>
      <c r="J62" s="7"/>
      <c r="K62" s="7"/>
    </row>
    <row r="63" spans="1:11" x14ac:dyDescent="0.25">
      <c r="A63" s="7"/>
      <c r="B63" s="7"/>
      <c r="C63" s="17"/>
      <c r="D63" s="7"/>
      <c r="E63" s="7"/>
      <c r="F63" s="7"/>
      <c r="G63" s="7"/>
      <c r="H63" s="7"/>
      <c r="I63" s="7"/>
      <c r="J63" s="7"/>
      <c r="K63" s="7"/>
    </row>
    <row r="64" spans="1:11" x14ac:dyDescent="0.25">
      <c r="A64" s="7"/>
      <c r="B64" s="7"/>
      <c r="C64" s="17"/>
      <c r="D64" s="7"/>
      <c r="E64" s="7"/>
      <c r="F64" s="7"/>
      <c r="G64" s="7"/>
      <c r="H64" s="7"/>
      <c r="I64" s="7"/>
      <c r="J64" s="7"/>
      <c r="K64" s="7"/>
    </row>
    <row r="65" spans="1:11" x14ac:dyDescent="0.25">
      <c r="A65" s="7"/>
      <c r="B65" s="7"/>
      <c r="C65" s="17"/>
      <c r="D65" s="7"/>
      <c r="E65" s="7"/>
      <c r="F65" s="7"/>
      <c r="G65" s="7"/>
      <c r="H65" s="7"/>
      <c r="I65" s="7"/>
      <c r="J65" s="7"/>
      <c r="K65" s="7"/>
    </row>
    <row r="66" spans="1:11" x14ac:dyDescent="0.25">
      <c r="A66" s="7"/>
      <c r="B66" s="7"/>
      <c r="C66" s="17"/>
      <c r="D66" s="7"/>
      <c r="E66" s="7"/>
      <c r="F66" s="7"/>
      <c r="G66" s="7"/>
      <c r="H66" s="7"/>
      <c r="I66" s="7"/>
      <c r="J66" s="7"/>
      <c r="K66" s="7"/>
    </row>
    <row r="67" spans="1:11" x14ac:dyDescent="0.25">
      <c r="A67" s="7"/>
      <c r="B67" s="7"/>
      <c r="C67" s="17"/>
      <c r="D67" s="7"/>
      <c r="E67" s="7"/>
      <c r="F67" s="7"/>
      <c r="G67" s="7"/>
      <c r="H67" s="7"/>
      <c r="I67" s="7"/>
      <c r="J67" s="7"/>
      <c r="K67" s="7"/>
    </row>
    <row r="68" spans="1:11" x14ac:dyDescent="0.25">
      <c r="A68" s="7"/>
      <c r="B68" s="7"/>
      <c r="C68" s="17"/>
      <c r="D68" s="7"/>
      <c r="E68" s="7"/>
      <c r="F68" s="7"/>
      <c r="G68" s="7"/>
      <c r="H68" s="7"/>
      <c r="I68" s="7"/>
      <c r="J68" s="7"/>
      <c r="K68" s="7"/>
    </row>
    <row r="69" spans="1:11" x14ac:dyDescent="0.25">
      <c r="A69" s="7"/>
      <c r="B69" s="7"/>
      <c r="C69" s="17"/>
      <c r="D69" s="7"/>
      <c r="E69" s="7"/>
      <c r="F69" s="7"/>
      <c r="G69" s="7"/>
      <c r="H69" s="7"/>
      <c r="I69" s="7"/>
      <c r="J69" s="7"/>
      <c r="K69" s="7"/>
    </row>
    <row r="70" spans="1:11" x14ac:dyDescent="0.25">
      <c r="A70" s="7"/>
      <c r="B70" s="7"/>
      <c r="C70" s="17"/>
      <c r="D70" s="7"/>
      <c r="E70" s="7"/>
      <c r="F70" s="7"/>
      <c r="G70" s="7"/>
      <c r="H70" s="7"/>
      <c r="I70" s="7"/>
      <c r="J70" s="7"/>
      <c r="K70" s="7"/>
    </row>
    <row r="71" spans="1:11" x14ac:dyDescent="0.25">
      <c r="A71" s="7"/>
      <c r="B71" s="7"/>
      <c r="C71" s="17"/>
      <c r="D71" s="7"/>
      <c r="E71" s="7"/>
      <c r="F71" s="7"/>
      <c r="G71" s="7"/>
      <c r="H71" s="7"/>
      <c r="I71" s="7"/>
      <c r="J71" s="7"/>
      <c r="K71" s="7"/>
    </row>
    <row r="72" spans="1:11" x14ac:dyDescent="0.25">
      <c r="A72" s="7"/>
      <c r="B72" s="7"/>
      <c r="C72" s="17"/>
      <c r="D72" s="7"/>
      <c r="E72" s="7"/>
      <c r="F72" s="7"/>
      <c r="G72" s="7"/>
      <c r="H72" s="7"/>
      <c r="I72" s="7"/>
      <c r="J72" s="7"/>
      <c r="K72" s="7"/>
    </row>
    <row r="73" spans="1:11" x14ac:dyDescent="0.25">
      <c r="A73" s="7"/>
      <c r="B73" s="7"/>
      <c r="C73" s="17"/>
      <c r="D73" s="7"/>
      <c r="E73" s="7"/>
      <c r="F73" s="7"/>
      <c r="G73" s="7"/>
      <c r="H73" s="7"/>
      <c r="I73" s="7"/>
      <c r="J73" s="7"/>
      <c r="K73" s="7"/>
    </row>
    <row r="74" spans="1:11" x14ac:dyDescent="0.25">
      <c r="A74" s="7"/>
      <c r="B74" s="7"/>
      <c r="C74" s="17"/>
      <c r="D74" s="7"/>
      <c r="E74" s="7"/>
      <c r="F74" s="7"/>
      <c r="G74" s="7"/>
      <c r="H74" s="7"/>
      <c r="I74" s="7"/>
      <c r="J74" s="7"/>
      <c r="K74" s="7"/>
    </row>
    <row r="75" spans="1:11" x14ac:dyDescent="0.25">
      <c r="A75" s="7"/>
      <c r="B75" s="7"/>
      <c r="C75" s="17"/>
      <c r="D75" s="7"/>
      <c r="E75" s="7"/>
      <c r="F75" s="7"/>
      <c r="G75" s="7"/>
      <c r="H75" s="7"/>
      <c r="I75" s="7"/>
      <c r="J75" s="7"/>
      <c r="K75" s="7"/>
    </row>
    <row r="76" spans="1:11" x14ac:dyDescent="0.25">
      <c r="A76" s="7"/>
      <c r="B76" s="7"/>
      <c r="C76" s="17"/>
      <c r="D76" s="7"/>
      <c r="E76" s="7"/>
      <c r="F76" s="7"/>
      <c r="G76" s="7"/>
      <c r="H76" s="7"/>
      <c r="I76" s="7"/>
      <c r="J76" s="7"/>
      <c r="K76" s="7"/>
    </row>
    <row r="77" spans="1:11" x14ac:dyDescent="0.25">
      <c r="A77" s="7"/>
      <c r="B77" s="7"/>
      <c r="C77" s="17"/>
      <c r="D77" s="7"/>
      <c r="E77" s="7"/>
      <c r="F77" s="7"/>
      <c r="G77" s="7"/>
      <c r="H77" s="7"/>
      <c r="I77" s="7"/>
      <c r="J77" s="7"/>
      <c r="K77" s="7"/>
    </row>
    <row r="78" spans="1:11" x14ac:dyDescent="0.25">
      <c r="A78" s="7"/>
      <c r="B78" s="7"/>
      <c r="C78" s="17"/>
      <c r="D78" s="7"/>
      <c r="E78" s="7"/>
      <c r="F78" s="7"/>
      <c r="G78" s="7"/>
      <c r="H78" s="7"/>
      <c r="I78" s="7"/>
      <c r="J78" s="7"/>
      <c r="K78" s="7"/>
    </row>
    <row r="79" spans="1:11" x14ac:dyDescent="0.25">
      <c r="A79" s="7"/>
      <c r="B79" s="7"/>
      <c r="C79" s="17"/>
      <c r="D79" s="7"/>
      <c r="E79" s="7"/>
      <c r="F79" s="7"/>
      <c r="G79" s="7"/>
      <c r="H79" s="7"/>
      <c r="I79" s="7"/>
      <c r="J79" s="7"/>
      <c r="K79" s="7"/>
    </row>
    <row r="80" spans="1:11" x14ac:dyDescent="0.25">
      <c r="A80" s="7"/>
      <c r="B80" s="7"/>
      <c r="C80" s="17"/>
      <c r="D80" s="7"/>
      <c r="E80" s="7"/>
      <c r="F80" s="7"/>
      <c r="G80" s="7"/>
      <c r="H80" s="7"/>
      <c r="I80" s="7"/>
      <c r="J80" s="7"/>
      <c r="K80" s="7"/>
    </row>
    <row r="81" spans="1:11" x14ac:dyDescent="0.25">
      <c r="A81" s="7"/>
      <c r="B81" s="7"/>
      <c r="C81" s="17"/>
      <c r="D81" s="7"/>
      <c r="E81" s="7"/>
      <c r="F81" s="7"/>
      <c r="G81" s="7"/>
      <c r="H81" s="7"/>
      <c r="I81" s="7"/>
      <c r="J81" s="7"/>
      <c r="K81" s="7"/>
    </row>
    <row r="82" spans="1:11" x14ac:dyDescent="0.25">
      <c r="A82" s="7"/>
      <c r="B82" s="7"/>
      <c r="C82" s="17"/>
      <c r="D82" s="7"/>
      <c r="E82" s="7"/>
      <c r="F82" s="7"/>
      <c r="G82" s="7"/>
      <c r="H82" s="7"/>
      <c r="I82" s="7"/>
      <c r="J82" s="7"/>
      <c r="K82" s="7"/>
    </row>
    <row r="83" spans="1:11" x14ac:dyDescent="0.25">
      <c r="A83" s="7"/>
      <c r="B83" s="7"/>
      <c r="C83" s="17"/>
      <c r="D83" s="7"/>
      <c r="E83" s="7"/>
      <c r="F83" s="7"/>
      <c r="G83" s="7"/>
      <c r="H83" s="7"/>
      <c r="I83" s="7"/>
      <c r="J83" s="7"/>
      <c r="K83" s="7"/>
    </row>
    <row r="84" spans="1:11" x14ac:dyDescent="0.25">
      <c r="A84" s="7"/>
      <c r="B84" s="7"/>
      <c r="C84" s="17"/>
      <c r="D84" s="7"/>
      <c r="E84" s="7"/>
      <c r="F84" s="7"/>
      <c r="G84" s="7"/>
      <c r="H84" s="7"/>
      <c r="I84" s="7"/>
      <c r="J84" s="7"/>
      <c r="K84" s="7"/>
    </row>
    <row r="85" spans="1:11" x14ac:dyDescent="0.25">
      <c r="A85" s="7"/>
      <c r="B85" s="7"/>
      <c r="C85" s="17"/>
      <c r="D85" s="7"/>
      <c r="E85" s="7"/>
      <c r="F85" s="7"/>
      <c r="G85" s="7"/>
      <c r="H85" s="7"/>
      <c r="I85" s="7"/>
      <c r="J85" s="7"/>
      <c r="K85" s="7"/>
    </row>
    <row r="86" spans="1:11" x14ac:dyDescent="0.25">
      <c r="A86" s="7"/>
      <c r="B86" s="7"/>
      <c r="C86" s="17"/>
      <c r="D86" s="7"/>
      <c r="E86" s="7"/>
      <c r="F86" s="7"/>
      <c r="G86" s="7"/>
      <c r="H86" s="7"/>
      <c r="I86" s="7"/>
      <c r="J86" s="7"/>
      <c r="K86" s="7"/>
    </row>
    <row r="87" spans="1:11" x14ac:dyDescent="0.25">
      <c r="A87" s="7"/>
      <c r="B87" s="7"/>
      <c r="C87" s="17"/>
      <c r="D87" s="7"/>
      <c r="E87" s="7"/>
      <c r="F87" s="7"/>
      <c r="G87" s="7"/>
      <c r="H87" s="7"/>
      <c r="I87" s="7"/>
      <c r="J87" s="7"/>
      <c r="K87" s="7"/>
    </row>
    <row r="88" spans="1:11" x14ac:dyDescent="0.25">
      <c r="A88" s="7"/>
      <c r="B88" s="7"/>
      <c r="C88" s="17"/>
      <c r="D88" s="7"/>
      <c r="E88" s="7"/>
      <c r="F88" s="7"/>
      <c r="G88" s="7"/>
      <c r="H88" s="7"/>
      <c r="I88" s="7"/>
      <c r="J88" s="7"/>
      <c r="K88" s="7"/>
    </row>
    <row r="89" spans="1:11" x14ac:dyDescent="0.25">
      <c r="A89" s="7"/>
      <c r="B89" s="7"/>
      <c r="C89" s="17"/>
      <c r="D89" s="7"/>
      <c r="E89" s="7"/>
      <c r="F89" s="7"/>
      <c r="G89" s="7"/>
      <c r="H89" s="7"/>
      <c r="I89" s="7"/>
      <c r="J89" s="7"/>
      <c r="K89" s="7"/>
    </row>
    <row r="90" spans="1:11" x14ac:dyDescent="0.25">
      <c r="A90" s="7"/>
      <c r="B90" s="7"/>
      <c r="C90" s="17"/>
      <c r="D90" s="7"/>
      <c r="E90" s="7"/>
      <c r="F90" s="7"/>
      <c r="G90" s="7"/>
      <c r="H90" s="7"/>
      <c r="I90" s="7"/>
      <c r="J90" s="7"/>
      <c r="K90" s="7"/>
    </row>
    <row r="91" spans="1:11" x14ac:dyDescent="0.25">
      <c r="A91" s="7"/>
      <c r="B91" s="7"/>
      <c r="C91" s="17"/>
      <c r="D91" s="7"/>
      <c r="E91" s="7"/>
      <c r="F91" s="7"/>
      <c r="G91" s="7"/>
      <c r="H91" s="7"/>
      <c r="I91" s="7"/>
      <c r="J91" s="7"/>
      <c r="K91" s="7"/>
    </row>
    <row r="92" spans="1:11" x14ac:dyDescent="0.25">
      <c r="A92" s="7"/>
      <c r="B92" s="7"/>
      <c r="C92" s="17"/>
      <c r="D92" s="7"/>
      <c r="E92" s="7"/>
      <c r="F92" s="7"/>
      <c r="G92" s="7"/>
      <c r="H92" s="7"/>
      <c r="I92" s="7"/>
      <c r="J92" s="7"/>
      <c r="K92" s="7"/>
    </row>
    <row r="93" spans="1:11" x14ac:dyDescent="0.25">
      <c r="A93" s="7"/>
      <c r="B93" s="7"/>
      <c r="C93" s="17"/>
      <c r="D93" s="7"/>
      <c r="E93" s="7"/>
      <c r="F93" s="7"/>
      <c r="G93" s="7"/>
      <c r="H93" s="7"/>
      <c r="I93" s="7"/>
      <c r="J93" s="7"/>
      <c r="K93" s="7"/>
    </row>
    <row r="94" spans="1:11" x14ac:dyDescent="0.25">
      <c r="A94" s="7"/>
      <c r="B94" s="7"/>
      <c r="C94" s="17"/>
      <c r="D94" s="7"/>
      <c r="E94" s="7"/>
      <c r="F94" s="7"/>
      <c r="G94" s="7"/>
      <c r="H94" s="7"/>
      <c r="I94" s="7"/>
      <c r="J94" s="7"/>
      <c r="K94" s="7"/>
    </row>
    <row r="95" spans="1:11" x14ac:dyDescent="0.25">
      <c r="A95" s="7"/>
      <c r="B95" s="7"/>
      <c r="C95" s="17"/>
      <c r="D95" s="7"/>
      <c r="E95" s="7"/>
      <c r="F95" s="7"/>
      <c r="G95" s="7"/>
      <c r="H95" s="7"/>
      <c r="I95" s="7"/>
      <c r="J95" s="7"/>
      <c r="K95" s="7"/>
    </row>
    <row r="96" spans="1:11" x14ac:dyDescent="0.25">
      <c r="A96" s="7"/>
      <c r="B96" s="7"/>
      <c r="C96" s="17"/>
      <c r="D96" s="7"/>
      <c r="E96" s="7"/>
      <c r="F96" s="7"/>
      <c r="G96" s="7"/>
      <c r="H96" s="7"/>
      <c r="I96" s="7"/>
      <c r="J96" s="7"/>
      <c r="K96" s="7"/>
    </row>
    <row r="97" spans="1:11" x14ac:dyDescent="0.25">
      <c r="A97" s="7"/>
      <c r="B97" s="7"/>
      <c r="C97" s="17"/>
      <c r="D97" s="7"/>
      <c r="E97" s="7"/>
      <c r="F97" s="7"/>
      <c r="G97" s="7"/>
      <c r="H97" s="7"/>
      <c r="I97" s="7"/>
      <c r="J97" s="7"/>
      <c r="K97" s="7"/>
    </row>
    <row r="98" spans="1:11" x14ac:dyDescent="0.25">
      <c r="A98" s="7"/>
      <c r="B98" s="7"/>
      <c r="C98" s="17"/>
      <c r="D98" s="7"/>
      <c r="E98" s="7"/>
      <c r="F98" s="7"/>
      <c r="G98" s="7"/>
      <c r="H98" s="7"/>
      <c r="I98" s="7"/>
      <c r="J98" s="7"/>
      <c r="K98" s="7"/>
    </row>
    <row r="99" spans="1:11" x14ac:dyDescent="0.25">
      <c r="A99" s="7"/>
      <c r="B99" s="7"/>
      <c r="C99" s="17"/>
      <c r="D99" s="7"/>
      <c r="E99" s="7"/>
      <c r="F99" s="7"/>
      <c r="G99" s="7"/>
      <c r="H99" s="7"/>
      <c r="I99" s="7"/>
      <c r="J99" s="7"/>
      <c r="K99" s="7"/>
    </row>
    <row r="100" spans="1:11" x14ac:dyDescent="0.25">
      <c r="A100" s="7"/>
      <c r="B100" s="7"/>
      <c r="C100" s="17"/>
      <c r="D100" s="7"/>
      <c r="E100" s="7"/>
      <c r="F100" s="7"/>
      <c r="G100" s="7"/>
      <c r="H100" s="7"/>
      <c r="I100" s="7"/>
      <c r="J100" s="7"/>
      <c r="K100" s="7"/>
    </row>
    <row r="101" spans="1:11" x14ac:dyDescent="0.25">
      <c r="A101" s="7"/>
      <c r="B101" s="7"/>
      <c r="C101" s="17"/>
      <c r="D101" s="7"/>
      <c r="E101" s="7"/>
      <c r="F101" s="7"/>
      <c r="G101" s="7"/>
      <c r="H101" s="7"/>
      <c r="I101" s="7"/>
      <c r="J101" s="7"/>
      <c r="K101" s="7"/>
    </row>
    <row r="102" spans="1:11" x14ac:dyDescent="0.25">
      <c r="A102" s="7"/>
      <c r="B102" s="7"/>
      <c r="C102" s="17"/>
      <c r="D102" s="7"/>
      <c r="E102" s="7"/>
      <c r="F102" s="7"/>
      <c r="G102" s="7"/>
      <c r="H102" s="7"/>
      <c r="I102" s="7"/>
      <c r="J102" s="7"/>
      <c r="K102" s="7"/>
    </row>
    <row r="103" spans="1:11" x14ac:dyDescent="0.25">
      <c r="A103" s="7"/>
      <c r="B103" s="7"/>
      <c r="C103" s="17"/>
      <c r="D103" s="7"/>
      <c r="E103" s="7"/>
      <c r="F103" s="7"/>
      <c r="G103" s="7"/>
      <c r="H103" s="7"/>
      <c r="I103" s="7"/>
      <c r="J103" s="7"/>
      <c r="K103" s="7"/>
    </row>
    <row r="104" spans="1:11" x14ac:dyDescent="0.25">
      <c r="A104" s="7"/>
      <c r="B104" s="7"/>
      <c r="C104" s="17"/>
      <c r="D104" s="7"/>
      <c r="E104" s="7"/>
      <c r="F104" s="7"/>
      <c r="G104" s="7"/>
      <c r="H104" s="7"/>
      <c r="I104" s="7"/>
      <c r="J104" s="7"/>
      <c r="K104" s="7"/>
    </row>
    <row r="105" spans="1:11" x14ac:dyDescent="0.25">
      <c r="A105" s="7"/>
      <c r="B105" s="7"/>
      <c r="C105" s="17"/>
      <c r="D105" s="7"/>
      <c r="E105" s="7"/>
      <c r="F105" s="7"/>
      <c r="G105" s="7"/>
      <c r="H105" s="7"/>
      <c r="I105" s="7"/>
      <c r="J105" s="7"/>
      <c r="K105" s="7"/>
    </row>
    <row r="106" spans="1:11" x14ac:dyDescent="0.25">
      <c r="A106" s="7"/>
      <c r="B106" s="7"/>
      <c r="C106" s="17"/>
      <c r="D106" s="7"/>
      <c r="E106" s="7"/>
      <c r="F106" s="7"/>
      <c r="G106" s="7"/>
      <c r="H106" s="7"/>
      <c r="I106" s="7"/>
      <c r="J106" s="7"/>
      <c r="K106" s="7"/>
    </row>
    <row r="107" spans="1:11" x14ac:dyDescent="0.25">
      <c r="A107" s="7"/>
      <c r="B107" s="7"/>
      <c r="C107" s="17"/>
      <c r="D107" s="7"/>
      <c r="E107" s="7"/>
      <c r="F107" s="7"/>
      <c r="G107" s="7"/>
      <c r="H107" s="7"/>
      <c r="I107" s="7"/>
      <c r="J107" s="7"/>
      <c r="K107" s="7"/>
    </row>
    <row r="108" spans="1:11" x14ac:dyDescent="0.25">
      <c r="A108" s="7"/>
      <c r="B108" s="7"/>
      <c r="C108" s="17"/>
      <c r="D108" s="7"/>
      <c r="E108" s="7"/>
      <c r="F108" s="7"/>
      <c r="G108" s="7"/>
      <c r="H108" s="7"/>
      <c r="I108" s="7"/>
      <c r="J108" s="7"/>
      <c r="K108" s="7"/>
    </row>
    <row r="109" spans="1:11" x14ac:dyDescent="0.25">
      <c r="A109" s="7"/>
      <c r="B109" s="7"/>
      <c r="C109" s="17"/>
      <c r="D109" s="7"/>
      <c r="E109" s="7"/>
      <c r="F109" s="7"/>
      <c r="G109" s="7"/>
      <c r="H109" s="7"/>
      <c r="I109" s="7"/>
      <c r="J109" s="7"/>
      <c r="K109" s="7"/>
    </row>
    <row r="110" spans="1:11" x14ac:dyDescent="0.25">
      <c r="A110" s="7"/>
      <c r="B110" s="7"/>
      <c r="C110" s="17"/>
      <c r="D110" s="7"/>
      <c r="E110" s="7"/>
      <c r="F110" s="7"/>
      <c r="G110" s="7"/>
      <c r="H110" s="7"/>
      <c r="I110" s="7"/>
      <c r="J110" s="7"/>
      <c r="K110" s="7"/>
    </row>
    <row r="111" spans="1:11" x14ac:dyDescent="0.25">
      <c r="A111" s="7"/>
      <c r="B111" s="7"/>
      <c r="C111" s="17"/>
      <c r="D111" s="7"/>
      <c r="E111" s="7"/>
      <c r="F111" s="7"/>
      <c r="G111" s="7"/>
      <c r="H111" s="7"/>
      <c r="I111" s="7"/>
      <c r="J111" s="7"/>
      <c r="K111" s="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rop Down 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6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Drop Down 2">
              <controlPr defaultSize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5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F496A1-1219-4530-AA8D-281020ECAE6F}">
          <x14:formula1>
            <xm:f>Auxiliares!$B$2:$B$3</xm:f>
          </x14:formula1>
          <xm:sqref>C13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FA87-6C7B-4DD1-ACCA-15AC243E9B86}">
  <sheetPr codeName="Planilha7"/>
  <dimension ref="B1:G25"/>
  <sheetViews>
    <sheetView workbookViewId="0">
      <selection activeCell="D18" sqref="D18"/>
    </sheetView>
  </sheetViews>
  <sheetFormatPr defaultRowHeight="15" x14ac:dyDescent="0.25"/>
  <cols>
    <col min="2" max="2" width="28.5703125" bestFit="1" customWidth="1"/>
    <col min="4" max="4" width="39.85546875" bestFit="1" customWidth="1"/>
    <col min="5" max="5" width="9.5703125" customWidth="1"/>
  </cols>
  <sheetData>
    <row r="1" spans="2:7" x14ac:dyDescent="0.25">
      <c r="F1" t="s">
        <v>34</v>
      </c>
    </row>
    <row r="2" spans="2:7" x14ac:dyDescent="0.25">
      <c r="B2" s="56" t="s">
        <v>23</v>
      </c>
      <c r="D2" s="11" t="s">
        <v>31</v>
      </c>
      <c r="F2">
        <v>1</v>
      </c>
      <c r="G2" t="s">
        <v>17</v>
      </c>
    </row>
    <row r="3" spans="2:7" x14ac:dyDescent="0.25">
      <c r="B3" t="s">
        <v>24</v>
      </c>
      <c r="D3" s="11" t="s">
        <v>32</v>
      </c>
      <c r="F3">
        <v>2</v>
      </c>
      <c r="G3" t="s">
        <v>26</v>
      </c>
    </row>
    <row r="4" spans="2:7" x14ac:dyDescent="0.25">
      <c r="D4" s="11" t="s">
        <v>33</v>
      </c>
      <c r="F4">
        <v>3</v>
      </c>
      <c r="G4" t="s">
        <v>27</v>
      </c>
    </row>
    <row r="5" spans="2:7" x14ac:dyDescent="0.25">
      <c r="F5">
        <v>4</v>
      </c>
      <c r="G5" t="s">
        <v>28</v>
      </c>
    </row>
    <row r="6" spans="2:7" x14ac:dyDescent="0.25">
      <c r="F6">
        <v>5</v>
      </c>
      <c r="G6" t="s">
        <v>29</v>
      </c>
    </row>
    <row r="7" spans="2:7" x14ac:dyDescent="0.25">
      <c r="B7" t="s">
        <v>126</v>
      </c>
    </row>
    <row r="8" spans="2:7" x14ac:dyDescent="0.25">
      <c r="B8">
        <v>2</v>
      </c>
    </row>
    <row r="11" spans="2:7" x14ac:dyDescent="0.25">
      <c r="B11" t="s">
        <v>25</v>
      </c>
      <c r="D11" t="str">
        <f>IFERROR(VLOOKUP(C12,$E$12:$F$132,0),"")</f>
        <v/>
      </c>
      <c r="E11" t="s">
        <v>35</v>
      </c>
    </row>
    <row r="12" spans="2:7" x14ac:dyDescent="0.25">
      <c r="B12" t="s">
        <v>17</v>
      </c>
      <c r="C12">
        <v>1</v>
      </c>
      <c r="D12" t="str">
        <f>IFERROR(VLOOKUP(C12,$E$12:$F$13,2,0),"")</f>
        <v>PF</v>
      </c>
      <c r="E12">
        <v>1</v>
      </c>
      <c r="F12" t="s">
        <v>30</v>
      </c>
    </row>
    <row r="13" spans="2:7" x14ac:dyDescent="0.25">
      <c r="B13" t="s">
        <v>26</v>
      </c>
      <c r="C13">
        <v>1</v>
      </c>
      <c r="D13" t="str">
        <f t="shared" ref="D13:D16" si="0">IFERROR(VLOOKUP(C13,$E$12:$F$13,2,0),"")</f>
        <v>PF</v>
      </c>
      <c r="E13">
        <v>2</v>
      </c>
      <c r="F13" t="s">
        <v>36</v>
      </c>
    </row>
    <row r="14" spans="2:7" x14ac:dyDescent="0.25">
      <c r="B14" t="s">
        <v>27</v>
      </c>
      <c r="D14" t="str">
        <f t="shared" si="0"/>
        <v/>
      </c>
    </row>
    <row r="15" spans="2:7" x14ac:dyDescent="0.25">
      <c r="B15" t="s">
        <v>28</v>
      </c>
      <c r="C15">
        <v>1</v>
      </c>
      <c r="D15" t="str">
        <f t="shared" si="0"/>
        <v>PF</v>
      </c>
    </row>
    <row r="16" spans="2:7" x14ac:dyDescent="0.25">
      <c r="B16" t="s">
        <v>29</v>
      </c>
      <c r="D16" t="str">
        <f t="shared" si="0"/>
        <v/>
      </c>
    </row>
    <row r="17" spans="2:5" x14ac:dyDescent="0.25">
      <c r="E17" t="s">
        <v>37</v>
      </c>
    </row>
    <row r="18" spans="2:5" x14ac:dyDescent="0.25">
      <c r="D18">
        <v>1</v>
      </c>
      <c r="E18" t="s">
        <v>38</v>
      </c>
    </row>
    <row r="19" spans="2:5" x14ac:dyDescent="0.25">
      <c r="D19">
        <v>2</v>
      </c>
      <c r="E19" t="s">
        <v>39</v>
      </c>
    </row>
    <row r="20" spans="2:5" x14ac:dyDescent="0.25">
      <c r="D20">
        <v>3</v>
      </c>
      <c r="E20" t="s">
        <v>40</v>
      </c>
    </row>
    <row r="23" spans="2:5" x14ac:dyDescent="0.25">
      <c r="B23" t="s">
        <v>41</v>
      </c>
      <c r="C23" s="2">
        <v>2.4599999999999999E-3</v>
      </c>
    </row>
    <row r="24" spans="2:5" x14ac:dyDescent="0.25">
      <c r="B24" t="s">
        <v>42</v>
      </c>
      <c r="C24" s="2">
        <v>1.6800000000000001E-3</v>
      </c>
    </row>
    <row r="25" spans="2:5" x14ac:dyDescent="0.25">
      <c r="B25" t="s">
        <v>43</v>
      </c>
      <c r="C25" s="1">
        <v>3.8E-3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D8E5F-21BA-4352-B6C7-1D7EE90276B2}">
  <sheetPr codeName="Planilha6"/>
  <dimension ref="A1:H29"/>
  <sheetViews>
    <sheetView workbookViewId="0">
      <selection activeCell="L9" sqref="L9"/>
    </sheetView>
  </sheetViews>
  <sheetFormatPr defaultRowHeight="15" x14ac:dyDescent="0.25"/>
  <cols>
    <col min="1" max="1" width="9.85546875" bestFit="1" customWidth="1"/>
    <col min="2" max="2" width="10.140625" bestFit="1" customWidth="1"/>
    <col min="3" max="3" width="10.7109375" bestFit="1" customWidth="1"/>
    <col min="4" max="4" width="14.28515625" bestFit="1" customWidth="1"/>
    <col min="5" max="5" width="9.42578125" bestFit="1" customWidth="1"/>
    <col min="7" max="7" width="11.85546875" bestFit="1" customWidth="1"/>
    <col min="8" max="8" width="3.140625" bestFit="1" customWidth="1"/>
  </cols>
  <sheetData>
    <row r="1" spans="1:8" x14ac:dyDescent="0.25">
      <c r="D1">
        <v>1</v>
      </c>
    </row>
    <row r="2" spans="1:8" x14ac:dyDescent="0.25">
      <c r="D2" t="s">
        <v>71</v>
      </c>
    </row>
    <row r="3" spans="1:8" x14ac:dyDescent="0.25">
      <c r="A3" t="s">
        <v>56</v>
      </c>
      <c r="B3" t="s">
        <v>57</v>
      </c>
      <c r="C3" t="s">
        <v>58</v>
      </c>
      <c r="D3" s="3" t="s">
        <v>59</v>
      </c>
      <c r="E3" s="3" t="s">
        <v>6</v>
      </c>
    </row>
    <row r="4" spans="1:8" x14ac:dyDescent="0.25">
      <c r="A4">
        <v>1</v>
      </c>
      <c r="B4">
        <v>3</v>
      </c>
      <c r="C4">
        <v>0</v>
      </c>
      <c r="D4" s="4" t="s">
        <v>60</v>
      </c>
      <c r="E4" s="6">
        <v>3.5999999999999997E-2</v>
      </c>
    </row>
    <row r="5" spans="1:8" x14ac:dyDescent="0.25">
      <c r="A5">
        <v>4</v>
      </c>
      <c r="B5">
        <v>7</v>
      </c>
      <c r="C5">
        <v>0</v>
      </c>
      <c r="D5" s="4" t="s">
        <v>61</v>
      </c>
      <c r="E5" s="6">
        <v>5.0999999999999997E-2</v>
      </c>
    </row>
    <row r="6" spans="1:8" x14ac:dyDescent="0.25">
      <c r="A6">
        <v>8</v>
      </c>
      <c r="B6">
        <v>10</v>
      </c>
      <c r="C6">
        <v>0</v>
      </c>
      <c r="D6" s="4" t="s">
        <v>62</v>
      </c>
      <c r="E6" s="6">
        <v>6.0999999999999999E-2</v>
      </c>
    </row>
    <row r="7" spans="1:8" x14ac:dyDescent="0.25">
      <c r="A7">
        <v>11</v>
      </c>
      <c r="B7">
        <v>17</v>
      </c>
      <c r="C7">
        <v>0</v>
      </c>
      <c r="D7" s="4" t="s">
        <v>63</v>
      </c>
      <c r="E7" s="6">
        <v>7.0999999999999994E-2</v>
      </c>
      <c r="G7" t="s">
        <v>66</v>
      </c>
      <c r="H7">
        <v>10</v>
      </c>
    </row>
    <row r="8" spans="1:8" x14ac:dyDescent="0.25">
      <c r="A8">
        <v>18</v>
      </c>
      <c r="B8">
        <v>23</v>
      </c>
      <c r="C8">
        <v>0</v>
      </c>
      <c r="D8" s="4" t="s">
        <v>64</v>
      </c>
      <c r="E8" s="6">
        <v>7.5999999999999998E-2</v>
      </c>
      <c r="G8" t="s">
        <v>67</v>
      </c>
      <c r="H8">
        <v>2</v>
      </c>
    </row>
    <row r="9" spans="1:8" x14ac:dyDescent="0.25">
      <c r="A9">
        <v>24</v>
      </c>
      <c r="B9">
        <v>60</v>
      </c>
      <c r="C9">
        <v>0</v>
      </c>
      <c r="D9" s="4" t="s">
        <v>65</v>
      </c>
      <c r="E9" s="6">
        <v>8.5999999999999993E-2</v>
      </c>
      <c r="G9" t="s">
        <v>68</v>
      </c>
      <c r="H9">
        <v>3</v>
      </c>
    </row>
    <row r="10" spans="1:8" x14ac:dyDescent="0.25">
      <c r="G10" t="s">
        <v>69</v>
      </c>
      <c r="H10">
        <v>3</v>
      </c>
    </row>
    <row r="11" spans="1:8" x14ac:dyDescent="0.25">
      <c r="D11">
        <v>2</v>
      </c>
      <c r="G11" t="s">
        <v>70</v>
      </c>
      <c r="H11">
        <v>1</v>
      </c>
    </row>
    <row r="12" spans="1:8" x14ac:dyDescent="0.25">
      <c r="D12" t="s">
        <v>72</v>
      </c>
    </row>
    <row r="13" spans="1:8" x14ac:dyDescent="0.25">
      <c r="D13" s="3" t="s">
        <v>73</v>
      </c>
      <c r="E13" s="3" t="s">
        <v>74</v>
      </c>
    </row>
    <row r="14" spans="1:8" x14ac:dyDescent="0.25">
      <c r="A14">
        <v>1</v>
      </c>
      <c r="B14">
        <v>4</v>
      </c>
      <c r="C14">
        <v>0</v>
      </c>
      <c r="D14" s="4" t="s">
        <v>75</v>
      </c>
      <c r="E14" s="6">
        <v>4.1000000000000002E-2</v>
      </c>
    </row>
    <row r="15" spans="1:8" x14ac:dyDescent="0.25">
      <c r="A15">
        <v>5</v>
      </c>
      <c r="B15">
        <v>6</v>
      </c>
      <c r="C15">
        <v>0</v>
      </c>
      <c r="D15" s="4" t="s">
        <v>76</v>
      </c>
      <c r="E15" s="6">
        <v>7.0999999999999994E-2</v>
      </c>
    </row>
    <row r="16" spans="1:8" x14ac:dyDescent="0.25">
      <c r="A16">
        <v>7</v>
      </c>
      <c r="B16">
        <v>10</v>
      </c>
      <c r="C16">
        <v>0</v>
      </c>
      <c r="D16" s="4" t="s">
        <v>77</v>
      </c>
      <c r="E16" s="6">
        <v>8.5999999999999993E-2</v>
      </c>
    </row>
    <row r="17" spans="1:5" x14ac:dyDescent="0.25">
      <c r="A17">
        <v>11</v>
      </c>
      <c r="B17">
        <v>17</v>
      </c>
      <c r="C17">
        <v>0</v>
      </c>
      <c r="D17" s="4" t="s">
        <v>63</v>
      </c>
      <c r="E17" s="6">
        <v>8.5999999999999993E-2</v>
      </c>
    </row>
    <row r="18" spans="1:5" x14ac:dyDescent="0.25">
      <c r="A18">
        <v>18</v>
      </c>
      <c r="B18">
        <v>23</v>
      </c>
      <c r="C18">
        <v>0</v>
      </c>
      <c r="D18" s="4" t="s">
        <v>64</v>
      </c>
      <c r="E18" s="6">
        <v>8.5999999999999993E-2</v>
      </c>
    </row>
    <row r="19" spans="1:5" x14ac:dyDescent="0.25">
      <c r="A19">
        <v>24</v>
      </c>
      <c r="B19">
        <v>60</v>
      </c>
      <c r="C19">
        <v>0</v>
      </c>
      <c r="D19" s="4" t="s">
        <v>65</v>
      </c>
      <c r="E19" s="6">
        <v>8.5999999999999993E-2</v>
      </c>
    </row>
    <row r="21" spans="1:5" x14ac:dyDescent="0.25">
      <c r="D21">
        <v>3</v>
      </c>
    </row>
    <row r="22" spans="1:5" x14ac:dyDescent="0.25">
      <c r="D22" s="5" t="s">
        <v>78</v>
      </c>
    </row>
    <row r="23" spans="1:5" x14ac:dyDescent="0.25">
      <c r="A23">
        <v>1</v>
      </c>
      <c r="B23">
        <v>3</v>
      </c>
      <c r="C23">
        <v>0</v>
      </c>
      <c r="D23" s="3" t="s">
        <v>73</v>
      </c>
      <c r="E23" s="3" t="s">
        <v>6</v>
      </c>
    </row>
    <row r="24" spans="1:5" x14ac:dyDescent="0.25">
      <c r="A24">
        <v>4</v>
      </c>
      <c r="B24">
        <v>6</v>
      </c>
      <c r="C24">
        <v>0</v>
      </c>
      <c r="D24" s="4" t="s">
        <v>60</v>
      </c>
      <c r="E24" s="6">
        <v>3.4000000000000002E-2</v>
      </c>
    </row>
    <row r="25" spans="1:5" x14ac:dyDescent="0.25">
      <c r="A25">
        <v>7</v>
      </c>
      <c r="B25">
        <v>9</v>
      </c>
      <c r="C25">
        <v>0</v>
      </c>
      <c r="D25" s="4" t="s">
        <v>79</v>
      </c>
      <c r="E25" s="6">
        <v>3.5999999999999997E-2</v>
      </c>
    </row>
    <row r="26" spans="1:5" x14ac:dyDescent="0.25">
      <c r="A26">
        <v>10</v>
      </c>
      <c r="B26">
        <v>17</v>
      </c>
      <c r="C26">
        <v>0</v>
      </c>
      <c r="D26" s="4" t="s">
        <v>80</v>
      </c>
      <c r="E26" s="6">
        <v>7.9500000000000001E-2</v>
      </c>
    </row>
    <row r="27" spans="1:5" x14ac:dyDescent="0.25">
      <c r="A27">
        <v>18</v>
      </c>
      <c r="B27">
        <v>23</v>
      </c>
      <c r="C27">
        <v>0</v>
      </c>
      <c r="D27" s="4" t="s">
        <v>81</v>
      </c>
      <c r="E27" s="6">
        <v>4.2000000000000003E-2</v>
      </c>
    </row>
    <row r="28" spans="1:5" x14ac:dyDescent="0.25">
      <c r="A28">
        <v>24</v>
      </c>
      <c r="B28">
        <v>60</v>
      </c>
      <c r="C28">
        <v>0</v>
      </c>
      <c r="D28" s="4" t="s">
        <v>64</v>
      </c>
      <c r="E28" s="6">
        <v>4.4999999999999998E-2</v>
      </c>
    </row>
    <row r="29" spans="1:5" x14ac:dyDescent="0.25">
      <c r="D29" s="4" t="s">
        <v>65</v>
      </c>
      <c r="E29" s="6">
        <v>4.9000000000000002E-2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IOF 1</vt:lpstr>
      <vt:lpstr>IOF 2</vt:lpstr>
      <vt:lpstr>TP</vt:lpstr>
      <vt:lpstr>PF</vt:lpstr>
      <vt:lpstr>SC</vt:lpstr>
      <vt:lpstr>PA</vt:lpstr>
      <vt:lpstr>PE-TR-CRE</vt:lpstr>
      <vt:lpstr>Auxiliares</vt:lpstr>
      <vt:lpstr>auxseguro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Gilvan Sousa</dc:creator>
  <cp:lastModifiedBy>Gilvan Sousa</cp:lastModifiedBy>
  <dcterms:created xsi:type="dcterms:W3CDTF">2026-04-10T20:30:19Z</dcterms:created>
  <dcterms:modified xsi:type="dcterms:W3CDTF">2026-09-18T16:19:22Z</dcterms:modified>
</cp:coreProperties>
</file>