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A:\Workspace\poc-fintech-playwright\data\"/>
    </mc:Choice>
  </mc:AlternateContent>
  <xr:revisionPtr revIDLastSave="0" documentId="13_ncr:1_{8F1BB1CB-057F-4322-B55B-B54225872A42}" xr6:coauthVersionLast="47" xr6:coauthVersionMax="47" xr10:uidLastSave="{00000000-0000-0000-0000-000000000000}"/>
  <bookViews>
    <workbookView xWindow="-120" yWindow="-120" windowWidth="29040" windowHeight="15720" tabRatio="745" activeTab="3" xr2:uid="{00000000-000D-0000-FFFF-FFFF00000000}"/>
  </bookViews>
  <sheets>
    <sheet name="TBL_CENARIOS" sheetId="1" r:id="rId1"/>
    <sheet name="TBL_USUARIOS" sheetId="8" r:id="rId2"/>
    <sheet name="TBL_PIX" sheetId="5" r:id="rId3"/>
    <sheet name="TBL_FATURA" sheetId="7" r:id="rId4"/>
    <sheet name="TBL_USUARIOS_SECUNDARIOS" sheetId="9" r:id="rId5"/>
    <sheet name="TBL_CADASTRO" sheetId="2" r:id="rId6"/>
    <sheet name="tbl_de_massas" sheetId="10" r:id="rId7"/>
  </sheets>
  <definedNames>
    <definedName name="DadosExternos_1" localSheetId="6" hidden="1">tbl_de_massas!$A$1:$P$258</definedName>
    <definedName name="TBL_CADASTRO" localSheetId="5">#REF!</definedName>
    <definedName name="TBL_CADASTR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7" l="1"/>
  <c r="L3" i="7"/>
  <c r="L4" i="7"/>
  <c r="L5" i="7"/>
  <c r="L6" i="7"/>
  <c r="L7" i="7"/>
  <c r="L8" i="7"/>
  <c r="L9" i="7"/>
  <c r="D2" i="7"/>
  <c r="D3" i="7"/>
  <c r="D4" i="7"/>
  <c r="D5" i="7"/>
  <c r="D6" i="7"/>
  <c r="D7" i="7"/>
  <c r="D8" i="7"/>
  <c r="D9" i="7"/>
  <c r="E2" i="7"/>
  <c r="E3" i="7"/>
  <c r="E4" i="7"/>
  <c r="E5" i="7"/>
  <c r="E6" i="7"/>
  <c r="E7" i="7"/>
  <c r="E8" i="7"/>
  <c r="E9" i="7"/>
  <c r="F2" i="7"/>
  <c r="F3" i="7"/>
  <c r="F4" i="7"/>
  <c r="F5" i="7"/>
  <c r="F6" i="7"/>
  <c r="F7" i="7"/>
  <c r="F8" i="7"/>
  <c r="F9" i="7"/>
  <c r="G2" i="7"/>
  <c r="G3" i="7"/>
  <c r="G4" i="7"/>
  <c r="G5" i="7"/>
  <c r="G6" i="7"/>
  <c r="G7" i="7"/>
  <c r="G8" i="7"/>
  <c r="G9" i="7"/>
  <c r="H2" i="7"/>
  <c r="H3" i="7"/>
  <c r="H4" i="7"/>
  <c r="H5" i="7"/>
  <c r="H6" i="7"/>
  <c r="H7" i="7"/>
  <c r="H8" i="7"/>
  <c r="H9" i="7"/>
  <c r="I2" i="7"/>
  <c r="I3" i="7"/>
  <c r="I4" i="7"/>
  <c r="I5" i="7"/>
  <c r="I6" i="7"/>
  <c r="I7" i="7"/>
  <c r="I8" i="7"/>
  <c r="I9" i="7"/>
  <c r="B2" i="7"/>
  <c r="B3" i="7"/>
  <c r="B4" i="7"/>
  <c r="B5" i="7"/>
  <c r="B6" i="7"/>
  <c r="B7" i="7"/>
  <c r="B8" i="7"/>
  <c r="B9" i="7"/>
  <c r="C5" i="7"/>
  <c r="C6" i="7"/>
  <c r="C7" i="7"/>
  <c r="C8" i="7"/>
  <c r="C9" i="7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H74" i="8" s="1"/>
  <c r="E75" i="8"/>
  <c r="H75" i="8" s="1"/>
  <c r="E76" i="8"/>
  <c r="H76" i="8" s="1"/>
  <c r="E77" i="8"/>
  <c r="H77" i="8" s="1"/>
  <c r="E78" i="8"/>
  <c r="H78" i="8" s="1"/>
  <c r="E79" i="8"/>
  <c r="H79" i="8" s="1"/>
  <c r="E80" i="8"/>
  <c r="H80" i="8" s="1"/>
  <c r="E81" i="8"/>
  <c r="H81" i="8" s="1"/>
  <c r="E82" i="8"/>
  <c r="H82" i="8" s="1"/>
  <c r="E83" i="8"/>
  <c r="H83" i="8" s="1"/>
  <c r="E84" i="8"/>
  <c r="H84" i="8" s="1"/>
  <c r="E85" i="8"/>
  <c r="H85" i="8" s="1"/>
  <c r="E86" i="8"/>
  <c r="H86" i="8" s="1"/>
  <c r="E87" i="8"/>
  <c r="H87" i="8" s="1"/>
  <c r="E88" i="8"/>
  <c r="H88" i="8" s="1"/>
  <c r="E89" i="8"/>
  <c r="H89" i="8" s="1"/>
  <c r="E90" i="8"/>
  <c r="H90" i="8" s="1"/>
  <c r="E91" i="8"/>
  <c r="H91" i="8" s="1"/>
  <c r="E92" i="8"/>
  <c r="H92" i="8" s="1"/>
  <c r="E93" i="8"/>
  <c r="H93" i="8" s="1"/>
  <c r="E94" i="8"/>
  <c r="H94" i="8" s="1"/>
  <c r="E95" i="8"/>
  <c r="H95" i="8" s="1"/>
  <c r="E96" i="8"/>
  <c r="H96" i="8" s="1"/>
  <c r="E97" i="8"/>
  <c r="H97" i="8" s="1"/>
  <c r="E98" i="8"/>
  <c r="H98" i="8" s="1"/>
  <c r="E99" i="8"/>
  <c r="H99" i="8" s="1"/>
  <c r="E100" i="8"/>
  <c r="H100" i="8" s="1"/>
  <c r="E101" i="8"/>
  <c r="H101" i="8" s="1"/>
  <c r="E102" i="8"/>
  <c r="H102" i="8" s="1"/>
  <c r="E103" i="8"/>
  <c r="H103" i="8" s="1"/>
  <c r="E104" i="8"/>
  <c r="H104" i="8" s="1"/>
  <c r="E105" i="8"/>
  <c r="H105" i="8" s="1"/>
  <c r="E106" i="8"/>
  <c r="H106" i="8" s="1"/>
  <c r="E107" i="8"/>
  <c r="H107" i="8" s="1"/>
  <c r="E108" i="8"/>
  <c r="H108" i="8" s="1"/>
  <c r="E109" i="8"/>
  <c r="H109" i="8" s="1"/>
  <c r="E110" i="8"/>
  <c r="H110" i="8" s="1"/>
  <c r="E111" i="8"/>
  <c r="H111" i="8" s="1"/>
  <c r="E112" i="8"/>
  <c r="H112" i="8" s="1"/>
  <c r="E113" i="8"/>
  <c r="H113" i="8" s="1"/>
  <c r="E114" i="8"/>
  <c r="H114" i="8" s="1"/>
  <c r="E115" i="8"/>
  <c r="H115" i="8" s="1"/>
  <c r="E116" i="8"/>
  <c r="H116" i="8" s="1"/>
  <c r="E117" i="8"/>
  <c r="H117" i="8" s="1"/>
  <c r="E118" i="8"/>
  <c r="H118" i="8" s="1"/>
  <c r="E119" i="8"/>
  <c r="H119" i="8" s="1"/>
  <c r="E120" i="8"/>
  <c r="H120" i="8" s="1"/>
  <c r="E121" i="8"/>
  <c r="H121" i="8" s="1"/>
  <c r="E122" i="8"/>
  <c r="H122" i="8" s="1"/>
  <c r="E123" i="8"/>
  <c r="H123" i="8" s="1"/>
  <c r="E124" i="8"/>
  <c r="H124" i="8" s="1"/>
  <c r="E125" i="8"/>
  <c r="H125" i="8" s="1"/>
  <c r="E126" i="8"/>
  <c r="H126" i="8" s="1"/>
  <c r="E127" i="8"/>
  <c r="H127" i="8" s="1"/>
  <c r="E128" i="8"/>
  <c r="H128" i="8" s="1"/>
  <c r="E129" i="8"/>
  <c r="H129" i="8" s="1"/>
  <c r="E130" i="8"/>
  <c r="H130" i="8" s="1"/>
  <c r="E131" i="8"/>
  <c r="H131" i="8" s="1"/>
  <c r="E132" i="8"/>
  <c r="H132" i="8" s="1"/>
  <c r="E133" i="8"/>
  <c r="H133" i="8" s="1"/>
  <c r="E134" i="8"/>
  <c r="H134" i="8" s="1"/>
  <c r="E135" i="8"/>
  <c r="H135" i="8" s="1"/>
  <c r="E136" i="8"/>
  <c r="H136" i="8" s="1"/>
  <c r="E137" i="8"/>
  <c r="H137" i="8" s="1"/>
  <c r="E138" i="8"/>
  <c r="H138" i="8" s="1"/>
  <c r="E139" i="8"/>
  <c r="H139" i="8" s="1"/>
  <c r="E140" i="8"/>
  <c r="H140" i="8" s="1"/>
  <c r="E141" i="8"/>
  <c r="H141" i="8" s="1"/>
  <c r="E142" i="8"/>
  <c r="H142" i="8" s="1"/>
  <c r="E143" i="8"/>
  <c r="H143" i="8" s="1"/>
  <c r="E144" i="8"/>
  <c r="H144" i="8" s="1"/>
  <c r="E145" i="8"/>
  <c r="H145" i="8" s="1"/>
  <c r="E146" i="8"/>
  <c r="H146" i="8" s="1"/>
  <c r="E147" i="8"/>
  <c r="H147" i="8" s="1"/>
  <c r="E148" i="8"/>
  <c r="H148" i="8" s="1"/>
  <c r="E149" i="8"/>
  <c r="H149" i="8" s="1"/>
  <c r="E150" i="8"/>
  <c r="H150" i="8" s="1"/>
  <c r="E151" i="8"/>
  <c r="H151" i="8" s="1"/>
  <c r="E152" i="8"/>
  <c r="H152" i="8" s="1"/>
  <c r="E153" i="8"/>
  <c r="H153" i="8" s="1"/>
  <c r="E154" i="8"/>
  <c r="H154" i="8" s="1"/>
  <c r="E155" i="8"/>
  <c r="H155" i="8" s="1"/>
  <c r="E156" i="8"/>
  <c r="H156" i="8" s="1"/>
  <c r="E157" i="8"/>
  <c r="H157" i="8" s="1"/>
  <c r="E158" i="8"/>
  <c r="H158" i="8" s="1"/>
  <c r="E159" i="8"/>
  <c r="H159" i="8" s="1"/>
  <c r="E160" i="8"/>
  <c r="H160" i="8" s="1"/>
  <c r="E161" i="8"/>
  <c r="H161" i="8" s="1"/>
  <c r="E162" i="8"/>
  <c r="H162" i="8" s="1"/>
  <c r="E163" i="8"/>
  <c r="H163" i="8" s="1"/>
  <c r="E164" i="8"/>
  <c r="H164" i="8" s="1"/>
  <c r="E165" i="8"/>
  <c r="H165" i="8" s="1"/>
  <c r="E166" i="8"/>
  <c r="H166" i="8" s="1"/>
  <c r="E167" i="8"/>
  <c r="H167" i="8" s="1"/>
  <c r="E168" i="8"/>
  <c r="H168" i="8" s="1"/>
  <c r="E169" i="8"/>
  <c r="H169" i="8" s="1"/>
  <c r="E170" i="8"/>
  <c r="H170" i="8" s="1"/>
  <c r="E171" i="8"/>
  <c r="H171" i="8" s="1"/>
  <c r="E172" i="8"/>
  <c r="H172" i="8" s="1"/>
  <c r="E173" i="8"/>
  <c r="H173" i="8" s="1"/>
  <c r="E174" i="8"/>
  <c r="H174" i="8" s="1"/>
  <c r="E175" i="8"/>
  <c r="H175" i="8" s="1"/>
  <c r="E176" i="8"/>
  <c r="H176" i="8" s="1"/>
  <c r="E177" i="8"/>
  <c r="H177" i="8" s="1"/>
  <c r="E178" i="8"/>
  <c r="H178" i="8" s="1"/>
  <c r="E179" i="8"/>
  <c r="H179" i="8" s="1"/>
  <c r="E180" i="8"/>
  <c r="H180" i="8" s="1"/>
  <c r="E181" i="8"/>
  <c r="H181" i="8" s="1"/>
  <c r="E182" i="8"/>
  <c r="H182" i="8" s="1"/>
  <c r="E183" i="8"/>
  <c r="H183" i="8" s="1"/>
  <c r="E184" i="8"/>
  <c r="H184" i="8" s="1"/>
  <c r="E185" i="8"/>
  <c r="H185" i="8" s="1"/>
  <c r="E186" i="8"/>
  <c r="H186" i="8" s="1"/>
  <c r="E187" i="8"/>
  <c r="H187" i="8" s="1"/>
  <c r="E188" i="8"/>
  <c r="H188" i="8" s="1"/>
  <c r="E189" i="8"/>
  <c r="H189" i="8" s="1"/>
  <c r="E190" i="8"/>
  <c r="H190" i="8" s="1"/>
  <c r="E191" i="8"/>
  <c r="H191" i="8" s="1"/>
  <c r="E192" i="8"/>
  <c r="H192" i="8" s="1"/>
  <c r="E193" i="8"/>
  <c r="H193" i="8" s="1"/>
  <c r="E194" i="8"/>
  <c r="H194" i="8" s="1"/>
  <c r="E195" i="8"/>
  <c r="H195" i="8" s="1"/>
  <c r="E196" i="8"/>
  <c r="H196" i="8" s="1"/>
  <c r="E197" i="8"/>
  <c r="H197" i="8" s="1"/>
  <c r="E198" i="8"/>
  <c r="H198" i="8" s="1"/>
  <c r="E199" i="8"/>
  <c r="H199" i="8" s="1"/>
  <c r="E200" i="8"/>
  <c r="H200" i="8" s="1"/>
  <c r="E201" i="8"/>
  <c r="H201" i="8" s="1"/>
  <c r="E202" i="8"/>
  <c r="H202" i="8" s="1"/>
  <c r="E203" i="8"/>
  <c r="H203" i="8" s="1"/>
  <c r="E204" i="8"/>
  <c r="H204" i="8" s="1"/>
  <c r="E205" i="8"/>
  <c r="H205" i="8" s="1"/>
  <c r="E206" i="8"/>
  <c r="H206" i="8" s="1"/>
  <c r="E207" i="8"/>
  <c r="H207" i="8" s="1"/>
  <c r="E208" i="8"/>
  <c r="H208" i="8" s="1"/>
  <c r="E209" i="8"/>
  <c r="H209" i="8" s="1"/>
  <c r="E210" i="8"/>
  <c r="H210" i="8" s="1"/>
  <c r="E211" i="8"/>
  <c r="H211" i="8" s="1"/>
  <c r="E212" i="8"/>
  <c r="H212" i="8" s="1"/>
  <c r="E213" i="8"/>
  <c r="H213" i="8" s="1"/>
  <c r="E214" i="8"/>
  <c r="H214" i="8" s="1"/>
  <c r="E215" i="8"/>
  <c r="H215" i="8" s="1"/>
  <c r="E216" i="8"/>
  <c r="H216" i="8" s="1"/>
  <c r="E217" i="8"/>
  <c r="H217" i="8" s="1"/>
  <c r="E218" i="8"/>
  <c r="H218" i="8" s="1"/>
  <c r="E219" i="8"/>
  <c r="H219" i="8" s="1"/>
  <c r="E220" i="8"/>
  <c r="H220" i="8" s="1"/>
  <c r="E221" i="8"/>
  <c r="H221" i="8" s="1"/>
  <c r="E222" i="8"/>
  <c r="H222" i="8" s="1"/>
  <c r="E223" i="8"/>
  <c r="H223" i="8" s="1"/>
  <c r="E224" i="8"/>
  <c r="H224" i="8" s="1"/>
  <c r="E225" i="8"/>
  <c r="H225" i="8" s="1"/>
  <c r="E226" i="8"/>
  <c r="H226" i="8" s="1"/>
  <c r="E227" i="8"/>
  <c r="H227" i="8" s="1"/>
  <c r="E228" i="8"/>
  <c r="H228" i="8" s="1"/>
  <c r="H2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G147" i="8" s="1"/>
  <c r="D148" i="8"/>
  <c r="G148" i="8" s="1"/>
  <c r="D149" i="8"/>
  <c r="G149" i="8" s="1"/>
  <c r="D150" i="8"/>
  <c r="G150" i="8" s="1"/>
  <c r="D151" i="8"/>
  <c r="G151" i="8" s="1"/>
  <c r="D152" i="8"/>
  <c r="G152" i="8" s="1"/>
  <c r="D153" i="8"/>
  <c r="G153" i="8" s="1"/>
  <c r="D154" i="8"/>
  <c r="G154" i="8" s="1"/>
  <c r="D155" i="8"/>
  <c r="G155" i="8" s="1"/>
  <c r="D156" i="8"/>
  <c r="G156" i="8" s="1"/>
  <c r="D157" i="8"/>
  <c r="G157" i="8" s="1"/>
  <c r="D158" i="8"/>
  <c r="G158" i="8" s="1"/>
  <c r="D159" i="8"/>
  <c r="G159" i="8" s="1"/>
  <c r="D160" i="8"/>
  <c r="G160" i="8" s="1"/>
  <c r="D161" i="8"/>
  <c r="G161" i="8" s="1"/>
  <c r="D162" i="8"/>
  <c r="G162" i="8" s="1"/>
  <c r="D163" i="8"/>
  <c r="G163" i="8" s="1"/>
  <c r="D164" i="8"/>
  <c r="G164" i="8" s="1"/>
  <c r="D165" i="8"/>
  <c r="G165" i="8" s="1"/>
  <c r="D166" i="8"/>
  <c r="G166" i="8" s="1"/>
  <c r="D167" i="8"/>
  <c r="G167" i="8" s="1"/>
  <c r="D168" i="8"/>
  <c r="G168" i="8" s="1"/>
  <c r="D169" i="8"/>
  <c r="G169" i="8" s="1"/>
  <c r="D170" i="8"/>
  <c r="G170" i="8" s="1"/>
  <c r="D171" i="8"/>
  <c r="G171" i="8" s="1"/>
  <c r="D172" i="8"/>
  <c r="G172" i="8" s="1"/>
  <c r="D173" i="8"/>
  <c r="G173" i="8" s="1"/>
  <c r="D174" i="8"/>
  <c r="G174" i="8" s="1"/>
  <c r="D175" i="8"/>
  <c r="G175" i="8" s="1"/>
  <c r="D176" i="8"/>
  <c r="G176" i="8" s="1"/>
  <c r="D177" i="8"/>
  <c r="G177" i="8" s="1"/>
  <c r="D178" i="8"/>
  <c r="G178" i="8" s="1"/>
  <c r="D179" i="8"/>
  <c r="G179" i="8" s="1"/>
  <c r="D180" i="8"/>
  <c r="G180" i="8" s="1"/>
  <c r="D181" i="8"/>
  <c r="G181" i="8" s="1"/>
  <c r="D182" i="8"/>
  <c r="G182" i="8" s="1"/>
  <c r="D183" i="8"/>
  <c r="G183" i="8" s="1"/>
  <c r="D184" i="8"/>
  <c r="G184" i="8" s="1"/>
  <c r="D185" i="8"/>
  <c r="G185" i="8" s="1"/>
  <c r="D186" i="8"/>
  <c r="G186" i="8" s="1"/>
  <c r="D187" i="8"/>
  <c r="G187" i="8" s="1"/>
  <c r="D188" i="8"/>
  <c r="G188" i="8" s="1"/>
  <c r="D189" i="8"/>
  <c r="G189" i="8" s="1"/>
  <c r="D190" i="8"/>
  <c r="G190" i="8" s="1"/>
  <c r="D191" i="8"/>
  <c r="G191" i="8" s="1"/>
  <c r="D192" i="8"/>
  <c r="G192" i="8" s="1"/>
  <c r="D193" i="8"/>
  <c r="G193" i="8" s="1"/>
  <c r="D194" i="8"/>
  <c r="G194" i="8" s="1"/>
  <c r="D195" i="8"/>
  <c r="G195" i="8" s="1"/>
  <c r="D196" i="8"/>
  <c r="G196" i="8" s="1"/>
  <c r="D197" i="8"/>
  <c r="G197" i="8" s="1"/>
  <c r="D198" i="8"/>
  <c r="G198" i="8" s="1"/>
  <c r="D199" i="8"/>
  <c r="G199" i="8" s="1"/>
  <c r="D200" i="8"/>
  <c r="G200" i="8" s="1"/>
  <c r="D201" i="8"/>
  <c r="G201" i="8" s="1"/>
  <c r="D202" i="8"/>
  <c r="G202" i="8" s="1"/>
  <c r="D203" i="8"/>
  <c r="G203" i="8" s="1"/>
  <c r="D204" i="8"/>
  <c r="G204" i="8" s="1"/>
  <c r="D205" i="8"/>
  <c r="G205" i="8" s="1"/>
  <c r="D206" i="8"/>
  <c r="G206" i="8" s="1"/>
  <c r="D207" i="8"/>
  <c r="G207" i="8" s="1"/>
  <c r="D208" i="8"/>
  <c r="G208" i="8" s="1"/>
  <c r="D209" i="8"/>
  <c r="G209" i="8" s="1"/>
  <c r="D210" i="8"/>
  <c r="G210" i="8" s="1"/>
  <c r="D211" i="8"/>
  <c r="G211" i="8" s="1"/>
  <c r="D212" i="8"/>
  <c r="G212" i="8" s="1"/>
  <c r="D213" i="8"/>
  <c r="G213" i="8" s="1"/>
  <c r="D214" i="8"/>
  <c r="G214" i="8" s="1"/>
  <c r="D215" i="8"/>
  <c r="G215" i="8" s="1"/>
  <c r="D216" i="8"/>
  <c r="G216" i="8" s="1"/>
  <c r="D217" i="8"/>
  <c r="G217" i="8" s="1"/>
  <c r="D218" i="8"/>
  <c r="G218" i="8" s="1"/>
  <c r="D219" i="8"/>
  <c r="G219" i="8" s="1"/>
  <c r="D220" i="8"/>
  <c r="G220" i="8" s="1"/>
  <c r="D221" i="8"/>
  <c r="G221" i="8" s="1"/>
  <c r="D222" i="8"/>
  <c r="G222" i="8" s="1"/>
  <c r="D223" i="8"/>
  <c r="G223" i="8" s="1"/>
  <c r="D224" i="8"/>
  <c r="G224" i="8" s="1"/>
  <c r="D225" i="8"/>
  <c r="G225" i="8" s="1"/>
  <c r="D226" i="8"/>
  <c r="G226" i="8" s="1"/>
  <c r="D227" i="8"/>
  <c r="G227" i="8" s="1"/>
  <c r="D228" i="8"/>
  <c r="G228" i="8" s="1"/>
  <c r="G2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H3" i="1"/>
  <c r="N2" i="1"/>
  <c r="N3" i="1"/>
  <c r="N4" i="1"/>
  <c r="N5" i="1"/>
  <c r="N6" i="1"/>
  <c r="N7" i="1"/>
  <c r="N8" i="1"/>
  <c r="N9" i="1"/>
  <c r="N10" i="1"/>
  <c r="N11" i="1"/>
  <c r="N12" i="1"/>
  <c r="N13" i="1"/>
  <c r="M2" i="1"/>
  <c r="M3" i="1"/>
  <c r="M4" i="1"/>
  <c r="M5" i="1"/>
  <c r="M6" i="1"/>
  <c r="M7" i="1"/>
  <c r="M8" i="1"/>
  <c r="M9" i="1"/>
  <c r="M10" i="1"/>
  <c r="M11" i="1"/>
  <c r="M12" i="1"/>
  <c r="M13" i="1"/>
  <c r="L2" i="1"/>
  <c r="L3" i="1"/>
  <c r="L4" i="1"/>
  <c r="L5" i="1"/>
  <c r="L6" i="1"/>
  <c r="L7" i="1"/>
  <c r="L8" i="1"/>
  <c r="L9" i="1"/>
  <c r="L10" i="1"/>
  <c r="L11" i="1"/>
  <c r="L12" i="1"/>
  <c r="L13" i="1"/>
  <c r="K2" i="1"/>
  <c r="K3" i="1"/>
  <c r="K4" i="1"/>
  <c r="K5" i="1"/>
  <c r="K6" i="1"/>
  <c r="K7" i="1"/>
  <c r="K8" i="1"/>
  <c r="K9" i="1"/>
  <c r="K10" i="1"/>
  <c r="K11" i="1"/>
  <c r="K12" i="1"/>
  <c r="K13" i="1"/>
  <c r="J3" i="1"/>
  <c r="F3" i="1"/>
  <c r="J2" i="1"/>
  <c r="J4" i="1"/>
  <c r="J5" i="1"/>
  <c r="J6" i="1"/>
  <c r="J7" i="1"/>
  <c r="J8" i="1"/>
  <c r="J9" i="1"/>
  <c r="J10" i="1"/>
  <c r="J11" i="1"/>
  <c r="J12" i="1"/>
  <c r="J13" i="1"/>
  <c r="H2" i="1"/>
  <c r="H4" i="1"/>
  <c r="H5" i="1"/>
  <c r="H6" i="1"/>
  <c r="H7" i="1"/>
  <c r="H8" i="1"/>
  <c r="H9" i="1"/>
  <c r="H10" i="1"/>
  <c r="H11" i="1"/>
  <c r="H12" i="1"/>
  <c r="H13" i="1"/>
  <c r="F4" i="1"/>
  <c r="F5" i="1"/>
  <c r="F6" i="1"/>
  <c r="F7" i="1"/>
  <c r="F8" i="1"/>
  <c r="F9" i="1"/>
  <c r="F10" i="1"/>
  <c r="F11" i="1"/>
  <c r="C2" i="7" s="1"/>
  <c r="F12" i="1"/>
  <c r="C3" i="7" s="1"/>
  <c r="F13" i="1"/>
  <c r="C4" i="7" s="1"/>
  <c r="C9" i="9" a="1"/>
  <c r="C8" i="9" a="1"/>
  <c r="C7" i="9" a="1"/>
  <c r="C6" i="9" a="1"/>
  <c r="C5" i="9" a="1"/>
  <c r="C4" i="9" a="1"/>
  <c r="C3" i="9" a="1"/>
  <c r="C2" i="9" a="1"/>
  <c r="D2" i="5"/>
  <c r="E2" i="5" s="1"/>
  <c r="C2" i="5"/>
  <c r="B2" i="5"/>
  <c r="J2" i="7" l="1"/>
  <c r="K2" i="7"/>
  <c r="K3" i="7"/>
  <c r="J3" i="7"/>
  <c r="K4" i="7"/>
  <c r="J4" i="7"/>
  <c r="K5" i="7"/>
  <c r="J5" i="7"/>
  <c r="K6" i="7"/>
  <c r="J6" i="7"/>
  <c r="K7" i="7"/>
  <c r="J7" i="7"/>
  <c r="K8" i="7"/>
  <c r="J8" i="7"/>
  <c r="K9" i="7"/>
  <c r="J9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949AAF-13E6-49DC-9DAD-0FF44D7EE90D}" keepAlive="1" name="Consulta - tbl_de_massas" description="Conexão com a consulta 'tbl_de_massas' na pasta de trabalho." type="5" refreshedVersion="8" background="1" saveData="1">
    <dbPr connection="Provider=Microsoft.Mashup.OleDb.1;Data Source=$Workbook$;Location=tbl_de_massas;Extended Properties=&quot;&quot;" command="SELECT * FROM [tbl_de_massa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<sst xmlns="http://schemas.openxmlformats.org/spreadsheetml/2006/main" count="5279" uniqueCount="2592">
  <si>
    <t>SEQ</t>
  </si>
  <si>
    <t>ID_CENARIO</t>
  </si>
  <si>
    <t>NOME</t>
  </si>
  <si>
    <t>FEATURE</t>
  </si>
  <si>
    <t>ID_MASSA</t>
  </si>
  <si>
    <t>CPF</t>
  </si>
  <si>
    <t>SENHA</t>
  </si>
  <si>
    <t>cadastrar</t>
  </si>
  <si>
    <t>Criar um novo usuário e validar login/perfil (CT00)</t>
  </si>
  <si>
    <t>usuario</t>
  </si>
  <si>
    <t>C_0025</t>
  </si>
  <si>
    <t>87533086465</t>
  </si>
  <si>
    <t>admin999</t>
  </si>
  <si>
    <t>CT01.2</t>
  </si>
  <si>
    <t>Fazer login como Admin</t>
  </si>
  <si>
    <t>0001</t>
  </si>
  <si>
    <t>CT01.3</t>
  </si>
  <si>
    <t>Fazer login como Cliente</t>
  </si>
  <si>
    <t>0002</t>
  </si>
  <si>
    <t>CT01.4</t>
  </si>
  <si>
    <t>Validar campo obrigatório</t>
  </si>
  <si>
    <t>0003</t>
  </si>
  <si>
    <t>CT01.5</t>
  </si>
  <si>
    <t>Validar campo obrigatório senha</t>
  </si>
  <si>
    <t>0004</t>
  </si>
  <si>
    <t>CT01.6</t>
  </si>
  <si>
    <t>Validar campo obrigatório CPF</t>
  </si>
  <si>
    <t>0005</t>
  </si>
  <si>
    <t>CT03.1</t>
  </si>
  <si>
    <t>Pagamento de Fatura do Cartão</t>
  </si>
  <si>
    <t>0070</t>
  </si>
  <si>
    <t>NOME_COMPLETO</t>
  </si>
  <si>
    <t>NOME_USUARIO</t>
  </si>
  <si>
    <t>EMAIL</t>
  </si>
  <si>
    <t>TELEFONE</t>
  </si>
  <si>
    <t>CEP</t>
  </si>
  <si>
    <t>RUA</t>
  </si>
  <si>
    <t>NUMERO</t>
  </si>
  <si>
    <t>BAIRRO</t>
  </si>
  <si>
    <t>CIDADE</t>
  </si>
  <si>
    <t>ESTADO</t>
  </si>
  <si>
    <t>PAIS</t>
  </si>
  <si>
    <t>DATA_NASCIMENTO</t>
  </si>
  <si>
    <t>BANDEIRA_CARTAO</t>
  </si>
  <si>
    <t>TIER_CARTAO</t>
  </si>
  <si>
    <t>DIA_VENCIMENTO</t>
  </si>
  <si>
    <t>NOME_IMPRESSO</t>
  </si>
  <si>
    <t>PLANO_CONTA</t>
  </si>
  <si>
    <t>CHAVE_PIX</t>
  </si>
  <si>
    <t>NOME_TUTOR</t>
  </si>
  <si>
    <t>CPF_TUTOR</t>
  </si>
  <si>
    <t>C_0001</t>
  </si>
  <si>
    <t>Heitor Martins</t>
  </si>
  <si>
    <t>heitor.martins</t>
  </si>
  <si>
    <t>martins.heitor@aol.com</t>
  </si>
  <si>
    <t>56420899325</t>
  </si>
  <si>
    <t>00891426</t>
  </si>
  <si>
    <t>Rodovia Albuquerque</t>
  </si>
  <si>
    <t>1437</t>
  </si>
  <si>
    <t>Merseyside</t>
  </si>
  <si>
    <t>Yasmin do Norte</t>
  </si>
  <si>
    <t>TO</t>
  </si>
  <si>
    <t>Brasil</t>
  </si>
  <si>
    <t>2005-01-24</t>
  </si>
  <si>
    <t>HIPERCARD</t>
  </si>
  <si>
    <t>PLATINUM</t>
  </si>
  <si>
    <t>HEITOR MARTINS</t>
  </si>
  <si>
    <t>PRO</t>
  </si>
  <si>
    <t/>
  </si>
  <si>
    <t>C_0002</t>
  </si>
  <si>
    <t>Dalila Pereira</t>
  </si>
  <si>
    <t>dalila.pereira</t>
  </si>
  <si>
    <t>pereira.dalila@ig.com.br</t>
  </si>
  <si>
    <t>34830475226</t>
  </si>
  <si>
    <t>554698529997</t>
  </si>
  <si>
    <t>98299314</t>
  </si>
  <si>
    <t>Avenida Elisa</t>
  </si>
  <si>
    <t>154</t>
  </si>
  <si>
    <t>Clwyd</t>
  </si>
  <si>
    <t>Moraes do Descoberto</t>
  </si>
  <si>
    <t>MG</t>
  </si>
  <si>
    <t>1981-11-13</t>
  </si>
  <si>
    <t>MASTERCARD</t>
  </si>
  <si>
    <t>GOLD</t>
  </si>
  <si>
    <t>DALILA PEREIRA</t>
  </si>
  <si>
    <t>FREE</t>
  </si>
  <si>
    <t>C_0003</t>
  </si>
  <si>
    <t>Pedro Nogueira</t>
  </si>
  <si>
    <t>pedro.nogueira</t>
  </si>
  <si>
    <t>nogueira.pedro@gmail.com</t>
  </si>
  <si>
    <t>00273860585</t>
  </si>
  <si>
    <t>0790748120</t>
  </si>
  <si>
    <t>58763017</t>
  </si>
  <si>
    <t>Rua Carvalho</t>
  </si>
  <si>
    <t>3975</t>
  </si>
  <si>
    <t>Borders</t>
  </si>
  <si>
    <t>Rafael do Norte</t>
  </si>
  <si>
    <t>RS</t>
  </si>
  <si>
    <t>1992-09-22</t>
  </si>
  <si>
    <t>BLACK</t>
  </si>
  <si>
    <t>PEDRO NOGUEIRA</t>
  </si>
  <si>
    <t>C_0004</t>
  </si>
  <si>
    <t>Fabricio Braga</t>
  </si>
  <si>
    <t>fabricio.braga</t>
  </si>
  <si>
    <t>braga.fabricio@hotmail.com</t>
  </si>
  <si>
    <t>37044231578</t>
  </si>
  <si>
    <t>8630352043</t>
  </si>
  <si>
    <t>39563022</t>
  </si>
  <si>
    <t>Rua Braga</t>
  </si>
  <si>
    <t>9008</t>
  </si>
  <si>
    <t>Shropshire</t>
  </si>
  <si>
    <t>Marcos de Nossa Senhora</t>
  </si>
  <si>
    <t>PA</t>
  </si>
  <si>
    <t>1971-12-15</t>
  </si>
  <si>
    <t>AMEX</t>
  </si>
  <si>
    <t>FABRICIO BRAGA</t>
  </si>
  <si>
    <t>C_0005</t>
  </si>
  <si>
    <t>Washington Oliveira</t>
  </si>
  <si>
    <t>washington.oliveira</t>
  </si>
  <si>
    <t>oliveira.washington@fastmail.com</t>
  </si>
  <si>
    <t>95860922590</t>
  </si>
  <si>
    <t>552481499689</t>
  </si>
  <si>
    <t>26486797</t>
  </si>
  <si>
    <t>Marginal Liz</t>
  </si>
  <si>
    <t>27740</t>
  </si>
  <si>
    <t>Lancashire</t>
  </si>
  <si>
    <t>Moraes do Sul</t>
  </si>
  <si>
    <t>AP</t>
  </si>
  <si>
    <t>1967-03-04</t>
  </si>
  <si>
    <t>WASHINGTON OLIVEIRA</t>
  </si>
  <si>
    <t>C_0006</t>
  </si>
  <si>
    <t>Julia Reis</t>
  </si>
  <si>
    <t>julia.reis</t>
  </si>
  <si>
    <t>reis.julia@yahoo.com</t>
  </si>
  <si>
    <t>53043536762</t>
  </si>
  <si>
    <t>6784601710</t>
  </si>
  <si>
    <t>54404076</t>
  </si>
  <si>
    <t>Travessa Barros</t>
  </si>
  <si>
    <t>2409</t>
  </si>
  <si>
    <t>Rutland</t>
  </si>
  <si>
    <t>Pereira do Sul</t>
  </si>
  <si>
    <t>PI</t>
  </si>
  <si>
    <t>1980-08-08</t>
  </si>
  <si>
    <t>VISA</t>
  </si>
  <si>
    <t>BRONZE</t>
  </si>
  <si>
    <t>JULIA REIS</t>
  </si>
  <si>
    <t>C_0007</t>
  </si>
  <si>
    <t>Morgana Macedo</t>
  </si>
  <si>
    <t>morgana.macedo</t>
  </si>
  <si>
    <t>macedo.morgana@bol.com.br</t>
  </si>
  <si>
    <t>05043431814</t>
  </si>
  <si>
    <t>559327478560</t>
  </si>
  <si>
    <t>52723950</t>
  </si>
  <si>
    <t>Alameda Reis</t>
  </si>
  <si>
    <t>3038</t>
  </si>
  <si>
    <t>County Fermanagh</t>
  </si>
  <si>
    <t>Lara de Nossa Senhora</t>
  </si>
  <si>
    <t>RO</t>
  </si>
  <si>
    <t>1987-03-28</t>
  </si>
  <si>
    <t>MORGANA MACEDO</t>
  </si>
  <si>
    <t>VIP_BLACK</t>
  </si>
  <si>
    <t>C_0008</t>
  </si>
  <si>
    <t>Tertuliano Silva</t>
  </si>
  <si>
    <t>tertuliano.silva</t>
  </si>
  <si>
    <t>silva.tertuliano@yahoo.com</t>
  </si>
  <si>
    <t>95962548205</t>
  </si>
  <si>
    <t>557697696713</t>
  </si>
  <si>
    <t>34993611</t>
  </si>
  <si>
    <t>Marginal Xavier</t>
  </si>
  <si>
    <t>369</t>
  </si>
  <si>
    <t>Lincolnshire</t>
  </si>
  <si>
    <t>Tertuliano de Nossa Senhora</t>
  </si>
  <si>
    <t>SE</t>
  </si>
  <si>
    <t>1985-03-27</t>
  </si>
  <si>
    <t>ELO</t>
  </si>
  <si>
    <t>TERTULIANO SILVA</t>
  </si>
  <si>
    <t>C_0009</t>
  </si>
  <si>
    <t>Alicia Moraes</t>
  </si>
  <si>
    <t>alicia.moraes</t>
  </si>
  <si>
    <t>moraes.alicia@live.com</t>
  </si>
  <si>
    <t>17763275197</t>
  </si>
  <si>
    <t>0519414664</t>
  </si>
  <si>
    <t>37604425</t>
  </si>
  <si>
    <t>Alameda Silva</t>
  </si>
  <si>
    <t>7647</t>
  </si>
  <si>
    <t>Wiltshire</t>
  </si>
  <si>
    <t>Costa do Sul</t>
  </si>
  <si>
    <t>AM</t>
  </si>
  <si>
    <t>1981-04-18</t>
  </si>
  <si>
    <t>ALICIA MORAES</t>
  </si>
  <si>
    <t>C_0010</t>
  </si>
  <si>
    <t>Sarah Reis</t>
  </si>
  <si>
    <t>sarah.reis</t>
  </si>
  <si>
    <t>reis.sarah@inbox.com</t>
  </si>
  <si>
    <t>38839254897</t>
  </si>
  <si>
    <t>554970824925</t>
  </si>
  <si>
    <t>32799143</t>
  </si>
  <si>
    <t>Rodovia Macedo</t>
  </si>
  <si>
    <t>278</t>
  </si>
  <si>
    <t>Batista do Norte</t>
  </si>
  <si>
    <t>CE</t>
  </si>
  <si>
    <t>1972-12-10</t>
  </si>
  <si>
    <t>SARAH REIS</t>
  </si>
  <si>
    <t>C_0011</t>
  </si>
  <si>
    <t>Marcelo Pereira</t>
  </si>
  <si>
    <t>marcelo.pereira</t>
  </si>
  <si>
    <t>pereira.marcelo@protonmail.com</t>
  </si>
  <si>
    <t>52337380742</t>
  </si>
  <si>
    <t>3914372642</t>
  </si>
  <si>
    <t>62858541</t>
  </si>
  <si>
    <t>Marginal Oliveira</t>
  </si>
  <si>
    <t>17383</t>
  </si>
  <si>
    <t>Powys</t>
  </si>
  <si>
    <t>Braga de Nossa Senhora</t>
  </si>
  <si>
    <t>GO</t>
  </si>
  <si>
    <t>2001-02-26</t>
  </si>
  <si>
    <t>MARCELO PEREIRA</t>
  </si>
  <si>
    <t>C_0012</t>
  </si>
  <si>
    <t>Salvador Batista</t>
  </si>
  <si>
    <t>salvador.batista</t>
  </si>
  <si>
    <t>batista.salvador@me.com</t>
  </si>
  <si>
    <t>88816631805</t>
  </si>
  <si>
    <t>9870437726</t>
  </si>
  <si>
    <t>82292891</t>
  </si>
  <si>
    <t>Rua Reis</t>
  </si>
  <si>
    <t>31995</t>
  </si>
  <si>
    <t>Johnson County</t>
  </si>
  <si>
    <t>Noah do Descoberto</t>
  </si>
  <si>
    <t>RJ</t>
  </si>
  <si>
    <t>2008-08-10</t>
  </si>
  <si>
    <t>SALVADOR BATISTA</t>
  </si>
  <si>
    <t>C_0013</t>
  </si>
  <si>
    <t>Nubia Santos</t>
  </si>
  <si>
    <t>nubia.santos</t>
  </si>
  <si>
    <t>santos.nubia@ig.com.br</t>
  </si>
  <si>
    <t>04828847626</t>
  </si>
  <si>
    <t>6642266225</t>
  </si>
  <si>
    <t>66885427</t>
  </si>
  <si>
    <t>Alameda Pereira</t>
  </si>
  <si>
    <t>23960</t>
  </si>
  <si>
    <t>Calhoun County</t>
  </si>
  <si>
    <t>Salvador do Descoberto</t>
  </si>
  <si>
    <t>MA</t>
  </si>
  <si>
    <t>1996-06-02</t>
  </si>
  <si>
    <t>NUBIA SANTOS</t>
  </si>
  <si>
    <t>C_0014</t>
  </si>
  <si>
    <t>Alicia Batista</t>
  </si>
  <si>
    <t>alicia.batista</t>
  </si>
  <si>
    <t>batista.alicia@yandex.com</t>
  </si>
  <si>
    <t>41998978958</t>
  </si>
  <si>
    <t>4064237944</t>
  </si>
  <si>
    <t>25434957</t>
  </si>
  <si>
    <t>Rua Franco</t>
  </si>
  <si>
    <t>3572</t>
  </si>
  <si>
    <t>West Yorkshire</t>
  </si>
  <si>
    <t>Costa do Norte</t>
  </si>
  <si>
    <t>2008-03-15</t>
  </si>
  <si>
    <t>ALICIA BATISTA</t>
  </si>
  <si>
    <t>C_0015</t>
  </si>
  <si>
    <t>Isadora Moraes</t>
  </si>
  <si>
    <t>isadora.moraes</t>
  </si>
  <si>
    <t>moraes.isadora@outlook.com</t>
  </si>
  <si>
    <t>74459209438</t>
  </si>
  <si>
    <t>55576172424</t>
  </si>
  <si>
    <t>45740060</t>
  </si>
  <si>
    <t>Travessa Paula</t>
  </si>
  <si>
    <t>1997</t>
  </si>
  <si>
    <t>Nataniel de Nossa Senhora</t>
  </si>
  <si>
    <t>PR</t>
  </si>
  <si>
    <t>1989-08-01</t>
  </si>
  <si>
    <t>ISADORA MORAES</t>
  </si>
  <si>
    <t>C_0016</t>
  </si>
  <si>
    <t>Marcela Franco</t>
  </si>
  <si>
    <t>marcela.franco</t>
  </si>
  <si>
    <t>franco.marcela@hotmail.com</t>
  </si>
  <si>
    <t>84291097735</t>
  </si>
  <si>
    <t>29204414704</t>
  </si>
  <si>
    <t>35228666</t>
  </si>
  <si>
    <t>Alameda Batista</t>
  </si>
  <si>
    <t>14798</t>
  </si>
  <si>
    <t>Grampian</t>
  </si>
  <si>
    <t>Batista de Nossa Senhora</t>
  </si>
  <si>
    <t>1989-01-31</t>
  </si>
  <si>
    <t>MARCELA FRANCO</t>
  </si>
  <si>
    <t>C_0017</t>
  </si>
  <si>
    <t>Elisa Silva</t>
  </si>
  <si>
    <t>elisa.silva</t>
  </si>
  <si>
    <t>silva.elisa@me.com</t>
  </si>
  <si>
    <t>08774055496</t>
  </si>
  <si>
    <t>553491982350</t>
  </si>
  <si>
    <t>52132899</t>
  </si>
  <si>
    <t>Rodovia Tertuliano</t>
  </si>
  <si>
    <t>70093</t>
  </si>
  <si>
    <t>Carroll County</t>
  </si>
  <si>
    <t>Maria Alice do Sul</t>
  </si>
  <si>
    <t>1975-10-08</t>
  </si>
  <si>
    <t>ELISA SILVA</t>
  </si>
  <si>
    <t>C_0018</t>
  </si>
  <si>
    <t>Maite Melo</t>
  </si>
  <si>
    <t>maite.melo</t>
  </si>
  <si>
    <t>melo.maite@protonmail.com</t>
  </si>
  <si>
    <t>87753560905</t>
  </si>
  <si>
    <t>557175134774</t>
  </si>
  <si>
    <t>71448119</t>
  </si>
  <si>
    <t>Alameda Moreira</t>
  </si>
  <si>
    <t>66534</t>
  </si>
  <si>
    <t>Suffolk</t>
  </si>
  <si>
    <t>Moraes do Norte</t>
  </si>
  <si>
    <t>1967-06-26</t>
  </si>
  <si>
    <t>MAITE MELO</t>
  </si>
  <si>
    <t>C_0019</t>
  </si>
  <si>
    <t>Marcos Xavier</t>
  </si>
  <si>
    <t>marcos.xavier</t>
  </si>
  <si>
    <t>xavier.marcos@uol.com.br</t>
  </si>
  <si>
    <t>66728984097</t>
  </si>
  <si>
    <t>550192509755</t>
  </si>
  <si>
    <t>03056180</t>
  </si>
  <si>
    <t>Marginal Carla</t>
  </si>
  <si>
    <t>84443</t>
  </si>
  <si>
    <t>Surrey</t>
  </si>
  <si>
    <t>Ana Clara de Nossa Senhora</t>
  </si>
  <si>
    <t>DF</t>
  </si>
  <si>
    <t>1971-08-01</t>
  </si>
  <si>
    <t>MARCOS XAVIER</t>
  </si>
  <si>
    <t>C_0020</t>
  </si>
  <si>
    <t>Livia Reis</t>
  </si>
  <si>
    <t>livia.reis</t>
  </si>
  <si>
    <t>reis.livia@mail.com</t>
  </si>
  <si>
    <t>77962452706</t>
  </si>
  <si>
    <t>28151439687</t>
  </si>
  <si>
    <t>21793768</t>
  </si>
  <si>
    <t>Rua Souza</t>
  </si>
  <si>
    <t>69843</t>
  </si>
  <si>
    <t>North Yorkshire</t>
  </si>
  <si>
    <t>Batista do Descoberto</t>
  </si>
  <si>
    <t>1985-04-16</t>
  </si>
  <si>
    <t>LIVIA REIS</t>
  </si>
  <si>
    <t>C_0021</t>
  </si>
  <si>
    <t>Natalia Batista</t>
  </si>
  <si>
    <t>natalia.batista</t>
  </si>
  <si>
    <t>batista.natalia@inbox.com</t>
  </si>
  <si>
    <t>22292775450</t>
  </si>
  <si>
    <t>7898701076</t>
  </si>
  <si>
    <t>68679493</t>
  </si>
  <si>
    <t>Marginal Moreira</t>
  </si>
  <si>
    <t>7370</t>
  </si>
  <si>
    <t>Cornwall</t>
  </si>
  <si>
    <t>Murilo de Nossa Senhora</t>
  </si>
  <si>
    <t>BA</t>
  </si>
  <si>
    <t>1976-12-23</t>
  </si>
  <si>
    <t>NATALIA BATISTA</t>
  </si>
  <si>
    <t>C_0022</t>
  </si>
  <si>
    <t>Vitoria Souza</t>
  </si>
  <si>
    <t>vitoria.souza</t>
  </si>
  <si>
    <t>souza.vitoria@bol.com.br</t>
  </si>
  <si>
    <t>91516343689</t>
  </si>
  <si>
    <t>21662579695</t>
  </si>
  <si>
    <t>55410691</t>
  </si>
  <si>
    <t>Rodovia Bruna</t>
  </si>
  <si>
    <t>784</t>
  </si>
  <si>
    <t>West Glamorgan</t>
  </si>
  <si>
    <t>Pereira do Descoberto</t>
  </si>
  <si>
    <t>PE</t>
  </si>
  <si>
    <t>1980-05-18</t>
  </si>
  <si>
    <t>VITORIA SOUZA</t>
  </si>
  <si>
    <t>C_0023</t>
  </si>
  <si>
    <t>Daniel Moraes</t>
  </si>
  <si>
    <t>daniel.moraes</t>
  </si>
  <si>
    <t>moraes.daniel@yahoo.com</t>
  </si>
  <si>
    <t>19423379818</t>
  </si>
  <si>
    <t>50354282331</t>
  </si>
  <si>
    <t>79383469</t>
  </si>
  <si>
    <t>Travessa Emanuelly</t>
  </si>
  <si>
    <t>42604</t>
  </si>
  <si>
    <t>County Londonderry</t>
  </si>
  <si>
    <t>Davi de Nossa Senhora</t>
  </si>
  <si>
    <t>2005-11-21</t>
  </si>
  <si>
    <t>DANIEL MORAES</t>
  </si>
  <si>
    <t>C_0024</t>
  </si>
  <si>
    <t>Lorenzo Nogueira</t>
  </si>
  <si>
    <t>lorenzo.nogueira</t>
  </si>
  <si>
    <t>nogueira.lorenzo@protonmail.com</t>
  </si>
  <si>
    <t>16174948285</t>
  </si>
  <si>
    <t>557960386071</t>
  </si>
  <si>
    <t>38288825</t>
  </si>
  <si>
    <t>Rua Julio Cesar</t>
  </si>
  <si>
    <t>618</t>
  </si>
  <si>
    <t>Jackson County</t>
  </si>
  <si>
    <t>Oliveira de Nossa Senhora</t>
  </si>
  <si>
    <t>PB</t>
  </si>
  <si>
    <t>1997-03-11</t>
  </si>
  <si>
    <t>LORENZO NOGUEIRA</t>
  </si>
  <si>
    <t>Rafael Saraiva</t>
  </si>
  <si>
    <t>rafael.saraiva</t>
  </si>
  <si>
    <t>saraiva.rafael@live.com</t>
  </si>
  <si>
    <t>26231878783</t>
  </si>
  <si>
    <t>54434742802</t>
  </si>
  <si>
    <t>96746965</t>
  </si>
  <si>
    <t>Alameda Ofelia</t>
  </si>
  <si>
    <t>1825</t>
  </si>
  <si>
    <t>Somerset</t>
  </si>
  <si>
    <t>Santos do Norte</t>
  </si>
  <si>
    <t>1973-02-21</t>
  </si>
  <si>
    <t>RAFAEL SARAIVA</t>
  </si>
  <si>
    <t>C_0026</t>
  </si>
  <si>
    <t>silva.elisa@inbox.com</t>
  </si>
  <si>
    <t>24048030850</t>
  </si>
  <si>
    <t>556973867510</t>
  </si>
  <si>
    <t>38869922</t>
  </si>
  <si>
    <t>Avenida Costa</t>
  </si>
  <si>
    <t>572</t>
  </si>
  <si>
    <t>Rebeca do Norte</t>
  </si>
  <si>
    <t>AC</t>
  </si>
  <si>
    <t>1974-05-19</t>
  </si>
  <si>
    <t>C_0027</t>
  </si>
  <si>
    <t>Giovanna Moraes</t>
  </si>
  <si>
    <t>giovanna.moraes</t>
  </si>
  <si>
    <t>moraes.giovanna@gmail.com</t>
  </si>
  <si>
    <t>45877859897</t>
  </si>
  <si>
    <t>4361296646</t>
  </si>
  <si>
    <t>27929047</t>
  </si>
  <si>
    <t>Avenida Batista</t>
  </si>
  <si>
    <t>2267</t>
  </si>
  <si>
    <t>Worcestershire</t>
  </si>
  <si>
    <t>Xavier de Nossa Senhora</t>
  </si>
  <si>
    <t>1981-07-27</t>
  </si>
  <si>
    <t>GIOVANNA MORAES</t>
  </si>
  <si>
    <t>C_0028</t>
  </si>
  <si>
    <t>Vitor Braga</t>
  </si>
  <si>
    <t>vitor.braga</t>
  </si>
  <si>
    <t>braga.vitor@live.com</t>
  </si>
  <si>
    <t>32436631727</t>
  </si>
  <si>
    <t>559288131582</t>
  </si>
  <si>
    <t>20084266</t>
  </si>
  <si>
    <t>Avenida Maite</t>
  </si>
  <si>
    <t>81322</t>
  </si>
  <si>
    <t>Albuquerque do Sul</t>
  </si>
  <si>
    <t>SP</t>
  </si>
  <si>
    <t>1998-10-11</t>
  </si>
  <si>
    <t>VITOR BRAGA</t>
  </si>
  <si>
    <t>C_0029</t>
  </si>
  <si>
    <t>Frederico Braga</t>
  </si>
  <si>
    <t>frederico.braga</t>
  </si>
  <si>
    <t>braga.frederico@aol.com</t>
  </si>
  <si>
    <t>42660591083</t>
  </si>
  <si>
    <t>88033536400</t>
  </si>
  <si>
    <t>11001069</t>
  </si>
  <si>
    <t>Avenida Manuela</t>
  </si>
  <si>
    <t>3915</t>
  </si>
  <si>
    <t>Dorset</t>
  </si>
  <si>
    <t>Miguel do Sul</t>
  </si>
  <si>
    <t>MS</t>
  </si>
  <si>
    <t>1986-10-24</t>
  </si>
  <si>
    <t>FREDERICO BRAGA</t>
  </si>
  <si>
    <t>C_0030</t>
  </si>
  <si>
    <t>Maria Clara Santos</t>
  </si>
  <si>
    <t>mariaclara.santos</t>
  </si>
  <si>
    <t>santos.mariaclara@icloud.com</t>
  </si>
  <si>
    <t>06183794953</t>
  </si>
  <si>
    <t>556028931494</t>
  </si>
  <si>
    <t>66464892</t>
  </si>
  <si>
    <t>Alameda Moraes</t>
  </si>
  <si>
    <t>366</t>
  </si>
  <si>
    <t>Heloisa do Norte</t>
  </si>
  <si>
    <t>1989-01-17</t>
  </si>
  <si>
    <t>MARIA CLARA SANTOS</t>
  </si>
  <si>
    <t>C_0031</t>
  </si>
  <si>
    <t>Maria Cecilia Pereira</t>
  </si>
  <si>
    <t>mariacecilia.pereira</t>
  </si>
  <si>
    <t>pereira.mariacecilia@outlook.com</t>
  </si>
  <si>
    <t>59411860109</t>
  </si>
  <si>
    <t>2084655440</t>
  </si>
  <si>
    <t>63062536</t>
  </si>
  <si>
    <t>Rodovia Eduardo</t>
  </si>
  <si>
    <t>460</t>
  </si>
  <si>
    <t>Franklin County</t>
  </si>
  <si>
    <t>Macedo do Sul</t>
  </si>
  <si>
    <t>1968-11-27</t>
  </si>
  <si>
    <t>MARIA CECILIA PEREIRA</t>
  </si>
  <si>
    <t>C_0032</t>
  </si>
  <si>
    <t>Beatriz Carvalho</t>
  </si>
  <si>
    <t>beatriz.carvalho</t>
  </si>
  <si>
    <t>carvalho.beatriz@yandex.com</t>
  </si>
  <si>
    <t>57582679709</t>
  </si>
  <si>
    <t>0155978166</t>
  </si>
  <si>
    <t>01902451</t>
  </si>
  <si>
    <t>Rua Saraiva</t>
  </si>
  <si>
    <t>884</t>
  </si>
  <si>
    <t>Moreira do Descoberto</t>
  </si>
  <si>
    <t>1999-06-09</t>
  </si>
  <si>
    <t>BEATRIZ CARVALHO</t>
  </si>
  <si>
    <t>C_0033</t>
  </si>
  <si>
    <t>Maria Luiza Melo</t>
  </si>
  <si>
    <t>marialuiza.melo</t>
  </si>
  <si>
    <t>melo.marialuiza@bol.com.br</t>
  </si>
  <si>
    <t>29382616403</t>
  </si>
  <si>
    <t>31369454536</t>
  </si>
  <si>
    <t>43355604</t>
  </si>
  <si>
    <t>Marginal Lorraine</t>
  </si>
  <si>
    <t>5171</t>
  </si>
  <si>
    <t>Tayside</t>
  </si>
  <si>
    <t>Fabricio do Descoberto</t>
  </si>
  <si>
    <t>1976-04-04</t>
  </si>
  <si>
    <t>MARIA LUIZA MELO</t>
  </si>
  <si>
    <t>C_0034</t>
  </si>
  <si>
    <t>Gustavo Barros</t>
  </si>
  <si>
    <t>gustavo.barros</t>
  </si>
  <si>
    <t>barros.gustavo@terra.com.br</t>
  </si>
  <si>
    <t>00724924906</t>
  </si>
  <si>
    <t>555858456862</t>
  </si>
  <si>
    <t>13642506</t>
  </si>
  <si>
    <t>Rodovia Antonio</t>
  </si>
  <si>
    <t>59339</t>
  </si>
  <si>
    <t>Cumbria</t>
  </si>
  <si>
    <t>Eloa do Norte</t>
  </si>
  <si>
    <t>RN</t>
  </si>
  <si>
    <t>1986-04-27</t>
  </si>
  <si>
    <t>GUSTAVO BARROS</t>
  </si>
  <si>
    <t>C_0035</t>
  </si>
  <si>
    <t>Maria Julia Barros</t>
  </si>
  <si>
    <t>mariajulia.barros</t>
  </si>
  <si>
    <t>barros.mariajulia@yandex.com</t>
  </si>
  <si>
    <t>57284832320</t>
  </si>
  <si>
    <t>9586061097</t>
  </si>
  <si>
    <t>52840179</t>
  </si>
  <si>
    <t>393</t>
  </si>
  <si>
    <t>Nottinghamshire</t>
  </si>
  <si>
    <t>Morgana do Descoberto</t>
  </si>
  <si>
    <t>1981-01-12</t>
  </si>
  <si>
    <t>MARIA JULIA BARROS</t>
  </si>
  <si>
    <t>C_0036</t>
  </si>
  <si>
    <t>Davi Lucca Franco</t>
  </si>
  <si>
    <t>davilucca.franco</t>
  </si>
  <si>
    <t>franco.davilucca@gmx.com</t>
  </si>
  <si>
    <t>51560770309</t>
  </si>
  <si>
    <t>551844217899</t>
  </si>
  <si>
    <t>78530521</t>
  </si>
  <si>
    <t>Alameda Albuquerque</t>
  </si>
  <si>
    <t>34472</t>
  </si>
  <si>
    <t>Hamilton County</t>
  </si>
  <si>
    <t>Martins do Sul</t>
  </si>
  <si>
    <t>1993-05-05</t>
  </si>
  <si>
    <t>DAVI LUCCA FRANCO</t>
  </si>
  <si>
    <t>C_0037</t>
  </si>
  <si>
    <t>Felicia Albuquerque</t>
  </si>
  <si>
    <t>felicia.albuquerque</t>
  </si>
  <si>
    <t>albuquerque.felicia@gmx.com</t>
  </si>
  <si>
    <t>00837240441</t>
  </si>
  <si>
    <t>559311408151</t>
  </si>
  <si>
    <t>54364944</t>
  </si>
  <si>
    <t>Rodovia Emanuel</t>
  </si>
  <si>
    <t>370</t>
  </si>
  <si>
    <t>Highlands and Islands</t>
  </si>
  <si>
    <t>Davi Lucca de Nossa Senhora</t>
  </si>
  <si>
    <t>2007-04-23</t>
  </si>
  <si>
    <t>FELICIA ALBUQUERQUE</t>
  </si>
  <si>
    <t>C_0038</t>
  </si>
  <si>
    <t>Maria Barros</t>
  </si>
  <si>
    <t>maria.barros</t>
  </si>
  <si>
    <t>barros.maria@protonmail.com</t>
  </si>
  <si>
    <t>72983191672</t>
  </si>
  <si>
    <t>0594264271</t>
  </si>
  <si>
    <t>63368992</t>
  </si>
  <si>
    <t>Avenida Caua</t>
  </si>
  <si>
    <t>6080</t>
  </si>
  <si>
    <t>Nubia do Sul</t>
  </si>
  <si>
    <t>1991-02-16</t>
  </si>
  <si>
    <t>MARIA BARROS</t>
  </si>
  <si>
    <t>C_0039</t>
  </si>
  <si>
    <t>Alice Braga</t>
  </si>
  <si>
    <t>alice.braga</t>
  </si>
  <si>
    <t>braga.alice@gmx.com</t>
  </si>
  <si>
    <t>64448809633</t>
  </si>
  <si>
    <t>557394088134</t>
  </si>
  <si>
    <t>05779618</t>
  </si>
  <si>
    <t>Avenida Pereira</t>
  </si>
  <si>
    <t>99402</t>
  </si>
  <si>
    <t>Souza do Sul</t>
  </si>
  <si>
    <t>RR</t>
  </si>
  <si>
    <t>1999-07-12</t>
  </si>
  <si>
    <t>ALICE BRAGA</t>
  </si>
  <si>
    <t>C_0040</t>
  </si>
  <si>
    <t>Ladislau Albuquerque</t>
  </si>
  <si>
    <t>ladislau.albuquerque</t>
  </si>
  <si>
    <t>albuquerque.ladislau@bol.com.br</t>
  </si>
  <si>
    <t>04908739870</t>
  </si>
  <si>
    <t>69620076494</t>
  </si>
  <si>
    <t>35738936</t>
  </si>
  <si>
    <t>Avenida Lorraine</t>
  </si>
  <si>
    <t>839</t>
  </si>
  <si>
    <t>Gwynedd County</t>
  </si>
  <si>
    <t>Julia do Norte</t>
  </si>
  <si>
    <t>1982-01-21</t>
  </si>
  <si>
    <t>LADISLAU ALBUQUERQUE</t>
  </si>
  <si>
    <t>C_0041</t>
  </si>
  <si>
    <t>Alicia Oliveira</t>
  </si>
  <si>
    <t>alicia.oliveira</t>
  </si>
  <si>
    <t>oliveira.alicia@hotmail.com</t>
  </si>
  <si>
    <t>94441788975</t>
  </si>
  <si>
    <t>0508316343</t>
  </si>
  <si>
    <t>78183199</t>
  </si>
  <si>
    <t>Marginal Carvalho</t>
  </si>
  <si>
    <t>1856</t>
  </si>
  <si>
    <t>Central</t>
  </si>
  <si>
    <t>Pereira do Norte</t>
  </si>
  <si>
    <t>1991-02-25</t>
  </si>
  <si>
    <t>10</t>
  </si>
  <si>
    <t>ALICIA OLIVEIRA</t>
  </si>
  <si>
    <t>15</t>
  </si>
  <si>
    <t>20</t>
  </si>
  <si>
    <t>0006</t>
  </si>
  <si>
    <t>0007</t>
  </si>
  <si>
    <t>25</t>
  </si>
  <si>
    <t>0008</t>
  </si>
  <si>
    <t>0010</t>
  </si>
  <si>
    <t>0009</t>
  </si>
  <si>
    <t>0011</t>
  </si>
  <si>
    <t>0012</t>
  </si>
  <si>
    <t>0013</t>
  </si>
  <si>
    <t>0014</t>
  </si>
  <si>
    <t>0025</t>
  </si>
  <si>
    <t>C_0042</t>
  </si>
  <si>
    <t>Matheus Batista</t>
  </si>
  <si>
    <t>matheus.batista</t>
  </si>
  <si>
    <t>batista.matheus@gmail.com</t>
  </si>
  <si>
    <t>14257085100</t>
  </si>
  <si>
    <t>62144365513</t>
  </si>
  <si>
    <t>54761461</t>
  </si>
  <si>
    <t>Avenida Celia</t>
  </si>
  <si>
    <t>81611</t>
  </si>
  <si>
    <t>Moraes de Nossa Senhora</t>
  </si>
  <si>
    <t>1967-09-28</t>
  </si>
  <si>
    <t>MATHEUS BATISTA</t>
  </si>
  <si>
    <t>C_0043</t>
  </si>
  <si>
    <t>Gubio Carvalho</t>
  </si>
  <si>
    <t>gubio.carvalho</t>
  </si>
  <si>
    <t>carvalho.gubio@protonmail.com</t>
  </si>
  <si>
    <t>92427439410</t>
  </si>
  <si>
    <t>5953840309</t>
  </si>
  <si>
    <t>76063443</t>
  </si>
  <si>
    <t>Avenida Ana Luiza</t>
  </si>
  <si>
    <t>28544</t>
  </si>
  <si>
    <t>South Glamorgan</t>
  </si>
  <si>
    <t>Antonio de Nossa Senhora</t>
  </si>
  <si>
    <t>1977-11-23</t>
  </si>
  <si>
    <t>GUBIO CARVALHO</t>
  </si>
  <si>
    <t>C_0044</t>
  </si>
  <si>
    <t>Enzo Xavier</t>
  </si>
  <si>
    <t>enzo.xavier</t>
  </si>
  <si>
    <t>xavier.enzo@protonmail.com</t>
  </si>
  <si>
    <t>79420820165</t>
  </si>
  <si>
    <t>99661364361</t>
  </si>
  <si>
    <t>33661834</t>
  </si>
  <si>
    <t>Avenida Reis</t>
  </si>
  <si>
    <t>49283</t>
  </si>
  <si>
    <t>Montgomery County</t>
  </si>
  <si>
    <t>AL</t>
  </si>
  <si>
    <t>1977-09-19</t>
  </si>
  <si>
    <t>ENZO XAVIER</t>
  </si>
  <si>
    <t>C_0045</t>
  </si>
  <si>
    <t>Gabriel Martins</t>
  </si>
  <si>
    <t>gabriel.martins</t>
  </si>
  <si>
    <t>martins.gabriel@inbox.com</t>
  </si>
  <si>
    <t>77046684804</t>
  </si>
  <si>
    <t>559040951629</t>
  </si>
  <si>
    <t>60126007</t>
  </si>
  <si>
    <t>Avenida Laura</t>
  </si>
  <si>
    <t>498</t>
  </si>
  <si>
    <t>Costa de Nossa Senhora</t>
  </si>
  <si>
    <t>1983-02-09</t>
  </si>
  <si>
    <t>GABRIEL MARTINS</t>
  </si>
  <si>
    <t>C_0046</t>
  </si>
  <si>
    <t>Maria Eduarda Costa</t>
  </si>
  <si>
    <t>mariaeduarda.costa</t>
  </si>
  <si>
    <t>costa.mariaeduarda@gmail.com</t>
  </si>
  <si>
    <t>39251184119</t>
  </si>
  <si>
    <t>552982950231</t>
  </si>
  <si>
    <t>85859411</t>
  </si>
  <si>
    <t>11865</t>
  </si>
  <si>
    <t>Madison County</t>
  </si>
  <si>
    <t>1986-03-12</t>
  </si>
  <si>
    <t>MARIA EDUARDA COSTA</t>
  </si>
  <si>
    <t>C_0047</t>
  </si>
  <si>
    <t>Gubio Pereira</t>
  </si>
  <si>
    <t>gubio.pereira</t>
  </si>
  <si>
    <t>pereira.gubio@aol.com</t>
  </si>
  <si>
    <t>96184038079</t>
  </si>
  <si>
    <t>75539627075</t>
  </si>
  <si>
    <t>53281468</t>
  </si>
  <si>
    <t>Avenida Franco</t>
  </si>
  <si>
    <t>891</t>
  </si>
  <si>
    <t>Maria Helena do Norte</t>
  </si>
  <si>
    <t>1976-12-08</t>
  </si>
  <si>
    <t>GUBIO PEREIRA</t>
  </si>
  <si>
    <t>C_0048</t>
  </si>
  <si>
    <t>Benicio Batista</t>
  </si>
  <si>
    <t>benicio.batista</t>
  </si>
  <si>
    <t>batista.benicio@uol.com.br</t>
  </si>
  <si>
    <t>68996520136</t>
  </si>
  <si>
    <t>3435638766</t>
  </si>
  <si>
    <t>65893615</t>
  </si>
  <si>
    <t>Rua Maria Cecilia</t>
  </si>
  <si>
    <t>66074</t>
  </si>
  <si>
    <t>Lothian</t>
  </si>
  <si>
    <t>Melo do Descoberto</t>
  </si>
  <si>
    <t>1977-04-16</t>
  </si>
  <si>
    <t>BENICIO BATISTA</t>
  </si>
  <si>
    <t>C_0049</t>
  </si>
  <si>
    <t>Igor Braga</t>
  </si>
  <si>
    <t>igor.braga</t>
  </si>
  <si>
    <t>braga.igor@yandex.com</t>
  </si>
  <si>
    <t>17420346089</t>
  </si>
  <si>
    <t>4785944347</t>
  </si>
  <si>
    <t>85201664</t>
  </si>
  <si>
    <t>Alameda Roberto</t>
  </si>
  <si>
    <t>697</t>
  </si>
  <si>
    <t>Mid Glamorgan</t>
  </si>
  <si>
    <t>Marcela do Descoberto</t>
  </si>
  <si>
    <t>1977-03-18</t>
  </si>
  <si>
    <t>IGOR BRAGA</t>
  </si>
  <si>
    <t>C_0050</t>
  </si>
  <si>
    <t>Eduarda Oliveira</t>
  </si>
  <si>
    <t>eduarda.oliveira</t>
  </si>
  <si>
    <t>oliveira.eduarda@gmail.com</t>
  </si>
  <si>
    <t>42201027366</t>
  </si>
  <si>
    <t>550343252881</t>
  </si>
  <si>
    <t>29387262</t>
  </si>
  <si>
    <t>Rodovia Ana Luiza</t>
  </si>
  <si>
    <t>2710</t>
  </si>
  <si>
    <t>Yango do Norte</t>
  </si>
  <si>
    <t>1975-03-23</t>
  </si>
  <si>
    <t>EDUARDA OLIVEIRA</t>
  </si>
  <si>
    <t>C_0051</t>
  </si>
  <si>
    <t>Nubia Franco</t>
  </si>
  <si>
    <t>nubia.franco</t>
  </si>
  <si>
    <t>franco.nubia@yandex.com</t>
  </si>
  <si>
    <t>54025952408</t>
  </si>
  <si>
    <t>5691563754</t>
  </si>
  <si>
    <t>67601677</t>
  </si>
  <si>
    <t>Avenida Helio</t>
  </si>
  <si>
    <t>7681</t>
  </si>
  <si>
    <t>Cleveland</t>
  </si>
  <si>
    <t>Dalila do Sul</t>
  </si>
  <si>
    <t>1989-05-04</t>
  </si>
  <si>
    <t>NUBIA FRANCO</t>
  </si>
  <si>
    <t>C_0052</t>
  </si>
  <si>
    <t>Morgana Nogueira</t>
  </si>
  <si>
    <t>morgana.nogueira</t>
  </si>
  <si>
    <t>nogueira.morgana@gmail.com</t>
  </si>
  <si>
    <t>09859435138</t>
  </si>
  <si>
    <t>9060970612</t>
  </si>
  <si>
    <t>25595631</t>
  </si>
  <si>
    <t>Marginal Saraiva</t>
  </si>
  <si>
    <t>2617</t>
  </si>
  <si>
    <t>Rafael de Nossa Senhora</t>
  </si>
  <si>
    <t>1998-03-31</t>
  </si>
  <si>
    <t>MORGANA NOGUEIRA</t>
  </si>
  <si>
    <t>C_0053</t>
  </si>
  <si>
    <t>Nicolas Martins</t>
  </si>
  <si>
    <t>nicolas.martins</t>
  </si>
  <si>
    <t>martins.nicolas@ig.com.br</t>
  </si>
  <si>
    <t>91243590173</t>
  </si>
  <si>
    <t>61588000685</t>
  </si>
  <si>
    <t>13967754</t>
  </si>
  <si>
    <t>Travessa Isabela</t>
  </si>
  <si>
    <t>546</t>
  </si>
  <si>
    <t>Lawrence County</t>
  </si>
  <si>
    <t>2005-03-29</t>
  </si>
  <si>
    <t>NICOLAS MARTINS</t>
  </si>
  <si>
    <t>C_0054</t>
  </si>
  <si>
    <t>Alice Silva</t>
  </si>
  <si>
    <t>alice.silva</t>
  </si>
  <si>
    <t>silva.alice@yandex.com</t>
  </si>
  <si>
    <t>18007282807</t>
  </si>
  <si>
    <t>556892636510</t>
  </si>
  <si>
    <t>75996339</t>
  </si>
  <si>
    <t>Avenida Macedo</t>
  </si>
  <si>
    <t>4026</t>
  </si>
  <si>
    <t>Xavier do Descoberto</t>
  </si>
  <si>
    <t>1974-08-04</t>
  </si>
  <si>
    <t>ALICE SILVA</t>
  </si>
  <si>
    <t>C_0055</t>
  </si>
  <si>
    <t>Yasmin Martins</t>
  </si>
  <si>
    <t>yasmin.martins</t>
  </si>
  <si>
    <t>martins.yasmin@live.com</t>
  </si>
  <si>
    <t>64802577400</t>
  </si>
  <si>
    <t>59408724550</t>
  </si>
  <si>
    <t>65204362</t>
  </si>
  <si>
    <t>Rodovia Sirineu</t>
  </si>
  <si>
    <t>31041</t>
  </si>
  <si>
    <t>Monroe County</t>
  </si>
  <si>
    <t>Albuquerque do Descoberto</t>
  </si>
  <si>
    <t>MT</t>
  </si>
  <si>
    <t>2007-12-03</t>
  </si>
  <si>
    <t>YASMIN MARTINS</t>
  </si>
  <si>
    <t>C_0056</t>
  </si>
  <si>
    <t>Yango Moreira</t>
  </si>
  <si>
    <t>yango.moreira</t>
  </si>
  <si>
    <t>moreira.yango@yandex.com</t>
  </si>
  <si>
    <t>01539632474</t>
  </si>
  <si>
    <t>554613226409</t>
  </si>
  <si>
    <t>06601304</t>
  </si>
  <si>
    <t>Travessa Eloa</t>
  </si>
  <si>
    <t>87793</t>
  </si>
  <si>
    <t>Fayette County</t>
  </si>
  <si>
    <t>Rafaela do Descoberto</t>
  </si>
  <si>
    <t>1994-05-05</t>
  </si>
  <si>
    <t>YANGO MOREIRA</t>
  </si>
  <si>
    <t>C_0057</t>
  </si>
  <si>
    <t>Maria Alice Franco</t>
  </si>
  <si>
    <t>mariaalice.franco</t>
  </si>
  <si>
    <t>franco.mariaalice@live.com</t>
  </si>
  <si>
    <t>41373956755</t>
  </si>
  <si>
    <t>43212966458</t>
  </si>
  <si>
    <t>85476948</t>
  </si>
  <si>
    <t>Rodovia Pereira</t>
  </si>
  <si>
    <t>36598</t>
  </si>
  <si>
    <t>Washington County</t>
  </si>
  <si>
    <t>Albuquerque do Norte</t>
  </si>
  <si>
    <t>1978-03-02</t>
  </si>
  <si>
    <t>MARIA ALICE FRANCO</t>
  </si>
  <si>
    <t>C_0058</t>
  </si>
  <si>
    <t>Eloa Santos</t>
  </si>
  <si>
    <t>eloa.santos</t>
  </si>
  <si>
    <t>santos.eloa@msn.com</t>
  </si>
  <si>
    <t>35232917633</t>
  </si>
  <si>
    <t>5014249359</t>
  </si>
  <si>
    <t>38725846</t>
  </si>
  <si>
    <t>80940</t>
  </si>
  <si>
    <t>Grant County</t>
  </si>
  <si>
    <t>Barros do Norte</t>
  </si>
  <si>
    <t>2001-01-27</t>
  </si>
  <si>
    <t>ELOA SANTOS</t>
  </si>
  <si>
    <t>C_0059</t>
  </si>
  <si>
    <t>Kleber Albuquerque</t>
  </si>
  <si>
    <t>kleber.albuquerque</t>
  </si>
  <si>
    <t>albuquerque.kleber@mail.com</t>
  </si>
  <si>
    <t>75935241838</t>
  </si>
  <si>
    <t>559526724663</t>
  </si>
  <si>
    <t>33089985</t>
  </si>
  <si>
    <t>Travessa Santos</t>
  </si>
  <si>
    <t>886</t>
  </si>
  <si>
    <t>Strathclyde</t>
  </si>
  <si>
    <t>Heloisa de Nossa Senhora</t>
  </si>
  <si>
    <t>2006-09-16</t>
  </si>
  <si>
    <t>KLEBER ALBUQUERQUE</t>
  </si>
  <si>
    <t>C_0060</t>
  </si>
  <si>
    <t>Larissa Braga</t>
  </si>
  <si>
    <t>larissa.braga</t>
  </si>
  <si>
    <t>braga.larissa@outlook.com</t>
  </si>
  <si>
    <t>03009484763</t>
  </si>
  <si>
    <t>12811113776</t>
  </si>
  <si>
    <t>39038784</t>
  </si>
  <si>
    <t>Rodovia Beatriz</t>
  </si>
  <si>
    <t>8392</t>
  </si>
  <si>
    <t>Logan County</t>
  </si>
  <si>
    <t>Silva do Norte</t>
  </si>
  <si>
    <t>1966-10-08</t>
  </si>
  <si>
    <t>LARISSA BRAGA</t>
  </si>
  <si>
    <t>C_0061</t>
  </si>
  <si>
    <t>Elisio Costa</t>
  </si>
  <si>
    <t>elisio.costa</t>
  </si>
  <si>
    <t>costa.elisio@zoho.com</t>
  </si>
  <si>
    <t>80969306997</t>
  </si>
  <si>
    <t>558375953019</t>
  </si>
  <si>
    <t>77364599</t>
  </si>
  <si>
    <t>Avenida Moreira</t>
  </si>
  <si>
    <t>1740</t>
  </si>
  <si>
    <t>Lake County</t>
  </si>
  <si>
    <t>2004-07-31</t>
  </si>
  <si>
    <t>ELISIO COSTA</t>
  </si>
  <si>
    <t>C_0062</t>
  </si>
  <si>
    <t>Melissa Batista</t>
  </si>
  <si>
    <t>melissa.batista</t>
  </si>
  <si>
    <t>batista.melissa@icloud.com</t>
  </si>
  <si>
    <t>38593851860</t>
  </si>
  <si>
    <t>16071697568</t>
  </si>
  <si>
    <t>53526987</t>
  </si>
  <si>
    <t>Rodovia Barros</t>
  </si>
  <si>
    <t>62821</t>
  </si>
  <si>
    <t>Melo de Nossa Senhora</t>
  </si>
  <si>
    <t>SC</t>
  </si>
  <si>
    <t>1968-08-05</t>
  </si>
  <si>
    <t>MELISSA BATISTA</t>
  </si>
  <si>
    <t>C_0063</t>
  </si>
  <si>
    <t>Mercia Albuquerque</t>
  </si>
  <si>
    <t>mercia.albuquerque</t>
  </si>
  <si>
    <t>albuquerque.mercia@yandex.com</t>
  </si>
  <si>
    <t>75695470200</t>
  </si>
  <si>
    <t>551139247310</t>
  </si>
  <si>
    <t>29949019</t>
  </si>
  <si>
    <t>Rodovia Hugo</t>
  </si>
  <si>
    <t>81637</t>
  </si>
  <si>
    <t>1997-06-04</t>
  </si>
  <si>
    <t>MERCIA ALBUQUERQUE</t>
  </si>
  <si>
    <t>C_0064</t>
  </si>
  <si>
    <t>Liz Barros</t>
  </si>
  <si>
    <t>liz.barros</t>
  </si>
  <si>
    <t>barros.liz@ig.com.br</t>
  </si>
  <si>
    <t>70900331984</t>
  </si>
  <si>
    <t>23739331424</t>
  </si>
  <si>
    <t>12275306</t>
  </si>
  <si>
    <t>Rodovia Yango</t>
  </si>
  <si>
    <t>14257</t>
  </si>
  <si>
    <t>Isle of Wight</t>
  </si>
  <si>
    <t>Pedro do Descoberto</t>
  </si>
  <si>
    <t>1990-09-05</t>
  </si>
  <si>
    <t>LIZ BARROS</t>
  </si>
  <si>
    <t>C_0065</t>
  </si>
  <si>
    <t>Elisa Franco</t>
  </si>
  <si>
    <t>elisa.franco</t>
  </si>
  <si>
    <t>franco.elisa@bol.com.br</t>
  </si>
  <si>
    <t>54832706306</t>
  </si>
  <si>
    <t>7766323142</t>
  </si>
  <si>
    <t>91358552</t>
  </si>
  <si>
    <t>Rua Maria Helena</t>
  </si>
  <si>
    <t>8656</t>
  </si>
  <si>
    <t>Gabriel do Descoberto</t>
  </si>
  <si>
    <t>1971-04-17</t>
  </si>
  <si>
    <t>ELISA FRANCO</t>
  </si>
  <si>
    <t>C_0066</t>
  </si>
  <si>
    <t>Sirineu Franco</t>
  </si>
  <si>
    <t>sirineu.franco</t>
  </si>
  <si>
    <t>franco.sirineu@mail.com</t>
  </si>
  <si>
    <t>10407293043</t>
  </si>
  <si>
    <t>9972248903</t>
  </si>
  <si>
    <t>00854008</t>
  </si>
  <si>
    <t>Marginal Maria Cecilia</t>
  </si>
  <si>
    <t>261</t>
  </si>
  <si>
    <t>Bruna do Sul</t>
  </si>
  <si>
    <t>1997-09-24</t>
  </si>
  <si>
    <t>SIRINEU FRANCO</t>
  </si>
  <si>
    <t>C_0067</t>
  </si>
  <si>
    <t>Murilo Moraes</t>
  </si>
  <si>
    <t>murilo.moraes</t>
  </si>
  <si>
    <t>moraes.murilo@me.com</t>
  </si>
  <si>
    <t>16151873750</t>
  </si>
  <si>
    <t>5190390260</t>
  </si>
  <si>
    <t>44471175</t>
  </si>
  <si>
    <t>26989</t>
  </si>
  <si>
    <t>County Antrim</t>
  </si>
  <si>
    <t>Souza de Nossa Senhora</t>
  </si>
  <si>
    <t>1994-06-19</t>
  </si>
  <si>
    <t>MURILO MORAES</t>
  </si>
  <si>
    <t>C_0068</t>
  </si>
  <si>
    <t>Ana Julia Oliveira</t>
  </si>
  <si>
    <t>anajulia.oliveira</t>
  </si>
  <si>
    <t>oliveira.anajulia@hotmail.com</t>
  </si>
  <si>
    <t>85849378200</t>
  </si>
  <si>
    <t>7521701065</t>
  </si>
  <si>
    <t>86157742</t>
  </si>
  <si>
    <t>Rodovia Santos</t>
  </si>
  <si>
    <t>35172</t>
  </si>
  <si>
    <t>Wayne County</t>
  </si>
  <si>
    <t>Braga do Sul</t>
  </si>
  <si>
    <t>1993-02-05</t>
  </si>
  <si>
    <t>ANA JULIA OLIVEIRA</t>
  </si>
  <si>
    <t>C_0069</t>
  </si>
  <si>
    <t>Caua Barros</t>
  </si>
  <si>
    <t>caua.barros</t>
  </si>
  <si>
    <t>barros.caua@gmx.com</t>
  </si>
  <si>
    <t>25455353896</t>
  </si>
  <si>
    <t>8416702863</t>
  </si>
  <si>
    <t>43678218</t>
  </si>
  <si>
    <t>Avenida Carlos</t>
  </si>
  <si>
    <t>9517</t>
  </si>
  <si>
    <t>2007-09-17</t>
  </si>
  <si>
    <t>CAUA BARROS</t>
  </si>
  <si>
    <t>C_0070</t>
  </si>
  <si>
    <t>Heloisa Xavier</t>
  </si>
  <si>
    <t>heloisa.xavier</t>
  </si>
  <si>
    <t>xavier.heloisa@yahoo.com</t>
  </si>
  <si>
    <t>99631906000</t>
  </si>
  <si>
    <t>555200837072</t>
  </si>
  <si>
    <t>03907470</t>
  </si>
  <si>
    <t>Rodovia Eduarda</t>
  </si>
  <si>
    <t>92503</t>
  </si>
  <si>
    <t>Yasmin do Sul</t>
  </si>
  <si>
    <t>2000-04-07</t>
  </si>
  <si>
    <t>HELOISA XAVIER</t>
  </si>
  <si>
    <t>C_0071</t>
  </si>
  <si>
    <t>Maria Alice Moraes</t>
  </si>
  <si>
    <t>mariaalice.moraes</t>
  </si>
  <si>
    <t>moraes.mariaalice@me.com</t>
  </si>
  <si>
    <t>07605900015</t>
  </si>
  <si>
    <t>13539341213</t>
  </si>
  <si>
    <t>06672328</t>
  </si>
  <si>
    <t>Alameda Maria Eduarda</t>
  </si>
  <si>
    <t>8846</t>
  </si>
  <si>
    <t>West Midlands</t>
  </si>
  <si>
    <t>Fabricia do Descoberto</t>
  </si>
  <si>
    <t>1985-04-04</t>
  </si>
  <si>
    <t>MARIA ALICE MORAES</t>
  </si>
  <si>
    <t>C_0072</t>
  </si>
  <si>
    <t>Gubio Saraiva</t>
  </si>
  <si>
    <t>gubio.saraiva</t>
  </si>
  <si>
    <t>saraiva.gubio@gmail.com</t>
  </si>
  <si>
    <t>19686514201</t>
  </si>
  <si>
    <t>28606188518</t>
  </si>
  <si>
    <t>47821094</t>
  </si>
  <si>
    <t>Marginal Raul</t>
  </si>
  <si>
    <t>4164</t>
  </si>
  <si>
    <t>County Armagh</t>
  </si>
  <si>
    <t>1976-07-18</t>
  </si>
  <si>
    <t>GUBIO SARAIVA</t>
  </si>
  <si>
    <t>C_0073</t>
  </si>
  <si>
    <t>Pietro Batista</t>
  </si>
  <si>
    <t>pietro.batista</t>
  </si>
  <si>
    <t>batista.pietro@mail.com</t>
  </si>
  <si>
    <t>02380328927</t>
  </si>
  <si>
    <t>72084108935</t>
  </si>
  <si>
    <t>78513151</t>
  </si>
  <si>
    <t>Rodovia Marcela</t>
  </si>
  <si>
    <t>26650</t>
  </si>
  <si>
    <t>Valentina de Nossa Senhora</t>
  </si>
  <si>
    <t>1974-10-23</t>
  </si>
  <si>
    <t>PIETRO BATISTA</t>
  </si>
  <si>
    <t>C_0074</t>
  </si>
  <si>
    <t>Laura Silva</t>
  </si>
  <si>
    <t>laura.silva</t>
  </si>
  <si>
    <t>silva.laura@icloud.com</t>
  </si>
  <si>
    <t>09403930772</t>
  </si>
  <si>
    <t>0492533268</t>
  </si>
  <si>
    <t>32124390</t>
  </si>
  <si>
    <t>Marginal Fabricia</t>
  </si>
  <si>
    <t>604</t>
  </si>
  <si>
    <t>Nogueira do Descoberto</t>
  </si>
  <si>
    <t>1995-11-05</t>
  </si>
  <si>
    <t>LAURA SILVA</t>
  </si>
  <si>
    <t>C_0075</t>
  </si>
  <si>
    <t>Victor Saraiva</t>
  </si>
  <si>
    <t>victor.saraiva</t>
  </si>
  <si>
    <t>saraiva.victor@bol.com.br</t>
  </si>
  <si>
    <t>01016874006</t>
  </si>
  <si>
    <t>8889839237</t>
  </si>
  <si>
    <t>41076680</t>
  </si>
  <si>
    <t>Rua Janaina</t>
  </si>
  <si>
    <t>21552</t>
  </si>
  <si>
    <t>Guilherme de Nossa Senhora</t>
  </si>
  <si>
    <t>1999-09-07</t>
  </si>
  <si>
    <t>VICTOR SARAIVA</t>
  </si>
  <si>
    <t>C_0076</t>
  </si>
  <si>
    <t>Samuel Silva</t>
  </si>
  <si>
    <t>samuel.silva</t>
  </si>
  <si>
    <t>silva.samuel@icloud.com</t>
  </si>
  <si>
    <t>08362653787</t>
  </si>
  <si>
    <t>551447518427</t>
  </si>
  <si>
    <t>03157631</t>
  </si>
  <si>
    <t>Avenida Melo</t>
  </si>
  <si>
    <t>5933</t>
  </si>
  <si>
    <t>Gloucestershire</t>
  </si>
  <si>
    <t>Franco do Descoberto</t>
  </si>
  <si>
    <t>1970-09-05</t>
  </si>
  <si>
    <t>SAMUEL SILVA</t>
  </si>
  <si>
    <t>C_0077</t>
  </si>
  <si>
    <t>Silas Oliveira</t>
  </si>
  <si>
    <t>silas.oliveira</t>
  </si>
  <si>
    <t>oliveira.silas@aol.com</t>
  </si>
  <si>
    <t>67343338927</t>
  </si>
  <si>
    <t>3416067350</t>
  </si>
  <si>
    <t>08909651</t>
  </si>
  <si>
    <t>Travessa Moraes</t>
  </si>
  <si>
    <t>16909</t>
  </si>
  <si>
    <t>Reis do Sul</t>
  </si>
  <si>
    <t>1973-12-17</t>
  </si>
  <si>
    <t>SILAS OLIVEIRA</t>
  </si>
  <si>
    <t>C_0078</t>
  </si>
  <si>
    <t>Miguel Melo</t>
  </si>
  <si>
    <t>miguel.melo</t>
  </si>
  <si>
    <t>melo.miguel@msn.com</t>
  </si>
  <si>
    <t>86681033857</t>
  </si>
  <si>
    <t>557835020860</t>
  </si>
  <si>
    <t>78178239</t>
  </si>
  <si>
    <t>4994</t>
  </si>
  <si>
    <t>Gustavo do Descoberto</t>
  </si>
  <si>
    <t>1978-05-24</t>
  </si>
  <si>
    <t>MIGUEL MELO</t>
  </si>
  <si>
    <t>C_0079</t>
  </si>
  <si>
    <t>Fabiano Batista</t>
  </si>
  <si>
    <t>fabiano.batista</t>
  </si>
  <si>
    <t>batista.fabiano@aol.com</t>
  </si>
  <si>
    <t>07650640140</t>
  </si>
  <si>
    <t>0453863204</t>
  </si>
  <si>
    <t>54485712</t>
  </si>
  <si>
    <t>Avenida Marcia</t>
  </si>
  <si>
    <t>71694</t>
  </si>
  <si>
    <t>Sara de Nossa Senhora</t>
  </si>
  <si>
    <t>1970-12-04</t>
  </si>
  <si>
    <t>FABIANO BATISTA</t>
  </si>
  <si>
    <t>C_0080</t>
  </si>
  <si>
    <t>Lavinia Nogueira</t>
  </si>
  <si>
    <t>lavinia.nogueira</t>
  </si>
  <si>
    <t>nogueira.lavinia@hotmail.com</t>
  </si>
  <si>
    <t>79848680187</t>
  </si>
  <si>
    <t>554292261352</t>
  </si>
  <si>
    <t>82166215</t>
  </si>
  <si>
    <t>Rodovia Joao</t>
  </si>
  <si>
    <t>80009</t>
  </si>
  <si>
    <t>Larissa do Norte</t>
  </si>
  <si>
    <t>1974-03-18</t>
  </si>
  <si>
    <t>LAVINIA NOGUEIRA</t>
  </si>
  <si>
    <t>C_0081</t>
  </si>
  <si>
    <t>Gubio Oliveira</t>
  </si>
  <si>
    <t>gubio.oliveira</t>
  </si>
  <si>
    <t>oliveira.gubio@gmx.com</t>
  </si>
  <si>
    <t>11222353644</t>
  </si>
  <si>
    <t>3118064017</t>
  </si>
  <si>
    <t>36010809</t>
  </si>
  <si>
    <t>Avenida Eduarda</t>
  </si>
  <si>
    <t>241</t>
  </si>
  <si>
    <t>Clark County</t>
  </si>
  <si>
    <t>Maria do Norte</t>
  </si>
  <si>
    <t>1983-08-27</t>
  </si>
  <si>
    <t>GUBIO OLIVEIRA</t>
  </si>
  <si>
    <t>C_0082</t>
  </si>
  <si>
    <t>Joana Oliveira</t>
  </si>
  <si>
    <t>joana.oliveira</t>
  </si>
  <si>
    <t>oliveira.joana@bol.com.br</t>
  </si>
  <si>
    <t>18798438468</t>
  </si>
  <si>
    <t>0132488387</t>
  </si>
  <si>
    <t>88662069</t>
  </si>
  <si>
    <t>Rodovia Carvalho</t>
  </si>
  <si>
    <t>76847</t>
  </si>
  <si>
    <t>Scott County</t>
  </si>
  <si>
    <t>1987-07-22</t>
  </si>
  <si>
    <t>JOANA OLIVEIRA</t>
  </si>
  <si>
    <t>C_0083</t>
  </si>
  <si>
    <t>Rafaela Moreira</t>
  </si>
  <si>
    <t>rafaela.moreira</t>
  </si>
  <si>
    <t>moreira.rafaela@aol.com</t>
  </si>
  <si>
    <t>61205769161</t>
  </si>
  <si>
    <t>556939615477</t>
  </si>
  <si>
    <t>56018953</t>
  </si>
  <si>
    <t>Rodovia Isabel</t>
  </si>
  <si>
    <t>60504</t>
  </si>
  <si>
    <t>Emanuelly do Descoberto</t>
  </si>
  <si>
    <t>1991-12-30</t>
  </si>
  <si>
    <t>RAFAELA MOREIRA</t>
  </si>
  <si>
    <t>C_0084</t>
  </si>
  <si>
    <t>Ana Laura Xavier</t>
  </si>
  <si>
    <t>analaura.xavier</t>
  </si>
  <si>
    <t>xavier.analaura@protonmail.com</t>
  </si>
  <si>
    <t>62137549549</t>
  </si>
  <si>
    <t>553620630133</t>
  </si>
  <si>
    <t>85195901</t>
  </si>
  <si>
    <t>Marginal Ladislau</t>
  </si>
  <si>
    <t>6166</t>
  </si>
  <si>
    <t>Santos de Nossa Senhora</t>
  </si>
  <si>
    <t>1991-10-16</t>
  </si>
  <si>
    <t>ANA LAURA XAVIER</t>
  </si>
  <si>
    <t>C_0085</t>
  </si>
  <si>
    <t>Gael Santos</t>
  </si>
  <si>
    <t>gael.santos</t>
  </si>
  <si>
    <t>santos.gael@yandex.com</t>
  </si>
  <si>
    <t>88087885392</t>
  </si>
  <si>
    <t>551008687019</t>
  </si>
  <si>
    <t>98950665</t>
  </si>
  <si>
    <t>Marginal Sara</t>
  </si>
  <si>
    <t>16514</t>
  </si>
  <si>
    <t>Cheshire</t>
  </si>
  <si>
    <t>1992-11-28</t>
  </si>
  <si>
    <t>GAEL SANTOS</t>
  </si>
  <si>
    <t>C_0086</t>
  </si>
  <si>
    <t>Lara Pereira</t>
  </si>
  <si>
    <t>lara.pereira</t>
  </si>
  <si>
    <t>pereira.lara@fastmail.com</t>
  </si>
  <si>
    <t>07206226388</t>
  </si>
  <si>
    <t>557881603470</t>
  </si>
  <si>
    <t>04690145</t>
  </si>
  <si>
    <t>Marginal Danilo</t>
  </si>
  <si>
    <t>65367</t>
  </si>
  <si>
    <t>Clay County</t>
  </si>
  <si>
    <t>1972-07-24</t>
  </si>
  <si>
    <t>LARA PEREIRA</t>
  </si>
  <si>
    <t>C_0087</t>
  </si>
  <si>
    <t>Isabel Pereira</t>
  </si>
  <si>
    <t>isabel.pereira</t>
  </si>
  <si>
    <t>pereira.isabel@bol.com.br</t>
  </si>
  <si>
    <t>38339506250</t>
  </si>
  <si>
    <t>8980837773</t>
  </si>
  <si>
    <t>43203560</t>
  </si>
  <si>
    <t>Alameda Braga</t>
  </si>
  <si>
    <t>8911</t>
  </si>
  <si>
    <t>Silvia do Descoberto</t>
  </si>
  <si>
    <t>1970-05-08</t>
  </si>
  <si>
    <t>ISABEL PEREIRA</t>
  </si>
  <si>
    <t>C_0088</t>
  </si>
  <si>
    <t>Noah Costa</t>
  </si>
  <si>
    <t>noah.costa</t>
  </si>
  <si>
    <t>costa.noah@ig.com.br</t>
  </si>
  <si>
    <t>35973639622</t>
  </si>
  <si>
    <t>554636121797</t>
  </si>
  <si>
    <t>69925842</t>
  </si>
  <si>
    <t>Rodovia Carlos</t>
  </si>
  <si>
    <t>2041</t>
  </si>
  <si>
    <t>Kent</t>
  </si>
  <si>
    <t>1993-04-25</t>
  </si>
  <si>
    <t>NOAH COSTA</t>
  </si>
  <si>
    <t>C_0089</t>
  </si>
  <si>
    <t>Helio Xavier</t>
  </si>
  <si>
    <t>helio.xavier</t>
  </si>
  <si>
    <t>xavier.helio@me.com</t>
  </si>
  <si>
    <t>79374632012</t>
  </si>
  <si>
    <t>97330993870</t>
  </si>
  <si>
    <t>50982385</t>
  </si>
  <si>
    <t>Rodovia Saraiva</t>
  </si>
  <si>
    <t>4333</t>
  </si>
  <si>
    <t>Henry County</t>
  </si>
  <si>
    <t>Nataniel do Descoberto</t>
  </si>
  <si>
    <t>2008-05-13</t>
  </si>
  <si>
    <t>HELIO XAVIER</t>
  </si>
  <si>
    <t>C_0090</t>
  </si>
  <si>
    <t>Liz Reis</t>
  </si>
  <si>
    <t>liz.reis</t>
  </si>
  <si>
    <t>reis.liz@zoho.com</t>
  </si>
  <si>
    <t>53366766670</t>
  </si>
  <si>
    <t>05862075064</t>
  </si>
  <si>
    <t>31100083</t>
  </si>
  <si>
    <t>921</t>
  </si>
  <si>
    <t>Hertfordshire</t>
  </si>
  <si>
    <t>Mercia do Sul</t>
  </si>
  <si>
    <t>1972-06-13</t>
  </si>
  <si>
    <t>LIZ REIS</t>
  </si>
  <si>
    <t>C_0091</t>
  </si>
  <si>
    <t>Roberta Souza</t>
  </si>
  <si>
    <t>roberta.souza</t>
  </si>
  <si>
    <t>souza.roberta@live.com</t>
  </si>
  <si>
    <t>25881941500</t>
  </si>
  <si>
    <t>556220325005</t>
  </si>
  <si>
    <t>89650435</t>
  </si>
  <si>
    <t>Travessa Suelen</t>
  </si>
  <si>
    <t>9690</t>
  </si>
  <si>
    <t>Douglas County</t>
  </si>
  <si>
    <t>Carvalho de Nossa Senhora</t>
  </si>
  <si>
    <t>1971-11-26</t>
  </si>
  <si>
    <t>ROBERTA SOUZA</t>
  </si>
  <si>
    <t>C_0092</t>
  </si>
  <si>
    <t>Melissa Moreira</t>
  </si>
  <si>
    <t>melissa.moreira</t>
  </si>
  <si>
    <t>moreira.melissa@terra.com.br</t>
  </si>
  <si>
    <t>72367562709</t>
  </si>
  <si>
    <t>9615352902</t>
  </si>
  <si>
    <t>27201326</t>
  </si>
  <si>
    <t>Marginal Moraes</t>
  </si>
  <si>
    <t>7866</t>
  </si>
  <si>
    <t>Bryan de Nossa Senhora</t>
  </si>
  <si>
    <t>1972-01-02</t>
  </si>
  <si>
    <t>MELISSA MOREIRA</t>
  </si>
  <si>
    <t>C_0093</t>
  </si>
  <si>
    <t>Alice Batista</t>
  </si>
  <si>
    <t>alice.batista</t>
  </si>
  <si>
    <t>batista.alice@icloud.com</t>
  </si>
  <si>
    <t>73520632691</t>
  </si>
  <si>
    <t>07348641238</t>
  </si>
  <si>
    <t>77826880</t>
  </si>
  <si>
    <t>Marginal Clara</t>
  </si>
  <si>
    <t>110</t>
  </si>
  <si>
    <t>Igor de Nossa Senhora</t>
  </si>
  <si>
    <t>1988-01-20</t>
  </si>
  <si>
    <t>ALICE BATISTA</t>
  </si>
  <si>
    <t>C_0094</t>
  </si>
  <si>
    <t>Vitoria Braga</t>
  </si>
  <si>
    <t>vitoria.braga</t>
  </si>
  <si>
    <t>braga.vitoria@aol.com</t>
  </si>
  <si>
    <t>45091344446</t>
  </si>
  <si>
    <t>6674229634</t>
  </si>
  <si>
    <t>84464941</t>
  </si>
  <si>
    <t>Rua Eloa</t>
  </si>
  <si>
    <t>815</t>
  </si>
  <si>
    <t>Ladislau do Sul</t>
  </si>
  <si>
    <t>1967-05-07</t>
  </si>
  <si>
    <t>VITORIA BRAGA</t>
  </si>
  <si>
    <t>C_0095</t>
  </si>
  <si>
    <t>Eloa Xavier</t>
  </si>
  <si>
    <t>eloa.xavier</t>
  </si>
  <si>
    <t>xavier.eloa@inbox.com</t>
  </si>
  <si>
    <t>42797968077</t>
  </si>
  <si>
    <t>0170900505</t>
  </si>
  <si>
    <t>02567401</t>
  </si>
  <si>
    <t>Travessa Deneval</t>
  </si>
  <si>
    <t>615</t>
  </si>
  <si>
    <t>Manuela do Descoberto</t>
  </si>
  <si>
    <t>1996-05-20</t>
  </si>
  <si>
    <t>ELOA XAVIER</t>
  </si>
  <si>
    <t>C_0096</t>
  </si>
  <si>
    <t>barros.mariajulia@ig.com.br</t>
  </si>
  <si>
    <t>93278663390</t>
  </si>
  <si>
    <t>58129413925</t>
  </si>
  <si>
    <t>91545012</t>
  </si>
  <si>
    <t>Alameda Isadora</t>
  </si>
  <si>
    <t>58430</t>
  </si>
  <si>
    <t>1978-04-02</t>
  </si>
  <si>
    <t>0015</t>
  </si>
  <si>
    <t>0017</t>
  </si>
  <si>
    <t>cpf</t>
  </si>
  <si>
    <t>saldo_conta</t>
  </si>
  <si>
    <t>limite_utilizado</t>
  </si>
  <si>
    <t>limite_disponivel</t>
  </si>
  <si>
    <t>fatura_fechada</t>
  </si>
  <si>
    <t>fatura_aberta</t>
  </si>
  <si>
    <t>dias_atraso</t>
  </si>
  <si>
    <t>cartao_fisico_numero</t>
  </si>
  <si>
    <t>cartao_fisico_cvv</t>
  </si>
  <si>
    <t>cartao_virtual_numero</t>
  </si>
  <si>
    <t>cartao_virtual_cvv</t>
  </si>
  <si>
    <t>12424713839</t>
  </si>
  <si>
    <t>Abigaelle Michel</t>
  </si>
  <si>
    <t>0</t>
  </si>
  <si>
    <t>5442 7460 9903 2410</t>
  </si>
  <si>
    <t>43204282856</t>
  </si>
  <si>
    <t>Absalon Olivier</t>
  </si>
  <si>
    <t>5442 7460 6216 3719</t>
  </si>
  <si>
    <t>856</t>
  </si>
  <si>
    <t>27234768980</t>
  </si>
  <si>
    <t>Acanthe Vidal</t>
  </si>
  <si>
    <t>5442 7460 4352 2381</t>
  </si>
  <si>
    <t>980</t>
  </si>
  <si>
    <t>44794065574</t>
  </si>
  <si>
    <t>Achaire Schmitt</t>
  </si>
  <si>
    <t>62</t>
  </si>
  <si>
    <t>5442 7460 4040 2844</t>
  </si>
  <si>
    <t>574</t>
  </si>
  <si>
    <t>83052128400</t>
  </si>
  <si>
    <t>Adalard Rodriguez</t>
  </si>
  <si>
    <t>5442 7460 0864 4232</t>
  </si>
  <si>
    <t>400</t>
  </si>
  <si>
    <t>07817267197</t>
  </si>
  <si>
    <t>Adrienne Giraud</t>
  </si>
  <si>
    <t>4203 1060 2877 0990</t>
  </si>
  <si>
    <t>197</t>
  </si>
  <si>
    <t>71078566429</t>
  </si>
  <si>
    <t>Alban Royer</t>
  </si>
  <si>
    <t>5442 7460 3074 5480</t>
  </si>
  <si>
    <t>429</t>
  </si>
  <si>
    <t>86236132526</t>
  </si>
  <si>
    <t>5185 4460 8680 7410</t>
  </si>
  <si>
    <t>526</t>
  </si>
  <si>
    <t>77017682203</t>
  </si>
  <si>
    <t>5442 7460 3341 8160</t>
  </si>
  <si>
    <t>203</t>
  </si>
  <si>
    <t>36072364535</t>
  </si>
  <si>
    <t>Alessandro Ferrari</t>
  </si>
  <si>
    <t>5442 7460 2038 8294</t>
  </si>
  <si>
    <t>333</t>
  </si>
  <si>
    <t>70696409003</t>
  </si>
  <si>
    <t>Alexander James Smith</t>
  </si>
  <si>
    <t>3782 480351 3483</t>
  </si>
  <si>
    <t>8821</t>
  </si>
  <si>
    <t>57855482407</t>
  </si>
  <si>
    <t>42</t>
  </si>
  <si>
    <t>4576 7460 2297 6677</t>
  </si>
  <si>
    <t>56457538797</t>
  </si>
  <si>
    <t>Alexandre Costa</t>
  </si>
  <si>
    <t>5373 6360 3965 4669</t>
  </si>
  <si>
    <t>797</t>
  </si>
  <si>
    <t>18011225638</t>
  </si>
  <si>
    <t>Alice Albuquerque</t>
  </si>
  <si>
    <t>5442 7460 2184 6661</t>
  </si>
  <si>
    <t>638</t>
  </si>
  <si>
    <t>25713468361</t>
  </si>
  <si>
    <t>5442 7460 6629 7624</t>
  </si>
  <si>
    <t>361</t>
  </si>
  <si>
    <t>6375 6800 6807 3116</t>
  </si>
  <si>
    <t>958</t>
  </si>
  <si>
    <t>5442 7460 0745 5341</t>
  </si>
  <si>
    <t>79772936330</t>
  </si>
  <si>
    <t>Ana Clara Barros</t>
  </si>
  <si>
    <t>5373 6360 3461 7570</t>
  </si>
  <si>
    <t>330</t>
  </si>
  <si>
    <t>13440024202</t>
  </si>
  <si>
    <t>Ana Julia Santos</t>
  </si>
  <si>
    <t>5364 2660 5357 3420</t>
  </si>
  <si>
    <t>202</t>
  </si>
  <si>
    <t>54313729046</t>
  </si>
  <si>
    <t>Ana Luiza Nogueira</t>
  </si>
  <si>
    <t>5442 7460 9003 0217</t>
  </si>
  <si>
    <t>046</t>
  </si>
  <si>
    <t>65184684166</t>
  </si>
  <si>
    <t>Anceline Gauthier</t>
  </si>
  <si>
    <t>5442 7460 4947 8021</t>
  </si>
  <si>
    <t>166</t>
  </si>
  <si>
    <t>53281863159</t>
  </si>
  <si>
    <t>Angel Rempel</t>
  </si>
  <si>
    <t>5442 7460 5945 2322</t>
  </si>
  <si>
    <t>159</t>
  </si>
  <si>
    <t>42718533218</t>
  </si>
  <si>
    <t>Angilran Morin</t>
  </si>
  <si>
    <t>5442 7460 7965 5007</t>
  </si>
  <si>
    <t>218</t>
  </si>
  <si>
    <t>38882777448</t>
  </si>
  <si>
    <t>Annonciade Poirier</t>
  </si>
  <si>
    <t>5442 7460 7026 1006</t>
  </si>
  <si>
    <t>448</t>
  </si>
  <si>
    <t>89331225245</t>
  </si>
  <si>
    <t>Aoi Yamamoto</t>
  </si>
  <si>
    <t>6505 0666 4055 1682</t>
  </si>
  <si>
    <t>64866656883</t>
  </si>
  <si>
    <t>Archambaud Remy</t>
  </si>
  <si>
    <t>5442 7460 5774 1894</t>
  </si>
  <si>
    <t>883</t>
  </si>
  <si>
    <t>41689983639</t>
  </si>
  <si>
    <t>Armandine Joly</t>
  </si>
  <si>
    <t>5442 7460 2232 1307</t>
  </si>
  <si>
    <t>639</t>
  </si>
  <si>
    <t>30113512287</t>
  </si>
  <si>
    <t>Armel Michel</t>
  </si>
  <si>
    <t>5185 4460 8337 0511</t>
  </si>
  <si>
    <t>287</t>
  </si>
  <si>
    <t>95654548522</t>
  </si>
  <si>
    <t>Assomption Sanchez</t>
  </si>
  <si>
    <t>5442 7460 9555 7352</t>
  </si>
  <si>
    <t>522</t>
  </si>
  <si>
    <t>51172415331</t>
  </si>
  <si>
    <t>Audrey Benoit</t>
  </si>
  <si>
    <t>5442 7460 3460 7138</t>
  </si>
  <si>
    <t>331</t>
  </si>
  <si>
    <t>65207037706</t>
  </si>
  <si>
    <t>Beatriz Ferreira</t>
  </si>
  <si>
    <t>5</t>
  </si>
  <si>
    <t>3782 685080 1425</t>
  </si>
  <si>
    <t>90917191782</t>
  </si>
  <si>
    <t>Beatriz Franco</t>
  </si>
  <si>
    <t>5442 7460 1171 2107</t>
  </si>
  <si>
    <t>782</t>
  </si>
  <si>
    <t>25433185508</t>
  </si>
  <si>
    <t>Benjamin Macedo</t>
  </si>
  <si>
    <t>5442 7460 4207 9262</t>
  </si>
  <si>
    <t>508</t>
  </si>
  <si>
    <t>17693911189</t>
  </si>
  <si>
    <t>Blandine Fabre</t>
  </si>
  <si>
    <t>5442 7460 3108 7574</t>
  </si>
  <si>
    <t>189</t>
  </si>
  <si>
    <t>21005484686</t>
  </si>
  <si>
    <t>Boniface Gauthier</t>
  </si>
  <si>
    <t>5364 2660 6627 9262</t>
  </si>
  <si>
    <t>686</t>
  </si>
  <si>
    <t>12312312388</t>
  </si>
  <si>
    <t>Broder jonas</t>
  </si>
  <si>
    <t>5185 4460 2657 3346</t>
  </si>
  <si>
    <t>388</t>
  </si>
  <si>
    <t>12312312312</t>
  </si>
  <si>
    <t>5373 6360 9094 8588</t>
  </si>
  <si>
    <t>312</t>
  </si>
  <si>
    <t>75632149875</t>
  </si>
  <si>
    <t>5373 6360 0033 6346</t>
  </si>
  <si>
    <t>875</t>
  </si>
  <si>
    <t>27646660477</t>
  </si>
  <si>
    <t>Brunehilde Gaillard</t>
  </si>
  <si>
    <t>5442 7460 2776 5268</t>
  </si>
  <si>
    <t>477</t>
  </si>
  <si>
    <t>49335289779</t>
  </si>
  <si>
    <t>Bruno Henrique Alves</t>
  </si>
  <si>
    <t>4576 7460 2571 0727</t>
  </si>
  <si>
    <t>42194343806</t>
  </si>
  <si>
    <t>4576 7460 4934 6097</t>
  </si>
  <si>
    <t>81122222742</t>
  </si>
  <si>
    <t>Bryan Barros</t>
  </si>
  <si>
    <t>5373 6360 4562 4789</t>
  </si>
  <si>
    <t>742</t>
  </si>
  <si>
    <t>42111679011</t>
  </si>
  <si>
    <t>Camila Beatriz Santos</t>
  </si>
  <si>
    <t>5442 7460 6318 0938</t>
  </si>
  <si>
    <t>84979979998</t>
  </si>
  <si>
    <t>Camila Lopez</t>
  </si>
  <si>
    <t>3782 623285 4972</t>
  </si>
  <si>
    <t>07798679553</t>
  </si>
  <si>
    <t>6062 8200 4799 3000</t>
  </si>
  <si>
    <t>82499572612</t>
  </si>
  <si>
    <t>Camille Martin</t>
  </si>
  <si>
    <t>5442 7460 4229 7284</t>
  </si>
  <si>
    <t>612</t>
  </si>
  <si>
    <t>88712484814</t>
  </si>
  <si>
    <t>3782 720223 5276</t>
  </si>
  <si>
    <t>34272175349</t>
  </si>
  <si>
    <t>5442 7460 4625 0111</t>
  </si>
  <si>
    <t>349</t>
  </si>
  <si>
    <t>97504636177</t>
  </si>
  <si>
    <t>Charline Rodriguez</t>
  </si>
  <si>
    <t>5442 7460 5470 6527</t>
  </si>
  <si>
    <t>177</t>
  </si>
  <si>
    <t>36803189287</t>
  </si>
  <si>
    <t>Chloe Dubois</t>
  </si>
  <si>
    <t>5442 7460 8324 5117</t>
  </si>
  <si>
    <t>77355277308</t>
  </si>
  <si>
    <t>Christian Bertrand</t>
  </si>
  <si>
    <t>5442 7460 3070 4884</t>
  </si>
  <si>
    <t>308</t>
  </si>
  <si>
    <t>43838315910</t>
  </si>
  <si>
    <t>Christian Simon</t>
  </si>
  <si>
    <t>5442 7460 7036 5189</t>
  </si>
  <si>
    <t>910</t>
  </si>
  <si>
    <t>76925831102</t>
  </si>
  <si>
    <t>Clarisse Dufour</t>
  </si>
  <si>
    <t>5442 7460 7177 0889</t>
  </si>
  <si>
    <t>102</t>
  </si>
  <si>
    <t>48318883543</t>
  </si>
  <si>
    <t>Claude Garcia</t>
  </si>
  <si>
    <t>5442 7460 1607 2003</t>
  </si>
  <si>
    <t>543</t>
  </si>
  <si>
    <t>66655544433</t>
  </si>
  <si>
    <t>Cliente Amex Vip</t>
  </si>
  <si>
    <t>3782 123456 78901</t>
  </si>
  <si>
    <t>3782 608405 6139</t>
  </si>
  <si>
    <t>77766655544</t>
  </si>
  <si>
    <t>Cliente Cartao Teste</t>
  </si>
  <si>
    <t>5442 7460 1135 2723</t>
  </si>
  <si>
    <t>544</t>
  </si>
  <si>
    <t>77766655599</t>
  </si>
  <si>
    <t>5981 0124 9999 8888</t>
  </si>
  <si>
    <t>777</t>
  </si>
  <si>
    <t>5981 0125 6673 7131</t>
  </si>
  <si>
    <t>70000129979</t>
  </si>
  <si>
    <t>Comprador Monitor</t>
  </si>
  <si>
    <t>4576 7460 6058 7283</t>
  </si>
  <si>
    <t>66414169091</t>
  </si>
  <si>
    <t>Coy Schmeler</t>
  </si>
  <si>
    <t>5442 7460 4969 9232</t>
  </si>
  <si>
    <t>091</t>
  </si>
  <si>
    <t>65451936372</t>
  </si>
  <si>
    <t>Dalila Batista</t>
  </si>
  <si>
    <t>5442 7460 4485 1604</t>
  </si>
  <si>
    <t>372</t>
  </si>
  <si>
    <t>5185 4460 4080 9494</t>
  </si>
  <si>
    <t>226</t>
  </si>
  <si>
    <t>87437767600</t>
  </si>
  <si>
    <t>Dalila Saraiva</t>
  </si>
  <si>
    <t>5364 2660 2813 8234</t>
  </si>
  <si>
    <t>600</t>
  </si>
  <si>
    <t>12388853222</t>
  </si>
  <si>
    <t>Daniel Costa</t>
  </si>
  <si>
    <t>5185 4460 0766 9386</t>
  </si>
  <si>
    <t>222</t>
  </si>
  <si>
    <t>33333333333</t>
  </si>
  <si>
    <t>5981 0126 7625 2833</t>
  </si>
  <si>
    <t>5981 0121 6847 4143</t>
  </si>
  <si>
    <t>840</t>
  </si>
  <si>
    <t>65461467385</t>
  </si>
  <si>
    <t>Daniel Dupuis</t>
  </si>
  <si>
    <t>5364 2660 2219 1882</t>
  </si>
  <si>
    <t>385</t>
  </si>
  <si>
    <t>72605753522</t>
  </si>
  <si>
    <t>Dohyun Choi</t>
  </si>
  <si>
    <t>4576 7460 9685 6188</t>
  </si>
  <si>
    <t>58480256907</t>
  </si>
  <si>
    <t>3782 431206 7566</t>
  </si>
  <si>
    <t>71003941242</t>
  </si>
  <si>
    <t>Dual Teste</t>
  </si>
  <si>
    <t>4576 7460 3577 0487</t>
  </si>
  <si>
    <t>41356720862</t>
  </si>
  <si>
    <t>Eduarda Melo</t>
  </si>
  <si>
    <t>5373 6360 1346 3202</t>
  </si>
  <si>
    <t>862</t>
  </si>
  <si>
    <t>48184183070</t>
  </si>
  <si>
    <t>Elisa Moraes</t>
  </si>
  <si>
    <t>5373 6360 5864 8006</t>
  </si>
  <si>
    <t>070</t>
  </si>
  <si>
    <t>150.00</t>
  </si>
  <si>
    <t>73012176728</t>
  </si>
  <si>
    <t>5442 7460 8105 6141</t>
  </si>
  <si>
    <t>728</t>
  </si>
  <si>
    <t>23317643366</t>
  </si>
  <si>
    <t>5185 4460 3642 5230</t>
  </si>
  <si>
    <t>28818393472</t>
  </si>
  <si>
    <t>5442 7460 1737 5584</t>
  </si>
  <si>
    <t>472</t>
  </si>
  <si>
    <t>09056318624</t>
  </si>
  <si>
    <t>Emily Rose Johnson</t>
  </si>
  <si>
    <t>6505 0666 6899 6592</t>
  </si>
  <si>
    <t>34814029705</t>
  </si>
  <si>
    <t>Enzo Costa</t>
  </si>
  <si>
    <t>5185 4460 6531 8322</t>
  </si>
  <si>
    <t>705</t>
  </si>
  <si>
    <t>09657598818</t>
  </si>
  <si>
    <t>Enzo Gabriel Santos</t>
  </si>
  <si>
    <t>5185 4460 9536 7737</t>
  </si>
  <si>
    <t>818</t>
  </si>
  <si>
    <t>45116448614</t>
  </si>
  <si>
    <t>Ernest Dumont</t>
  </si>
  <si>
    <t>5442 7460 9373 8248</t>
  </si>
  <si>
    <t>614</t>
  </si>
  <si>
    <t>60107482754</t>
  </si>
  <si>
    <t>Eudoxie Pons</t>
  </si>
  <si>
    <t>5442 7460 2404 4469</t>
  </si>
  <si>
    <t>754</t>
  </si>
  <si>
    <t>54879306193</t>
  </si>
  <si>
    <t>Fabricia Carvalho</t>
  </si>
  <si>
    <t>5442 7460 7728 6659</t>
  </si>
  <si>
    <t>193</t>
  </si>
  <si>
    <t>38780699103</t>
  </si>
  <si>
    <t>Fabricia Souza</t>
  </si>
  <si>
    <t>5442 7460 6561 9937</t>
  </si>
  <si>
    <t>103</t>
  </si>
  <si>
    <t>3714 800030 22204</t>
  </si>
  <si>
    <t>578</t>
  </si>
  <si>
    <t>79990005907</t>
  </si>
  <si>
    <t>Fahad Al-Ghamdi</t>
  </si>
  <si>
    <t>4576 7460 4996 3843</t>
  </si>
  <si>
    <t>42062517700</t>
  </si>
  <si>
    <t>6062 8200 1789 5908</t>
  </si>
  <si>
    <t>85246671844</t>
  </si>
  <si>
    <t>Falba David</t>
  </si>
  <si>
    <t>5442 7460 2333 1185</t>
  </si>
  <si>
    <t>844</t>
  </si>
  <si>
    <t>15351515369</t>
  </si>
  <si>
    <t>Fatima Al-Harbi</t>
  </si>
  <si>
    <t>6505 0666 9490 5042</t>
  </si>
  <si>
    <t>01843444259</t>
  </si>
  <si>
    <t>27</t>
  </si>
  <si>
    <t>3782 296131 8895</t>
  </si>
  <si>
    <t>57070650914</t>
  </si>
  <si>
    <t>Felicia Costa</t>
  </si>
  <si>
    <t>5185 4460 8124 4130</t>
  </si>
  <si>
    <t>914</t>
  </si>
  <si>
    <t>42681570697</t>
  </si>
  <si>
    <t>Felix Weber</t>
  </si>
  <si>
    <t>6062 8200 2382 2068</t>
  </si>
  <si>
    <t>44444444444</t>
  </si>
  <si>
    <t>Fernanda Lima</t>
  </si>
  <si>
    <t>5442 7460 6411 5291</t>
  </si>
  <si>
    <t>444</t>
  </si>
  <si>
    <t>82676153420</t>
  </si>
  <si>
    <t>Firmin Renard</t>
  </si>
  <si>
    <t>5185 4460 3568 4779</t>
  </si>
  <si>
    <t>420</t>
  </si>
  <si>
    <t>24662236606</t>
  </si>
  <si>
    <t>Flavien Rodriguez</t>
  </si>
  <si>
    <t>5442 7460 4563 6437</t>
  </si>
  <si>
    <t>606</t>
  </si>
  <si>
    <t>16266323249</t>
  </si>
  <si>
    <t>Flore Schmitt</t>
  </si>
  <si>
    <t>5442 7460 9163 1125</t>
  </si>
  <si>
    <t>249</t>
  </si>
  <si>
    <t>37810513150</t>
  </si>
  <si>
    <t>Florie Fontaine</t>
  </si>
  <si>
    <t>5442 7460 7963 5511</t>
  </si>
  <si>
    <t>150</t>
  </si>
  <si>
    <t>19231521659</t>
  </si>
  <si>
    <t>Gabriel Vinicius Souza</t>
  </si>
  <si>
    <t>5067 1146 6189 842</t>
  </si>
  <si>
    <t>08813546270</t>
  </si>
  <si>
    <t>5373 6360 2204 3292</t>
  </si>
  <si>
    <t>270</t>
  </si>
  <si>
    <t>74929424194</t>
  </si>
  <si>
    <t>Giulia Russo</t>
  </si>
  <si>
    <t>4576 7460 6011 1623</t>
  </si>
  <si>
    <t>07154153601</t>
  </si>
  <si>
    <t>Goncalo Santos</t>
  </si>
  <si>
    <t>6062 8200 9467 2268</t>
  </si>
  <si>
    <t>05458223608</t>
  </si>
  <si>
    <t>Gustave Jacquet</t>
  </si>
  <si>
    <t>5442 7460 1587 4139</t>
  </si>
  <si>
    <t>608</t>
  </si>
  <si>
    <t>47783749321</t>
  </si>
  <si>
    <t>Haewon Jung</t>
  </si>
  <si>
    <t>5442 7460 2604 6712</t>
  </si>
  <si>
    <t>93544490340</t>
  </si>
  <si>
    <t>6505 0666 1667 2851</t>
  </si>
  <si>
    <t>88652173320</t>
  </si>
  <si>
    <t>Hanako Watanabe</t>
  </si>
  <si>
    <t>4576 7460 7004 9583</t>
  </si>
  <si>
    <t>76782744325</t>
  </si>
  <si>
    <t>4576 7460 3895 6613</t>
  </si>
  <si>
    <t>95167270006</t>
  </si>
  <si>
    <t>Hannah Fischer</t>
  </si>
  <si>
    <t>5442 7460 5925 5475</t>
  </si>
  <si>
    <t>88312964185</t>
  </si>
  <si>
    <t>4576 7460 2950 2106</t>
  </si>
  <si>
    <t>81722521295</t>
  </si>
  <si>
    <t>Hector Paris</t>
  </si>
  <si>
    <t>5442 7460 9108 3526</t>
  </si>
  <si>
    <t>295</t>
  </si>
  <si>
    <t>3400 800082 82627</t>
  </si>
  <si>
    <t>465</t>
  </si>
  <si>
    <t>15879566323</t>
  </si>
  <si>
    <t>Helena Saraiva</t>
  </si>
  <si>
    <t>5442 7460 6349 9696</t>
  </si>
  <si>
    <t>323</t>
  </si>
  <si>
    <t>37877781016</t>
  </si>
  <si>
    <t>Helio Reis</t>
  </si>
  <si>
    <t>5442 7460 0099 4593</t>
  </si>
  <si>
    <t>016</t>
  </si>
  <si>
    <t>01424679958</t>
  </si>
  <si>
    <t>Henrique Moraes</t>
  </si>
  <si>
    <t>5373 6360 3167 0911</t>
  </si>
  <si>
    <t>87588846615</t>
  </si>
  <si>
    <t>Hermine Duval</t>
  </si>
  <si>
    <t>5442 7460 2039 8322</t>
  </si>
  <si>
    <t>85764469015</t>
  </si>
  <si>
    <t>Hilaire Breton</t>
  </si>
  <si>
    <t>5373 6360 4219 1477</t>
  </si>
  <si>
    <t>015</t>
  </si>
  <si>
    <t>73857513853</t>
  </si>
  <si>
    <t>Ines Oliveira</t>
  </si>
  <si>
    <t>4576 7460 6790 3682</t>
  </si>
  <si>
    <t>19983621512</t>
  </si>
  <si>
    <t>Integration Test User</t>
  </si>
  <si>
    <t>5981 0121 1654 6893</t>
  </si>
  <si>
    <t>512</t>
  </si>
  <si>
    <t>88888888888</t>
  </si>
  <si>
    <t>5442 7460 9459 2389</t>
  </si>
  <si>
    <t>888</t>
  </si>
  <si>
    <t>57673944623</t>
  </si>
  <si>
    <t>Ira Morar</t>
  </si>
  <si>
    <t>5442 7460 5075 1068</t>
  </si>
  <si>
    <t>623</t>
  </si>
  <si>
    <t>85900332608</t>
  </si>
  <si>
    <t>Isaac Albuquerque</t>
  </si>
  <si>
    <t>5442 7460 7587 3581</t>
  </si>
  <si>
    <t>75775457404</t>
  </si>
  <si>
    <t>Isabela Rocha Carvalho</t>
  </si>
  <si>
    <t>5442 7460 5652 9579</t>
  </si>
  <si>
    <t>404</t>
  </si>
  <si>
    <t>89602248718</t>
  </si>
  <si>
    <t>Isabel Silva</t>
  </si>
  <si>
    <t>5364 2660 8793 9167</t>
  </si>
  <si>
    <t>718</t>
  </si>
  <si>
    <t>6370 9500 4517 7859</t>
  </si>
  <si>
    <t>438</t>
  </si>
  <si>
    <t>26775244657</t>
  </si>
  <si>
    <t>Isidore Morin</t>
  </si>
  <si>
    <t>5442 7460 9242 0200</t>
  </si>
  <si>
    <t>657</t>
  </si>
  <si>
    <t>42755630345</t>
  </si>
  <si>
    <t>Isis Silva</t>
  </si>
  <si>
    <t>5185 4460 0402 8636</t>
  </si>
  <si>
    <t>345</t>
  </si>
  <si>
    <t>26986473966</t>
  </si>
  <si>
    <t>Jacinthe Vidal</t>
  </si>
  <si>
    <t>5442 7460 8748 9625</t>
  </si>
  <si>
    <t>966</t>
  </si>
  <si>
    <t>26700822386</t>
  </si>
  <si>
    <t>Jean Dupont</t>
  </si>
  <si>
    <t>6062 8200 5369 4904</t>
  </si>
  <si>
    <t>67010691002</t>
  </si>
  <si>
    <t>6505 0666 7155 5022</t>
  </si>
  <si>
    <t>77551164685</t>
  </si>
  <si>
    <t>Jeannel Aubry</t>
  </si>
  <si>
    <t>5442 7460 1068 2788</t>
  </si>
  <si>
    <t>685</t>
  </si>
  <si>
    <t>45447544025</t>
  </si>
  <si>
    <t>Jian Liu</t>
  </si>
  <si>
    <t>6505 0666 6165 7964</t>
  </si>
  <si>
    <t>41750109719</t>
  </si>
  <si>
    <t>Jiwoo Park</t>
  </si>
  <si>
    <t>5442 7460 4468 2208</t>
  </si>
  <si>
    <t>15980864210</t>
  </si>
  <si>
    <t>Joao Lucas Santos</t>
  </si>
  <si>
    <t>5185 4460 5023 3908</t>
  </si>
  <si>
    <t>210</t>
  </si>
  <si>
    <t>54451216311</t>
  </si>
  <si>
    <t>Joao Miguel Franco</t>
  </si>
  <si>
    <t>5364 2660 0630 5144</t>
  </si>
  <si>
    <t>311</t>
  </si>
  <si>
    <t>18956389652</t>
  </si>
  <si>
    <t>5442 7460 8520 0590</t>
  </si>
  <si>
    <t>652</t>
  </si>
  <si>
    <t>01086796160</t>
  </si>
  <si>
    <t>Joao Pedro Silva</t>
  </si>
  <si>
    <t>3782 810474 1016</t>
  </si>
  <si>
    <t>18642038977</t>
  </si>
  <si>
    <t>Joaquin Gonzalez</t>
  </si>
  <si>
    <t>5442 7460 2626 2988</t>
  </si>
  <si>
    <t>30423481053</t>
  </si>
  <si>
    <t>6062 8200 2812 3053</t>
  </si>
  <si>
    <t>20092389589</t>
  </si>
  <si>
    <t>Joon Jeong</t>
  </si>
  <si>
    <t>44</t>
  </si>
  <si>
    <t>6062 8200 7026 8413</t>
  </si>
  <si>
    <t>73129536620</t>
  </si>
  <si>
    <t>Juliana Lima Rezende</t>
  </si>
  <si>
    <t>4576 7460 1295 1259</t>
  </si>
  <si>
    <t>4576 7460 1411 7539</t>
  </si>
  <si>
    <t>762</t>
  </si>
  <si>
    <t>65487063583</t>
  </si>
  <si>
    <t>Julio Xavier</t>
  </si>
  <si>
    <t>5373 6360 1646 7101</t>
  </si>
  <si>
    <t>583</t>
  </si>
  <si>
    <t>20250513611</t>
  </si>
  <si>
    <t>Karla Melo</t>
  </si>
  <si>
    <t>5442 7460 6785 5678</t>
  </si>
  <si>
    <t>611</t>
  </si>
  <si>
    <t>92957697327</t>
  </si>
  <si>
    <t>Kenji Sato</t>
  </si>
  <si>
    <t>6505 0666 1952 5435</t>
  </si>
  <si>
    <t>16618184630</t>
  </si>
  <si>
    <t>6062 8200 1410 7804</t>
  </si>
  <si>
    <t>68737946439</t>
  </si>
  <si>
    <t>Khalid Al-Zahrani</t>
  </si>
  <si>
    <t>3782 490279 9866</t>
  </si>
  <si>
    <t>87300736009</t>
  </si>
  <si>
    <t>6062 8200 8940 1249</t>
  </si>
  <si>
    <t>24930613945</t>
  </si>
  <si>
    <t>Lane Larkin</t>
  </si>
  <si>
    <t>5442 7460 3631 2648</t>
  </si>
  <si>
    <t>945</t>
  </si>
  <si>
    <t>99721176699</t>
  </si>
  <si>
    <t>Laura Oliveira</t>
  </si>
  <si>
    <t>5442 7460 7842 0893</t>
  </si>
  <si>
    <t>699</t>
  </si>
  <si>
    <t>92454501635</t>
  </si>
  <si>
    <t>Laurine Maillard</t>
  </si>
  <si>
    <t>5442 7460 4528 6363</t>
  </si>
  <si>
    <t>635</t>
  </si>
  <si>
    <t>87111008855</t>
  </si>
  <si>
    <t>Lei Chen</t>
  </si>
  <si>
    <t>5442 7460 9738 1287</t>
  </si>
  <si>
    <t>09636364990</t>
  </si>
  <si>
    <t>3782 153566 5282</t>
  </si>
  <si>
    <t>89287038082</t>
  </si>
  <si>
    <t>Leonardo Bianchi</t>
  </si>
  <si>
    <t>5442 7460 4389 5317</t>
  </si>
  <si>
    <t>43128363455</t>
  </si>
  <si>
    <t>Leonardo Braga</t>
  </si>
  <si>
    <t>5185 4460 7495 1691</t>
  </si>
  <si>
    <t>455</t>
  </si>
  <si>
    <t>23915031801</t>
  </si>
  <si>
    <t>Liz Batista</t>
  </si>
  <si>
    <t>5364 2660 3743 2404</t>
  </si>
  <si>
    <t>801</t>
  </si>
  <si>
    <t>68141495240</t>
  </si>
  <si>
    <t>Lucas Gabriel Ferreira</t>
  </si>
  <si>
    <t>6505 0666 1745 4082</t>
  </si>
  <si>
    <t>00238338827</t>
  </si>
  <si>
    <t>3782 493613 7137</t>
  </si>
  <si>
    <t>80535757654</t>
  </si>
  <si>
    <t>Lucas Laurent</t>
  </si>
  <si>
    <t>6062 8200 7609 3088</t>
  </si>
  <si>
    <t>27146712338</t>
  </si>
  <si>
    <t>Lucas Oliveira</t>
  </si>
  <si>
    <t>5442 7460 0832 9024</t>
  </si>
  <si>
    <t>338</t>
  </si>
  <si>
    <t>73511641500</t>
  </si>
  <si>
    <t>Lucca Macedo</t>
  </si>
  <si>
    <t>5185 4460 2551 9506</t>
  </si>
  <si>
    <t>500</t>
  </si>
  <si>
    <t>84688882300</t>
  </si>
  <si>
    <t>Lucca Martins</t>
  </si>
  <si>
    <t>5442 7460 0195 2657</t>
  </si>
  <si>
    <t>300</t>
  </si>
  <si>
    <t>17058588562</t>
  </si>
  <si>
    <t>Lukas Schneider</t>
  </si>
  <si>
    <t>6062 8200 3014 7312</t>
  </si>
  <si>
    <t>13912221138</t>
  </si>
  <si>
    <t>3782 760745 3409</t>
  </si>
  <si>
    <t>81123471746</t>
  </si>
  <si>
    <t>Marcela Moreira</t>
  </si>
  <si>
    <t>5364 2660 6467 4217</t>
  </si>
  <si>
    <t>746</t>
  </si>
  <si>
    <t>57137689370</t>
  </si>
  <si>
    <t>Marcela Xavier</t>
  </si>
  <si>
    <t>5185 4460 5982 5787</t>
  </si>
  <si>
    <t>84823321987</t>
  </si>
  <si>
    <t>Marcel Breton</t>
  </si>
  <si>
    <t>5442 7460 1766 7750</t>
  </si>
  <si>
    <t>987</t>
  </si>
  <si>
    <t>4766 0760 5262 6492</t>
  </si>
  <si>
    <t>63566545708</t>
  </si>
  <si>
    <t>Marcia Santos</t>
  </si>
  <si>
    <t>5364 2660 5531 3197</t>
  </si>
  <si>
    <t>708</t>
  </si>
  <si>
    <t>93784945015</t>
  </si>
  <si>
    <t>Margarida Martins</t>
  </si>
  <si>
    <t>5442 7460 5748 2658</t>
  </si>
  <si>
    <t>12902848900</t>
  </si>
  <si>
    <t>Mariana Costa Silva</t>
  </si>
  <si>
    <t>4576 7460 6419 0687</t>
  </si>
  <si>
    <t>28177566814</t>
  </si>
  <si>
    <t>3782 155660 6516</t>
  </si>
  <si>
    <t>98362511206</t>
  </si>
  <si>
    <t>Maria Santos</t>
  </si>
  <si>
    <t>5364 2660 1540 4490</t>
  </si>
  <si>
    <t>206</t>
  </si>
  <si>
    <t>92226402250</t>
  </si>
  <si>
    <t>Marina Carvalho</t>
  </si>
  <si>
    <t>5364 2660 1905 5884</t>
  </si>
  <si>
    <t>250</t>
  </si>
  <si>
    <t>80417045181</t>
  </si>
  <si>
    <t>Marli Carvalho</t>
  </si>
  <si>
    <t>5442 7460 5473 5974</t>
  </si>
  <si>
    <t>181</t>
  </si>
  <si>
    <t>02915062919</t>
  </si>
  <si>
    <t>Martim Costa</t>
  </si>
  <si>
    <t>6505 0666 7166 3754</t>
  </si>
  <si>
    <t>72856446096</t>
  </si>
  <si>
    <t>Marvin Dietrich</t>
  </si>
  <si>
    <t>5442 7460 1716 7924</t>
  </si>
  <si>
    <t>096</t>
  </si>
  <si>
    <t>88877766655</t>
  </si>
  <si>
    <t>Massa Teste DB Real</t>
  </si>
  <si>
    <t>5442 7460 5720 1203</t>
  </si>
  <si>
    <t>655</t>
  </si>
  <si>
    <t>38160081359</t>
  </si>
  <si>
    <t>Mateo Fernandez</t>
  </si>
  <si>
    <t>6062 8200 6029 3753</t>
  </si>
  <si>
    <t>88339779788</t>
  </si>
  <si>
    <t>Mathilde Le gall</t>
  </si>
  <si>
    <t>5442 7460 7512 2955</t>
  </si>
  <si>
    <t>788</t>
  </si>
  <si>
    <t>23626419533</t>
  </si>
  <si>
    <t>Matteo Rossi</t>
  </si>
  <si>
    <t>5442 7460 2709 5864</t>
  </si>
  <si>
    <t>34715548313</t>
  </si>
  <si>
    <t>Maurice Meyer</t>
  </si>
  <si>
    <t>5442 7460 5940 3931</t>
  </si>
  <si>
    <t>313</t>
  </si>
  <si>
    <t>74478435715</t>
  </si>
  <si>
    <t>Maximilian Mueller</t>
  </si>
  <si>
    <t>6505 0666 6916 0630</t>
  </si>
  <si>
    <t>24369438004</t>
  </si>
  <si>
    <t>6062 8200 7915 2689</t>
  </si>
  <si>
    <t>40207277168</t>
  </si>
  <si>
    <t>Mercia Oliveira</t>
  </si>
  <si>
    <t>5185 4460 6676 7873</t>
  </si>
  <si>
    <t>168</t>
  </si>
  <si>
    <t>34310951783</t>
  </si>
  <si>
    <t>Michael David Williams</t>
  </si>
  <si>
    <t>6062 8200 9426 0604</t>
  </si>
  <si>
    <t>47591910388</t>
  </si>
  <si>
    <t>5442 7460 3483 8572</t>
  </si>
  <si>
    <t>92808200609</t>
  </si>
  <si>
    <t>Ming Zhang</t>
  </si>
  <si>
    <t>5442 7460 7882 7909</t>
  </si>
  <si>
    <t>50058578501</t>
  </si>
  <si>
    <t>Minjun Kim</t>
  </si>
  <si>
    <t>6062 8200 3229 1653</t>
  </si>
  <si>
    <t>37107075012</t>
  </si>
  <si>
    <t>6505 0666 2639 6273</t>
  </si>
  <si>
    <t>16165143539</t>
  </si>
  <si>
    <t>5442 7460 5909 1739</t>
  </si>
  <si>
    <t>539</t>
  </si>
  <si>
    <t>4576 7460 3018 3424</t>
  </si>
  <si>
    <t>814</t>
  </si>
  <si>
    <t>58628880208</t>
  </si>
  <si>
    <t>Morgan Poirier</t>
  </si>
  <si>
    <t>5442 7460 3696 2770</t>
  </si>
  <si>
    <t>208</t>
  </si>
  <si>
    <t>93852856961</t>
  </si>
  <si>
    <t>5442 7460 1816 6483</t>
  </si>
  <si>
    <t>961</t>
  </si>
  <si>
    <t>77529588591</t>
  </si>
  <si>
    <t>Nathalie Fournier</t>
  </si>
  <si>
    <t>5442 7460 9991 0293</t>
  </si>
  <si>
    <t>591</t>
  </si>
  <si>
    <t>77485258974</t>
  </si>
  <si>
    <t>Nicolas Reis</t>
  </si>
  <si>
    <t>5185 4460 3712 0103</t>
  </si>
  <si>
    <t>974</t>
  </si>
  <si>
    <t>98215828507</t>
  </si>
  <si>
    <t>Noura Al-Saud</t>
  </si>
  <si>
    <t>4576 7460 9102 4721</t>
  </si>
  <si>
    <t>72314189884</t>
  </si>
  <si>
    <t>5442 7460 6181 5967</t>
  </si>
  <si>
    <t>3787 800063 66588</t>
  </si>
  <si>
    <t>626</t>
  </si>
  <si>
    <t>32749568803</t>
  </si>
  <si>
    <t>Odile Bernard</t>
  </si>
  <si>
    <t>5373 6360 4888 5791</t>
  </si>
  <si>
    <t>803</t>
  </si>
  <si>
    <t>17334727380</t>
  </si>
  <si>
    <t>Odile Meunier</t>
  </si>
  <si>
    <t>5442 7460 6457 6600</t>
  </si>
  <si>
    <t>380</t>
  </si>
  <si>
    <t>65921979198</t>
  </si>
  <si>
    <t>Olivia Elizabeth Davis</t>
  </si>
  <si>
    <t>3782 964484 9713</t>
  </si>
  <si>
    <t>48431018434</t>
  </si>
  <si>
    <t>Opal King</t>
  </si>
  <si>
    <t>5442 7460 2097 3752</t>
  </si>
  <si>
    <t>434</t>
  </si>
  <si>
    <t>81698023189</t>
  </si>
  <si>
    <t>Oury Roche</t>
  </si>
  <si>
    <t>5442 7460 6843 4377</t>
  </si>
  <si>
    <t>33522298364</t>
  </si>
  <si>
    <t>Paula Barros</t>
  </si>
  <si>
    <t>5442 7460 8142 6976</t>
  </si>
  <si>
    <t>364</t>
  </si>
  <si>
    <t>61369613180</t>
  </si>
  <si>
    <t>Paulette Jean</t>
  </si>
  <si>
    <t>5442 7460 5165 4834</t>
  </si>
  <si>
    <t>180</t>
  </si>
  <si>
    <t>5442 7460 9732 0132</t>
  </si>
  <si>
    <t>585</t>
  </si>
  <si>
    <t>28832869497</t>
  </si>
  <si>
    <t>5442 7460 8592 9077</t>
  </si>
  <si>
    <t>497</t>
  </si>
  <si>
    <t>24719788947</t>
  </si>
  <si>
    <t>5442 7460 6080 0554</t>
  </si>
  <si>
    <t>947</t>
  </si>
  <si>
    <t>35417211460</t>
  </si>
  <si>
    <t>Pierre Bernard</t>
  </si>
  <si>
    <t>5442 7460 6905 0790</t>
  </si>
  <si>
    <t>95970102598</t>
  </si>
  <si>
    <t>Pietro Carvalho</t>
  </si>
  <si>
    <t>5373 6360 2570 9865</t>
  </si>
  <si>
    <t>598</t>
  </si>
  <si>
    <t>67154864257</t>
  </si>
  <si>
    <t>Prosper Julien</t>
  </si>
  <si>
    <t>5442 7460 3333 2884</t>
  </si>
  <si>
    <t>257</t>
  </si>
  <si>
    <t>27788134384</t>
  </si>
  <si>
    <t>Rafaela Nogueira</t>
  </si>
  <si>
    <t>5185 4460 1236 3660</t>
  </si>
  <si>
    <t>384</t>
  </si>
  <si>
    <t>42975897884</t>
  </si>
  <si>
    <t>Rafael Moreira</t>
  </si>
  <si>
    <t>5442 7460 6663 2979</t>
  </si>
  <si>
    <t>92134441682</t>
  </si>
  <si>
    <t>Rafael Nogueira</t>
  </si>
  <si>
    <t>5442 7460 0100 0259</t>
  </si>
  <si>
    <t>682</t>
  </si>
  <si>
    <t>6505 0666 4090 4551</t>
  </si>
  <si>
    <t>783</t>
  </si>
  <si>
    <t>76726514039</t>
  </si>
  <si>
    <t>Rafael Xavier</t>
  </si>
  <si>
    <t>5442 7460 2091 1845</t>
  </si>
  <si>
    <t>039</t>
  </si>
  <si>
    <t>76671725950</t>
  </si>
  <si>
    <t>Raymonde Bernard</t>
  </si>
  <si>
    <t>5442 7460 6274 1188</t>
  </si>
  <si>
    <t>950</t>
  </si>
  <si>
    <t>51243235758</t>
  </si>
  <si>
    <t>Rebeca Moreira</t>
  </si>
  <si>
    <t>5442 7460 9444 2887</t>
  </si>
  <si>
    <t>758</t>
  </si>
  <si>
    <t>27888186700</t>
  </si>
  <si>
    <t>5442 7460 2688 1150</t>
  </si>
  <si>
    <t>700</t>
  </si>
  <si>
    <t>80665429410</t>
  </si>
  <si>
    <t>Ren Ito</t>
  </si>
  <si>
    <t>3782 910865 8932</t>
  </si>
  <si>
    <t>41649264658</t>
  </si>
  <si>
    <t>6505 0666 7023 0156</t>
  </si>
  <si>
    <t>78475680046</t>
  </si>
  <si>
    <t>Rodrigo Mendes Oliveira</t>
  </si>
  <si>
    <t>5442 7460 6201 6839</t>
  </si>
  <si>
    <t>42074143630</t>
  </si>
  <si>
    <t>Roselin Arnaud</t>
  </si>
  <si>
    <t>5364 2660 9470 1600</t>
  </si>
  <si>
    <t>630</t>
  </si>
  <si>
    <t>4203 1060 1720 4159</t>
  </si>
  <si>
    <t>805</t>
  </si>
  <si>
    <t>6505 0666 7940 5736</t>
  </si>
  <si>
    <t>687</t>
  </si>
  <si>
    <t>43316626409</t>
  </si>
  <si>
    <t>Samuel Carvalho</t>
  </si>
  <si>
    <t>5442 7460 3547 2177</t>
  </si>
  <si>
    <t>409</t>
  </si>
  <si>
    <t>11879646706</t>
  </si>
  <si>
    <t>Santiago Gomez</t>
  </si>
  <si>
    <t>6505 0666 7565 3509</t>
  </si>
  <si>
    <t>6062 8200 7050 9297</t>
  </si>
  <si>
    <t>897</t>
  </si>
  <si>
    <t>08025476561</t>
  </si>
  <si>
    <t>Seoyun Lee</t>
  </si>
  <si>
    <t>3782 532467 8360</t>
  </si>
  <si>
    <t>82474679928</t>
  </si>
  <si>
    <t>Sofia Esposito</t>
  </si>
  <si>
    <t>6062 8200 2915 7609</t>
  </si>
  <si>
    <t>16180339887</t>
  </si>
  <si>
    <t>Solda Final Teste</t>
  </si>
  <si>
    <t>3782 971602 1482</t>
  </si>
  <si>
    <t>27182818284</t>
  </si>
  <si>
    <t>Sonda Evento Bus</t>
  </si>
  <si>
    <t>6505 0666 7067 1211</t>
  </si>
  <si>
    <t>49768246758</t>
  </si>
  <si>
    <t>Sophia Grace Brown</t>
  </si>
  <si>
    <t>6062 8200 6757 6160</t>
  </si>
  <si>
    <t>66069157834</t>
  </si>
  <si>
    <t>Sophia Macedo</t>
  </si>
  <si>
    <t>5373 6360 0487 1231</t>
  </si>
  <si>
    <t>834</t>
  </si>
  <si>
    <t>15803041416</t>
  </si>
  <si>
    <t>Sophie Schmidt</t>
  </si>
  <si>
    <t>6062 8200 8153 1556</t>
  </si>
  <si>
    <t>03665706173</t>
  </si>
  <si>
    <t>Suelen Oliveira</t>
  </si>
  <si>
    <t>5185 4460 5544 6257</t>
  </si>
  <si>
    <t>173</t>
  </si>
  <si>
    <t>59127562468</t>
  </si>
  <si>
    <t>Tariq Al-Mansoor</t>
  </si>
  <si>
    <t>5442 7460 9214 5172</t>
  </si>
  <si>
    <t>12558823280</t>
  </si>
  <si>
    <t>4576 7460 7292 2294</t>
  </si>
  <si>
    <t>51742065392</t>
  </si>
  <si>
    <t>Taro Tanaka</t>
  </si>
  <si>
    <t>4576 7460 9383 4990</t>
  </si>
  <si>
    <t>6505 1960 7465 5476</t>
  </si>
  <si>
    <t>205</t>
  </si>
  <si>
    <t>31415926535</t>
  </si>
  <si>
    <t>Teste Solda Evento</t>
  </si>
  <si>
    <t>4576 7460 8954 9038</t>
  </si>
  <si>
    <t>88888888889</t>
  </si>
  <si>
    <t>teste teste</t>
  </si>
  <si>
    <t>5442 7460 6181 1207</t>
  </si>
  <si>
    <t>889</t>
  </si>
  <si>
    <t>12345678901</t>
  </si>
  <si>
    <t>Test User</t>
  </si>
  <si>
    <t>6505 2260 9151 8876</t>
  </si>
  <si>
    <t>901</t>
  </si>
  <si>
    <t>77777777777</t>
  </si>
  <si>
    <t>5442 7460 6378 1888</t>
  </si>
  <si>
    <t>12345678909</t>
  </si>
  <si>
    <t>5442 7460 0887 2353</t>
  </si>
  <si>
    <t>909</t>
  </si>
  <si>
    <t>98765432100</t>
  </si>
  <si>
    <t>User Teste</t>
  </si>
  <si>
    <t>5442 7460 8915 7058</t>
  </si>
  <si>
    <t>100</t>
  </si>
  <si>
    <t>46945365409</t>
  </si>
  <si>
    <t>Valentina Rodriguez</t>
  </si>
  <si>
    <t>4576 7460 2148 2328</t>
  </si>
  <si>
    <t>23201979902</t>
  </si>
  <si>
    <t>Vitor Albuquerque</t>
  </si>
  <si>
    <t>5442 7460 2829 3788</t>
  </si>
  <si>
    <t>902</t>
  </si>
  <si>
    <t>6062 8200 3828 9636</t>
  </si>
  <si>
    <t>590</t>
  </si>
  <si>
    <t>84585226834</t>
  </si>
  <si>
    <t>Wei Li</t>
  </si>
  <si>
    <t>6062 8200 1482 6074</t>
  </si>
  <si>
    <t>29910306743</t>
  </si>
  <si>
    <t>William Robert Miller</t>
  </si>
  <si>
    <t>6505 0666 6048 3970</t>
  </si>
  <si>
    <t>30857462261</t>
  </si>
  <si>
    <t>3782 307314 7663</t>
  </si>
  <si>
    <t>64332859618</t>
  </si>
  <si>
    <t>Xavier Thomas</t>
  </si>
  <si>
    <t>5442 7460 5170 1435</t>
  </si>
  <si>
    <t>96873928860</t>
  </si>
  <si>
    <t>Xiu Ying Wang</t>
  </si>
  <si>
    <t>4576 7460 4070 1907</t>
  </si>
  <si>
    <t>77751515015</t>
  </si>
  <si>
    <t>Yan Yang</t>
  </si>
  <si>
    <t>3782 111460 0263</t>
  </si>
  <si>
    <t>12923841310</t>
  </si>
  <si>
    <t>Youssef Al-Otaibi</t>
  </si>
  <si>
    <t>4576 7460 4366 5432</t>
  </si>
  <si>
    <t>11004395108</t>
  </si>
  <si>
    <t>3782 392688 5764</t>
  </si>
  <si>
    <t>77148062578</t>
  </si>
  <si>
    <t>Yuki Takahashi</t>
  </si>
  <si>
    <t>6062 8200 9857 5516</t>
  </si>
  <si>
    <t>CT02.1</t>
  </si>
  <si>
    <t>Enviar Pix por CPF e validar comprovante no extrato</t>
  </si>
  <si>
    <t>pix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</si>
  <si>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</si>
  <si>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</si>
  <si>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</si>
  <si>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</si>
  <si>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</si>
  <si>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</si>
  <si>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</si>
  <si>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</si>
  <si>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</si>
  <si>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</si>
  <si>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</si>
  <si>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</si>
  <si>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</si>
  <si>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</si>
  <si>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</si>
  <si>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</si>
  <si>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</si>
  <si>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</si>
  <si>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</si>
  <si>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</si>
  <si>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</si>
  <si>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</si>
  <si>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</si>
  <si>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</si>
  <si>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</si>
  <si>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</si>
  <si>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</si>
  <si>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</si>
  <si>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</si>
  <si>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</si>
  <si>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</si>
  <si>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</si>
  <si>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</si>
  <si>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</si>
  <si>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</si>
  <si>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</si>
  <si>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</si>
  <si>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</si>
  <si>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</si>
  <si>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</si>
  <si>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</si>
  <si>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</si>
  <si>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</si>
  <si>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</si>
  <si>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</si>
  <si>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</si>
  <si>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</si>
  <si>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</si>
  <si>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</si>
  <si>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</si>
  <si>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</si>
  <si>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</si>
  <si>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</si>
  <si>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</si>
  <si>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</si>
  <si>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</si>
  <si>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</si>
  <si>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</si>
  <si>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</si>
  <si>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</si>
  <si>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</si>
  <si>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</si>
  <si>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</si>
  <si>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</si>
  <si>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</si>
  <si>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</si>
  <si>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</si>
  <si>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</si>
  <si>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</si>
  <si>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</si>
  <si>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</si>
  <si>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</si>
  <si>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</si>
  <si>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</si>
  <si>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</si>
  <si>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</si>
  <si>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</si>
  <si>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</si>
  <si>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</si>
  <si>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</si>
  <si>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</si>
  <si>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</si>
  <si>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</si>
  <si>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</si>
  <si>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</si>
  <si>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</si>
  <si>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</si>
  <si>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</si>
  <si>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</si>
  <si>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</si>
  <si>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</si>
  <si>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</si>
  <si>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</si>
  <si>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</si>
  <si>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</si>
  <si>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</si>
  <si>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</si>
  <si>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</si>
  <si>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</si>
  <si>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</si>
  <si>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</si>
  <si>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0201</t>
  </si>
  <si>
    <t>0202</t>
  </si>
  <si>
    <t>0203</t>
  </si>
  <si>
    <t>0204</t>
  </si>
  <si>
    <t>0205</t>
  </si>
  <si>
    <t>0206</t>
  </si>
  <si>
    <t>0207</t>
  </si>
  <si>
    <t>0208</t>
  </si>
  <si>
    <t>0209</t>
  </si>
  <si>
    <t>0210</t>
  </si>
  <si>
    <t>0211</t>
  </si>
  <si>
    <t>0212</t>
  </si>
  <si>
    <t>0213</t>
  </si>
  <si>
    <t>0214</t>
  </si>
  <si>
    <t>0215</t>
  </si>
  <si>
    <t>0216</t>
  </si>
  <si>
    <t>0217</t>
  </si>
  <si>
    <t>0218</t>
  </si>
  <si>
    <t>0219</t>
  </si>
  <si>
    <t>0220</t>
  </si>
  <si>
    <t>0221</t>
  </si>
  <si>
    <t>ID_USUARIO</t>
  </si>
  <si>
    <t>CHAVE_ALEATORIA</t>
  </si>
  <si>
    <t xml:space="preserve">VALOR </t>
  </si>
  <si>
    <t>CARACTERISTICAS</t>
  </si>
  <si>
    <t>SALDO</t>
  </si>
  <si>
    <t>OBSERVACAO</t>
  </si>
  <si>
    <t>Receber PIX</t>
  </si>
  <si>
    <t>Valor PIX</t>
  </si>
  <si>
    <t>Nome Completo</t>
  </si>
  <si>
    <t>0016</t>
  </si>
  <si>
    <t>0018</t>
  </si>
  <si>
    <t>0019</t>
  </si>
  <si>
    <t>0020</t>
  </si>
  <si>
    <t>0021</t>
  </si>
  <si>
    <t>0022</t>
  </si>
  <si>
    <t>0023</t>
  </si>
  <si>
    <t>0024</t>
  </si>
  <si>
    <t>0026</t>
  </si>
  <si>
    <t>0027</t>
  </si>
  <si>
    <t>0028</t>
  </si>
  <si>
    <t>0029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</si>
  <si>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</si>
  <si>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</si>
  <si>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</si>
  <si>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</si>
  <si>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</si>
  <si>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</si>
  <si>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</si>
  <si>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</si>
  <si>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</si>
  <si>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</si>
  <si>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</si>
  <si>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</si>
  <si>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</si>
  <si>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</si>
  <si>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</si>
  <si>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</si>
  <si>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</si>
  <si>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</si>
  <si>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</si>
  <si>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</si>
  <si>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</si>
  <si>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</si>
  <si>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</si>
  <si>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</si>
  <si>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</si>
  <si>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</si>
  <si>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</si>
  <si>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</si>
  <si>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</si>
  <si>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</si>
  <si>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</si>
  <si>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</si>
  <si>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</si>
  <si>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</si>
  <si>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</si>
  <si>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</si>
  <si>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</si>
  <si>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</si>
  <si>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</si>
  <si>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</si>
  <si>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</si>
  <si>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</si>
  <si>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</si>
  <si>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</si>
  <si>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</si>
  <si>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</si>
  <si>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</si>
  <si>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</si>
  <si>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</si>
  <si>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</si>
  <si>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</si>
  <si>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</si>
  <si>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</si>
  <si>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</si>
  <si>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</si>
  <si>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</si>
  <si>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</si>
  <si>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</si>
  <si>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</si>
  <si>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</si>
  <si>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</si>
  <si>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</si>
  <si>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</si>
  <si>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</si>
  <si>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</si>
  <si>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</si>
  <si>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</si>
  <si>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</si>
  <si>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</si>
  <si>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CT02.2</t>
  </si>
  <si>
    <t>Bloquear envio de Pix quando o saldo é insuficiente</t>
  </si>
  <si>
    <t>11</t>
  </si>
  <si>
    <t>CT02.3</t>
  </si>
  <si>
    <t>Tentar enviar Pix sem saldo e validar o bloqueio da UI</t>
  </si>
  <si>
    <t>CT03.2</t>
  </si>
  <si>
    <t>CT03.3</t>
  </si>
  <si>
    <t>pagar Total + validar fatura fechada contra a massa ( valor_total )</t>
  </si>
  <si>
    <t>pagar Valor Personalizado</t>
  </si>
  <si>
    <t>fatura</t>
  </si>
  <si>
    <t>admin1000</t>
  </si>
  <si>
    <t>150.01</t>
  </si>
  <si>
    <t>admin1001</t>
  </si>
  <si>
    <t>150.02</t>
  </si>
  <si>
    <t>admin1002</t>
  </si>
  <si>
    <t>150.03</t>
  </si>
  <si>
    <t>PIN</t>
  </si>
  <si>
    <t>CARTÃO</t>
  </si>
  <si>
    <t>12</t>
  </si>
  <si>
    <t>13</t>
  </si>
  <si>
    <t>14</t>
  </si>
  <si>
    <t>admin1003</t>
  </si>
  <si>
    <t>admin1004</t>
  </si>
  <si>
    <t>admin1005</t>
  </si>
  <si>
    <t>admin1006</t>
  </si>
  <si>
    <t>admin1007</t>
  </si>
  <si>
    <t>admin1008</t>
  </si>
  <si>
    <t>admin1009</t>
  </si>
  <si>
    <t>admin1010</t>
  </si>
  <si>
    <t>admin1011</t>
  </si>
  <si>
    <t>admin1012</t>
  </si>
  <si>
    <t>admin1013</t>
  </si>
  <si>
    <t>admin1014</t>
  </si>
  <si>
    <t>admin1015</t>
  </si>
  <si>
    <t>admin1016</t>
  </si>
  <si>
    <t>admin1017</t>
  </si>
  <si>
    <t>admin1018</t>
  </si>
  <si>
    <t>admin1019</t>
  </si>
  <si>
    <t>admin1020</t>
  </si>
  <si>
    <t>admin1021</t>
  </si>
  <si>
    <t>admin1022</t>
  </si>
  <si>
    <t>admin1023</t>
  </si>
  <si>
    <t>admin1024</t>
  </si>
  <si>
    <t>admin1025</t>
  </si>
  <si>
    <t>admin1026</t>
  </si>
  <si>
    <t>admin1027</t>
  </si>
  <si>
    <t>admin1028</t>
  </si>
  <si>
    <t>admin1029</t>
  </si>
  <si>
    <t>admin1030</t>
  </si>
  <si>
    <t>admin1031</t>
  </si>
  <si>
    <t>admin1032</t>
  </si>
  <si>
    <t>admin1033</t>
  </si>
  <si>
    <t>admin1034</t>
  </si>
  <si>
    <t>admin1035</t>
  </si>
  <si>
    <t>admin1036</t>
  </si>
  <si>
    <t>admin1037</t>
  </si>
  <si>
    <t>admin1038</t>
  </si>
  <si>
    <t>admin1039</t>
  </si>
  <si>
    <t>admin1040</t>
  </si>
  <si>
    <t>admin1041</t>
  </si>
  <si>
    <t>admin1042</t>
  </si>
  <si>
    <t>admin1043</t>
  </si>
  <si>
    <t>admin1044</t>
  </si>
  <si>
    <t>admin1045</t>
  </si>
  <si>
    <t>admin1046</t>
  </si>
  <si>
    <t>admin1047</t>
  </si>
  <si>
    <t>admin1048</t>
  </si>
  <si>
    <t>admin1049</t>
  </si>
  <si>
    <t>admin1050</t>
  </si>
  <si>
    <t>admin1051</t>
  </si>
  <si>
    <t>admin1052</t>
  </si>
  <si>
    <t>admin1053</t>
  </si>
  <si>
    <t>admin1054</t>
  </si>
  <si>
    <t>admin1055</t>
  </si>
  <si>
    <t>admin1056</t>
  </si>
  <si>
    <t>admin1057</t>
  </si>
  <si>
    <t>admin1058</t>
  </si>
  <si>
    <t>admin1059</t>
  </si>
  <si>
    <t>admin1060</t>
  </si>
  <si>
    <t>admin1061</t>
  </si>
  <si>
    <t>admin1062</t>
  </si>
  <si>
    <t>admin1063</t>
  </si>
  <si>
    <t>admin1064</t>
  </si>
  <si>
    <t>admin1065</t>
  </si>
  <si>
    <t>admin1066</t>
  </si>
  <si>
    <t>admin1067</t>
  </si>
  <si>
    <t>admin1068</t>
  </si>
  <si>
    <t>admin1069</t>
  </si>
  <si>
    <t>admin1070</t>
  </si>
  <si>
    <t>admin1071</t>
  </si>
  <si>
    <t>admin1072</t>
  </si>
  <si>
    <t>admin1073</t>
  </si>
  <si>
    <t>admin1074</t>
  </si>
  <si>
    <t>admin1075</t>
  </si>
  <si>
    <t>admin1076</t>
  </si>
  <si>
    <t>admin1077</t>
  </si>
  <si>
    <t>admin1078</t>
  </si>
  <si>
    <t>admin1079</t>
  </si>
  <si>
    <t>admin1080</t>
  </si>
  <si>
    <t>admin1081</t>
  </si>
  <si>
    <t>admin1082</t>
  </si>
  <si>
    <t>admin1083</t>
  </si>
  <si>
    <t>admin1084</t>
  </si>
  <si>
    <t>admin1085</t>
  </si>
  <si>
    <t>admin1086</t>
  </si>
  <si>
    <t>admin1087</t>
  </si>
  <si>
    <t>admin1088</t>
  </si>
  <si>
    <t>admin1089</t>
  </si>
  <si>
    <t>admin1090</t>
  </si>
  <si>
    <t>admin1091</t>
  </si>
  <si>
    <t>admin1092</t>
  </si>
  <si>
    <t>admin1093</t>
  </si>
  <si>
    <t>admin1094</t>
  </si>
  <si>
    <t>admin1095</t>
  </si>
  <si>
    <t>admin1096</t>
  </si>
  <si>
    <t>admin1097</t>
  </si>
  <si>
    <t>admin1098</t>
  </si>
  <si>
    <t>admin1099</t>
  </si>
  <si>
    <t>admin1100</t>
  </si>
  <si>
    <t>admin1101</t>
  </si>
  <si>
    <t>admin1102</t>
  </si>
  <si>
    <t>admin1103</t>
  </si>
  <si>
    <t>admin1104</t>
  </si>
  <si>
    <t>admin1105</t>
  </si>
  <si>
    <t>admin1106</t>
  </si>
  <si>
    <t>admin1107</t>
  </si>
  <si>
    <t>admin1108</t>
  </si>
  <si>
    <t>admin1109</t>
  </si>
  <si>
    <t>admin1110</t>
  </si>
  <si>
    <t>admin1111</t>
  </si>
  <si>
    <t>admin1112</t>
  </si>
  <si>
    <t>admin1113</t>
  </si>
  <si>
    <t>admin1114</t>
  </si>
  <si>
    <t>admin1115</t>
  </si>
  <si>
    <t>admin1116</t>
  </si>
  <si>
    <t>admin1117</t>
  </si>
  <si>
    <t>admin1118</t>
  </si>
  <si>
    <t>admin1119</t>
  </si>
  <si>
    <t>admin1120</t>
  </si>
  <si>
    <t>admin1121</t>
  </si>
  <si>
    <t>admin1122</t>
  </si>
  <si>
    <t>admin1123</t>
  </si>
  <si>
    <t>admin1124</t>
  </si>
  <si>
    <t>admin1125</t>
  </si>
  <si>
    <t>admin1126</t>
  </si>
  <si>
    <t>admin1127</t>
  </si>
  <si>
    <t>admin1128</t>
  </si>
  <si>
    <t>admin1129</t>
  </si>
  <si>
    <t>admin1130</t>
  </si>
  <si>
    <t>0222</t>
  </si>
  <si>
    <t>0223</t>
  </si>
  <si>
    <t>0224</t>
  </si>
  <si>
    <t>CT03.4</t>
  </si>
  <si>
    <t>CT03.5</t>
  </si>
  <si>
    <t>CT03.6</t>
  </si>
  <si>
    <t>CT03.7</t>
  </si>
  <si>
    <t>CT03.8</t>
  </si>
  <si>
    <t>FAT. PGTO MIN</t>
  </si>
  <si>
    <t>FAT. PGTO TOTAL</t>
  </si>
  <si>
    <t>C_0225</t>
  </si>
  <si>
    <t>id_massa</t>
  </si>
  <si>
    <t>dia_vencimento</t>
  </si>
  <si>
    <t>nome_completo</t>
  </si>
  <si>
    <t>status</t>
  </si>
  <si>
    <t>data_criação</t>
  </si>
  <si>
    <t>59</t>
  </si>
  <si>
    <t>inadimplente</t>
  </si>
  <si>
    <t>33</t>
  </si>
  <si>
    <t>Natália Moraes</t>
  </si>
  <si>
    <t>64</t>
  </si>
  <si>
    <t>adimplente</t>
  </si>
  <si>
    <t>Alícia Barros</t>
  </si>
  <si>
    <t>Elísio Souza</t>
  </si>
  <si>
    <t>César Braga</t>
  </si>
  <si>
    <t>João Miguel Silva</t>
  </si>
  <si>
    <t>Albéric Prevost</t>
  </si>
  <si>
    <t>René Gautier</t>
  </si>
  <si>
    <t>Émile Clement</t>
  </si>
  <si>
    <t>Moïsette Maillard</t>
  </si>
  <si>
    <t>Philothée Charles</t>
  </si>
  <si>
    <t>Philomène Fabre</t>
  </si>
  <si>
    <t>Albérade Chevalier</t>
  </si>
  <si>
    <t>18</t>
  </si>
  <si>
    <t>38</t>
  </si>
  <si>
    <t>23</t>
  </si>
  <si>
    <t>7</t>
  </si>
  <si>
    <t>28</t>
  </si>
  <si>
    <t>58</t>
  </si>
  <si>
    <t>55</t>
  </si>
  <si>
    <t>54</t>
  </si>
  <si>
    <t>2</t>
  </si>
  <si>
    <t>46</t>
  </si>
  <si>
    <t>29</t>
  </si>
  <si>
    <t>Gaëlle Joly</t>
  </si>
  <si>
    <t>Élzéar Marie</t>
  </si>
  <si>
    <t>0225</t>
  </si>
  <si>
    <t>0226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</si>
  <si>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</si>
  <si>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</si>
  <si>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</si>
  <si>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</si>
  <si>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</si>
  <si>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</si>
  <si>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</si>
  <si>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</si>
  <si>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</si>
  <si>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</si>
  <si>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</si>
  <si>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</si>
  <si>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</si>
  <si>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</si>
  <si>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</si>
  <si>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</si>
  <si>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</si>
  <si>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</si>
  <si>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</si>
  <si>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</si>
  <si>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</si>
  <si>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</si>
  <si>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</si>
  <si>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0250</t>
  </si>
  <si>
    <t>0251</t>
  </si>
  <si>
    <t>0252</t>
  </si>
  <si>
    <t>0253</t>
  </si>
  <si>
    <t>3714 800007 66662</t>
  </si>
  <si>
    <t>735</t>
  </si>
  <si>
    <t>0254</t>
  </si>
  <si>
    <t>5185 4460 6097 8021</t>
  </si>
  <si>
    <t>496</t>
  </si>
  <si>
    <t>0255</t>
  </si>
  <si>
    <t>0256</t>
  </si>
  <si>
    <t>0257</t>
  </si>
  <si>
    <t>70080586597</t>
  </si>
  <si>
    <t>Teste Verificacao Pin</t>
  </si>
  <si>
    <t>5442 7460 9819 2000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</si>
</sst>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FF0000"/>
      <name val="Arial"/>
      <family val="2"/>
      <charset val="1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44" fontId="8" fillId="0" borderId="0" applyFont="0" applyFill="0" applyBorder="0" applyAlignment="0" applyProtection="0"/>
  </cellStyleXfs>
  <cellXfs count="28">
    <xf numFmtId="0" fontId="0" fillId="0" borderId="0" xfId="0"/>
    <xf numFmtId="49" fontId="5" fillId="0" borderId="0" xfId="1" applyNumberFormat="1"/>
    <xf numFmtId="49" fontId="0" fillId="0" borderId="0" xfId="0" applyNumberFormat="1"/>
    <xf numFmtId="49" fontId="4" fillId="0" borderId="0" xfId="1" applyNumberFormat="1" applyFont="1"/>
    <xf numFmtId="0" fontId="4" fillId="0" borderId="0" xfId="1" applyFont="1"/>
    <xf numFmtId="49" fontId="0" fillId="0" borderId="3" xfId="0" applyNumberFormat="1" applyBorder="1" applyProtection="1">
      <protection locked="0"/>
    </xf>
    <xf numFmtId="0" fontId="0" fillId="0" borderId="4" xfId="0" applyBorder="1"/>
    <xf numFmtId="49" fontId="7" fillId="0" borderId="1" xfId="0" applyNumberFormat="1" applyFont="1" applyBorder="1" applyProtection="1">
      <protection locked="0"/>
    </xf>
    <xf numFmtId="49" fontId="7" fillId="0" borderId="2" xfId="0" applyNumberFormat="1" applyFont="1" applyBorder="1"/>
    <xf numFmtId="49" fontId="7" fillId="0" borderId="2" xfId="0" applyNumberFormat="1" applyFont="1" applyBorder="1" applyProtection="1">
      <protection locked="0"/>
    </xf>
    <xf numFmtId="164" fontId="0" fillId="0" borderId="4" xfId="0" applyNumberForma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5" fillId="0" borderId="0" xfId="1" applyNumberFormat="1" applyAlignment="1">
      <alignment horizontal="center" vertical="center" wrapText="1"/>
    </xf>
    <xf numFmtId="49" fontId="7" fillId="0" borderId="2" xfId="0" applyNumberFormat="1" applyFont="1" applyBorder="1" applyAlignment="1">
      <alignment vertical="center"/>
    </xf>
    <xf numFmtId="0" fontId="3" fillId="0" borderId="0" xfId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vertical="center" wrapText="1"/>
    </xf>
    <xf numFmtId="49" fontId="2" fillId="0" borderId="0" xfId="1" applyNumberFormat="1" applyFont="1" applyAlignment="1">
      <alignment horizontal="center" vertical="center" wrapText="1"/>
    </xf>
    <xf numFmtId="0" fontId="0" fillId="0" borderId="0" xfId="0" applyNumberFormat="1"/>
    <xf numFmtId="22" fontId="0" fillId="0" borderId="0" xfId="0" applyNumberFormat="1"/>
    <xf numFmtId="0" fontId="1" fillId="0" borderId="0" xfId="1" applyNumberFormat="1" applyFont="1" applyAlignment="1">
      <alignment horizontal="left"/>
    </xf>
    <xf numFmtId="0" fontId="5" fillId="0" borderId="0" xfId="1" applyNumberFormat="1"/>
    <xf numFmtId="0" fontId="1" fillId="0" borderId="0" xfId="1" applyNumberFormat="1" applyFont="1"/>
    <xf numFmtId="44" fontId="1" fillId="0" borderId="0" xfId="2" applyFont="1"/>
  </cellXfs>
  <cellStyles count="3">
    <cellStyle name="Moeda" xfId="2" builtinId="4"/>
    <cellStyle name="Normal" xfId="0" builtinId="0"/>
    <cellStyle name="Normal 2" xfId="1" xr:uid="{DFC4EA73-6E46-4D59-8793-29F8B9222C2D}"/>
  </cellStyles>
  <dxfs count="65"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alignment horizontal="center" vertical="center" textRotation="0" wrapText="1" indent="0" justifyLastLine="0" shrinkToFit="0" readingOrder="0"/>
    </dxf>
    <dxf>
      <numFmt numFmtId="164" formatCode="&quot;R$&quot;\ #,##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30" formatCode="@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charset val="1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90EE0C6-E8C5-4455-88BE-D5972744C1EA}" autoFormatId="16" applyNumberFormats="0" applyBorderFormats="0" applyFontFormats="0" applyPatternFormats="0" applyAlignmentFormats="0" applyWidthHeightFormats="0">
  <queryTableRefresh nextId="17">
    <queryTableFields count="16">
      <queryTableField id="1" name="id_massa" tableColumnId="1"/>
      <queryTableField id="2" name="cpf" tableColumnId="2"/>
      <queryTableField id="3" name="dia_vencimento" tableColumnId="3"/>
      <queryTableField id="4" name="nome_completo" tableColumnId="4"/>
      <queryTableField id="5" name="saldo_conta" tableColumnId="5"/>
      <queryTableField id="6" name="limite_utilizado" tableColumnId="6"/>
      <queryTableField id="7" name="limite_disponivel" tableColumnId="7"/>
      <queryTableField id="8" name="fatura_fechada" tableColumnId="8"/>
      <queryTableField id="9" name="fatura_aberta" tableColumnId="9"/>
      <queryTableField id="10" name="dias_atraso" tableColumnId="10"/>
      <queryTableField id="11" name="status" tableColumnId="11"/>
      <queryTableField id="12" name="cartao_fisico_numero" tableColumnId="12"/>
      <queryTableField id="13" name="cartao_fisico_cvv" tableColumnId="13"/>
      <queryTableField id="14" name="cartao_virtual_numero" tableColumnId="14"/>
      <queryTableField id="15" name="cartao_virtual_cvv" tableColumnId="15"/>
      <queryTableField id="16" name="data_criação" tableColumnId="16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AD8BB5-3CE9-41D3-BC36-340712D20CB1}" name="TBL_CENARIOS" displayName="TBL_CENARIOS" ref="A1:O13" totalsRowShown="0" dataDxfId="64">
  <autoFilter ref="A1:O13" xr:uid="{ACAD8BB5-3CE9-41D3-BC36-340712D20CB1}"/>
  <tableColumns count="15">
    <tableColumn id="1" xr3:uid="{6B5CC53B-DBD1-4CDD-9C32-1542A08B6368}" name="SEQ" dataDxfId="63"/>
    <tableColumn id="2" xr3:uid="{CD2BF865-12FB-4CA7-92AF-5986F6A10D19}" name="ID_CENARIO" dataDxfId="62"/>
    <tableColumn id="3" xr3:uid="{563E21B0-9315-4673-AE65-91CD43ACD432}" name="NOME" dataDxfId="61"/>
    <tableColumn id="4" xr3:uid="{DB0D9038-101D-470A-81C6-962007B72CE6}" name="FEATURE" dataDxfId="60"/>
    <tableColumn id="5" xr3:uid="{16EFE91C-C2D5-4678-8B5A-309210985C7C}" name="ID_MASSA" dataDxfId="59"/>
    <tableColumn id="6" xr3:uid="{C1F4FC78-7C99-4F62-96BF-BB11A4BB5183}" name="CPF" dataDxfId="58"/>
    <tableColumn id="7" xr3:uid="{A3E27E20-946D-47F2-A273-1FEB437AB4D1}" name="SENHA" dataDxfId="57"/>
    <tableColumn id="8" xr3:uid="{74AA8602-E172-4420-A77A-A4E3DCAD25A6}" name="saldo_conta" dataDxfId="25">
      <calculatedColumnFormula>_xlfn.XLOOKUP(TBL_CENARIOS[[#This Row],[ID_MASSA]],tbl_de_massas[id_massa],tbl_de_massas[saldo_conta],"--",0,1)</calculatedColumnFormula>
    </tableColumn>
    <tableColumn id="18" xr3:uid="{7E6DB8D1-89E4-444D-93CD-81751FD245EA}" name="Valor PIX" dataDxfId="56"/>
    <tableColumn id="9" xr3:uid="{BF33B3D0-974C-4FA3-A80F-DFF5462F5091}" name="limite_utilizado" dataDxfId="24">
      <calculatedColumnFormula>_xlfn.XLOOKUP(TBL_CENARIOS[[#This Row],[ID_MASSA]],tbl_de_massas[id_massa],tbl_de_massas[limite_utilizado],"--",0,1)</calculatedColumnFormula>
    </tableColumn>
    <tableColumn id="10" xr3:uid="{DE162726-6540-4059-9A60-3F7ACBE5D86F}" name="limite_disponivel" dataDxfId="23">
      <calculatedColumnFormula>_xlfn.XLOOKUP(TBL_CENARIOS[[#This Row],[ID_MASSA]],tbl_de_massas[id_massa],tbl_de_massas[limite_disponivel],"--",0,1)</calculatedColumnFormula>
    </tableColumn>
    <tableColumn id="11" xr3:uid="{BAB42A70-210B-4E99-9320-0B78E4B019F3}" name="fatura_fechada" dataDxfId="22">
      <calculatedColumnFormula>_xlfn.XLOOKUP(TBL_CENARIOS[[#This Row],[ID_MASSA]],tbl_de_massas[id_massa],tbl_de_massas[fatura_fechada],"--",0,1)</calculatedColumnFormula>
    </tableColumn>
    <tableColumn id="12" xr3:uid="{BEFA12A4-F572-4ED2-A6F9-929A0EF3AFEF}" name="fatura_aberta" dataDxfId="21">
      <calculatedColumnFormula>_xlfn.XLOOKUP(TBL_CENARIOS[[#This Row],[ID_MASSA]],tbl_de_massas[id_massa],tbl_de_massas[fatura_aberta],"--",0,1)</calculatedColumnFormula>
    </tableColumn>
    <tableColumn id="13" xr3:uid="{C77AE377-2821-4B52-A59F-255A37268165}" name="dias_atraso" dataDxfId="20">
      <calculatedColumnFormula>_xlfn.XLOOKUP(TBL_CENARIOS[[#This Row],[ID_MASSA]],tbl_de_massas[id_massa],tbl_de_massas[dias_atraso],"--",0,1)</calculatedColumnFormula>
    </tableColumn>
    <tableColumn id="20" xr3:uid="{27E369B8-6B20-48FC-82AA-2FEDE6A41898}" name="PIN" dataDxfId="55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Cadastro" displayName="TabelaCadastro" ref="A1:H228" totalsRowShown="0">
  <autoFilter ref="A1:H228" xr:uid="{00000000-0009-0000-0100-000002000000}"/>
  <sortState xmlns:xlrd2="http://schemas.microsoft.com/office/spreadsheetml/2017/richdata2" ref="A2:H97">
    <sortCondition ref="A1:A97"/>
  </sortState>
  <tableColumns count="8">
    <tableColumn id="1" xr3:uid="{00000000-0010-0000-0100-000001000000}" name="ID_MASSA"/>
    <tableColumn id="2" xr3:uid="{00000000-0010-0000-0100-000002000000}" name="CPF" dataDxfId="19">
      <calculatedColumnFormula>_xlfn.XLOOKUP(TabelaCadastro[[#This Row],[ID_MASSA]],tbl_de_massas[id_massa],tbl_de_massas[cpf],"--",0,1)</calculatedColumnFormula>
    </tableColumn>
    <tableColumn id="3" xr3:uid="{00000000-0010-0000-0100-000003000000}" name="SENHA"/>
    <tableColumn id="4" xr3:uid="{00000000-0010-0000-0100-000004000000}" name="Nome Completo" dataDxfId="15">
      <calculatedColumnFormula>_xlfn.XLOOKUP(TabelaCadastro[[#This Row],[ID_MASSA]],tbl_de_massas[id_massa],tbl_de_massas[nome_completo],"--",0,1)</calculatedColumnFormula>
    </tableColumn>
    <tableColumn id="5" xr3:uid="{00000000-0010-0000-0100-000005000000}" name="CARTÃO" dataDxfId="14">
      <calculatedColumnFormula>_xlfn.XLOOKUP(TabelaCadastro[[#This Row],[ID_MASSA]],tbl_de_massas[id_massa],tbl_de_massas[cartao_fisico_numero],"--",0,1)</calculatedColumnFormula>
    </tableColumn>
    <tableColumn id="6" xr3:uid="{00000000-0010-0000-0100-000006000000}" name="CARACTERISTICAS" dataDxfId="18">
      <calculatedColumnFormula>_xlfn.XLOOKUP(TabelaCadastro[[#This Row],[SENHA]],tbl_de_massas[id_massa],tbl_de_massas[fatura_fechada],"--",0,1)</calculatedColumnFormula>
    </tableColumn>
    <tableColumn id="7" xr3:uid="{00000000-0010-0000-0100-000007000000}" name="SALDO" dataDxfId="17">
      <calculatedColumnFormula>_xlfn.XLOOKUP(TabelaCadastro[[#This Row],[Nome Completo]],tbl_de_massas[id_massa],tbl_de_massas[fatura_aberta],"--",0,1)</calculatedColumnFormula>
    </tableColumn>
    <tableColumn id="8" xr3:uid="{00000000-0010-0000-0100-000008000000}" name="OBSERVACAO" dataDxfId="16">
      <calculatedColumnFormula>_xlfn.XLOOKUP(TabelaCadastro[[#This Row],[CARTÃO]],tbl_de_massas[id_massa],tbl_de_massas[dias_atraso],"--",0,1)</calculatedColumnFormula>
    </tableColumn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1710CA-FA03-41CA-A221-9CA1B5EF534E}" name="tbl_pix" displayName="tbl_pix" ref="A1:F2" totalsRowShown="0" headerRowDxfId="54" dataDxfId="52" headerRowBorderDxfId="53" tableBorderDxfId="51" totalsRowBorderDxfId="50">
  <autoFilter ref="A1:F2" xr:uid="{021710CA-FA03-41CA-A221-9CA1B5EF534E}"/>
  <tableColumns count="6">
    <tableColumn id="1" xr3:uid="{2BC66165-7F34-4B47-97D4-FA2E4B4C0BB4}" name="ID_USUARIO" dataDxfId="49"/>
    <tableColumn id="2" xr3:uid="{03E4ED89-DB74-4513-BC91-E5329EA55201}" name="CPF" dataDxfId="48">
      <calculatedColumnFormula>_xlfn.XLOOKUP(tbl_pix[[#This Row],[ID_USUARIO]],#REF!,#REF!,"--",0,1)</calculatedColumnFormula>
    </tableColumn>
    <tableColumn id="3" xr3:uid="{D32F7505-23BF-4176-8736-AFFD4F1E4BC7}" name="TELEFONE" dataDxfId="47">
      <calculatedColumnFormula>_xlfn.XLOOKUP(tbl_pix[[#This Row],[ID_USUARIO]],#REF!,#REF!,"--",0,1)</calculatedColumnFormula>
    </tableColumn>
    <tableColumn id="4" xr3:uid="{72C80B85-AED0-4C8F-A725-6C049D5CE2CD}" name="EMAIL" dataDxfId="46">
      <calculatedColumnFormula>_xlfn.XLOOKUP(tbl_pix[[#This Row],[ID_USUARIO]],#REF!,#REF!,"--",0,1)</calculatedColumnFormula>
    </tableColumn>
    <tableColumn id="5" xr3:uid="{47018E78-96FB-42D5-A9B9-1986EAA97150}" name="CHAVE_ALEATORIA" dataDxfId="45">
      <calculatedColumnFormula>_xlfn.XLOOKUP(tbl_pix[[#This Row],[EMAIL]],#REF!,#REF!,"--",0,1)</calculatedColumnFormula>
    </tableColumn>
    <tableColumn id="6" xr3:uid="{0BDC1BD7-71D0-4DFB-A376-0878F5128002}" name="VALOR " dataDxfId="44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4A8DCBB-AFA9-4AAC-A564-CCD30E8AEE7C}" name="TBL_CENARIOS6" displayName="TBL_CENARIOS6" ref="A1:L9" totalsRowShown="0" headerRowDxfId="37">
  <autoFilter ref="A1:L9" xr:uid="{ACAD8BB5-3CE9-41D3-BC36-340712D20CB1}"/>
  <tableColumns count="12">
    <tableColumn id="5" xr3:uid="{3835DD3A-E6B3-46D4-BF43-5EC599302DB5}" name="ID_CENARIO" dataDxfId="12"/>
    <tableColumn id="1" xr3:uid="{57D281C3-E317-40AA-B086-71E4FF806825}" name="ID_MASSA" dataDxfId="13">
      <calculatedColumnFormula>_xlfn.XLOOKUP($A2,TBL_CENARIOS[ID_CENARIO],TBL_CENARIOS[ID_MASSA],"--",0,1)</calculatedColumnFormula>
    </tableColumn>
    <tableColumn id="6" xr3:uid="{C775FE0F-6A46-45A9-9C26-21A3D2856363}" name="CPF">
      <calculatedColumnFormula>_xlfn.XLOOKUP($A2,TBL_CENARIOS[ID_CENARIO],TBL_CENARIOS[CPF],"--",0,1)</calculatedColumnFormula>
    </tableColumn>
    <tableColumn id="8" xr3:uid="{47E83102-DC67-4564-B063-A4126B4C33A5}" name="saldo_conta" dataDxfId="8" dataCellStyle="Moeda">
      <calculatedColumnFormula>_xlfn.XLOOKUP($B2,tbl_de_massas[id_massa],tbl_de_massas[saldo_conta],"--",0,1)</calculatedColumnFormula>
    </tableColumn>
    <tableColumn id="9" xr3:uid="{51E319A8-2E6A-44FA-AF5E-CD59CE2CF427}" name="limite_utilizado" dataDxfId="7" dataCellStyle="Moeda">
      <calculatedColumnFormula>_xlfn.XLOOKUP($B2,tbl_de_massas[id_massa],tbl_de_massas[limite_utilizado],"--",0,1)</calculatedColumnFormula>
    </tableColumn>
    <tableColumn id="10" xr3:uid="{95C3F721-AB02-42BC-A826-38C13FB7B4F0}" name="limite_disponivel" dataDxfId="6" dataCellStyle="Moeda">
      <calculatedColumnFormula>_xlfn.XLOOKUP($B2,tbl_de_massas[id_massa],tbl_de_massas[limite_disponivel],"--",0,1)</calculatedColumnFormula>
    </tableColumn>
    <tableColumn id="11" xr3:uid="{65AEF7CC-35B8-4DEF-BA22-B2268F41A298}" name="fatura_fechada" dataDxfId="5" dataCellStyle="Moeda">
      <calculatedColumnFormula>_xlfn.XLOOKUP($B2,tbl_de_massas[id_massa],tbl_de_massas[fatura_fechada],"--",0,1)</calculatedColumnFormula>
    </tableColumn>
    <tableColumn id="12" xr3:uid="{B3645EC9-0054-4C8B-A89B-2FB889ECAE48}" name="fatura_aberta" dataDxfId="4" dataCellStyle="Moeda">
      <calculatedColumnFormula>_xlfn.XLOOKUP($B2,tbl_de_massas[id_massa],tbl_de_massas[fatura_aberta],"--",0,1)</calculatedColumnFormula>
    </tableColumn>
    <tableColumn id="13" xr3:uid="{D922D015-E52D-4AFC-A686-3CF3420CDBF1}" name="dias_atraso" dataDxfId="3">
      <calculatedColumnFormula>_xlfn.XLOOKUP($B2,tbl_de_massas[id_massa],tbl_de_massas[dias_atraso],"--",0,1)</calculatedColumnFormula>
    </tableColumn>
    <tableColumn id="14" xr3:uid="{78B784AA-CBD1-4152-8423-3DCF2F3B5F5E}" name="FAT. PGTO TOTAL" dataDxfId="2" dataCellStyle="Moeda">
      <calculatedColumnFormula>IFERROR(VALUE(SUBSTITUTE(TBL_CENARIOS6[[#This Row],[fatura_fechada]], ".", ",")),"--")</calculatedColumnFormula>
    </tableColumn>
    <tableColumn id="15" xr3:uid="{7718918C-F813-4703-9A25-E7831CED560A}" name="FAT. PGTO MIN" dataDxfId="1" dataCellStyle="Moeda">
      <calculatedColumnFormula>IFERROR(VALUE(SUBSTITUTE(TBL_CENARIOS6[[#This Row],[fatura_fechada]], ".", ","))*0.1,"--")</calculatedColumnFormula>
    </tableColumn>
    <tableColumn id="2" xr3:uid="{57E8C4E6-1D02-4ED8-AB91-338A2B41001B}" name="status" dataDxfId="0">
      <calculatedColumnFormula>_xlfn.XLOOKUP($B2,tbl_de_massas[id_massa],tbl_de_massas[status],"--",0,1)</calculatedColumnFormula>
    </tableColumn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245E5D-5355-4FC8-B167-80DE573ACBC4}" name="TBL_CENARIOS678" displayName="TBL_CENARIOS678" ref="A1:F11" totalsRowShown="0" headerRowDxfId="43">
  <autoFilter ref="A1:F11" xr:uid="{ACAD8BB5-3CE9-41D3-BC36-340712D20CB1}"/>
  <tableColumns count="6">
    <tableColumn id="1" xr3:uid="{CC19F18F-BD6D-4A4C-A7A5-391603A99248}" name="ID_CENARIO" dataDxfId="42"/>
    <tableColumn id="5" xr3:uid="{8A869B4C-0B04-4799-B600-D2FC3C489A7C}" name="ID_MASSA" dataDxfId="41"/>
    <tableColumn id="6" xr3:uid="{3E06E571-9310-48C4-8118-D2077283E386}" name="CPF">
      <calculatedColumnFormula array="1">_xlfn.XLOOKUP(TBL_CENARIOS678[[#This Row],[ID_MASSA]]&amp;"",#REF!&amp;"",#REF!&amp;"","--",0,1)</calculatedColumnFormula>
    </tableColumn>
    <tableColumn id="9" xr3:uid="{4E395619-FB9A-4352-AE19-9A6EF94F0D66}" name="CARACTERISTICAS" dataDxfId="40"/>
    <tableColumn id="10" xr3:uid="{62E00385-9862-4F18-A5C6-32F5C8D9CFFE}" name="SALDO" dataDxfId="39"/>
    <tableColumn id="11" xr3:uid="{046F1A48-9169-4337-AC48-D03FA3313EC5}" name="OBSERVACAO" dataDxfId="38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10667E-D750-4246-8EB9-3B7FFA51AC28}" name="tbl_de_massas" displayName="tbl_de_massas" ref="A1:P258" tableType="queryTable" totalsRowShown="0">
  <autoFilter ref="A1:P258" xr:uid="{FD10667E-D750-4246-8EB9-3B7FFA51AC28}"/>
  <tableColumns count="16">
    <tableColumn id="1" xr3:uid="{6870A908-23A8-460F-947F-40F0FE5AB637}" uniqueName="1" name="id_massa" queryTableFieldId="1" dataDxfId="36"/>
    <tableColumn id="2" xr3:uid="{C7C352DB-448B-46B2-80A1-02E8EA1EFF43}" uniqueName="2" name="cpf" queryTableFieldId="2" dataDxfId="35"/>
    <tableColumn id="3" xr3:uid="{1505C27E-03A1-43B2-B3CD-FE891F81F0EA}" uniqueName="3" name="dia_vencimento" queryTableFieldId="3" dataDxfId="34"/>
    <tableColumn id="4" xr3:uid="{9F6D6FCC-6556-462E-8452-62BF4A7331B3}" uniqueName="4" name="nome_completo" queryTableFieldId="4" dataDxfId="33"/>
    <tableColumn id="5" xr3:uid="{3749CDF0-17DA-469F-A4D6-0FFCE5BC4326}" uniqueName="5" name="saldo_conta" queryTableFieldId="5"/>
    <tableColumn id="6" xr3:uid="{0A0787DE-AA07-487C-9A8D-832A86F42318}" uniqueName="6" name="limite_utilizado" queryTableFieldId="6"/>
    <tableColumn id="7" xr3:uid="{0C9EAC1F-25FA-4421-98C3-76714A63B2C1}" uniqueName="7" name="limite_disponivel" queryTableFieldId="7"/>
    <tableColumn id="8" xr3:uid="{34A9A1E1-A56A-45F2-BAAA-B3914023513E}" uniqueName="8" name="fatura_fechada" queryTableFieldId="8"/>
    <tableColumn id="9" xr3:uid="{5F23CFB1-94F7-4230-9A31-6CDB230C6462}" uniqueName="9" name="fatura_aberta" queryTableFieldId="9"/>
    <tableColumn id="10" xr3:uid="{24165001-26D9-47A8-B23C-1686C7A0D680}" uniqueName="10" name="dias_atraso" queryTableFieldId="10" dataDxfId="32"/>
    <tableColumn id="11" xr3:uid="{3A11E953-E610-4A79-81E8-3F1626D38589}" uniqueName="11" name="status" queryTableFieldId="11" dataDxfId="31"/>
    <tableColumn id="12" xr3:uid="{7E51E814-C2BB-467A-BDAD-FC9CAADDA8CE}" uniqueName="12" name="cartao_fisico_numero" queryTableFieldId="12" dataDxfId="30"/>
    <tableColumn id="13" xr3:uid="{D69C61E6-0E09-47A8-BDDA-FB06FDE2D934}" uniqueName="13" name="cartao_fisico_cvv" queryTableFieldId="13" dataDxfId="29"/>
    <tableColumn id="14" xr3:uid="{F1477401-D61B-441E-97EE-A8FBF767117D}" uniqueName="14" name="cartao_virtual_numero" queryTableFieldId="14" dataDxfId="28"/>
    <tableColumn id="15" xr3:uid="{E2CC41B4-AF10-45AD-A68E-19A71B0EFD1E}" uniqueName="15" name="cartao_virtual_cvv" queryTableFieldId="15" dataDxfId="27"/>
    <tableColumn id="16" xr3:uid="{1A4224B2-450D-48AA-9F6D-EEC005AAC947}" uniqueName="16" name="data_criação" queryTableFieldId="16" dataDxfId="26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"/>
  <sheetViews>
    <sheetView zoomScale="110" zoomScaleNormal="110" workbookViewId="0">
      <selection activeCell="A8" sqref="A8:XFD8"/>
    </sheetView>
  </sheetViews>
  <sheetFormatPr defaultRowHeight="15.75" x14ac:dyDescent="0.25"/>
  <cols>
    <col min="1" max="1" width="6.375" bestFit="1" customWidth="1"/>
    <col min="2" max="2" width="13" bestFit="1" customWidth="1"/>
    <col min="3" max="3" width="42.5" bestFit="1" customWidth="1"/>
    <col min="4" max="4" width="10.25" bestFit="1" customWidth="1"/>
    <col min="5" max="5" width="11.375" style="2" bestFit="1" customWidth="1"/>
    <col min="6" max="6" width="11.875" bestFit="1" customWidth="1"/>
    <col min="7" max="7" width="9.875" bestFit="1" customWidth="1"/>
    <col min="8" max="8" width="12.25" bestFit="1" customWidth="1"/>
    <col min="9" max="9" width="9.75" bestFit="1" customWidth="1"/>
    <col min="10" max="10" width="15.125" bestFit="1" customWidth="1"/>
    <col min="11" max="11" width="16.625" bestFit="1" customWidth="1"/>
    <col min="12" max="12" width="14.5" bestFit="1" customWidth="1"/>
    <col min="13" max="13" width="13.25" bestFit="1" customWidth="1"/>
    <col min="14" max="14" width="11.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s="1" t="s">
        <v>1295</v>
      </c>
      <c r="I1" s="3" t="s">
        <v>2274</v>
      </c>
      <c r="J1" s="1" t="s">
        <v>1296</v>
      </c>
      <c r="K1" s="1" t="s">
        <v>1297</v>
      </c>
      <c r="L1" s="1" t="s">
        <v>1298</v>
      </c>
      <c r="M1" s="1" t="s">
        <v>1299</v>
      </c>
      <c r="N1" s="1" t="s">
        <v>1300</v>
      </c>
      <c r="O1" t="s">
        <v>2373</v>
      </c>
    </row>
    <row r="2" spans="1:15" x14ac:dyDescent="0.25">
      <c r="A2" s="17">
        <v>1</v>
      </c>
      <c r="B2" s="17" t="s">
        <v>7</v>
      </c>
      <c r="C2" s="17" t="s">
        <v>8</v>
      </c>
      <c r="D2" s="17" t="s">
        <v>9</v>
      </c>
      <c r="E2" s="18" t="s">
        <v>2516</v>
      </c>
      <c r="F2" s="17" t="s">
        <v>11</v>
      </c>
      <c r="G2" s="17" t="s">
        <v>12</v>
      </c>
      <c r="H2" s="17" t="str">
        <f>_xlfn.XLOOKUP(TBL_CENARIOS[[#This Row],[ID_MASSA]],tbl_de_massas[id_massa],tbl_de_massas[saldo_conta],"--",0,1)</f>
        <v>--</v>
      </c>
      <c r="I2" s="17"/>
      <c r="J2" s="17" t="str">
        <f>_xlfn.XLOOKUP(TBL_CENARIOS[[#This Row],[ID_MASSA]],tbl_de_massas[id_massa],tbl_de_massas[limite_utilizado],"--",0,1)</f>
        <v>--</v>
      </c>
      <c r="K2" s="17" t="str">
        <f>_xlfn.XLOOKUP(TBL_CENARIOS[[#This Row],[ID_MASSA]],tbl_de_massas[id_massa],tbl_de_massas[limite_disponivel],"--",0,1)</f>
        <v>--</v>
      </c>
      <c r="L2" s="17" t="str">
        <f>_xlfn.XLOOKUP(TBL_CENARIOS[[#This Row],[ID_MASSA]],tbl_de_massas[id_massa],tbl_de_massas[fatura_fechada],"--",0,1)</f>
        <v>--</v>
      </c>
      <c r="M2" s="17" t="str">
        <f>_xlfn.XLOOKUP(TBL_CENARIOS[[#This Row],[ID_MASSA]],tbl_de_massas[id_massa],tbl_de_massas[fatura_aberta],"--",0,1)</f>
        <v>--</v>
      </c>
      <c r="N2" s="17" t="str">
        <f>_xlfn.XLOOKUP(TBL_CENARIOS[[#This Row],[ID_MASSA]],tbl_de_massas[id_massa],tbl_de_massas[dias_atraso],"--",0,1)</f>
        <v>--</v>
      </c>
      <c r="O2" s="17">
        <v>9898</v>
      </c>
    </row>
    <row r="3" spans="1:15" x14ac:dyDescent="0.25">
      <c r="A3" s="17">
        <v>2</v>
      </c>
      <c r="B3" s="17" t="s">
        <v>13</v>
      </c>
      <c r="C3" s="17" t="s">
        <v>14</v>
      </c>
      <c r="D3" s="17" t="s">
        <v>9</v>
      </c>
      <c r="E3" s="18" t="s">
        <v>15</v>
      </c>
      <c r="F3" s="24" t="str">
        <f>_xlfn.XLOOKUP(TBL_CENARIOS[[#This Row],[ID_MASSA]],tbl_de_massas[id_massa],tbl_de_massas[cpf],"--",0,1)</f>
        <v>33333333333</v>
      </c>
      <c r="G3" s="17" t="s">
        <v>12</v>
      </c>
      <c r="H3" s="17">
        <f>_xlfn.XLOOKUP(TBL_CENARIOS[[#This Row],[ID_MASSA]],tbl_de_massas[id_massa],tbl_de_massas[saldo_conta],"--",0,1)</f>
        <v>1500</v>
      </c>
      <c r="I3" s="17"/>
      <c r="J3" s="17">
        <f>_xlfn.XLOOKUP(TBL_CENARIOS[[#This Row],[ID_MASSA]],tbl_de_massas[id_massa],tbl_de_massas[limite_utilizado],"--",0,1)</f>
        <v>5706.32</v>
      </c>
      <c r="K3" s="17">
        <f>_xlfn.XLOOKUP(TBL_CENARIOS[[#This Row],[ID_MASSA]],tbl_de_massas[id_massa],tbl_de_massas[limite_disponivel],"--",0,1)</f>
        <v>-706.32</v>
      </c>
      <c r="L3" s="17">
        <f>_xlfn.XLOOKUP(TBL_CENARIOS[[#This Row],[ID_MASSA]],tbl_de_massas[id_massa],tbl_de_massas[fatura_fechada],"--",0,1)</f>
        <v>4360.91</v>
      </c>
      <c r="M3" s="17">
        <f>_xlfn.XLOOKUP(TBL_CENARIOS[[#This Row],[ID_MASSA]],tbl_de_massas[id_massa],tbl_de_massas[fatura_aberta],"--",0,1)</f>
        <v>5706.32</v>
      </c>
      <c r="N3" s="17" t="str">
        <f>_xlfn.XLOOKUP(TBL_CENARIOS[[#This Row],[ID_MASSA]],tbl_de_massas[id_massa],tbl_de_massas[dias_atraso],"--",0,1)</f>
        <v>59</v>
      </c>
      <c r="O3" s="17">
        <v>9898</v>
      </c>
    </row>
    <row r="4" spans="1:15" x14ac:dyDescent="0.25">
      <c r="A4" s="17">
        <v>3</v>
      </c>
      <c r="B4" s="17" t="s">
        <v>16</v>
      </c>
      <c r="C4" s="17" t="s">
        <v>17</v>
      </c>
      <c r="D4" s="17" t="s">
        <v>9</v>
      </c>
      <c r="E4" s="18" t="s">
        <v>18</v>
      </c>
      <c r="F4" s="24" t="str">
        <f>_xlfn.XLOOKUP(TBL_CENARIOS[[#This Row],[ID_MASSA]],tbl_de_massas[id_massa],tbl_de_massas[cpf],"--",0,1)</f>
        <v>53281863159</v>
      </c>
      <c r="G4" s="17" t="s">
        <v>12</v>
      </c>
      <c r="H4" s="17">
        <f>_xlfn.XLOOKUP(TBL_CENARIOS[[#This Row],[ID_MASSA]],tbl_de_massas[id_massa],tbl_de_massas[saldo_conta],"--",0,1)</f>
        <v>2000</v>
      </c>
      <c r="I4" s="17"/>
      <c r="J4" s="17">
        <f>_xlfn.XLOOKUP(TBL_CENARIOS[[#This Row],[ID_MASSA]],tbl_de_massas[id_massa],tbl_de_massas[limite_utilizado],"--",0,1)</f>
        <v>2500.73</v>
      </c>
      <c r="K4" s="17">
        <f>_xlfn.XLOOKUP(TBL_CENARIOS[[#This Row],[ID_MASSA]],tbl_de_massas[id_massa],tbl_de_massas[limite_disponivel],"--",0,1)</f>
        <v>2499.27</v>
      </c>
      <c r="L4" s="17">
        <f>_xlfn.XLOOKUP(TBL_CENARIOS[[#This Row],[ID_MASSA]],tbl_de_massas[id_massa],tbl_de_massas[fatura_fechada],"--",0,1)</f>
        <v>1231.95</v>
      </c>
      <c r="M4" s="17">
        <f>_xlfn.XLOOKUP(TBL_CENARIOS[[#This Row],[ID_MASSA]],tbl_de_massas[id_massa],tbl_de_massas[fatura_aberta],"--",0,1)</f>
        <v>2500.73</v>
      </c>
      <c r="N4" s="17" t="str">
        <f>_xlfn.XLOOKUP(TBL_CENARIOS[[#This Row],[ID_MASSA]],tbl_de_massas[id_massa],tbl_de_massas[dias_atraso],"--",0,1)</f>
        <v>33</v>
      </c>
      <c r="O4" s="17">
        <v>9898</v>
      </c>
    </row>
    <row r="5" spans="1:15" x14ac:dyDescent="0.25">
      <c r="A5" s="17">
        <v>4</v>
      </c>
      <c r="B5" s="17" t="s">
        <v>19</v>
      </c>
      <c r="C5" s="17" t="s">
        <v>20</v>
      </c>
      <c r="D5" s="17" t="s">
        <v>9</v>
      </c>
      <c r="E5" s="18" t="s">
        <v>21</v>
      </c>
      <c r="F5" s="24" t="str">
        <f>_xlfn.XLOOKUP(TBL_CENARIOS[[#This Row],[ID_MASSA]],tbl_de_massas[id_massa],tbl_de_massas[cpf],"--",0,1)</f>
        <v>93852856961</v>
      </c>
      <c r="G5" s="17" t="s">
        <v>12</v>
      </c>
      <c r="H5" s="17">
        <f>_xlfn.XLOOKUP(TBL_CENARIOS[[#This Row],[ID_MASSA]],tbl_de_massas[id_massa],tbl_de_massas[saldo_conta],"--",0,1)</f>
        <v>52000</v>
      </c>
      <c r="I5" s="17"/>
      <c r="J5" s="17">
        <f>_xlfn.XLOOKUP(TBL_CENARIOS[[#This Row],[ID_MASSA]],tbl_de_massas[id_massa],tbl_de_massas[limite_utilizado],"--",0,1)</f>
        <v>8111.79</v>
      </c>
      <c r="K5" s="17">
        <f>_xlfn.XLOOKUP(TBL_CENARIOS[[#This Row],[ID_MASSA]],tbl_de_massas[id_massa],tbl_de_massas[limite_disponivel],"--",0,1)</f>
        <v>-3111.79</v>
      </c>
      <c r="L5" s="17">
        <f>_xlfn.XLOOKUP(TBL_CENARIOS[[#This Row],[ID_MASSA]],tbl_de_massas[id_massa],tbl_de_massas[fatura_fechada],"--",0,1)</f>
        <v>5354.03</v>
      </c>
      <c r="M5" s="17">
        <f>_xlfn.XLOOKUP(TBL_CENARIOS[[#This Row],[ID_MASSA]],tbl_de_massas[id_massa],tbl_de_massas[fatura_aberta],"--",0,1)</f>
        <v>8111.79</v>
      </c>
      <c r="N5" s="17" t="str">
        <f>_xlfn.XLOOKUP(TBL_CENARIOS[[#This Row],[ID_MASSA]],tbl_de_massas[id_massa],tbl_de_massas[dias_atraso],"--",0,1)</f>
        <v>64</v>
      </c>
      <c r="O5" s="17">
        <v>9898</v>
      </c>
    </row>
    <row r="6" spans="1:15" x14ac:dyDescent="0.25">
      <c r="A6" s="17">
        <v>5</v>
      </c>
      <c r="B6" s="17" t="s">
        <v>22</v>
      </c>
      <c r="C6" s="17" t="s">
        <v>23</v>
      </c>
      <c r="D6" s="17" t="s">
        <v>9</v>
      </c>
      <c r="E6" s="18" t="s">
        <v>24</v>
      </c>
      <c r="F6" s="24" t="str">
        <f>_xlfn.XLOOKUP(TBL_CENARIOS[[#This Row],[ID_MASSA]],tbl_de_massas[id_massa],tbl_de_massas[cpf],"--",0,1)</f>
        <v>20250513611</v>
      </c>
      <c r="G6" s="17" t="s">
        <v>12</v>
      </c>
      <c r="H6" s="17">
        <f>_xlfn.XLOOKUP(TBL_CENARIOS[[#This Row],[ID_MASSA]],tbl_de_massas[id_massa],tbl_de_massas[saldo_conta],"--",0,1)</f>
        <v>13951.05</v>
      </c>
      <c r="I6" s="17"/>
      <c r="J6" s="17">
        <f>_xlfn.XLOOKUP(TBL_CENARIOS[[#This Row],[ID_MASSA]],tbl_de_massas[id_massa],tbl_de_massas[limite_utilizado],"--",0,1)</f>
        <v>5806.71</v>
      </c>
      <c r="K6" s="17">
        <f>_xlfn.XLOOKUP(TBL_CENARIOS[[#This Row],[ID_MASSA]],tbl_de_massas[id_massa],tbl_de_massas[limite_disponivel],"--",0,1)</f>
        <v>-806.71</v>
      </c>
      <c r="L6" s="17">
        <f>_xlfn.XLOOKUP(TBL_CENARIOS[[#This Row],[ID_MASSA]],tbl_de_massas[id_massa],tbl_de_massas[fatura_fechada],"--",0,1)</f>
        <v>4985.33</v>
      </c>
      <c r="M6" s="17">
        <f>_xlfn.XLOOKUP(TBL_CENARIOS[[#This Row],[ID_MASSA]],tbl_de_massas[id_massa],tbl_de_massas[fatura_aberta],"--",0,1)</f>
        <v>16889.939999999999</v>
      </c>
      <c r="N6" s="17" t="str">
        <f>_xlfn.XLOOKUP(TBL_CENARIOS[[#This Row],[ID_MASSA]],tbl_de_massas[id_massa],tbl_de_massas[dias_atraso],"--",0,1)</f>
        <v>0</v>
      </c>
      <c r="O6" s="17">
        <v>9898</v>
      </c>
    </row>
    <row r="7" spans="1:15" x14ac:dyDescent="0.25">
      <c r="A7" s="17">
        <v>6</v>
      </c>
      <c r="B7" s="17" t="s">
        <v>25</v>
      </c>
      <c r="C7" s="17" t="s">
        <v>26</v>
      </c>
      <c r="D7" s="17" t="s">
        <v>9</v>
      </c>
      <c r="E7" s="18" t="s">
        <v>27</v>
      </c>
      <c r="F7" s="24" t="str">
        <f>_xlfn.XLOOKUP(TBL_CENARIOS[[#This Row],[ID_MASSA]],tbl_de_massas[id_massa],tbl_de_massas[cpf],"--",0,1)</f>
        <v>80417045181</v>
      </c>
      <c r="G7" s="17" t="s">
        <v>12</v>
      </c>
      <c r="H7" s="17">
        <f>_xlfn.XLOOKUP(TBL_CENARIOS[[#This Row],[ID_MASSA]],tbl_de_massas[id_massa],tbl_de_massas[saldo_conta],"--",0,1)</f>
        <v>2000</v>
      </c>
      <c r="I7" s="17"/>
      <c r="J7" s="17">
        <f>_xlfn.XLOOKUP(TBL_CENARIOS[[#This Row],[ID_MASSA]],tbl_de_massas[id_massa],tbl_de_massas[limite_utilizado],"--",0,1)</f>
        <v>2643.49</v>
      </c>
      <c r="K7" s="17">
        <f>_xlfn.XLOOKUP(TBL_CENARIOS[[#This Row],[ID_MASSA]],tbl_de_massas[id_massa],tbl_de_massas[limite_disponivel],"--",0,1)</f>
        <v>2356.5100000000002</v>
      </c>
      <c r="L7" s="17">
        <f>_xlfn.XLOOKUP(TBL_CENARIOS[[#This Row],[ID_MASSA]],tbl_de_massas[id_massa],tbl_de_massas[fatura_fechada],"--",0,1)</f>
        <v>1353.73</v>
      </c>
      <c r="M7" s="17">
        <f>_xlfn.XLOOKUP(TBL_CENARIOS[[#This Row],[ID_MASSA]],tbl_de_massas[id_massa],tbl_de_massas[fatura_aberta],"--",0,1)</f>
        <v>2643.49</v>
      </c>
      <c r="N7" s="17" t="str">
        <f>_xlfn.XLOOKUP(TBL_CENARIOS[[#This Row],[ID_MASSA]],tbl_de_massas[id_massa],tbl_de_massas[dias_atraso],"--",0,1)</f>
        <v>33</v>
      </c>
      <c r="O7" s="17">
        <v>9898</v>
      </c>
    </row>
    <row r="8" spans="1:15" x14ac:dyDescent="0.25">
      <c r="A8" s="17">
        <v>8</v>
      </c>
      <c r="B8" s="17" t="s">
        <v>2142</v>
      </c>
      <c r="C8" s="17" t="s">
        <v>2143</v>
      </c>
      <c r="D8" s="17" t="s">
        <v>2144</v>
      </c>
      <c r="E8" s="18" t="s">
        <v>611</v>
      </c>
      <c r="F8" s="24" t="str">
        <f>_xlfn.XLOOKUP(TBL_CENARIOS[[#This Row],[ID_MASSA]],tbl_de_massas[id_massa],tbl_de_massas[cpf],"--",0,1)</f>
        <v>42975897884</v>
      </c>
      <c r="G8" s="17" t="s">
        <v>12</v>
      </c>
      <c r="H8" s="17">
        <f>_xlfn.XLOOKUP(TBL_CENARIOS[[#This Row],[ID_MASSA]],tbl_de_massas[id_massa],tbl_de_massas[saldo_conta],"--",0,1)</f>
        <v>2000</v>
      </c>
      <c r="I8" s="19">
        <v>17.88</v>
      </c>
      <c r="J8" s="17">
        <f>_xlfn.XLOOKUP(TBL_CENARIOS[[#This Row],[ID_MASSA]],tbl_de_massas[id_massa],tbl_de_massas[limite_utilizado],"--",0,1)</f>
        <v>2760.55</v>
      </c>
      <c r="K8" s="17">
        <f>_xlfn.XLOOKUP(TBL_CENARIOS[[#This Row],[ID_MASSA]],tbl_de_massas[id_massa],tbl_de_massas[limite_disponivel],"--",0,1)</f>
        <v>2239.4499999999998</v>
      </c>
      <c r="L8" s="17">
        <f>_xlfn.XLOOKUP(TBL_CENARIOS[[#This Row],[ID_MASSA]],tbl_de_massas[id_massa],tbl_de_massas[fatura_fechada],"--",0,1)</f>
        <v>1453.29</v>
      </c>
      <c r="M8" s="17">
        <f>_xlfn.XLOOKUP(TBL_CENARIOS[[#This Row],[ID_MASSA]],tbl_de_massas[id_massa],tbl_de_massas[fatura_aberta],"--",0,1)</f>
        <v>2760.55</v>
      </c>
      <c r="N8" s="17" t="str">
        <f>_xlfn.XLOOKUP(TBL_CENARIOS[[#This Row],[ID_MASSA]],tbl_de_massas[id_massa],tbl_de_massas[dias_atraso],"--",0,1)</f>
        <v>33</v>
      </c>
      <c r="O8" s="17">
        <v>9898</v>
      </c>
    </row>
    <row r="9" spans="1:15" x14ac:dyDescent="0.25">
      <c r="A9" s="17" t="s">
        <v>606</v>
      </c>
      <c r="B9" s="17" t="s">
        <v>2357</v>
      </c>
      <c r="C9" s="17" t="s">
        <v>2358</v>
      </c>
      <c r="D9" s="17" t="s">
        <v>2144</v>
      </c>
      <c r="E9" s="18" t="s">
        <v>613</v>
      </c>
      <c r="F9" s="24" t="str">
        <f>_xlfn.XLOOKUP(TBL_CENARIOS[[#This Row],[ID_MASSA]],tbl_de_massas[id_massa],tbl_de_massas[cpf],"--",0,1)</f>
        <v>33522298364</v>
      </c>
      <c r="G9" s="17" t="s">
        <v>12</v>
      </c>
      <c r="H9" s="17">
        <f>_xlfn.XLOOKUP(TBL_CENARIOS[[#This Row],[ID_MASSA]],tbl_de_massas[id_massa],tbl_de_massas[saldo_conta],"--",0,1)</f>
        <v>2000</v>
      </c>
      <c r="I9" s="19">
        <v>105</v>
      </c>
      <c r="J9" s="17">
        <f>_xlfn.XLOOKUP(TBL_CENARIOS[[#This Row],[ID_MASSA]],tbl_de_massas[id_massa],tbl_de_massas[limite_utilizado],"--",0,1)</f>
        <v>3054.52</v>
      </c>
      <c r="K9" s="17">
        <f>_xlfn.XLOOKUP(TBL_CENARIOS[[#This Row],[ID_MASSA]],tbl_de_massas[id_massa],tbl_de_massas[limite_disponivel],"--",0,1)</f>
        <v>1945.48</v>
      </c>
      <c r="L9" s="17">
        <f>_xlfn.XLOOKUP(TBL_CENARIOS[[#This Row],[ID_MASSA]],tbl_de_massas[id_massa],tbl_de_massas[fatura_fechada],"--",0,1)</f>
        <v>1703.77</v>
      </c>
      <c r="M9" s="17">
        <f>_xlfn.XLOOKUP(TBL_CENARIOS[[#This Row],[ID_MASSA]],tbl_de_massas[id_massa],tbl_de_massas[fatura_aberta],"--",0,1)</f>
        <v>3054.52</v>
      </c>
      <c r="N9" s="17" t="str">
        <f>_xlfn.XLOOKUP(TBL_CENARIOS[[#This Row],[ID_MASSA]],tbl_de_massas[id_massa],tbl_de_massas[dias_atraso],"--",0,1)</f>
        <v>33</v>
      </c>
      <c r="O9" s="17">
        <v>9898</v>
      </c>
    </row>
    <row r="10" spans="1:15" x14ac:dyDescent="0.25">
      <c r="A10" s="17" t="s">
        <v>2359</v>
      </c>
      <c r="B10" s="17" t="s">
        <v>2360</v>
      </c>
      <c r="C10" s="17" t="s">
        <v>2361</v>
      </c>
      <c r="D10" s="17" t="s">
        <v>2144</v>
      </c>
      <c r="E10" s="18" t="s">
        <v>615</v>
      </c>
      <c r="F10" s="24" t="str">
        <f>_xlfn.XLOOKUP(TBL_CENARIOS[[#This Row],[ID_MASSA]],tbl_de_massas[id_massa],tbl_de_massas[cpf],"--",0,1)</f>
        <v>65451936372</v>
      </c>
      <c r="G10" s="17" t="s">
        <v>12</v>
      </c>
      <c r="H10" s="17">
        <f>_xlfn.XLOOKUP(TBL_CENARIOS[[#This Row],[ID_MASSA]],tbl_de_massas[id_massa],tbl_de_massas[saldo_conta],"--",0,1)</f>
        <v>2000</v>
      </c>
      <c r="I10" s="17" t="s">
        <v>1556</v>
      </c>
      <c r="J10" s="17">
        <f>_xlfn.XLOOKUP(TBL_CENARIOS[[#This Row],[ID_MASSA]],tbl_de_massas[id_massa],tbl_de_massas[limite_utilizado],"--",0,1)</f>
        <v>2519.56</v>
      </c>
      <c r="K10" s="17">
        <f>_xlfn.XLOOKUP(TBL_CENARIOS[[#This Row],[ID_MASSA]],tbl_de_massas[id_massa],tbl_de_massas[limite_disponivel],"--",0,1)</f>
        <v>2480.44</v>
      </c>
      <c r="L10" s="17">
        <f>_xlfn.XLOOKUP(TBL_CENARIOS[[#This Row],[ID_MASSA]],tbl_de_massas[id_massa],tbl_de_massas[fatura_fechada],"--",0,1)</f>
        <v>1247.97</v>
      </c>
      <c r="M10" s="17">
        <f>_xlfn.XLOOKUP(TBL_CENARIOS[[#This Row],[ID_MASSA]],tbl_de_massas[id_massa],tbl_de_massas[fatura_aberta],"--",0,1)</f>
        <v>2519.56</v>
      </c>
      <c r="N10" s="17" t="str">
        <f>_xlfn.XLOOKUP(TBL_CENARIOS[[#This Row],[ID_MASSA]],tbl_de_massas[id_massa],tbl_de_massas[dias_atraso],"--",0,1)</f>
        <v>33</v>
      </c>
      <c r="O10" s="17">
        <v>9898</v>
      </c>
    </row>
    <row r="11" spans="1:15" x14ac:dyDescent="0.25">
      <c r="A11" s="17" t="s">
        <v>2375</v>
      </c>
      <c r="B11" s="17" t="s">
        <v>28</v>
      </c>
      <c r="C11" s="17" t="s">
        <v>29</v>
      </c>
      <c r="D11" s="17" t="s">
        <v>2366</v>
      </c>
      <c r="E11" s="18" t="s">
        <v>15</v>
      </c>
      <c r="F11" s="24" t="str">
        <f>_xlfn.XLOOKUP(TBL_CENARIOS[[#This Row],[ID_MASSA]],tbl_de_massas[id_massa],tbl_de_massas[cpf],"--",0,1)</f>
        <v>33333333333</v>
      </c>
      <c r="G11" s="17" t="s">
        <v>12</v>
      </c>
      <c r="H11" s="17">
        <f>_xlfn.XLOOKUP(TBL_CENARIOS[[#This Row],[ID_MASSA]],tbl_de_massas[id_massa],tbl_de_massas[saldo_conta],"--",0,1)</f>
        <v>1500</v>
      </c>
      <c r="I11" s="17" t="s">
        <v>2368</v>
      </c>
      <c r="J11" s="17">
        <f>_xlfn.XLOOKUP(TBL_CENARIOS[[#This Row],[ID_MASSA]],tbl_de_massas[id_massa],tbl_de_massas[limite_utilizado],"--",0,1)</f>
        <v>5706.32</v>
      </c>
      <c r="K11" s="17">
        <f>_xlfn.XLOOKUP(TBL_CENARIOS[[#This Row],[ID_MASSA]],tbl_de_massas[id_massa],tbl_de_massas[limite_disponivel],"--",0,1)</f>
        <v>-706.32</v>
      </c>
      <c r="L11" s="17">
        <f>_xlfn.XLOOKUP(TBL_CENARIOS[[#This Row],[ID_MASSA]],tbl_de_massas[id_massa],tbl_de_massas[fatura_fechada],"--",0,1)</f>
        <v>4360.91</v>
      </c>
      <c r="M11" s="17">
        <f>_xlfn.XLOOKUP(TBL_CENARIOS[[#This Row],[ID_MASSA]],tbl_de_massas[id_massa],tbl_de_massas[fatura_aberta],"--",0,1)</f>
        <v>5706.32</v>
      </c>
      <c r="N11" s="17" t="str">
        <f>_xlfn.XLOOKUP(TBL_CENARIOS[[#This Row],[ID_MASSA]],tbl_de_massas[id_massa],tbl_de_massas[dias_atraso],"--",0,1)</f>
        <v>59</v>
      </c>
      <c r="O11" s="17">
        <v>9898</v>
      </c>
    </row>
    <row r="12" spans="1:15" x14ac:dyDescent="0.25">
      <c r="A12" s="17" t="s">
        <v>2376</v>
      </c>
      <c r="B12" s="17" t="s">
        <v>2362</v>
      </c>
      <c r="C12" s="17" t="s">
        <v>2364</v>
      </c>
      <c r="D12" s="17" t="s">
        <v>2366</v>
      </c>
      <c r="E12" s="18" t="s">
        <v>15</v>
      </c>
      <c r="F12" s="24" t="str">
        <f>_xlfn.XLOOKUP(TBL_CENARIOS[[#This Row],[ID_MASSA]],tbl_de_massas[id_massa],tbl_de_massas[cpf],"--",0,1)</f>
        <v>33333333333</v>
      </c>
      <c r="G12" s="17" t="s">
        <v>12</v>
      </c>
      <c r="H12" s="17">
        <f>_xlfn.XLOOKUP(TBL_CENARIOS[[#This Row],[ID_MASSA]],tbl_de_massas[id_massa],tbl_de_massas[saldo_conta],"--",0,1)</f>
        <v>1500</v>
      </c>
      <c r="I12" s="17" t="s">
        <v>2370</v>
      </c>
      <c r="J12" s="17">
        <f>_xlfn.XLOOKUP(TBL_CENARIOS[[#This Row],[ID_MASSA]],tbl_de_massas[id_massa],tbl_de_massas[limite_utilizado],"--",0,1)</f>
        <v>5706.32</v>
      </c>
      <c r="K12" s="17">
        <f>_xlfn.XLOOKUP(TBL_CENARIOS[[#This Row],[ID_MASSA]],tbl_de_massas[id_massa],tbl_de_massas[limite_disponivel],"--",0,1)</f>
        <v>-706.32</v>
      </c>
      <c r="L12" s="17">
        <f>_xlfn.XLOOKUP(TBL_CENARIOS[[#This Row],[ID_MASSA]],tbl_de_massas[id_massa],tbl_de_massas[fatura_fechada],"--",0,1)</f>
        <v>4360.91</v>
      </c>
      <c r="M12" s="17">
        <f>_xlfn.XLOOKUP(TBL_CENARIOS[[#This Row],[ID_MASSA]],tbl_de_massas[id_massa],tbl_de_massas[fatura_aberta],"--",0,1)</f>
        <v>5706.32</v>
      </c>
      <c r="N12" s="17" t="str">
        <f>_xlfn.XLOOKUP(TBL_CENARIOS[[#This Row],[ID_MASSA]],tbl_de_massas[id_massa],tbl_de_massas[dias_atraso],"--",0,1)</f>
        <v>59</v>
      </c>
      <c r="O12" s="17">
        <v>9898</v>
      </c>
    </row>
    <row r="13" spans="1:15" x14ac:dyDescent="0.25">
      <c r="A13" s="17" t="s">
        <v>2377</v>
      </c>
      <c r="B13" s="17" t="s">
        <v>2363</v>
      </c>
      <c r="C13" s="17" t="s">
        <v>2365</v>
      </c>
      <c r="D13" s="17" t="s">
        <v>2366</v>
      </c>
      <c r="E13" s="18" t="s">
        <v>15</v>
      </c>
      <c r="F13" s="24" t="str">
        <f>_xlfn.XLOOKUP(TBL_CENARIOS[[#This Row],[ID_MASSA]],tbl_de_massas[id_massa],tbl_de_massas[cpf],"--",0,1)</f>
        <v>33333333333</v>
      </c>
      <c r="G13" s="17" t="s">
        <v>12</v>
      </c>
      <c r="H13" s="17">
        <f>_xlfn.XLOOKUP(TBL_CENARIOS[[#This Row],[ID_MASSA]],tbl_de_massas[id_massa],tbl_de_massas[saldo_conta],"--",0,1)</f>
        <v>1500</v>
      </c>
      <c r="I13" s="17" t="s">
        <v>2372</v>
      </c>
      <c r="J13" s="17">
        <f>_xlfn.XLOOKUP(TBL_CENARIOS[[#This Row],[ID_MASSA]],tbl_de_massas[id_massa],tbl_de_massas[limite_utilizado],"--",0,1)</f>
        <v>5706.32</v>
      </c>
      <c r="K13" s="17">
        <f>_xlfn.XLOOKUP(TBL_CENARIOS[[#This Row],[ID_MASSA]],tbl_de_massas[id_massa],tbl_de_massas[limite_disponivel],"--",0,1)</f>
        <v>-706.32</v>
      </c>
      <c r="L13" s="17">
        <f>_xlfn.XLOOKUP(TBL_CENARIOS[[#This Row],[ID_MASSA]],tbl_de_massas[id_massa],tbl_de_massas[fatura_fechada],"--",0,1)</f>
        <v>4360.91</v>
      </c>
      <c r="M13" s="17">
        <f>_xlfn.XLOOKUP(TBL_CENARIOS[[#This Row],[ID_MASSA]],tbl_de_massas[id_massa],tbl_de_massas[fatura_aberta],"--",0,1)</f>
        <v>5706.32</v>
      </c>
      <c r="N13" s="17" t="str">
        <f>_xlfn.XLOOKUP(TBL_CENARIOS[[#This Row],[ID_MASSA]],tbl_de_massas[id_massa],tbl_de_massas[dias_atraso],"--",0,1)</f>
        <v>59</v>
      </c>
      <c r="O13" s="17">
        <v>9898</v>
      </c>
    </row>
  </sheetData>
  <phoneticPr fontId="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E2BE3-C293-4EE6-A513-C17FACD5D1B4}">
  <dimension ref="A1:H228"/>
  <sheetViews>
    <sheetView zoomScale="140" zoomScaleNormal="140" workbookViewId="0">
      <selection activeCell="E2" sqref="E2"/>
    </sheetView>
  </sheetViews>
  <sheetFormatPr defaultRowHeight="15.75" x14ac:dyDescent="0.25"/>
  <cols>
    <col min="1" max="1" width="10.25" style="2" customWidth="1"/>
    <col min="2" max="2" width="11.625" bestFit="1" customWidth="1"/>
    <col min="3" max="3" width="13.875" bestFit="1" customWidth="1"/>
    <col min="4" max="4" width="20.125" bestFit="1" customWidth="1"/>
    <col min="5" max="5" width="28.5" bestFit="1" customWidth="1"/>
    <col min="6" max="6" width="18.75" bestFit="1" customWidth="1"/>
    <col min="7" max="7" width="15.625" customWidth="1"/>
    <col min="8" max="8" width="13.5" customWidth="1"/>
  </cols>
  <sheetData>
    <row r="1" spans="1:8" s="12" customFormat="1" ht="53.45" customHeight="1" x14ac:dyDescent="0.25">
      <c r="A1" s="15" t="s">
        <v>4</v>
      </c>
      <c r="B1" s="15" t="s">
        <v>5</v>
      </c>
      <c r="C1" s="15" t="s">
        <v>6</v>
      </c>
      <c r="D1" s="15" t="s">
        <v>2275</v>
      </c>
      <c r="E1" s="15" t="s">
        <v>2374</v>
      </c>
      <c r="F1" s="15" t="s">
        <v>2270</v>
      </c>
      <c r="G1" s="15" t="s">
        <v>2271</v>
      </c>
      <c r="H1" s="15" t="s">
        <v>2272</v>
      </c>
    </row>
    <row r="2" spans="1:8" x14ac:dyDescent="0.25">
      <c r="A2" s="2" t="s">
        <v>15</v>
      </c>
      <c r="B2" s="16" t="str">
        <f>_xlfn.XLOOKUP(TabelaCadastro[[#This Row],[ID_MASSA]],tbl_de_massas[id_massa],tbl_de_massas[cpf],"--",0,1)</f>
        <v>33333333333</v>
      </c>
      <c r="C2" t="s">
        <v>12</v>
      </c>
      <c r="D2" t="str">
        <f>_xlfn.XLOOKUP(TabelaCadastro[[#This Row],[ID_MASSA]],tbl_de_massas[id_massa],tbl_de_massas[nome_completo],"--",0,1)</f>
        <v>Daniel Costa</v>
      </c>
      <c r="E2" t="str">
        <f>_xlfn.XLOOKUP(TabelaCadastro[[#This Row],[ID_MASSA]],tbl_de_massas[id_massa],tbl_de_massas[cartao_fisico_numero],"--",0,1)</f>
        <v>5981 0126 7625 2833</v>
      </c>
      <c r="F2" t="str">
        <f>_xlfn.XLOOKUP(TabelaCadastro[[#This Row],[SENHA]],tbl_de_massas[id_massa],tbl_de_massas[fatura_fechada],"--",0,1)</f>
        <v>--</v>
      </c>
      <c r="G2" t="str">
        <f>_xlfn.XLOOKUP(TabelaCadastro[[#This Row],[Nome Completo]],tbl_de_massas[id_massa],tbl_de_massas[fatura_aberta],"--",0,1)</f>
        <v>--</v>
      </c>
      <c r="H2" t="str">
        <f>_xlfn.XLOOKUP(TabelaCadastro[[#This Row],[CARTÃO]],tbl_de_massas[id_massa],tbl_de_massas[dias_atraso],"--",0,1)</f>
        <v>--</v>
      </c>
    </row>
    <row r="3" spans="1:8" x14ac:dyDescent="0.25">
      <c r="A3" s="2" t="s">
        <v>18</v>
      </c>
      <c r="B3" s="16" t="str">
        <f>_xlfn.XLOOKUP(TabelaCadastro[[#This Row],[ID_MASSA]],tbl_de_massas[id_massa],tbl_de_massas[cpf],"--",0,1)</f>
        <v>53281863159</v>
      </c>
      <c r="C3" t="s">
        <v>12</v>
      </c>
      <c r="D3" t="str">
        <f>_xlfn.XLOOKUP(TabelaCadastro[[#This Row],[ID_MASSA]],tbl_de_massas[id_massa],tbl_de_massas[nome_completo],"--",0,1)</f>
        <v>Angel Rempel</v>
      </c>
      <c r="E3" t="str">
        <f>_xlfn.XLOOKUP(TabelaCadastro[[#This Row],[ID_MASSA]],tbl_de_massas[id_massa],tbl_de_massas[cartao_fisico_numero],"--",0,1)</f>
        <v>5442 7460 5945 2322</v>
      </c>
      <c r="F3" t="str">
        <f>_xlfn.XLOOKUP(TabelaCadastro[[#This Row],[SENHA]],tbl_de_massas[id_massa],tbl_de_massas[fatura_fechada],"--",0,1)</f>
        <v>--</v>
      </c>
      <c r="G3" t="str">
        <f>_xlfn.XLOOKUP(TabelaCadastro[[#This Row],[Nome Completo]],tbl_de_massas[id_massa],tbl_de_massas[fatura_aberta],"--",0,1)</f>
        <v>--</v>
      </c>
      <c r="H3" t="str">
        <f>_xlfn.XLOOKUP(TabelaCadastro[[#This Row],[CARTÃO]],tbl_de_massas[id_massa],tbl_de_massas[dias_atraso],"--",0,1)</f>
        <v>--</v>
      </c>
    </row>
    <row r="4" spans="1:8" x14ac:dyDescent="0.25">
      <c r="A4" s="2" t="s">
        <v>21</v>
      </c>
      <c r="B4" s="16" t="str">
        <f>_xlfn.XLOOKUP(TabelaCadastro[[#This Row],[ID_MASSA]],tbl_de_massas[id_massa],tbl_de_massas[cpf],"--",0,1)</f>
        <v>93852856961</v>
      </c>
      <c r="C4" t="s">
        <v>12</v>
      </c>
      <c r="D4" t="str">
        <f>_xlfn.XLOOKUP(TabelaCadastro[[#This Row],[ID_MASSA]],tbl_de_massas[id_massa],tbl_de_massas[nome_completo],"--",0,1)</f>
        <v>Natália Moraes</v>
      </c>
      <c r="E4" t="str">
        <f>_xlfn.XLOOKUP(TabelaCadastro[[#This Row],[ID_MASSA]],tbl_de_massas[id_massa],tbl_de_massas[cartao_fisico_numero],"--",0,1)</f>
        <v>5442 7460 1816 6483</v>
      </c>
      <c r="F4" t="str">
        <f>_xlfn.XLOOKUP(TabelaCadastro[[#This Row],[SENHA]],tbl_de_massas[id_massa],tbl_de_massas[fatura_fechada],"--",0,1)</f>
        <v>--</v>
      </c>
      <c r="G4" t="str">
        <f>_xlfn.XLOOKUP(TabelaCadastro[[#This Row],[Nome Completo]],tbl_de_massas[id_massa],tbl_de_massas[fatura_aberta],"--",0,1)</f>
        <v>--</v>
      </c>
      <c r="H4" t="str">
        <f>_xlfn.XLOOKUP(TabelaCadastro[[#This Row],[CARTÃO]],tbl_de_massas[id_massa],tbl_de_massas[dias_atraso],"--",0,1)</f>
        <v>--</v>
      </c>
    </row>
    <row r="5" spans="1:8" x14ac:dyDescent="0.25">
      <c r="A5" s="2" t="s">
        <v>24</v>
      </c>
      <c r="B5" s="16" t="str">
        <f>_xlfn.XLOOKUP(TabelaCadastro[[#This Row],[ID_MASSA]],tbl_de_massas[id_massa],tbl_de_massas[cpf],"--",0,1)</f>
        <v>20250513611</v>
      </c>
      <c r="C5" t="s">
        <v>12</v>
      </c>
      <c r="D5" t="str">
        <f>_xlfn.XLOOKUP(TabelaCadastro[[#This Row],[ID_MASSA]],tbl_de_massas[id_massa],tbl_de_massas[nome_completo],"--",0,1)</f>
        <v>Karla Melo</v>
      </c>
      <c r="E5" t="str">
        <f>_xlfn.XLOOKUP(TabelaCadastro[[#This Row],[ID_MASSA]],tbl_de_massas[id_massa],tbl_de_massas[cartao_fisico_numero],"--",0,1)</f>
        <v>5442 7460 6785 5678</v>
      </c>
      <c r="F5" t="str">
        <f>_xlfn.XLOOKUP(TabelaCadastro[[#This Row],[SENHA]],tbl_de_massas[id_massa],tbl_de_massas[fatura_fechada],"--",0,1)</f>
        <v>--</v>
      </c>
      <c r="G5" t="str">
        <f>_xlfn.XLOOKUP(TabelaCadastro[[#This Row],[Nome Completo]],tbl_de_massas[id_massa],tbl_de_massas[fatura_aberta],"--",0,1)</f>
        <v>--</v>
      </c>
      <c r="H5" t="str">
        <f>_xlfn.XLOOKUP(TabelaCadastro[[#This Row],[CARTÃO]],tbl_de_massas[id_massa],tbl_de_massas[dias_atraso],"--",0,1)</f>
        <v>--</v>
      </c>
    </row>
    <row r="6" spans="1:8" x14ac:dyDescent="0.25">
      <c r="A6" s="2" t="s">
        <v>27</v>
      </c>
      <c r="B6" s="16" t="str">
        <f>_xlfn.XLOOKUP(TabelaCadastro[[#This Row],[ID_MASSA]],tbl_de_massas[id_massa],tbl_de_massas[cpf],"--",0,1)</f>
        <v>80417045181</v>
      </c>
      <c r="C6" t="s">
        <v>12</v>
      </c>
      <c r="D6" t="str">
        <f>_xlfn.XLOOKUP(TabelaCadastro[[#This Row],[ID_MASSA]],tbl_de_massas[id_massa],tbl_de_massas[nome_completo],"--",0,1)</f>
        <v>Marli Carvalho</v>
      </c>
      <c r="E6" t="str">
        <f>_xlfn.XLOOKUP(TabelaCadastro[[#This Row],[ID_MASSA]],tbl_de_massas[id_massa],tbl_de_massas[cartao_fisico_numero],"--",0,1)</f>
        <v>5442 7460 5473 5974</v>
      </c>
      <c r="F6" t="str">
        <f>_xlfn.XLOOKUP(TabelaCadastro[[#This Row],[SENHA]],tbl_de_massas[id_massa],tbl_de_massas[fatura_fechada],"--",0,1)</f>
        <v>--</v>
      </c>
      <c r="G6" t="str">
        <f>_xlfn.XLOOKUP(TabelaCadastro[[#This Row],[Nome Completo]],tbl_de_massas[id_massa],tbl_de_massas[fatura_aberta],"--",0,1)</f>
        <v>--</v>
      </c>
      <c r="H6" t="str">
        <f>_xlfn.XLOOKUP(TabelaCadastro[[#This Row],[CARTÃO]],tbl_de_massas[id_massa],tbl_de_massas[dias_atraso],"--",0,1)</f>
        <v>--</v>
      </c>
    </row>
    <row r="7" spans="1:8" x14ac:dyDescent="0.25">
      <c r="A7" s="2" t="s">
        <v>610</v>
      </c>
      <c r="B7" s="16" t="str">
        <f>_xlfn.XLOOKUP(TabelaCadastro[[#This Row],[ID_MASSA]],tbl_de_massas[id_massa],tbl_de_massas[cpf],"--",0,1)</f>
        <v>51243235758</v>
      </c>
      <c r="C7" t="s">
        <v>12</v>
      </c>
      <c r="D7" t="str">
        <f>_xlfn.XLOOKUP(TabelaCadastro[[#This Row],[ID_MASSA]],tbl_de_massas[id_massa],tbl_de_massas[nome_completo],"--",0,1)</f>
        <v>Rebeca Moreira</v>
      </c>
      <c r="E7" t="str">
        <f>_xlfn.XLOOKUP(TabelaCadastro[[#This Row],[ID_MASSA]],tbl_de_massas[id_massa],tbl_de_massas[cartao_fisico_numero],"--",0,1)</f>
        <v>5442 7460 9444 2887</v>
      </c>
      <c r="F7" t="str">
        <f>_xlfn.XLOOKUP(TabelaCadastro[[#This Row],[SENHA]],tbl_de_massas[id_massa],tbl_de_massas[fatura_fechada],"--",0,1)</f>
        <v>--</v>
      </c>
      <c r="G7" t="str">
        <f>_xlfn.XLOOKUP(TabelaCadastro[[#This Row],[Nome Completo]],tbl_de_massas[id_massa],tbl_de_massas[fatura_aberta],"--",0,1)</f>
        <v>--</v>
      </c>
      <c r="H7" t="str">
        <f>_xlfn.XLOOKUP(TabelaCadastro[[#This Row],[CARTÃO]],tbl_de_massas[id_massa],tbl_de_massas[dias_atraso],"--",0,1)</f>
        <v>--</v>
      </c>
    </row>
    <row r="8" spans="1:8" x14ac:dyDescent="0.25">
      <c r="A8" s="2" t="s">
        <v>611</v>
      </c>
      <c r="B8" s="16" t="str">
        <f>_xlfn.XLOOKUP(TabelaCadastro[[#This Row],[ID_MASSA]],tbl_de_massas[id_massa],tbl_de_massas[cpf],"--",0,1)</f>
        <v>42975897884</v>
      </c>
      <c r="C8" t="s">
        <v>12</v>
      </c>
      <c r="D8" t="str">
        <f>_xlfn.XLOOKUP(TabelaCadastro[[#This Row],[ID_MASSA]],tbl_de_massas[id_massa],tbl_de_massas[nome_completo],"--",0,1)</f>
        <v>Rafael Moreira</v>
      </c>
      <c r="E8" t="str">
        <f>_xlfn.XLOOKUP(TabelaCadastro[[#This Row],[ID_MASSA]],tbl_de_massas[id_massa],tbl_de_massas[cartao_fisico_numero],"--",0,1)</f>
        <v>5442 7460 6663 2979</v>
      </c>
      <c r="F8" t="str">
        <f>_xlfn.XLOOKUP(TabelaCadastro[[#This Row],[SENHA]],tbl_de_massas[id_massa],tbl_de_massas[fatura_fechada],"--",0,1)</f>
        <v>--</v>
      </c>
      <c r="G8" t="str">
        <f>_xlfn.XLOOKUP(TabelaCadastro[[#This Row],[Nome Completo]],tbl_de_massas[id_massa],tbl_de_massas[fatura_aberta],"--",0,1)</f>
        <v>--</v>
      </c>
      <c r="H8" t="str">
        <f>_xlfn.XLOOKUP(TabelaCadastro[[#This Row],[CARTÃO]],tbl_de_massas[id_massa],tbl_de_massas[dias_atraso],"--",0,1)</f>
        <v>--</v>
      </c>
    </row>
    <row r="9" spans="1:8" x14ac:dyDescent="0.25">
      <c r="A9" s="2" t="s">
        <v>613</v>
      </c>
      <c r="B9" s="16" t="str">
        <f>_xlfn.XLOOKUP(TabelaCadastro[[#This Row],[ID_MASSA]],tbl_de_massas[id_massa],tbl_de_massas[cpf],"--",0,1)</f>
        <v>33522298364</v>
      </c>
      <c r="C9" t="s">
        <v>12</v>
      </c>
      <c r="D9" t="str">
        <f>_xlfn.XLOOKUP(TabelaCadastro[[#This Row],[ID_MASSA]],tbl_de_massas[id_massa],tbl_de_massas[nome_completo],"--",0,1)</f>
        <v>Paula Barros</v>
      </c>
      <c r="E9" t="str">
        <f>_xlfn.XLOOKUP(TabelaCadastro[[#This Row],[ID_MASSA]],tbl_de_massas[id_massa],tbl_de_massas[cartao_fisico_numero],"--",0,1)</f>
        <v>5442 7460 8142 6976</v>
      </c>
      <c r="F9" t="str">
        <f>_xlfn.XLOOKUP(TabelaCadastro[[#This Row],[SENHA]],tbl_de_massas[id_massa],tbl_de_massas[fatura_fechada],"--",0,1)</f>
        <v>--</v>
      </c>
      <c r="G9" t="str">
        <f>_xlfn.XLOOKUP(TabelaCadastro[[#This Row],[Nome Completo]],tbl_de_massas[id_massa],tbl_de_massas[fatura_aberta],"--",0,1)</f>
        <v>--</v>
      </c>
      <c r="H9" t="str">
        <f>_xlfn.XLOOKUP(TabelaCadastro[[#This Row],[CARTÃO]],tbl_de_massas[id_massa],tbl_de_massas[dias_atraso],"--",0,1)</f>
        <v>--</v>
      </c>
    </row>
    <row r="10" spans="1:8" x14ac:dyDescent="0.25">
      <c r="A10" s="2" t="s">
        <v>615</v>
      </c>
      <c r="B10" s="16" t="str">
        <f>_xlfn.XLOOKUP(TabelaCadastro[[#This Row],[ID_MASSA]],tbl_de_massas[id_massa],tbl_de_massas[cpf],"--",0,1)</f>
        <v>65451936372</v>
      </c>
      <c r="C10" t="s">
        <v>12</v>
      </c>
      <c r="D10" t="str">
        <f>_xlfn.XLOOKUP(TabelaCadastro[[#This Row],[ID_MASSA]],tbl_de_massas[id_massa],tbl_de_massas[nome_completo],"--",0,1)</f>
        <v>Dalila Batista</v>
      </c>
      <c r="E10" t="str">
        <f>_xlfn.XLOOKUP(TabelaCadastro[[#This Row],[ID_MASSA]],tbl_de_massas[id_massa],tbl_de_massas[cartao_fisico_numero],"--",0,1)</f>
        <v>5442 7460 4485 1604</v>
      </c>
      <c r="F10" t="str">
        <f>_xlfn.XLOOKUP(TabelaCadastro[[#This Row],[SENHA]],tbl_de_massas[id_massa],tbl_de_massas[fatura_fechada],"--",0,1)</f>
        <v>--</v>
      </c>
      <c r="G10" t="str">
        <f>_xlfn.XLOOKUP(TabelaCadastro[[#This Row],[Nome Completo]],tbl_de_massas[id_massa],tbl_de_massas[fatura_aberta],"--",0,1)</f>
        <v>--</v>
      </c>
      <c r="H10" t="str">
        <f>_xlfn.XLOOKUP(TabelaCadastro[[#This Row],[CARTÃO]],tbl_de_massas[id_massa],tbl_de_massas[dias_atraso],"--",0,1)</f>
        <v>--</v>
      </c>
    </row>
    <row r="11" spans="1:8" x14ac:dyDescent="0.25">
      <c r="A11" s="2" t="s">
        <v>614</v>
      </c>
      <c r="B11" s="16" t="str">
        <f>_xlfn.XLOOKUP(TabelaCadastro[[#This Row],[ID_MASSA]],tbl_de_massas[id_massa],tbl_de_massas[cpf],"--",0,1)</f>
        <v>48431018434</v>
      </c>
      <c r="C11" t="s">
        <v>12</v>
      </c>
      <c r="D11" t="str">
        <f>_xlfn.XLOOKUP(TabelaCadastro[[#This Row],[ID_MASSA]],tbl_de_massas[id_massa],tbl_de_massas[nome_completo],"--",0,1)</f>
        <v>Opal King</v>
      </c>
      <c r="E11" t="str">
        <f>_xlfn.XLOOKUP(TabelaCadastro[[#This Row],[ID_MASSA]],tbl_de_massas[id_massa],tbl_de_massas[cartao_fisico_numero],"--",0,1)</f>
        <v>5442 7460 2097 3752</v>
      </c>
      <c r="F11" t="str">
        <f>_xlfn.XLOOKUP(TabelaCadastro[[#This Row],[SENHA]],tbl_de_massas[id_massa],tbl_de_massas[fatura_fechada],"--",0,1)</f>
        <v>--</v>
      </c>
      <c r="G11" t="str">
        <f>_xlfn.XLOOKUP(TabelaCadastro[[#This Row],[Nome Completo]],tbl_de_massas[id_massa],tbl_de_massas[fatura_aberta],"--",0,1)</f>
        <v>--</v>
      </c>
      <c r="H11" t="str">
        <f>_xlfn.XLOOKUP(TabelaCadastro[[#This Row],[CARTÃO]],tbl_de_massas[id_massa],tbl_de_massas[dias_atraso],"--",0,1)</f>
        <v>--</v>
      </c>
    </row>
    <row r="12" spans="1:8" x14ac:dyDescent="0.25">
      <c r="A12" s="2" t="s">
        <v>616</v>
      </c>
      <c r="B12" s="16" t="str">
        <f>_xlfn.XLOOKUP(TabelaCadastro[[#This Row],[ID_MASSA]],tbl_de_massas[id_massa],tbl_de_massas[cpf],"--",0,1)</f>
        <v>57673944623</v>
      </c>
      <c r="C12" t="s">
        <v>12</v>
      </c>
      <c r="D12" t="str">
        <f>_xlfn.XLOOKUP(TabelaCadastro[[#This Row],[ID_MASSA]],tbl_de_massas[id_massa],tbl_de_massas[nome_completo],"--",0,1)</f>
        <v>Ira Morar</v>
      </c>
      <c r="E12" t="str">
        <f>_xlfn.XLOOKUP(TabelaCadastro[[#This Row],[ID_MASSA]],tbl_de_massas[id_massa],tbl_de_massas[cartao_fisico_numero],"--",0,1)</f>
        <v>5442 7460 5075 1068</v>
      </c>
      <c r="F12" t="str">
        <f>_xlfn.XLOOKUP(TabelaCadastro[[#This Row],[SENHA]],tbl_de_massas[id_massa],tbl_de_massas[fatura_fechada],"--",0,1)</f>
        <v>--</v>
      </c>
      <c r="G12" t="str">
        <f>_xlfn.XLOOKUP(TabelaCadastro[[#This Row],[Nome Completo]],tbl_de_massas[id_massa],tbl_de_massas[fatura_aberta],"--",0,1)</f>
        <v>--</v>
      </c>
      <c r="H12" t="str">
        <f>_xlfn.XLOOKUP(TabelaCadastro[[#This Row],[CARTÃO]],tbl_de_massas[id_massa],tbl_de_massas[dias_atraso],"--",0,1)</f>
        <v>--</v>
      </c>
    </row>
    <row r="13" spans="1:8" x14ac:dyDescent="0.25">
      <c r="A13" s="2" t="s">
        <v>617</v>
      </c>
      <c r="B13" s="16" t="str">
        <f>_xlfn.XLOOKUP(TabelaCadastro[[#This Row],[ID_MASSA]],tbl_de_massas[id_massa],tbl_de_massas[cpf],"--",0,1)</f>
        <v>66414169091</v>
      </c>
      <c r="C13" t="s">
        <v>12</v>
      </c>
      <c r="D13" t="str">
        <f>_xlfn.XLOOKUP(TabelaCadastro[[#This Row],[ID_MASSA]],tbl_de_massas[id_massa],tbl_de_massas[nome_completo],"--",0,1)</f>
        <v>Coy Schmeler</v>
      </c>
      <c r="E13" t="str">
        <f>_xlfn.XLOOKUP(TabelaCadastro[[#This Row],[ID_MASSA]],tbl_de_massas[id_massa],tbl_de_massas[cartao_fisico_numero],"--",0,1)</f>
        <v>5442 7460 4969 9232</v>
      </c>
      <c r="F13" t="str">
        <f>_xlfn.XLOOKUP(TabelaCadastro[[#This Row],[SENHA]],tbl_de_massas[id_massa],tbl_de_massas[fatura_fechada],"--",0,1)</f>
        <v>--</v>
      </c>
      <c r="G13" t="str">
        <f>_xlfn.XLOOKUP(TabelaCadastro[[#This Row],[Nome Completo]],tbl_de_massas[id_massa],tbl_de_massas[fatura_aberta],"--",0,1)</f>
        <v>--</v>
      </c>
      <c r="H13" t="str">
        <f>_xlfn.XLOOKUP(TabelaCadastro[[#This Row],[CARTÃO]],tbl_de_massas[id_massa],tbl_de_massas[dias_atraso],"--",0,1)</f>
        <v>--</v>
      </c>
    </row>
    <row r="14" spans="1:8" x14ac:dyDescent="0.25">
      <c r="A14" s="2" t="s">
        <v>618</v>
      </c>
      <c r="B14" s="16" t="str">
        <f>_xlfn.XLOOKUP(TabelaCadastro[[#This Row],[ID_MASSA]],tbl_de_massas[id_massa],tbl_de_massas[cpf],"--",0,1)</f>
        <v>24930613945</v>
      </c>
      <c r="C14" t="s">
        <v>12</v>
      </c>
      <c r="D14" t="str">
        <f>_xlfn.XLOOKUP(TabelaCadastro[[#This Row],[ID_MASSA]],tbl_de_massas[id_massa],tbl_de_massas[nome_completo],"--",0,1)</f>
        <v>Lane Larkin</v>
      </c>
      <c r="E14" t="str">
        <f>_xlfn.XLOOKUP(TabelaCadastro[[#This Row],[ID_MASSA]],tbl_de_massas[id_massa],tbl_de_massas[cartao_fisico_numero],"--",0,1)</f>
        <v>5442 7460 3631 2648</v>
      </c>
      <c r="F14" t="str">
        <f>_xlfn.XLOOKUP(TabelaCadastro[[#This Row],[SENHA]],tbl_de_massas[id_massa],tbl_de_massas[fatura_fechada],"--",0,1)</f>
        <v>--</v>
      </c>
      <c r="G14" t="str">
        <f>_xlfn.XLOOKUP(TabelaCadastro[[#This Row],[Nome Completo]],tbl_de_massas[id_massa],tbl_de_massas[fatura_aberta],"--",0,1)</f>
        <v>--</v>
      </c>
      <c r="H14" t="str">
        <f>_xlfn.XLOOKUP(TabelaCadastro[[#This Row],[CARTÃO]],tbl_de_massas[id_massa],tbl_de_massas[dias_atraso],"--",0,1)</f>
        <v>--</v>
      </c>
    </row>
    <row r="15" spans="1:8" x14ac:dyDescent="0.25">
      <c r="A15" s="2" t="s">
        <v>619</v>
      </c>
      <c r="B15" s="16" t="str">
        <f>_xlfn.XLOOKUP(TabelaCadastro[[#This Row],[ID_MASSA]],tbl_de_massas[id_massa],tbl_de_massas[cpf],"--",0,1)</f>
        <v>72856446096</v>
      </c>
      <c r="C15" t="s">
        <v>12</v>
      </c>
      <c r="D15" t="str">
        <f>_xlfn.XLOOKUP(TabelaCadastro[[#This Row],[ID_MASSA]],tbl_de_massas[id_massa],tbl_de_massas[nome_completo],"--",0,1)</f>
        <v>Marvin Dietrich</v>
      </c>
      <c r="E15" t="str">
        <f>_xlfn.XLOOKUP(TabelaCadastro[[#This Row],[ID_MASSA]],tbl_de_massas[id_massa],tbl_de_massas[cartao_fisico_numero],"--",0,1)</f>
        <v>5442 7460 1716 7924</v>
      </c>
      <c r="F15" t="str">
        <f>_xlfn.XLOOKUP(TabelaCadastro[[#This Row],[SENHA]],tbl_de_massas[id_massa],tbl_de_massas[fatura_fechada],"--",0,1)</f>
        <v>--</v>
      </c>
      <c r="G15" t="str">
        <f>_xlfn.XLOOKUP(TabelaCadastro[[#This Row],[Nome Completo]],tbl_de_massas[id_massa],tbl_de_massas[fatura_aberta],"--",0,1)</f>
        <v>--</v>
      </c>
      <c r="H15" t="str">
        <f>_xlfn.XLOOKUP(TabelaCadastro[[#This Row],[CARTÃO]],tbl_de_massas[id_massa],tbl_de_massas[dias_atraso],"--",0,1)</f>
        <v>--</v>
      </c>
    </row>
    <row r="16" spans="1:8" x14ac:dyDescent="0.25">
      <c r="A16" s="2" t="s">
        <v>1292</v>
      </c>
      <c r="B16" s="16" t="str">
        <f>_xlfn.XLOOKUP(TabelaCadastro[[#This Row],[ID_MASSA]],tbl_de_massas[id_massa],tbl_de_massas[cpf],"--",0,1)</f>
        <v>25713468361</v>
      </c>
      <c r="C16" t="s">
        <v>12</v>
      </c>
      <c r="D16" t="str">
        <f>_xlfn.XLOOKUP(TabelaCadastro[[#This Row],[ID_MASSA]],tbl_de_massas[id_massa],tbl_de_massas[nome_completo],"--",0,1)</f>
        <v>Alícia Barros</v>
      </c>
      <c r="E16" t="str">
        <f>_xlfn.XLOOKUP(TabelaCadastro[[#This Row],[ID_MASSA]],tbl_de_massas[id_massa],tbl_de_massas[cartao_fisico_numero],"--",0,1)</f>
        <v>5442 7460 6629 7624</v>
      </c>
      <c r="F16" t="str">
        <f>_xlfn.XLOOKUP(TabelaCadastro[[#This Row],[SENHA]],tbl_de_massas[id_massa],tbl_de_massas[fatura_fechada],"--",0,1)</f>
        <v>--</v>
      </c>
      <c r="G16" t="str">
        <f>_xlfn.XLOOKUP(TabelaCadastro[[#This Row],[Nome Completo]],tbl_de_massas[id_massa],tbl_de_massas[fatura_aberta],"--",0,1)</f>
        <v>--</v>
      </c>
      <c r="H16" t="str">
        <f>_xlfn.XLOOKUP(TabelaCadastro[[#This Row],[CARTÃO]],tbl_de_massas[id_massa],tbl_de_massas[dias_atraso],"--",0,1)</f>
        <v>--</v>
      </c>
    </row>
    <row r="17" spans="1:8" x14ac:dyDescent="0.25">
      <c r="A17" s="2" t="s">
        <v>2276</v>
      </c>
      <c r="B17" s="16" t="str">
        <f>_xlfn.XLOOKUP(TabelaCadastro[[#This Row],[ID_MASSA]],tbl_de_massas[id_massa],tbl_de_massas[cpf],"--",0,1)</f>
        <v>73012176728</v>
      </c>
      <c r="C17" t="s">
        <v>12</v>
      </c>
      <c r="D17" t="str">
        <f>_xlfn.XLOOKUP(TabelaCadastro[[#This Row],[ID_MASSA]],tbl_de_massas[id_massa],tbl_de_massas[nome_completo],"--",0,1)</f>
        <v>Elísio Souza</v>
      </c>
      <c r="E17" t="str">
        <f>_xlfn.XLOOKUP(TabelaCadastro[[#This Row],[ID_MASSA]],tbl_de_massas[id_massa],tbl_de_massas[cartao_fisico_numero],"--",0,1)</f>
        <v>5442 7460 8105 6141</v>
      </c>
      <c r="F17" t="str">
        <f>_xlfn.XLOOKUP(TabelaCadastro[[#This Row],[SENHA]],tbl_de_massas[id_massa],tbl_de_massas[fatura_fechada],"--",0,1)</f>
        <v>--</v>
      </c>
      <c r="G17" t="str">
        <f>_xlfn.XLOOKUP(TabelaCadastro[[#This Row],[Nome Completo]],tbl_de_massas[id_massa],tbl_de_massas[fatura_aberta],"--",0,1)</f>
        <v>--</v>
      </c>
      <c r="H17" t="str">
        <f>_xlfn.XLOOKUP(TabelaCadastro[[#This Row],[CARTÃO]],tbl_de_massas[id_massa],tbl_de_massas[dias_atraso],"--",0,1)</f>
        <v>--</v>
      </c>
    </row>
    <row r="18" spans="1:8" x14ac:dyDescent="0.25">
      <c r="A18" s="2" t="s">
        <v>1293</v>
      </c>
      <c r="B18" s="16" t="str">
        <f>_xlfn.XLOOKUP(TabelaCadastro[[#This Row],[ID_MASSA]],tbl_de_massas[id_massa],tbl_de_massas[cpf],"--",0,1)</f>
        <v>18011225638</v>
      </c>
      <c r="C18" t="s">
        <v>12</v>
      </c>
      <c r="D18" t="str">
        <f>_xlfn.XLOOKUP(TabelaCadastro[[#This Row],[ID_MASSA]],tbl_de_massas[id_massa],tbl_de_massas[nome_completo],"--",0,1)</f>
        <v>Alice Albuquerque</v>
      </c>
      <c r="E18" t="str">
        <f>_xlfn.XLOOKUP(TabelaCadastro[[#This Row],[ID_MASSA]],tbl_de_massas[id_massa],tbl_de_massas[cartao_fisico_numero],"--",0,1)</f>
        <v>5442 7460 2184 6661</v>
      </c>
      <c r="F18" t="str">
        <f>_xlfn.XLOOKUP(TabelaCadastro[[#This Row],[SENHA]],tbl_de_massas[id_massa],tbl_de_massas[fatura_fechada],"--",0,1)</f>
        <v>--</v>
      </c>
      <c r="G18" t="str">
        <f>_xlfn.XLOOKUP(TabelaCadastro[[#This Row],[Nome Completo]],tbl_de_massas[id_massa],tbl_de_massas[fatura_aberta],"--",0,1)</f>
        <v>--</v>
      </c>
      <c r="H18" t="str">
        <f>_xlfn.XLOOKUP(TabelaCadastro[[#This Row],[CARTÃO]],tbl_de_massas[id_massa],tbl_de_massas[dias_atraso],"--",0,1)</f>
        <v>--</v>
      </c>
    </row>
    <row r="19" spans="1:8" x14ac:dyDescent="0.25">
      <c r="A19" s="2" t="s">
        <v>2277</v>
      </c>
      <c r="B19" s="16" t="str">
        <f>_xlfn.XLOOKUP(TabelaCadastro[[#This Row],[ID_MASSA]],tbl_de_massas[id_massa],tbl_de_massas[cpf],"--",0,1)</f>
        <v>76726514039</v>
      </c>
      <c r="C19" t="s">
        <v>12</v>
      </c>
      <c r="D19" t="str">
        <f>_xlfn.XLOOKUP(TabelaCadastro[[#This Row],[ID_MASSA]],tbl_de_massas[id_massa],tbl_de_massas[nome_completo],"--",0,1)</f>
        <v>Rafael Xavier</v>
      </c>
      <c r="E19" t="str">
        <f>_xlfn.XLOOKUP(TabelaCadastro[[#This Row],[ID_MASSA]],tbl_de_massas[id_massa],tbl_de_massas[cartao_fisico_numero],"--",0,1)</f>
        <v>5442 7460 2091 1845</v>
      </c>
      <c r="F19" t="str">
        <f>_xlfn.XLOOKUP(TabelaCadastro[[#This Row],[SENHA]],tbl_de_massas[id_massa],tbl_de_massas[fatura_fechada],"--",0,1)</f>
        <v>--</v>
      </c>
      <c r="G19" t="str">
        <f>_xlfn.XLOOKUP(TabelaCadastro[[#This Row],[Nome Completo]],tbl_de_massas[id_massa],tbl_de_massas[fatura_aberta],"--",0,1)</f>
        <v>--</v>
      </c>
      <c r="H19" t="str">
        <f>_xlfn.XLOOKUP(TabelaCadastro[[#This Row],[CARTÃO]],tbl_de_massas[id_massa],tbl_de_massas[dias_atraso],"--",0,1)</f>
        <v>--</v>
      </c>
    </row>
    <row r="20" spans="1:8" x14ac:dyDescent="0.25">
      <c r="A20" s="2" t="s">
        <v>2278</v>
      </c>
      <c r="B20" s="16" t="str">
        <f>_xlfn.XLOOKUP(TabelaCadastro[[#This Row],[ID_MASSA]],tbl_de_massas[id_massa],tbl_de_massas[cpf],"--",0,1)</f>
        <v>34272175349</v>
      </c>
      <c r="C20" t="s">
        <v>12</v>
      </c>
      <c r="D20" t="str">
        <f>_xlfn.XLOOKUP(TabelaCadastro[[#This Row],[ID_MASSA]],tbl_de_massas[id_massa],tbl_de_massas[nome_completo],"--",0,1)</f>
        <v>César Braga</v>
      </c>
      <c r="E20" t="str">
        <f>_xlfn.XLOOKUP(TabelaCadastro[[#This Row],[ID_MASSA]],tbl_de_massas[id_massa],tbl_de_massas[cartao_fisico_numero],"--",0,1)</f>
        <v>5442 7460 4625 0111</v>
      </c>
      <c r="F20" t="str">
        <f>_xlfn.XLOOKUP(TabelaCadastro[[#This Row],[SENHA]],tbl_de_massas[id_massa],tbl_de_massas[fatura_fechada],"--",0,1)</f>
        <v>--</v>
      </c>
      <c r="G20" t="str">
        <f>_xlfn.XLOOKUP(TabelaCadastro[[#This Row],[Nome Completo]],tbl_de_massas[id_massa],tbl_de_massas[fatura_aberta],"--",0,1)</f>
        <v>--</v>
      </c>
      <c r="H20" t="str">
        <f>_xlfn.XLOOKUP(TabelaCadastro[[#This Row],[CARTÃO]],tbl_de_massas[id_massa],tbl_de_massas[dias_atraso],"--",0,1)</f>
        <v>--</v>
      </c>
    </row>
    <row r="21" spans="1:8" x14ac:dyDescent="0.25">
      <c r="A21" s="2" t="s">
        <v>2279</v>
      </c>
      <c r="B21" s="16" t="str">
        <f>_xlfn.XLOOKUP(TabelaCadastro[[#This Row],[ID_MASSA]],tbl_de_massas[id_massa],tbl_de_massas[cpf],"--",0,1)</f>
        <v>18956389652</v>
      </c>
      <c r="C21" t="s">
        <v>12</v>
      </c>
      <c r="D21" t="str">
        <f>_xlfn.XLOOKUP(TabelaCadastro[[#This Row],[ID_MASSA]],tbl_de_massas[id_massa],tbl_de_massas[nome_completo],"--",0,1)</f>
        <v>João Miguel Silva</v>
      </c>
      <c r="E21" t="str">
        <f>_xlfn.XLOOKUP(TabelaCadastro[[#This Row],[ID_MASSA]],tbl_de_massas[id_massa],tbl_de_massas[cartao_fisico_numero],"--",0,1)</f>
        <v>5442 7460 8520 0590</v>
      </c>
      <c r="F21" t="str">
        <f>_xlfn.XLOOKUP(TabelaCadastro[[#This Row],[SENHA]],tbl_de_massas[id_massa],tbl_de_massas[fatura_fechada],"--",0,1)</f>
        <v>--</v>
      </c>
      <c r="G21" t="str">
        <f>_xlfn.XLOOKUP(TabelaCadastro[[#This Row],[Nome Completo]],tbl_de_massas[id_massa],tbl_de_massas[fatura_aberta],"--",0,1)</f>
        <v>--</v>
      </c>
      <c r="H21" t="str">
        <f>_xlfn.XLOOKUP(TabelaCadastro[[#This Row],[CARTÃO]],tbl_de_massas[id_massa],tbl_de_massas[dias_atraso],"--",0,1)</f>
        <v>--</v>
      </c>
    </row>
    <row r="22" spans="1:8" x14ac:dyDescent="0.25">
      <c r="A22" s="2" t="s">
        <v>2280</v>
      </c>
      <c r="B22" s="16" t="str">
        <f>_xlfn.XLOOKUP(TabelaCadastro[[#This Row],[ID_MASSA]],tbl_de_massas[id_massa],tbl_de_massas[cpf],"--",0,1)</f>
        <v>90917191782</v>
      </c>
      <c r="C22" t="s">
        <v>12</v>
      </c>
      <c r="D22" t="str">
        <f>_xlfn.XLOOKUP(TabelaCadastro[[#This Row],[ID_MASSA]],tbl_de_massas[id_massa],tbl_de_massas[nome_completo],"--",0,1)</f>
        <v>Beatriz Franco</v>
      </c>
      <c r="E22" t="str">
        <f>_xlfn.XLOOKUP(TabelaCadastro[[#This Row],[ID_MASSA]],tbl_de_massas[id_massa],tbl_de_massas[cartao_fisico_numero],"--",0,1)</f>
        <v>5442 7460 1171 2107</v>
      </c>
      <c r="F22" t="str">
        <f>_xlfn.XLOOKUP(TabelaCadastro[[#This Row],[SENHA]],tbl_de_massas[id_massa],tbl_de_massas[fatura_fechada],"--",0,1)</f>
        <v>--</v>
      </c>
      <c r="G22" t="str">
        <f>_xlfn.XLOOKUP(TabelaCadastro[[#This Row],[Nome Completo]],tbl_de_massas[id_massa],tbl_de_massas[fatura_aberta],"--",0,1)</f>
        <v>--</v>
      </c>
      <c r="H22" t="str">
        <f>_xlfn.XLOOKUP(TabelaCadastro[[#This Row],[CARTÃO]],tbl_de_massas[id_massa],tbl_de_massas[dias_atraso],"--",0,1)</f>
        <v>--</v>
      </c>
    </row>
    <row r="23" spans="1:8" x14ac:dyDescent="0.25">
      <c r="A23" s="2" t="s">
        <v>2281</v>
      </c>
      <c r="B23" s="16" t="str">
        <f>_xlfn.XLOOKUP(TabelaCadastro[[#This Row],[ID_MASSA]],tbl_de_massas[id_massa],tbl_de_massas[cpf],"--",0,1)</f>
        <v>42718533218</v>
      </c>
      <c r="C23" t="s">
        <v>12</v>
      </c>
      <c r="D23" t="str">
        <f>_xlfn.XLOOKUP(TabelaCadastro[[#This Row],[ID_MASSA]],tbl_de_massas[id_massa],tbl_de_massas[nome_completo],"--",0,1)</f>
        <v>Angilran Morin</v>
      </c>
      <c r="E23" t="str">
        <f>_xlfn.XLOOKUP(TabelaCadastro[[#This Row],[ID_MASSA]],tbl_de_massas[id_massa],tbl_de_massas[cartao_fisico_numero],"--",0,1)</f>
        <v>5442 7460 7965 5007</v>
      </c>
      <c r="F23" t="str">
        <f>_xlfn.XLOOKUP(TabelaCadastro[[#This Row],[SENHA]],tbl_de_massas[id_massa],tbl_de_massas[fatura_fechada],"--",0,1)</f>
        <v>--</v>
      </c>
      <c r="G23" t="str">
        <f>_xlfn.XLOOKUP(TabelaCadastro[[#This Row],[Nome Completo]],tbl_de_massas[id_massa],tbl_de_massas[fatura_aberta],"--",0,1)</f>
        <v>--</v>
      </c>
      <c r="H23" t="str">
        <f>_xlfn.XLOOKUP(TabelaCadastro[[#This Row],[CARTÃO]],tbl_de_massas[id_massa],tbl_de_massas[dias_atraso],"--",0,1)</f>
        <v>--</v>
      </c>
    </row>
    <row r="24" spans="1:8" x14ac:dyDescent="0.25">
      <c r="A24" s="2" t="s">
        <v>2282</v>
      </c>
      <c r="B24" s="16" t="str">
        <f>_xlfn.XLOOKUP(TabelaCadastro[[#This Row],[ID_MASSA]],tbl_de_massas[id_massa],tbl_de_massas[cpf],"--",0,1)</f>
        <v>07817267197</v>
      </c>
      <c r="C24" t="s">
        <v>12</v>
      </c>
      <c r="D24" t="str">
        <f>_xlfn.XLOOKUP(TabelaCadastro[[#This Row],[ID_MASSA]],tbl_de_massas[id_massa],tbl_de_massas[nome_completo],"--",0,1)</f>
        <v>Adrienne Giraud</v>
      </c>
      <c r="E24" t="str">
        <f>_xlfn.XLOOKUP(TabelaCadastro[[#This Row],[ID_MASSA]],tbl_de_massas[id_massa],tbl_de_massas[cartao_fisico_numero],"--",0,1)</f>
        <v>4203 1060 2877 0990</v>
      </c>
      <c r="F24" t="str">
        <f>_xlfn.XLOOKUP(TabelaCadastro[[#This Row],[SENHA]],tbl_de_massas[id_massa],tbl_de_massas[fatura_fechada],"--",0,1)</f>
        <v>--</v>
      </c>
      <c r="G24" t="str">
        <f>_xlfn.XLOOKUP(TabelaCadastro[[#This Row],[Nome Completo]],tbl_de_massas[id_massa],tbl_de_massas[fatura_aberta],"--",0,1)</f>
        <v>--</v>
      </c>
      <c r="H24" t="str">
        <f>_xlfn.XLOOKUP(TabelaCadastro[[#This Row],[CARTÃO]],tbl_de_massas[id_massa],tbl_de_massas[dias_atraso],"--",0,1)</f>
        <v>--</v>
      </c>
    </row>
    <row r="25" spans="1:8" x14ac:dyDescent="0.25">
      <c r="A25" s="2" t="s">
        <v>2283</v>
      </c>
      <c r="B25" s="16" t="str">
        <f>_xlfn.XLOOKUP(TabelaCadastro[[#This Row],[ID_MASSA]],tbl_de_massas[id_massa],tbl_de_massas[cpf],"--",0,1)</f>
        <v>12345678901</v>
      </c>
      <c r="C25" t="s">
        <v>12</v>
      </c>
      <c r="D25" t="str">
        <f>_xlfn.XLOOKUP(TabelaCadastro[[#This Row],[ID_MASSA]],tbl_de_massas[id_massa],tbl_de_massas[nome_completo],"--",0,1)</f>
        <v>Test User</v>
      </c>
      <c r="E25" t="str">
        <f>_xlfn.XLOOKUP(TabelaCadastro[[#This Row],[ID_MASSA]],tbl_de_massas[id_massa],tbl_de_massas[cartao_fisico_numero],"--",0,1)</f>
        <v>6505 2260 9151 8876</v>
      </c>
      <c r="F25" t="str">
        <f>_xlfn.XLOOKUP(TabelaCadastro[[#This Row],[SENHA]],tbl_de_massas[id_massa],tbl_de_massas[fatura_fechada],"--",0,1)</f>
        <v>--</v>
      </c>
      <c r="G25" t="str">
        <f>_xlfn.XLOOKUP(TabelaCadastro[[#This Row],[Nome Completo]],tbl_de_massas[id_massa],tbl_de_massas[fatura_aberta],"--",0,1)</f>
        <v>--</v>
      </c>
      <c r="H25" t="str">
        <f>_xlfn.XLOOKUP(TabelaCadastro[[#This Row],[CARTÃO]],tbl_de_massas[id_massa],tbl_de_massas[dias_atraso],"--",0,1)</f>
        <v>--</v>
      </c>
    </row>
    <row r="26" spans="1:8" x14ac:dyDescent="0.25">
      <c r="A26" s="2" t="s">
        <v>620</v>
      </c>
      <c r="B26" s="16" t="str">
        <f>_xlfn.XLOOKUP(TabelaCadastro[[#This Row],[ID_MASSA]],tbl_de_massas[id_massa],tbl_de_massas[cpf],"--",0,1)</f>
        <v>98765432100</v>
      </c>
      <c r="C26" t="s">
        <v>12</v>
      </c>
      <c r="D26" t="str">
        <f>_xlfn.XLOOKUP(TabelaCadastro[[#This Row],[ID_MASSA]],tbl_de_massas[id_massa],tbl_de_massas[nome_completo],"--",0,1)</f>
        <v>User Teste</v>
      </c>
      <c r="E26" t="str">
        <f>_xlfn.XLOOKUP(TabelaCadastro[[#This Row],[ID_MASSA]],tbl_de_massas[id_massa],tbl_de_massas[cartao_fisico_numero],"--",0,1)</f>
        <v>5442 7460 8915 7058</v>
      </c>
      <c r="F26" t="str">
        <f>_xlfn.XLOOKUP(TabelaCadastro[[#This Row],[SENHA]],tbl_de_massas[id_massa],tbl_de_massas[fatura_fechada],"--",0,1)</f>
        <v>--</v>
      </c>
      <c r="G26" t="str">
        <f>_xlfn.XLOOKUP(TabelaCadastro[[#This Row],[Nome Completo]],tbl_de_massas[id_massa],tbl_de_massas[fatura_aberta],"--",0,1)</f>
        <v>--</v>
      </c>
      <c r="H26" t="str">
        <f>_xlfn.XLOOKUP(TabelaCadastro[[#This Row],[CARTÃO]],tbl_de_massas[id_massa],tbl_de_massas[dias_atraso],"--",0,1)</f>
        <v>--</v>
      </c>
    </row>
    <row r="27" spans="1:8" x14ac:dyDescent="0.25">
      <c r="A27" s="2" t="s">
        <v>2284</v>
      </c>
      <c r="B27" s="16" t="str">
        <f>_xlfn.XLOOKUP(TabelaCadastro[[#This Row],[ID_MASSA]],tbl_de_massas[id_massa],tbl_de_massas[cpf],"--",0,1)</f>
        <v>17334727380</v>
      </c>
      <c r="C27" t="s">
        <v>12</v>
      </c>
      <c r="D27" t="str">
        <f>_xlfn.XLOOKUP(TabelaCadastro[[#This Row],[ID_MASSA]],tbl_de_massas[id_massa],tbl_de_massas[nome_completo],"--",0,1)</f>
        <v>Odile Meunier</v>
      </c>
      <c r="E27" t="str">
        <f>_xlfn.XLOOKUP(TabelaCadastro[[#This Row],[ID_MASSA]],tbl_de_massas[id_massa],tbl_de_massas[cartao_fisico_numero],"--",0,1)</f>
        <v>5442 7460 6457 6600</v>
      </c>
      <c r="F27" t="str">
        <f>_xlfn.XLOOKUP(TabelaCadastro[[#This Row],[SENHA]],tbl_de_massas[id_massa],tbl_de_massas[fatura_fechada],"--",0,1)</f>
        <v>--</v>
      </c>
      <c r="G27" t="str">
        <f>_xlfn.XLOOKUP(TabelaCadastro[[#This Row],[Nome Completo]],tbl_de_massas[id_massa],tbl_de_massas[fatura_aberta],"--",0,1)</f>
        <v>--</v>
      </c>
      <c r="H27" t="str">
        <f>_xlfn.XLOOKUP(TabelaCadastro[[#This Row],[CARTÃO]],tbl_de_massas[id_massa],tbl_de_massas[dias_atraso],"--",0,1)</f>
        <v>--</v>
      </c>
    </row>
    <row r="28" spans="1:8" x14ac:dyDescent="0.25">
      <c r="A28" s="2" t="s">
        <v>2285</v>
      </c>
      <c r="B28" s="16" t="str">
        <f>_xlfn.XLOOKUP(TabelaCadastro[[#This Row],[ID_MASSA]],tbl_de_massas[id_massa],tbl_de_massas[cpf],"--",0,1)</f>
        <v>77017682203</v>
      </c>
      <c r="C28" t="s">
        <v>12</v>
      </c>
      <c r="D28" t="str">
        <f>_xlfn.XLOOKUP(TabelaCadastro[[#This Row],[ID_MASSA]],tbl_de_massas[id_massa],tbl_de_massas[nome_completo],"--",0,1)</f>
        <v>Albéric Prevost</v>
      </c>
      <c r="E28" t="str">
        <f>_xlfn.XLOOKUP(TabelaCadastro[[#This Row],[ID_MASSA]],tbl_de_massas[id_massa],tbl_de_massas[cartao_fisico_numero],"--",0,1)</f>
        <v>5442 7460 3341 8160</v>
      </c>
      <c r="F28" t="str">
        <f>_xlfn.XLOOKUP(TabelaCadastro[[#This Row],[SENHA]],tbl_de_massas[id_massa],tbl_de_massas[fatura_fechada],"--",0,1)</f>
        <v>--</v>
      </c>
      <c r="G28" t="str">
        <f>_xlfn.XLOOKUP(TabelaCadastro[[#This Row],[Nome Completo]],tbl_de_massas[id_massa],tbl_de_massas[fatura_aberta],"--",0,1)</f>
        <v>--</v>
      </c>
      <c r="H28" t="str">
        <f>_xlfn.XLOOKUP(TabelaCadastro[[#This Row],[CARTÃO]],tbl_de_massas[id_massa],tbl_de_massas[dias_atraso],"--",0,1)</f>
        <v>--</v>
      </c>
    </row>
    <row r="29" spans="1:8" x14ac:dyDescent="0.25">
      <c r="A29" s="2" t="s">
        <v>2286</v>
      </c>
      <c r="B29" s="16" t="str">
        <f>_xlfn.XLOOKUP(TabelaCadastro[[#This Row],[ID_MASSA]],tbl_de_massas[id_massa],tbl_de_massas[cpf],"--",0,1)</f>
        <v>95654548522</v>
      </c>
      <c r="C29" t="s">
        <v>12</v>
      </c>
      <c r="D29" t="str">
        <f>_xlfn.XLOOKUP(TabelaCadastro[[#This Row],[ID_MASSA]],tbl_de_massas[id_massa],tbl_de_massas[nome_completo],"--",0,1)</f>
        <v>Assomption Sanchez</v>
      </c>
      <c r="E29" t="str">
        <f>_xlfn.XLOOKUP(TabelaCadastro[[#This Row],[ID_MASSA]],tbl_de_massas[id_massa],tbl_de_massas[cartao_fisico_numero],"--",0,1)</f>
        <v>5442 7460 9555 7352</v>
      </c>
      <c r="F29" t="str">
        <f>_xlfn.XLOOKUP(TabelaCadastro[[#This Row],[SENHA]],tbl_de_massas[id_massa],tbl_de_massas[fatura_fechada],"--",0,1)</f>
        <v>--</v>
      </c>
      <c r="G29" t="str">
        <f>_xlfn.XLOOKUP(TabelaCadastro[[#This Row],[Nome Completo]],tbl_de_massas[id_massa],tbl_de_massas[fatura_aberta],"--",0,1)</f>
        <v>--</v>
      </c>
      <c r="H29" t="str">
        <f>_xlfn.XLOOKUP(TabelaCadastro[[#This Row],[CARTÃO]],tbl_de_massas[id_massa],tbl_de_massas[dias_atraso],"--",0,1)</f>
        <v>--</v>
      </c>
    </row>
    <row r="30" spans="1:8" x14ac:dyDescent="0.25">
      <c r="A30" s="2" t="s">
        <v>2287</v>
      </c>
      <c r="B30" s="16" t="str">
        <f>_xlfn.XLOOKUP(TabelaCadastro[[#This Row],[ID_MASSA]],tbl_de_massas[id_massa],tbl_de_massas[cpf],"--",0,1)</f>
        <v>77777777777</v>
      </c>
      <c r="C30" t="s">
        <v>12</v>
      </c>
      <c r="D30" t="str">
        <f>_xlfn.XLOOKUP(TabelaCadastro[[#This Row],[ID_MASSA]],tbl_de_massas[id_massa],tbl_de_massas[nome_completo],"--",0,1)</f>
        <v>Test User</v>
      </c>
      <c r="E30" t="str">
        <f>_xlfn.XLOOKUP(TabelaCadastro[[#This Row],[ID_MASSA]],tbl_de_massas[id_massa],tbl_de_massas[cartao_fisico_numero],"--",0,1)</f>
        <v>5442 7460 6378 1888</v>
      </c>
      <c r="F30" t="str">
        <f>_xlfn.XLOOKUP(TabelaCadastro[[#This Row],[SENHA]],tbl_de_massas[id_massa],tbl_de_massas[fatura_fechada],"--",0,1)</f>
        <v>--</v>
      </c>
      <c r="G30" t="str">
        <f>_xlfn.XLOOKUP(TabelaCadastro[[#This Row],[Nome Completo]],tbl_de_massas[id_massa],tbl_de_massas[fatura_aberta],"--",0,1)</f>
        <v>--</v>
      </c>
      <c r="H30" t="str">
        <f>_xlfn.XLOOKUP(TabelaCadastro[[#This Row],[CARTÃO]],tbl_de_massas[id_massa],tbl_de_massas[dias_atraso],"--",0,1)</f>
        <v>--</v>
      </c>
    </row>
    <row r="31" spans="1:8" x14ac:dyDescent="0.25">
      <c r="A31" s="2" t="s">
        <v>2288</v>
      </c>
      <c r="B31" s="16" t="str">
        <f>_xlfn.XLOOKUP(TabelaCadastro[[#This Row],[ID_MASSA]],tbl_de_massas[id_massa],tbl_de_massas[cpf],"--",0,1)</f>
        <v>88888888888</v>
      </c>
      <c r="C31" t="s">
        <v>12</v>
      </c>
      <c r="D31" t="str">
        <f>_xlfn.XLOOKUP(TabelaCadastro[[#This Row],[ID_MASSA]],tbl_de_massas[id_massa],tbl_de_massas[nome_completo],"--",0,1)</f>
        <v>Integration Test User</v>
      </c>
      <c r="E31" t="str">
        <f>_xlfn.XLOOKUP(TabelaCadastro[[#This Row],[ID_MASSA]],tbl_de_massas[id_massa],tbl_de_massas[cartao_fisico_numero],"--",0,1)</f>
        <v>5442 7460 9459 2389</v>
      </c>
      <c r="F31" t="str">
        <f>_xlfn.XLOOKUP(TabelaCadastro[[#This Row],[SENHA]],tbl_de_massas[id_massa],tbl_de_massas[fatura_fechada],"--",0,1)</f>
        <v>--</v>
      </c>
      <c r="G31" t="str">
        <f>_xlfn.XLOOKUP(TabelaCadastro[[#This Row],[Nome Completo]],tbl_de_massas[id_massa],tbl_de_massas[fatura_aberta],"--",0,1)</f>
        <v>--</v>
      </c>
      <c r="H31" t="str">
        <f>_xlfn.XLOOKUP(TabelaCadastro[[#This Row],[CARTÃO]],tbl_de_massas[id_massa],tbl_de_massas[dias_atraso],"--",0,1)</f>
        <v>--</v>
      </c>
    </row>
    <row r="32" spans="1:8" x14ac:dyDescent="0.25">
      <c r="A32" s="2" t="s">
        <v>2289</v>
      </c>
      <c r="B32" s="16" t="str">
        <f>_xlfn.XLOOKUP(TabelaCadastro[[#This Row],[ID_MASSA]],tbl_de_massas[id_massa],tbl_de_massas[cpf],"--",0,1)</f>
        <v>19983621512</v>
      </c>
      <c r="C32" t="s">
        <v>12</v>
      </c>
      <c r="D32" t="str">
        <f>_xlfn.XLOOKUP(TabelaCadastro[[#This Row],[ID_MASSA]],tbl_de_massas[id_massa],tbl_de_massas[nome_completo],"--",0,1)</f>
        <v>Integration Test User</v>
      </c>
      <c r="E32" t="str">
        <f>_xlfn.XLOOKUP(TabelaCadastro[[#This Row],[ID_MASSA]],tbl_de_massas[id_massa],tbl_de_massas[cartao_fisico_numero],"--",0,1)</f>
        <v>5981 0121 1654 6893</v>
      </c>
      <c r="F32" t="str">
        <f>_xlfn.XLOOKUP(TabelaCadastro[[#This Row],[SENHA]],tbl_de_massas[id_massa],tbl_de_massas[fatura_fechada],"--",0,1)</f>
        <v>--</v>
      </c>
      <c r="G32" t="str">
        <f>_xlfn.XLOOKUP(TabelaCadastro[[#This Row],[Nome Completo]],tbl_de_massas[id_massa],tbl_de_massas[fatura_aberta],"--",0,1)</f>
        <v>--</v>
      </c>
      <c r="H32" t="str">
        <f>_xlfn.XLOOKUP(TabelaCadastro[[#This Row],[CARTÃO]],tbl_de_massas[id_massa],tbl_de_massas[dias_atraso],"--",0,1)</f>
        <v>--</v>
      </c>
    </row>
    <row r="33" spans="1:8" x14ac:dyDescent="0.25">
      <c r="A33" s="2" t="s">
        <v>2290</v>
      </c>
      <c r="B33" s="16" t="str">
        <f>_xlfn.XLOOKUP(TabelaCadastro[[#This Row],[ID_MASSA]],tbl_de_massas[id_massa],tbl_de_massas[cpf],"--",0,1)</f>
        <v>87588846615</v>
      </c>
      <c r="C33" t="s">
        <v>12</v>
      </c>
      <c r="D33" t="str">
        <f>_xlfn.XLOOKUP(TabelaCadastro[[#This Row],[ID_MASSA]],tbl_de_massas[id_massa],tbl_de_massas[nome_completo],"--",0,1)</f>
        <v>Hermine Duval</v>
      </c>
      <c r="E33" t="str">
        <f>_xlfn.XLOOKUP(TabelaCadastro[[#This Row],[ID_MASSA]],tbl_de_massas[id_massa],tbl_de_massas[cartao_fisico_numero],"--",0,1)</f>
        <v>5442 7460 2039 8322</v>
      </c>
      <c r="F33" t="str">
        <f>_xlfn.XLOOKUP(TabelaCadastro[[#This Row],[SENHA]],tbl_de_massas[id_massa],tbl_de_massas[fatura_fechada],"--",0,1)</f>
        <v>--</v>
      </c>
      <c r="G33" t="str">
        <f>_xlfn.XLOOKUP(TabelaCadastro[[#This Row],[Nome Completo]],tbl_de_massas[id_massa],tbl_de_massas[fatura_aberta],"--",0,1)</f>
        <v>--</v>
      </c>
      <c r="H33" t="str">
        <f>_xlfn.XLOOKUP(TabelaCadastro[[#This Row],[CARTÃO]],tbl_de_massas[id_massa],tbl_de_massas[dias_atraso],"--",0,1)</f>
        <v>--</v>
      </c>
    </row>
    <row r="34" spans="1:8" x14ac:dyDescent="0.25">
      <c r="A34" s="2" t="s">
        <v>2291</v>
      </c>
      <c r="B34" s="16" t="str">
        <f>_xlfn.XLOOKUP(TabelaCadastro[[#This Row],[ID_MASSA]],tbl_de_massas[id_massa],tbl_de_massas[cpf],"--",0,1)</f>
        <v>45116448614</v>
      </c>
      <c r="C34" t="s">
        <v>12</v>
      </c>
      <c r="D34" t="str">
        <f>_xlfn.XLOOKUP(TabelaCadastro[[#This Row],[ID_MASSA]],tbl_de_massas[id_massa],tbl_de_massas[nome_completo],"--",0,1)</f>
        <v>Ernest Dumont</v>
      </c>
      <c r="E34" t="str">
        <f>_xlfn.XLOOKUP(TabelaCadastro[[#This Row],[ID_MASSA]],tbl_de_massas[id_massa],tbl_de_massas[cartao_fisico_numero],"--",0,1)</f>
        <v>5442 7460 9373 8248</v>
      </c>
      <c r="F34" t="str">
        <f>_xlfn.XLOOKUP(TabelaCadastro[[#This Row],[SENHA]],tbl_de_massas[id_massa],tbl_de_massas[fatura_fechada],"--",0,1)</f>
        <v>--</v>
      </c>
      <c r="G34" t="str">
        <f>_xlfn.XLOOKUP(TabelaCadastro[[#This Row],[Nome Completo]],tbl_de_massas[id_massa],tbl_de_massas[fatura_aberta],"--",0,1)</f>
        <v>--</v>
      </c>
      <c r="H34" t="str">
        <f>_xlfn.XLOOKUP(TabelaCadastro[[#This Row],[CARTÃO]],tbl_de_massas[id_massa],tbl_de_massas[dias_atraso],"--",0,1)</f>
        <v>--</v>
      </c>
    </row>
    <row r="35" spans="1:8" x14ac:dyDescent="0.25">
      <c r="A35" s="2" t="s">
        <v>2292</v>
      </c>
      <c r="B35" s="16" t="str">
        <f>_xlfn.XLOOKUP(TabelaCadastro[[#This Row],[ID_MASSA]],tbl_de_massas[id_massa],tbl_de_massas[cpf],"--",0,1)</f>
        <v>71078566429</v>
      </c>
      <c r="C35" t="s">
        <v>12</v>
      </c>
      <c r="D35" t="str">
        <f>_xlfn.XLOOKUP(TabelaCadastro[[#This Row],[ID_MASSA]],tbl_de_massas[id_massa],tbl_de_massas[nome_completo],"--",0,1)</f>
        <v>Alban Royer</v>
      </c>
      <c r="E35" t="str">
        <f>_xlfn.XLOOKUP(TabelaCadastro[[#This Row],[ID_MASSA]],tbl_de_massas[id_massa],tbl_de_massas[cartao_fisico_numero],"--",0,1)</f>
        <v>5442 7460 3074 5480</v>
      </c>
      <c r="F35" t="str">
        <f>_xlfn.XLOOKUP(TabelaCadastro[[#This Row],[SENHA]],tbl_de_massas[id_massa],tbl_de_massas[fatura_fechada],"--",0,1)</f>
        <v>--</v>
      </c>
      <c r="G35" t="str">
        <f>_xlfn.XLOOKUP(TabelaCadastro[[#This Row],[Nome Completo]],tbl_de_massas[id_massa],tbl_de_massas[fatura_aberta],"--",0,1)</f>
        <v>--</v>
      </c>
      <c r="H35" t="str">
        <f>_xlfn.XLOOKUP(TabelaCadastro[[#This Row],[CARTÃO]],tbl_de_massas[id_massa],tbl_de_massas[dias_atraso],"--",0,1)</f>
        <v>--</v>
      </c>
    </row>
    <row r="36" spans="1:8" x14ac:dyDescent="0.25">
      <c r="A36" s="2" t="s">
        <v>2293</v>
      </c>
      <c r="B36" s="16" t="str">
        <f>_xlfn.XLOOKUP(TabelaCadastro[[#This Row],[ID_MASSA]],tbl_de_massas[id_massa],tbl_de_massas[cpf],"--",0,1)</f>
        <v>34715548313</v>
      </c>
      <c r="C36" t="s">
        <v>12</v>
      </c>
      <c r="D36" t="str">
        <f>_xlfn.XLOOKUP(TabelaCadastro[[#This Row],[ID_MASSA]],tbl_de_massas[id_massa],tbl_de_massas[nome_completo],"--",0,1)</f>
        <v>Maurice Meyer</v>
      </c>
      <c r="E36" t="str">
        <f>_xlfn.XLOOKUP(TabelaCadastro[[#This Row],[ID_MASSA]],tbl_de_massas[id_massa],tbl_de_massas[cartao_fisico_numero],"--",0,1)</f>
        <v>5442 7460 5940 3931</v>
      </c>
      <c r="F36" t="str">
        <f>_xlfn.XLOOKUP(TabelaCadastro[[#This Row],[SENHA]],tbl_de_massas[id_massa],tbl_de_massas[fatura_fechada],"--",0,1)</f>
        <v>--</v>
      </c>
      <c r="G36" t="str">
        <f>_xlfn.XLOOKUP(TabelaCadastro[[#This Row],[Nome Completo]],tbl_de_massas[id_massa],tbl_de_massas[fatura_aberta],"--",0,1)</f>
        <v>--</v>
      </c>
      <c r="H36" t="str">
        <f>_xlfn.XLOOKUP(TabelaCadastro[[#This Row],[CARTÃO]],tbl_de_massas[id_massa],tbl_de_massas[dias_atraso],"--",0,1)</f>
        <v>--</v>
      </c>
    </row>
    <row r="37" spans="1:8" x14ac:dyDescent="0.25">
      <c r="A37" s="2" t="s">
        <v>2294</v>
      </c>
      <c r="B37" s="16" t="str">
        <f>_xlfn.XLOOKUP(TabelaCadastro[[#This Row],[ID_MASSA]],tbl_de_massas[id_massa],tbl_de_massas[cpf],"--",0,1)</f>
        <v>38882777448</v>
      </c>
      <c r="C37" t="s">
        <v>12</v>
      </c>
      <c r="D37" t="str">
        <f>_xlfn.XLOOKUP(TabelaCadastro[[#This Row],[ID_MASSA]],tbl_de_massas[id_massa],tbl_de_massas[nome_completo],"--",0,1)</f>
        <v>Annonciade Poirier</v>
      </c>
      <c r="E37" t="str">
        <f>_xlfn.XLOOKUP(TabelaCadastro[[#This Row],[ID_MASSA]],tbl_de_massas[id_massa],tbl_de_massas[cartao_fisico_numero],"--",0,1)</f>
        <v>5442 7460 7026 1006</v>
      </c>
      <c r="F37" t="str">
        <f>_xlfn.XLOOKUP(TabelaCadastro[[#This Row],[SENHA]],tbl_de_massas[id_massa],tbl_de_massas[fatura_fechada],"--",0,1)</f>
        <v>--</v>
      </c>
      <c r="G37" t="str">
        <f>_xlfn.XLOOKUP(TabelaCadastro[[#This Row],[Nome Completo]],tbl_de_massas[id_massa],tbl_de_massas[fatura_aberta],"--",0,1)</f>
        <v>--</v>
      </c>
      <c r="H37" t="str">
        <f>_xlfn.XLOOKUP(TabelaCadastro[[#This Row],[CARTÃO]],tbl_de_massas[id_massa],tbl_de_massas[dias_atraso],"--",0,1)</f>
        <v>--</v>
      </c>
    </row>
    <row r="38" spans="1:8" x14ac:dyDescent="0.25">
      <c r="A38" s="2" t="s">
        <v>2295</v>
      </c>
      <c r="B38" s="16" t="str">
        <f>_xlfn.XLOOKUP(TabelaCadastro[[#This Row],[ID_MASSA]],tbl_de_massas[id_massa],tbl_de_massas[cpf],"--",0,1)</f>
        <v>76925831102</v>
      </c>
      <c r="C38" t="s">
        <v>12</v>
      </c>
      <c r="D38" t="str">
        <f>_xlfn.XLOOKUP(TabelaCadastro[[#This Row],[ID_MASSA]],tbl_de_massas[id_massa],tbl_de_massas[nome_completo],"--",0,1)</f>
        <v>Clarisse Dufour</v>
      </c>
      <c r="E38" t="str">
        <f>_xlfn.XLOOKUP(TabelaCadastro[[#This Row],[ID_MASSA]],tbl_de_massas[id_massa],tbl_de_massas[cartao_fisico_numero],"--",0,1)</f>
        <v>5442 7460 7177 0889</v>
      </c>
      <c r="F38" t="str">
        <f>_xlfn.XLOOKUP(TabelaCadastro[[#This Row],[SENHA]],tbl_de_massas[id_massa],tbl_de_massas[fatura_fechada],"--",0,1)</f>
        <v>--</v>
      </c>
      <c r="G38" t="str">
        <f>_xlfn.XLOOKUP(TabelaCadastro[[#This Row],[Nome Completo]],tbl_de_massas[id_massa],tbl_de_massas[fatura_aberta],"--",0,1)</f>
        <v>--</v>
      </c>
      <c r="H38" t="str">
        <f>_xlfn.XLOOKUP(TabelaCadastro[[#This Row],[CARTÃO]],tbl_de_massas[id_massa],tbl_de_massas[dias_atraso],"--",0,1)</f>
        <v>--</v>
      </c>
    </row>
    <row r="39" spans="1:8" x14ac:dyDescent="0.25">
      <c r="A39" s="2" t="s">
        <v>2296</v>
      </c>
      <c r="B39" s="16" t="str">
        <f>_xlfn.XLOOKUP(TabelaCadastro[[#This Row],[ID_MASSA]],tbl_de_massas[id_massa],tbl_de_massas[cpf],"--",0,1)</f>
        <v>97504636177</v>
      </c>
      <c r="C39" t="s">
        <v>12</v>
      </c>
      <c r="D39" t="str">
        <f>_xlfn.XLOOKUP(TabelaCadastro[[#This Row],[ID_MASSA]],tbl_de_massas[id_massa],tbl_de_massas[nome_completo],"--",0,1)</f>
        <v>Charline Rodriguez</v>
      </c>
      <c r="E39" t="str">
        <f>_xlfn.XLOOKUP(TabelaCadastro[[#This Row],[ID_MASSA]],tbl_de_massas[id_massa],tbl_de_massas[cartao_fisico_numero],"--",0,1)</f>
        <v>5442 7460 5470 6527</v>
      </c>
      <c r="F39" t="str">
        <f>_xlfn.XLOOKUP(TabelaCadastro[[#This Row],[SENHA]],tbl_de_massas[id_massa],tbl_de_massas[fatura_fechada],"--",0,1)</f>
        <v>--</v>
      </c>
      <c r="G39" t="str">
        <f>_xlfn.XLOOKUP(TabelaCadastro[[#This Row],[Nome Completo]],tbl_de_massas[id_massa],tbl_de_massas[fatura_aberta],"--",0,1)</f>
        <v>--</v>
      </c>
      <c r="H39" t="str">
        <f>_xlfn.XLOOKUP(TabelaCadastro[[#This Row],[CARTÃO]],tbl_de_massas[id_massa],tbl_de_massas[dias_atraso],"--",0,1)</f>
        <v>--</v>
      </c>
    </row>
    <row r="40" spans="1:8" x14ac:dyDescent="0.25">
      <c r="A40" s="2" t="s">
        <v>2297</v>
      </c>
      <c r="B40" s="16" t="str">
        <f>_xlfn.XLOOKUP(TabelaCadastro[[#This Row],[ID_MASSA]],tbl_de_massas[id_massa],tbl_de_massas[cpf],"--",0,1)</f>
        <v>44794065574</v>
      </c>
      <c r="C40" t="s">
        <v>12</v>
      </c>
      <c r="D40" t="str">
        <f>_xlfn.XLOOKUP(TabelaCadastro[[#This Row],[ID_MASSA]],tbl_de_massas[id_massa],tbl_de_massas[nome_completo],"--",0,1)</f>
        <v>Achaire Schmitt</v>
      </c>
      <c r="E40" t="str">
        <f>_xlfn.XLOOKUP(TabelaCadastro[[#This Row],[ID_MASSA]],tbl_de_massas[id_massa],tbl_de_massas[cartao_fisico_numero],"--",0,1)</f>
        <v>5442 7460 4040 2844</v>
      </c>
      <c r="F40" t="str">
        <f>_xlfn.XLOOKUP(TabelaCadastro[[#This Row],[SENHA]],tbl_de_massas[id_massa],tbl_de_massas[fatura_fechada],"--",0,1)</f>
        <v>--</v>
      </c>
      <c r="G40" t="str">
        <f>_xlfn.XLOOKUP(TabelaCadastro[[#This Row],[Nome Completo]],tbl_de_massas[id_massa],tbl_de_massas[fatura_aberta],"--",0,1)</f>
        <v>--</v>
      </c>
      <c r="H40" t="str">
        <f>_xlfn.XLOOKUP(TabelaCadastro[[#This Row],[CARTÃO]],tbl_de_massas[id_massa],tbl_de_massas[dias_atraso],"--",0,1)</f>
        <v>--</v>
      </c>
    </row>
    <row r="41" spans="1:8" x14ac:dyDescent="0.25">
      <c r="A41" s="2" t="s">
        <v>2298</v>
      </c>
      <c r="B41" s="16" t="str">
        <f>_xlfn.XLOOKUP(TabelaCadastro[[#This Row],[ID_MASSA]],tbl_de_massas[id_massa],tbl_de_massas[cpf],"--",0,1)</f>
        <v>27888186700</v>
      </c>
      <c r="C41" t="s">
        <v>12</v>
      </c>
      <c r="D41" t="str">
        <f>_xlfn.XLOOKUP(TabelaCadastro[[#This Row],[ID_MASSA]],tbl_de_massas[id_massa],tbl_de_massas[nome_completo],"--",0,1)</f>
        <v>René Gautier</v>
      </c>
      <c r="E41" t="str">
        <f>_xlfn.XLOOKUP(TabelaCadastro[[#This Row],[ID_MASSA]],tbl_de_massas[id_massa],tbl_de_massas[cartao_fisico_numero],"--",0,1)</f>
        <v>5442 7460 2688 1150</v>
      </c>
      <c r="F41" t="str">
        <f>_xlfn.XLOOKUP(TabelaCadastro[[#This Row],[SENHA]],tbl_de_massas[id_massa],tbl_de_massas[fatura_fechada],"--",0,1)</f>
        <v>--</v>
      </c>
      <c r="G41" t="str">
        <f>_xlfn.XLOOKUP(TabelaCadastro[[#This Row],[Nome Completo]],tbl_de_massas[id_massa],tbl_de_massas[fatura_aberta],"--",0,1)</f>
        <v>--</v>
      </c>
      <c r="H41" t="str">
        <f>_xlfn.XLOOKUP(TabelaCadastro[[#This Row],[CARTÃO]],tbl_de_massas[id_massa],tbl_de_massas[dias_atraso],"--",0,1)</f>
        <v>--</v>
      </c>
    </row>
    <row r="42" spans="1:8" x14ac:dyDescent="0.25">
      <c r="A42" s="2" t="s">
        <v>2299</v>
      </c>
      <c r="B42" s="16" t="str">
        <f>_xlfn.XLOOKUP(TabelaCadastro[[#This Row],[ID_MASSA]],tbl_de_massas[id_massa],tbl_de_massas[cpf],"--",0,1)</f>
        <v>12424713839</v>
      </c>
      <c r="C42" t="s">
        <v>12</v>
      </c>
      <c r="D42" t="str">
        <f>_xlfn.XLOOKUP(TabelaCadastro[[#This Row],[ID_MASSA]],tbl_de_massas[id_massa],tbl_de_massas[nome_completo],"--",0,1)</f>
        <v>Abigaelle Michel</v>
      </c>
      <c r="E42" t="str">
        <f>_xlfn.XLOOKUP(TabelaCadastro[[#This Row],[ID_MASSA]],tbl_de_massas[id_massa],tbl_de_massas[cartao_fisico_numero],"--",0,1)</f>
        <v>5442 7460 9903 2410</v>
      </c>
      <c r="F42" t="str">
        <f>_xlfn.XLOOKUP(TabelaCadastro[[#This Row],[SENHA]],tbl_de_massas[id_massa],tbl_de_massas[fatura_fechada],"--",0,1)</f>
        <v>--</v>
      </c>
      <c r="G42" t="str">
        <f>_xlfn.XLOOKUP(TabelaCadastro[[#This Row],[Nome Completo]],tbl_de_massas[id_massa],tbl_de_massas[fatura_aberta],"--",0,1)</f>
        <v>--</v>
      </c>
      <c r="H42" t="str">
        <f>_xlfn.XLOOKUP(TabelaCadastro[[#This Row],[CARTÃO]],tbl_de_massas[id_massa],tbl_de_massas[dias_atraso],"--",0,1)</f>
        <v>--</v>
      </c>
    </row>
    <row r="43" spans="1:8" x14ac:dyDescent="0.25">
      <c r="A43" s="2" t="s">
        <v>2300</v>
      </c>
      <c r="B43" s="16" t="str">
        <f>_xlfn.XLOOKUP(TabelaCadastro[[#This Row],[ID_MASSA]],tbl_de_massas[id_massa],tbl_de_massas[cpf],"--",0,1)</f>
        <v>17693911189</v>
      </c>
      <c r="C43" t="s">
        <v>12</v>
      </c>
      <c r="D43" t="str">
        <f>_xlfn.XLOOKUP(TabelaCadastro[[#This Row],[ID_MASSA]],tbl_de_massas[id_massa],tbl_de_massas[nome_completo],"--",0,1)</f>
        <v>Blandine Fabre</v>
      </c>
      <c r="E43" t="str">
        <f>_xlfn.XLOOKUP(TabelaCadastro[[#This Row],[ID_MASSA]],tbl_de_massas[id_massa],tbl_de_massas[cartao_fisico_numero],"--",0,1)</f>
        <v>5442 7460 3108 7574</v>
      </c>
      <c r="F43" t="str">
        <f>_xlfn.XLOOKUP(TabelaCadastro[[#This Row],[SENHA]],tbl_de_massas[id_massa],tbl_de_massas[fatura_fechada],"--",0,1)</f>
        <v>--</v>
      </c>
      <c r="G43" t="str">
        <f>_xlfn.XLOOKUP(TabelaCadastro[[#This Row],[Nome Completo]],tbl_de_massas[id_massa],tbl_de_massas[fatura_aberta],"--",0,1)</f>
        <v>--</v>
      </c>
      <c r="H43" t="str">
        <f>_xlfn.XLOOKUP(TabelaCadastro[[#This Row],[CARTÃO]],tbl_de_massas[id_massa],tbl_de_massas[dias_atraso],"--",0,1)</f>
        <v>--</v>
      </c>
    </row>
    <row r="44" spans="1:8" x14ac:dyDescent="0.25">
      <c r="A44" s="2" t="s">
        <v>2301</v>
      </c>
      <c r="B44" s="16" t="str">
        <f>_xlfn.XLOOKUP(TabelaCadastro[[#This Row],[ID_MASSA]],tbl_de_massas[id_massa],tbl_de_massas[cpf],"--",0,1)</f>
        <v>81698023189</v>
      </c>
      <c r="C44" t="s">
        <v>12</v>
      </c>
      <c r="D44" t="str">
        <f>_xlfn.XLOOKUP(TabelaCadastro[[#This Row],[ID_MASSA]],tbl_de_massas[id_massa],tbl_de_massas[nome_completo],"--",0,1)</f>
        <v>Oury Roche</v>
      </c>
      <c r="E44" t="str">
        <f>_xlfn.XLOOKUP(TabelaCadastro[[#This Row],[ID_MASSA]],tbl_de_massas[id_massa],tbl_de_massas[cartao_fisico_numero],"--",0,1)</f>
        <v>5442 7460 6843 4377</v>
      </c>
      <c r="F44" t="str">
        <f>_xlfn.XLOOKUP(TabelaCadastro[[#This Row],[SENHA]],tbl_de_massas[id_massa],tbl_de_massas[fatura_fechada],"--",0,1)</f>
        <v>--</v>
      </c>
      <c r="G44" t="str">
        <f>_xlfn.XLOOKUP(TabelaCadastro[[#This Row],[Nome Completo]],tbl_de_massas[id_massa],tbl_de_massas[fatura_aberta],"--",0,1)</f>
        <v>--</v>
      </c>
      <c r="H44" t="str">
        <f>_xlfn.XLOOKUP(TabelaCadastro[[#This Row],[CARTÃO]],tbl_de_massas[id_massa],tbl_de_massas[dias_atraso],"--",0,1)</f>
        <v>--</v>
      </c>
    </row>
    <row r="45" spans="1:8" x14ac:dyDescent="0.25">
      <c r="A45" s="2" t="s">
        <v>2302</v>
      </c>
      <c r="B45" s="16" t="str">
        <f>_xlfn.XLOOKUP(TabelaCadastro[[#This Row],[ID_MASSA]],tbl_de_massas[id_massa],tbl_de_massas[cpf],"--",0,1)</f>
        <v>24662236606</v>
      </c>
      <c r="C45" t="s">
        <v>12</v>
      </c>
      <c r="D45" t="str">
        <f>_xlfn.XLOOKUP(TabelaCadastro[[#This Row],[ID_MASSA]],tbl_de_massas[id_massa],tbl_de_massas[nome_completo],"--",0,1)</f>
        <v>Flavien Rodriguez</v>
      </c>
      <c r="E45" t="str">
        <f>_xlfn.XLOOKUP(TabelaCadastro[[#This Row],[ID_MASSA]],tbl_de_massas[id_massa],tbl_de_massas[cartao_fisico_numero],"--",0,1)</f>
        <v>5442 7460 4563 6437</v>
      </c>
      <c r="F45" t="str">
        <f>_xlfn.XLOOKUP(TabelaCadastro[[#This Row],[SENHA]],tbl_de_massas[id_massa],tbl_de_massas[fatura_fechada],"--",0,1)</f>
        <v>--</v>
      </c>
      <c r="G45" t="str">
        <f>_xlfn.XLOOKUP(TabelaCadastro[[#This Row],[Nome Completo]],tbl_de_massas[id_massa],tbl_de_massas[fatura_aberta],"--",0,1)</f>
        <v>--</v>
      </c>
      <c r="H45" t="str">
        <f>_xlfn.XLOOKUP(TabelaCadastro[[#This Row],[CARTÃO]],tbl_de_massas[id_massa],tbl_de_massas[dias_atraso],"--",0,1)</f>
        <v>--</v>
      </c>
    </row>
    <row r="46" spans="1:8" x14ac:dyDescent="0.25">
      <c r="A46" s="2" t="s">
        <v>2303</v>
      </c>
      <c r="B46" s="16" t="str">
        <f>_xlfn.XLOOKUP(TabelaCadastro[[#This Row],[ID_MASSA]],tbl_de_massas[id_massa],tbl_de_massas[cpf],"--",0,1)</f>
        <v>77551164685</v>
      </c>
      <c r="C46" t="s">
        <v>12</v>
      </c>
      <c r="D46" t="str">
        <f>_xlfn.XLOOKUP(TabelaCadastro[[#This Row],[ID_MASSA]],tbl_de_massas[id_massa],tbl_de_massas[nome_completo],"--",0,1)</f>
        <v>Jeannel Aubry</v>
      </c>
      <c r="E46" t="str">
        <f>_xlfn.XLOOKUP(TabelaCadastro[[#This Row],[ID_MASSA]],tbl_de_massas[id_massa],tbl_de_massas[cartao_fisico_numero],"--",0,1)</f>
        <v>5442 7460 1068 2788</v>
      </c>
      <c r="F46" t="str">
        <f>_xlfn.XLOOKUP(TabelaCadastro[[#This Row],[SENHA]],tbl_de_massas[id_massa],tbl_de_massas[fatura_fechada],"--",0,1)</f>
        <v>--</v>
      </c>
      <c r="G46" t="str">
        <f>_xlfn.XLOOKUP(TabelaCadastro[[#This Row],[Nome Completo]],tbl_de_massas[id_massa],tbl_de_massas[fatura_aberta],"--",0,1)</f>
        <v>--</v>
      </c>
      <c r="H46" t="str">
        <f>_xlfn.XLOOKUP(TabelaCadastro[[#This Row],[CARTÃO]],tbl_de_massas[id_massa],tbl_de_massas[dias_atraso],"--",0,1)</f>
        <v>--</v>
      </c>
    </row>
    <row r="47" spans="1:8" x14ac:dyDescent="0.25">
      <c r="A47" s="2" t="s">
        <v>2304</v>
      </c>
      <c r="B47" s="16" t="str">
        <f>_xlfn.XLOOKUP(TabelaCadastro[[#This Row],[ID_MASSA]],tbl_de_massas[id_massa],tbl_de_massas[cpf],"--",0,1)</f>
        <v>77529588591</v>
      </c>
      <c r="C47" t="s">
        <v>12</v>
      </c>
      <c r="D47" t="str">
        <f>_xlfn.XLOOKUP(TabelaCadastro[[#This Row],[ID_MASSA]],tbl_de_massas[id_massa],tbl_de_massas[nome_completo],"--",0,1)</f>
        <v>Nathalie Fournier</v>
      </c>
      <c r="E47" t="str">
        <f>_xlfn.XLOOKUP(TabelaCadastro[[#This Row],[ID_MASSA]],tbl_de_massas[id_massa],tbl_de_massas[cartao_fisico_numero],"--",0,1)</f>
        <v>5442 7460 9991 0293</v>
      </c>
      <c r="F47" t="str">
        <f>_xlfn.XLOOKUP(TabelaCadastro[[#This Row],[SENHA]],tbl_de_massas[id_massa],tbl_de_massas[fatura_fechada],"--",0,1)</f>
        <v>--</v>
      </c>
      <c r="G47" t="str">
        <f>_xlfn.XLOOKUP(TabelaCadastro[[#This Row],[Nome Completo]],tbl_de_massas[id_massa],tbl_de_massas[fatura_aberta],"--",0,1)</f>
        <v>--</v>
      </c>
      <c r="H47" t="str">
        <f>_xlfn.XLOOKUP(TabelaCadastro[[#This Row],[CARTÃO]],tbl_de_massas[id_massa],tbl_de_massas[dias_atraso],"--",0,1)</f>
        <v>--</v>
      </c>
    </row>
    <row r="48" spans="1:8" x14ac:dyDescent="0.25">
      <c r="A48" s="2" t="s">
        <v>2305</v>
      </c>
      <c r="B48" s="16" t="str">
        <f>_xlfn.XLOOKUP(TabelaCadastro[[#This Row],[ID_MASSA]],tbl_de_massas[id_massa],tbl_de_massas[cpf],"--",0,1)</f>
        <v>65184684166</v>
      </c>
      <c r="C48" t="s">
        <v>12</v>
      </c>
      <c r="D48" t="str">
        <f>_xlfn.XLOOKUP(TabelaCadastro[[#This Row],[ID_MASSA]],tbl_de_massas[id_massa],tbl_de_massas[nome_completo],"--",0,1)</f>
        <v>Anceline Gauthier</v>
      </c>
      <c r="E48" t="str">
        <f>_xlfn.XLOOKUP(TabelaCadastro[[#This Row],[ID_MASSA]],tbl_de_massas[id_massa],tbl_de_massas[cartao_fisico_numero],"--",0,1)</f>
        <v>5442 7460 4947 8021</v>
      </c>
      <c r="F48" t="str">
        <f>_xlfn.XLOOKUP(TabelaCadastro[[#This Row],[SENHA]],tbl_de_massas[id_massa],tbl_de_massas[fatura_fechada],"--",0,1)</f>
        <v>--</v>
      </c>
      <c r="G48" t="str">
        <f>_xlfn.XLOOKUP(TabelaCadastro[[#This Row],[Nome Completo]],tbl_de_massas[id_massa],tbl_de_massas[fatura_aberta],"--",0,1)</f>
        <v>--</v>
      </c>
      <c r="H48" t="str">
        <f>_xlfn.XLOOKUP(TabelaCadastro[[#This Row],[CARTÃO]],tbl_de_massas[id_massa],tbl_de_massas[dias_atraso],"--",0,1)</f>
        <v>--</v>
      </c>
    </row>
    <row r="49" spans="1:8" x14ac:dyDescent="0.25">
      <c r="A49" s="2" t="s">
        <v>2306</v>
      </c>
      <c r="B49" s="16" t="str">
        <f>_xlfn.XLOOKUP(TabelaCadastro[[#This Row],[ID_MASSA]],tbl_de_massas[id_massa],tbl_de_massas[cpf],"--",0,1)</f>
        <v>28818393472</v>
      </c>
      <c r="C49" t="s">
        <v>12</v>
      </c>
      <c r="D49" t="str">
        <f>_xlfn.XLOOKUP(TabelaCadastro[[#This Row],[ID_MASSA]],tbl_de_massas[id_massa],tbl_de_massas[nome_completo],"--",0,1)</f>
        <v>Émile Clement</v>
      </c>
      <c r="E49" t="str">
        <f>_xlfn.XLOOKUP(TabelaCadastro[[#This Row],[ID_MASSA]],tbl_de_massas[id_massa],tbl_de_massas[cartao_fisico_numero],"--",0,1)</f>
        <v>5442 7460 1737 5584</v>
      </c>
      <c r="F49" t="str">
        <f>_xlfn.XLOOKUP(TabelaCadastro[[#This Row],[SENHA]],tbl_de_massas[id_massa],tbl_de_massas[fatura_fechada],"--",0,1)</f>
        <v>--</v>
      </c>
      <c r="G49" t="str">
        <f>_xlfn.XLOOKUP(TabelaCadastro[[#This Row],[Nome Completo]],tbl_de_massas[id_massa],tbl_de_massas[fatura_aberta],"--",0,1)</f>
        <v>--</v>
      </c>
      <c r="H49" t="str">
        <f>_xlfn.XLOOKUP(TabelaCadastro[[#This Row],[CARTÃO]],tbl_de_massas[id_massa],tbl_de_massas[dias_atraso],"--",0,1)</f>
        <v>--</v>
      </c>
    </row>
    <row r="50" spans="1:8" x14ac:dyDescent="0.25">
      <c r="A50" s="2" t="s">
        <v>2307</v>
      </c>
      <c r="B50" s="16" t="str">
        <f>_xlfn.XLOOKUP(TabelaCadastro[[#This Row],[ID_MASSA]],tbl_de_massas[id_massa],tbl_de_massas[cpf],"--",0,1)</f>
        <v>81722521295</v>
      </c>
      <c r="C50" t="s">
        <v>12</v>
      </c>
      <c r="D50" t="str">
        <f>_xlfn.XLOOKUP(TabelaCadastro[[#This Row],[ID_MASSA]],tbl_de_massas[id_massa],tbl_de_massas[nome_completo],"--",0,1)</f>
        <v>Hector Paris</v>
      </c>
      <c r="E50" t="str">
        <f>_xlfn.XLOOKUP(TabelaCadastro[[#This Row],[ID_MASSA]],tbl_de_massas[id_massa],tbl_de_massas[cartao_fisico_numero],"--",0,1)</f>
        <v>5442 7460 9108 3526</v>
      </c>
      <c r="F50" t="str">
        <f>_xlfn.XLOOKUP(TabelaCadastro[[#This Row],[SENHA]],tbl_de_massas[id_massa],tbl_de_massas[fatura_fechada],"--",0,1)</f>
        <v>--</v>
      </c>
      <c r="G50" t="str">
        <f>_xlfn.XLOOKUP(TabelaCadastro[[#This Row],[Nome Completo]],tbl_de_massas[id_massa],tbl_de_massas[fatura_aberta],"--",0,1)</f>
        <v>--</v>
      </c>
      <c r="H50" t="str">
        <f>_xlfn.XLOOKUP(TabelaCadastro[[#This Row],[CARTÃO]],tbl_de_massas[id_massa],tbl_de_massas[dias_atraso],"--",0,1)</f>
        <v>--</v>
      </c>
    </row>
    <row r="51" spans="1:8" x14ac:dyDescent="0.25">
      <c r="A51" s="2" t="s">
        <v>2308</v>
      </c>
      <c r="B51" s="16" t="str">
        <f>_xlfn.XLOOKUP(TabelaCadastro[[#This Row],[ID_MASSA]],tbl_de_massas[id_massa],tbl_de_massas[cpf],"--",0,1)</f>
        <v>67154864257</v>
      </c>
      <c r="C51" t="s">
        <v>12</v>
      </c>
      <c r="D51" t="str">
        <f>_xlfn.XLOOKUP(TabelaCadastro[[#This Row],[ID_MASSA]],tbl_de_massas[id_massa],tbl_de_massas[nome_completo],"--",0,1)</f>
        <v>Prosper Julien</v>
      </c>
      <c r="E51" t="str">
        <f>_xlfn.XLOOKUP(TabelaCadastro[[#This Row],[ID_MASSA]],tbl_de_massas[id_massa],tbl_de_massas[cartao_fisico_numero],"--",0,1)</f>
        <v>5442 7460 3333 2884</v>
      </c>
      <c r="F51" t="str">
        <f>_xlfn.XLOOKUP(TabelaCadastro[[#This Row],[SENHA]],tbl_de_massas[id_massa],tbl_de_massas[fatura_fechada],"--",0,1)</f>
        <v>--</v>
      </c>
      <c r="G51" t="str">
        <f>_xlfn.XLOOKUP(TabelaCadastro[[#This Row],[Nome Completo]],tbl_de_massas[id_massa],tbl_de_massas[fatura_aberta],"--",0,1)</f>
        <v>--</v>
      </c>
      <c r="H51" t="str">
        <f>_xlfn.XLOOKUP(TabelaCadastro[[#This Row],[CARTÃO]],tbl_de_massas[id_massa],tbl_de_massas[dias_atraso],"--",0,1)</f>
        <v>--</v>
      </c>
    </row>
    <row r="52" spans="1:8" x14ac:dyDescent="0.25">
      <c r="A52" s="2" t="s">
        <v>2309</v>
      </c>
      <c r="B52" s="16" t="str">
        <f>_xlfn.XLOOKUP(TabelaCadastro[[#This Row],[ID_MASSA]],tbl_de_massas[id_massa],tbl_de_massas[cpf],"--",0,1)</f>
        <v>16165143539</v>
      </c>
      <c r="C52" t="s">
        <v>12</v>
      </c>
      <c r="D52" t="str">
        <f>_xlfn.XLOOKUP(TabelaCadastro[[#This Row],[ID_MASSA]],tbl_de_massas[id_massa],tbl_de_massas[nome_completo],"--",0,1)</f>
        <v>Moïsette Maillard</v>
      </c>
      <c r="E52" t="str">
        <f>_xlfn.XLOOKUP(TabelaCadastro[[#This Row],[ID_MASSA]],tbl_de_massas[id_massa],tbl_de_massas[cartao_fisico_numero],"--",0,1)</f>
        <v>5442 7460 5909 1739</v>
      </c>
      <c r="F52" t="str">
        <f>_xlfn.XLOOKUP(TabelaCadastro[[#This Row],[SENHA]],tbl_de_massas[id_massa],tbl_de_massas[fatura_fechada],"--",0,1)</f>
        <v>--</v>
      </c>
      <c r="G52" t="str">
        <f>_xlfn.XLOOKUP(TabelaCadastro[[#This Row],[Nome Completo]],tbl_de_massas[id_massa],tbl_de_massas[fatura_aberta],"--",0,1)</f>
        <v>--</v>
      </c>
      <c r="H52" t="str">
        <f>_xlfn.XLOOKUP(TabelaCadastro[[#This Row],[CARTÃO]],tbl_de_massas[id_massa],tbl_de_massas[dias_atraso],"--",0,1)</f>
        <v>--</v>
      </c>
    </row>
    <row r="53" spans="1:8" x14ac:dyDescent="0.25">
      <c r="A53" s="2" t="s">
        <v>2310</v>
      </c>
      <c r="B53" s="16" t="str">
        <f>_xlfn.XLOOKUP(TabelaCadastro[[#This Row],[ID_MASSA]],tbl_de_massas[id_massa],tbl_de_massas[cpf],"--",0,1)</f>
        <v>26775244657</v>
      </c>
      <c r="C53" t="s">
        <v>12</v>
      </c>
      <c r="D53" t="str">
        <f>_xlfn.XLOOKUP(TabelaCadastro[[#This Row],[ID_MASSA]],tbl_de_massas[id_massa],tbl_de_massas[nome_completo],"--",0,1)</f>
        <v>Isidore Morin</v>
      </c>
      <c r="E53" t="str">
        <f>_xlfn.XLOOKUP(TabelaCadastro[[#This Row],[ID_MASSA]],tbl_de_massas[id_massa],tbl_de_massas[cartao_fisico_numero],"--",0,1)</f>
        <v>5442 7460 9242 0200</v>
      </c>
      <c r="F53" t="str">
        <f>_xlfn.XLOOKUP(TabelaCadastro[[#This Row],[SENHA]],tbl_de_massas[id_massa],tbl_de_massas[fatura_fechada],"--",0,1)</f>
        <v>--</v>
      </c>
      <c r="G53" t="str">
        <f>_xlfn.XLOOKUP(TabelaCadastro[[#This Row],[Nome Completo]],tbl_de_massas[id_massa],tbl_de_massas[fatura_aberta],"--",0,1)</f>
        <v>--</v>
      </c>
      <c r="H53" t="str">
        <f>_xlfn.XLOOKUP(TabelaCadastro[[#This Row],[CARTÃO]],tbl_de_massas[id_massa],tbl_de_massas[dias_atraso],"--",0,1)</f>
        <v>--</v>
      </c>
    </row>
    <row r="54" spans="1:8" x14ac:dyDescent="0.25">
      <c r="A54" s="2" t="s">
        <v>2311</v>
      </c>
      <c r="B54" s="16" t="str">
        <f>_xlfn.XLOOKUP(TabelaCadastro[[#This Row],[ID_MASSA]],tbl_de_massas[id_massa],tbl_de_massas[cpf],"--",0,1)</f>
        <v>43204282856</v>
      </c>
      <c r="C54" t="s">
        <v>12</v>
      </c>
      <c r="D54" t="str">
        <f>_xlfn.XLOOKUP(TabelaCadastro[[#This Row],[ID_MASSA]],tbl_de_massas[id_massa],tbl_de_massas[nome_completo],"--",0,1)</f>
        <v>Absalon Olivier</v>
      </c>
      <c r="E54" t="str">
        <f>_xlfn.XLOOKUP(TabelaCadastro[[#This Row],[ID_MASSA]],tbl_de_massas[id_massa],tbl_de_massas[cartao_fisico_numero],"--",0,1)</f>
        <v>5442 7460 6216 3719</v>
      </c>
      <c r="F54" t="str">
        <f>_xlfn.XLOOKUP(TabelaCadastro[[#This Row],[SENHA]],tbl_de_massas[id_massa],tbl_de_massas[fatura_fechada],"--",0,1)</f>
        <v>--</v>
      </c>
      <c r="G54" t="str">
        <f>_xlfn.XLOOKUP(TabelaCadastro[[#This Row],[Nome Completo]],tbl_de_massas[id_massa],tbl_de_massas[fatura_aberta],"--",0,1)</f>
        <v>--</v>
      </c>
      <c r="H54" t="str">
        <f>_xlfn.XLOOKUP(TabelaCadastro[[#This Row],[CARTÃO]],tbl_de_massas[id_massa],tbl_de_massas[dias_atraso],"--",0,1)</f>
        <v>--</v>
      </c>
    </row>
    <row r="55" spans="1:8" x14ac:dyDescent="0.25">
      <c r="A55" s="2" t="s">
        <v>2312</v>
      </c>
      <c r="B55" s="16" t="str">
        <f>_xlfn.XLOOKUP(TabelaCadastro[[#This Row],[ID_MASSA]],tbl_de_massas[id_massa],tbl_de_massas[cpf],"--",0,1)</f>
        <v>41689983639</v>
      </c>
      <c r="C55" t="s">
        <v>12</v>
      </c>
      <c r="D55" t="str">
        <f>_xlfn.XLOOKUP(TabelaCadastro[[#This Row],[ID_MASSA]],tbl_de_massas[id_massa],tbl_de_massas[nome_completo],"--",0,1)</f>
        <v>Armandine Joly</v>
      </c>
      <c r="E55" t="str">
        <f>_xlfn.XLOOKUP(TabelaCadastro[[#This Row],[ID_MASSA]],tbl_de_massas[id_massa],tbl_de_massas[cartao_fisico_numero],"--",0,1)</f>
        <v>5442 7460 2232 1307</v>
      </c>
      <c r="F55" t="str">
        <f>_xlfn.XLOOKUP(TabelaCadastro[[#This Row],[SENHA]],tbl_de_massas[id_massa],tbl_de_massas[fatura_fechada],"--",0,1)</f>
        <v>--</v>
      </c>
      <c r="G55" t="str">
        <f>_xlfn.XLOOKUP(TabelaCadastro[[#This Row],[Nome Completo]],tbl_de_massas[id_massa],tbl_de_massas[fatura_aberta],"--",0,1)</f>
        <v>--</v>
      </c>
      <c r="H55" t="str">
        <f>_xlfn.XLOOKUP(TabelaCadastro[[#This Row],[CARTÃO]],tbl_de_massas[id_massa],tbl_de_massas[dias_atraso],"--",0,1)</f>
        <v>--</v>
      </c>
    </row>
    <row r="56" spans="1:8" x14ac:dyDescent="0.25">
      <c r="A56" s="2" t="s">
        <v>2313</v>
      </c>
      <c r="B56" s="16" t="str">
        <f>_xlfn.XLOOKUP(TabelaCadastro[[#This Row],[ID_MASSA]],tbl_de_massas[id_massa],tbl_de_massas[cpf],"--",0,1)</f>
        <v>12345678909</v>
      </c>
      <c r="C56" t="s">
        <v>12</v>
      </c>
      <c r="D56" t="str">
        <f>_xlfn.XLOOKUP(TabelaCadastro[[#This Row],[ID_MASSA]],tbl_de_massas[id_massa],tbl_de_massas[nome_completo],"--",0,1)</f>
        <v>Test User</v>
      </c>
      <c r="E56" t="str">
        <f>_xlfn.XLOOKUP(TabelaCadastro[[#This Row],[ID_MASSA]],tbl_de_massas[id_massa],tbl_de_massas[cartao_fisico_numero],"--",0,1)</f>
        <v>5442 7460 0887 2353</v>
      </c>
      <c r="F56" t="str">
        <f>_xlfn.XLOOKUP(TabelaCadastro[[#This Row],[SENHA]],tbl_de_massas[id_massa],tbl_de_massas[fatura_fechada],"--",0,1)</f>
        <v>--</v>
      </c>
      <c r="G56" t="str">
        <f>_xlfn.XLOOKUP(TabelaCadastro[[#This Row],[Nome Completo]],tbl_de_massas[id_massa],tbl_de_massas[fatura_aberta],"--",0,1)</f>
        <v>--</v>
      </c>
      <c r="H56" t="str">
        <f>_xlfn.XLOOKUP(TabelaCadastro[[#This Row],[CARTÃO]],tbl_de_massas[id_massa],tbl_de_massas[dias_atraso],"--",0,1)</f>
        <v>--</v>
      </c>
    </row>
    <row r="57" spans="1:8" x14ac:dyDescent="0.25">
      <c r="A57" s="2" t="s">
        <v>2314</v>
      </c>
      <c r="B57" s="16" t="str">
        <f>_xlfn.XLOOKUP(TabelaCadastro[[#This Row],[ID_MASSA]],tbl_de_massas[id_massa],tbl_de_massas[cpf],"--",0,1)</f>
        <v>64866656883</v>
      </c>
      <c r="C57" t="s">
        <v>12</v>
      </c>
      <c r="D57" t="str">
        <f>_xlfn.XLOOKUP(TabelaCadastro[[#This Row],[ID_MASSA]],tbl_de_massas[id_massa],tbl_de_massas[nome_completo],"--",0,1)</f>
        <v>Archambaud Remy</v>
      </c>
      <c r="E57" t="str">
        <f>_xlfn.XLOOKUP(TabelaCadastro[[#This Row],[ID_MASSA]],tbl_de_massas[id_massa],tbl_de_massas[cartao_fisico_numero],"--",0,1)</f>
        <v>5442 7460 5774 1894</v>
      </c>
      <c r="F57" t="str">
        <f>_xlfn.XLOOKUP(TabelaCadastro[[#This Row],[SENHA]],tbl_de_massas[id_massa],tbl_de_massas[fatura_fechada],"--",0,1)</f>
        <v>--</v>
      </c>
      <c r="G57" t="str">
        <f>_xlfn.XLOOKUP(TabelaCadastro[[#This Row],[Nome Completo]],tbl_de_massas[id_massa],tbl_de_massas[fatura_aberta],"--",0,1)</f>
        <v>--</v>
      </c>
      <c r="H57" t="str">
        <f>_xlfn.XLOOKUP(TabelaCadastro[[#This Row],[CARTÃO]],tbl_de_massas[id_massa],tbl_de_massas[dias_atraso],"--",0,1)</f>
        <v>--</v>
      </c>
    </row>
    <row r="58" spans="1:8" x14ac:dyDescent="0.25">
      <c r="A58" s="2" t="s">
        <v>2315</v>
      </c>
      <c r="B58" s="16" t="str">
        <f>_xlfn.XLOOKUP(TabelaCadastro[[#This Row],[ID_MASSA]],tbl_de_massas[id_massa],tbl_de_massas[cpf],"--",0,1)</f>
        <v>24719788947</v>
      </c>
      <c r="C58" t="s">
        <v>12</v>
      </c>
      <c r="D58" t="str">
        <f>_xlfn.XLOOKUP(TabelaCadastro[[#This Row],[ID_MASSA]],tbl_de_massas[id_massa],tbl_de_massas[nome_completo],"--",0,1)</f>
        <v>Philothée Charles</v>
      </c>
      <c r="E58" t="str">
        <f>_xlfn.XLOOKUP(TabelaCadastro[[#This Row],[ID_MASSA]],tbl_de_massas[id_massa],tbl_de_massas[cartao_fisico_numero],"--",0,1)</f>
        <v>5442 7460 6080 0554</v>
      </c>
      <c r="F58" t="str">
        <f>_xlfn.XLOOKUP(TabelaCadastro[[#This Row],[SENHA]],tbl_de_massas[id_massa],tbl_de_massas[fatura_fechada],"--",0,1)</f>
        <v>--</v>
      </c>
      <c r="G58" t="str">
        <f>_xlfn.XLOOKUP(TabelaCadastro[[#This Row],[Nome Completo]],tbl_de_massas[id_massa],tbl_de_massas[fatura_aberta],"--",0,1)</f>
        <v>--</v>
      </c>
      <c r="H58" t="str">
        <f>_xlfn.XLOOKUP(TabelaCadastro[[#This Row],[CARTÃO]],tbl_de_massas[id_massa],tbl_de_massas[dias_atraso],"--",0,1)</f>
        <v>--</v>
      </c>
    </row>
    <row r="59" spans="1:8" x14ac:dyDescent="0.25">
      <c r="A59" s="2" t="s">
        <v>2316</v>
      </c>
      <c r="B59" s="16" t="str">
        <f>_xlfn.XLOOKUP(TabelaCadastro[[#This Row],[ID_MASSA]],tbl_de_massas[id_massa],tbl_de_massas[cpf],"--",0,1)</f>
        <v>16266323249</v>
      </c>
      <c r="C59" t="s">
        <v>12</v>
      </c>
      <c r="D59" t="str">
        <f>_xlfn.XLOOKUP(TabelaCadastro[[#This Row],[ID_MASSA]],tbl_de_massas[id_massa],tbl_de_massas[nome_completo],"--",0,1)</f>
        <v>Flore Schmitt</v>
      </c>
      <c r="E59" t="str">
        <f>_xlfn.XLOOKUP(TabelaCadastro[[#This Row],[ID_MASSA]],tbl_de_massas[id_massa],tbl_de_massas[cartao_fisico_numero],"--",0,1)</f>
        <v>5442 7460 9163 1125</v>
      </c>
      <c r="F59" t="str">
        <f>_xlfn.XLOOKUP(TabelaCadastro[[#This Row],[SENHA]],tbl_de_massas[id_massa],tbl_de_massas[fatura_fechada],"--",0,1)</f>
        <v>--</v>
      </c>
      <c r="G59" t="str">
        <f>_xlfn.XLOOKUP(TabelaCadastro[[#This Row],[Nome Completo]],tbl_de_massas[id_massa],tbl_de_massas[fatura_aberta],"--",0,1)</f>
        <v>--</v>
      </c>
      <c r="H59" t="str">
        <f>_xlfn.XLOOKUP(TabelaCadastro[[#This Row],[CARTÃO]],tbl_de_massas[id_massa],tbl_de_massas[dias_atraso],"--",0,1)</f>
        <v>--</v>
      </c>
    </row>
    <row r="60" spans="1:8" x14ac:dyDescent="0.25">
      <c r="A60" s="2" t="s">
        <v>2317</v>
      </c>
      <c r="B60" s="16" t="str">
        <f>_xlfn.XLOOKUP(TabelaCadastro[[#This Row],[ID_MASSA]],tbl_de_massas[id_massa],tbl_de_massas[cpf],"--",0,1)</f>
        <v>85246671844</v>
      </c>
      <c r="C60" t="s">
        <v>12</v>
      </c>
      <c r="D60" t="str">
        <f>_xlfn.XLOOKUP(TabelaCadastro[[#This Row],[ID_MASSA]],tbl_de_massas[id_massa],tbl_de_massas[nome_completo],"--",0,1)</f>
        <v>Falba David</v>
      </c>
      <c r="E60" t="str">
        <f>_xlfn.XLOOKUP(TabelaCadastro[[#This Row],[ID_MASSA]],tbl_de_massas[id_massa],tbl_de_massas[cartao_fisico_numero],"--",0,1)</f>
        <v>5442 7460 2333 1185</v>
      </c>
      <c r="F60" t="str">
        <f>_xlfn.XLOOKUP(TabelaCadastro[[#This Row],[SENHA]],tbl_de_massas[id_massa],tbl_de_massas[fatura_fechada],"--",0,1)</f>
        <v>--</v>
      </c>
      <c r="G60" t="str">
        <f>_xlfn.XLOOKUP(TabelaCadastro[[#This Row],[Nome Completo]],tbl_de_massas[id_massa],tbl_de_massas[fatura_aberta],"--",0,1)</f>
        <v>--</v>
      </c>
      <c r="H60" t="str">
        <f>_xlfn.XLOOKUP(TabelaCadastro[[#This Row],[CARTÃO]],tbl_de_massas[id_massa],tbl_de_massas[dias_atraso],"--",0,1)</f>
        <v>--</v>
      </c>
    </row>
    <row r="61" spans="1:8" x14ac:dyDescent="0.25">
      <c r="A61" s="2" t="s">
        <v>2318</v>
      </c>
      <c r="B61" s="16" t="str">
        <f>_xlfn.XLOOKUP(TabelaCadastro[[#This Row],[ID_MASSA]],tbl_de_massas[id_massa],tbl_de_massas[cpf],"--",0,1)</f>
        <v>64332859618</v>
      </c>
      <c r="C61" t="s">
        <v>12</v>
      </c>
      <c r="D61" t="str">
        <f>_xlfn.XLOOKUP(TabelaCadastro[[#This Row],[ID_MASSA]],tbl_de_massas[id_massa],tbl_de_massas[nome_completo],"--",0,1)</f>
        <v>Xavier Thomas</v>
      </c>
      <c r="E61" t="str">
        <f>_xlfn.XLOOKUP(TabelaCadastro[[#This Row],[ID_MASSA]],tbl_de_massas[id_massa],tbl_de_massas[cartao_fisico_numero],"--",0,1)</f>
        <v>5442 7460 5170 1435</v>
      </c>
      <c r="F61" t="str">
        <f>_xlfn.XLOOKUP(TabelaCadastro[[#This Row],[SENHA]],tbl_de_massas[id_massa],tbl_de_massas[fatura_fechada],"--",0,1)</f>
        <v>--</v>
      </c>
      <c r="G61" t="str">
        <f>_xlfn.XLOOKUP(TabelaCadastro[[#This Row],[Nome Completo]],tbl_de_massas[id_massa],tbl_de_massas[fatura_aberta],"--",0,1)</f>
        <v>--</v>
      </c>
      <c r="H61" t="str">
        <f>_xlfn.XLOOKUP(TabelaCadastro[[#This Row],[CARTÃO]],tbl_de_massas[id_massa],tbl_de_massas[dias_atraso],"--",0,1)</f>
        <v>--</v>
      </c>
    </row>
    <row r="62" spans="1:8" x14ac:dyDescent="0.25">
      <c r="A62" s="2" t="s">
        <v>2319</v>
      </c>
      <c r="B62" s="16" t="str">
        <f>_xlfn.XLOOKUP(TabelaCadastro[[#This Row],[ID_MASSA]],tbl_de_massas[id_massa],tbl_de_massas[cpf],"--",0,1)</f>
        <v>60107482754</v>
      </c>
      <c r="C62" t="s">
        <v>12</v>
      </c>
      <c r="D62" t="str">
        <f>_xlfn.XLOOKUP(TabelaCadastro[[#This Row],[ID_MASSA]],tbl_de_massas[id_massa],tbl_de_massas[nome_completo],"--",0,1)</f>
        <v>Eudoxie Pons</v>
      </c>
      <c r="E62" t="str">
        <f>_xlfn.XLOOKUP(TabelaCadastro[[#This Row],[ID_MASSA]],tbl_de_massas[id_massa],tbl_de_massas[cartao_fisico_numero],"--",0,1)</f>
        <v>5442 7460 2404 4469</v>
      </c>
      <c r="F62" t="str">
        <f>_xlfn.XLOOKUP(TabelaCadastro[[#This Row],[SENHA]],tbl_de_massas[id_massa],tbl_de_massas[fatura_fechada],"--",0,1)</f>
        <v>--</v>
      </c>
      <c r="G62" t="str">
        <f>_xlfn.XLOOKUP(TabelaCadastro[[#This Row],[Nome Completo]],tbl_de_massas[id_massa],tbl_de_massas[fatura_aberta],"--",0,1)</f>
        <v>--</v>
      </c>
      <c r="H62" t="str">
        <f>_xlfn.XLOOKUP(TabelaCadastro[[#This Row],[CARTÃO]],tbl_de_massas[id_massa],tbl_de_massas[dias_atraso],"--",0,1)</f>
        <v>--</v>
      </c>
    </row>
    <row r="63" spans="1:8" x14ac:dyDescent="0.25">
      <c r="A63" s="2" t="s">
        <v>2320</v>
      </c>
      <c r="B63" s="16" t="str">
        <f>_xlfn.XLOOKUP(TabelaCadastro[[#This Row],[ID_MASSA]],tbl_de_massas[id_massa],tbl_de_massas[cpf],"--",0,1)</f>
        <v>27646660477</v>
      </c>
      <c r="C63" t="s">
        <v>12</v>
      </c>
      <c r="D63" t="str">
        <f>_xlfn.XLOOKUP(TabelaCadastro[[#This Row],[ID_MASSA]],tbl_de_massas[id_massa],tbl_de_massas[nome_completo],"--",0,1)</f>
        <v>Brunehilde Gaillard</v>
      </c>
      <c r="E63" t="str">
        <f>_xlfn.XLOOKUP(TabelaCadastro[[#This Row],[ID_MASSA]],tbl_de_massas[id_massa],tbl_de_massas[cartao_fisico_numero],"--",0,1)</f>
        <v>5442 7460 2776 5268</v>
      </c>
      <c r="F63" t="str">
        <f>_xlfn.XLOOKUP(TabelaCadastro[[#This Row],[SENHA]],tbl_de_massas[id_massa],tbl_de_massas[fatura_fechada],"--",0,1)</f>
        <v>--</v>
      </c>
      <c r="G63" t="str">
        <f>_xlfn.XLOOKUP(TabelaCadastro[[#This Row],[Nome Completo]],tbl_de_massas[id_massa],tbl_de_massas[fatura_aberta],"--",0,1)</f>
        <v>--</v>
      </c>
      <c r="H63" t="str">
        <f>_xlfn.XLOOKUP(TabelaCadastro[[#This Row],[CARTÃO]],tbl_de_massas[id_massa],tbl_de_massas[dias_atraso],"--",0,1)</f>
        <v>--</v>
      </c>
    </row>
    <row r="64" spans="1:8" x14ac:dyDescent="0.25">
      <c r="A64" s="2" t="s">
        <v>2321</v>
      </c>
      <c r="B64" s="16" t="str">
        <f>_xlfn.XLOOKUP(TabelaCadastro[[#This Row],[ID_MASSA]],tbl_de_massas[id_massa],tbl_de_massas[cpf],"--",0,1)</f>
        <v>76671725950</v>
      </c>
      <c r="C64" t="s">
        <v>12</v>
      </c>
      <c r="D64" t="str">
        <f>_xlfn.XLOOKUP(TabelaCadastro[[#This Row],[ID_MASSA]],tbl_de_massas[id_massa],tbl_de_massas[nome_completo],"--",0,1)</f>
        <v>Raymonde Bernard</v>
      </c>
      <c r="E64" t="str">
        <f>_xlfn.XLOOKUP(TabelaCadastro[[#This Row],[ID_MASSA]],tbl_de_massas[id_massa],tbl_de_massas[cartao_fisico_numero],"--",0,1)</f>
        <v>5442 7460 6274 1188</v>
      </c>
      <c r="F64" t="str">
        <f>_xlfn.XLOOKUP(TabelaCadastro[[#This Row],[SENHA]],tbl_de_massas[id_massa],tbl_de_massas[fatura_fechada],"--",0,1)</f>
        <v>--</v>
      </c>
      <c r="G64" t="str">
        <f>_xlfn.XLOOKUP(TabelaCadastro[[#This Row],[Nome Completo]],tbl_de_massas[id_massa],tbl_de_massas[fatura_aberta],"--",0,1)</f>
        <v>--</v>
      </c>
      <c r="H64" t="str">
        <f>_xlfn.XLOOKUP(TabelaCadastro[[#This Row],[CARTÃO]],tbl_de_massas[id_massa],tbl_de_massas[dias_atraso],"--",0,1)</f>
        <v>--</v>
      </c>
    </row>
    <row r="65" spans="1:8" x14ac:dyDescent="0.25">
      <c r="A65" s="2" t="s">
        <v>2321</v>
      </c>
      <c r="B65" s="16" t="str">
        <f>_xlfn.XLOOKUP(TabelaCadastro[[#This Row],[ID_MASSA]],tbl_de_massas[id_massa],tbl_de_massas[cpf],"--",0,1)</f>
        <v>76671725950</v>
      </c>
      <c r="C65" t="s">
        <v>12</v>
      </c>
      <c r="D65" t="str">
        <f>_xlfn.XLOOKUP(TabelaCadastro[[#This Row],[ID_MASSA]],tbl_de_massas[id_massa],tbl_de_massas[nome_completo],"--",0,1)</f>
        <v>Raymonde Bernard</v>
      </c>
      <c r="E65" t="str">
        <f>_xlfn.XLOOKUP(TabelaCadastro[[#This Row],[ID_MASSA]],tbl_de_massas[id_massa],tbl_de_massas[cartao_fisico_numero],"--",0,1)</f>
        <v>5442 7460 6274 1188</v>
      </c>
      <c r="F65" t="str">
        <f>_xlfn.XLOOKUP(TabelaCadastro[[#This Row],[SENHA]],tbl_de_massas[id_massa],tbl_de_massas[fatura_fechada],"--",0,1)</f>
        <v>--</v>
      </c>
      <c r="G65" t="str">
        <f>_xlfn.XLOOKUP(TabelaCadastro[[#This Row],[Nome Completo]],tbl_de_massas[id_massa],tbl_de_massas[fatura_aberta],"--",0,1)</f>
        <v>--</v>
      </c>
      <c r="H65" t="str">
        <f>_xlfn.XLOOKUP(TabelaCadastro[[#This Row],[CARTÃO]],tbl_de_massas[id_massa],tbl_de_massas[dias_atraso],"--",0,1)</f>
        <v>--</v>
      </c>
    </row>
    <row r="66" spans="1:8" x14ac:dyDescent="0.25">
      <c r="A66" s="2" t="s">
        <v>2322</v>
      </c>
      <c r="B66" s="16" t="str">
        <f>_xlfn.XLOOKUP(TabelaCadastro[[#This Row],[ID_MASSA]],tbl_de_massas[id_massa],tbl_de_massas[cpf],"--",0,1)</f>
        <v>84823321987</v>
      </c>
      <c r="C66" t="s">
        <v>12</v>
      </c>
      <c r="D66" t="str">
        <f>_xlfn.XLOOKUP(TabelaCadastro[[#This Row],[ID_MASSA]],tbl_de_massas[id_massa],tbl_de_massas[nome_completo],"--",0,1)</f>
        <v>Marcel Breton</v>
      </c>
      <c r="E66" t="str">
        <f>_xlfn.XLOOKUP(TabelaCadastro[[#This Row],[ID_MASSA]],tbl_de_massas[id_massa],tbl_de_massas[cartao_fisico_numero],"--",0,1)</f>
        <v>5442 7460 1766 7750</v>
      </c>
      <c r="F66" t="str">
        <f>_xlfn.XLOOKUP(TabelaCadastro[[#This Row],[SENHA]],tbl_de_massas[id_massa],tbl_de_massas[fatura_fechada],"--",0,1)</f>
        <v>--</v>
      </c>
      <c r="G66" t="str">
        <f>_xlfn.XLOOKUP(TabelaCadastro[[#This Row],[Nome Completo]],tbl_de_massas[id_massa],tbl_de_massas[fatura_aberta],"--",0,1)</f>
        <v>--</v>
      </c>
      <c r="H66" t="str">
        <f>_xlfn.XLOOKUP(TabelaCadastro[[#This Row],[CARTÃO]],tbl_de_massas[id_massa],tbl_de_massas[dias_atraso],"--",0,1)</f>
        <v>--</v>
      </c>
    </row>
    <row r="67" spans="1:8" x14ac:dyDescent="0.25">
      <c r="A67" s="2" t="s">
        <v>2322</v>
      </c>
      <c r="B67" s="16" t="str">
        <f>_xlfn.XLOOKUP(TabelaCadastro[[#This Row],[ID_MASSA]],tbl_de_massas[id_massa],tbl_de_massas[cpf],"--",0,1)</f>
        <v>84823321987</v>
      </c>
      <c r="C67" t="s">
        <v>12</v>
      </c>
      <c r="D67" t="str">
        <f>_xlfn.XLOOKUP(TabelaCadastro[[#This Row],[ID_MASSA]],tbl_de_massas[id_massa],tbl_de_massas[nome_completo],"--",0,1)</f>
        <v>Marcel Breton</v>
      </c>
      <c r="E67" t="str">
        <f>_xlfn.XLOOKUP(TabelaCadastro[[#This Row],[ID_MASSA]],tbl_de_massas[id_massa],tbl_de_massas[cartao_fisico_numero],"--",0,1)</f>
        <v>5442 7460 1766 7750</v>
      </c>
      <c r="F67" t="str">
        <f>_xlfn.XLOOKUP(TabelaCadastro[[#This Row],[SENHA]],tbl_de_massas[id_massa],tbl_de_massas[fatura_fechada],"--",0,1)</f>
        <v>--</v>
      </c>
      <c r="G67" t="str">
        <f>_xlfn.XLOOKUP(TabelaCadastro[[#This Row],[Nome Completo]],tbl_de_massas[id_massa],tbl_de_massas[fatura_aberta],"--",0,1)</f>
        <v>--</v>
      </c>
      <c r="H67" t="str">
        <f>_xlfn.XLOOKUP(TabelaCadastro[[#This Row],[CARTÃO]],tbl_de_massas[id_massa],tbl_de_massas[dias_atraso],"--",0,1)</f>
        <v>--</v>
      </c>
    </row>
    <row r="68" spans="1:8" x14ac:dyDescent="0.25">
      <c r="A68" s="2" t="s">
        <v>2323</v>
      </c>
      <c r="B68" s="16" t="str">
        <f>_xlfn.XLOOKUP(TabelaCadastro[[#This Row],[ID_MASSA]],tbl_de_massas[id_massa],tbl_de_massas[cpf],"--",0,1)</f>
        <v>26986473966</v>
      </c>
      <c r="C68" t="s">
        <v>12</v>
      </c>
      <c r="D68" t="str">
        <f>_xlfn.XLOOKUP(TabelaCadastro[[#This Row],[ID_MASSA]],tbl_de_massas[id_massa],tbl_de_massas[nome_completo],"--",0,1)</f>
        <v>Jacinthe Vidal</v>
      </c>
      <c r="E68" t="str">
        <f>_xlfn.XLOOKUP(TabelaCadastro[[#This Row],[ID_MASSA]],tbl_de_massas[id_massa],tbl_de_massas[cartao_fisico_numero],"--",0,1)</f>
        <v>5442 7460 8748 9625</v>
      </c>
      <c r="F68" t="str">
        <f>_xlfn.XLOOKUP(TabelaCadastro[[#This Row],[SENHA]],tbl_de_massas[id_massa],tbl_de_massas[fatura_fechada],"--",0,1)</f>
        <v>--</v>
      </c>
      <c r="G68" t="str">
        <f>_xlfn.XLOOKUP(TabelaCadastro[[#This Row],[Nome Completo]],tbl_de_massas[id_massa],tbl_de_massas[fatura_aberta],"--",0,1)</f>
        <v>--</v>
      </c>
      <c r="H68" t="str">
        <f>_xlfn.XLOOKUP(TabelaCadastro[[#This Row],[CARTÃO]],tbl_de_massas[id_massa],tbl_de_massas[dias_atraso],"--",0,1)</f>
        <v>--</v>
      </c>
    </row>
    <row r="69" spans="1:8" x14ac:dyDescent="0.25">
      <c r="A69" s="2" t="s">
        <v>2323</v>
      </c>
      <c r="B69" s="16" t="str">
        <f>_xlfn.XLOOKUP(TabelaCadastro[[#This Row],[ID_MASSA]],tbl_de_massas[id_massa],tbl_de_massas[cpf],"--",0,1)</f>
        <v>26986473966</v>
      </c>
      <c r="C69" t="s">
        <v>12</v>
      </c>
      <c r="D69" t="str">
        <f>_xlfn.XLOOKUP(TabelaCadastro[[#This Row],[ID_MASSA]],tbl_de_massas[id_massa],tbl_de_massas[nome_completo],"--",0,1)</f>
        <v>Jacinthe Vidal</v>
      </c>
      <c r="E69" t="str">
        <f>_xlfn.XLOOKUP(TabelaCadastro[[#This Row],[ID_MASSA]],tbl_de_massas[id_massa],tbl_de_massas[cartao_fisico_numero],"--",0,1)</f>
        <v>5442 7460 8748 9625</v>
      </c>
      <c r="F69" t="str">
        <f>_xlfn.XLOOKUP(TabelaCadastro[[#This Row],[SENHA]],tbl_de_massas[id_massa],tbl_de_massas[fatura_fechada],"--",0,1)</f>
        <v>--</v>
      </c>
      <c r="G69" t="str">
        <f>_xlfn.XLOOKUP(TabelaCadastro[[#This Row],[Nome Completo]],tbl_de_massas[id_massa],tbl_de_massas[fatura_aberta],"--",0,1)</f>
        <v>--</v>
      </c>
      <c r="H69" t="str">
        <f>_xlfn.XLOOKUP(TabelaCadastro[[#This Row],[CARTÃO]],tbl_de_massas[id_massa],tbl_de_massas[dias_atraso],"--",0,1)</f>
        <v>--</v>
      </c>
    </row>
    <row r="70" spans="1:8" x14ac:dyDescent="0.25">
      <c r="A70" s="2" t="s">
        <v>2324</v>
      </c>
      <c r="B70" s="16" t="str">
        <f>_xlfn.XLOOKUP(TabelaCadastro[[#This Row],[ID_MASSA]],tbl_de_massas[id_massa],tbl_de_massas[cpf],"--",0,1)</f>
        <v>48318883543</v>
      </c>
      <c r="C70" t="s">
        <v>12</v>
      </c>
      <c r="D70" t="str">
        <f>_xlfn.XLOOKUP(TabelaCadastro[[#This Row],[ID_MASSA]],tbl_de_massas[id_massa],tbl_de_massas[nome_completo],"--",0,1)</f>
        <v>Claude Garcia</v>
      </c>
      <c r="E70" t="str">
        <f>_xlfn.XLOOKUP(TabelaCadastro[[#This Row],[ID_MASSA]],tbl_de_massas[id_massa],tbl_de_massas[cartao_fisico_numero],"--",0,1)</f>
        <v>5442 7460 1607 2003</v>
      </c>
      <c r="F70" t="str">
        <f>_xlfn.XLOOKUP(TabelaCadastro[[#This Row],[SENHA]],tbl_de_massas[id_massa],tbl_de_massas[fatura_fechada],"--",0,1)</f>
        <v>--</v>
      </c>
      <c r="G70" t="str">
        <f>_xlfn.XLOOKUP(TabelaCadastro[[#This Row],[Nome Completo]],tbl_de_massas[id_massa],tbl_de_massas[fatura_aberta],"--",0,1)</f>
        <v>--</v>
      </c>
      <c r="H70" t="str">
        <f>_xlfn.XLOOKUP(TabelaCadastro[[#This Row],[CARTÃO]],tbl_de_massas[id_massa],tbl_de_massas[dias_atraso],"--",0,1)</f>
        <v>--</v>
      </c>
    </row>
    <row r="71" spans="1:8" x14ac:dyDescent="0.25">
      <c r="A71" s="2" t="s">
        <v>2324</v>
      </c>
      <c r="B71" s="16" t="str">
        <f>_xlfn.XLOOKUP(TabelaCadastro[[#This Row],[ID_MASSA]],tbl_de_massas[id_massa],tbl_de_massas[cpf],"--",0,1)</f>
        <v>48318883543</v>
      </c>
      <c r="C71" t="s">
        <v>12</v>
      </c>
      <c r="D71" t="str">
        <f>_xlfn.XLOOKUP(TabelaCadastro[[#This Row],[ID_MASSA]],tbl_de_massas[id_massa],tbl_de_massas[nome_completo],"--",0,1)</f>
        <v>Claude Garcia</v>
      </c>
      <c r="E71" t="str">
        <f>_xlfn.XLOOKUP(TabelaCadastro[[#This Row],[ID_MASSA]],tbl_de_massas[id_massa],tbl_de_massas[cartao_fisico_numero],"--",0,1)</f>
        <v>5442 7460 1607 2003</v>
      </c>
      <c r="F71" t="str">
        <f>_xlfn.XLOOKUP(TabelaCadastro[[#This Row],[SENHA]],tbl_de_massas[id_massa],tbl_de_massas[fatura_fechada],"--",0,1)</f>
        <v>--</v>
      </c>
      <c r="G71" t="str">
        <f>_xlfn.XLOOKUP(TabelaCadastro[[#This Row],[Nome Completo]],tbl_de_massas[id_massa],tbl_de_massas[fatura_aberta],"--",0,1)</f>
        <v>--</v>
      </c>
      <c r="H71" t="str">
        <f>_xlfn.XLOOKUP(TabelaCadastro[[#This Row],[CARTÃO]],tbl_de_massas[id_massa],tbl_de_massas[dias_atraso],"--",0,1)</f>
        <v>--</v>
      </c>
    </row>
    <row r="72" spans="1:8" x14ac:dyDescent="0.25">
      <c r="A72" s="2" t="s">
        <v>2325</v>
      </c>
      <c r="B72" s="16" t="str">
        <f>_xlfn.XLOOKUP(TabelaCadastro[[#This Row],[ID_MASSA]],tbl_de_massas[id_massa],tbl_de_massas[cpf],"--",0,1)</f>
        <v>37810513150</v>
      </c>
      <c r="C72" t="s">
        <v>12</v>
      </c>
      <c r="D72" t="str">
        <f>_xlfn.XLOOKUP(TabelaCadastro[[#This Row],[ID_MASSA]],tbl_de_massas[id_massa],tbl_de_massas[nome_completo],"--",0,1)</f>
        <v>Florie Fontaine</v>
      </c>
      <c r="E72" t="str">
        <f>_xlfn.XLOOKUP(TabelaCadastro[[#This Row],[ID_MASSA]],tbl_de_massas[id_massa],tbl_de_massas[cartao_fisico_numero],"--",0,1)</f>
        <v>5442 7460 7963 5511</v>
      </c>
      <c r="F72" t="str">
        <f>_xlfn.XLOOKUP(TabelaCadastro[[#This Row],[SENHA]],tbl_de_massas[id_massa],tbl_de_massas[fatura_fechada],"--",0,1)</f>
        <v>--</v>
      </c>
      <c r="G72" t="str">
        <f>_xlfn.XLOOKUP(TabelaCadastro[[#This Row],[Nome Completo]],tbl_de_massas[id_massa],tbl_de_massas[fatura_aberta],"--",0,1)</f>
        <v>--</v>
      </c>
      <c r="H72" t="str">
        <f>_xlfn.XLOOKUP(TabelaCadastro[[#This Row],[CARTÃO]],tbl_de_massas[id_massa],tbl_de_massas[dias_atraso],"--",0,1)</f>
        <v>--</v>
      </c>
    </row>
    <row r="73" spans="1:8" x14ac:dyDescent="0.25">
      <c r="A73" s="2" t="s">
        <v>2325</v>
      </c>
      <c r="B73" s="16" t="str">
        <f>_xlfn.XLOOKUP(TabelaCadastro[[#This Row],[ID_MASSA]],tbl_de_massas[id_massa],tbl_de_massas[cpf],"--",0,1)</f>
        <v>37810513150</v>
      </c>
      <c r="C73" t="s">
        <v>12</v>
      </c>
      <c r="D73" t="str">
        <f>_xlfn.XLOOKUP(TabelaCadastro[[#This Row],[ID_MASSA]],tbl_de_massas[id_massa],tbl_de_massas[nome_completo],"--",0,1)</f>
        <v>Florie Fontaine</v>
      </c>
      <c r="E73" t="str">
        <f>_xlfn.XLOOKUP(TabelaCadastro[[#This Row],[ID_MASSA]],tbl_de_massas[id_massa],tbl_de_massas[cartao_fisico_numero],"--",0,1)</f>
        <v>5442 7460 7963 5511</v>
      </c>
      <c r="F73" t="str">
        <f>_xlfn.XLOOKUP(TabelaCadastro[[#This Row],[SENHA]],tbl_de_massas[id_massa],tbl_de_massas[fatura_fechada],"--",0,1)</f>
        <v>--</v>
      </c>
      <c r="G73" t="str">
        <f>_xlfn.XLOOKUP(TabelaCadastro[[#This Row],[Nome Completo]],tbl_de_massas[id_massa],tbl_de_massas[fatura_aberta],"--",0,1)</f>
        <v>--</v>
      </c>
      <c r="H73" t="str">
        <f>_xlfn.XLOOKUP(TabelaCadastro[[#This Row],[CARTÃO]],tbl_de_massas[id_massa],tbl_de_massas[dias_atraso],"--",0,1)</f>
        <v>--</v>
      </c>
    </row>
    <row r="74" spans="1:8" x14ac:dyDescent="0.25">
      <c r="A74" s="2" t="s">
        <v>2326</v>
      </c>
      <c r="B74" s="16" t="str">
        <f>_xlfn.XLOOKUP(TabelaCadastro[[#This Row],[ID_MASSA]],tbl_de_massas[id_massa],tbl_de_massas[cpf],"--",0,1)</f>
        <v>43838315910</v>
      </c>
      <c r="C74" t="s">
        <v>12</v>
      </c>
      <c r="D74" t="str">
        <f>_xlfn.XLOOKUP(TabelaCadastro[[#This Row],[ID_MASSA]],tbl_de_massas[id_massa],tbl_de_massas[nome_completo],"--",0,1)</f>
        <v>Christian Simon</v>
      </c>
      <c r="E74" t="str">
        <f>_xlfn.XLOOKUP(TabelaCadastro[[#This Row],[ID_MASSA]],tbl_de_massas[id_massa],tbl_de_massas[cartao_fisico_numero],"--",0,1)</f>
        <v>5442 7460 7036 5189</v>
      </c>
      <c r="F74" t="str">
        <f>_xlfn.XLOOKUP(TabelaCadastro[[#This Row],[SENHA]],tbl_de_massas[id_massa],tbl_de_massas[fatura_fechada],"--",0,1)</f>
        <v>--</v>
      </c>
      <c r="G74" t="str">
        <f>_xlfn.XLOOKUP(TabelaCadastro[[#This Row],[Nome Completo]],tbl_de_massas[id_massa],tbl_de_massas[fatura_aberta],"--",0,1)</f>
        <v>--</v>
      </c>
      <c r="H74" t="str">
        <f>_xlfn.XLOOKUP(TabelaCadastro[[#This Row],[CARTÃO]],tbl_de_massas[id_massa],tbl_de_massas[dias_atraso],"--",0,1)</f>
        <v>--</v>
      </c>
    </row>
    <row r="75" spans="1:8" x14ac:dyDescent="0.25">
      <c r="A75" s="2" t="s">
        <v>2326</v>
      </c>
      <c r="B75" s="16" t="str">
        <f>_xlfn.XLOOKUP(TabelaCadastro[[#This Row],[ID_MASSA]],tbl_de_massas[id_massa],tbl_de_massas[cpf],"--",0,1)</f>
        <v>43838315910</v>
      </c>
      <c r="C75" t="s">
        <v>12</v>
      </c>
      <c r="D75" t="str">
        <f>_xlfn.XLOOKUP(TabelaCadastro[[#This Row],[ID_MASSA]],tbl_de_massas[id_massa],tbl_de_massas[nome_completo],"--",0,1)</f>
        <v>Christian Simon</v>
      </c>
      <c r="E75" t="str">
        <f>_xlfn.XLOOKUP(TabelaCadastro[[#This Row],[ID_MASSA]],tbl_de_massas[id_massa],tbl_de_massas[cartao_fisico_numero],"--",0,1)</f>
        <v>5442 7460 7036 5189</v>
      </c>
      <c r="F75" t="str">
        <f>_xlfn.XLOOKUP(TabelaCadastro[[#This Row],[SENHA]],tbl_de_massas[id_massa],tbl_de_massas[fatura_fechada],"--",0,1)</f>
        <v>--</v>
      </c>
      <c r="G75" t="str">
        <f>_xlfn.XLOOKUP(TabelaCadastro[[#This Row],[Nome Completo]],tbl_de_massas[id_massa],tbl_de_massas[fatura_aberta],"--",0,1)</f>
        <v>--</v>
      </c>
      <c r="H75" t="str">
        <f>_xlfn.XLOOKUP(TabelaCadastro[[#This Row],[CARTÃO]],tbl_de_massas[id_massa],tbl_de_massas[dias_atraso],"--",0,1)</f>
        <v>--</v>
      </c>
    </row>
    <row r="76" spans="1:8" x14ac:dyDescent="0.25">
      <c r="A76" s="2" t="s">
        <v>2327</v>
      </c>
      <c r="B76" s="16" t="str">
        <f>_xlfn.XLOOKUP(TabelaCadastro[[#This Row],[ID_MASSA]],tbl_de_massas[id_massa],tbl_de_massas[cpf],"--",0,1)</f>
        <v>77355277308</v>
      </c>
      <c r="C76" t="s">
        <v>12</v>
      </c>
      <c r="D76" t="str">
        <f>_xlfn.XLOOKUP(TabelaCadastro[[#This Row],[ID_MASSA]],tbl_de_massas[id_massa],tbl_de_massas[nome_completo],"--",0,1)</f>
        <v>Christian Bertrand</v>
      </c>
      <c r="E76" t="str">
        <f>_xlfn.XLOOKUP(TabelaCadastro[[#This Row],[ID_MASSA]],tbl_de_massas[id_massa],tbl_de_massas[cartao_fisico_numero],"--",0,1)</f>
        <v>5442 7460 3070 4884</v>
      </c>
      <c r="F76" t="str">
        <f>_xlfn.XLOOKUP(TabelaCadastro[[#This Row],[SENHA]],tbl_de_massas[id_massa],tbl_de_massas[fatura_fechada],"--",0,1)</f>
        <v>--</v>
      </c>
      <c r="G76" t="str">
        <f>_xlfn.XLOOKUP(TabelaCadastro[[#This Row],[Nome Completo]],tbl_de_massas[id_massa],tbl_de_massas[fatura_aberta],"--",0,1)</f>
        <v>--</v>
      </c>
      <c r="H76" t="str">
        <f>_xlfn.XLOOKUP(TabelaCadastro[[#This Row],[CARTÃO]],tbl_de_massas[id_massa],tbl_de_massas[dias_atraso],"--",0,1)</f>
        <v>--</v>
      </c>
    </row>
    <row r="77" spans="1:8" x14ac:dyDescent="0.25">
      <c r="A77" s="2" t="s">
        <v>30</v>
      </c>
      <c r="B77" s="16" t="str">
        <f>_xlfn.XLOOKUP(TabelaCadastro[[#This Row],[ID_MASSA]],tbl_de_massas[id_massa],tbl_de_massas[cpf],"--",0,1)</f>
        <v>27234768980</v>
      </c>
      <c r="C77" t="s">
        <v>12</v>
      </c>
      <c r="D77" t="str">
        <f>_xlfn.XLOOKUP(TabelaCadastro[[#This Row],[ID_MASSA]],tbl_de_massas[id_massa],tbl_de_massas[nome_completo],"--",0,1)</f>
        <v>Acanthe Vidal</v>
      </c>
      <c r="E77" t="str">
        <f>_xlfn.XLOOKUP(TabelaCadastro[[#This Row],[ID_MASSA]],tbl_de_massas[id_massa],tbl_de_massas[cartao_fisico_numero],"--",0,1)</f>
        <v>5442 7460 4352 2381</v>
      </c>
      <c r="F77" t="str">
        <f>_xlfn.XLOOKUP(TabelaCadastro[[#This Row],[SENHA]],tbl_de_massas[id_massa],tbl_de_massas[fatura_fechada],"--",0,1)</f>
        <v>--</v>
      </c>
      <c r="G77" t="str">
        <f>_xlfn.XLOOKUP(TabelaCadastro[[#This Row],[Nome Completo]],tbl_de_massas[id_massa],tbl_de_massas[fatura_aberta],"--",0,1)</f>
        <v>--</v>
      </c>
      <c r="H77" t="str">
        <f>_xlfn.XLOOKUP(TabelaCadastro[[#This Row],[CARTÃO]],tbl_de_massas[id_massa],tbl_de_massas[dias_atraso],"--",0,1)</f>
        <v>--</v>
      </c>
    </row>
    <row r="78" spans="1:8" x14ac:dyDescent="0.25">
      <c r="A78" s="2" t="s">
        <v>2328</v>
      </c>
      <c r="B78" s="16" t="str">
        <f>_xlfn.XLOOKUP(TabelaCadastro[[#This Row],[ID_MASSA]],tbl_de_massas[id_massa],tbl_de_massas[cpf],"--",0,1)</f>
        <v>61369613180</v>
      </c>
      <c r="C78" t="s">
        <v>12</v>
      </c>
      <c r="D78" t="str">
        <f>_xlfn.XLOOKUP(TabelaCadastro[[#This Row],[ID_MASSA]],tbl_de_massas[id_massa],tbl_de_massas[nome_completo],"--",0,1)</f>
        <v>Paulette Jean</v>
      </c>
      <c r="E78" t="str">
        <f>_xlfn.XLOOKUP(TabelaCadastro[[#This Row],[ID_MASSA]],tbl_de_massas[id_massa],tbl_de_massas[cartao_fisico_numero],"--",0,1)</f>
        <v>5442 7460 5165 4834</v>
      </c>
      <c r="F78" t="str">
        <f>_xlfn.XLOOKUP(TabelaCadastro[[#This Row],[SENHA]],tbl_de_massas[id_massa],tbl_de_massas[fatura_fechada],"--",0,1)</f>
        <v>--</v>
      </c>
      <c r="G78" t="str">
        <f>_xlfn.XLOOKUP(TabelaCadastro[[#This Row],[Nome Completo]],tbl_de_massas[id_massa],tbl_de_massas[fatura_aberta],"--",0,1)</f>
        <v>--</v>
      </c>
      <c r="H78" t="str">
        <f>_xlfn.XLOOKUP(TabelaCadastro[[#This Row],[CARTÃO]],tbl_de_massas[id_massa],tbl_de_massas[dias_atraso],"--",0,1)</f>
        <v>--</v>
      </c>
    </row>
    <row r="79" spans="1:8" x14ac:dyDescent="0.25">
      <c r="A79" s="2" t="s">
        <v>2329</v>
      </c>
      <c r="B79" s="16" t="str">
        <f>_xlfn.XLOOKUP(TabelaCadastro[[#This Row],[ID_MASSA]],tbl_de_massas[id_massa],tbl_de_massas[cpf],"--",0,1)</f>
        <v>28832869497</v>
      </c>
      <c r="C79" t="s">
        <v>12</v>
      </c>
      <c r="D79" t="str">
        <f>_xlfn.XLOOKUP(TabelaCadastro[[#This Row],[ID_MASSA]],tbl_de_massas[id_massa],tbl_de_massas[nome_completo],"--",0,1)</f>
        <v>Philomène Fabre</v>
      </c>
      <c r="E79" t="str">
        <f>_xlfn.XLOOKUP(TabelaCadastro[[#This Row],[ID_MASSA]],tbl_de_massas[id_massa],tbl_de_massas[cartao_fisico_numero],"--",0,1)</f>
        <v>5442 7460 8592 9077</v>
      </c>
      <c r="F79" t="str">
        <f>_xlfn.XLOOKUP(TabelaCadastro[[#This Row],[SENHA]],tbl_de_massas[id_massa],tbl_de_massas[fatura_fechada],"--",0,1)</f>
        <v>--</v>
      </c>
      <c r="G79" t="str">
        <f>_xlfn.XLOOKUP(TabelaCadastro[[#This Row],[Nome Completo]],tbl_de_massas[id_massa],tbl_de_massas[fatura_aberta],"--",0,1)</f>
        <v>--</v>
      </c>
      <c r="H79" t="str">
        <f>_xlfn.XLOOKUP(TabelaCadastro[[#This Row],[CARTÃO]],tbl_de_massas[id_massa],tbl_de_massas[dias_atraso],"--",0,1)</f>
        <v>--</v>
      </c>
    </row>
    <row r="80" spans="1:8" x14ac:dyDescent="0.25">
      <c r="A80" s="2" t="s">
        <v>2330</v>
      </c>
      <c r="B80" s="16" t="str">
        <f>_xlfn.XLOOKUP(TabelaCadastro[[#This Row],[ID_MASSA]],tbl_de_massas[id_massa],tbl_de_massas[cpf],"--",0,1)</f>
        <v>82499572612</v>
      </c>
      <c r="C80" t="s">
        <v>12</v>
      </c>
      <c r="D80" t="str">
        <f>_xlfn.XLOOKUP(TabelaCadastro[[#This Row],[ID_MASSA]],tbl_de_massas[id_massa],tbl_de_massas[nome_completo],"--",0,1)</f>
        <v>Camille Martin</v>
      </c>
      <c r="E80" t="str">
        <f>_xlfn.XLOOKUP(TabelaCadastro[[#This Row],[ID_MASSA]],tbl_de_massas[id_massa],tbl_de_massas[cartao_fisico_numero],"--",0,1)</f>
        <v>5442 7460 4229 7284</v>
      </c>
      <c r="F80" t="str">
        <f>_xlfn.XLOOKUP(TabelaCadastro[[#This Row],[SENHA]],tbl_de_massas[id_massa],tbl_de_massas[fatura_fechada],"--",0,1)</f>
        <v>--</v>
      </c>
      <c r="G80" t="str">
        <f>_xlfn.XLOOKUP(TabelaCadastro[[#This Row],[Nome Completo]],tbl_de_massas[id_massa],tbl_de_massas[fatura_aberta],"--",0,1)</f>
        <v>--</v>
      </c>
      <c r="H80" t="str">
        <f>_xlfn.XLOOKUP(TabelaCadastro[[#This Row],[CARTÃO]],tbl_de_massas[id_massa],tbl_de_massas[dias_atraso],"--",0,1)</f>
        <v>--</v>
      </c>
    </row>
    <row r="81" spans="1:8" x14ac:dyDescent="0.25">
      <c r="A81" s="2" t="s">
        <v>2331</v>
      </c>
      <c r="B81" s="16" t="str">
        <f>_xlfn.XLOOKUP(TabelaCadastro[[#This Row],[ID_MASSA]],tbl_de_massas[id_massa],tbl_de_massas[cpf],"--",0,1)</f>
        <v>75775457404</v>
      </c>
      <c r="C81" t="s">
        <v>12</v>
      </c>
      <c r="D81" t="str">
        <f>_xlfn.XLOOKUP(TabelaCadastro[[#This Row],[ID_MASSA]],tbl_de_massas[id_massa],tbl_de_massas[nome_completo],"--",0,1)</f>
        <v>Isabela Rocha Carvalho</v>
      </c>
      <c r="E81" t="str">
        <f>_xlfn.XLOOKUP(TabelaCadastro[[#This Row],[ID_MASSA]],tbl_de_massas[id_massa],tbl_de_massas[cartao_fisico_numero],"--",0,1)</f>
        <v>5442 7460 5652 9579</v>
      </c>
      <c r="F81" t="str">
        <f>_xlfn.XLOOKUP(TabelaCadastro[[#This Row],[SENHA]],tbl_de_massas[id_massa],tbl_de_massas[fatura_fechada],"--",0,1)</f>
        <v>--</v>
      </c>
      <c r="G81" t="str">
        <f>_xlfn.XLOOKUP(TabelaCadastro[[#This Row],[Nome Completo]],tbl_de_massas[id_massa],tbl_de_massas[fatura_aberta],"--",0,1)</f>
        <v>--</v>
      </c>
      <c r="H81" t="str">
        <f>_xlfn.XLOOKUP(TabelaCadastro[[#This Row],[CARTÃO]],tbl_de_massas[id_massa],tbl_de_massas[dias_atraso],"--",0,1)</f>
        <v>--</v>
      </c>
    </row>
    <row r="82" spans="1:8" x14ac:dyDescent="0.25">
      <c r="A82" s="2" t="s">
        <v>2332</v>
      </c>
      <c r="B82" s="16" t="str">
        <f>_xlfn.XLOOKUP(TabelaCadastro[[#This Row],[ID_MASSA]],tbl_de_massas[id_massa],tbl_de_massas[cpf],"--",0,1)</f>
        <v>88877766655</v>
      </c>
      <c r="C82" t="s">
        <v>12</v>
      </c>
      <c r="D82" t="str">
        <f>_xlfn.XLOOKUP(TabelaCadastro[[#This Row],[ID_MASSA]],tbl_de_massas[id_massa],tbl_de_massas[nome_completo],"--",0,1)</f>
        <v>Massa Teste DB Real</v>
      </c>
      <c r="E82" t="str">
        <f>_xlfn.XLOOKUP(TabelaCadastro[[#This Row],[ID_MASSA]],tbl_de_massas[id_massa],tbl_de_massas[cartao_fisico_numero],"--",0,1)</f>
        <v>5442 7460 5720 1203</v>
      </c>
      <c r="F82" t="str">
        <f>_xlfn.XLOOKUP(TabelaCadastro[[#This Row],[SENHA]],tbl_de_massas[id_massa],tbl_de_massas[fatura_fechada],"--",0,1)</f>
        <v>--</v>
      </c>
      <c r="G82" t="str">
        <f>_xlfn.XLOOKUP(TabelaCadastro[[#This Row],[Nome Completo]],tbl_de_massas[id_massa],tbl_de_massas[fatura_aberta],"--",0,1)</f>
        <v>--</v>
      </c>
      <c r="H82" t="str">
        <f>_xlfn.XLOOKUP(TabelaCadastro[[#This Row],[CARTÃO]],tbl_de_massas[id_massa],tbl_de_massas[dias_atraso],"--",0,1)</f>
        <v>--</v>
      </c>
    </row>
    <row r="83" spans="1:8" x14ac:dyDescent="0.25">
      <c r="A83" s="2" t="s">
        <v>2333</v>
      </c>
      <c r="B83" s="16" t="str">
        <f>_xlfn.XLOOKUP(TabelaCadastro[[#This Row],[ID_MASSA]],tbl_de_massas[id_massa],tbl_de_massas[cpf],"--",0,1)</f>
        <v>77766655544</v>
      </c>
      <c r="C83" t="s">
        <v>12</v>
      </c>
      <c r="D83" t="str">
        <f>_xlfn.XLOOKUP(TabelaCadastro[[#This Row],[ID_MASSA]],tbl_de_massas[id_massa],tbl_de_massas[nome_completo],"--",0,1)</f>
        <v>Cliente Cartao Teste</v>
      </c>
      <c r="E83" t="str">
        <f>_xlfn.XLOOKUP(TabelaCadastro[[#This Row],[ID_MASSA]],tbl_de_massas[id_massa],tbl_de_massas[cartao_fisico_numero],"--",0,1)</f>
        <v>5442 7460 1135 2723</v>
      </c>
      <c r="F83" t="str">
        <f>_xlfn.XLOOKUP(TabelaCadastro[[#This Row],[SENHA]],tbl_de_massas[id_massa],tbl_de_massas[fatura_fechada],"--",0,1)</f>
        <v>--</v>
      </c>
      <c r="G83" t="str">
        <f>_xlfn.XLOOKUP(TabelaCadastro[[#This Row],[Nome Completo]],tbl_de_massas[id_massa],tbl_de_massas[fatura_aberta],"--",0,1)</f>
        <v>--</v>
      </c>
      <c r="H83" t="str">
        <f>_xlfn.XLOOKUP(TabelaCadastro[[#This Row],[CARTÃO]],tbl_de_massas[id_massa],tbl_de_massas[dias_atraso],"--",0,1)</f>
        <v>--</v>
      </c>
    </row>
    <row r="84" spans="1:8" x14ac:dyDescent="0.25">
      <c r="A84" s="2" t="s">
        <v>2334</v>
      </c>
      <c r="B84" s="16" t="str">
        <f>_xlfn.XLOOKUP(TabelaCadastro[[#This Row],[ID_MASSA]],tbl_de_massas[id_massa],tbl_de_massas[cpf],"--",0,1)</f>
        <v>77766655599</v>
      </c>
      <c r="C84" t="s">
        <v>12</v>
      </c>
      <c r="D84" t="str">
        <f>_xlfn.XLOOKUP(TabelaCadastro[[#This Row],[ID_MASSA]],tbl_de_massas[id_massa],tbl_de_massas[nome_completo],"--",0,1)</f>
        <v>Cliente Cartao Teste</v>
      </c>
      <c r="E84" t="str">
        <f>_xlfn.XLOOKUP(TabelaCadastro[[#This Row],[ID_MASSA]],tbl_de_massas[id_massa],tbl_de_massas[cartao_fisico_numero],"--",0,1)</f>
        <v>5981 0124 9999 8888</v>
      </c>
      <c r="F84" t="str">
        <f>_xlfn.XLOOKUP(TabelaCadastro[[#This Row],[SENHA]],tbl_de_massas[id_massa],tbl_de_massas[fatura_fechada],"--",0,1)</f>
        <v>--</v>
      </c>
      <c r="G84" t="str">
        <f>_xlfn.XLOOKUP(TabelaCadastro[[#This Row],[Nome Completo]],tbl_de_massas[id_massa],tbl_de_massas[fatura_aberta],"--",0,1)</f>
        <v>--</v>
      </c>
      <c r="H84" t="str">
        <f>_xlfn.XLOOKUP(TabelaCadastro[[#This Row],[CARTÃO]],tbl_de_massas[id_massa],tbl_de_massas[dias_atraso],"--",0,1)</f>
        <v>--</v>
      </c>
    </row>
    <row r="85" spans="1:8" x14ac:dyDescent="0.25">
      <c r="A85" s="2" t="s">
        <v>2335</v>
      </c>
      <c r="B85" s="16" t="str">
        <f>_xlfn.XLOOKUP(TabelaCadastro[[#This Row],[ID_MASSA]],tbl_de_massas[id_massa],tbl_de_massas[cpf],"--",0,1)</f>
        <v>66655544433</v>
      </c>
      <c r="C85" t="s">
        <v>12</v>
      </c>
      <c r="D85" t="str">
        <f>_xlfn.XLOOKUP(TabelaCadastro[[#This Row],[ID_MASSA]],tbl_de_massas[id_massa],tbl_de_massas[nome_completo],"--",0,1)</f>
        <v>Cliente Amex Vip</v>
      </c>
      <c r="E85" t="str">
        <f>_xlfn.XLOOKUP(TabelaCadastro[[#This Row],[ID_MASSA]],tbl_de_massas[id_massa],tbl_de_massas[cartao_fisico_numero],"--",0,1)</f>
        <v>3782 123456 78901</v>
      </c>
      <c r="F85" t="str">
        <f>_xlfn.XLOOKUP(TabelaCadastro[[#This Row],[SENHA]],tbl_de_massas[id_massa],tbl_de_massas[fatura_fechada],"--",0,1)</f>
        <v>--</v>
      </c>
      <c r="G85" t="str">
        <f>_xlfn.XLOOKUP(TabelaCadastro[[#This Row],[Nome Completo]],tbl_de_massas[id_massa],tbl_de_massas[fatura_aberta],"--",0,1)</f>
        <v>--</v>
      </c>
      <c r="H85" t="str">
        <f>_xlfn.XLOOKUP(TabelaCadastro[[#This Row],[CARTÃO]],tbl_de_massas[id_massa],tbl_de_massas[dias_atraso],"--",0,1)</f>
        <v>--</v>
      </c>
    </row>
    <row r="86" spans="1:8" x14ac:dyDescent="0.25">
      <c r="A86" s="2" t="s">
        <v>2336</v>
      </c>
      <c r="B86" s="16" t="str">
        <f>_xlfn.XLOOKUP(TabelaCadastro[[#This Row],[ID_MASSA]],tbl_de_massas[id_massa],tbl_de_massas[cpf],"--",0,1)</f>
        <v>19231521659</v>
      </c>
      <c r="C86" t="s">
        <v>12</v>
      </c>
      <c r="D86" t="str">
        <f>_xlfn.XLOOKUP(TabelaCadastro[[#This Row],[ID_MASSA]],tbl_de_massas[id_massa],tbl_de_massas[nome_completo],"--",0,1)</f>
        <v>Gabriel Vinicius Souza</v>
      </c>
      <c r="E86" t="str">
        <f>_xlfn.XLOOKUP(TabelaCadastro[[#This Row],[ID_MASSA]],tbl_de_massas[id_massa],tbl_de_massas[cartao_fisico_numero],"--",0,1)</f>
        <v>5067 1146 6189 842</v>
      </c>
      <c r="F86" t="str">
        <f>_xlfn.XLOOKUP(TabelaCadastro[[#This Row],[SENHA]],tbl_de_massas[id_massa],tbl_de_massas[fatura_fechada],"--",0,1)</f>
        <v>--</v>
      </c>
      <c r="G86" t="str">
        <f>_xlfn.XLOOKUP(TabelaCadastro[[#This Row],[Nome Completo]],tbl_de_massas[id_massa],tbl_de_massas[fatura_aberta],"--",0,1)</f>
        <v>--</v>
      </c>
      <c r="H86" t="str">
        <f>_xlfn.XLOOKUP(TabelaCadastro[[#This Row],[CARTÃO]],tbl_de_massas[id_massa],tbl_de_massas[dias_atraso],"--",0,1)</f>
        <v>--</v>
      </c>
    </row>
    <row r="87" spans="1:8" x14ac:dyDescent="0.25">
      <c r="A87" s="2" t="s">
        <v>2337</v>
      </c>
      <c r="B87" s="16" t="str">
        <f>_xlfn.XLOOKUP(TabelaCadastro[[#This Row],[ID_MASSA]],tbl_de_massas[id_massa],tbl_de_massas[cpf],"--",0,1)</f>
        <v>78475680046</v>
      </c>
      <c r="C87" t="s">
        <v>12</v>
      </c>
      <c r="D87" t="str">
        <f>_xlfn.XLOOKUP(TabelaCadastro[[#This Row],[ID_MASSA]],tbl_de_massas[id_massa],tbl_de_massas[nome_completo],"--",0,1)</f>
        <v>Rodrigo Mendes Oliveira</v>
      </c>
      <c r="E87" t="str">
        <f>_xlfn.XLOOKUP(TabelaCadastro[[#This Row],[ID_MASSA]],tbl_de_massas[id_massa],tbl_de_massas[cartao_fisico_numero],"--",0,1)</f>
        <v>5442 7460 6201 6839</v>
      </c>
      <c r="F87" t="str">
        <f>_xlfn.XLOOKUP(TabelaCadastro[[#This Row],[SENHA]],tbl_de_massas[id_massa],tbl_de_massas[fatura_fechada],"--",0,1)</f>
        <v>--</v>
      </c>
      <c r="G87" t="str">
        <f>_xlfn.XLOOKUP(TabelaCadastro[[#This Row],[Nome Completo]],tbl_de_massas[id_massa],tbl_de_massas[fatura_aberta],"--",0,1)</f>
        <v>--</v>
      </c>
      <c r="H87" t="str">
        <f>_xlfn.XLOOKUP(TabelaCadastro[[#This Row],[CARTÃO]],tbl_de_massas[id_massa],tbl_de_massas[dias_atraso],"--",0,1)</f>
        <v>--</v>
      </c>
    </row>
    <row r="88" spans="1:8" x14ac:dyDescent="0.25">
      <c r="A88" s="2" t="s">
        <v>2338</v>
      </c>
      <c r="B88" s="16" t="str">
        <f>_xlfn.XLOOKUP(TabelaCadastro[[#This Row],[ID_MASSA]],tbl_de_massas[id_massa],tbl_de_massas[cpf],"--",0,1)</f>
        <v>92454501635</v>
      </c>
      <c r="C88" t="s">
        <v>12</v>
      </c>
      <c r="D88" t="str">
        <f>_xlfn.XLOOKUP(TabelaCadastro[[#This Row],[ID_MASSA]],tbl_de_massas[id_massa],tbl_de_massas[nome_completo],"--",0,1)</f>
        <v>Laurine Maillard</v>
      </c>
      <c r="E88" t="str">
        <f>_xlfn.XLOOKUP(TabelaCadastro[[#This Row],[ID_MASSA]],tbl_de_massas[id_massa],tbl_de_massas[cartao_fisico_numero],"--",0,1)</f>
        <v>5442 7460 4528 6363</v>
      </c>
      <c r="F88" t="str">
        <f>_xlfn.XLOOKUP(TabelaCadastro[[#This Row],[SENHA]],tbl_de_massas[id_massa],tbl_de_massas[fatura_fechada],"--",0,1)</f>
        <v>--</v>
      </c>
      <c r="G88" t="str">
        <f>_xlfn.XLOOKUP(TabelaCadastro[[#This Row],[Nome Completo]],tbl_de_massas[id_massa],tbl_de_massas[fatura_aberta],"--",0,1)</f>
        <v>--</v>
      </c>
      <c r="H88" t="str">
        <f>_xlfn.XLOOKUP(TabelaCadastro[[#This Row],[CARTÃO]],tbl_de_massas[id_massa],tbl_de_massas[dias_atraso],"--",0,1)</f>
        <v>--</v>
      </c>
    </row>
    <row r="89" spans="1:8" x14ac:dyDescent="0.25">
      <c r="A89" s="2" t="s">
        <v>2339</v>
      </c>
      <c r="B89" s="16" t="str">
        <f>_xlfn.XLOOKUP(TabelaCadastro[[#This Row],[ID_MASSA]],tbl_de_massas[id_massa],tbl_de_massas[cpf],"--",0,1)</f>
        <v>88339779788</v>
      </c>
      <c r="C89" t="s">
        <v>12</v>
      </c>
      <c r="D89" t="str">
        <f>_xlfn.XLOOKUP(TabelaCadastro[[#This Row],[ID_MASSA]],tbl_de_massas[id_massa],tbl_de_massas[nome_completo],"--",0,1)</f>
        <v>Mathilde Le gall</v>
      </c>
      <c r="E89" t="str">
        <f>_xlfn.XLOOKUP(TabelaCadastro[[#This Row],[ID_MASSA]],tbl_de_massas[id_massa],tbl_de_massas[cartao_fisico_numero],"--",0,1)</f>
        <v>5442 7460 7512 2955</v>
      </c>
      <c r="F89" t="str">
        <f>_xlfn.XLOOKUP(TabelaCadastro[[#This Row],[SENHA]],tbl_de_massas[id_massa],tbl_de_massas[fatura_fechada],"--",0,1)</f>
        <v>--</v>
      </c>
      <c r="G89" t="str">
        <f>_xlfn.XLOOKUP(TabelaCadastro[[#This Row],[Nome Completo]],tbl_de_massas[id_massa],tbl_de_massas[fatura_aberta],"--",0,1)</f>
        <v>--</v>
      </c>
      <c r="H89" t="str">
        <f>_xlfn.XLOOKUP(TabelaCadastro[[#This Row],[CARTÃO]],tbl_de_massas[id_massa],tbl_de_massas[dias_atraso],"--",0,1)</f>
        <v>--</v>
      </c>
    </row>
    <row r="90" spans="1:8" x14ac:dyDescent="0.25">
      <c r="A90" s="2" t="s">
        <v>2340</v>
      </c>
      <c r="B90" s="16" t="str">
        <f>_xlfn.XLOOKUP(TabelaCadastro[[#This Row],[ID_MASSA]],tbl_de_massas[id_massa],tbl_de_massas[cpf],"--",0,1)</f>
        <v>12902848900</v>
      </c>
      <c r="C90" t="s">
        <v>12</v>
      </c>
      <c r="D90" t="str">
        <f>_xlfn.XLOOKUP(TabelaCadastro[[#This Row],[ID_MASSA]],tbl_de_massas[id_massa],tbl_de_massas[nome_completo],"--",0,1)</f>
        <v>Mariana Costa Silva</v>
      </c>
      <c r="E90" t="str">
        <f>_xlfn.XLOOKUP(TabelaCadastro[[#This Row],[ID_MASSA]],tbl_de_massas[id_massa],tbl_de_massas[cartao_fisico_numero],"--",0,1)</f>
        <v>4576 7460 6419 0687</v>
      </c>
      <c r="F90" t="str">
        <f>_xlfn.XLOOKUP(TabelaCadastro[[#This Row],[SENHA]],tbl_de_massas[id_massa],tbl_de_massas[fatura_fechada],"--",0,1)</f>
        <v>--</v>
      </c>
      <c r="G90" t="str">
        <f>_xlfn.XLOOKUP(TabelaCadastro[[#This Row],[Nome Completo]],tbl_de_massas[id_massa],tbl_de_massas[fatura_aberta],"--",0,1)</f>
        <v>--</v>
      </c>
      <c r="H90" t="str">
        <f>_xlfn.XLOOKUP(TabelaCadastro[[#This Row],[CARTÃO]],tbl_de_massas[id_massa],tbl_de_massas[dias_atraso],"--",0,1)</f>
        <v>--</v>
      </c>
    </row>
    <row r="91" spans="1:8" x14ac:dyDescent="0.25">
      <c r="A91" s="2" t="s">
        <v>2341</v>
      </c>
      <c r="B91" s="16" t="str">
        <f>_xlfn.XLOOKUP(TabelaCadastro[[#This Row],[ID_MASSA]],tbl_de_massas[id_massa],tbl_de_massas[cpf],"--",0,1)</f>
        <v>44444444444</v>
      </c>
      <c r="C91" t="s">
        <v>12</v>
      </c>
      <c r="D91" t="str">
        <f>_xlfn.XLOOKUP(TabelaCadastro[[#This Row],[ID_MASSA]],tbl_de_massas[id_massa],tbl_de_massas[nome_completo],"--",0,1)</f>
        <v>Fernanda Lima</v>
      </c>
      <c r="E91" t="str">
        <f>_xlfn.XLOOKUP(TabelaCadastro[[#This Row],[ID_MASSA]],tbl_de_massas[id_massa],tbl_de_massas[cartao_fisico_numero],"--",0,1)</f>
        <v>5442 7460 6411 5291</v>
      </c>
      <c r="F91" t="str">
        <f>_xlfn.XLOOKUP(TabelaCadastro[[#This Row],[SENHA]],tbl_de_massas[id_massa],tbl_de_massas[fatura_fechada],"--",0,1)</f>
        <v>--</v>
      </c>
      <c r="G91" t="str">
        <f>_xlfn.XLOOKUP(TabelaCadastro[[#This Row],[Nome Completo]],tbl_de_massas[id_massa],tbl_de_massas[fatura_aberta],"--",0,1)</f>
        <v>--</v>
      </c>
      <c r="H91" t="str">
        <f>_xlfn.XLOOKUP(TabelaCadastro[[#This Row],[CARTÃO]],tbl_de_massas[id_massa],tbl_de_massas[dias_atraso],"--",0,1)</f>
        <v>--</v>
      </c>
    </row>
    <row r="92" spans="1:8" x14ac:dyDescent="0.25">
      <c r="A92" s="2" t="s">
        <v>2342</v>
      </c>
      <c r="B92" s="16" t="str">
        <f>_xlfn.XLOOKUP(TabelaCadastro[[#This Row],[ID_MASSA]],tbl_de_massas[id_massa],tbl_de_massas[cpf],"--",0,1)</f>
        <v>05458223608</v>
      </c>
      <c r="C92" t="s">
        <v>12</v>
      </c>
      <c r="D92" t="str">
        <f>_xlfn.XLOOKUP(TabelaCadastro[[#This Row],[ID_MASSA]],tbl_de_massas[id_massa],tbl_de_massas[nome_completo],"--",0,1)</f>
        <v>Gustave Jacquet</v>
      </c>
      <c r="E92" t="str">
        <f>_xlfn.XLOOKUP(TabelaCadastro[[#This Row],[ID_MASSA]],tbl_de_massas[id_massa],tbl_de_massas[cartao_fisico_numero],"--",0,1)</f>
        <v>5442 7460 1587 4139</v>
      </c>
      <c r="F92" t="str">
        <f>_xlfn.XLOOKUP(TabelaCadastro[[#This Row],[SENHA]],tbl_de_massas[id_massa],tbl_de_massas[fatura_fechada],"--",0,1)</f>
        <v>--</v>
      </c>
      <c r="G92" t="str">
        <f>_xlfn.XLOOKUP(TabelaCadastro[[#This Row],[Nome Completo]],tbl_de_massas[id_massa],tbl_de_massas[fatura_aberta],"--",0,1)</f>
        <v>--</v>
      </c>
      <c r="H92" t="str">
        <f>_xlfn.XLOOKUP(TabelaCadastro[[#This Row],[CARTÃO]],tbl_de_massas[id_massa],tbl_de_massas[dias_atraso],"--",0,1)</f>
        <v>--</v>
      </c>
    </row>
    <row r="93" spans="1:8" x14ac:dyDescent="0.25">
      <c r="A93" s="2" t="s">
        <v>2343</v>
      </c>
      <c r="B93" s="16" t="str">
        <f>_xlfn.XLOOKUP(TabelaCadastro[[#This Row],[ID_MASSA]],tbl_de_massas[id_massa],tbl_de_massas[cpf],"--",0,1)</f>
        <v>42111679011</v>
      </c>
      <c r="C93" t="s">
        <v>12</v>
      </c>
      <c r="D93" t="str">
        <f>_xlfn.XLOOKUP(TabelaCadastro[[#This Row],[ID_MASSA]],tbl_de_massas[id_massa],tbl_de_massas[nome_completo],"--",0,1)</f>
        <v>Camila Beatriz Santos</v>
      </c>
      <c r="E93" t="str">
        <f>_xlfn.XLOOKUP(TabelaCadastro[[#This Row],[ID_MASSA]],tbl_de_massas[id_massa],tbl_de_massas[cartao_fisico_numero],"--",0,1)</f>
        <v>5442 7460 6318 0938</v>
      </c>
      <c r="F93" t="str">
        <f>_xlfn.XLOOKUP(TabelaCadastro[[#This Row],[SENHA]],tbl_de_massas[id_massa],tbl_de_massas[fatura_fechada],"--",0,1)</f>
        <v>--</v>
      </c>
      <c r="G93" t="str">
        <f>_xlfn.XLOOKUP(TabelaCadastro[[#This Row],[Nome Completo]],tbl_de_massas[id_massa],tbl_de_massas[fatura_aberta],"--",0,1)</f>
        <v>--</v>
      </c>
      <c r="H93" t="str">
        <f>_xlfn.XLOOKUP(TabelaCadastro[[#This Row],[CARTÃO]],tbl_de_massas[id_massa],tbl_de_massas[dias_atraso],"--",0,1)</f>
        <v>--</v>
      </c>
    </row>
    <row r="94" spans="1:8" x14ac:dyDescent="0.25">
      <c r="A94" s="2" t="s">
        <v>2344</v>
      </c>
      <c r="B94" s="16" t="str">
        <f>_xlfn.XLOOKUP(TabelaCadastro[[#This Row],[ID_MASSA]],tbl_de_massas[id_massa],tbl_de_massas[cpf],"--",0,1)</f>
        <v>73129536620</v>
      </c>
      <c r="C94" t="s">
        <v>12</v>
      </c>
      <c r="D94" t="str">
        <f>_xlfn.XLOOKUP(TabelaCadastro[[#This Row],[ID_MASSA]],tbl_de_massas[id_massa],tbl_de_massas[nome_completo],"--",0,1)</f>
        <v>Juliana Lima Rezende</v>
      </c>
      <c r="E94" t="str">
        <f>_xlfn.XLOOKUP(TabelaCadastro[[#This Row],[ID_MASSA]],tbl_de_massas[id_massa],tbl_de_massas[cartao_fisico_numero],"--",0,1)</f>
        <v>4576 7460 1295 1259</v>
      </c>
      <c r="F94" t="str">
        <f>_xlfn.XLOOKUP(TabelaCadastro[[#This Row],[SENHA]],tbl_de_massas[id_massa],tbl_de_massas[fatura_fechada],"--",0,1)</f>
        <v>--</v>
      </c>
      <c r="G94" t="str">
        <f>_xlfn.XLOOKUP(TabelaCadastro[[#This Row],[Nome Completo]],tbl_de_massas[id_massa],tbl_de_massas[fatura_aberta],"--",0,1)</f>
        <v>--</v>
      </c>
      <c r="H94" t="str">
        <f>_xlfn.XLOOKUP(TabelaCadastro[[#This Row],[CARTÃO]],tbl_de_massas[id_massa],tbl_de_massas[dias_atraso],"--",0,1)</f>
        <v>--</v>
      </c>
    </row>
    <row r="95" spans="1:8" x14ac:dyDescent="0.25">
      <c r="A95" s="2" t="s">
        <v>2345</v>
      </c>
      <c r="B95" s="16" t="str">
        <f>_xlfn.XLOOKUP(TabelaCadastro[[#This Row],[ID_MASSA]],tbl_de_massas[id_massa],tbl_de_massas[cpf],"--",0,1)</f>
        <v>42194343806</v>
      </c>
      <c r="C95" t="s">
        <v>12</v>
      </c>
      <c r="D95" t="str">
        <f>_xlfn.XLOOKUP(TabelaCadastro[[#This Row],[ID_MASSA]],tbl_de_massas[id_massa],tbl_de_massas[nome_completo],"--",0,1)</f>
        <v>Bruno Henrique Alves</v>
      </c>
      <c r="E95" t="str">
        <f>_xlfn.XLOOKUP(TabelaCadastro[[#This Row],[ID_MASSA]],tbl_de_massas[id_massa],tbl_de_massas[cartao_fisico_numero],"--",0,1)</f>
        <v>4576 7460 4934 6097</v>
      </c>
      <c r="F95" t="str">
        <f>_xlfn.XLOOKUP(TabelaCadastro[[#This Row],[SENHA]],tbl_de_massas[id_massa],tbl_de_massas[fatura_fechada],"--",0,1)</f>
        <v>--</v>
      </c>
      <c r="G95" t="str">
        <f>_xlfn.XLOOKUP(TabelaCadastro[[#This Row],[Nome Completo]],tbl_de_massas[id_massa],tbl_de_massas[fatura_aberta],"--",0,1)</f>
        <v>--</v>
      </c>
      <c r="H95" t="str">
        <f>_xlfn.XLOOKUP(TabelaCadastro[[#This Row],[CARTÃO]],tbl_de_massas[id_massa],tbl_de_massas[dias_atraso],"--",0,1)</f>
        <v>--</v>
      </c>
    </row>
    <row r="96" spans="1:8" x14ac:dyDescent="0.25">
      <c r="A96" s="2" t="s">
        <v>2346</v>
      </c>
      <c r="B96" s="16" t="str">
        <f>_xlfn.XLOOKUP(TabelaCadastro[[#This Row],[ID_MASSA]],tbl_de_massas[id_massa],tbl_de_massas[cpf],"--",0,1)</f>
        <v>68141495240</v>
      </c>
      <c r="C96" t="s">
        <v>12</v>
      </c>
      <c r="D96" t="str">
        <f>_xlfn.XLOOKUP(TabelaCadastro[[#This Row],[ID_MASSA]],tbl_de_massas[id_massa],tbl_de_massas[nome_completo],"--",0,1)</f>
        <v>Lucas Gabriel Ferreira</v>
      </c>
      <c r="E96" t="str">
        <f>_xlfn.XLOOKUP(TabelaCadastro[[#This Row],[ID_MASSA]],tbl_de_massas[id_massa],tbl_de_massas[cartao_fisico_numero],"--",0,1)</f>
        <v>6505 0666 1745 4082</v>
      </c>
      <c r="F96" t="str">
        <f>_xlfn.XLOOKUP(TabelaCadastro[[#This Row],[SENHA]],tbl_de_massas[id_massa],tbl_de_massas[fatura_fechada],"--",0,1)</f>
        <v>--</v>
      </c>
      <c r="G96" t="str">
        <f>_xlfn.XLOOKUP(TabelaCadastro[[#This Row],[Nome Completo]],tbl_de_massas[id_massa],tbl_de_massas[fatura_aberta],"--",0,1)</f>
        <v>--</v>
      </c>
      <c r="H96" t="str">
        <f>_xlfn.XLOOKUP(TabelaCadastro[[#This Row],[CARTÃO]],tbl_de_massas[id_massa],tbl_de_massas[dias_atraso],"--",0,1)</f>
        <v>--</v>
      </c>
    </row>
    <row r="97" spans="1:8" x14ac:dyDescent="0.25">
      <c r="A97" s="2" t="s">
        <v>2347</v>
      </c>
      <c r="B97" s="16" t="str">
        <f>_xlfn.XLOOKUP(TabelaCadastro[[#This Row],[ID_MASSA]],tbl_de_massas[id_massa],tbl_de_massas[cpf],"--",0,1)</f>
        <v>11879646706</v>
      </c>
      <c r="C97" t="s">
        <v>12</v>
      </c>
      <c r="D97" t="str">
        <f>_xlfn.XLOOKUP(TabelaCadastro[[#This Row],[ID_MASSA]],tbl_de_massas[id_massa],tbl_de_massas[nome_completo],"--",0,1)</f>
        <v>Santiago Gomez</v>
      </c>
      <c r="E97" t="str">
        <f>_xlfn.XLOOKUP(TabelaCadastro[[#This Row],[ID_MASSA]],tbl_de_massas[id_massa],tbl_de_massas[cartao_fisico_numero],"--",0,1)</f>
        <v>6505 0666 7565 3509</v>
      </c>
      <c r="F97" t="str">
        <f>_xlfn.XLOOKUP(TabelaCadastro[[#This Row],[SENHA]],tbl_de_massas[id_massa],tbl_de_massas[fatura_fechada],"--",0,1)</f>
        <v>--</v>
      </c>
      <c r="G97" t="str">
        <f>_xlfn.XLOOKUP(TabelaCadastro[[#This Row],[Nome Completo]],tbl_de_massas[id_massa],tbl_de_massas[fatura_aberta],"--",0,1)</f>
        <v>--</v>
      </c>
      <c r="H97" t="str">
        <f>_xlfn.XLOOKUP(TabelaCadastro[[#This Row],[CARTÃO]],tbl_de_massas[id_massa],tbl_de_massas[dias_atraso],"--",0,1)</f>
        <v>--</v>
      </c>
    </row>
    <row r="98" spans="1:8" x14ac:dyDescent="0.25">
      <c r="A98" s="2" t="s">
        <v>2348</v>
      </c>
      <c r="B98" s="16" t="str">
        <f>_xlfn.XLOOKUP(TabelaCadastro[[#This Row],[ID_MASSA]],tbl_de_massas[id_massa],tbl_de_massas[cpf],"--",0,1)</f>
        <v>86236132526</v>
      </c>
      <c r="C98" t="s">
        <v>2367</v>
      </c>
      <c r="D98" t="str">
        <f>_xlfn.XLOOKUP(TabelaCadastro[[#This Row],[ID_MASSA]],tbl_de_massas[id_massa],tbl_de_massas[nome_completo],"--",0,1)</f>
        <v>Albérade Chevalier</v>
      </c>
      <c r="E98" t="str">
        <f>_xlfn.XLOOKUP(TabelaCadastro[[#This Row],[ID_MASSA]],tbl_de_massas[id_massa],tbl_de_massas[cartao_fisico_numero],"--",0,1)</f>
        <v>5185 4460 8680 7410</v>
      </c>
      <c r="F98" t="str">
        <f>_xlfn.XLOOKUP(TabelaCadastro[[#This Row],[SENHA]],tbl_de_massas[id_massa],tbl_de_massas[fatura_fechada],"--",0,1)</f>
        <v>--</v>
      </c>
      <c r="G98" t="str">
        <f>_xlfn.XLOOKUP(TabelaCadastro[[#This Row],[Nome Completo]],tbl_de_massas[id_massa],tbl_de_massas[fatura_aberta],"--",0,1)</f>
        <v>--</v>
      </c>
      <c r="H98" t="str">
        <f>_xlfn.XLOOKUP(TabelaCadastro[[#This Row],[CARTÃO]],tbl_de_massas[id_massa],tbl_de_massas[dias_atraso],"--",0,1)</f>
        <v>--</v>
      </c>
    </row>
    <row r="99" spans="1:8" x14ac:dyDescent="0.25">
      <c r="A99" s="2" t="s">
        <v>2349</v>
      </c>
      <c r="B99" s="16" t="str">
        <f>_xlfn.XLOOKUP(TabelaCadastro[[#This Row],[ID_MASSA]],tbl_de_massas[id_massa],tbl_de_massas[cpf],"--",0,1)</f>
        <v>34310951783</v>
      </c>
      <c r="C99" t="s">
        <v>2369</v>
      </c>
      <c r="D99" t="str">
        <f>_xlfn.XLOOKUP(TabelaCadastro[[#This Row],[ID_MASSA]],tbl_de_massas[id_massa],tbl_de_massas[nome_completo],"--",0,1)</f>
        <v>Michael David Williams</v>
      </c>
      <c r="E99" t="str">
        <f>_xlfn.XLOOKUP(TabelaCadastro[[#This Row],[ID_MASSA]],tbl_de_massas[id_massa],tbl_de_massas[cartao_fisico_numero],"--",0,1)</f>
        <v>6062 8200 9426 0604</v>
      </c>
      <c r="F99" t="str">
        <f>_xlfn.XLOOKUP(TabelaCadastro[[#This Row],[SENHA]],tbl_de_massas[id_massa],tbl_de_massas[fatura_fechada],"--",0,1)</f>
        <v>--</v>
      </c>
      <c r="G99" t="str">
        <f>_xlfn.XLOOKUP(TabelaCadastro[[#This Row],[Nome Completo]],tbl_de_massas[id_massa],tbl_de_massas[fatura_aberta],"--",0,1)</f>
        <v>--</v>
      </c>
      <c r="H99" t="str">
        <f>_xlfn.XLOOKUP(TabelaCadastro[[#This Row],[CARTÃO]],tbl_de_massas[id_massa],tbl_de_massas[dias_atraso],"--",0,1)</f>
        <v>--</v>
      </c>
    </row>
    <row r="100" spans="1:8" x14ac:dyDescent="0.25">
      <c r="A100" s="2" t="s">
        <v>2350</v>
      </c>
      <c r="B100" s="16" t="str">
        <f>_xlfn.XLOOKUP(TabelaCadastro[[#This Row],[ID_MASSA]],tbl_de_massas[id_massa],tbl_de_massas[cpf],"--",0,1)</f>
        <v>42681570697</v>
      </c>
      <c r="C100" t="s">
        <v>2371</v>
      </c>
      <c r="D100" t="str">
        <f>_xlfn.XLOOKUP(TabelaCadastro[[#This Row],[ID_MASSA]],tbl_de_massas[id_massa],tbl_de_massas[nome_completo],"--",0,1)</f>
        <v>Felix Weber</v>
      </c>
      <c r="E100" t="str">
        <f>_xlfn.XLOOKUP(TabelaCadastro[[#This Row],[ID_MASSA]],tbl_de_massas[id_massa],tbl_de_massas[cartao_fisico_numero],"--",0,1)</f>
        <v>6062 8200 2382 2068</v>
      </c>
      <c r="F100" t="str">
        <f>_xlfn.XLOOKUP(TabelaCadastro[[#This Row],[SENHA]],tbl_de_massas[id_massa],tbl_de_massas[fatura_fechada],"--",0,1)</f>
        <v>--</v>
      </c>
      <c r="G100" t="str">
        <f>_xlfn.XLOOKUP(TabelaCadastro[[#This Row],[Nome Completo]],tbl_de_massas[id_massa],tbl_de_massas[fatura_aberta],"--",0,1)</f>
        <v>--</v>
      </c>
      <c r="H100" t="str">
        <f>_xlfn.XLOOKUP(TabelaCadastro[[#This Row],[CARTÃO]],tbl_de_massas[id_massa],tbl_de_massas[dias_atraso],"--",0,1)</f>
        <v>--</v>
      </c>
    </row>
    <row r="101" spans="1:8" x14ac:dyDescent="0.25">
      <c r="A101" s="2" t="s">
        <v>2351</v>
      </c>
      <c r="B101" s="16" t="str">
        <f>_xlfn.XLOOKUP(TabelaCadastro[[#This Row],[ID_MASSA]],tbl_de_massas[id_massa],tbl_de_massas[cpf],"--",0,1)</f>
        <v>23626419533</v>
      </c>
      <c r="C101" t="s">
        <v>2378</v>
      </c>
      <c r="D101" t="str">
        <f>_xlfn.XLOOKUP(TabelaCadastro[[#This Row],[ID_MASSA]],tbl_de_massas[id_massa],tbl_de_massas[nome_completo],"--",0,1)</f>
        <v>Matteo Rossi</v>
      </c>
      <c r="E101" t="str">
        <f>_xlfn.XLOOKUP(TabelaCadastro[[#This Row],[ID_MASSA]],tbl_de_massas[id_massa],tbl_de_massas[cartao_fisico_numero],"--",0,1)</f>
        <v>5442 7460 2709 5864</v>
      </c>
      <c r="F101" t="str">
        <f>_xlfn.XLOOKUP(TabelaCadastro[[#This Row],[SENHA]],tbl_de_massas[id_massa],tbl_de_massas[fatura_fechada],"--",0,1)</f>
        <v>--</v>
      </c>
      <c r="G101" t="str">
        <f>_xlfn.XLOOKUP(TabelaCadastro[[#This Row],[Nome Completo]],tbl_de_massas[id_massa],tbl_de_massas[fatura_aberta],"--",0,1)</f>
        <v>--</v>
      </c>
      <c r="H101" t="str">
        <f>_xlfn.XLOOKUP(TabelaCadastro[[#This Row],[CARTÃO]],tbl_de_massas[id_massa],tbl_de_massas[dias_atraso],"--",0,1)</f>
        <v>--</v>
      </c>
    </row>
    <row r="102" spans="1:8" x14ac:dyDescent="0.25">
      <c r="A102" s="2" t="s">
        <v>2352</v>
      </c>
      <c r="B102" s="16" t="str">
        <f>_xlfn.XLOOKUP(TabelaCadastro[[#This Row],[ID_MASSA]],tbl_de_massas[id_massa],tbl_de_massas[cpf],"--",0,1)</f>
        <v>46945365409</v>
      </c>
      <c r="C102" t="s">
        <v>2379</v>
      </c>
      <c r="D102" t="str">
        <f>_xlfn.XLOOKUP(TabelaCadastro[[#This Row],[ID_MASSA]],tbl_de_massas[id_massa],tbl_de_massas[nome_completo],"--",0,1)</f>
        <v>Valentina Rodriguez</v>
      </c>
      <c r="E102" t="str">
        <f>_xlfn.XLOOKUP(TabelaCadastro[[#This Row],[ID_MASSA]],tbl_de_massas[id_massa],tbl_de_massas[cartao_fisico_numero],"--",0,1)</f>
        <v>4576 7460 2148 2328</v>
      </c>
      <c r="F102" t="str">
        <f>_xlfn.XLOOKUP(TabelaCadastro[[#This Row],[SENHA]],tbl_de_massas[id_massa],tbl_de_massas[fatura_fechada],"--",0,1)</f>
        <v>--</v>
      </c>
      <c r="G102" t="str">
        <f>_xlfn.XLOOKUP(TabelaCadastro[[#This Row],[Nome Completo]],tbl_de_massas[id_massa],tbl_de_massas[fatura_aberta],"--",0,1)</f>
        <v>--</v>
      </c>
      <c r="H102" t="str">
        <f>_xlfn.XLOOKUP(TabelaCadastro[[#This Row],[CARTÃO]],tbl_de_massas[id_massa],tbl_de_massas[dias_atraso],"--",0,1)</f>
        <v>--</v>
      </c>
    </row>
    <row r="103" spans="1:8" x14ac:dyDescent="0.25">
      <c r="A103" s="2" t="s">
        <v>2353</v>
      </c>
      <c r="B103" s="16" t="str">
        <f>_xlfn.XLOOKUP(TabelaCadastro[[#This Row],[ID_MASSA]],tbl_de_massas[id_massa],tbl_de_massas[cpf],"--",0,1)</f>
        <v>02915062919</v>
      </c>
      <c r="C103" t="s">
        <v>2380</v>
      </c>
      <c r="D103" t="str">
        <f>_xlfn.XLOOKUP(TabelaCadastro[[#This Row],[ID_MASSA]],tbl_de_massas[id_massa],tbl_de_massas[nome_completo],"--",0,1)</f>
        <v>Martim Costa</v>
      </c>
      <c r="E103" t="str">
        <f>_xlfn.XLOOKUP(TabelaCadastro[[#This Row],[ID_MASSA]],tbl_de_massas[id_massa],tbl_de_massas[cartao_fisico_numero],"--",0,1)</f>
        <v>6505 0666 7166 3754</v>
      </c>
      <c r="F103" t="str">
        <f>_xlfn.XLOOKUP(TabelaCadastro[[#This Row],[SENHA]],tbl_de_massas[id_massa],tbl_de_massas[fatura_fechada],"--",0,1)</f>
        <v>--</v>
      </c>
      <c r="G103" t="str">
        <f>_xlfn.XLOOKUP(TabelaCadastro[[#This Row],[Nome Completo]],tbl_de_massas[id_massa],tbl_de_massas[fatura_aberta],"--",0,1)</f>
        <v>--</v>
      </c>
      <c r="H103" t="str">
        <f>_xlfn.XLOOKUP(TabelaCadastro[[#This Row],[CARTÃO]],tbl_de_massas[id_massa],tbl_de_massas[dias_atraso],"--",0,1)</f>
        <v>--</v>
      </c>
    </row>
    <row r="104" spans="1:8" x14ac:dyDescent="0.25">
      <c r="A104" s="2" t="s">
        <v>2354</v>
      </c>
      <c r="B104" s="16" t="str">
        <f>_xlfn.XLOOKUP(TabelaCadastro[[#This Row],[ID_MASSA]],tbl_de_massas[id_massa],tbl_de_massas[cpf],"--",0,1)</f>
        <v>58480256907</v>
      </c>
      <c r="C104" t="s">
        <v>2381</v>
      </c>
      <c r="D104" t="str">
        <f>_xlfn.XLOOKUP(TabelaCadastro[[#This Row],[ID_MASSA]],tbl_de_massas[id_massa],tbl_de_massas[nome_completo],"--",0,1)</f>
        <v>Dohyun Choi</v>
      </c>
      <c r="E104" t="str">
        <f>_xlfn.XLOOKUP(TabelaCadastro[[#This Row],[ID_MASSA]],tbl_de_massas[id_massa],tbl_de_massas[cartao_fisico_numero],"--",0,1)</f>
        <v>3782 431206 7566</v>
      </c>
      <c r="F104" t="str">
        <f>_xlfn.XLOOKUP(TabelaCadastro[[#This Row],[SENHA]],tbl_de_massas[id_massa],tbl_de_massas[fatura_fechada],"--",0,1)</f>
        <v>--</v>
      </c>
      <c r="G104" t="str">
        <f>_xlfn.XLOOKUP(TabelaCadastro[[#This Row],[Nome Completo]],tbl_de_massas[id_massa],tbl_de_massas[fatura_aberta],"--",0,1)</f>
        <v>--</v>
      </c>
      <c r="H104" t="str">
        <f>_xlfn.XLOOKUP(TabelaCadastro[[#This Row],[CARTÃO]],tbl_de_massas[id_massa],tbl_de_massas[dias_atraso],"--",0,1)</f>
        <v>--</v>
      </c>
    </row>
    <row r="105" spans="1:8" x14ac:dyDescent="0.25">
      <c r="A105" s="2" t="s">
        <v>2355</v>
      </c>
      <c r="B105" s="16" t="str">
        <f>_xlfn.XLOOKUP(TabelaCadastro[[#This Row],[ID_MASSA]],tbl_de_massas[id_massa],tbl_de_massas[cpf],"--",0,1)</f>
        <v>38160081359</v>
      </c>
      <c r="C105" t="s">
        <v>2382</v>
      </c>
      <c r="D105" t="str">
        <f>_xlfn.XLOOKUP(TabelaCadastro[[#This Row],[ID_MASSA]],tbl_de_massas[id_massa],tbl_de_massas[nome_completo],"--",0,1)</f>
        <v>Mateo Fernandez</v>
      </c>
      <c r="E105" t="str">
        <f>_xlfn.XLOOKUP(TabelaCadastro[[#This Row],[ID_MASSA]],tbl_de_massas[id_massa],tbl_de_massas[cartao_fisico_numero],"--",0,1)</f>
        <v>6062 8200 6029 3753</v>
      </c>
      <c r="F105" t="str">
        <f>_xlfn.XLOOKUP(TabelaCadastro[[#This Row],[SENHA]],tbl_de_massas[id_massa],tbl_de_massas[fatura_fechada],"--",0,1)</f>
        <v>--</v>
      </c>
      <c r="G105" t="str">
        <f>_xlfn.XLOOKUP(TabelaCadastro[[#This Row],[Nome Completo]],tbl_de_massas[id_massa],tbl_de_massas[fatura_aberta],"--",0,1)</f>
        <v>--</v>
      </c>
      <c r="H105" t="str">
        <f>_xlfn.XLOOKUP(TabelaCadastro[[#This Row],[CARTÃO]],tbl_de_massas[id_massa],tbl_de_massas[dias_atraso],"--",0,1)</f>
        <v>--</v>
      </c>
    </row>
    <row r="106" spans="1:8" x14ac:dyDescent="0.25">
      <c r="A106" s="2" t="s">
        <v>2356</v>
      </c>
      <c r="B106" s="16" t="str">
        <f>_xlfn.XLOOKUP(TabelaCadastro[[#This Row],[ID_MASSA]],tbl_de_massas[id_massa],tbl_de_massas[cpf],"--",0,1)</f>
        <v>98215828507</v>
      </c>
      <c r="C106" t="s">
        <v>2383</v>
      </c>
      <c r="D106" t="str">
        <f>_xlfn.XLOOKUP(TabelaCadastro[[#This Row],[ID_MASSA]],tbl_de_massas[id_massa],tbl_de_massas[nome_completo],"--",0,1)</f>
        <v>Noura Al-Saud</v>
      </c>
      <c r="E106" t="str">
        <f>_xlfn.XLOOKUP(TabelaCadastro[[#This Row],[ID_MASSA]],tbl_de_massas[id_massa],tbl_de_massas[cartao_fisico_numero],"--",0,1)</f>
        <v>4576 7460 9102 4721</v>
      </c>
      <c r="F106" t="str">
        <f>_xlfn.XLOOKUP(TabelaCadastro[[#This Row],[SENHA]],tbl_de_massas[id_massa],tbl_de_massas[fatura_fechada],"--",0,1)</f>
        <v>--</v>
      </c>
      <c r="G106" t="str">
        <f>_xlfn.XLOOKUP(TabelaCadastro[[#This Row],[Nome Completo]],tbl_de_massas[id_massa],tbl_de_massas[fatura_aberta],"--",0,1)</f>
        <v>--</v>
      </c>
      <c r="H106" t="str">
        <f>_xlfn.XLOOKUP(TabelaCadastro[[#This Row],[CARTÃO]],tbl_de_massas[id_massa],tbl_de_massas[dias_atraso],"--",0,1)</f>
        <v>--</v>
      </c>
    </row>
    <row r="107" spans="1:8" x14ac:dyDescent="0.25">
      <c r="A107" s="2" t="s">
        <v>2145</v>
      </c>
      <c r="B107" s="16" t="str">
        <f>_xlfn.XLOOKUP(TabelaCadastro[[#This Row],[ID_MASSA]],tbl_de_massas[id_massa],tbl_de_massas[cpf],"--",0,1)</f>
        <v>80535757654</v>
      </c>
      <c r="C107" t="s">
        <v>2384</v>
      </c>
      <c r="D107" t="str">
        <f>_xlfn.XLOOKUP(TabelaCadastro[[#This Row],[ID_MASSA]],tbl_de_massas[id_massa],tbl_de_massas[nome_completo],"--",0,1)</f>
        <v>Lucas Laurent</v>
      </c>
      <c r="E107" t="str">
        <f>_xlfn.XLOOKUP(TabelaCadastro[[#This Row],[ID_MASSA]],tbl_de_massas[id_massa],tbl_de_massas[cartao_fisico_numero],"--",0,1)</f>
        <v>6062 8200 7609 3088</v>
      </c>
      <c r="F107" t="str">
        <f>_xlfn.XLOOKUP(TabelaCadastro[[#This Row],[SENHA]],tbl_de_massas[id_massa],tbl_de_massas[fatura_fechada],"--",0,1)</f>
        <v>--</v>
      </c>
      <c r="G107" t="str">
        <f>_xlfn.XLOOKUP(TabelaCadastro[[#This Row],[Nome Completo]],tbl_de_massas[id_massa],tbl_de_massas[fatura_aberta],"--",0,1)</f>
        <v>--</v>
      </c>
      <c r="H107" t="str">
        <f>_xlfn.XLOOKUP(TabelaCadastro[[#This Row],[CARTÃO]],tbl_de_massas[id_massa],tbl_de_massas[dias_atraso],"--",0,1)</f>
        <v>--</v>
      </c>
    </row>
    <row r="108" spans="1:8" x14ac:dyDescent="0.25">
      <c r="A108" s="2" t="s">
        <v>2146</v>
      </c>
      <c r="B108" s="16" t="str">
        <f>_xlfn.XLOOKUP(TabelaCadastro[[#This Row],[ID_MASSA]],tbl_de_massas[id_massa],tbl_de_massas[cpf],"--",0,1)</f>
        <v>93544490340</v>
      </c>
      <c r="C108" t="s">
        <v>2385</v>
      </c>
      <c r="D108" t="str">
        <f>_xlfn.XLOOKUP(TabelaCadastro[[#This Row],[ID_MASSA]],tbl_de_massas[id_massa],tbl_de_massas[nome_completo],"--",0,1)</f>
        <v>Haewon Jung</v>
      </c>
      <c r="E108" t="str">
        <f>_xlfn.XLOOKUP(TabelaCadastro[[#This Row],[ID_MASSA]],tbl_de_massas[id_massa],tbl_de_massas[cartao_fisico_numero],"--",0,1)</f>
        <v>6505 0666 1667 2851</v>
      </c>
      <c r="F108" t="str">
        <f>_xlfn.XLOOKUP(TabelaCadastro[[#This Row],[SENHA]],tbl_de_massas[id_massa],tbl_de_massas[fatura_fechada],"--",0,1)</f>
        <v>--</v>
      </c>
      <c r="G108" t="str">
        <f>_xlfn.XLOOKUP(TabelaCadastro[[#This Row],[Nome Completo]],tbl_de_massas[id_massa],tbl_de_massas[fatura_aberta],"--",0,1)</f>
        <v>--</v>
      </c>
      <c r="H108" t="str">
        <f>_xlfn.XLOOKUP(TabelaCadastro[[#This Row],[CARTÃO]],tbl_de_massas[id_massa],tbl_de_massas[dias_atraso],"--",0,1)</f>
        <v>--</v>
      </c>
    </row>
    <row r="109" spans="1:8" x14ac:dyDescent="0.25">
      <c r="A109" s="2" t="s">
        <v>2147</v>
      </c>
      <c r="B109" s="16" t="str">
        <f>_xlfn.XLOOKUP(TabelaCadastro[[#This Row],[ID_MASSA]],tbl_de_massas[id_massa],tbl_de_massas[cpf],"--",0,1)</f>
        <v>41649264658</v>
      </c>
      <c r="C109" t="s">
        <v>2386</v>
      </c>
      <c r="D109" t="str">
        <f>_xlfn.XLOOKUP(TabelaCadastro[[#This Row],[ID_MASSA]],tbl_de_massas[id_massa],tbl_de_massas[nome_completo],"--",0,1)</f>
        <v>Ren Ito</v>
      </c>
      <c r="E109" t="str">
        <f>_xlfn.XLOOKUP(TabelaCadastro[[#This Row],[ID_MASSA]],tbl_de_massas[id_massa],tbl_de_massas[cartao_fisico_numero],"--",0,1)</f>
        <v>6505 0666 7023 0156</v>
      </c>
      <c r="F109" t="str">
        <f>_xlfn.XLOOKUP(TabelaCadastro[[#This Row],[SENHA]],tbl_de_massas[id_massa],tbl_de_massas[fatura_fechada],"--",0,1)</f>
        <v>--</v>
      </c>
      <c r="G109" t="str">
        <f>_xlfn.XLOOKUP(TabelaCadastro[[#This Row],[Nome Completo]],tbl_de_massas[id_massa],tbl_de_massas[fatura_aberta],"--",0,1)</f>
        <v>--</v>
      </c>
      <c r="H109" t="str">
        <f>_xlfn.XLOOKUP(TabelaCadastro[[#This Row],[CARTÃO]],tbl_de_massas[id_massa],tbl_de_massas[dias_atraso],"--",0,1)</f>
        <v>--</v>
      </c>
    </row>
    <row r="110" spans="1:8" x14ac:dyDescent="0.25">
      <c r="A110" s="2" t="s">
        <v>2148</v>
      </c>
      <c r="B110" s="16" t="str">
        <f>_xlfn.XLOOKUP(TabelaCadastro[[#This Row],[ID_MASSA]],tbl_de_massas[id_massa],tbl_de_massas[cpf],"--",0,1)</f>
        <v>68737946439</v>
      </c>
      <c r="C110" t="s">
        <v>2387</v>
      </c>
      <c r="D110" t="str">
        <f>_xlfn.XLOOKUP(TabelaCadastro[[#This Row],[ID_MASSA]],tbl_de_massas[id_massa],tbl_de_massas[nome_completo],"--",0,1)</f>
        <v>Khalid Al-Zahrani</v>
      </c>
      <c r="E110" t="str">
        <f>_xlfn.XLOOKUP(TabelaCadastro[[#This Row],[ID_MASSA]],tbl_de_massas[id_massa],tbl_de_massas[cartao_fisico_numero],"--",0,1)</f>
        <v>3782 490279 9866</v>
      </c>
      <c r="F110" t="str">
        <f>_xlfn.XLOOKUP(TabelaCadastro[[#This Row],[SENHA]],tbl_de_massas[id_massa],tbl_de_massas[fatura_fechada],"--",0,1)</f>
        <v>--</v>
      </c>
      <c r="G110" t="str">
        <f>_xlfn.XLOOKUP(TabelaCadastro[[#This Row],[Nome Completo]],tbl_de_massas[id_massa],tbl_de_massas[fatura_aberta],"--",0,1)</f>
        <v>--</v>
      </c>
      <c r="H110" t="str">
        <f>_xlfn.XLOOKUP(TabelaCadastro[[#This Row],[CARTÃO]],tbl_de_massas[id_massa],tbl_de_massas[dias_atraso],"--",0,1)</f>
        <v>--</v>
      </c>
    </row>
    <row r="111" spans="1:8" x14ac:dyDescent="0.25">
      <c r="A111" s="2" t="s">
        <v>2149</v>
      </c>
      <c r="B111" s="16" t="str">
        <f>_xlfn.XLOOKUP(TabelaCadastro[[#This Row],[ID_MASSA]],tbl_de_massas[id_massa],tbl_de_massas[cpf],"--",0,1)</f>
        <v>15351515369</v>
      </c>
      <c r="C111" t="s">
        <v>2388</v>
      </c>
      <c r="D111" t="str">
        <f>_xlfn.XLOOKUP(TabelaCadastro[[#This Row],[ID_MASSA]],tbl_de_massas[id_massa],tbl_de_massas[nome_completo],"--",0,1)</f>
        <v>Fatima Al-Harbi</v>
      </c>
      <c r="E111" t="str">
        <f>_xlfn.XLOOKUP(TabelaCadastro[[#This Row],[ID_MASSA]],tbl_de_massas[id_massa],tbl_de_massas[cartao_fisico_numero],"--",0,1)</f>
        <v>6505 0666 9490 5042</v>
      </c>
      <c r="F111" t="str">
        <f>_xlfn.XLOOKUP(TabelaCadastro[[#This Row],[SENHA]],tbl_de_massas[id_massa],tbl_de_massas[fatura_fechada],"--",0,1)</f>
        <v>--</v>
      </c>
      <c r="G111" t="str">
        <f>_xlfn.XLOOKUP(TabelaCadastro[[#This Row],[Nome Completo]],tbl_de_massas[id_massa],tbl_de_massas[fatura_aberta],"--",0,1)</f>
        <v>--</v>
      </c>
      <c r="H111" t="str">
        <f>_xlfn.XLOOKUP(TabelaCadastro[[#This Row],[CARTÃO]],tbl_de_massas[id_massa],tbl_de_massas[dias_atraso],"--",0,1)</f>
        <v>--</v>
      </c>
    </row>
    <row r="112" spans="1:8" x14ac:dyDescent="0.25">
      <c r="A112" s="2" t="s">
        <v>2150</v>
      </c>
      <c r="B112" s="16" t="str">
        <f>_xlfn.XLOOKUP(TabelaCadastro[[#This Row],[ID_MASSA]],tbl_de_massas[id_massa],tbl_de_massas[cpf],"--",0,1)</f>
        <v>51742065392</v>
      </c>
      <c r="C112" t="s">
        <v>2389</v>
      </c>
      <c r="D112" t="str">
        <f>_xlfn.XLOOKUP(TabelaCadastro[[#This Row],[ID_MASSA]],tbl_de_massas[id_massa],tbl_de_massas[nome_completo],"--",0,1)</f>
        <v>Taro Tanaka</v>
      </c>
      <c r="E112" t="str">
        <f>_xlfn.XLOOKUP(TabelaCadastro[[#This Row],[ID_MASSA]],tbl_de_massas[id_massa],tbl_de_massas[cartao_fisico_numero],"--",0,1)</f>
        <v>4576 7460 9383 4990</v>
      </c>
      <c r="F112" t="str">
        <f>_xlfn.XLOOKUP(TabelaCadastro[[#This Row],[SENHA]],tbl_de_massas[id_massa],tbl_de_massas[fatura_fechada],"--",0,1)</f>
        <v>--</v>
      </c>
      <c r="G112" t="str">
        <f>_xlfn.XLOOKUP(TabelaCadastro[[#This Row],[Nome Completo]],tbl_de_massas[id_massa],tbl_de_massas[fatura_aberta],"--",0,1)</f>
        <v>--</v>
      </c>
      <c r="H112" t="str">
        <f>_xlfn.XLOOKUP(TabelaCadastro[[#This Row],[CARTÃO]],tbl_de_massas[id_massa],tbl_de_massas[dias_atraso],"--",0,1)</f>
        <v>--</v>
      </c>
    </row>
    <row r="113" spans="1:8" x14ac:dyDescent="0.25">
      <c r="A113" s="2" t="s">
        <v>2151</v>
      </c>
      <c r="B113" s="16" t="str">
        <f>_xlfn.XLOOKUP(TabelaCadastro[[#This Row],[ID_MASSA]],tbl_de_massas[id_massa],tbl_de_massas[cpf],"--",0,1)</f>
        <v>21005484686</v>
      </c>
      <c r="C113" t="s">
        <v>2390</v>
      </c>
      <c r="D113" t="str">
        <f>_xlfn.XLOOKUP(TabelaCadastro[[#This Row],[ID_MASSA]],tbl_de_massas[id_massa],tbl_de_massas[nome_completo],"--",0,1)</f>
        <v>Boniface Gauthier</v>
      </c>
      <c r="E113" t="str">
        <f>_xlfn.XLOOKUP(TabelaCadastro[[#This Row],[ID_MASSA]],tbl_de_massas[id_massa],tbl_de_massas[cartao_fisico_numero],"--",0,1)</f>
        <v>5364 2660 6627 9262</v>
      </c>
      <c r="F113" t="str">
        <f>_xlfn.XLOOKUP(TabelaCadastro[[#This Row],[SENHA]],tbl_de_massas[id_massa],tbl_de_massas[fatura_fechada],"--",0,1)</f>
        <v>--</v>
      </c>
      <c r="G113" t="str">
        <f>_xlfn.XLOOKUP(TabelaCadastro[[#This Row],[Nome Completo]],tbl_de_massas[id_massa],tbl_de_massas[fatura_aberta],"--",0,1)</f>
        <v>--</v>
      </c>
      <c r="H113" t="str">
        <f>_xlfn.XLOOKUP(TabelaCadastro[[#This Row],[CARTÃO]],tbl_de_massas[id_massa],tbl_de_massas[dias_atraso],"--",0,1)</f>
        <v>--</v>
      </c>
    </row>
    <row r="114" spans="1:8" x14ac:dyDescent="0.25">
      <c r="A114" s="2" t="s">
        <v>2152</v>
      </c>
      <c r="B114" s="16" t="str">
        <f>_xlfn.XLOOKUP(TabelaCadastro[[#This Row],[ID_MASSA]],tbl_de_massas[id_massa],tbl_de_massas[cpf],"--",0,1)</f>
        <v>58628880208</v>
      </c>
      <c r="C114" t="s">
        <v>2391</v>
      </c>
      <c r="D114" t="str">
        <f>_xlfn.XLOOKUP(TabelaCadastro[[#This Row],[ID_MASSA]],tbl_de_massas[id_massa],tbl_de_massas[nome_completo],"--",0,1)</f>
        <v>Morgan Poirier</v>
      </c>
      <c r="E114" t="str">
        <f>_xlfn.XLOOKUP(TabelaCadastro[[#This Row],[ID_MASSA]],tbl_de_massas[id_massa],tbl_de_massas[cartao_fisico_numero],"--",0,1)</f>
        <v>5442 7460 3696 2770</v>
      </c>
      <c r="F114" t="str">
        <f>_xlfn.XLOOKUP(TabelaCadastro[[#This Row],[SENHA]],tbl_de_massas[id_massa],tbl_de_massas[fatura_fechada],"--",0,1)</f>
        <v>--</v>
      </c>
      <c r="G114" t="str">
        <f>_xlfn.XLOOKUP(TabelaCadastro[[#This Row],[Nome Completo]],tbl_de_massas[id_massa],tbl_de_massas[fatura_aberta],"--",0,1)</f>
        <v>--</v>
      </c>
      <c r="H114" t="str">
        <f>_xlfn.XLOOKUP(TabelaCadastro[[#This Row],[CARTÃO]],tbl_de_massas[id_massa],tbl_de_massas[dias_atraso],"--",0,1)</f>
        <v>--</v>
      </c>
    </row>
    <row r="115" spans="1:8" x14ac:dyDescent="0.25">
      <c r="A115" s="2" t="s">
        <v>2153</v>
      </c>
      <c r="B115" s="16" t="str">
        <f>_xlfn.XLOOKUP(TabelaCadastro[[#This Row],[ID_MASSA]],tbl_de_massas[id_massa],tbl_de_massas[cpf],"--",0,1)</f>
        <v>83052128400</v>
      </c>
      <c r="C115" t="s">
        <v>2392</v>
      </c>
      <c r="D115" t="str">
        <f>_xlfn.XLOOKUP(TabelaCadastro[[#This Row],[ID_MASSA]],tbl_de_massas[id_massa],tbl_de_massas[nome_completo],"--",0,1)</f>
        <v>Adalard Rodriguez</v>
      </c>
      <c r="E115" t="str">
        <f>_xlfn.XLOOKUP(TabelaCadastro[[#This Row],[ID_MASSA]],tbl_de_massas[id_massa],tbl_de_massas[cartao_fisico_numero],"--",0,1)</f>
        <v>5442 7460 0864 4232</v>
      </c>
      <c r="F115" t="str">
        <f>_xlfn.XLOOKUP(TabelaCadastro[[#This Row],[SENHA]],tbl_de_massas[id_massa],tbl_de_massas[fatura_fechada],"--",0,1)</f>
        <v>--</v>
      </c>
      <c r="G115" t="str">
        <f>_xlfn.XLOOKUP(TabelaCadastro[[#This Row],[Nome Completo]],tbl_de_massas[id_massa],tbl_de_massas[fatura_aberta],"--",0,1)</f>
        <v>--</v>
      </c>
      <c r="H115" t="str">
        <f>_xlfn.XLOOKUP(TabelaCadastro[[#This Row],[CARTÃO]],tbl_de_massas[id_massa],tbl_de_massas[dias_atraso],"--",0,1)</f>
        <v>--</v>
      </c>
    </row>
    <row r="116" spans="1:8" x14ac:dyDescent="0.25">
      <c r="A116" s="2" t="s">
        <v>2154</v>
      </c>
      <c r="B116" s="16" t="str">
        <f>_xlfn.XLOOKUP(TabelaCadastro[[#This Row],[ID_MASSA]],tbl_de_massas[id_massa],tbl_de_massas[cpf],"--",0,1)</f>
        <v>89331225245</v>
      </c>
      <c r="C116" t="s">
        <v>2393</v>
      </c>
      <c r="D116" t="str">
        <f>_xlfn.XLOOKUP(TabelaCadastro[[#This Row],[ID_MASSA]],tbl_de_massas[id_massa],tbl_de_massas[nome_completo],"--",0,1)</f>
        <v>Aoi Yamamoto</v>
      </c>
      <c r="E116" t="str">
        <f>_xlfn.XLOOKUP(TabelaCadastro[[#This Row],[ID_MASSA]],tbl_de_massas[id_massa],tbl_de_massas[cartao_fisico_numero],"--",0,1)</f>
        <v>6505 0666 4055 1682</v>
      </c>
      <c r="F116" t="str">
        <f>_xlfn.XLOOKUP(TabelaCadastro[[#This Row],[SENHA]],tbl_de_massas[id_massa],tbl_de_massas[fatura_fechada],"--",0,1)</f>
        <v>--</v>
      </c>
      <c r="G116" t="str">
        <f>_xlfn.XLOOKUP(TabelaCadastro[[#This Row],[Nome Completo]],tbl_de_massas[id_massa],tbl_de_massas[fatura_aberta],"--",0,1)</f>
        <v>--</v>
      </c>
      <c r="H116" t="str">
        <f>_xlfn.XLOOKUP(TabelaCadastro[[#This Row],[CARTÃO]],tbl_de_massas[id_massa],tbl_de_massas[dias_atraso],"--",0,1)</f>
        <v>--</v>
      </c>
    </row>
    <row r="117" spans="1:8" x14ac:dyDescent="0.25">
      <c r="A117" s="2" t="s">
        <v>2155</v>
      </c>
      <c r="B117" s="16" t="str">
        <f>_xlfn.XLOOKUP(TabelaCadastro[[#This Row],[ID_MASSA]],tbl_de_massas[id_massa],tbl_de_massas[cpf],"--",0,1)</f>
        <v>77148062578</v>
      </c>
      <c r="C117" t="s">
        <v>2394</v>
      </c>
      <c r="D117" t="str">
        <f>_xlfn.XLOOKUP(TabelaCadastro[[#This Row],[ID_MASSA]],tbl_de_massas[id_massa],tbl_de_massas[nome_completo],"--",0,1)</f>
        <v>Yuki Takahashi</v>
      </c>
      <c r="E117" t="str">
        <f>_xlfn.XLOOKUP(TabelaCadastro[[#This Row],[ID_MASSA]],tbl_de_massas[id_massa],tbl_de_massas[cartao_fisico_numero],"--",0,1)</f>
        <v>6062 8200 9857 5516</v>
      </c>
      <c r="F117" t="str">
        <f>_xlfn.XLOOKUP(TabelaCadastro[[#This Row],[SENHA]],tbl_de_massas[id_massa],tbl_de_massas[fatura_fechada],"--",0,1)</f>
        <v>--</v>
      </c>
      <c r="G117" t="str">
        <f>_xlfn.XLOOKUP(TabelaCadastro[[#This Row],[Nome Completo]],tbl_de_massas[id_massa],tbl_de_massas[fatura_aberta],"--",0,1)</f>
        <v>--</v>
      </c>
      <c r="H117" t="str">
        <f>_xlfn.XLOOKUP(TabelaCadastro[[#This Row],[CARTÃO]],tbl_de_massas[id_massa],tbl_de_massas[dias_atraso],"--",0,1)</f>
        <v>--</v>
      </c>
    </row>
    <row r="118" spans="1:8" x14ac:dyDescent="0.25">
      <c r="A118" s="2" t="s">
        <v>2156</v>
      </c>
      <c r="B118" s="16" t="str">
        <f>_xlfn.XLOOKUP(TabelaCadastro[[#This Row],[ID_MASSA]],tbl_de_massas[id_massa],tbl_de_massas[cpf],"--",0,1)</f>
        <v>74929424194</v>
      </c>
      <c r="C118" t="s">
        <v>2395</v>
      </c>
      <c r="D118" t="str">
        <f>_xlfn.XLOOKUP(TabelaCadastro[[#This Row],[ID_MASSA]],tbl_de_massas[id_massa],tbl_de_massas[nome_completo],"--",0,1)</f>
        <v>Giulia Russo</v>
      </c>
      <c r="E118" t="str">
        <f>_xlfn.XLOOKUP(TabelaCadastro[[#This Row],[ID_MASSA]],tbl_de_massas[id_massa],tbl_de_massas[cartao_fisico_numero],"--",0,1)</f>
        <v>4576 7460 6011 1623</v>
      </c>
      <c r="F118" t="str">
        <f>_xlfn.XLOOKUP(TabelaCadastro[[#This Row],[SENHA]],tbl_de_massas[id_massa],tbl_de_massas[fatura_fechada],"--",0,1)</f>
        <v>--</v>
      </c>
      <c r="G118" t="str">
        <f>_xlfn.XLOOKUP(TabelaCadastro[[#This Row],[Nome Completo]],tbl_de_massas[id_massa],tbl_de_massas[fatura_aberta],"--",0,1)</f>
        <v>--</v>
      </c>
      <c r="H118" t="str">
        <f>_xlfn.XLOOKUP(TabelaCadastro[[#This Row],[CARTÃO]],tbl_de_massas[id_massa],tbl_de_massas[dias_atraso],"--",0,1)</f>
        <v>--</v>
      </c>
    </row>
    <row r="119" spans="1:8" x14ac:dyDescent="0.25">
      <c r="A119" s="2" t="s">
        <v>2157</v>
      </c>
      <c r="B119" s="16" t="str">
        <f>_xlfn.XLOOKUP(TabelaCadastro[[#This Row],[ID_MASSA]],tbl_de_massas[id_massa],tbl_de_massas[cpf],"--",0,1)</f>
        <v>76782744325</v>
      </c>
      <c r="C119" t="s">
        <v>2396</v>
      </c>
      <c r="D119" t="str">
        <f>_xlfn.XLOOKUP(TabelaCadastro[[#This Row],[ID_MASSA]],tbl_de_massas[id_massa],tbl_de_massas[nome_completo],"--",0,1)</f>
        <v>Hanako Watanabe</v>
      </c>
      <c r="E119" t="str">
        <f>_xlfn.XLOOKUP(TabelaCadastro[[#This Row],[ID_MASSA]],tbl_de_massas[id_massa],tbl_de_massas[cartao_fisico_numero],"--",0,1)</f>
        <v>4576 7460 3895 6613</v>
      </c>
      <c r="F119" t="str">
        <f>_xlfn.XLOOKUP(TabelaCadastro[[#This Row],[SENHA]],tbl_de_massas[id_massa],tbl_de_massas[fatura_fechada],"--",0,1)</f>
        <v>--</v>
      </c>
      <c r="G119" t="str">
        <f>_xlfn.XLOOKUP(TabelaCadastro[[#This Row],[Nome Completo]],tbl_de_massas[id_massa],tbl_de_massas[fatura_aberta],"--",0,1)</f>
        <v>--</v>
      </c>
      <c r="H119" t="str">
        <f>_xlfn.XLOOKUP(TabelaCadastro[[#This Row],[CARTÃO]],tbl_de_massas[id_massa],tbl_de_massas[dias_atraso],"--",0,1)</f>
        <v>--</v>
      </c>
    </row>
    <row r="120" spans="1:8" x14ac:dyDescent="0.25">
      <c r="A120" s="2" t="s">
        <v>2158</v>
      </c>
      <c r="B120" s="16" t="str">
        <f>_xlfn.XLOOKUP(TabelaCadastro[[#This Row],[ID_MASSA]],tbl_de_massas[id_massa],tbl_de_massas[cpf],"--",0,1)</f>
        <v>95167270006</v>
      </c>
      <c r="C120" t="s">
        <v>2397</v>
      </c>
      <c r="D120" t="str">
        <f>_xlfn.XLOOKUP(TabelaCadastro[[#This Row],[ID_MASSA]],tbl_de_massas[id_massa],tbl_de_massas[nome_completo],"--",0,1)</f>
        <v>Hannah Fischer</v>
      </c>
      <c r="E120" t="str">
        <f>_xlfn.XLOOKUP(TabelaCadastro[[#This Row],[ID_MASSA]],tbl_de_massas[id_massa],tbl_de_massas[cartao_fisico_numero],"--",0,1)</f>
        <v>5442 7460 5925 5475</v>
      </c>
      <c r="F120" t="str">
        <f>_xlfn.XLOOKUP(TabelaCadastro[[#This Row],[SENHA]],tbl_de_massas[id_massa],tbl_de_massas[fatura_fechada],"--",0,1)</f>
        <v>--</v>
      </c>
      <c r="G120" t="str">
        <f>_xlfn.XLOOKUP(TabelaCadastro[[#This Row],[Nome Completo]],tbl_de_massas[id_massa],tbl_de_massas[fatura_aberta],"--",0,1)</f>
        <v>--</v>
      </c>
      <c r="H120" t="str">
        <f>_xlfn.XLOOKUP(TabelaCadastro[[#This Row],[CARTÃO]],tbl_de_massas[id_massa],tbl_de_massas[dias_atraso],"--",0,1)</f>
        <v>--</v>
      </c>
    </row>
    <row r="121" spans="1:8" x14ac:dyDescent="0.25">
      <c r="A121" s="2" t="s">
        <v>2159</v>
      </c>
      <c r="B121" s="16" t="str">
        <f>_xlfn.XLOOKUP(TabelaCadastro[[#This Row],[ID_MASSA]],tbl_de_massas[id_massa],tbl_de_massas[cpf],"--",0,1)</f>
        <v>37107075012</v>
      </c>
      <c r="C121" t="s">
        <v>2398</v>
      </c>
      <c r="D121" t="str">
        <f>_xlfn.XLOOKUP(TabelaCadastro[[#This Row],[ID_MASSA]],tbl_de_massas[id_massa],tbl_de_massas[nome_completo],"--",0,1)</f>
        <v>Minjun Kim</v>
      </c>
      <c r="E121" t="str">
        <f>_xlfn.XLOOKUP(TabelaCadastro[[#This Row],[ID_MASSA]],tbl_de_massas[id_massa],tbl_de_massas[cartao_fisico_numero],"--",0,1)</f>
        <v>6505 0666 2639 6273</v>
      </c>
      <c r="F121" t="str">
        <f>_xlfn.XLOOKUP(TabelaCadastro[[#This Row],[SENHA]],tbl_de_massas[id_massa],tbl_de_massas[fatura_fechada],"--",0,1)</f>
        <v>--</v>
      </c>
      <c r="G121" t="str">
        <f>_xlfn.XLOOKUP(TabelaCadastro[[#This Row],[Nome Completo]],tbl_de_massas[id_massa],tbl_de_massas[fatura_aberta],"--",0,1)</f>
        <v>--</v>
      </c>
      <c r="H121" t="str">
        <f>_xlfn.XLOOKUP(TabelaCadastro[[#This Row],[CARTÃO]],tbl_de_massas[id_massa],tbl_de_massas[dias_atraso],"--",0,1)</f>
        <v>--</v>
      </c>
    </row>
    <row r="122" spans="1:8" x14ac:dyDescent="0.25">
      <c r="A122" s="2" t="s">
        <v>2160</v>
      </c>
      <c r="B122" s="16" t="str">
        <f>_xlfn.XLOOKUP(TabelaCadastro[[#This Row],[ID_MASSA]],tbl_de_massas[id_massa],tbl_de_massas[cpf],"--",0,1)</f>
        <v>12558823280</v>
      </c>
      <c r="C122" t="s">
        <v>2399</v>
      </c>
      <c r="D122" t="str">
        <f>_xlfn.XLOOKUP(TabelaCadastro[[#This Row],[ID_MASSA]],tbl_de_massas[id_massa],tbl_de_massas[nome_completo],"--",0,1)</f>
        <v>Tariq Al-Mansoor</v>
      </c>
      <c r="E122" t="str">
        <f>_xlfn.XLOOKUP(TabelaCadastro[[#This Row],[ID_MASSA]],tbl_de_massas[id_massa],tbl_de_massas[cartao_fisico_numero],"--",0,1)</f>
        <v>4576 7460 7292 2294</v>
      </c>
      <c r="F122" t="str">
        <f>_xlfn.XLOOKUP(TabelaCadastro[[#This Row],[SENHA]],tbl_de_massas[id_massa],tbl_de_massas[fatura_fechada],"--",0,1)</f>
        <v>--</v>
      </c>
      <c r="G122" t="str">
        <f>_xlfn.XLOOKUP(TabelaCadastro[[#This Row],[Nome Completo]],tbl_de_massas[id_massa],tbl_de_massas[fatura_aberta],"--",0,1)</f>
        <v>--</v>
      </c>
      <c r="H122" t="str">
        <f>_xlfn.XLOOKUP(TabelaCadastro[[#This Row],[CARTÃO]],tbl_de_massas[id_massa],tbl_de_massas[dias_atraso],"--",0,1)</f>
        <v>--</v>
      </c>
    </row>
    <row r="123" spans="1:8" x14ac:dyDescent="0.25">
      <c r="A123" s="2" t="s">
        <v>2161</v>
      </c>
      <c r="B123" s="16" t="str">
        <f>_xlfn.XLOOKUP(TabelaCadastro[[#This Row],[ID_MASSA]],tbl_de_massas[id_massa],tbl_de_massas[cpf],"--",0,1)</f>
        <v>17058588562</v>
      </c>
      <c r="C123" t="s">
        <v>2400</v>
      </c>
      <c r="D123" t="str">
        <f>_xlfn.XLOOKUP(TabelaCadastro[[#This Row],[ID_MASSA]],tbl_de_massas[id_massa],tbl_de_massas[nome_completo],"--",0,1)</f>
        <v>Lukas Schneider</v>
      </c>
      <c r="E123" t="str">
        <f>_xlfn.XLOOKUP(TabelaCadastro[[#This Row],[ID_MASSA]],tbl_de_massas[id_massa],tbl_de_massas[cartao_fisico_numero],"--",0,1)</f>
        <v>6062 8200 3014 7312</v>
      </c>
      <c r="F123" t="str">
        <f>_xlfn.XLOOKUP(TabelaCadastro[[#This Row],[SENHA]],tbl_de_massas[id_massa],tbl_de_massas[fatura_fechada],"--",0,1)</f>
        <v>--</v>
      </c>
      <c r="G123" t="str">
        <f>_xlfn.XLOOKUP(TabelaCadastro[[#This Row],[Nome Completo]],tbl_de_massas[id_massa],tbl_de_massas[fatura_aberta],"--",0,1)</f>
        <v>--</v>
      </c>
      <c r="H123" t="str">
        <f>_xlfn.XLOOKUP(TabelaCadastro[[#This Row],[CARTÃO]],tbl_de_massas[id_massa],tbl_de_massas[dias_atraso],"--",0,1)</f>
        <v>--</v>
      </c>
    </row>
    <row r="124" spans="1:8" x14ac:dyDescent="0.25">
      <c r="A124" s="2" t="s">
        <v>2162</v>
      </c>
      <c r="B124" s="16" t="str">
        <f>_xlfn.XLOOKUP(TabelaCadastro[[#This Row],[ID_MASSA]],tbl_de_massas[id_massa],tbl_de_massas[cpf],"--",0,1)</f>
        <v>73857513853</v>
      </c>
      <c r="C124" t="s">
        <v>2401</v>
      </c>
      <c r="D124" t="str">
        <f>_xlfn.XLOOKUP(TabelaCadastro[[#This Row],[ID_MASSA]],tbl_de_massas[id_massa],tbl_de_massas[nome_completo],"--",0,1)</f>
        <v>Ines Oliveira</v>
      </c>
      <c r="E124" t="str">
        <f>_xlfn.XLOOKUP(TabelaCadastro[[#This Row],[ID_MASSA]],tbl_de_massas[id_massa],tbl_de_massas[cartao_fisico_numero],"--",0,1)</f>
        <v>4576 7460 6790 3682</v>
      </c>
      <c r="F124" t="str">
        <f>_xlfn.XLOOKUP(TabelaCadastro[[#This Row],[SENHA]],tbl_de_massas[id_massa],tbl_de_massas[fatura_fechada],"--",0,1)</f>
        <v>--</v>
      </c>
      <c r="G124" t="str">
        <f>_xlfn.XLOOKUP(TabelaCadastro[[#This Row],[Nome Completo]],tbl_de_massas[id_massa],tbl_de_massas[fatura_aberta],"--",0,1)</f>
        <v>--</v>
      </c>
      <c r="H124" t="str">
        <f>_xlfn.XLOOKUP(TabelaCadastro[[#This Row],[CARTÃO]],tbl_de_massas[id_massa],tbl_de_massas[dias_atraso],"--",0,1)</f>
        <v>--</v>
      </c>
    </row>
    <row r="125" spans="1:8" x14ac:dyDescent="0.25">
      <c r="A125" s="2" t="s">
        <v>2163</v>
      </c>
      <c r="B125" s="16" t="str">
        <f>_xlfn.XLOOKUP(TabelaCadastro[[#This Row],[ID_MASSA]],tbl_de_massas[id_massa],tbl_de_massas[cpf],"--",0,1)</f>
        <v>36072364535</v>
      </c>
      <c r="C125" t="s">
        <v>2402</v>
      </c>
      <c r="D125" t="str">
        <f>_xlfn.XLOOKUP(TabelaCadastro[[#This Row],[ID_MASSA]],tbl_de_massas[id_massa],tbl_de_massas[nome_completo],"--",0,1)</f>
        <v>Alessandro Ferrari</v>
      </c>
      <c r="E125" t="str">
        <f>_xlfn.XLOOKUP(TabelaCadastro[[#This Row],[ID_MASSA]],tbl_de_massas[id_massa],tbl_de_massas[cartao_fisico_numero],"--",0,1)</f>
        <v>5442 7460 2038 8294</v>
      </c>
      <c r="F125" t="str">
        <f>_xlfn.XLOOKUP(TabelaCadastro[[#This Row],[SENHA]],tbl_de_massas[id_massa],tbl_de_massas[fatura_fechada],"--",0,1)</f>
        <v>--</v>
      </c>
      <c r="G125" t="str">
        <f>_xlfn.XLOOKUP(TabelaCadastro[[#This Row],[Nome Completo]],tbl_de_massas[id_massa],tbl_de_massas[fatura_aberta],"--",0,1)</f>
        <v>--</v>
      </c>
      <c r="H125" t="str">
        <f>_xlfn.XLOOKUP(TabelaCadastro[[#This Row],[CARTÃO]],tbl_de_massas[id_massa],tbl_de_massas[dias_atraso],"--",0,1)</f>
        <v>--</v>
      </c>
    </row>
    <row r="126" spans="1:8" x14ac:dyDescent="0.25">
      <c r="A126" s="2" t="s">
        <v>2164</v>
      </c>
      <c r="B126" s="16" t="str">
        <f>_xlfn.XLOOKUP(TabelaCadastro[[#This Row],[ID_MASSA]],tbl_de_massas[id_massa],tbl_de_massas[cpf],"--",0,1)</f>
        <v>29910306743</v>
      </c>
      <c r="C126" t="s">
        <v>2403</v>
      </c>
      <c r="D126" t="str">
        <f>_xlfn.XLOOKUP(TabelaCadastro[[#This Row],[ID_MASSA]],tbl_de_massas[id_massa],tbl_de_massas[nome_completo],"--",0,1)</f>
        <v>William Robert Miller</v>
      </c>
      <c r="E126" t="str">
        <f>_xlfn.XLOOKUP(TabelaCadastro[[#This Row],[ID_MASSA]],tbl_de_massas[id_massa],tbl_de_massas[cartao_fisico_numero],"--",0,1)</f>
        <v>6505 0666 6048 3970</v>
      </c>
      <c r="F126" t="str">
        <f>_xlfn.XLOOKUP(TabelaCadastro[[#This Row],[SENHA]],tbl_de_massas[id_massa],tbl_de_massas[fatura_fechada],"--",0,1)</f>
        <v>--</v>
      </c>
      <c r="G126" t="str">
        <f>_xlfn.XLOOKUP(TabelaCadastro[[#This Row],[Nome Completo]],tbl_de_massas[id_massa],tbl_de_massas[fatura_aberta],"--",0,1)</f>
        <v>--</v>
      </c>
      <c r="H126" t="str">
        <f>_xlfn.XLOOKUP(TabelaCadastro[[#This Row],[CARTÃO]],tbl_de_massas[id_massa],tbl_de_massas[dias_atraso],"--",0,1)</f>
        <v>--</v>
      </c>
    </row>
    <row r="127" spans="1:8" x14ac:dyDescent="0.25">
      <c r="A127" s="2" t="s">
        <v>2165</v>
      </c>
      <c r="B127" s="16" t="str">
        <f>_xlfn.XLOOKUP(TabelaCadastro[[#This Row],[ID_MASSA]],tbl_de_massas[id_massa],tbl_de_massas[cpf],"--",0,1)</f>
        <v>96873928860</v>
      </c>
      <c r="C127" t="s">
        <v>2404</v>
      </c>
      <c r="D127" t="str">
        <f>_xlfn.XLOOKUP(TabelaCadastro[[#This Row],[ID_MASSA]],tbl_de_massas[id_massa],tbl_de_massas[nome_completo],"--",0,1)</f>
        <v>Xiu Ying Wang</v>
      </c>
      <c r="E127" t="str">
        <f>_xlfn.XLOOKUP(TabelaCadastro[[#This Row],[ID_MASSA]],tbl_de_massas[id_massa],tbl_de_massas[cartao_fisico_numero],"--",0,1)</f>
        <v>4576 7460 4070 1907</v>
      </c>
      <c r="F127" t="str">
        <f>_xlfn.XLOOKUP(TabelaCadastro[[#This Row],[SENHA]],tbl_de_massas[id_massa],tbl_de_massas[fatura_fechada],"--",0,1)</f>
        <v>--</v>
      </c>
      <c r="G127" t="str">
        <f>_xlfn.XLOOKUP(TabelaCadastro[[#This Row],[Nome Completo]],tbl_de_massas[id_massa],tbl_de_massas[fatura_aberta],"--",0,1)</f>
        <v>--</v>
      </c>
      <c r="H127" t="str">
        <f>_xlfn.XLOOKUP(TabelaCadastro[[#This Row],[CARTÃO]],tbl_de_massas[id_massa],tbl_de_massas[dias_atraso],"--",0,1)</f>
        <v>--</v>
      </c>
    </row>
    <row r="128" spans="1:8" x14ac:dyDescent="0.25">
      <c r="A128" s="2" t="s">
        <v>2166</v>
      </c>
      <c r="B128" s="16" t="str">
        <f>_xlfn.XLOOKUP(TabelaCadastro[[#This Row],[ID_MASSA]],tbl_de_massas[id_massa],tbl_de_massas[cpf],"--",0,1)</f>
        <v>65207037706</v>
      </c>
      <c r="C128" t="s">
        <v>2405</v>
      </c>
      <c r="D128" t="str">
        <f>_xlfn.XLOOKUP(TabelaCadastro[[#This Row],[ID_MASSA]],tbl_de_massas[id_massa],tbl_de_massas[nome_completo],"--",0,1)</f>
        <v>Beatriz Ferreira</v>
      </c>
      <c r="E128" t="str">
        <f>_xlfn.XLOOKUP(TabelaCadastro[[#This Row],[ID_MASSA]],tbl_de_massas[id_massa],tbl_de_massas[cartao_fisico_numero],"--",0,1)</f>
        <v>3782 685080 1425</v>
      </c>
      <c r="F128" t="str">
        <f>_xlfn.XLOOKUP(TabelaCadastro[[#This Row],[SENHA]],tbl_de_massas[id_massa],tbl_de_massas[fatura_fechada],"--",0,1)</f>
        <v>--</v>
      </c>
      <c r="G128" t="str">
        <f>_xlfn.XLOOKUP(TabelaCadastro[[#This Row],[Nome Completo]],tbl_de_massas[id_massa],tbl_de_massas[fatura_aberta],"--",0,1)</f>
        <v>--</v>
      </c>
      <c r="H128" t="str">
        <f>_xlfn.XLOOKUP(TabelaCadastro[[#This Row],[CARTÃO]],tbl_de_massas[id_massa],tbl_de_massas[dias_atraso],"--",0,1)</f>
        <v>--</v>
      </c>
    </row>
    <row r="129" spans="1:8" x14ac:dyDescent="0.25">
      <c r="A129" s="2" t="s">
        <v>2167</v>
      </c>
      <c r="B129" s="16" t="str">
        <f>_xlfn.XLOOKUP(TabelaCadastro[[#This Row],[ID_MASSA]],tbl_de_massas[id_massa],tbl_de_massas[cpf],"--",0,1)</f>
        <v>26700822386</v>
      </c>
      <c r="C129" t="s">
        <v>2406</v>
      </c>
      <c r="D129" t="str">
        <f>_xlfn.XLOOKUP(TabelaCadastro[[#This Row],[ID_MASSA]],tbl_de_massas[id_massa],tbl_de_massas[nome_completo],"--",0,1)</f>
        <v>Jean Dupont</v>
      </c>
      <c r="E129" t="str">
        <f>_xlfn.XLOOKUP(TabelaCadastro[[#This Row],[ID_MASSA]],tbl_de_massas[id_massa],tbl_de_massas[cartao_fisico_numero],"--",0,1)</f>
        <v>6062 8200 5369 4904</v>
      </c>
      <c r="F129" t="str">
        <f>_xlfn.XLOOKUP(TabelaCadastro[[#This Row],[SENHA]],tbl_de_massas[id_massa],tbl_de_massas[fatura_fechada],"--",0,1)</f>
        <v>--</v>
      </c>
      <c r="G129" t="str">
        <f>_xlfn.XLOOKUP(TabelaCadastro[[#This Row],[Nome Completo]],tbl_de_massas[id_massa],tbl_de_massas[fatura_aberta],"--",0,1)</f>
        <v>--</v>
      </c>
      <c r="H129" t="str">
        <f>_xlfn.XLOOKUP(TabelaCadastro[[#This Row],[CARTÃO]],tbl_de_massas[id_massa],tbl_de_massas[dias_atraso],"--",0,1)</f>
        <v>--</v>
      </c>
    </row>
    <row r="130" spans="1:8" x14ac:dyDescent="0.25">
      <c r="A130" s="2" t="s">
        <v>2168</v>
      </c>
      <c r="B130" s="16" t="str">
        <f>_xlfn.XLOOKUP(TabelaCadastro[[#This Row],[ID_MASSA]],tbl_de_massas[id_massa],tbl_de_massas[cpf],"--",0,1)</f>
        <v>77751515015</v>
      </c>
      <c r="C130" t="s">
        <v>2407</v>
      </c>
      <c r="D130" t="str">
        <f>_xlfn.XLOOKUP(TabelaCadastro[[#This Row],[ID_MASSA]],tbl_de_massas[id_massa],tbl_de_massas[nome_completo],"--",0,1)</f>
        <v>Yan Yang</v>
      </c>
      <c r="E130" t="str">
        <f>_xlfn.XLOOKUP(TabelaCadastro[[#This Row],[ID_MASSA]],tbl_de_massas[id_massa],tbl_de_massas[cartao_fisico_numero],"--",0,1)</f>
        <v>3782 111460 0263</v>
      </c>
      <c r="F130" t="str">
        <f>_xlfn.XLOOKUP(TabelaCadastro[[#This Row],[SENHA]],tbl_de_massas[id_massa],tbl_de_massas[fatura_fechada],"--",0,1)</f>
        <v>--</v>
      </c>
      <c r="G130" t="str">
        <f>_xlfn.XLOOKUP(TabelaCadastro[[#This Row],[Nome Completo]],tbl_de_massas[id_massa],tbl_de_massas[fatura_aberta],"--",0,1)</f>
        <v>--</v>
      </c>
      <c r="H130" t="str">
        <f>_xlfn.XLOOKUP(TabelaCadastro[[#This Row],[CARTÃO]],tbl_de_massas[id_massa],tbl_de_massas[dias_atraso],"--",0,1)</f>
        <v>--</v>
      </c>
    </row>
    <row r="131" spans="1:8" x14ac:dyDescent="0.25">
      <c r="A131" s="2" t="s">
        <v>2169</v>
      </c>
      <c r="B131" s="16" t="str">
        <f>_xlfn.XLOOKUP(TabelaCadastro[[#This Row],[ID_MASSA]],tbl_de_massas[id_massa],tbl_de_massas[cpf],"--",0,1)</f>
        <v>15803041416</v>
      </c>
      <c r="C131" t="s">
        <v>2408</v>
      </c>
      <c r="D131" t="str">
        <f>_xlfn.XLOOKUP(TabelaCadastro[[#This Row],[ID_MASSA]],tbl_de_massas[id_massa],tbl_de_massas[nome_completo],"--",0,1)</f>
        <v>Sophie Schmidt</v>
      </c>
      <c r="E131" t="str">
        <f>_xlfn.XLOOKUP(TabelaCadastro[[#This Row],[ID_MASSA]],tbl_de_massas[id_massa],tbl_de_massas[cartao_fisico_numero],"--",0,1)</f>
        <v>6062 8200 8153 1556</v>
      </c>
      <c r="F131" t="str">
        <f>_xlfn.XLOOKUP(TabelaCadastro[[#This Row],[SENHA]],tbl_de_massas[id_massa],tbl_de_massas[fatura_fechada],"--",0,1)</f>
        <v>--</v>
      </c>
      <c r="G131" t="str">
        <f>_xlfn.XLOOKUP(TabelaCadastro[[#This Row],[Nome Completo]],tbl_de_massas[id_massa],tbl_de_massas[fatura_aberta],"--",0,1)</f>
        <v>--</v>
      </c>
      <c r="H131" t="str">
        <f>_xlfn.XLOOKUP(TabelaCadastro[[#This Row],[CARTÃO]],tbl_de_massas[id_massa],tbl_de_massas[dias_atraso],"--",0,1)</f>
        <v>--</v>
      </c>
    </row>
    <row r="132" spans="1:8" x14ac:dyDescent="0.25">
      <c r="A132" s="2" t="s">
        <v>2170</v>
      </c>
      <c r="B132" s="16" t="str">
        <f>_xlfn.XLOOKUP(TabelaCadastro[[#This Row],[ID_MASSA]],tbl_de_massas[id_massa],tbl_de_massas[cpf],"--",0,1)</f>
        <v>20092389589</v>
      </c>
      <c r="C132" t="s">
        <v>2409</v>
      </c>
      <c r="D132" t="str">
        <f>_xlfn.XLOOKUP(TabelaCadastro[[#This Row],[ID_MASSA]],tbl_de_massas[id_massa],tbl_de_massas[nome_completo],"--",0,1)</f>
        <v>Joon Jeong</v>
      </c>
      <c r="E132" t="str">
        <f>_xlfn.XLOOKUP(TabelaCadastro[[#This Row],[ID_MASSA]],tbl_de_massas[id_massa],tbl_de_massas[cartao_fisico_numero],"--",0,1)</f>
        <v>6062 8200 7026 8413</v>
      </c>
      <c r="F132" t="str">
        <f>_xlfn.XLOOKUP(TabelaCadastro[[#This Row],[SENHA]],tbl_de_massas[id_massa],tbl_de_massas[fatura_fechada],"--",0,1)</f>
        <v>--</v>
      </c>
      <c r="G132" t="str">
        <f>_xlfn.XLOOKUP(TabelaCadastro[[#This Row],[Nome Completo]],tbl_de_massas[id_massa],tbl_de_massas[fatura_aberta],"--",0,1)</f>
        <v>--</v>
      </c>
      <c r="H132" t="str">
        <f>_xlfn.XLOOKUP(TabelaCadastro[[#This Row],[CARTÃO]],tbl_de_massas[id_massa],tbl_de_massas[dias_atraso],"--",0,1)</f>
        <v>--</v>
      </c>
    </row>
    <row r="133" spans="1:8" x14ac:dyDescent="0.25">
      <c r="A133" s="2" t="s">
        <v>2171</v>
      </c>
      <c r="B133" s="16" t="str">
        <f>_xlfn.XLOOKUP(TabelaCadastro[[#This Row],[ID_MASSA]],tbl_de_massas[id_massa],tbl_de_massas[cpf],"--",0,1)</f>
        <v>49768246758</v>
      </c>
      <c r="C133" t="s">
        <v>2410</v>
      </c>
      <c r="D133" t="str">
        <f>_xlfn.XLOOKUP(TabelaCadastro[[#This Row],[ID_MASSA]],tbl_de_massas[id_massa],tbl_de_massas[nome_completo],"--",0,1)</f>
        <v>Sophia Grace Brown</v>
      </c>
      <c r="E133" t="str">
        <f>_xlfn.XLOOKUP(TabelaCadastro[[#This Row],[ID_MASSA]],tbl_de_massas[id_massa],tbl_de_massas[cartao_fisico_numero],"--",0,1)</f>
        <v>6062 8200 6757 6160</v>
      </c>
      <c r="F133" t="str">
        <f>_xlfn.XLOOKUP(TabelaCadastro[[#This Row],[SENHA]],tbl_de_massas[id_massa],tbl_de_massas[fatura_fechada],"--",0,1)</f>
        <v>--</v>
      </c>
      <c r="G133" t="str">
        <f>_xlfn.XLOOKUP(TabelaCadastro[[#This Row],[Nome Completo]],tbl_de_massas[id_massa],tbl_de_massas[fatura_aberta],"--",0,1)</f>
        <v>--</v>
      </c>
      <c r="H133" t="str">
        <f>_xlfn.XLOOKUP(TabelaCadastro[[#This Row],[CARTÃO]],tbl_de_massas[id_massa],tbl_de_massas[dias_atraso],"--",0,1)</f>
        <v>--</v>
      </c>
    </row>
    <row r="134" spans="1:8" x14ac:dyDescent="0.25">
      <c r="A134" s="2" t="s">
        <v>2172</v>
      </c>
      <c r="B134" s="16" t="str">
        <f>_xlfn.XLOOKUP(TabelaCadastro[[#This Row],[ID_MASSA]],tbl_de_massas[id_massa],tbl_de_massas[cpf],"--",0,1)</f>
        <v>57855482407</v>
      </c>
      <c r="C134" t="s">
        <v>2411</v>
      </c>
      <c r="D134" t="str">
        <f>_xlfn.XLOOKUP(TabelaCadastro[[#This Row],[ID_MASSA]],tbl_de_massas[id_massa],tbl_de_massas[nome_completo],"--",0,1)</f>
        <v>Alexander James Smith</v>
      </c>
      <c r="E134" t="str">
        <f>_xlfn.XLOOKUP(TabelaCadastro[[#This Row],[ID_MASSA]],tbl_de_massas[id_massa],tbl_de_massas[cartao_fisico_numero],"--",0,1)</f>
        <v>4576 7460 2297 6677</v>
      </c>
      <c r="F134" t="str">
        <f>_xlfn.XLOOKUP(TabelaCadastro[[#This Row],[SENHA]],tbl_de_massas[id_massa],tbl_de_massas[fatura_fechada],"--",0,1)</f>
        <v>--</v>
      </c>
      <c r="G134" t="str">
        <f>_xlfn.XLOOKUP(TabelaCadastro[[#This Row],[Nome Completo]],tbl_de_massas[id_massa],tbl_de_massas[fatura_aberta],"--",0,1)</f>
        <v>--</v>
      </c>
      <c r="H134" t="str">
        <f>_xlfn.XLOOKUP(TabelaCadastro[[#This Row],[CARTÃO]],tbl_de_massas[id_massa],tbl_de_massas[dias_atraso],"--",0,1)</f>
        <v>--</v>
      </c>
    </row>
    <row r="135" spans="1:8" x14ac:dyDescent="0.25">
      <c r="A135" s="2" t="s">
        <v>2173</v>
      </c>
      <c r="B135" s="16" t="str">
        <f>_xlfn.XLOOKUP(TabelaCadastro[[#This Row],[ID_MASSA]],tbl_de_massas[id_massa],tbl_de_massas[cpf],"--",0,1)</f>
        <v>89287038082</v>
      </c>
      <c r="C135" t="s">
        <v>2412</v>
      </c>
      <c r="D135" t="str">
        <f>_xlfn.XLOOKUP(TabelaCadastro[[#This Row],[ID_MASSA]],tbl_de_massas[id_massa],tbl_de_massas[nome_completo],"--",0,1)</f>
        <v>Leonardo Bianchi</v>
      </c>
      <c r="E135" t="str">
        <f>_xlfn.XLOOKUP(TabelaCadastro[[#This Row],[ID_MASSA]],tbl_de_massas[id_massa],tbl_de_massas[cartao_fisico_numero],"--",0,1)</f>
        <v>5442 7460 4389 5317</v>
      </c>
      <c r="F135" t="str">
        <f>_xlfn.XLOOKUP(TabelaCadastro[[#This Row],[SENHA]],tbl_de_massas[id_massa],tbl_de_massas[fatura_fechada],"--",0,1)</f>
        <v>--</v>
      </c>
      <c r="G135" t="str">
        <f>_xlfn.XLOOKUP(TabelaCadastro[[#This Row],[Nome Completo]],tbl_de_massas[id_massa],tbl_de_massas[fatura_aberta],"--",0,1)</f>
        <v>--</v>
      </c>
      <c r="H135" t="str">
        <f>_xlfn.XLOOKUP(TabelaCadastro[[#This Row],[CARTÃO]],tbl_de_massas[id_massa],tbl_de_massas[dias_atraso],"--",0,1)</f>
        <v>--</v>
      </c>
    </row>
    <row r="136" spans="1:8" x14ac:dyDescent="0.25">
      <c r="A136" s="2" t="s">
        <v>2174</v>
      </c>
      <c r="B136" s="16" t="str">
        <f>_xlfn.XLOOKUP(TabelaCadastro[[#This Row],[ID_MASSA]],tbl_de_massas[id_massa],tbl_de_massas[cpf],"--",0,1)</f>
        <v>07154153601</v>
      </c>
      <c r="C136" t="s">
        <v>2413</v>
      </c>
      <c r="D136" t="str">
        <f>_xlfn.XLOOKUP(TabelaCadastro[[#This Row],[ID_MASSA]],tbl_de_massas[id_massa],tbl_de_massas[nome_completo],"--",0,1)</f>
        <v>Goncalo Santos</v>
      </c>
      <c r="E136" t="str">
        <f>_xlfn.XLOOKUP(TabelaCadastro[[#This Row],[ID_MASSA]],tbl_de_massas[id_massa],tbl_de_massas[cartao_fisico_numero],"--",0,1)</f>
        <v>6062 8200 9467 2268</v>
      </c>
      <c r="F136" t="str">
        <f>_xlfn.XLOOKUP(TabelaCadastro[[#This Row],[SENHA]],tbl_de_massas[id_massa],tbl_de_massas[fatura_fechada],"--",0,1)</f>
        <v>--</v>
      </c>
      <c r="G136" t="str">
        <f>_xlfn.XLOOKUP(TabelaCadastro[[#This Row],[Nome Completo]],tbl_de_massas[id_massa],tbl_de_massas[fatura_aberta],"--",0,1)</f>
        <v>--</v>
      </c>
      <c r="H136" t="str">
        <f>_xlfn.XLOOKUP(TabelaCadastro[[#This Row],[CARTÃO]],tbl_de_massas[id_massa],tbl_de_massas[dias_atraso],"--",0,1)</f>
        <v>--</v>
      </c>
    </row>
    <row r="137" spans="1:8" x14ac:dyDescent="0.25">
      <c r="A137" s="2" t="s">
        <v>2175</v>
      </c>
      <c r="B137" s="16" t="str">
        <f>_xlfn.XLOOKUP(TabelaCadastro[[#This Row],[ID_MASSA]],tbl_de_massas[id_massa],tbl_de_massas[cpf],"--",0,1)</f>
        <v>08025476561</v>
      </c>
      <c r="C137" t="s">
        <v>2414</v>
      </c>
      <c r="D137" t="str">
        <f>_xlfn.XLOOKUP(TabelaCadastro[[#This Row],[ID_MASSA]],tbl_de_massas[id_massa],tbl_de_massas[nome_completo],"--",0,1)</f>
        <v>Seoyun Lee</v>
      </c>
      <c r="E137" t="str">
        <f>_xlfn.XLOOKUP(TabelaCadastro[[#This Row],[ID_MASSA]],tbl_de_massas[id_massa],tbl_de_massas[cartao_fisico_numero],"--",0,1)</f>
        <v>3782 532467 8360</v>
      </c>
      <c r="F137" t="str">
        <f>_xlfn.XLOOKUP(TabelaCadastro[[#This Row],[SENHA]],tbl_de_massas[id_massa],tbl_de_massas[fatura_fechada],"--",0,1)</f>
        <v>--</v>
      </c>
      <c r="G137" t="str">
        <f>_xlfn.XLOOKUP(TabelaCadastro[[#This Row],[Nome Completo]],tbl_de_massas[id_massa],tbl_de_massas[fatura_aberta],"--",0,1)</f>
        <v>--</v>
      </c>
      <c r="H137" t="str">
        <f>_xlfn.XLOOKUP(TabelaCadastro[[#This Row],[CARTÃO]],tbl_de_massas[id_massa],tbl_de_massas[dias_atraso],"--",0,1)</f>
        <v>--</v>
      </c>
    </row>
    <row r="138" spans="1:8" x14ac:dyDescent="0.25">
      <c r="A138" s="2" t="s">
        <v>2176</v>
      </c>
      <c r="B138" s="16" t="str">
        <f>_xlfn.XLOOKUP(TabelaCadastro[[#This Row],[ID_MASSA]],tbl_de_massas[id_massa],tbl_de_massas[cpf],"--",0,1)</f>
        <v>35417211460</v>
      </c>
      <c r="C138" t="s">
        <v>2415</v>
      </c>
      <c r="D138" t="str">
        <f>_xlfn.XLOOKUP(TabelaCadastro[[#This Row],[ID_MASSA]],tbl_de_massas[id_massa],tbl_de_massas[nome_completo],"--",0,1)</f>
        <v>Pierre Bernard</v>
      </c>
      <c r="E138" t="str">
        <f>_xlfn.XLOOKUP(TabelaCadastro[[#This Row],[ID_MASSA]],tbl_de_massas[id_massa],tbl_de_massas[cartao_fisico_numero],"--",0,1)</f>
        <v>5442 7460 6905 0790</v>
      </c>
      <c r="F138" t="str">
        <f>_xlfn.XLOOKUP(TabelaCadastro[[#This Row],[SENHA]],tbl_de_massas[id_massa],tbl_de_massas[fatura_fechada],"--",0,1)</f>
        <v>--</v>
      </c>
      <c r="G138" t="str">
        <f>_xlfn.XLOOKUP(TabelaCadastro[[#This Row],[Nome Completo]],tbl_de_massas[id_massa],tbl_de_massas[fatura_aberta],"--",0,1)</f>
        <v>--</v>
      </c>
      <c r="H138" t="str">
        <f>_xlfn.XLOOKUP(TabelaCadastro[[#This Row],[CARTÃO]],tbl_de_massas[id_massa],tbl_de_massas[dias_atraso],"--",0,1)</f>
        <v>--</v>
      </c>
    </row>
    <row r="139" spans="1:8" x14ac:dyDescent="0.25">
      <c r="A139" s="2" t="s">
        <v>2177</v>
      </c>
      <c r="B139" s="16" t="str">
        <f>_xlfn.XLOOKUP(TabelaCadastro[[#This Row],[ID_MASSA]],tbl_de_massas[id_massa],tbl_de_massas[cpf],"--",0,1)</f>
        <v>82474679928</v>
      </c>
      <c r="C139" t="s">
        <v>2416</v>
      </c>
      <c r="D139" t="str">
        <f>_xlfn.XLOOKUP(TabelaCadastro[[#This Row],[ID_MASSA]],tbl_de_massas[id_massa],tbl_de_massas[nome_completo],"--",0,1)</f>
        <v>Sofia Esposito</v>
      </c>
      <c r="E139" t="str">
        <f>_xlfn.XLOOKUP(TabelaCadastro[[#This Row],[ID_MASSA]],tbl_de_massas[id_massa],tbl_de_massas[cartao_fisico_numero],"--",0,1)</f>
        <v>6062 8200 2915 7609</v>
      </c>
      <c r="F139" t="str">
        <f>_xlfn.XLOOKUP(TabelaCadastro[[#This Row],[SENHA]],tbl_de_massas[id_massa],tbl_de_massas[fatura_fechada],"--",0,1)</f>
        <v>--</v>
      </c>
      <c r="G139" t="str">
        <f>_xlfn.XLOOKUP(TabelaCadastro[[#This Row],[Nome Completo]],tbl_de_massas[id_massa],tbl_de_massas[fatura_aberta],"--",0,1)</f>
        <v>--</v>
      </c>
      <c r="H139" t="str">
        <f>_xlfn.XLOOKUP(TabelaCadastro[[#This Row],[CARTÃO]],tbl_de_massas[id_massa],tbl_de_massas[dias_atraso],"--",0,1)</f>
        <v>--</v>
      </c>
    </row>
    <row r="140" spans="1:8" x14ac:dyDescent="0.25">
      <c r="A140" s="2" t="s">
        <v>2178</v>
      </c>
      <c r="B140" s="16" t="str">
        <f>_xlfn.XLOOKUP(TabelaCadastro[[#This Row],[ID_MASSA]],tbl_de_massas[id_massa],tbl_de_massas[cpf],"--",0,1)</f>
        <v>92808200609</v>
      </c>
      <c r="C140" t="s">
        <v>2417</v>
      </c>
      <c r="D140" t="str">
        <f>_xlfn.XLOOKUP(TabelaCadastro[[#This Row],[ID_MASSA]],tbl_de_massas[id_massa],tbl_de_massas[nome_completo],"--",0,1)</f>
        <v>Ming Zhang</v>
      </c>
      <c r="E140" t="str">
        <f>_xlfn.XLOOKUP(TabelaCadastro[[#This Row],[ID_MASSA]],tbl_de_massas[id_massa],tbl_de_massas[cartao_fisico_numero],"--",0,1)</f>
        <v>5442 7460 7882 7909</v>
      </c>
      <c r="F140" t="str">
        <f>_xlfn.XLOOKUP(TabelaCadastro[[#This Row],[SENHA]],tbl_de_massas[id_massa],tbl_de_massas[fatura_fechada],"--",0,1)</f>
        <v>--</v>
      </c>
      <c r="G140" t="str">
        <f>_xlfn.XLOOKUP(TabelaCadastro[[#This Row],[Nome Completo]],tbl_de_massas[id_massa],tbl_de_massas[fatura_aberta],"--",0,1)</f>
        <v>--</v>
      </c>
      <c r="H140" t="str">
        <f>_xlfn.XLOOKUP(TabelaCadastro[[#This Row],[CARTÃO]],tbl_de_massas[id_massa],tbl_de_massas[dias_atraso],"--",0,1)</f>
        <v>--</v>
      </c>
    </row>
    <row r="141" spans="1:8" x14ac:dyDescent="0.25">
      <c r="A141" s="2" t="s">
        <v>2179</v>
      </c>
      <c r="B141" s="16" t="str">
        <f>_xlfn.XLOOKUP(TabelaCadastro[[#This Row],[ID_MASSA]],tbl_de_massas[id_massa],tbl_de_massas[cpf],"--",0,1)</f>
        <v>92957697327</v>
      </c>
      <c r="C141" t="s">
        <v>2418</v>
      </c>
      <c r="D141" t="str">
        <f>_xlfn.XLOOKUP(TabelaCadastro[[#This Row],[ID_MASSA]],tbl_de_massas[id_massa],tbl_de_massas[nome_completo],"--",0,1)</f>
        <v>Kenji Sato</v>
      </c>
      <c r="E141" t="str">
        <f>_xlfn.XLOOKUP(TabelaCadastro[[#This Row],[ID_MASSA]],tbl_de_massas[id_massa],tbl_de_massas[cartao_fisico_numero],"--",0,1)</f>
        <v>6505 0666 1952 5435</v>
      </c>
      <c r="F141" t="str">
        <f>_xlfn.XLOOKUP(TabelaCadastro[[#This Row],[SENHA]],tbl_de_massas[id_massa],tbl_de_massas[fatura_fechada],"--",0,1)</f>
        <v>--</v>
      </c>
      <c r="G141" t="str">
        <f>_xlfn.XLOOKUP(TabelaCadastro[[#This Row],[Nome Completo]],tbl_de_massas[id_massa],tbl_de_massas[fatura_aberta],"--",0,1)</f>
        <v>--</v>
      </c>
      <c r="H141" t="str">
        <f>_xlfn.XLOOKUP(TabelaCadastro[[#This Row],[CARTÃO]],tbl_de_massas[id_massa],tbl_de_massas[dias_atraso],"--",0,1)</f>
        <v>--</v>
      </c>
    </row>
    <row r="142" spans="1:8" x14ac:dyDescent="0.25">
      <c r="A142" s="2" t="s">
        <v>2180</v>
      </c>
      <c r="B142" s="16" t="str">
        <f>_xlfn.XLOOKUP(TabelaCadastro[[#This Row],[ID_MASSA]],tbl_de_massas[id_massa],tbl_de_massas[cpf],"--",0,1)</f>
        <v>41750109719</v>
      </c>
      <c r="C142" t="s">
        <v>2419</v>
      </c>
      <c r="D142" t="str">
        <f>_xlfn.XLOOKUP(TabelaCadastro[[#This Row],[ID_MASSA]],tbl_de_massas[id_massa],tbl_de_massas[nome_completo],"--",0,1)</f>
        <v>Jiwoo Park</v>
      </c>
      <c r="E142" t="str">
        <f>_xlfn.XLOOKUP(TabelaCadastro[[#This Row],[ID_MASSA]],tbl_de_massas[id_massa],tbl_de_massas[cartao_fisico_numero],"--",0,1)</f>
        <v>5442 7460 4468 2208</v>
      </c>
      <c r="F142" t="str">
        <f>_xlfn.XLOOKUP(TabelaCadastro[[#This Row],[SENHA]],tbl_de_massas[id_massa],tbl_de_massas[fatura_fechada],"--",0,1)</f>
        <v>--</v>
      </c>
      <c r="G142" t="str">
        <f>_xlfn.XLOOKUP(TabelaCadastro[[#This Row],[Nome Completo]],tbl_de_massas[id_massa],tbl_de_massas[fatura_aberta],"--",0,1)</f>
        <v>--</v>
      </c>
      <c r="H142" t="str">
        <f>_xlfn.XLOOKUP(TabelaCadastro[[#This Row],[CARTÃO]],tbl_de_massas[id_massa],tbl_de_massas[dias_atraso],"--",0,1)</f>
        <v>--</v>
      </c>
    </row>
    <row r="143" spans="1:8" x14ac:dyDescent="0.25">
      <c r="A143" s="2" t="s">
        <v>2181</v>
      </c>
      <c r="B143" s="16" t="str">
        <f>_xlfn.XLOOKUP(TabelaCadastro[[#This Row],[ID_MASSA]],tbl_de_massas[id_massa],tbl_de_massas[cpf],"--",0,1)</f>
        <v>45447544025</v>
      </c>
      <c r="C143" t="s">
        <v>2420</v>
      </c>
      <c r="D143" t="str">
        <f>_xlfn.XLOOKUP(TabelaCadastro[[#This Row],[ID_MASSA]],tbl_de_massas[id_massa],tbl_de_massas[nome_completo],"--",0,1)</f>
        <v>Jian Liu</v>
      </c>
      <c r="E143" t="str">
        <f>_xlfn.XLOOKUP(TabelaCadastro[[#This Row],[ID_MASSA]],tbl_de_massas[id_massa],tbl_de_massas[cartao_fisico_numero],"--",0,1)</f>
        <v>6505 0666 6165 7964</v>
      </c>
      <c r="F143" t="str">
        <f>_xlfn.XLOOKUP(TabelaCadastro[[#This Row],[SENHA]],tbl_de_massas[id_massa],tbl_de_massas[fatura_fechada],"--",0,1)</f>
        <v>--</v>
      </c>
      <c r="G143" t="str">
        <f>_xlfn.XLOOKUP(TabelaCadastro[[#This Row],[Nome Completo]],tbl_de_massas[id_massa],tbl_de_massas[fatura_aberta],"--",0,1)</f>
        <v>--</v>
      </c>
      <c r="H143" t="str">
        <f>_xlfn.XLOOKUP(TabelaCadastro[[#This Row],[CARTÃO]],tbl_de_massas[id_massa],tbl_de_massas[dias_atraso],"--",0,1)</f>
        <v>--</v>
      </c>
    </row>
    <row r="144" spans="1:8" x14ac:dyDescent="0.25">
      <c r="A144" s="2" t="s">
        <v>2182</v>
      </c>
      <c r="B144" s="16" t="str">
        <f>_xlfn.XLOOKUP(TabelaCadastro[[#This Row],[ID_MASSA]],tbl_de_massas[id_massa],tbl_de_massas[cpf],"--",0,1)</f>
        <v>84979979998</v>
      </c>
      <c r="C144" t="s">
        <v>2421</v>
      </c>
      <c r="D144" t="str">
        <f>_xlfn.XLOOKUP(TabelaCadastro[[#This Row],[ID_MASSA]],tbl_de_massas[id_massa],tbl_de_massas[nome_completo],"--",0,1)</f>
        <v>Camila Lopez</v>
      </c>
      <c r="E144" t="str">
        <f>_xlfn.XLOOKUP(TabelaCadastro[[#This Row],[ID_MASSA]],tbl_de_massas[id_massa],tbl_de_massas[cartao_fisico_numero],"--",0,1)</f>
        <v>3782 623285 4972</v>
      </c>
      <c r="F144" t="str">
        <f>_xlfn.XLOOKUP(TabelaCadastro[[#This Row],[SENHA]],tbl_de_massas[id_massa],tbl_de_massas[fatura_fechada],"--",0,1)</f>
        <v>--</v>
      </c>
      <c r="G144" t="str">
        <f>_xlfn.XLOOKUP(TabelaCadastro[[#This Row],[Nome Completo]],tbl_de_massas[id_massa],tbl_de_massas[fatura_aberta],"--",0,1)</f>
        <v>--</v>
      </c>
      <c r="H144" t="str">
        <f>_xlfn.XLOOKUP(TabelaCadastro[[#This Row],[CARTÃO]],tbl_de_massas[id_massa],tbl_de_massas[dias_atraso],"--",0,1)</f>
        <v>--</v>
      </c>
    </row>
    <row r="145" spans="1:8" x14ac:dyDescent="0.25">
      <c r="A145" s="2" t="s">
        <v>2183</v>
      </c>
      <c r="B145" s="16" t="str">
        <f>_xlfn.XLOOKUP(TabelaCadastro[[#This Row],[ID_MASSA]],tbl_de_massas[id_massa],tbl_de_massas[cpf],"--",0,1)</f>
        <v>09056318624</v>
      </c>
      <c r="C145" t="s">
        <v>2422</v>
      </c>
      <c r="D145" t="str">
        <f>_xlfn.XLOOKUP(TabelaCadastro[[#This Row],[ID_MASSA]],tbl_de_massas[id_massa],tbl_de_massas[nome_completo],"--",0,1)</f>
        <v>Emily Rose Johnson</v>
      </c>
      <c r="E145" t="str">
        <f>_xlfn.XLOOKUP(TabelaCadastro[[#This Row],[ID_MASSA]],tbl_de_massas[id_massa],tbl_de_massas[cartao_fisico_numero],"--",0,1)</f>
        <v>6505 0666 6899 6592</v>
      </c>
      <c r="F145" t="str">
        <f>_xlfn.XLOOKUP(TabelaCadastro[[#This Row],[SENHA]],tbl_de_massas[id_massa],tbl_de_massas[fatura_fechada],"--",0,1)</f>
        <v>--</v>
      </c>
      <c r="G145" t="str">
        <f>_xlfn.XLOOKUP(TabelaCadastro[[#This Row],[Nome Completo]],tbl_de_massas[id_massa],tbl_de_massas[fatura_aberta],"--",0,1)</f>
        <v>--</v>
      </c>
      <c r="H145" t="str">
        <f>_xlfn.XLOOKUP(TabelaCadastro[[#This Row],[CARTÃO]],tbl_de_massas[id_massa],tbl_de_massas[dias_atraso],"--",0,1)</f>
        <v>--</v>
      </c>
    </row>
    <row r="146" spans="1:8" x14ac:dyDescent="0.25">
      <c r="A146" s="2" t="s">
        <v>2184</v>
      </c>
      <c r="B146" s="16" t="str">
        <f>_xlfn.XLOOKUP(TabelaCadastro[[#This Row],[ID_MASSA]],tbl_de_massas[id_massa],tbl_de_massas[cpf],"--",0,1)</f>
        <v>01086796160</v>
      </c>
      <c r="C146" t="s">
        <v>2423</v>
      </c>
      <c r="D146" t="str">
        <f>_xlfn.XLOOKUP(TabelaCadastro[[#This Row],[ID_MASSA]],tbl_de_massas[id_massa],tbl_de_massas[nome_completo],"--",0,1)</f>
        <v>Joao Pedro Silva</v>
      </c>
      <c r="E146" t="str">
        <f>_xlfn.XLOOKUP(TabelaCadastro[[#This Row],[ID_MASSA]],tbl_de_massas[id_massa],tbl_de_massas[cartao_fisico_numero],"--",0,1)</f>
        <v>3782 810474 1016</v>
      </c>
      <c r="F146" t="str">
        <f>_xlfn.XLOOKUP(TabelaCadastro[[#This Row],[SENHA]],tbl_de_massas[id_massa],tbl_de_massas[fatura_fechada],"--",0,1)</f>
        <v>--</v>
      </c>
      <c r="G146" t="str">
        <f>_xlfn.XLOOKUP(TabelaCadastro[[#This Row],[Nome Completo]],tbl_de_massas[id_massa],tbl_de_massas[fatura_aberta],"--",0,1)</f>
        <v>--</v>
      </c>
      <c r="H146" t="str">
        <f>_xlfn.XLOOKUP(TabelaCadastro[[#This Row],[CARTÃO]],tbl_de_massas[id_massa],tbl_de_massas[dias_atraso],"--",0,1)</f>
        <v>--</v>
      </c>
    </row>
    <row r="147" spans="1:8" x14ac:dyDescent="0.25">
      <c r="A147" s="2" t="s">
        <v>2185</v>
      </c>
      <c r="B147" s="16" t="str">
        <f>_xlfn.XLOOKUP(TabelaCadastro[[#This Row],[ID_MASSA]],tbl_de_massas[id_massa],tbl_de_massas[cpf],"--",0,1)</f>
        <v>84585226834</v>
      </c>
      <c r="C147" t="s">
        <v>2424</v>
      </c>
      <c r="D147" t="str">
        <f>_xlfn.XLOOKUP(TabelaCadastro[[#This Row],[ID_MASSA]],tbl_de_massas[id_massa],tbl_de_massas[nome_completo],"--",0,1)</f>
        <v>Wei Li</v>
      </c>
      <c r="E147" t="str">
        <f>_xlfn.XLOOKUP(TabelaCadastro[[#This Row],[ID_MASSA]],tbl_de_massas[id_massa],tbl_de_massas[cartao_fisico_numero],"--",0,1)</f>
        <v>6062 8200 1482 6074</v>
      </c>
      <c r="F147" t="str">
        <f>_xlfn.XLOOKUP(TabelaCadastro[[#This Row],[SENHA]],tbl_de_massas[id_massa],tbl_de_massas[fatura_fechada],"--",0,1)</f>
        <v>--</v>
      </c>
      <c r="G147" t="str">
        <f>_xlfn.XLOOKUP(TabelaCadastro[[#This Row],[Nome Completo]],tbl_de_massas[id_massa],tbl_de_massas[fatura_aberta],"--",0,1)</f>
        <v>--</v>
      </c>
      <c r="H147" t="str">
        <f>_xlfn.XLOOKUP(TabelaCadastro[[#This Row],[CARTÃO]],tbl_de_massas[id_massa],tbl_de_massas[dias_atraso],"--",0,1)</f>
        <v>--</v>
      </c>
    </row>
    <row r="148" spans="1:8" x14ac:dyDescent="0.25">
      <c r="A148" s="2" t="s">
        <v>2186</v>
      </c>
      <c r="B148" s="16" t="str">
        <f>_xlfn.XLOOKUP(TabelaCadastro[[#This Row],[ID_MASSA]],tbl_de_massas[id_massa],tbl_de_massas[cpf],"--",0,1)</f>
        <v>18642038977</v>
      </c>
      <c r="C148" t="s">
        <v>2425</v>
      </c>
      <c r="D148" t="str">
        <f>_xlfn.XLOOKUP(TabelaCadastro[[#This Row],[ID_MASSA]],tbl_de_massas[id_massa],tbl_de_massas[nome_completo],"--",0,1)</f>
        <v>Joaquin Gonzalez</v>
      </c>
      <c r="E148" t="str">
        <f>_xlfn.XLOOKUP(TabelaCadastro[[#This Row],[ID_MASSA]],tbl_de_massas[id_massa],tbl_de_massas[cartao_fisico_numero],"--",0,1)</f>
        <v>5442 7460 2626 2988</v>
      </c>
      <c r="F148" t="str">
        <f>_xlfn.XLOOKUP(TabelaCadastro[[#This Row],[SENHA]],tbl_de_massas[id_massa],tbl_de_massas[fatura_fechada],"--",0,1)</f>
        <v>--</v>
      </c>
      <c r="G148" t="str">
        <f>_xlfn.XLOOKUP(TabelaCadastro[[#This Row],[Nome Completo]],tbl_de_massas[id_massa],tbl_de_massas[fatura_aberta],"--",0,1)</f>
        <v>--</v>
      </c>
      <c r="H148" t="str">
        <f>_xlfn.XLOOKUP(TabelaCadastro[[#This Row],[CARTÃO]],tbl_de_massas[id_massa],tbl_de_massas[dias_atraso],"--",0,1)</f>
        <v>--</v>
      </c>
    </row>
    <row r="149" spans="1:8" x14ac:dyDescent="0.25">
      <c r="A149" s="2" t="s">
        <v>2187</v>
      </c>
      <c r="B149" s="16" t="str">
        <f>_xlfn.XLOOKUP(TabelaCadastro[[#This Row],[ID_MASSA]],tbl_de_massas[id_massa],tbl_de_massas[cpf],"--",0,1)</f>
        <v>87111008855</v>
      </c>
      <c r="C149" t="s">
        <v>2426</v>
      </c>
      <c r="D149" t="str">
        <f>_xlfn.XLOOKUP(TabelaCadastro[[#This Row],[ID_MASSA]],tbl_de_massas[id_massa],tbl_de_massas[nome_completo],"--",0,1)</f>
        <v>Lei Chen</v>
      </c>
      <c r="E149" t="str">
        <f>_xlfn.XLOOKUP(TabelaCadastro[[#This Row],[ID_MASSA]],tbl_de_massas[id_massa],tbl_de_massas[cartao_fisico_numero],"--",0,1)</f>
        <v>5442 7460 9738 1287</v>
      </c>
      <c r="F149" t="str">
        <f>_xlfn.XLOOKUP(TabelaCadastro[[#This Row],[SENHA]],tbl_de_massas[id_massa],tbl_de_massas[fatura_fechada],"--",0,1)</f>
        <v>--</v>
      </c>
      <c r="G149" t="str">
        <f>_xlfn.XLOOKUP(TabelaCadastro[[#This Row],[Nome Completo]],tbl_de_massas[id_massa],tbl_de_massas[fatura_aberta],"--",0,1)</f>
        <v>--</v>
      </c>
      <c r="H149" t="str">
        <f>_xlfn.XLOOKUP(TabelaCadastro[[#This Row],[CARTÃO]],tbl_de_massas[id_massa],tbl_de_massas[dias_atraso],"--",0,1)</f>
        <v>--</v>
      </c>
    </row>
    <row r="150" spans="1:8" x14ac:dyDescent="0.25">
      <c r="A150" s="2" t="s">
        <v>2188</v>
      </c>
      <c r="B150" s="16" t="str">
        <f>_xlfn.XLOOKUP(TabelaCadastro[[#This Row],[ID_MASSA]],tbl_de_massas[id_massa],tbl_de_massas[cpf],"--",0,1)</f>
        <v>12923841310</v>
      </c>
      <c r="C150" t="s">
        <v>2427</v>
      </c>
      <c r="D150" t="str">
        <f>_xlfn.XLOOKUP(TabelaCadastro[[#This Row],[ID_MASSA]],tbl_de_massas[id_massa],tbl_de_massas[nome_completo],"--",0,1)</f>
        <v>Youssef Al-Otaibi</v>
      </c>
      <c r="E150" t="str">
        <f>_xlfn.XLOOKUP(TabelaCadastro[[#This Row],[ID_MASSA]],tbl_de_massas[id_massa],tbl_de_massas[cartao_fisico_numero],"--",0,1)</f>
        <v>4576 7460 4366 5432</v>
      </c>
      <c r="F150" t="str">
        <f>_xlfn.XLOOKUP(TabelaCadastro[[#This Row],[SENHA]],tbl_de_massas[id_massa],tbl_de_massas[fatura_fechada],"--",0,1)</f>
        <v>--</v>
      </c>
      <c r="G150" t="str">
        <f>_xlfn.XLOOKUP(TabelaCadastro[[#This Row],[Nome Completo]],tbl_de_massas[id_massa],tbl_de_massas[fatura_aberta],"--",0,1)</f>
        <v>--</v>
      </c>
      <c r="H150" t="str">
        <f>_xlfn.XLOOKUP(TabelaCadastro[[#This Row],[CARTÃO]],tbl_de_massas[id_massa],tbl_de_massas[dias_atraso],"--",0,1)</f>
        <v>--</v>
      </c>
    </row>
    <row r="151" spans="1:8" x14ac:dyDescent="0.25">
      <c r="A151" s="2" t="s">
        <v>2189</v>
      </c>
      <c r="B151" s="16" t="str">
        <f>_xlfn.XLOOKUP(TabelaCadastro[[#This Row],[ID_MASSA]],tbl_de_massas[id_massa],tbl_de_massas[cpf],"--",0,1)</f>
        <v>74478435715</v>
      </c>
      <c r="C151" t="s">
        <v>2428</v>
      </c>
      <c r="D151" t="str">
        <f>_xlfn.XLOOKUP(TabelaCadastro[[#This Row],[ID_MASSA]],tbl_de_massas[id_massa],tbl_de_massas[nome_completo],"--",0,1)</f>
        <v>Maximilian Mueller</v>
      </c>
      <c r="E151" t="str">
        <f>_xlfn.XLOOKUP(TabelaCadastro[[#This Row],[ID_MASSA]],tbl_de_massas[id_massa],tbl_de_massas[cartao_fisico_numero],"--",0,1)</f>
        <v>6505 0666 6916 0630</v>
      </c>
      <c r="F151" t="str">
        <f>_xlfn.XLOOKUP(TabelaCadastro[[#This Row],[SENHA]],tbl_de_massas[id_massa],tbl_de_massas[fatura_fechada],"--",0,1)</f>
        <v>--</v>
      </c>
      <c r="G151" t="str">
        <f>_xlfn.XLOOKUP(TabelaCadastro[[#This Row],[Nome Completo]],tbl_de_massas[id_massa],tbl_de_massas[fatura_aberta],"--",0,1)</f>
        <v>--</v>
      </c>
      <c r="H151" t="str">
        <f>_xlfn.XLOOKUP(TabelaCadastro[[#This Row],[CARTÃO]],tbl_de_massas[id_massa],tbl_de_massas[dias_atraso],"--",0,1)</f>
        <v>--</v>
      </c>
    </row>
    <row r="152" spans="1:8" x14ac:dyDescent="0.25">
      <c r="A152" s="2" t="s">
        <v>2190</v>
      </c>
      <c r="B152" s="16" t="str">
        <f>_xlfn.XLOOKUP(TabelaCadastro[[#This Row],[ID_MASSA]],tbl_de_massas[id_massa],tbl_de_massas[cpf],"--",0,1)</f>
        <v>79990005907</v>
      </c>
      <c r="C152" t="s">
        <v>2429</v>
      </c>
      <c r="D152" t="str">
        <f>_xlfn.XLOOKUP(TabelaCadastro[[#This Row],[ID_MASSA]],tbl_de_massas[id_massa],tbl_de_massas[nome_completo],"--",0,1)</f>
        <v>Fahad Al-Ghamdi</v>
      </c>
      <c r="E152" t="str">
        <f>_xlfn.XLOOKUP(TabelaCadastro[[#This Row],[ID_MASSA]],tbl_de_massas[id_massa],tbl_de_massas[cartao_fisico_numero],"--",0,1)</f>
        <v>4576 7460 4996 3843</v>
      </c>
      <c r="F152" t="str">
        <f>_xlfn.XLOOKUP(TabelaCadastro[[#This Row],[SENHA]],tbl_de_massas[id_massa],tbl_de_massas[fatura_fechada],"--",0,1)</f>
        <v>--</v>
      </c>
      <c r="G152" t="str">
        <f>_xlfn.XLOOKUP(TabelaCadastro[[#This Row],[Nome Completo]],tbl_de_massas[id_massa],tbl_de_massas[fatura_aberta],"--",0,1)</f>
        <v>--</v>
      </c>
      <c r="H152" t="str">
        <f>_xlfn.XLOOKUP(TabelaCadastro[[#This Row],[CARTÃO]],tbl_de_massas[id_massa],tbl_de_massas[dias_atraso],"--",0,1)</f>
        <v>--</v>
      </c>
    </row>
    <row r="153" spans="1:8" x14ac:dyDescent="0.25">
      <c r="A153" s="2" t="s">
        <v>2191</v>
      </c>
      <c r="B153" s="16" t="str">
        <f>_xlfn.XLOOKUP(TabelaCadastro[[#This Row],[ID_MASSA]],tbl_de_massas[id_massa],tbl_de_massas[cpf],"--",0,1)</f>
        <v>65921979198</v>
      </c>
      <c r="C153" t="s">
        <v>2430</v>
      </c>
      <c r="D153" t="str">
        <f>_xlfn.XLOOKUP(TabelaCadastro[[#This Row],[ID_MASSA]],tbl_de_massas[id_massa],tbl_de_massas[nome_completo],"--",0,1)</f>
        <v>Olivia Elizabeth Davis</v>
      </c>
      <c r="E153" t="str">
        <f>_xlfn.XLOOKUP(TabelaCadastro[[#This Row],[ID_MASSA]],tbl_de_massas[id_massa],tbl_de_massas[cartao_fisico_numero],"--",0,1)</f>
        <v>3782 964484 9713</v>
      </c>
      <c r="F153" t="str">
        <f>_xlfn.XLOOKUP(TabelaCadastro[[#This Row],[SENHA]],tbl_de_massas[id_massa],tbl_de_massas[fatura_fechada],"--",0,1)</f>
        <v>--</v>
      </c>
      <c r="G153" t="str">
        <f>_xlfn.XLOOKUP(TabelaCadastro[[#This Row],[Nome Completo]],tbl_de_massas[id_massa],tbl_de_massas[fatura_aberta],"--",0,1)</f>
        <v>--</v>
      </c>
      <c r="H153" t="str">
        <f>_xlfn.XLOOKUP(TabelaCadastro[[#This Row],[CARTÃO]],tbl_de_massas[id_massa],tbl_de_massas[dias_atraso],"--",0,1)</f>
        <v>--</v>
      </c>
    </row>
    <row r="154" spans="1:8" x14ac:dyDescent="0.25">
      <c r="A154" s="2" t="s">
        <v>2192</v>
      </c>
      <c r="B154" s="16" t="str">
        <f>_xlfn.XLOOKUP(TabelaCadastro[[#This Row],[ID_MASSA]],tbl_de_massas[id_massa],tbl_de_massas[cpf],"--",0,1)</f>
        <v>13912221138</v>
      </c>
      <c r="C154" t="s">
        <v>2431</v>
      </c>
      <c r="D154" t="str">
        <f>_xlfn.XLOOKUP(TabelaCadastro[[#This Row],[ID_MASSA]],tbl_de_massas[id_massa],tbl_de_massas[nome_completo],"--",0,1)</f>
        <v>Lukas Schneider</v>
      </c>
      <c r="E154" t="str">
        <f>_xlfn.XLOOKUP(TabelaCadastro[[#This Row],[ID_MASSA]],tbl_de_massas[id_massa],tbl_de_massas[cartao_fisico_numero],"--",0,1)</f>
        <v>3782 760745 3409</v>
      </c>
      <c r="F154" t="str">
        <f>_xlfn.XLOOKUP(TabelaCadastro[[#This Row],[SENHA]],tbl_de_massas[id_massa],tbl_de_massas[fatura_fechada],"--",0,1)</f>
        <v>--</v>
      </c>
      <c r="G154" t="str">
        <f>_xlfn.XLOOKUP(TabelaCadastro[[#This Row],[Nome Completo]],tbl_de_massas[id_massa],tbl_de_massas[fatura_aberta],"--",0,1)</f>
        <v>--</v>
      </c>
      <c r="H154" t="str">
        <f>_xlfn.XLOOKUP(TabelaCadastro[[#This Row],[CARTÃO]],tbl_de_massas[id_massa],tbl_de_massas[dias_atraso],"--",0,1)</f>
        <v>--</v>
      </c>
    </row>
    <row r="155" spans="1:8" x14ac:dyDescent="0.25">
      <c r="A155" s="2" t="s">
        <v>2193</v>
      </c>
      <c r="B155" s="16" t="str">
        <f>_xlfn.XLOOKUP(TabelaCadastro[[#This Row],[ID_MASSA]],tbl_de_massas[id_massa],tbl_de_massas[cpf],"--",0,1)</f>
        <v>16618184630</v>
      </c>
      <c r="C155" t="s">
        <v>2432</v>
      </c>
      <c r="D155" t="str">
        <f>_xlfn.XLOOKUP(TabelaCadastro[[#This Row],[ID_MASSA]],tbl_de_massas[id_massa],tbl_de_massas[nome_completo],"--",0,1)</f>
        <v>Kenji Sato</v>
      </c>
      <c r="E155" t="str">
        <f>_xlfn.XLOOKUP(TabelaCadastro[[#This Row],[ID_MASSA]],tbl_de_massas[id_massa],tbl_de_massas[cartao_fisico_numero],"--",0,1)</f>
        <v>6062 8200 1410 7804</v>
      </c>
      <c r="F155" t="str">
        <f>_xlfn.XLOOKUP(TabelaCadastro[[#This Row],[SENHA]],tbl_de_massas[id_massa],tbl_de_massas[fatura_fechada],"--",0,1)</f>
        <v>--</v>
      </c>
      <c r="G155" t="str">
        <f>_xlfn.XLOOKUP(TabelaCadastro[[#This Row],[Nome Completo]],tbl_de_massas[id_massa],tbl_de_massas[fatura_aberta],"--",0,1)</f>
        <v>--</v>
      </c>
      <c r="H155" t="str">
        <f>_xlfn.XLOOKUP(TabelaCadastro[[#This Row],[CARTÃO]],tbl_de_massas[id_massa],tbl_de_massas[dias_atraso],"--",0,1)</f>
        <v>--</v>
      </c>
    </row>
    <row r="156" spans="1:8" x14ac:dyDescent="0.25">
      <c r="A156" s="2" t="s">
        <v>2194</v>
      </c>
      <c r="B156" s="16" t="str">
        <f>_xlfn.XLOOKUP(TabelaCadastro[[#This Row],[ID_MASSA]],tbl_de_massas[id_massa],tbl_de_massas[cpf],"--",0,1)</f>
        <v>88312964185</v>
      </c>
      <c r="C156" t="s">
        <v>2433</v>
      </c>
      <c r="D156" t="str">
        <f>_xlfn.XLOOKUP(TabelaCadastro[[#This Row],[ID_MASSA]],tbl_de_massas[id_massa],tbl_de_massas[nome_completo],"--",0,1)</f>
        <v>Hannah Fischer</v>
      </c>
      <c r="E156" t="str">
        <f>_xlfn.XLOOKUP(TabelaCadastro[[#This Row],[ID_MASSA]],tbl_de_massas[id_massa],tbl_de_massas[cartao_fisico_numero],"--",0,1)</f>
        <v>4576 7460 2950 2106</v>
      </c>
      <c r="F156" t="str">
        <f>_xlfn.XLOOKUP(TabelaCadastro[[#This Row],[SENHA]],tbl_de_massas[id_massa],tbl_de_massas[fatura_fechada],"--",0,1)</f>
        <v>--</v>
      </c>
      <c r="G156" t="str">
        <f>_xlfn.XLOOKUP(TabelaCadastro[[#This Row],[Nome Completo]],tbl_de_massas[id_massa],tbl_de_massas[fatura_aberta],"--",0,1)</f>
        <v>--</v>
      </c>
      <c r="H156" t="str">
        <f>_xlfn.XLOOKUP(TabelaCadastro[[#This Row],[CARTÃO]],tbl_de_massas[id_massa],tbl_de_massas[dias_atraso],"--",0,1)</f>
        <v>--</v>
      </c>
    </row>
    <row r="157" spans="1:8" x14ac:dyDescent="0.25">
      <c r="A157" s="2" t="s">
        <v>2195</v>
      </c>
      <c r="B157" s="16" t="str">
        <f>_xlfn.XLOOKUP(TabelaCadastro[[#This Row],[ID_MASSA]],tbl_de_massas[id_massa],tbl_de_massas[cpf],"--",0,1)</f>
        <v>47783749321</v>
      </c>
      <c r="C157" t="s">
        <v>2434</v>
      </c>
      <c r="D157" t="str">
        <f>_xlfn.XLOOKUP(TabelaCadastro[[#This Row],[ID_MASSA]],tbl_de_massas[id_massa],tbl_de_massas[nome_completo],"--",0,1)</f>
        <v>Haewon Jung</v>
      </c>
      <c r="E157" t="str">
        <f>_xlfn.XLOOKUP(TabelaCadastro[[#This Row],[ID_MASSA]],tbl_de_massas[id_massa],tbl_de_massas[cartao_fisico_numero],"--",0,1)</f>
        <v>5442 7460 2604 6712</v>
      </c>
      <c r="F157" t="str">
        <f>_xlfn.XLOOKUP(TabelaCadastro[[#This Row],[SENHA]],tbl_de_massas[id_massa],tbl_de_massas[fatura_fechada],"--",0,1)</f>
        <v>--</v>
      </c>
      <c r="G157" t="str">
        <f>_xlfn.XLOOKUP(TabelaCadastro[[#This Row],[Nome Completo]],tbl_de_massas[id_massa],tbl_de_massas[fatura_aberta],"--",0,1)</f>
        <v>--</v>
      </c>
      <c r="H157" t="str">
        <f>_xlfn.XLOOKUP(TabelaCadastro[[#This Row],[CARTÃO]],tbl_de_massas[id_massa],tbl_de_massas[dias_atraso],"--",0,1)</f>
        <v>--</v>
      </c>
    </row>
    <row r="158" spans="1:8" x14ac:dyDescent="0.25">
      <c r="A158" s="2" t="s">
        <v>2196</v>
      </c>
      <c r="B158" s="16" t="str">
        <f>_xlfn.XLOOKUP(TabelaCadastro[[#This Row],[ID_MASSA]],tbl_de_massas[id_massa],tbl_de_massas[cpf],"--",0,1)</f>
        <v>42062517700</v>
      </c>
      <c r="C158" t="s">
        <v>2435</v>
      </c>
      <c r="D158" t="str">
        <f>_xlfn.XLOOKUP(TabelaCadastro[[#This Row],[ID_MASSA]],tbl_de_massas[id_massa],tbl_de_massas[nome_completo],"--",0,1)</f>
        <v>Fahad Al-Ghamdi</v>
      </c>
      <c r="E158" t="str">
        <f>_xlfn.XLOOKUP(TabelaCadastro[[#This Row],[ID_MASSA]],tbl_de_massas[id_massa],tbl_de_massas[cartao_fisico_numero],"--",0,1)</f>
        <v>6062 8200 1789 5908</v>
      </c>
      <c r="F158" t="str">
        <f>_xlfn.XLOOKUP(TabelaCadastro[[#This Row],[SENHA]],tbl_de_massas[id_massa],tbl_de_massas[fatura_fechada],"--",0,1)</f>
        <v>--</v>
      </c>
      <c r="G158" t="str">
        <f>_xlfn.XLOOKUP(TabelaCadastro[[#This Row],[Nome Completo]],tbl_de_massas[id_massa],tbl_de_massas[fatura_aberta],"--",0,1)</f>
        <v>--</v>
      </c>
      <c r="H158" t="str">
        <f>_xlfn.XLOOKUP(TabelaCadastro[[#This Row],[CARTÃO]],tbl_de_massas[id_massa],tbl_de_massas[dias_atraso],"--",0,1)</f>
        <v>--</v>
      </c>
    </row>
    <row r="159" spans="1:8" x14ac:dyDescent="0.25">
      <c r="A159" s="2" t="s">
        <v>2197</v>
      </c>
      <c r="B159" s="16" t="str">
        <f>_xlfn.XLOOKUP(TabelaCadastro[[#This Row],[ID_MASSA]],tbl_de_massas[id_massa],tbl_de_massas[cpf],"--",0,1)</f>
        <v>30857462261</v>
      </c>
      <c r="C159" t="s">
        <v>2436</v>
      </c>
      <c r="D159" t="str">
        <f>_xlfn.XLOOKUP(TabelaCadastro[[#This Row],[ID_MASSA]],tbl_de_massas[id_massa],tbl_de_massas[nome_completo],"--",0,1)</f>
        <v>William Robert Miller</v>
      </c>
      <c r="E159" t="str">
        <f>_xlfn.XLOOKUP(TabelaCadastro[[#This Row],[ID_MASSA]],tbl_de_massas[id_massa],tbl_de_massas[cartao_fisico_numero],"--",0,1)</f>
        <v>3782 307314 7663</v>
      </c>
      <c r="F159" t="str">
        <f>_xlfn.XLOOKUP(TabelaCadastro[[#This Row],[SENHA]],tbl_de_massas[id_massa],tbl_de_massas[fatura_fechada],"--",0,1)</f>
        <v>--</v>
      </c>
      <c r="G159" t="str">
        <f>_xlfn.XLOOKUP(TabelaCadastro[[#This Row],[Nome Completo]],tbl_de_massas[id_massa],tbl_de_massas[fatura_aberta],"--",0,1)</f>
        <v>--</v>
      </c>
      <c r="H159" t="str">
        <f>_xlfn.XLOOKUP(TabelaCadastro[[#This Row],[CARTÃO]],tbl_de_massas[id_massa],tbl_de_massas[dias_atraso],"--",0,1)</f>
        <v>--</v>
      </c>
    </row>
    <row r="160" spans="1:8" x14ac:dyDescent="0.25">
      <c r="A160" s="2" t="s">
        <v>2198</v>
      </c>
      <c r="B160" s="16" t="str">
        <f>_xlfn.XLOOKUP(TabelaCadastro[[#This Row],[ID_MASSA]],tbl_de_massas[id_massa],tbl_de_massas[cpf],"--",0,1)</f>
        <v>88712484814</v>
      </c>
      <c r="C160" t="s">
        <v>2437</v>
      </c>
      <c r="D160" t="str">
        <f>_xlfn.XLOOKUP(TabelaCadastro[[#This Row],[ID_MASSA]],tbl_de_massas[id_massa],tbl_de_massas[nome_completo],"--",0,1)</f>
        <v>Camille Martin</v>
      </c>
      <c r="E160" t="str">
        <f>_xlfn.XLOOKUP(TabelaCadastro[[#This Row],[ID_MASSA]],tbl_de_massas[id_massa],tbl_de_massas[cartao_fisico_numero],"--",0,1)</f>
        <v>3782 720223 5276</v>
      </c>
      <c r="F160" t="str">
        <f>_xlfn.XLOOKUP(TabelaCadastro[[#This Row],[SENHA]],tbl_de_massas[id_massa],tbl_de_massas[fatura_fechada],"--",0,1)</f>
        <v>--</v>
      </c>
      <c r="G160" t="str">
        <f>_xlfn.XLOOKUP(TabelaCadastro[[#This Row],[Nome Completo]],tbl_de_massas[id_massa],tbl_de_massas[fatura_aberta],"--",0,1)</f>
        <v>--</v>
      </c>
      <c r="H160" t="str">
        <f>_xlfn.XLOOKUP(TabelaCadastro[[#This Row],[CARTÃO]],tbl_de_massas[id_massa],tbl_de_massas[dias_atraso],"--",0,1)</f>
        <v>--</v>
      </c>
    </row>
    <row r="161" spans="1:8" x14ac:dyDescent="0.25">
      <c r="A161" s="2" t="s">
        <v>2199</v>
      </c>
      <c r="B161" s="16" t="str">
        <f>_xlfn.XLOOKUP(TabelaCadastro[[#This Row],[ID_MASSA]],tbl_de_massas[id_massa],tbl_de_massas[cpf],"--",0,1)</f>
        <v>30423481053</v>
      </c>
      <c r="C161" t="s">
        <v>2438</v>
      </c>
      <c r="D161" t="str">
        <f>_xlfn.XLOOKUP(TabelaCadastro[[#This Row],[ID_MASSA]],tbl_de_massas[id_massa],tbl_de_massas[nome_completo],"--",0,1)</f>
        <v>Joaquin Gonzalez</v>
      </c>
      <c r="E161" t="str">
        <f>_xlfn.XLOOKUP(TabelaCadastro[[#This Row],[ID_MASSA]],tbl_de_massas[id_massa],tbl_de_massas[cartao_fisico_numero],"--",0,1)</f>
        <v>6062 8200 2812 3053</v>
      </c>
      <c r="F161" t="str">
        <f>_xlfn.XLOOKUP(TabelaCadastro[[#This Row],[SENHA]],tbl_de_massas[id_massa],tbl_de_massas[fatura_fechada],"--",0,1)</f>
        <v>--</v>
      </c>
      <c r="G161" t="str">
        <f>_xlfn.XLOOKUP(TabelaCadastro[[#This Row],[Nome Completo]],tbl_de_massas[id_massa],tbl_de_massas[fatura_aberta],"--",0,1)</f>
        <v>--</v>
      </c>
      <c r="H161" t="str">
        <f>_xlfn.XLOOKUP(TabelaCadastro[[#This Row],[CARTÃO]],tbl_de_massas[id_massa],tbl_de_massas[dias_atraso],"--",0,1)</f>
        <v>--</v>
      </c>
    </row>
    <row r="162" spans="1:8" x14ac:dyDescent="0.25">
      <c r="A162" s="2" t="s">
        <v>2200</v>
      </c>
      <c r="B162" s="16" t="str">
        <f>_xlfn.XLOOKUP(TabelaCadastro[[#This Row],[ID_MASSA]],tbl_de_massas[id_massa],tbl_de_massas[cpf],"--",0,1)</f>
        <v>00238338827</v>
      </c>
      <c r="C162" t="s">
        <v>2439</v>
      </c>
      <c r="D162" t="str">
        <f>_xlfn.XLOOKUP(TabelaCadastro[[#This Row],[ID_MASSA]],tbl_de_massas[id_massa],tbl_de_massas[nome_completo],"--",0,1)</f>
        <v>Lucas Gabriel Ferreira</v>
      </c>
      <c r="E162" t="str">
        <f>_xlfn.XLOOKUP(TabelaCadastro[[#This Row],[ID_MASSA]],tbl_de_massas[id_massa],tbl_de_massas[cartao_fisico_numero],"--",0,1)</f>
        <v>3782 493613 7137</v>
      </c>
      <c r="F162" t="str">
        <f>_xlfn.XLOOKUP(TabelaCadastro[[#This Row],[SENHA]],tbl_de_massas[id_massa],tbl_de_massas[fatura_fechada],"--",0,1)</f>
        <v>--</v>
      </c>
      <c r="G162" t="str">
        <f>_xlfn.XLOOKUP(TabelaCadastro[[#This Row],[Nome Completo]],tbl_de_massas[id_massa],tbl_de_massas[fatura_aberta],"--",0,1)</f>
        <v>--</v>
      </c>
      <c r="H162" t="str">
        <f>_xlfn.XLOOKUP(TabelaCadastro[[#This Row],[CARTÃO]],tbl_de_massas[id_massa],tbl_de_massas[dias_atraso],"--",0,1)</f>
        <v>--</v>
      </c>
    </row>
    <row r="163" spans="1:8" x14ac:dyDescent="0.25">
      <c r="A163" s="2" t="s">
        <v>2201</v>
      </c>
      <c r="B163" s="16" t="str">
        <f>_xlfn.XLOOKUP(TabelaCadastro[[#This Row],[ID_MASSA]],tbl_de_massas[id_massa],tbl_de_massas[cpf],"--",0,1)</f>
        <v>31415926535</v>
      </c>
      <c r="C163" t="s">
        <v>2440</v>
      </c>
      <c r="D163" t="str">
        <f>_xlfn.XLOOKUP(TabelaCadastro[[#This Row],[ID_MASSA]],tbl_de_massas[id_massa],tbl_de_massas[nome_completo],"--",0,1)</f>
        <v>Teste Solda Evento</v>
      </c>
      <c r="E163" t="str">
        <f>_xlfn.XLOOKUP(TabelaCadastro[[#This Row],[ID_MASSA]],tbl_de_massas[id_massa],tbl_de_massas[cartao_fisico_numero],"--",0,1)</f>
        <v>4576 7460 8954 9038</v>
      </c>
      <c r="F163" t="str">
        <f>_xlfn.XLOOKUP(TabelaCadastro[[#This Row],[SENHA]],tbl_de_massas[id_massa],tbl_de_massas[fatura_fechada],"--",0,1)</f>
        <v>--</v>
      </c>
      <c r="G163" t="str">
        <f>_xlfn.XLOOKUP(TabelaCadastro[[#This Row],[Nome Completo]],tbl_de_massas[id_massa],tbl_de_massas[fatura_aberta],"--",0,1)</f>
        <v>--</v>
      </c>
      <c r="H163" t="str">
        <f>_xlfn.XLOOKUP(TabelaCadastro[[#This Row],[CARTÃO]],tbl_de_massas[id_massa],tbl_de_massas[dias_atraso],"--",0,1)</f>
        <v>--</v>
      </c>
    </row>
    <row r="164" spans="1:8" x14ac:dyDescent="0.25">
      <c r="A164" s="2" t="s">
        <v>2202</v>
      </c>
      <c r="B164" s="16" t="str">
        <f>_xlfn.XLOOKUP(TabelaCadastro[[#This Row],[ID_MASSA]],tbl_de_massas[id_massa],tbl_de_massas[cpf],"--",0,1)</f>
        <v>27182818284</v>
      </c>
      <c r="C164" t="s">
        <v>2441</v>
      </c>
      <c r="D164" t="str">
        <f>_xlfn.XLOOKUP(TabelaCadastro[[#This Row],[ID_MASSA]],tbl_de_massas[id_massa],tbl_de_massas[nome_completo],"--",0,1)</f>
        <v>Sonda Evento Bus</v>
      </c>
      <c r="E164" t="str">
        <f>_xlfn.XLOOKUP(TabelaCadastro[[#This Row],[ID_MASSA]],tbl_de_massas[id_massa],tbl_de_massas[cartao_fisico_numero],"--",0,1)</f>
        <v>6505 0666 7067 1211</v>
      </c>
      <c r="F164" t="str">
        <f>_xlfn.XLOOKUP(TabelaCadastro[[#This Row],[SENHA]],tbl_de_massas[id_massa],tbl_de_massas[fatura_fechada],"--",0,1)</f>
        <v>--</v>
      </c>
      <c r="G164" t="str">
        <f>_xlfn.XLOOKUP(TabelaCadastro[[#This Row],[Nome Completo]],tbl_de_massas[id_massa],tbl_de_massas[fatura_aberta],"--",0,1)</f>
        <v>--</v>
      </c>
      <c r="H164" t="str">
        <f>_xlfn.XLOOKUP(TabelaCadastro[[#This Row],[CARTÃO]],tbl_de_massas[id_massa],tbl_de_massas[dias_atraso],"--",0,1)</f>
        <v>--</v>
      </c>
    </row>
    <row r="165" spans="1:8" x14ac:dyDescent="0.25">
      <c r="A165" s="2" t="s">
        <v>2203</v>
      </c>
      <c r="B165" s="16" t="str">
        <f>_xlfn.XLOOKUP(TabelaCadastro[[#This Row],[ID_MASSA]],tbl_de_massas[id_massa],tbl_de_massas[cpf],"--",0,1)</f>
        <v>16180339887</v>
      </c>
      <c r="C165" t="s">
        <v>2442</v>
      </c>
      <c r="D165" t="str">
        <f>_xlfn.XLOOKUP(TabelaCadastro[[#This Row],[ID_MASSA]],tbl_de_massas[id_massa],tbl_de_massas[nome_completo],"--",0,1)</f>
        <v>Solda Final Teste</v>
      </c>
      <c r="E165" t="str">
        <f>_xlfn.XLOOKUP(TabelaCadastro[[#This Row],[ID_MASSA]],tbl_de_massas[id_massa],tbl_de_massas[cartao_fisico_numero],"--",0,1)</f>
        <v>3782 971602 1482</v>
      </c>
      <c r="F165" t="str">
        <f>_xlfn.XLOOKUP(TabelaCadastro[[#This Row],[SENHA]],tbl_de_massas[id_massa],tbl_de_massas[fatura_fechada],"--",0,1)</f>
        <v>--</v>
      </c>
      <c r="G165" t="str">
        <f>_xlfn.XLOOKUP(TabelaCadastro[[#This Row],[Nome Completo]],tbl_de_massas[id_massa],tbl_de_massas[fatura_aberta],"--",0,1)</f>
        <v>--</v>
      </c>
      <c r="H165" t="str">
        <f>_xlfn.XLOOKUP(TabelaCadastro[[#This Row],[CARTÃO]],tbl_de_massas[id_massa],tbl_de_massas[dias_atraso],"--",0,1)</f>
        <v>--</v>
      </c>
    </row>
    <row r="166" spans="1:8" x14ac:dyDescent="0.25">
      <c r="A166" s="2" t="s">
        <v>2204</v>
      </c>
      <c r="B166" s="16" t="str">
        <f>_xlfn.XLOOKUP(TabelaCadastro[[#This Row],[ID_MASSA]],tbl_de_massas[id_massa],tbl_de_massas[cpf],"--",0,1)</f>
        <v>70000129979</v>
      </c>
      <c r="C166" t="s">
        <v>2443</v>
      </c>
      <c r="D166" t="str">
        <f>_xlfn.XLOOKUP(TabelaCadastro[[#This Row],[ID_MASSA]],tbl_de_massas[id_massa],tbl_de_massas[nome_completo],"--",0,1)</f>
        <v>Comprador Monitor</v>
      </c>
      <c r="E166" t="str">
        <f>_xlfn.XLOOKUP(TabelaCadastro[[#This Row],[ID_MASSA]],tbl_de_massas[id_massa],tbl_de_massas[cartao_fisico_numero],"--",0,1)</f>
        <v>4576 7460 6058 7283</v>
      </c>
      <c r="F166" t="str">
        <f>_xlfn.XLOOKUP(TabelaCadastro[[#This Row],[SENHA]],tbl_de_massas[id_massa],tbl_de_massas[fatura_fechada],"--",0,1)</f>
        <v>--</v>
      </c>
      <c r="G166" t="str">
        <f>_xlfn.XLOOKUP(TabelaCadastro[[#This Row],[Nome Completo]],tbl_de_massas[id_massa],tbl_de_massas[fatura_aberta],"--",0,1)</f>
        <v>--</v>
      </c>
      <c r="H166" t="str">
        <f>_xlfn.XLOOKUP(TabelaCadastro[[#This Row],[CARTÃO]],tbl_de_massas[id_massa],tbl_de_massas[dias_atraso],"--",0,1)</f>
        <v>--</v>
      </c>
    </row>
    <row r="167" spans="1:8" x14ac:dyDescent="0.25">
      <c r="A167" s="2" t="s">
        <v>2205</v>
      </c>
      <c r="B167" s="16" t="str">
        <f>_xlfn.XLOOKUP(TabelaCadastro[[#This Row],[ID_MASSA]],tbl_de_massas[id_massa],tbl_de_massas[cpf],"--",0,1)</f>
        <v>71003941242</v>
      </c>
      <c r="C167" t="s">
        <v>2444</v>
      </c>
      <c r="D167" t="str">
        <f>_xlfn.XLOOKUP(TabelaCadastro[[#This Row],[ID_MASSA]],tbl_de_massas[id_massa],tbl_de_massas[nome_completo],"--",0,1)</f>
        <v>Dual Teste</v>
      </c>
      <c r="E167" t="str">
        <f>_xlfn.XLOOKUP(TabelaCadastro[[#This Row],[ID_MASSA]],tbl_de_massas[id_massa],tbl_de_massas[cartao_fisico_numero],"--",0,1)</f>
        <v>4576 7460 3577 0487</v>
      </c>
      <c r="F167" t="str">
        <f>_xlfn.XLOOKUP(TabelaCadastro[[#This Row],[SENHA]],tbl_de_massas[id_massa],tbl_de_massas[fatura_fechada],"--",0,1)</f>
        <v>--</v>
      </c>
      <c r="G167" t="str">
        <f>_xlfn.XLOOKUP(TabelaCadastro[[#This Row],[Nome Completo]],tbl_de_massas[id_massa],tbl_de_massas[fatura_aberta],"--",0,1)</f>
        <v>--</v>
      </c>
      <c r="H167" t="str">
        <f>_xlfn.XLOOKUP(TabelaCadastro[[#This Row],[CARTÃO]],tbl_de_massas[id_massa],tbl_de_massas[dias_atraso],"--",0,1)</f>
        <v>--</v>
      </c>
    </row>
    <row r="168" spans="1:8" x14ac:dyDescent="0.25">
      <c r="A168" s="2" t="s">
        <v>2206</v>
      </c>
      <c r="B168" s="16" t="str">
        <f>_xlfn.XLOOKUP(TabelaCadastro[[#This Row],[ID_MASSA]],tbl_de_massas[id_massa],tbl_de_massas[cpf],"--",0,1)</f>
        <v>30113512287</v>
      </c>
      <c r="C168" t="s">
        <v>2445</v>
      </c>
      <c r="D168" t="str">
        <f>_xlfn.XLOOKUP(TabelaCadastro[[#This Row],[ID_MASSA]],tbl_de_massas[id_massa],tbl_de_massas[nome_completo],"--",0,1)</f>
        <v>Armel Michel</v>
      </c>
      <c r="E168" t="str">
        <f>_xlfn.XLOOKUP(TabelaCadastro[[#This Row],[ID_MASSA]],tbl_de_massas[id_massa],tbl_de_massas[cartao_fisico_numero],"--",0,1)</f>
        <v>5185 4460 8337 0511</v>
      </c>
      <c r="F168" t="str">
        <f>_xlfn.XLOOKUP(TabelaCadastro[[#This Row],[SENHA]],tbl_de_massas[id_massa],tbl_de_massas[fatura_fechada],"--",0,1)</f>
        <v>--</v>
      </c>
      <c r="G168" t="str">
        <f>_xlfn.XLOOKUP(TabelaCadastro[[#This Row],[Nome Completo]],tbl_de_massas[id_massa],tbl_de_massas[fatura_aberta],"--",0,1)</f>
        <v>--</v>
      </c>
      <c r="H168" t="str">
        <f>_xlfn.XLOOKUP(TabelaCadastro[[#This Row],[CARTÃO]],tbl_de_massas[id_massa],tbl_de_massas[dias_atraso],"--",0,1)</f>
        <v>--</v>
      </c>
    </row>
    <row r="169" spans="1:8" x14ac:dyDescent="0.25">
      <c r="A169" s="2" t="s">
        <v>2207</v>
      </c>
      <c r="B169" s="16" t="str">
        <f>_xlfn.XLOOKUP(TabelaCadastro[[#This Row],[ID_MASSA]],tbl_de_massas[id_massa],tbl_de_massas[cpf],"--",0,1)</f>
        <v>87300736009</v>
      </c>
      <c r="C169" t="s">
        <v>2446</v>
      </c>
      <c r="D169" t="str">
        <f>_xlfn.XLOOKUP(TabelaCadastro[[#This Row],[ID_MASSA]],tbl_de_massas[id_massa],tbl_de_massas[nome_completo],"--",0,1)</f>
        <v>Khalid Al-Zahrani</v>
      </c>
      <c r="E169" t="str">
        <f>_xlfn.XLOOKUP(TabelaCadastro[[#This Row],[ID_MASSA]],tbl_de_massas[id_massa],tbl_de_massas[cartao_fisico_numero],"--",0,1)</f>
        <v>6062 8200 8940 1249</v>
      </c>
      <c r="F169" t="str">
        <f>_xlfn.XLOOKUP(TabelaCadastro[[#This Row],[SENHA]],tbl_de_massas[id_massa],tbl_de_massas[fatura_fechada],"--",0,1)</f>
        <v>--</v>
      </c>
      <c r="G169" t="str">
        <f>_xlfn.XLOOKUP(TabelaCadastro[[#This Row],[Nome Completo]],tbl_de_massas[id_massa],tbl_de_massas[fatura_aberta],"--",0,1)</f>
        <v>--</v>
      </c>
      <c r="H169" t="str">
        <f>_xlfn.XLOOKUP(TabelaCadastro[[#This Row],[CARTÃO]],tbl_de_massas[id_massa],tbl_de_massas[dias_atraso],"--",0,1)</f>
        <v>--</v>
      </c>
    </row>
    <row r="170" spans="1:8" x14ac:dyDescent="0.25">
      <c r="A170" s="2" t="s">
        <v>2208</v>
      </c>
      <c r="B170" s="16" t="str">
        <f>_xlfn.XLOOKUP(TabelaCadastro[[#This Row],[ID_MASSA]],tbl_de_massas[id_massa],tbl_de_massas[cpf],"--",0,1)</f>
        <v>59127562468</v>
      </c>
      <c r="C170" t="s">
        <v>2447</v>
      </c>
      <c r="D170" t="str">
        <f>_xlfn.XLOOKUP(TabelaCadastro[[#This Row],[ID_MASSA]],tbl_de_massas[id_massa],tbl_de_massas[nome_completo],"--",0,1)</f>
        <v>Tariq Al-Mansoor</v>
      </c>
      <c r="E170" t="str">
        <f>_xlfn.XLOOKUP(TabelaCadastro[[#This Row],[ID_MASSA]],tbl_de_massas[id_massa],tbl_de_massas[cartao_fisico_numero],"--",0,1)</f>
        <v>5442 7460 9214 5172</v>
      </c>
      <c r="F170" t="str">
        <f>_xlfn.XLOOKUP(TabelaCadastro[[#This Row],[SENHA]],tbl_de_massas[id_massa],tbl_de_massas[fatura_fechada],"--",0,1)</f>
        <v>--</v>
      </c>
      <c r="G170" t="str">
        <f>_xlfn.XLOOKUP(TabelaCadastro[[#This Row],[Nome Completo]],tbl_de_massas[id_massa],tbl_de_massas[fatura_aberta],"--",0,1)</f>
        <v>--</v>
      </c>
      <c r="H170" t="str">
        <f>_xlfn.XLOOKUP(TabelaCadastro[[#This Row],[CARTÃO]],tbl_de_massas[id_massa],tbl_de_massas[dias_atraso],"--",0,1)</f>
        <v>--</v>
      </c>
    </row>
    <row r="171" spans="1:8" x14ac:dyDescent="0.25">
      <c r="A171" s="2" t="s">
        <v>2209</v>
      </c>
      <c r="B171" s="16" t="str">
        <f>_xlfn.XLOOKUP(TabelaCadastro[[#This Row],[ID_MASSA]],tbl_de_massas[id_massa],tbl_de_massas[cpf],"--",0,1)</f>
        <v>72605753522</v>
      </c>
      <c r="C171" t="s">
        <v>2448</v>
      </c>
      <c r="D171" t="str">
        <f>_xlfn.XLOOKUP(TabelaCadastro[[#This Row],[ID_MASSA]],tbl_de_massas[id_massa],tbl_de_massas[nome_completo],"--",0,1)</f>
        <v>Dohyun Choi</v>
      </c>
      <c r="E171" t="str">
        <f>_xlfn.XLOOKUP(TabelaCadastro[[#This Row],[ID_MASSA]],tbl_de_massas[id_massa],tbl_de_massas[cartao_fisico_numero],"--",0,1)</f>
        <v>4576 7460 9685 6188</v>
      </c>
      <c r="F171" t="str">
        <f>_xlfn.XLOOKUP(TabelaCadastro[[#This Row],[SENHA]],tbl_de_massas[id_massa],tbl_de_massas[fatura_fechada],"--",0,1)</f>
        <v>--</v>
      </c>
      <c r="G171" t="str">
        <f>_xlfn.XLOOKUP(TabelaCadastro[[#This Row],[Nome Completo]],tbl_de_massas[id_massa],tbl_de_massas[fatura_aberta],"--",0,1)</f>
        <v>--</v>
      </c>
      <c r="H171" t="str">
        <f>_xlfn.XLOOKUP(TabelaCadastro[[#This Row],[CARTÃO]],tbl_de_massas[id_massa],tbl_de_massas[dias_atraso],"--",0,1)</f>
        <v>--</v>
      </c>
    </row>
    <row r="172" spans="1:8" x14ac:dyDescent="0.25">
      <c r="A172" s="2" t="s">
        <v>2210</v>
      </c>
      <c r="B172" s="16" t="str">
        <f>_xlfn.XLOOKUP(TabelaCadastro[[#This Row],[ID_MASSA]],tbl_de_massas[id_massa],tbl_de_massas[cpf],"--",0,1)</f>
        <v>11004395108</v>
      </c>
      <c r="C172" t="s">
        <v>2449</v>
      </c>
      <c r="D172" t="str">
        <f>_xlfn.XLOOKUP(TabelaCadastro[[#This Row],[ID_MASSA]],tbl_de_massas[id_massa],tbl_de_massas[nome_completo],"--",0,1)</f>
        <v>Youssef Al-Otaibi</v>
      </c>
      <c r="E172" t="str">
        <f>_xlfn.XLOOKUP(TabelaCadastro[[#This Row],[ID_MASSA]],tbl_de_massas[id_massa],tbl_de_massas[cartao_fisico_numero],"--",0,1)</f>
        <v>3782 392688 5764</v>
      </c>
      <c r="F172" t="str">
        <f>_xlfn.XLOOKUP(TabelaCadastro[[#This Row],[SENHA]],tbl_de_massas[id_massa],tbl_de_massas[fatura_fechada],"--",0,1)</f>
        <v>--</v>
      </c>
      <c r="G172" t="str">
        <f>_xlfn.XLOOKUP(TabelaCadastro[[#This Row],[Nome Completo]],tbl_de_massas[id_massa],tbl_de_massas[fatura_aberta],"--",0,1)</f>
        <v>--</v>
      </c>
      <c r="H172" t="str">
        <f>_xlfn.XLOOKUP(TabelaCadastro[[#This Row],[CARTÃO]],tbl_de_massas[id_massa],tbl_de_massas[dias_atraso],"--",0,1)</f>
        <v>--</v>
      </c>
    </row>
    <row r="173" spans="1:8" x14ac:dyDescent="0.25">
      <c r="A173" s="2" t="s">
        <v>2211</v>
      </c>
      <c r="B173" s="16" t="str">
        <f>_xlfn.XLOOKUP(TabelaCadastro[[#This Row],[ID_MASSA]],tbl_de_massas[id_massa],tbl_de_massas[cpf],"--",0,1)</f>
        <v>01843444259</v>
      </c>
      <c r="C173" t="s">
        <v>2450</v>
      </c>
      <c r="D173" t="str">
        <f>_xlfn.XLOOKUP(TabelaCadastro[[#This Row],[ID_MASSA]],tbl_de_massas[id_massa],tbl_de_massas[nome_completo],"--",0,1)</f>
        <v>Fatima Al-Harbi</v>
      </c>
      <c r="E173" t="str">
        <f>_xlfn.XLOOKUP(TabelaCadastro[[#This Row],[ID_MASSA]],tbl_de_massas[id_massa],tbl_de_massas[cartao_fisico_numero],"--",0,1)</f>
        <v>3782 296131 8895</v>
      </c>
      <c r="F173" t="str">
        <f>_xlfn.XLOOKUP(TabelaCadastro[[#This Row],[SENHA]],tbl_de_massas[id_massa],tbl_de_massas[fatura_fechada],"--",0,1)</f>
        <v>--</v>
      </c>
      <c r="G173" t="str">
        <f>_xlfn.XLOOKUP(TabelaCadastro[[#This Row],[Nome Completo]],tbl_de_massas[id_massa],tbl_de_massas[fatura_aberta],"--",0,1)</f>
        <v>--</v>
      </c>
      <c r="H173" t="str">
        <f>_xlfn.XLOOKUP(TabelaCadastro[[#This Row],[CARTÃO]],tbl_de_massas[id_massa],tbl_de_massas[dias_atraso],"--",0,1)</f>
        <v>--</v>
      </c>
    </row>
    <row r="174" spans="1:8" x14ac:dyDescent="0.25">
      <c r="A174" s="2" t="s">
        <v>2212</v>
      </c>
      <c r="B174" s="16" t="str">
        <f>_xlfn.XLOOKUP(TabelaCadastro[[#This Row],[ID_MASSA]],tbl_de_massas[id_massa],tbl_de_massas[cpf],"--",0,1)</f>
        <v>49335289779</v>
      </c>
      <c r="C174" t="s">
        <v>2451</v>
      </c>
      <c r="D174" t="str">
        <f>_xlfn.XLOOKUP(TabelaCadastro[[#This Row],[ID_MASSA]],tbl_de_massas[id_massa],tbl_de_massas[nome_completo],"--",0,1)</f>
        <v>Bruno Henrique Alves</v>
      </c>
      <c r="E174" t="str">
        <f>_xlfn.XLOOKUP(TabelaCadastro[[#This Row],[ID_MASSA]],tbl_de_massas[id_massa],tbl_de_massas[cartao_fisico_numero],"--",0,1)</f>
        <v>4576 7460 2571 0727</v>
      </c>
      <c r="F174" t="str">
        <f>_xlfn.XLOOKUP(TabelaCadastro[[#This Row],[SENHA]],tbl_de_massas[id_massa],tbl_de_massas[fatura_fechada],"--",0,1)</f>
        <v>--</v>
      </c>
      <c r="G174" t="str">
        <f>_xlfn.XLOOKUP(TabelaCadastro[[#This Row],[Nome Completo]],tbl_de_massas[id_massa],tbl_de_massas[fatura_aberta],"--",0,1)</f>
        <v>--</v>
      </c>
      <c r="H174" t="str">
        <f>_xlfn.XLOOKUP(TabelaCadastro[[#This Row],[CARTÃO]],tbl_de_massas[id_massa],tbl_de_massas[dias_atraso],"--",0,1)</f>
        <v>--</v>
      </c>
    </row>
    <row r="175" spans="1:8" x14ac:dyDescent="0.25">
      <c r="A175" s="2" t="s">
        <v>2213</v>
      </c>
      <c r="B175" s="16" t="str">
        <f>_xlfn.XLOOKUP(TabelaCadastro[[#This Row],[ID_MASSA]],tbl_de_massas[id_massa],tbl_de_massas[cpf],"--",0,1)</f>
        <v>72314189884</v>
      </c>
      <c r="C175" t="s">
        <v>2452</v>
      </c>
      <c r="D175" t="str">
        <f>_xlfn.XLOOKUP(TabelaCadastro[[#This Row],[ID_MASSA]],tbl_de_massas[id_massa],tbl_de_massas[nome_completo],"--",0,1)</f>
        <v>Noura Al-Saud</v>
      </c>
      <c r="E175" t="str">
        <f>_xlfn.XLOOKUP(TabelaCadastro[[#This Row],[ID_MASSA]],tbl_de_massas[id_massa],tbl_de_massas[cartao_fisico_numero],"--",0,1)</f>
        <v>5442 7460 6181 5967</v>
      </c>
      <c r="F175" t="str">
        <f>_xlfn.XLOOKUP(TabelaCadastro[[#This Row],[SENHA]],tbl_de_massas[id_massa],tbl_de_massas[fatura_fechada],"--",0,1)</f>
        <v>--</v>
      </c>
      <c r="G175" t="str">
        <f>_xlfn.XLOOKUP(TabelaCadastro[[#This Row],[Nome Completo]],tbl_de_massas[id_massa],tbl_de_massas[fatura_aberta],"--",0,1)</f>
        <v>--</v>
      </c>
      <c r="H175" t="str">
        <f>_xlfn.XLOOKUP(TabelaCadastro[[#This Row],[CARTÃO]],tbl_de_massas[id_massa],tbl_de_massas[dias_atraso],"--",0,1)</f>
        <v>--</v>
      </c>
    </row>
    <row r="176" spans="1:8" x14ac:dyDescent="0.25">
      <c r="A176" s="2" t="s">
        <v>2214</v>
      </c>
      <c r="B176" s="16" t="str">
        <f>_xlfn.XLOOKUP(TabelaCadastro[[#This Row],[ID_MASSA]],tbl_de_massas[id_massa],tbl_de_massas[cpf],"--",0,1)</f>
        <v>88652173320</v>
      </c>
      <c r="C176" t="s">
        <v>2453</v>
      </c>
      <c r="D176" t="str">
        <f>_xlfn.XLOOKUP(TabelaCadastro[[#This Row],[ID_MASSA]],tbl_de_massas[id_massa],tbl_de_massas[nome_completo],"--",0,1)</f>
        <v>Hanako Watanabe</v>
      </c>
      <c r="E176" t="str">
        <f>_xlfn.XLOOKUP(TabelaCadastro[[#This Row],[ID_MASSA]],tbl_de_massas[id_massa],tbl_de_massas[cartao_fisico_numero],"--",0,1)</f>
        <v>4576 7460 7004 9583</v>
      </c>
      <c r="F176" t="str">
        <f>_xlfn.XLOOKUP(TabelaCadastro[[#This Row],[SENHA]],tbl_de_massas[id_massa],tbl_de_massas[fatura_fechada],"--",0,1)</f>
        <v>--</v>
      </c>
      <c r="G176" t="str">
        <f>_xlfn.XLOOKUP(TabelaCadastro[[#This Row],[Nome Completo]],tbl_de_massas[id_massa],tbl_de_massas[fatura_aberta],"--",0,1)</f>
        <v>--</v>
      </c>
      <c r="H176" t="str">
        <f>_xlfn.XLOOKUP(TabelaCadastro[[#This Row],[CARTÃO]],tbl_de_massas[id_massa],tbl_de_massas[dias_atraso],"--",0,1)</f>
        <v>--</v>
      </c>
    </row>
    <row r="177" spans="1:8" x14ac:dyDescent="0.25">
      <c r="A177" s="2" t="s">
        <v>2215</v>
      </c>
      <c r="B177" s="16" t="str">
        <f>_xlfn.XLOOKUP(TabelaCadastro[[#This Row],[ID_MASSA]],tbl_de_massas[id_massa],tbl_de_massas[cpf],"--",0,1)</f>
        <v>28177566814</v>
      </c>
      <c r="C177" t="s">
        <v>2454</v>
      </c>
      <c r="D177" t="str">
        <f>_xlfn.XLOOKUP(TabelaCadastro[[#This Row],[ID_MASSA]],tbl_de_massas[id_massa],tbl_de_massas[nome_completo],"--",0,1)</f>
        <v>Mariana Costa Silva</v>
      </c>
      <c r="E177" t="str">
        <f>_xlfn.XLOOKUP(TabelaCadastro[[#This Row],[ID_MASSA]],tbl_de_massas[id_massa],tbl_de_massas[cartao_fisico_numero],"--",0,1)</f>
        <v>3782 155660 6516</v>
      </c>
      <c r="F177" t="str">
        <f>_xlfn.XLOOKUP(TabelaCadastro[[#This Row],[SENHA]],tbl_de_massas[id_massa],tbl_de_massas[fatura_fechada],"--",0,1)</f>
        <v>--</v>
      </c>
      <c r="G177" t="str">
        <f>_xlfn.XLOOKUP(TabelaCadastro[[#This Row],[Nome Completo]],tbl_de_massas[id_massa],tbl_de_massas[fatura_aberta],"--",0,1)</f>
        <v>--</v>
      </c>
      <c r="H177" t="str">
        <f>_xlfn.XLOOKUP(TabelaCadastro[[#This Row],[CARTÃO]],tbl_de_massas[id_massa],tbl_de_massas[dias_atraso],"--",0,1)</f>
        <v>--</v>
      </c>
    </row>
    <row r="178" spans="1:8" x14ac:dyDescent="0.25">
      <c r="A178" s="2" t="s">
        <v>2216</v>
      </c>
      <c r="B178" s="16" t="str">
        <f>_xlfn.XLOOKUP(TabelaCadastro[[#This Row],[ID_MASSA]],tbl_de_massas[id_massa],tbl_de_massas[cpf],"--",0,1)</f>
        <v>51172415331</v>
      </c>
      <c r="C178" t="s">
        <v>2455</v>
      </c>
      <c r="D178" t="str">
        <f>_xlfn.XLOOKUP(TabelaCadastro[[#This Row],[ID_MASSA]],tbl_de_massas[id_massa],tbl_de_massas[nome_completo],"--",0,1)</f>
        <v>Audrey Benoit</v>
      </c>
      <c r="E178" t="str">
        <f>_xlfn.XLOOKUP(TabelaCadastro[[#This Row],[ID_MASSA]],tbl_de_massas[id_massa],tbl_de_massas[cartao_fisico_numero],"--",0,1)</f>
        <v>5442 7460 3460 7138</v>
      </c>
      <c r="F178" t="str">
        <f>_xlfn.XLOOKUP(TabelaCadastro[[#This Row],[SENHA]],tbl_de_massas[id_massa],tbl_de_massas[fatura_fechada],"--",0,1)</f>
        <v>--</v>
      </c>
      <c r="G178" t="str">
        <f>_xlfn.XLOOKUP(TabelaCadastro[[#This Row],[Nome Completo]],tbl_de_massas[id_massa],tbl_de_massas[fatura_aberta],"--",0,1)</f>
        <v>--</v>
      </c>
      <c r="H178" t="str">
        <f>_xlfn.XLOOKUP(TabelaCadastro[[#This Row],[CARTÃO]],tbl_de_massas[id_massa],tbl_de_massas[dias_atraso],"--",0,1)</f>
        <v>--</v>
      </c>
    </row>
    <row r="179" spans="1:8" x14ac:dyDescent="0.25">
      <c r="A179" s="2" t="s">
        <v>2217</v>
      </c>
      <c r="B179" s="16" t="str">
        <f>_xlfn.XLOOKUP(TabelaCadastro[[#This Row],[ID_MASSA]],tbl_de_massas[id_massa],tbl_de_massas[cpf],"--",0,1)</f>
        <v>08813546270</v>
      </c>
      <c r="C179" t="s">
        <v>2456</v>
      </c>
      <c r="D179" t="str">
        <f>_xlfn.XLOOKUP(TabelaCadastro[[#This Row],[ID_MASSA]],tbl_de_massas[id_massa],tbl_de_massas[nome_completo],"--",0,1)</f>
        <v>Gaëlle Joly</v>
      </c>
      <c r="E179" t="str">
        <f>_xlfn.XLOOKUP(TabelaCadastro[[#This Row],[ID_MASSA]],tbl_de_massas[id_massa],tbl_de_massas[cartao_fisico_numero],"--",0,1)</f>
        <v>5373 6360 2204 3292</v>
      </c>
      <c r="F179" t="str">
        <f>_xlfn.XLOOKUP(TabelaCadastro[[#This Row],[SENHA]],tbl_de_massas[id_massa],tbl_de_massas[fatura_fechada],"--",0,1)</f>
        <v>--</v>
      </c>
      <c r="G179" t="str">
        <f>_xlfn.XLOOKUP(TabelaCadastro[[#This Row],[Nome Completo]],tbl_de_massas[id_massa],tbl_de_massas[fatura_aberta],"--",0,1)</f>
        <v>--</v>
      </c>
      <c r="H179" t="str">
        <f>_xlfn.XLOOKUP(TabelaCadastro[[#This Row],[CARTÃO]],tbl_de_massas[id_massa],tbl_de_massas[dias_atraso],"--",0,1)</f>
        <v>--</v>
      </c>
    </row>
    <row r="180" spans="1:8" x14ac:dyDescent="0.25">
      <c r="A180" s="2" t="s">
        <v>2218</v>
      </c>
      <c r="B180" s="16" t="str">
        <f>_xlfn.XLOOKUP(TabelaCadastro[[#This Row],[ID_MASSA]],tbl_de_massas[id_massa],tbl_de_massas[cpf],"--",0,1)</f>
        <v>85764469015</v>
      </c>
      <c r="C180" t="s">
        <v>2457</v>
      </c>
      <c r="D180" t="str">
        <f>_xlfn.XLOOKUP(TabelaCadastro[[#This Row],[ID_MASSA]],tbl_de_massas[id_massa],tbl_de_massas[nome_completo],"--",0,1)</f>
        <v>Hilaire Breton</v>
      </c>
      <c r="E180" t="str">
        <f>_xlfn.XLOOKUP(TabelaCadastro[[#This Row],[ID_MASSA]],tbl_de_massas[id_massa],tbl_de_massas[cartao_fisico_numero],"--",0,1)</f>
        <v>5373 6360 4219 1477</v>
      </c>
      <c r="F180" t="str">
        <f>_xlfn.XLOOKUP(TabelaCadastro[[#This Row],[SENHA]],tbl_de_massas[id_massa],tbl_de_massas[fatura_fechada],"--",0,1)</f>
        <v>--</v>
      </c>
      <c r="G180" t="str">
        <f>_xlfn.XLOOKUP(TabelaCadastro[[#This Row],[Nome Completo]],tbl_de_massas[id_massa],tbl_de_massas[fatura_aberta],"--",0,1)</f>
        <v>--</v>
      </c>
      <c r="H180" t="str">
        <f>_xlfn.XLOOKUP(TabelaCadastro[[#This Row],[CARTÃO]],tbl_de_massas[id_massa],tbl_de_massas[dias_atraso],"--",0,1)</f>
        <v>--</v>
      </c>
    </row>
    <row r="181" spans="1:8" x14ac:dyDescent="0.25">
      <c r="A181" s="2" t="s">
        <v>2219</v>
      </c>
      <c r="B181" s="16" t="str">
        <f>_xlfn.XLOOKUP(TabelaCadastro[[#This Row],[ID_MASSA]],tbl_de_massas[id_massa],tbl_de_massas[cpf],"--",0,1)</f>
        <v>23317643366</v>
      </c>
      <c r="C181" t="s">
        <v>2458</v>
      </c>
      <c r="D181" t="str">
        <f>_xlfn.XLOOKUP(TabelaCadastro[[#This Row],[ID_MASSA]],tbl_de_massas[id_massa],tbl_de_massas[nome_completo],"--",0,1)</f>
        <v>Élzéar Marie</v>
      </c>
      <c r="E181" t="str">
        <f>_xlfn.XLOOKUP(TabelaCadastro[[#This Row],[ID_MASSA]],tbl_de_massas[id_massa],tbl_de_massas[cartao_fisico_numero],"--",0,1)</f>
        <v>5185 4460 3642 5230</v>
      </c>
      <c r="F181" t="str">
        <f>_xlfn.XLOOKUP(TabelaCadastro[[#This Row],[SENHA]],tbl_de_massas[id_massa],tbl_de_massas[fatura_fechada],"--",0,1)</f>
        <v>--</v>
      </c>
      <c r="G181" t="str">
        <f>_xlfn.XLOOKUP(TabelaCadastro[[#This Row],[Nome Completo]],tbl_de_massas[id_massa],tbl_de_massas[fatura_aberta],"--",0,1)</f>
        <v>--</v>
      </c>
      <c r="H181" t="str">
        <f>_xlfn.XLOOKUP(TabelaCadastro[[#This Row],[CARTÃO]],tbl_de_massas[id_massa],tbl_de_massas[dias_atraso],"--",0,1)</f>
        <v>--</v>
      </c>
    </row>
    <row r="182" spans="1:8" x14ac:dyDescent="0.25">
      <c r="A182" s="2" t="s">
        <v>2220</v>
      </c>
      <c r="B182" s="16" t="str">
        <f>_xlfn.XLOOKUP(TabelaCadastro[[#This Row],[ID_MASSA]],tbl_de_massas[id_massa],tbl_de_massas[cpf],"--",0,1)</f>
        <v>42074143630</v>
      </c>
      <c r="C182" t="s">
        <v>2459</v>
      </c>
      <c r="D182" t="str">
        <f>_xlfn.XLOOKUP(TabelaCadastro[[#This Row],[ID_MASSA]],tbl_de_massas[id_massa],tbl_de_massas[nome_completo],"--",0,1)</f>
        <v>Roselin Arnaud</v>
      </c>
      <c r="E182" t="str">
        <f>_xlfn.XLOOKUP(TabelaCadastro[[#This Row],[ID_MASSA]],tbl_de_massas[id_massa],tbl_de_massas[cartao_fisico_numero],"--",0,1)</f>
        <v>5364 2660 9470 1600</v>
      </c>
      <c r="F182" t="str">
        <f>_xlfn.XLOOKUP(TabelaCadastro[[#This Row],[SENHA]],tbl_de_massas[id_massa],tbl_de_massas[fatura_fechada],"--",0,1)</f>
        <v>--</v>
      </c>
      <c r="G182" t="str">
        <f>_xlfn.XLOOKUP(TabelaCadastro[[#This Row],[Nome Completo]],tbl_de_massas[id_massa],tbl_de_massas[fatura_aberta],"--",0,1)</f>
        <v>--</v>
      </c>
      <c r="H182" t="str">
        <f>_xlfn.XLOOKUP(TabelaCadastro[[#This Row],[CARTÃO]],tbl_de_massas[id_massa],tbl_de_massas[dias_atraso],"--",0,1)</f>
        <v>--</v>
      </c>
    </row>
    <row r="183" spans="1:8" x14ac:dyDescent="0.25">
      <c r="A183" s="2" t="s">
        <v>2221</v>
      </c>
      <c r="B183" s="16" t="str">
        <f>_xlfn.XLOOKUP(TabelaCadastro[[#This Row],[ID_MASSA]],tbl_de_massas[id_massa],tbl_de_massas[cpf],"--",0,1)</f>
        <v>82676153420</v>
      </c>
      <c r="C183" t="s">
        <v>2460</v>
      </c>
      <c r="D183" t="str">
        <f>_xlfn.XLOOKUP(TabelaCadastro[[#This Row],[ID_MASSA]],tbl_de_massas[id_massa],tbl_de_massas[nome_completo],"--",0,1)</f>
        <v>Firmin Renard</v>
      </c>
      <c r="E183" t="str">
        <f>_xlfn.XLOOKUP(TabelaCadastro[[#This Row],[ID_MASSA]],tbl_de_massas[id_massa],tbl_de_massas[cartao_fisico_numero],"--",0,1)</f>
        <v>5185 4460 3568 4779</v>
      </c>
      <c r="F183" t="str">
        <f>_xlfn.XLOOKUP(TabelaCadastro[[#This Row],[SENHA]],tbl_de_massas[id_massa],tbl_de_massas[fatura_fechada],"--",0,1)</f>
        <v>--</v>
      </c>
      <c r="G183" t="str">
        <f>_xlfn.XLOOKUP(TabelaCadastro[[#This Row],[Nome Completo]],tbl_de_massas[id_massa],tbl_de_massas[fatura_aberta],"--",0,1)</f>
        <v>--</v>
      </c>
      <c r="H183" t="str">
        <f>_xlfn.XLOOKUP(TabelaCadastro[[#This Row],[CARTÃO]],tbl_de_massas[id_massa],tbl_de_massas[dias_atraso],"--",0,1)</f>
        <v>--</v>
      </c>
    </row>
    <row r="184" spans="1:8" x14ac:dyDescent="0.25">
      <c r="A184" s="2" t="s">
        <v>2222</v>
      </c>
      <c r="B184" s="16" t="str">
        <f>_xlfn.XLOOKUP(TabelaCadastro[[#This Row],[ID_MASSA]],tbl_de_massas[id_massa],tbl_de_massas[cpf],"--",0,1)</f>
        <v>32749568803</v>
      </c>
      <c r="C184" t="s">
        <v>2461</v>
      </c>
      <c r="D184" t="str">
        <f>_xlfn.XLOOKUP(TabelaCadastro[[#This Row],[ID_MASSA]],tbl_de_massas[id_massa],tbl_de_massas[nome_completo],"--",0,1)</f>
        <v>Odile Bernard</v>
      </c>
      <c r="E184" t="str">
        <f>_xlfn.XLOOKUP(TabelaCadastro[[#This Row],[ID_MASSA]],tbl_de_massas[id_massa],tbl_de_massas[cartao_fisico_numero],"--",0,1)</f>
        <v>5373 6360 4888 5791</v>
      </c>
      <c r="F184" t="str">
        <f>_xlfn.XLOOKUP(TabelaCadastro[[#This Row],[SENHA]],tbl_de_massas[id_massa],tbl_de_massas[fatura_fechada],"--",0,1)</f>
        <v>--</v>
      </c>
      <c r="G184" t="str">
        <f>_xlfn.XLOOKUP(TabelaCadastro[[#This Row],[Nome Completo]],tbl_de_massas[id_massa],tbl_de_massas[fatura_aberta],"--",0,1)</f>
        <v>--</v>
      </c>
      <c r="H184" t="str">
        <f>_xlfn.XLOOKUP(TabelaCadastro[[#This Row],[CARTÃO]],tbl_de_massas[id_massa],tbl_de_massas[dias_atraso],"--",0,1)</f>
        <v>--</v>
      </c>
    </row>
    <row r="185" spans="1:8" x14ac:dyDescent="0.25">
      <c r="A185" s="2" t="s">
        <v>2223</v>
      </c>
      <c r="B185" s="16" t="str">
        <f>_xlfn.XLOOKUP(TabelaCadastro[[#This Row],[ID_MASSA]],tbl_de_massas[id_massa],tbl_de_massas[cpf],"--",0,1)</f>
        <v>24369438004</v>
      </c>
      <c r="C185" t="s">
        <v>2462</v>
      </c>
      <c r="D185" t="str">
        <f>_xlfn.XLOOKUP(TabelaCadastro[[#This Row],[ID_MASSA]],tbl_de_massas[id_massa],tbl_de_massas[nome_completo],"--",0,1)</f>
        <v>Maximilian Mueller</v>
      </c>
      <c r="E185" t="str">
        <f>_xlfn.XLOOKUP(TabelaCadastro[[#This Row],[ID_MASSA]],tbl_de_massas[id_massa],tbl_de_massas[cartao_fisico_numero],"--",0,1)</f>
        <v>6062 8200 7915 2689</v>
      </c>
      <c r="F185" t="str">
        <f>_xlfn.XLOOKUP(TabelaCadastro[[#This Row],[SENHA]],tbl_de_massas[id_massa],tbl_de_massas[fatura_fechada],"--",0,1)</f>
        <v>--</v>
      </c>
      <c r="G185" t="str">
        <f>_xlfn.XLOOKUP(TabelaCadastro[[#This Row],[Nome Completo]],tbl_de_massas[id_massa],tbl_de_massas[fatura_aberta],"--",0,1)</f>
        <v>--</v>
      </c>
      <c r="H185" t="str">
        <f>_xlfn.XLOOKUP(TabelaCadastro[[#This Row],[CARTÃO]],tbl_de_massas[id_massa],tbl_de_massas[dias_atraso],"--",0,1)</f>
        <v>--</v>
      </c>
    </row>
    <row r="186" spans="1:8" x14ac:dyDescent="0.25">
      <c r="A186" s="2" t="s">
        <v>2224</v>
      </c>
      <c r="B186" s="16" t="str">
        <f>_xlfn.XLOOKUP(TabelaCadastro[[#This Row],[ID_MASSA]],tbl_de_massas[id_massa],tbl_de_massas[cpf],"--",0,1)</f>
        <v>36803189287</v>
      </c>
      <c r="C186" t="s">
        <v>2463</v>
      </c>
      <c r="D186" t="str">
        <f>_xlfn.XLOOKUP(TabelaCadastro[[#This Row],[ID_MASSA]],tbl_de_massas[id_massa],tbl_de_massas[nome_completo],"--",0,1)</f>
        <v>Chloe Dubois</v>
      </c>
      <c r="E186" t="str">
        <f>_xlfn.XLOOKUP(TabelaCadastro[[#This Row],[ID_MASSA]],tbl_de_massas[id_massa],tbl_de_massas[cartao_fisico_numero],"--",0,1)</f>
        <v>5442 7460 8324 5117</v>
      </c>
      <c r="F186" t="str">
        <f>_xlfn.XLOOKUP(TabelaCadastro[[#This Row],[SENHA]],tbl_de_massas[id_massa],tbl_de_massas[fatura_fechada],"--",0,1)</f>
        <v>--</v>
      </c>
      <c r="G186" t="str">
        <f>_xlfn.XLOOKUP(TabelaCadastro[[#This Row],[Nome Completo]],tbl_de_massas[id_massa],tbl_de_massas[fatura_aberta],"--",0,1)</f>
        <v>--</v>
      </c>
      <c r="H186" t="str">
        <f>_xlfn.XLOOKUP(TabelaCadastro[[#This Row],[CARTÃO]],tbl_de_massas[id_massa],tbl_de_massas[dias_atraso],"--",0,1)</f>
        <v>--</v>
      </c>
    </row>
    <row r="187" spans="1:8" x14ac:dyDescent="0.25">
      <c r="A187" s="2" t="s">
        <v>2225</v>
      </c>
      <c r="B187" s="16" t="str">
        <f>_xlfn.XLOOKUP(TabelaCadastro[[#This Row],[ID_MASSA]],tbl_de_massas[id_massa],tbl_de_massas[cpf],"--",0,1)</f>
        <v>70696409003</v>
      </c>
      <c r="C187" t="s">
        <v>2464</v>
      </c>
      <c r="D187" t="str">
        <f>_xlfn.XLOOKUP(TabelaCadastro[[#This Row],[ID_MASSA]],tbl_de_massas[id_massa],tbl_de_massas[nome_completo],"--",0,1)</f>
        <v>Alexander James Smith</v>
      </c>
      <c r="E187" t="str">
        <f>_xlfn.XLOOKUP(TabelaCadastro[[#This Row],[ID_MASSA]],tbl_de_massas[id_massa],tbl_de_massas[cartao_fisico_numero],"--",0,1)</f>
        <v>3782 480351 3483</v>
      </c>
      <c r="F187" t="str">
        <f>_xlfn.XLOOKUP(TabelaCadastro[[#This Row],[SENHA]],tbl_de_massas[id_massa],tbl_de_massas[fatura_fechada],"--",0,1)</f>
        <v>--</v>
      </c>
      <c r="G187" t="str">
        <f>_xlfn.XLOOKUP(TabelaCadastro[[#This Row],[Nome Completo]],tbl_de_massas[id_massa],tbl_de_massas[fatura_aberta],"--",0,1)</f>
        <v>--</v>
      </c>
      <c r="H187" t="str">
        <f>_xlfn.XLOOKUP(TabelaCadastro[[#This Row],[CARTÃO]],tbl_de_massas[id_massa],tbl_de_massas[dias_atraso],"--",0,1)</f>
        <v>--</v>
      </c>
    </row>
    <row r="188" spans="1:8" x14ac:dyDescent="0.25">
      <c r="A188" s="2" t="s">
        <v>2226</v>
      </c>
      <c r="B188" s="16" t="str">
        <f>_xlfn.XLOOKUP(TabelaCadastro[[#This Row],[ID_MASSA]],tbl_de_massas[id_massa],tbl_de_massas[cpf],"--",0,1)</f>
        <v>07798679553</v>
      </c>
      <c r="C188" t="s">
        <v>2465</v>
      </c>
      <c r="D188" t="str">
        <f>_xlfn.XLOOKUP(TabelaCadastro[[#This Row],[ID_MASSA]],tbl_de_massas[id_massa],tbl_de_massas[nome_completo],"--",0,1)</f>
        <v>Camila Lopez</v>
      </c>
      <c r="E188" t="str">
        <f>_xlfn.XLOOKUP(TabelaCadastro[[#This Row],[ID_MASSA]],tbl_de_massas[id_massa],tbl_de_massas[cartao_fisico_numero],"--",0,1)</f>
        <v>6062 8200 4799 3000</v>
      </c>
      <c r="F188" t="str">
        <f>_xlfn.XLOOKUP(TabelaCadastro[[#This Row],[SENHA]],tbl_de_massas[id_massa],tbl_de_massas[fatura_fechada],"--",0,1)</f>
        <v>--</v>
      </c>
      <c r="G188" t="str">
        <f>_xlfn.XLOOKUP(TabelaCadastro[[#This Row],[Nome Completo]],tbl_de_massas[id_massa],tbl_de_massas[fatura_aberta],"--",0,1)</f>
        <v>--</v>
      </c>
      <c r="H188" t="str">
        <f>_xlfn.XLOOKUP(TabelaCadastro[[#This Row],[CARTÃO]],tbl_de_massas[id_massa],tbl_de_massas[dias_atraso],"--",0,1)</f>
        <v>--</v>
      </c>
    </row>
    <row r="189" spans="1:8" x14ac:dyDescent="0.25">
      <c r="A189" s="2" t="s">
        <v>2227</v>
      </c>
      <c r="B189" s="16" t="str">
        <f>_xlfn.XLOOKUP(TabelaCadastro[[#This Row],[ID_MASSA]],tbl_de_massas[id_massa],tbl_de_massas[cpf],"--",0,1)</f>
        <v>80665429410</v>
      </c>
      <c r="C189" t="s">
        <v>2466</v>
      </c>
      <c r="D189" t="str">
        <f>_xlfn.XLOOKUP(TabelaCadastro[[#This Row],[ID_MASSA]],tbl_de_massas[id_massa],tbl_de_massas[nome_completo],"--",0,1)</f>
        <v>Ren Ito</v>
      </c>
      <c r="E189" t="str">
        <f>_xlfn.XLOOKUP(TabelaCadastro[[#This Row],[ID_MASSA]],tbl_de_massas[id_massa],tbl_de_massas[cartao_fisico_numero],"--",0,1)</f>
        <v>3782 910865 8932</v>
      </c>
      <c r="F189" t="str">
        <f>_xlfn.XLOOKUP(TabelaCadastro[[#This Row],[SENHA]],tbl_de_massas[id_massa],tbl_de_massas[fatura_fechada],"--",0,1)</f>
        <v>--</v>
      </c>
      <c r="G189" t="str">
        <f>_xlfn.XLOOKUP(TabelaCadastro[[#This Row],[Nome Completo]],tbl_de_massas[id_massa],tbl_de_massas[fatura_aberta],"--",0,1)</f>
        <v>--</v>
      </c>
      <c r="H189" t="str">
        <f>_xlfn.XLOOKUP(TabelaCadastro[[#This Row],[CARTÃO]],tbl_de_massas[id_massa],tbl_de_massas[dias_atraso],"--",0,1)</f>
        <v>--</v>
      </c>
    </row>
    <row r="190" spans="1:8" x14ac:dyDescent="0.25">
      <c r="A190" s="2" t="s">
        <v>2228</v>
      </c>
      <c r="B190" s="16" t="str">
        <f>_xlfn.XLOOKUP(TabelaCadastro[[#This Row],[ID_MASSA]],tbl_de_massas[id_massa],tbl_de_massas[cpf],"--",0,1)</f>
        <v>09636364990</v>
      </c>
      <c r="C190" t="s">
        <v>2467</v>
      </c>
      <c r="D190" t="str">
        <f>_xlfn.XLOOKUP(TabelaCadastro[[#This Row],[ID_MASSA]],tbl_de_massas[id_massa],tbl_de_massas[nome_completo],"--",0,1)</f>
        <v>Lei Chen</v>
      </c>
      <c r="E190" t="str">
        <f>_xlfn.XLOOKUP(TabelaCadastro[[#This Row],[ID_MASSA]],tbl_de_massas[id_massa],tbl_de_massas[cartao_fisico_numero],"--",0,1)</f>
        <v>3782 153566 5282</v>
      </c>
      <c r="F190" t="str">
        <f>_xlfn.XLOOKUP(TabelaCadastro[[#This Row],[SENHA]],tbl_de_massas[id_massa],tbl_de_massas[fatura_fechada],"--",0,1)</f>
        <v>--</v>
      </c>
      <c r="G190" t="str">
        <f>_xlfn.XLOOKUP(TabelaCadastro[[#This Row],[Nome Completo]],tbl_de_massas[id_massa],tbl_de_massas[fatura_aberta],"--",0,1)</f>
        <v>--</v>
      </c>
      <c r="H190" t="str">
        <f>_xlfn.XLOOKUP(TabelaCadastro[[#This Row],[CARTÃO]],tbl_de_massas[id_massa],tbl_de_massas[dias_atraso],"--",0,1)</f>
        <v>--</v>
      </c>
    </row>
    <row r="191" spans="1:8" x14ac:dyDescent="0.25">
      <c r="A191" s="2" t="s">
        <v>2229</v>
      </c>
      <c r="B191" s="16" t="str">
        <f>_xlfn.XLOOKUP(TabelaCadastro[[#This Row],[ID_MASSA]],tbl_de_massas[id_massa],tbl_de_massas[cpf],"--",0,1)</f>
        <v>50058578501</v>
      </c>
      <c r="C191" t="s">
        <v>2468</v>
      </c>
      <c r="D191" t="str">
        <f>_xlfn.XLOOKUP(TabelaCadastro[[#This Row],[ID_MASSA]],tbl_de_massas[id_massa],tbl_de_massas[nome_completo],"--",0,1)</f>
        <v>Minjun Kim</v>
      </c>
      <c r="E191" t="str">
        <f>_xlfn.XLOOKUP(TabelaCadastro[[#This Row],[ID_MASSA]],tbl_de_massas[id_massa],tbl_de_massas[cartao_fisico_numero],"--",0,1)</f>
        <v>6062 8200 3229 1653</v>
      </c>
      <c r="F191" t="str">
        <f>_xlfn.XLOOKUP(TabelaCadastro[[#This Row],[SENHA]],tbl_de_massas[id_massa],tbl_de_massas[fatura_fechada],"--",0,1)</f>
        <v>--</v>
      </c>
      <c r="G191" t="str">
        <f>_xlfn.XLOOKUP(TabelaCadastro[[#This Row],[Nome Completo]],tbl_de_massas[id_massa],tbl_de_massas[fatura_aberta],"--",0,1)</f>
        <v>--</v>
      </c>
      <c r="H191" t="str">
        <f>_xlfn.XLOOKUP(TabelaCadastro[[#This Row],[CARTÃO]],tbl_de_massas[id_massa],tbl_de_massas[dias_atraso],"--",0,1)</f>
        <v>--</v>
      </c>
    </row>
    <row r="192" spans="1:8" x14ac:dyDescent="0.25">
      <c r="A192" s="2" t="s">
        <v>2230</v>
      </c>
      <c r="B192" s="16" t="str">
        <f>_xlfn.XLOOKUP(TabelaCadastro[[#This Row],[ID_MASSA]],tbl_de_massas[id_massa],tbl_de_massas[cpf],"--",0,1)</f>
        <v>67010691002</v>
      </c>
      <c r="C192" t="s">
        <v>2469</v>
      </c>
      <c r="D192" t="str">
        <f>_xlfn.XLOOKUP(TabelaCadastro[[#This Row],[ID_MASSA]],tbl_de_massas[id_massa],tbl_de_massas[nome_completo],"--",0,1)</f>
        <v>Jean Dupont</v>
      </c>
      <c r="E192" t="str">
        <f>_xlfn.XLOOKUP(TabelaCadastro[[#This Row],[ID_MASSA]],tbl_de_massas[id_massa],tbl_de_massas[cartao_fisico_numero],"--",0,1)</f>
        <v>6505 0666 7155 5022</v>
      </c>
      <c r="F192" t="str">
        <f>_xlfn.XLOOKUP(TabelaCadastro[[#This Row],[SENHA]],tbl_de_massas[id_massa],tbl_de_massas[fatura_fechada],"--",0,1)</f>
        <v>--</v>
      </c>
      <c r="G192" t="str">
        <f>_xlfn.XLOOKUP(TabelaCadastro[[#This Row],[Nome Completo]],tbl_de_massas[id_massa],tbl_de_massas[fatura_aberta],"--",0,1)</f>
        <v>--</v>
      </c>
      <c r="H192" t="str">
        <f>_xlfn.XLOOKUP(TabelaCadastro[[#This Row],[CARTÃO]],tbl_de_massas[id_massa],tbl_de_massas[dias_atraso],"--",0,1)</f>
        <v>--</v>
      </c>
    </row>
    <row r="193" spans="1:8" x14ac:dyDescent="0.25">
      <c r="A193" s="2" t="s">
        <v>2231</v>
      </c>
      <c r="B193" s="16" t="str">
        <f>_xlfn.XLOOKUP(TabelaCadastro[[#This Row],[ID_MASSA]],tbl_de_massas[id_massa],tbl_de_massas[cpf],"--",0,1)</f>
        <v>47591910388</v>
      </c>
      <c r="C193" t="s">
        <v>2470</v>
      </c>
      <c r="D193" t="str">
        <f>_xlfn.XLOOKUP(TabelaCadastro[[#This Row],[ID_MASSA]],tbl_de_massas[id_massa],tbl_de_massas[nome_completo],"--",0,1)</f>
        <v>Michael David Williams</v>
      </c>
      <c r="E193" t="str">
        <f>_xlfn.XLOOKUP(TabelaCadastro[[#This Row],[ID_MASSA]],tbl_de_massas[id_massa],tbl_de_massas[cartao_fisico_numero],"--",0,1)</f>
        <v>5442 7460 3483 8572</v>
      </c>
      <c r="F193" t="str">
        <f>_xlfn.XLOOKUP(TabelaCadastro[[#This Row],[SENHA]],tbl_de_massas[id_massa],tbl_de_massas[fatura_fechada],"--",0,1)</f>
        <v>--</v>
      </c>
      <c r="G193" t="str">
        <f>_xlfn.XLOOKUP(TabelaCadastro[[#This Row],[Nome Completo]],tbl_de_massas[id_massa],tbl_de_massas[fatura_aberta],"--",0,1)</f>
        <v>--</v>
      </c>
      <c r="H193" t="str">
        <f>_xlfn.XLOOKUP(TabelaCadastro[[#This Row],[CARTÃO]],tbl_de_massas[id_massa],tbl_de_massas[dias_atraso],"--",0,1)</f>
        <v>--</v>
      </c>
    </row>
    <row r="194" spans="1:8" x14ac:dyDescent="0.25">
      <c r="A194" s="2" t="s">
        <v>2232</v>
      </c>
      <c r="B194" s="16" t="str">
        <f>_xlfn.XLOOKUP(TabelaCadastro[[#This Row],[ID_MASSA]],tbl_de_massas[id_massa],tbl_de_massas[cpf],"--",0,1)</f>
        <v>65461467385</v>
      </c>
      <c r="C194" t="s">
        <v>2471</v>
      </c>
      <c r="D194" t="str">
        <f>_xlfn.XLOOKUP(TabelaCadastro[[#This Row],[ID_MASSA]],tbl_de_massas[id_massa],tbl_de_massas[nome_completo],"--",0,1)</f>
        <v>Daniel Dupuis</v>
      </c>
      <c r="E194" t="str">
        <f>_xlfn.XLOOKUP(TabelaCadastro[[#This Row],[ID_MASSA]],tbl_de_massas[id_massa],tbl_de_massas[cartao_fisico_numero],"--",0,1)</f>
        <v>5364 2660 2219 1882</v>
      </c>
      <c r="F194" t="str">
        <f>_xlfn.XLOOKUP(TabelaCadastro[[#This Row],[SENHA]],tbl_de_massas[id_massa],tbl_de_massas[fatura_fechada],"--",0,1)</f>
        <v>--</v>
      </c>
      <c r="G194" t="str">
        <f>_xlfn.XLOOKUP(TabelaCadastro[[#This Row],[Nome Completo]],tbl_de_massas[id_massa],tbl_de_massas[fatura_aberta],"--",0,1)</f>
        <v>--</v>
      </c>
      <c r="H194" t="str">
        <f>_xlfn.XLOOKUP(TabelaCadastro[[#This Row],[CARTÃO]],tbl_de_massas[id_massa],tbl_de_massas[dias_atraso],"--",0,1)</f>
        <v>--</v>
      </c>
    </row>
    <row r="195" spans="1:8" x14ac:dyDescent="0.25">
      <c r="A195" s="2" t="s">
        <v>2233</v>
      </c>
      <c r="B195" s="16" t="str">
        <f>_xlfn.XLOOKUP(TabelaCadastro[[#This Row],[ID_MASSA]],tbl_de_massas[id_massa],tbl_de_massas[cpf],"--",0,1)</f>
        <v>37877781016</v>
      </c>
      <c r="C195" t="s">
        <v>2472</v>
      </c>
      <c r="D195" t="str">
        <f>_xlfn.XLOOKUP(TabelaCadastro[[#This Row],[ID_MASSA]],tbl_de_massas[id_massa],tbl_de_massas[nome_completo],"--",0,1)</f>
        <v>Helio Reis</v>
      </c>
      <c r="E195" t="str">
        <f>_xlfn.XLOOKUP(TabelaCadastro[[#This Row],[ID_MASSA]],tbl_de_massas[id_massa],tbl_de_massas[cartao_fisico_numero],"--",0,1)</f>
        <v>5442 7460 0099 4593</v>
      </c>
      <c r="F195" t="str">
        <f>_xlfn.XLOOKUP(TabelaCadastro[[#This Row],[SENHA]],tbl_de_massas[id_massa],tbl_de_massas[fatura_fechada],"--",0,1)</f>
        <v>--</v>
      </c>
      <c r="G195" t="str">
        <f>_xlfn.XLOOKUP(TabelaCadastro[[#This Row],[Nome Completo]],tbl_de_massas[id_massa],tbl_de_massas[fatura_aberta],"--",0,1)</f>
        <v>--</v>
      </c>
      <c r="H195" t="str">
        <f>_xlfn.XLOOKUP(TabelaCadastro[[#This Row],[CARTÃO]],tbl_de_massas[id_massa],tbl_de_massas[dias_atraso],"--",0,1)</f>
        <v>--</v>
      </c>
    </row>
    <row r="196" spans="1:8" x14ac:dyDescent="0.25">
      <c r="A196" s="2" t="s">
        <v>2234</v>
      </c>
      <c r="B196" s="16" t="str">
        <f>_xlfn.XLOOKUP(TabelaCadastro[[#This Row],[ID_MASSA]],tbl_de_massas[id_massa],tbl_de_massas[cpf],"--",0,1)</f>
        <v>40207277168</v>
      </c>
      <c r="C196" t="s">
        <v>2473</v>
      </c>
      <c r="D196" t="str">
        <f>_xlfn.XLOOKUP(TabelaCadastro[[#This Row],[ID_MASSA]],tbl_de_massas[id_massa],tbl_de_massas[nome_completo],"--",0,1)</f>
        <v>Mercia Oliveira</v>
      </c>
      <c r="E196" t="str">
        <f>_xlfn.XLOOKUP(TabelaCadastro[[#This Row],[ID_MASSA]],tbl_de_massas[id_massa],tbl_de_massas[cartao_fisico_numero],"--",0,1)</f>
        <v>5185 4460 6676 7873</v>
      </c>
      <c r="F196" t="str">
        <f>_xlfn.XLOOKUP(TabelaCadastro[[#This Row],[SENHA]],tbl_de_massas[id_massa],tbl_de_massas[fatura_fechada],"--",0,1)</f>
        <v>--</v>
      </c>
      <c r="G196" t="str">
        <f>_xlfn.XLOOKUP(TabelaCadastro[[#This Row],[Nome Completo]],tbl_de_massas[id_massa],tbl_de_massas[fatura_aberta],"--",0,1)</f>
        <v>--</v>
      </c>
      <c r="H196" t="str">
        <f>_xlfn.XLOOKUP(TabelaCadastro[[#This Row],[CARTÃO]],tbl_de_massas[id_massa],tbl_de_massas[dias_atraso],"--",0,1)</f>
        <v>--</v>
      </c>
    </row>
    <row r="197" spans="1:8" x14ac:dyDescent="0.25">
      <c r="A197" s="2" t="s">
        <v>2235</v>
      </c>
      <c r="B197" s="16" t="str">
        <f>_xlfn.XLOOKUP(TabelaCadastro[[#This Row],[ID_MASSA]],tbl_de_massas[id_massa],tbl_de_massas[cpf],"--",0,1)</f>
        <v>09657598818</v>
      </c>
      <c r="C197" t="s">
        <v>2474</v>
      </c>
      <c r="D197" t="str">
        <f>_xlfn.XLOOKUP(TabelaCadastro[[#This Row],[ID_MASSA]],tbl_de_massas[id_massa],tbl_de_massas[nome_completo],"--",0,1)</f>
        <v>Enzo Gabriel Santos</v>
      </c>
      <c r="E197" t="str">
        <f>_xlfn.XLOOKUP(TabelaCadastro[[#This Row],[ID_MASSA]],tbl_de_massas[id_massa],tbl_de_massas[cartao_fisico_numero],"--",0,1)</f>
        <v>5185 4460 9536 7737</v>
      </c>
      <c r="F197" t="str">
        <f>_xlfn.XLOOKUP(TabelaCadastro[[#This Row],[SENHA]],tbl_de_massas[id_massa],tbl_de_massas[fatura_fechada],"--",0,1)</f>
        <v>--</v>
      </c>
      <c r="G197" t="str">
        <f>_xlfn.XLOOKUP(TabelaCadastro[[#This Row],[Nome Completo]],tbl_de_massas[id_massa],tbl_de_massas[fatura_aberta],"--",0,1)</f>
        <v>--</v>
      </c>
      <c r="H197" t="str">
        <f>_xlfn.XLOOKUP(TabelaCadastro[[#This Row],[CARTÃO]],tbl_de_massas[id_massa],tbl_de_massas[dias_atraso],"--",0,1)</f>
        <v>--</v>
      </c>
    </row>
    <row r="198" spans="1:8" x14ac:dyDescent="0.25">
      <c r="A198" s="2" t="s">
        <v>2236</v>
      </c>
      <c r="B198" s="16" t="str">
        <f>_xlfn.XLOOKUP(TabelaCadastro[[#This Row],[ID_MASSA]],tbl_de_massas[id_massa],tbl_de_massas[cpf],"--",0,1)</f>
        <v>41356720862</v>
      </c>
      <c r="C198" t="s">
        <v>2475</v>
      </c>
      <c r="D198" t="str">
        <f>_xlfn.XLOOKUP(TabelaCadastro[[#This Row],[ID_MASSA]],tbl_de_massas[id_massa],tbl_de_massas[nome_completo],"--",0,1)</f>
        <v>Eduarda Melo</v>
      </c>
      <c r="E198" t="str">
        <f>_xlfn.XLOOKUP(TabelaCadastro[[#This Row],[ID_MASSA]],tbl_de_massas[id_massa],tbl_de_massas[cartao_fisico_numero],"--",0,1)</f>
        <v>5373 6360 1346 3202</v>
      </c>
      <c r="F198" t="str">
        <f>_xlfn.XLOOKUP(TabelaCadastro[[#This Row],[SENHA]],tbl_de_massas[id_massa],tbl_de_massas[fatura_fechada],"--",0,1)</f>
        <v>--</v>
      </c>
      <c r="G198" t="str">
        <f>_xlfn.XLOOKUP(TabelaCadastro[[#This Row],[Nome Completo]],tbl_de_massas[id_massa],tbl_de_massas[fatura_aberta],"--",0,1)</f>
        <v>--</v>
      </c>
      <c r="H198" t="str">
        <f>_xlfn.XLOOKUP(TabelaCadastro[[#This Row],[CARTÃO]],tbl_de_massas[id_massa],tbl_de_massas[dias_atraso],"--",0,1)</f>
        <v>--</v>
      </c>
    </row>
    <row r="199" spans="1:8" x14ac:dyDescent="0.25">
      <c r="A199" s="2" t="s">
        <v>2237</v>
      </c>
      <c r="B199" s="16" t="str">
        <f>_xlfn.XLOOKUP(TabelaCadastro[[#This Row],[ID_MASSA]],tbl_de_massas[id_massa],tbl_de_massas[cpf],"--",0,1)</f>
        <v>23201979902</v>
      </c>
      <c r="C199" t="s">
        <v>2476</v>
      </c>
      <c r="D199" t="str">
        <f>_xlfn.XLOOKUP(TabelaCadastro[[#This Row],[ID_MASSA]],tbl_de_massas[id_massa],tbl_de_massas[nome_completo],"--",0,1)</f>
        <v>Vitor Albuquerque</v>
      </c>
      <c r="E199" t="str">
        <f>_xlfn.XLOOKUP(TabelaCadastro[[#This Row],[ID_MASSA]],tbl_de_massas[id_massa],tbl_de_massas[cartao_fisico_numero],"--",0,1)</f>
        <v>5442 7460 2829 3788</v>
      </c>
      <c r="F199" t="str">
        <f>_xlfn.XLOOKUP(TabelaCadastro[[#This Row],[SENHA]],tbl_de_massas[id_massa],tbl_de_massas[fatura_fechada],"--",0,1)</f>
        <v>--</v>
      </c>
      <c r="G199" t="str">
        <f>_xlfn.XLOOKUP(TabelaCadastro[[#This Row],[Nome Completo]],tbl_de_massas[id_massa],tbl_de_massas[fatura_aberta],"--",0,1)</f>
        <v>--</v>
      </c>
      <c r="H199" t="str">
        <f>_xlfn.XLOOKUP(TabelaCadastro[[#This Row],[CARTÃO]],tbl_de_massas[id_massa],tbl_de_massas[dias_atraso],"--",0,1)</f>
        <v>--</v>
      </c>
    </row>
    <row r="200" spans="1:8" x14ac:dyDescent="0.25">
      <c r="A200" s="2" t="s">
        <v>2238</v>
      </c>
      <c r="B200" s="16" t="str">
        <f>_xlfn.XLOOKUP(TabelaCadastro[[#This Row],[ID_MASSA]],tbl_de_massas[id_massa],tbl_de_massas[cpf],"--",0,1)</f>
        <v>42755630345</v>
      </c>
      <c r="C200" t="s">
        <v>2477</v>
      </c>
      <c r="D200" t="str">
        <f>_xlfn.XLOOKUP(TabelaCadastro[[#This Row],[ID_MASSA]],tbl_de_massas[id_massa],tbl_de_massas[nome_completo],"--",0,1)</f>
        <v>Isis Silva</v>
      </c>
      <c r="E200" t="str">
        <f>_xlfn.XLOOKUP(TabelaCadastro[[#This Row],[ID_MASSA]],tbl_de_massas[id_massa],tbl_de_massas[cartao_fisico_numero],"--",0,1)</f>
        <v>5185 4460 0402 8636</v>
      </c>
      <c r="F200" t="str">
        <f>_xlfn.XLOOKUP(TabelaCadastro[[#This Row],[SENHA]],tbl_de_massas[id_massa],tbl_de_massas[fatura_fechada],"--",0,1)</f>
        <v>--</v>
      </c>
      <c r="G200" t="str">
        <f>_xlfn.XLOOKUP(TabelaCadastro[[#This Row],[Nome Completo]],tbl_de_massas[id_massa],tbl_de_massas[fatura_aberta],"--",0,1)</f>
        <v>--</v>
      </c>
      <c r="H200" t="str">
        <f>_xlfn.XLOOKUP(TabelaCadastro[[#This Row],[CARTÃO]],tbl_de_massas[id_massa],tbl_de_massas[dias_atraso],"--",0,1)</f>
        <v>--</v>
      </c>
    </row>
    <row r="201" spans="1:8" x14ac:dyDescent="0.25">
      <c r="A201" s="2" t="s">
        <v>2239</v>
      </c>
      <c r="B201" s="16" t="str">
        <f>_xlfn.XLOOKUP(TabelaCadastro[[#This Row],[ID_MASSA]],tbl_de_massas[id_massa],tbl_de_massas[cpf],"--",0,1)</f>
        <v>54879306193</v>
      </c>
      <c r="C201" t="s">
        <v>2478</v>
      </c>
      <c r="D201" t="str">
        <f>_xlfn.XLOOKUP(TabelaCadastro[[#This Row],[ID_MASSA]],tbl_de_massas[id_massa],tbl_de_massas[nome_completo],"--",0,1)</f>
        <v>Fabricia Carvalho</v>
      </c>
      <c r="E201" t="str">
        <f>_xlfn.XLOOKUP(TabelaCadastro[[#This Row],[ID_MASSA]],tbl_de_massas[id_massa],tbl_de_massas[cartao_fisico_numero],"--",0,1)</f>
        <v>5442 7460 7728 6659</v>
      </c>
      <c r="F201" t="str">
        <f>_xlfn.XLOOKUP(TabelaCadastro[[#This Row],[SENHA]],tbl_de_massas[id_massa],tbl_de_massas[fatura_fechada],"--",0,1)</f>
        <v>--</v>
      </c>
      <c r="G201" t="str">
        <f>_xlfn.XLOOKUP(TabelaCadastro[[#This Row],[Nome Completo]],tbl_de_massas[id_massa],tbl_de_massas[fatura_aberta],"--",0,1)</f>
        <v>--</v>
      </c>
      <c r="H201" t="str">
        <f>_xlfn.XLOOKUP(TabelaCadastro[[#This Row],[CARTÃO]],tbl_de_massas[id_massa],tbl_de_massas[dias_atraso],"--",0,1)</f>
        <v>--</v>
      </c>
    </row>
    <row r="202" spans="1:8" x14ac:dyDescent="0.25">
      <c r="A202" s="2" t="s">
        <v>2240</v>
      </c>
      <c r="B202" s="16" t="str">
        <f>_xlfn.XLOOKUP(TabelaCadastro[[#This Row],[ID_MASSA]],tbl_de_massas[id_massa],tbl_de_massas[cpf],"--",0,1)</f>
        <v>81122222742</v>
      </c>
      <c r="C202" t="s">
        <v>2479</v>
      </c>
      <c r="D202" t="str">
        <f>_xlfn.XLOOKUP(TabelaCadastro[[#This Row],[ID_MASSA]],tbl_de_massas[id_massa],tbl_de_massas[nome_completo],"--",0,1)</f>
        <v>Bryan Barros</v>
      </c>
      <c r="E202" t="str">
        <f>_xlfn.XLOOKUP(TabelaCadastro[[#This Row],[ID_MASSA]],tbl_de_massas[id_massa],tbl_de_massas[cartao_fisico_numero],"--",0,1)</f>
        <v>5373 6360 4562 4789</v>
      </c>
      <c r="F202" t="str">
        <f>_xlfn.XLOOKUP(TabelaCadastro[[#This Row],[SENHA]],tbl_de_massas[id_massa],tbl_de_massas[fatura_fechada],"--",0,1)</f>
        <v>--</v>
      </c>
      <c r="G202" t="str">
        <f>_xlfn.XLOOKUP(TabelaCadastro[[#This Row],[Nome Completo]],tbl_de_massas[id_massa],tbl_de_massas[fatura_aberta],"--",0,1)</f>
        <v>--</v>
      </c>
      <c r="H202" t="str">
        <f>_xlfn.XLOOKUP(TabelaCadastro[[#This Row],[CARTÃO]],tbl_de_massas[id_massa],tbl_de_massas[dias_atraso],"--",0,1)</f>
        <v>--</v>
      </c>
    </row>
    <row r="203" spans="1:8" x14ac:dyDescent="0.25">
      <c r="A203" s="2" t="s">
        <v>2241</v>
      </c>
      <c r="B203" s="16" t="str">
        <f>_xlfn.XLOOKUP(TabelaCadastro[[#This Row],[ID_MASSA]],tbl_de_massas[id_massa],tbl_de_massas[cpf],"--",0,1)</f>
        <v>87437767600</v>
      </c>
      <c r="C203" t="s">
        <v>2480</v>
      </c>
      <c r="D203" t="str">
        <f>_xlfn.XLOOKUP(TabelaCadastro[[#This Row],[ID_MASSA]],tbl_de_massas[id_massa],tbl_de_massas[nome_completo],"--",0,1)</f>
        <v>Dalila Saraiva</v>
      </c>
      <c r="E203" t="str">
        <f>_xlfn.XLOOKUP(TabelaCadastro[[#This Row],[ID_MASSA]],tbl_de_massas[id_massa],tbl_de_massas[cartao_fisico_numero],"--",0,1)</f>
        <v>5364 2660 2813 8234</v>
      </c>
      <c r="F203" t="str">
        <f>_xlfn.XLOOKUP(TabelaCadastro[[#This Row],[SENHA]],tbl_de_massas[id_massa],tbl_de_massas[fatura_fechada],"--",0,1)</f>
        <v>--</v>
      </c>
      <c r="G203" t="str">
        <f>_xlfn.XLOOKUP(TabelaCadastro[[#This Row],[Nome Completo]],tbl_de_massas[id_massa],tbl_de_massas[fatura_aberta],"--",0,1)</f>
        <v>--</v>
      </c>
      <c r="H203" t="str">
        <f>_xlfn.XLOOKUP(TabelaCadastro[[#This Row],[CARTÃO]],tbl_de_massas[id_massa],tbl_de_massas[dias_atraso],"--",0,1)</f>
        <v>--</v>
      </c>
    </row>
    <row r="204" spans="1:8" x14ac:dyDescent="0.25">
      <c r="A204" s="2" t="s">
        <v>2242</v>
      </c>
      <c r="B204" s="16" t="str">
        <f>_xlfn.XLOOKUP(TabelaCadastro[[#This Row],[ID_MASSA]],tbl_de_massas[id_massa],tbl_de_massas[cpf],"--",0,1)</f>
        <v>43128363455</v>
      </c>
      <c r="C204" t="s">
        <v>2481</v>
      </c>
      <c r="D204" t="str">
        <f>_xlfn.XLOOKUP(TabelaCadastro[[#This Row],[ID_MASSA]],tbl_de_massas[id_massa],tbl_de_massas[nome_completo],"--",0,1)</f>
        <v>Leonardo Braga</v>
      </c>
      <c r="E204" t="str">
        <f>_xlfn.XLOOKUP(TabelaCadastro[[#This Row],[ID_MASSA]],tbl_de_massas[id_massa],tbl_de_massas[cartao_fisico_numero],"--",0,1)</f>
        <v>5185 4460 7495 1691</v>
      </c>
      <c r="F204" t="str">
        <f>_xlfn.XLOOKUP(TabelaCadastro[[#This Row],[SENHA]],tbl_de_massas[id_massa],tbl_de_massas[fatura_fechada],"--",0,1)</f>
        <v>--</v>
      </c>
      <c r="G204" t="str">
        <f>_xlfn.XLOOKUP(TabelaCadastro[[#This Row],[Nome Completo]],tbl_de_massas[id_massa],tbl_de_massas[fatura_aberta],"--",0,1)</f>
        <v>--</v>
      </c>
      <c r="H204" t="str">
        <f>_xlfn.XLOOKUP(TabelaCadastro[[#This Row],[CARTÃO]],tbl_de_massas[id_massa],tbl_de_massas[dias_atraso],"--",0,1)</f>
        <v>--</v>
      </c>
    </row>
    <row r="205" spans="1:8" x14ac:dyDescent="0.25">
      <c r="A205" s="2" t="s">
        <v>2243</v>
      </c>
      <c r="B205" s="16" t="str">
        <f>_xlfn.XLOOKUP(TabelaCadastro[[#This Row],[ID_MASSA]],tbl_de_massas[id_massa],tbl_de_massas[cpf],"--",0,1)</f>
        <v>13440024202</v>
      </c>
      <c r="C205" t="s">
        <v>2482</v>
      </c>
      <c r="D205" t="str">
        <f>_xlfn.XLOOKUP(TabelaCadastro[[#This Row],[ID_MASSA]],tbl_de_massas[id_massa],tbl_de_massas[nome_completo],"--",0,1)</f>
        <v>Ana Julia Santos</v>
      </c>
      <c r="E205" t="str">
        <f>_xlfn.XLOOKUP(TabelaCadastro[[#This Row],[ID_MASSA]],tbl_de_massas[id_massa],tbl_de_massas[cartao_fisico_numero],"--",0,1)</f>
        <v>5364 2660 5357 3420</v>
      </c>
      <c r="F205" t="str">
        <f>_xlfn.XLOOKUP(TabelaCadastro[[#This Row],[SENHA]],tbl_de_massas[id_massa],tbl_de_massas[fatura_fechada],"--",0,1)</f>
        <v>--</v>
      </c>
      <c r="G205" t="str">
        <f>_xlfn.XLOOKUP(TabelaCadastro[[#This Row],[Nome Completo]],tbl_de_massas[id_massa],tbl_de_massas[fatura_aberta],"--",0,1)</f>
        <v>--</v>
      </c>
      <c r="H205" t="str">
        <f>_xlfn.XLOOKUP(TabelaCadastro[[#This Row],[CARTÃO]],tbl_de_massas[id_massa],tbl_de_massas[dias_atraso],"--",0,1)</f>
        <v>--</v>
      </c>
    </row>
    <row r="206" spans="1:8" x14ac:dyDescent="0.25">
      <c r="A206" s="2" t="s">
        <v>2244</v>
      </c>
      <c r="B206" s="16" t="str">
        <f>_xlfn.XLOOKUP(TabelaCadastro[[#This Row],[ID_MASSA]],tbl_de_massas[id_massa],tbl_de_massas[cpf],"--",0,1)</f>
        <v>81123471746</v>
      </c>
      <c r="C206" t="s">
        <v>2483</v>
      </c>
      <c r="D206" t="str">
        <f>_xlfn.XLOOKUP(TabelaCadastro[[#This Row],[ID_MASSA]],tbl_de_massas[id_massa],tbl_de_massas[nome_completo],"--",0,1)</f>
        <v>Marcela Moreira</v>
      </c>
      <c r="E206" t="str">
        <f>_xlfn.XLOOKUP(TabelaCadastro[[#This Row],[ID_MASSA]],tbl_de_massas[id_massa],tbl_de_massas[cartao_fisico_numero],"--",0,1)</f>
        <v>5364 2660 6467 4217</v>
      </c>
      <c r="F206" t="str">
        <f>_xlfn.XLOOKUP(TabelaCadastro[[#This Row],[SENHA]],tbl_de_massas[id_massa],tbl_de_massas[fatura_fechada],"--",0,1)</f>
        <v>--</v>
      </c>
      <c r="G206" t="str">
        <f>_xlfn.XLOOKUP(TabelaCadastro[[#This Row],[Nome Completo]],tbl_de_massas[id_massa],tbl_de_massas[fatura_aberta],"--",0,1)</f>
        <v>--</v>
      </c>
      <c r="H206" t="str">
        <f>_xlfn.XLOOKUP(TabelaCadastro[[#This Row],[CARTÃO]],tbl_de_massas[id_massa],tbl_de_massas[dias_atraso],"--",0,1)</f>
        <v>--</v>
      </c>
    </row>
    <row r="207" spans="1:8" x14ac:dyDescent="0.25">
      <c r="A207" s="2" t="s">
        <v>2245</v>
      </c>
      <c r="B207" s="16" t="str">
        <f>_xlfn.XLOOKUP(TabelaCadastro[[#This Row],[ID_MASSA]],tbl_de_massas[id_massa],tbl_de_massas[cpf],"--",0,1)</f>
        <v>15980864210</v>
      </c>
      <c r="C207" t="s">
        <v>2484</v>
      </c>
      <c r="D207" t="str">
        <f>_xlfn.XLOOKUP(TabelaCadastro[[#This Row],[ID_MASSA]],tbl_de_massas[id_massa],tbl_de_massas[nome_completo],"--",0,1)</f>
        <v>Joao Lucas Santos</v>
      </c>
      <c r="E207" t="str">
        <f>_xlfn.XLOOKUP(TabelaCadastro[[#This Row],[ID_MASSA]],tbl_de_massas[id_massa],tbl_de_massas[cartao_fisico_numero],"--",0,1)</f>
        <v>5185 4460 5023 3908</v>
      </c>
      <c r="F207" t="str">
        <f>_xlfn.XLOOKUP(TabelaCadastro[[#This Row],[SENHA]],tbl_de_massas[id_massa],tbl_de_massas[fatura_fechada],"--",0,1)</f>
        <v>--</v>
      </c>
      <c r="G207" t="str">
        <f>_xlfn.XLOOKUP(TabelaCadastro[[#This Row],[Nome Completo]],tbl_de_massas[id_massa],tbl_de_massas[fatura_aberta],"--",0,1)</f>
        <v>--</v>
      </c>
      <c r="H207" t="str">
        <f>_xlfn.XLOOKUP(TabelaCadastro[[#This Row],[CARTÃO]],tbl_de_massas[id_massa],tbl_de_massas[dias_atraso],"--",0,1)</f>
        <v>--</v>
      </c>
    </row>
    <row r="208" spans="1:8" x14ac:dyDescent="0.25">
      <c r="A208" s="2" t="s">
        <v>2246</v>
      </c>
      <c r="B208" s="16" t="str">
        <f>_xlfn.XLOOKUP(TabelaCadastro[[#This Row],[ID_MASSA]],tbl_de_massas[id_massa],tbl_de_massas[cpf],"--",0,1)</f>
        <v>85900332608</v>
      </c>
      <c r="C208" t="s">
        <v>2485</v>
      </c>
      <c r="D208" t="str">
        <f>_xlfn.XLOOKUP(TabelaCadastro[[#This Row],[ID_MASSA]],tbl_de_massas[id_massa],tbl_de_massas[nome_completo],"--",0,1)</f>
        <v>Isaac Albuquerque</v>
      </c>
      <c r="E208" t="str">
        <f>_xlfn.XLOOKUP(TabelaCadastro[[#This Row],[ID_MASSA]],tbl_de_massas[id_massa],tbl_de_massas[cartao_fisico_numero],"--",0,1)</f>
        <v>5442 7460 7587 3581</v>
      </c>
      <c r="F208" t="str">
        <f>_xlfn.XLOOKUP(TabelaCadastro[[#This Row],[SENHA]],tbl_de_massas[id_massa],tbl_de_massas[fatura_fechada],"--",0,1)</f>
        <v>--</v>
      </c>
      <c r="G208" t="str">
        <f>_xlfn.XLOOKUP(TabelaCadastro[[#This Row],[Nome Completo]],tbl_de_massas[id_massa],tbl_de_massas[fatura_aberta],"--",0,1)</f>
        <v>--</v>
      </c>
      <c r="H208" t="str">
        <f>_xlfn.XLOOKUP(TabelaCadastro[[#This Row],[CARTÃO]],tbl_de_massas[id_massa],tbl_de_massas[dias_atraso],"--",0,1)</f>
        <v>--</v>
      </c>
    </row>
    <row r="209" spans="1:8" x14ac:dyDescent="0.25">
      <c r="A209" s="2" t="s">
        <v>2247</v>
      </c>
      <c r="B209" s="16" t="str">
        <f>_xlfn.XLOOKUP(TabelaCadastro[[#This Row],[ID_MASSA]],tbl_de_massas[id_massa],tbl_de_massas[cpf],"--",0,1)</f>
        <v>66069157834</v>
      </c>
      <c r="C209" t="s">
        <v>2486</v>
      </c>
      <c r="D209" t="str">
        <f>_xlfn.XLOOKUP(TabelaCadastro[[#This Row],[ID_MASSA]],tbl_de_massas[id_massa],tbl_de_massas[nome_completo],"--",0,1)</f>
        <v>Sophia Macedo</v>
      </c>
      <c r="E209" t="str">
        <f>_xlfn.XLOOKUP(TabelaCadastro[[#This Row],[ID_MASSA]],tbl_de_massas[id_massa],tbl_de_massas[cartao_fisico_numero],"--",0,1)</f>
        <v>5373 6360 0487 1231</v>
      </c>
      <c r="F209" t="str">
        <f>_xlfn.XLOOKUP(TabelaCadastro[[#This Row],[SENHA]],tbl_de_massas[id_massa],tbl_de_massas[fatura_fechada],"--",0,1)</f>
        <v>--</v>
      </c>
      <c r="G209" t="str">
        <f>_xlfn.XLOOKUP(TabelaCadastro[[#This Row],[Nome Completo]],tbl_de_massas[id_massa],tbl_de_massas[fatura_aberta],"--",0,1)</f>
        <v>--</v>
      </c>
      <c r="H209" t="str">
        <f>_xlfn.XLOOKUP(TabelaCadastro[[#This Row],[CARTÃO]],tbl_de_massas[id_massa],tbl_de_massas[dias_atraso],"--",0,1)</f>
        <v>--</v>
      </c>
    </row>
    <row r="210" spans="1:8" x14ac:dyDescent="0.25">
      <c r="A210" s="2" t="s">
        <v>2248</v>
      </c>
      <c r="B210" s="16" t="str">
        <f>_xlfn.XLOOKUP(TabelaCadastro[[#This Row],[ID_MASSA]],tbl_de_massas[id_massa],tbl_de_massas[cpf],"--",0,1)</f>
        <v>99721176699</v>
      </c>
      <c r="C210" t="s">
        <v>2487</v>
      </c>
      <c r="D210" t="str">
        <f>_xlfn.XLOOKUP(TabelaCadastro[[#This Row],[ID_MASSA]],tbl_de_massas[id_massa],tbl_de_massas[nome_completo],"--",0,1)</f>
        <v>Laura Oliveira</v>
      </c>
      <c r="E210" t="str">
        <f>_xlfn.XLOOKUP(TabelaCadastro[[#This Row],[ID_MASSA]],tbl_de_massas[id_massa],tbl_de_massas[cartao_fisico_numero],"--",0,1)</f>
        <v>5442 7460 7842 0893</v>
      </c>
      <c r="F210" t="str">
        <f>_xlfn.XLOOKUP(TabelaCadastro[[#This Row],[SENHA]],tbl_de_massas[id_massa],tbl_de_massas[fatura_fechada],"--",0,1)</f>
        <v>--</v>
      </c>
      <c r="G210" t="str">
        <f>_xlfn.XLOOKUP(TabelaCadastro[[#This Row],[Nome Completo]],tbl_de_massas[id_massa],tbl_de_massas[fatura_aberta],"--",0,1)</f>
        <v>--</v>
      </c>
      <c r="H210" t="str">
        <f>_xlfn.XLOOKUP(TabelaCadastro[[#This Row],[CARTÃO]],tbl_de_massas[id_massa],tbl_de_massas[dias_atraso],"--",0,1)</f>
        <v>--</v>
      </c>
    </row>
    <row r="211" spans="1:8" x14ac:dyDescent="0.25">
      <c r="A211" s="2" t="s">
        <v>2249</v>
      </c>
      <c r="B211" s="16" t="str">
        <f>_xlfn.XLOOKUP(TabelaCadastro[[#This Row],[ID_MASSA]],tbl_de_massas[id_massa],tbl_de_massas[cpf],"--",0,1)</f>
        <v>57137689370</v>
      </c>
      <c r="C211" t="s">
        <v>2488</v>
      </c>
      <c r="D211" t="str">
        <f>_xlfn.XLOOKUP(TabelaCadastro[[#This Row],[ID_MASSA]],tbl_de_massas[id_massa],tbl_de_massas[nome_completo],"--",0,1)</f>
        <v>Marcela Xavier</v>
      </c>
      <c r="E211" t="str">
        <f>_xlfn.XLOOKUP(TabelaCadastro[[#This Row],[ID_MASSA]],tbl_de_massas[id_massa],tbl_de_massas[cartao_fisico_numero],"--",0,1)</f>
        <v>5185 4460 5982 5787</v>
      </c>
      <c r="F211" t="str">
        <f>_xlfn.XLOOKUP(TabelaCadastro[[#This Row],[SENHA]],tbl_de_massas[id_massa],tbl_de_massas[fatura_fechada],"--",0,1)</f>
        <v>--</v>
      </c>
      <c r="G211" t="str">
        <f>_xlfn.XLOOKUP(TabelaCadastro[[#This Row],[Nome Completo]],tbl_de_massas[id_massa],tbl_de_massas[fatura_aberta],"--",0,1)</f>
        <v>--</v>
      </c>
      <c r="H211" t="str">
        <f>_xlfn.XLOOKUP(TabelaCadastro[[#This Row],[CARTÃO]],tbl_de_massas[id_massa],tbl_de_massas[dias_atraso],"--",0,1)</f>
        <v>--</v>
      </c>
    </row>
    <row r="212" spans="1:8" x14ac:dyDescent="0.25">
      <c r="A212" s="2" t="s">
        <v>2250</v>
      </c>
      <c r="B212" s="16" t="str">
        <f>_xlfn.XLOOKUP(TabelaCadastro[[#This Row],[ID_MASSA]],tbl_de_massas[id_massa],tbl_de_massas[cpf],"--",0,1)</f>
        <v>15879566323</v>
      </c>
      <c r="C212" t="s">
        <v>2489</v>
      </c>
      <c r="D212" t="str">
        <f>_xlfn.XLOOKUP(TabelaCadastro[[#This Row],[ID_MASSA]],tbl_de_massas[id_massa],tbl_de_massas[nome_completo],"--",0,1)</f>
        <v>Helena Saraiva</v>
      </c>
      <c r="E212" t="str">
        <f>_xlfn.XLOOKUP(TabelaCadastro[[#This Row],[ID_MASSA]],tbl_de_massas[id_massa],tbl_de_massas[cartao_fisico_numero],"--",0,1)</f>
        <v>5442 7460 6349 9696</v>
      </c>
      <c r="F212" t="str">
        <f>_xlfn.XLOOKUP(TabelaCadastro[[#This Row],[SENHA]],tbl_de_massas[id_massa],tbl_de_massas[fatura_fechada],"--",0,1)</f>
        <v>--</v>
      </c>
      <c r="G212" t="str">
        <f>_xlfn.XLOOKUP(TabelaCadastro[[#This Row],[Nome Completo]],tbl_de_massas[id_massa],tbl_de_massas[fatura_aberta],"--",0,1)</f>
        <v>--</v>
      </c>
      <c r="H212" t="str">
        <f>_xlfn.XLOOKUP(TabelaCadastro[[#This Row],[CARTÃO]],tbl_de_massas[id_massa],tbl_de_massas[dias_atraso],"--",0,1)</f>
        <v>--</v>
      </c>
    </row>
    <row r="213" spans="1:8" x14ac:dyDescent="0.25">
      <c r="A213" s="2" t="s">
        <v>2251</v>
      </c>
      <c r="B213" s="16" t="str">
        <f>_xlfn.XLOOKUP(TabelaCadastro[[#This Row],[ID_MASSA]],tbl_de_massas[id_massa],tbl_de_massas[cpf],"--",0,1)</f>
        <v>27788134384</v>
      </c>
      <c r="C213" t="s">
        <v>2490</v>
      </c>
      <c r="D213" t="str">
        <f>_xlfn.XLOOKUP(TabelaCadastro[[#This Row],[ID_MASSA]],tbl_de_massas[id_massa],tbl_de_massas[nome_completo],"--",0,1)</f>
        <v>Rafaela Nogueira</v>
      </c>
      <c r="E213" t="str">
        <f>_xlfn.XLOOKUP(TabelaCadastro[[#This Row],[ID_MASSA]],tbl_de_massas[id_massa],tbl_de_massas[cartao_fisico_numero],"--",0,1)</f>
        <v>5185 4460 1236 3660</v>
      </c>
      <c r="F213" t="str">
        <f>_xlfn.XLOOKUP(TabelaCadastro[[#This Row],[SENHA]],tbl_de_massas[id_massa],tbl_de_massas[fatura_fechada],"--",0,1)</f>
        <v>--</v>
      </c>
      <c r="G213" t="str">
        <f>_xlfn.XLOOKUP(TabelaCadastro[[#This Row],[Nome Completo]],tbl_de_massas[id_massa],tbl_de_massas[fatura_aberta],"--",0,1)</f>
        <v>--</v>
      </c>
      <c r="H213" t="str">
        <f>_xlfn.XLOOKUP(TabelaCadastro[[#This Row],[CARTÃO]],tbl_de_massas[id_massa],tbl_de_massas[dias_atraso],"--",0,1)</f>
        <v>--</v>
      </c>
    </row>
    <row r="214" spans="1:8" x14ac:dyDescent="0.25">
      <c r="A214" s="2" t="s">
        <v>2252</v>
      </c>
      <c r="B214" s="16" t="str">
        <f>_xlfn.XLOOKUP(TabelaCadastro[[#This Row],[ID_MASSA]],tbl_de_massas[id_massa],tbl_de_massas[cpf],"--",0,1)</f>
        <v>95970102598</v>
      </c>
      <c r="C214" t="s">
        <v>2491</v>
      </c>
      <c r="D214" t="str">
        <f>_xlfn.XLOOKUP(TabelaCadastro[[#This Row],[ID_MASSA]],tbl_de_massas[id_massa],tbl_de_massas[nome_completo],"--",0,1)</f>
        <v>Pietro Carvalho</v>
      </c>
      <c r="E214" t="str">
        <f>_xlfn.XLOOKUP(TabelaCadastro[[#This Row],[ID_MASSA]],tbl_de_massas[id_massa],tbl_de_massas[cartao_fisico_numero],"--",0,1)</f>
        <v>5373 6360 2570 9865</v>
      </c>
      <c r="F214" t="str">
        <f>_xlfn.XLOOKUP(TabelaCadastro[[#This Row],[SENHA]],tbl_de_massas[id_massa],tbl_de_massas[fatura_fechada],"--",0,1)</f>
        <v>--</v>
      </c>
      <c r="G214" t="str">
        <f>_xlfn.XLOOKUP(TabelaCadastro[[#This Row],[Nome Completo]],tbl_de_massas[id_massa],tbl_de_massas[fatura_aberta],"--",0,1)</f>
        <v>--</v>
      </c>
      <c r="H214" t="str">
        <f>_xlfn.XLOOKUP(TabelaCadastro[[#This Row],[CARTÃO]],tbl_de_massas[id_massa],tbl_de_massas[dias_atraso],"--",0,1)</f>
        <v>--</v>
      </c>
    </row>
    <row r="215" spans="1:8" x14ac:dyDescent="0.25">
      <c r="A215" s="2" t="s">
        <v>2253</v>
      </c>
      <c r="B215" s="16" t="str">
        <f>_xlfn.XLOOKUP(TabelaCadastro[[#This Row],[ID_MASSA]],tbl_de_massas[id_massa],tbl_de_massas[cpf],"--",0,1)</f>
        <v>92134441682</v>
      </c>
      <c r="C215" t="s">
        <v>2492</v>
      </c>
      <c r="D215" t="str">
        <f>_xlfn.XLOOKUP(TabelaCadastro[[#This Row],[ID_MASSA]],tbl_de_massas[id_massa],tbl_de_massas[nome_completo],"--",0,1)</f>
        <v>Rafael Nogueira</v>
      </c>
      <c r="E215" t="str">
        <f>_xlfn.XLOOKUP(TabelaCadastro[[#This Row],[ID_MASSA]],tbl_de_massas[id_massa],tbl_de_massas[cartao_fisico_numero],"--",0,1)</f>
        <v>5442 7460 0100 0259</v>
      </c>
      <c r="F215" t="str">
        <f>_xlfn.XLOOKUP(TabelaCadastro[[#This Row],[SENHA]],tbl_de_massas[id_massa],tbl_de_massas[fatura_fechada],"--",0,1)</f>
        <v>--</v>
      </c>
      <c r="G215" t="str">
        <f>_xlfn.XLOOKUP(TabelaCadastro[[#This Row],[Nome Completo]],tbl_de_massas[id_massa],tbl_de_massas[fatura_aberta],"--",0,1)</f>
        <v>--</v>
      </c>
      <c r="H215" t="str">
        <f>_xlfn.XLOOKUP(TabelaCadastro[[#This Row],[CARTÃO]],tbl_de_massas[id_massa],tbl_de_massas[dias_atraso],"--",0,1)</f>
        <v>--</v>
      </c>
    </row>
    <row r="216" spans="1:8" x14ac:dyDescent="0.25">
      <c r="A216" s="2" t="s">
        <v>2254</v>
      </c>
      <c r="B216" s="16" t="str">
        <f>_xlfn.XLOOKUP(TabelaCadastro[[#This Row],[ID_MASSA]],tbl_de_massas[id_massa],tbl_de_massas[cpf],"--",0,1)</f>
        <v>48184183070</v>
      </c>
      <c r="C216" t="s">
        <v>2493</v>
      </c>
      <c r="D216" t="str">
        <f>_xlfn.XLOOKUP(TabelaCadastro[[#This Row],[ID_MASSA]],tbl_de_massas[id_massa],tbl_de_massas[nome_completo],"--",0,1)</f>
        <v>Elisa Moraes</v>
      </c>
      <c r="E216" t="str">
        <f>_xlfn.XLOOKUP(TabelaCadastro[[#This Row],[ID_MASSA]],tbl_de_massas[id_massa],tbl_de_massas[cartao_fisico_numero],"--",0,1)</f>
        <v>5373 6360 5864 8006</v>
      </c>
      <c r="F216" t="str">
        <f>_xlfn.XLOOKUP(TabelaCadastro[[#This Row],[SENHA]],tbl_de_massas[id_massa],tbl_de_massas[fatura_fechada],"--",0,1)</f>
        <v>--</v>
      </c>
      <c r="G216" t="str">
        <f>_xlfn.XLOOKUP(TabelaCadastro[[#This Row],[Nome Completo]],tbl_de_massas[id_massa],tbl_de_massas[fatura_aberta],"--",0,1)</f>
        <v>--</v>
      </c>
      <c r="H216" t="str">
        <f>_xlfn.XLOOKUP(TabelaCadastro[[#This Row],[CARTÃO]],tbl_de_massas[id_massa],tbl_de_massas[dias_atraso],"--",0,1)</f>
        <v>--</v>
      </c>
    </row>
    <row r="217" spans="1:8" x14ac:dyDescent="0.25">
      <c r="A217" s="2" t="s">
        <v>2255</v>
      </c>
      <c r="B217" s="16" t="str">
        <f>_xlfn.XLOOKUP(TabelaCadastro[[#This Row],[ID_MASSA]],tbl_de_massas[id_massa],tbl_de_massas[cpf],"--",0,1)</f>
        <v>54313729046</v>
      </c>
      <c r="C217" t="s">
        <v>2494</v>
      </c>
      <c r="D217" t="str">
        <f>_xlfn.XLOOKUP(TabelaCadastro[[#This Row],[ID_MASSA]],tbl_de_massas[id_massa],tbl_de_massas[nome_completo],"--",0,1)</f>
        <v>Ana Luiza Nogueira</v>
      </c>
      <c r="E217" t="str">
        <f>_xlfn.XLOOKUP(TabelaCadastro[[#This Row],[ID_MASSA]],tbl_de_massas[id_massa],tbl_de_massas[cartao_fisico_numero],"--",0,1)</f>
        <v>5442 7460 9003 0217</v>
      </c>
      <c r="F217" t="str">
        <f>_xlfn.XLOOKUP(TabelaCadastro[[#This Row],[SENHA]],tbl_de_massas[id_massa],tbl_de_massas[fatura_fechada],"--",0,1)</f>
        <v>--</v>
      </c>
      <c r="G217" t="str">
        <f>_xlfn.XLOOKUP(TabelaCadastro[[#This Row],[Nome Completo]],tbl_de_massas[id_massa],tbl_de_massas[fatura_aberta],"--",0,1)</f>
        <v>--</v>
      </c>
      <c r="H217" t="str">
        <f>_xlfn.XLOOKUP(TabelaCadastro[[#This Row],[CARTÃO]],tbl_de_massas[id_massa],tbl_de_massas[dias_atraso],"--",0,1)</f>
        <v>--</v>
      </c>
    </row>
    <row r="218" spans="1:8" x14ac:dyDescent="0.25">
      <c r="A218" s="2" t="s">
        <v>2256</v>
      </c>
      <c r="B218" s="16" t="str">
        <f>_xlfn.XLOOKUP(TabelaCadastro[[#This Row],[ID_MASSA]],tbl_de_massas[id_massa],tbl_de_massas[cpf],"--",0,1)</f>
        <v>34814029705</v>
      </c>
      <c r="C218" t="s">
        <v>2495</v>
      </c>
      <c r="D218" t="str">
        <f>_xlfn.XLOOKUP(TabelaCadastro[[#This Row],[ID_MASSA]],tbl_de_massas[id_massa],tbl_de_massas[nome_completo],"--",0,1)</f>
        <v>Enzo Costa</v>
      </c>
      <c r="E218" t="str">
        <f>_xlfn.XLOOKUP(TabelaCadastro[[#This Row],[ID_MASSA]],tbl_de_massas[id_massa],tbl_de_massas[cartao_fisico_numero],"--",0,1)</f>
        <v>5185 4460 6531 8322</v>
      </c>
      <c r="F218" t="str">
        <f>_xlfn.XLOOKUP(TabelaCadastro[[#This Row],[SENHA]],tbl_de_massas[id_massa],tbl_de_massas[fatura_fechada],"--",0,1)</f>
        <v>--</v>
      </c>
      <c r="G218" t="str">
        <f>_xlfn.XLOOKUP(TabelaCadastro[[#This Row],[Nome Completo]],tbl_de_massas[id_massa],tbl_de_massas[fatura_aberta],"--",0,1)</f>
        <v>--</v>
      </c>
      <c r="H218" t="str">
        <f>_xlfn.XLOOKUP(TabelaCadastro[[#This Row],[CARTÃO]],tbl_de_massas[id_massa],tbl_de_massas[dias_atraso],"--",0,1)</f>
        <v>--</v>
      </c>
    </row>
    <row r="219" spans="1:8" x14ac:dyDescent="0.25">
      <c r="A219" s="2" t="s">
        <v>2257</v>
      </c>
      <c r="B219" s="16" t="str">
        <f>_xlfn.XLOOKUP(TabelaCadastro[[#This Row],[ID_MASSA]],tbl_de_massas[id_massa],tbl_de_massas[cpf],"--",0,1)</f>
        <v>43316626409</v>
      </c>
      <c r="C219" t="s">
        <v>2496</v>
      </c>
      <c r="D219" t="str">
        <f>_xlfn.XLOOKUP(TabelaCadastro[[#This Row],[ID_MASSA]],tbl_de_massas[id_massa],tbl_de_massas[nome_completo],"--",0,1)</f>
        <v>Samuel Carvalho</v>
      </c>
      <c r="E219" t="str">
        <f>_xlfn.XLOOKUP(TabelaCadastro[[#This Row],[ID_MASSA]],tbl_de_massas[id_massa],tbl_de_massas[cartao_fisico_numero],"--",0,1)</f>
        <v>5442 7460 3547 2177</v>
      </c>
      <c r="F219" t="str">
        <f>_xlfn.XLOOKUP(TabelaCadastro[[#This Row],[SENHA]],tbl_de_massas[id_massa],tbl_de_massas[fatura_fechada],"--",0,1)</f>
        <v>--</v>
      </c>
      <c r="G219" t="str">
        <f>_xlfn.XLOOKUP(TabelaCadastro[[#This Row],[Nome Completo]],tbl_de_massas[id_massa],tbl_de_massas[fatura_aberta],"--",0,1)</f>
        <v>--</v>
      </c>
      <c r="H219" t="str">
        <f>_xlfn.XLOOKUP(TabelaCadastro[[#This Row],[CARTÃO]],tbl_de_massas[id_massa],tbl_de_massas[dias_atraso],"--",0,1)</f>
        <v>--</v>
      </c>
    </row>
    <row r="220" spans="1:8" x14ac:dyDescent="0.25">
      <c r="A220" s="2" t="s">
        <v>2258</v>
      </c>
      <c r="B220" s="16" t="str">
        <f>_xlfn.XLOOKUP(TabelaCadastro[[#This Row],[ID_MASSA]],tbl_de_massas[id_massa],tbl_de_massas[cpf],"--",0,1)</f>
        <v>63566545708</v>
      </c>
      <c r="C220" t="s">
        <v>2497</v>
      </c>
      <c r="D220" t="str">
        <f>_xlfn.XLOOKUP(TabelaCadastro[[#This Row],[ID_MASSA]],tbl_de_massas[id_massa],tbl_de_massas[nome_completo],"--",0,1)</f>
        <v>Marcia Santos</v>
      </c>
      <c r="E220" t="str">
        <f>_xlfn.XLOOKUP(TabelaCadastro[[#This Row],[ID_MASSA]],tbl_de_massas[id_massa],tbl_de_massas[cartao_fisico_numero],"--",0,1)</f>
        <v>5364 2660 5531 3197</v>
      </c>
      <c r="F220" t="str">
        <f>_xlfn.XLOOKUP(TabelaCadastro[[#This Row],[SENHA]],tbl_de_massas[id_massa],tbl_de_massas[fatura_fechada],"--",0,1)</f>
        <v>--</v>
      </c>
      <c r="G220" t="str">
        <f>_xlfn.XLOOKUP(TabelaCadastro[[#This Row],[Nome Completo]],tbl_de_massas[id_massa],tbl_de_massas[fatura_aberta],"--",0,1)</f>
        <v>--</v>
      </c>
      <c r="H220" t="str">
        <f>_xlfn.XLOOKUP(TabelaCadastro[[#This Row],[CARTÃO]],tbl_de_massas[id_massa],tbl_de_massas[dias_atraso],"--",0,1)</f>
        <v>--</v>
      </c>
    </row>
    <row r="221" spans="1:8" x14ac:dyDescent="0.25">
      <c r="A221" s="2" t="s">
        <v>2259</v>
      </c>
      <c r="B221" s="16" t="str">
        <f>_xlfn.XLOOKUP(TabelaCadastro[[#This Row],[ID_MASSA]],tbl_de_massas[id_massa],tbl_de_massas[cpf],"--",0,1)</f>
        <v>73511641500</v>
      </c>
      <c r="C221" t="s">
        <v>2498</v>
      </c>
      <c r="D221" t="str">
        <f>_xlfn.XLOOKUP(TabelaCadastro[[#This Row],[ID_MASSA]],tbl_de_massas[id_massa],tbl_de_massas[nome_completo],"--",0,1)</f>
        <v>Lucca Macedo</v>
      </c>
      <c r="E221" t="str">
        <f>_xlfn.XLOOKUP(TabelaCadastro[[#This Row],[ID_MASSA]],tbl_de_massas[id_massa],tbl_de_massas[cartao_fisico_numero],"--",0,1)</f>
        <v>5185 4460 2551 9506</v>
      </c>
      <c r="F221" t="str">
        <f>_xlfn.XLOOKUP(TabelaCadastro[[#This Row],[SENHA]],tbl_de_massas[id_massa],tbl_de_massas[fatura_fechada],"--",0,1)</f>
        <v>--</v>
      </c>
      <c r="G221" t="str">
        <f>_xlfn.XLOOKUP(TabelaCadastro[[#This Row],[Nome Completo]],tbl_de_massas[id_massa],tbl_de_massas[fatura_aberta],"--",0,1)</f>
        <v>--</v>
      </c>
      <c r="H221" t="str">
        <f>_xlfn.XLOOKUP(TabelaCadastro[[#This Row],[CARTÃO]],tbl_de_massas[id_massa],tbl_de_massas[dias_atraso],"--",0,1)</f>
        <v>--</v>
      </c>
    </row>
    <row r="222" spans="1:8" x14ac:dyDescent="0.25">
      <c r="A222" s="2" t="s">
        <v>2260</v>
      </c>
      <c r="B222" s="16" t="str">
        <f>_xlfn.XLOOKUP(TabelaCadastro[[#This Row],[ID_MASSA]],tbl_de_massas[id_massa],tbl_de_massas[cpf],"--",0,1)</f>
        <v>93784945015</v>
      </c>
      <c r="C222" t="s">
        <v>2499</v>
      </c>
      <c r="D222" t="str">
        <f>_xlfn.XLOOKUP(TabelaCadastro[[#This Row],[ID_MASSA]],tbl_de_massas[id_massa],tbl_de_massas[nome_completo],"--",0,1)</f>
        <v>Margarida Martins</v>
      </c>
      <c r="E222" t="str">
        <f>_xlfn.XLOOKUP(TabelaCadastro[[#This Row],[ID_MASSA]],tbl_de_massas[id_massa],tbl_de_massas[cartao_fisico_numero],"--",0,1)</f>
        <v>5442 7460 5748 2658</v>
      </c>
      <c r="F222" t="str">
        <f>_xlfn.XLOOKUP(TabelaCadastro[[#This Row],[SENHA]],tbl_de_massas[id_massa],tbl_de_massas[fatura_fechada],"--",0,1)</f>
        <v>--</v>
      </c>
      <c r="G222" t="str">
        <f>_xlfn.XLOOKUP(TabelaCadastro[[#This Row],[Nome Completo]],tbl_de_massas[id_massa],tbl_de_massas[fatura_aberta],"--",0,1)</f>
        <v>--</v>
      </c>
      <c r="H222" t="str">
        <f>_xlfn.XLOOKUP(TabelaCadastro[[#This Row],[CARTÃO]],tbl_de_massas[id_massa],tbl_de_massas[dias_atraso],"--",0,1)</f>
        <v>--</v>
      </c>
    </row>
    <row r="223" spans="1:8" x14ac:dyDescent="0.25">
      <c r="A223" s="2" t="s">
        <v>2261</v>
      </c>
      <c r="B223" s="16" t="str">
        <f>_xlfn.XLOOKUP(TabelaCadastro[[#This Row],[ID_MASSA]],tbl_de_massas[id_massa],tbl_de_massas[cpf],"--",0,1)</f>
        <v>25433185508</v>
      </c>
      <c r="C223" t="s">
        <v>2500</v>
      </c>
      <c r="D223" t="str">
        <f>_xlfn.XLOOKUP(TabelaCadastro[[#This Row],[ID_MASSA]],tbl_de_massas[id_massa],tbl_de_massas[nome_completo],"--",0,1)</f>
        <v>Benjamin Macedo</v>
      </c>
      <c r="E223" t="str">
        <f>_xlfn.XLOOKUP(TabelaCadastro[[#This Row],[ID_MASSA]],tbl_de_massas[id_massa],tbl_de_massas[cartao_fisico_numero],"--",0,1)</f>
        <v>5442 7460 4207 9262</v>
      </c>
      <c r="F223" t="str">
        <f>_xlfn.XLOOKUP(TabelaCadastro[[#This Row],[SENHA]],tbl_de_massas[id_massa],tbl_de_massas[fatura_fechada],"--",0,1)</f>
        <v>--</v>
      </c>
      <c r="G223" t="str">
        <f>_xlfn.XLOOKUP(TabelaCadastro[[#This Row],[Nome Completo]],tbl_de_massas[id_massa],tbl_de_massas[fatura_aberta],"--",0,1)</f>
        <v>--</v>
      </c>
      <c r="H223" t="str">
        <f>_xlfn.XLOOKUP(TabelaCadastro[[#This Row],[CARTÃO]],tbl_de_massas[id_massa],tbl_de_massas[dias_atraso],"--",0,1)</f>
        <v>--</v>
      </c>
    </row>
    <row r="224" spans="1:8" x14ac:dyDescent="0.25">
      <c r="A224" s="2" t="s">
        <v>2262</v>
      </c>
      <c r="B224" s="16" t="str">
        <f>_xlfn.XLOOKUP(TabelaCadastro[[#This Row],[ID_MASSA]],tbl_de_massas[id_massa],tbl_de_massas[cpf],"--",0,1)</f>
        <v>89602248718</v>
      </c>
      <c r="C224" t="s">
        <v>2501</v>
      </c>
      <c r="D224" t="str">
        <f>_xlfn.XLOOKUP(TabelaCadastro[[#This Row],[ID_MASSA]],tbl_de_massas[id_massa],tbl_de_massas[nome_completo],"--",0,1)</f>
        <v>Isabel Silva</v>
      </c>
      <c r="E224" t="str">
        <f>_xlfn.XLOOKUP(TabelaCadastro[[#This Row],[ID_MASSA]],tbl_de_massas[id_massa],tbl_de_massas[cartao_fisico_numero],"--",0,1)</f>
        <v>5364 2660 8793 9167</v>
      </c>
      <c r="F224" t="str">
        <f>_xlfn.XLOOKUP(TabelaCadastro[[#This Row],[SENHA]],tbl_de_massas[id_massa],tbl_de_massas[fatura_fechada],"--",0,1)</f>
        <v>--</v>
      </c>
      <c r="G224" t="str">
        <f>_xlfn.XLOOKUP(TabelaCadastro[[#This Row],[Nome Completo]],tbl_de_massas[id_massa],tbl_de_massas[fatura_aberta],"--",0,1)</f>
        <v>--</v>
      </c>
      <c r="H224" t="str">
        <f>_xlfn.XLOOKUP(TabelaCadastro[[#This Row],[CARTÃO]],tbl_de_massas[id_massa],tbl_de_massas[dias_atraso],"--",0,1)</f>
        <v>--</v>
      </c>
    </row>
    <row r="225" spans="1:8" x14ac:dyDescent="0.25">
      <c r="A225" s="2" t="s">
        <v>2263</v>
      </c>
      <c r="B225" s="16" t="str">
        <f>_xlfn.XLOOKUP(TabelaCadastro[[#This Row],[ID_MASSA]],tbl_de_massas[id_massa],tbl_de_massas[cpf],"--",0,1)</f>
        <v>57070650914</v>
      </c>
      <c r="C225" t="s">
        <v>2502</v>
      </c>
      <c r="D225" t="str">
        <f>_xlfn.XLOOKUP(TabelaCadastro[[#This Row],[ID_MASSA]],tbl_de_massas[id_massa],tbl_de_massas[nome_completo],"--",0,1)</f>
        <v>Felicia Costa</v>
      </c>
      <c r="E225" t="str">
        <f>_xlfn.XLOOKUP(TabelaCadastro[[#This Row],[ID_MASSA]],tbl_de_massas[id_massa],tbl_de_massas[cartao_fisico_numero],"--",0,1)</f>
        <v>5185 4460 8124 4130</v>
      </c>
      <c r="F225" t="str">
        <f>_xlfn.XLOOKUP(TabelaCadastro[[#This Row],[SENHA]],tbl_de_massas[id_massa],tbl_de_massas[fatura_fechada],"--",0,1)</f>
        <v>--</v>
      </c>
      <c r="G225" t="str">
        <f>_xlfn.XLOOKUP(TabelaCadastro[[#This Row],[Nome Completo]],tbl_de_massas[id_massa],tbl_de_massas[fatura_aberta],"--",0,1)</f>
        <v>--</v>
      </c>
      <c r="H225" t="str">
        <f>_xlfn.XLOOKUP(TabelaCadastro[[#This Row],[CARTÃO]],tbl_de_massas[id_massa],tbl_de_massas[dias_atraso],"--",0,1)</f>
        <v>--</v>
      </c>
    </row>
    <row r="226" spans="1:8" x14ac:dyDescent="0.25">
      <c r="A226" s="2" t="s">
        <v>2264</v>
      </c>
      <c r="B226" s="16" t="str">
        <f>_xlfn.XLOOKUP(TabelaCadastro[[#This Row],[ID_MASSA]],tbl_de_massas[id_massa],tbl_de_massas[cpf],"--",0,1)</f>
        <v>84688882300</v>
      </c>
      <c r="C226" t="s">
        <v>2503</v>
      </c>
      <c r="D226" t="str">
        <f>_xlfn.XLOOKUP(TabelaCadastro[[#This Row],[ID_MASSA]],tbl_de_massas[id_massa],tbl_de_massas[nome_completo],"--",0,1)</f>
        <v>Lucca Martins</v>
      </c>
      <c r="E226" t="str">
        <f>_xlfn.XLOOKUP(TabelaCadastro[[#This Row],[ID_MASSA]],tbl_de_massas[id_massa],tbl_de_massas[cartao_fisico_numero],"--",0,1)</f>
        <v>5442 7460 0195 2657</v>
      </c>
      <c r="F226" t="str">
        <f>_xlfn.XLOOKUP(TabelaCadastro[[#This Row],[SENHA]],tbl_de_massas[id_massa],tbl_de_massas[fatura_fechada],"--",0,1)</f>
        <v>--</v>
      </c>
      <c r="G226" t="str">
        <f>_xlfn.XLOOKUP(TabelaCadastro[[#This Row],[Nome Completo]],tbl_de_massas[id_massa],tbl_de_massas[fatura_aberta],"--",0,1)</f>
        <v>--</v>
      </c>
      <c r="H226" t="str">
        <f>_xlfn.XLOOKUP(TabelaCadastro[[#This Row],[CARTÃO]],tbl_de_massas[id_massa],tbl_de_massas[dias_atraso],"--",0,1)</f>
        <v>--</v>
      </c>
    </row>
    <row r="227" spans="1:8" x14ac:dyDescent="0.25">
      <c r="A227" s="2" t="s">
        <v>2265</v>
      </c>
      <c r="B227" s="16" t="str">
        <f>_xlfn.XLOOKUP(TabelaCadastro[[#This Row],[ID_MASSA]],tbl_de_massas[id_massa],tbl_de_massas[cpf],"--",0,1)</f>
        <v>54451216311</v>
      </c>
      <c r="C227" t="s">
        <v>2504</v>
      </c>
      <c r="D227" t="str">
        <f>_xlfn.XLOOKUP(TabelaCadastro[[#This Row],[ID_MASSA]],tbl_de_massas[id_massa],tbl_de_massas[nome_completo],"--",0,1)</f>
        <v>Joao Miguel Franco</v>
      </c>
      <c r="E227" t="str">
        <f>_xlfn.XLOOKUP(TabelaCadastro[[#This Row],[ID_MASSA]],tbl_de_massas[id_massa],tbl_de_massas[cartao_fisico_numero],"--",0,1)</f>
        <v>5364 2660 0630 5144</v>
      </c>
      <c r="F227" t="str">
        <f>_xlfn.XLOOKUP(TabelaCadastro[[#This Row],[SENHA]],tbl_de_massas[id_massa],tbl_de_massas[fatura_fechada],"--",0,1)</f>
        <v>--</v>
      </c>
      <c r="G227" t="str">
        <f>_xlfn.XLOOKUP(TabelaCadastro[[#This Row],[Nome Completo]],tbl_de_massas[id_massa],tbl_de_massas[fatura_aberta],"--",0,1)</f>
        <v>--</v>
      </c>
      <c r="H227" t="str">
        <f>_xlfn.XLOOKUP(TabelaCadastro[[#This Row],[CARTÃO]],tbl_de_massas[id_massa],tbl_de_massas[dias_atraso],"--",0,1)</f>
        <v>--</v>
      </c>
    </row>
    <row r="228" spans="1:8" x14ac:dyDescent="0.25">
      <c r="A228" s="2" t="s">
        <v>2266</v>
      </c>
      <c r="B228" s="16" t="str">
        <f>_xlfn.XLOOKUP(TabelaCadastro[[#This Row],[ID_MASSA]],tbl_de_massas[id_massa],tbl_de_massas[cpf],"--",0,1)</f>
        <v>23915031801</v>
      </c>
      <c r="C228" t="s">
        <v>2505</v>
      </c>
      <c r="D228" t="str">
        <f>_xlfn.XLOOKUP(TabelaCadastro[[#This Row],[ID_MASSA]],tbl_de_massas[id_massa],tbl_de_massas[nome_completo],"--",0,1)</f>
        <v>Liz Batista</v>
      </c>
      <c r="E228" t="str">
        <f>_xlfn.XLOOKUP(TabelaCadastro[[#This Row],[ID_MASSA]],tbl_de_massas[id_massa],tbl_de_massas[cartao_fisico_numero],"--",0,1)</f>
        <v>5364 2660 3743 2404</v>
      </c>
      <c r="F228" t="str">
        <f>_xlfn.XLOOKUP(TabelaCadastro[[#This Row],[SENHA]],tbl_de_massas[id_massa],tbl_de_massas[fatura_fechada],"--",0,1)</f>
        <v>--</v>
      </c>
      <c r="G228" t="str">
        <f>_xlfn.XLOOKUP(TabelaCadastro[[#This Row],[Nome Completo]],tbl_de_massas[id_massa],tbl_de_massas[fatura_aberta],"--",0,1)</f>
        <v>--</v>
      </c>
      <c r="H228" t="str">
        <f>_xlfn.XLOOKUP(TabelaCadastro[[#This Row],[CARTÃO]],tbl_de_massas[id_massa],tbl_de_massas[dias_atraso],"--",0,1)</f>
        <v>--</v>
      </c>
    </row>
  </sheetData>
  <phoneticPr fontId="6" type="noConversion"/>
  <conditionalFormatting sqref="A1:H1">
    <cfRule type="duplicateValues" dxfId="11" priority="1"/>
  </conditionalFormatting>
  <conditionalFormatting sqref="F1:H1">
    <cfRule type="duplicateValues" dxfId="10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398E-E5D2-46C5-B02B-AC4455560A21}">
  <dimension ref="A1:F2"/>
  <sheetViews>
    <sheetView zoomScale="190" zoomScaleNormal="190" workbookViewId="0">
      <selection activeCell="A3" sqref="A3"/>
    </sheetView>
  </sheetViews>
  <sheetFormatPr defaultRowHeight="15.75" x14ac:dyDescent="0.25"/>
  <cols>
    <col min="1" max="1" width="12.875" bestFit="1" customWidth="1"/>
    <col min="2" max="2" width="11.875" bestFit="1" customWidth="1"/>
    <col min="3" max="3" width="13" bestFit="1" customWidth="1"/>
    <col min="4" max="4" width="23.25" bestFit="1" customWidth="1"/>
    <col min="5" max="5" width="18.875" bestFit="1" customWidth="1"/>
    <col min="6" max="6" width="9.125" bestFit="1" customWidth="1"/>
  </cols>
  <sheetData>
    <row r="1" spans="1:6" x14ac:dyDescent="0.25">
      <c r="A1" s="7" t="s">
        <v>2267</v>
      </c>
      <c r="B1" s="8" t="s">
        <v>5</v>
      </c>
      <c r="C1" s="9" t="s">
        <v>34</v>
      </c>
      <c r="D1" s="9" t="s">
        <v>33</v>
      </c>
      <c r="E1" s="9" t="s">
        <v>2268</v>
      </c>
      <c r="F1" s="9" t="s">
        <v>2269</v>
      </c>
    </row>
    <row r="2" spans="1:6" x14ac:dyDescent="0.25">
      <c r="A2" s="5" t="s">
        <v>15</v>
      </c>
      <c r="B2" s="6" t="e">
        <f>_xlfn.XLOOKUP(tbl_pix[[#This Row],[ID_USUARIO]],#REF!,#REF!,"--",0,1)</f>
        <v>#REF!</v>
      </c>
      <c r="C2" s="6" t="e">
        <f>_xlfn.XLOOKUP(tbl_pix[[#This Row],[ID_USUARIO]],#REF!,#REF!,"--",0,1)</f>
        <v>#REF!</v>
      </c>
      <c r="D2" s="6" t="e">
        <f>_xlfn.XLOOKUP(tbl_pix[[#This Row],[ID_USUARIO]],#REF!,#REF!,"--",0,1)</f>
        <v>#REF!</v>
      </c>
      <c r="E2" s="6" t="e">
        <f>_xlfn.XLOOKUP(tbl_pix[[#This Row],[EMAIL]],#REF!,#REF!,"--",0,1)</f>
        <v>#REF!</v>
      </c>
      <c r="F2" s="10">
        <v>15</v>
      </c>
    </row>
  </sheetData>
  <phoneticPr fontId="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0F-D010-4A55-82C9-6B278A204453}">
  <dimension ref="A1:L9"/>
  <sheetViews>
    <sheetView tabSelected="1" workbookViewId="0">
      <selection activeCell="L3" sqref="L3"/>
    </sheetView>
  </sheetViews>
  <sheetFormatPr defaultRowHeight="15.75" x14ac:dyDescent="0.25"/>
  <cols>
    <col min="1" max="1" width="11.625" style="2" bestFit="1" customWidth="1"/>
    <col min="2" max="2" width="13.375" bestFit="1" customWidth="1"/>
    <col min="3" max="3" width="10.5" bestFit="1" customWidth="1"/>
    <col min="4" max="4" width="10.625" customWidth="1"/>
    <col min="5" max="5" width="13.25" customWidth="1"/>
    <col min="6" max="6" width="15.375" customWidth="1"/>
    <col min="7" max="7" width="13.875" customWidth="1"/>
    <col min="8" max="8" width="12.625" customWidth="1"/>
    <col min="9" max="9" width="13.75" bestFit="1" customWidth="1"/>
    <col min="10" max="10" width="18.25" bestFit="1" customWidth="1"/>
    <col min="11" max="11" width="16.375" bestFit="1" customWidth="1"/>
    <col min="12" max="12" width="11.625" bestFit="1" customWidth="1"/>
  </cols>
  <sheetData>
    <row r="1" spans="1:12" s="12" customFormat="1" ht="53.45" customHeight="1" x14ac:dyDescent="0.25">
      <c r="A1" s="20" t="s">
        <v>1</v>
      </c>
      <c r="B1" s="13" t="s">
        <v>4</v>
      </c>
      <c r="C1" s="12" t="s">
        <v>5</v>
      </c>
      <c r="D1" s="14" t="s">
        <v>1295</v>
      </c>
      <c r="E1" s="14" t="s">
        <v>1296</v>
      </c>
      <c r="F1" s="14" t="s">
        <v>1297</v>
      </c>
      <c r="G1" s="14" t="s">
        <v>1298</v>
      </c>
      <c r="H1" s="14" t="s">
        <v>1299</v>
      </c>
      <c r="I1" s="14" t="s">
        <v>1300</v>
      </c>
      <c r="J1" s="21" t="s">
        <v>2515</v>
      </c>
      <c r="K1" s="21" t="s">
        <v>2514</v>
      </c>
      <c r="L1" s="12" t="s">
        <v>2520</v>
      </c>
    </row>
    <row r="2" spans="1:12" x14ac:dyDescent="0.25">
      <c r="A2" s="2" t="s">
        <v>28</v>
      </c>
      <c r="B2" t="str">
        <f>_xlfn.XLOOKUP($A2,TBL_CENARIOS[ID_CENARIO],TBL_CENARIOS[ID_MASSA],"--",0,1)</f>
        <v>0001</v>
      </c>
      <c r="C2" s="26" t="str">
        <f>_xlfn.XLOOKUP($A2,TBL_CENARIOS[ID_CENARIO],TBL_CENARIOS[CPF],"--",0,1)</f>
        <v>33333333333</v>
      </c>
      <c r="D2" s="27">
        <f>_xlfn.XLOOKUP($B2,tbl_de_massas[id_massa],tbl_de_massas[saldo_conta],"--",0,1)</f>
        <v>1500</v>
      </c>
      <c r="E2" s="27">
        <f>_xlfn.XLOOKUP($B2,tbl_de_massas[id_massa],tbl_de_massas[limite_utilizado],"--",0,1)</f>
        <v>5706.32</v>
      </c>
      <c r="F2" s="27">
        <f>_xlfn.XLOOKUP($B2,tbl_de_massas[id_massa],tbl_de_massas[limite_disponivel],"--",0,1)</f>
        <v>-706.32</v>
      </c>
      <c r="G2" s="27">
        <f>_xlfn.XLOOKUP($B2,tbl_de_massas[id_massa],tbl_de_massas[fatura_fechada],"--",0,1)</f>
        <v>4360.91</v>
      </c>
      <c r="H2" s="27">
        <f>_xlfn.XLOOKUP($B2,tbl_de_massas[id_massa],tbl_de_massas[fatura_aberta],"--",0,1)</f>
        <v>5706.32</v>
      </c>
      <c r="I2" t="str">
        <f>_xlfn.XLOOKUP($B2,tbl_de_massas[id_massa],tbl_de_massas[dias_atraso],"--",0,1)</f>
        <v>59</v>
      </c>
      <c r="J2" s="27">
        <f>IFERROR(VALUE(SUBSTITUTE(TBL_CENARIOS6[[#This Row],[fatura_fechada]], ".", ",")),"--")</f>
        <v>4360.91</v>
      </c>
      <c r="K2" s="27">
        <f>IFERROR(VALUE(SUBSTITUTE(TBL_CENARIOS6[[#This Row],[fatura_fechada]], ".", ","))*0.1,"--")</f>
        <v>436.09100000000001</v>
      </c>
      <c r="L2" s="22" t="str">
        <f>_xlfn.XLOOKUP($B2,tbl_de_massas[id_massa],tbl_de_massas[status],"--",0,1)</f>
        <v>inadimplente</v>
      </c>
    </row>
    <row r="3" spans="1:12" x14ac:dyDescent="0.25">
      <c r="A3" s="2" t="s">
        <v>2362</v>
      </c>
      <c r="B3" t="str">
        <f>_xlfn.XLOOKUP($A3,TBL_CENARIOS[ID_CENARIO],TBL_CENARIOS[ID_MASSA],"--",0,1)</f>
        <v>0001</v>
      </c>
      <c r="C3" s="25" t="str">
        <f>_xlfn.XLOOKUP($A3,TBL_CENARIOS[ID_CENARIO],TBL_CENARIOS[CPF],"--",0,1)</f>
        <v>33333333333</v>
      </c>
      <c r="D3" s="27">
        <f>_xlfn.XLOOKUP($B3,tbl_de_massas[id_massa],tbl_de_massas[saldo_conta],"--",0,1)</f>
        <v>1500</v>
      </c>
      <c r="E3" s="27">
        <f>_xlfn.XLOOKUP($B3,tbl_de_massas[id_massa],tbl_de_massas[limite_utilizado],"--",0,1)</f>
        <v>5706.32</v>
      </c>
      <c r="F3" s="27">
        <f>_xlfn.XLOOKUP($B3,tbl_de_massas[id_massa],tbl_de_massas[limite_disponivel],"--",0,1)</f>
        <v>-706.32</v>
      </c>
      <c r="G3" s="27">
        <f>_xlfn.XLOOKUP($B3,tbl_de_massas[id_massa],tbl_de_massas[fatura_fechada],"--",0,1)</f>
        <v>4360.91</v>
      </c>
      <c r="H3" s="27">
        <f>_xlfn.XLOOKUP($B3,tbl_de_massas[id_massa],tbl_de_massas[fatura_aberta],"--",0,1)</f>
        <v>5706.32</v>
      </c>
      <c r="I3" t="str">
        <f>_xlfn.XLOOKUP($B3,tbl_de_massas[id_massa],tbl_de_massas[dias_atraso],"--",0,1)</f>
        <v>59</v>
      </c>
      <c r="J3" s="27">
        <f>IFERROR(VALUE(SUBSTITUTE(TBL_CENARIOS6[[#This Row],[fatura_fechada]], ".", ",")),"--")</f>
        <v>4360.91</v>
      </c>
      <c r="K3" s="27">
        <f>IFERROR(VALUE(SUBSTITUTE(TBL_CENARIOS6[[#This Row],[fatura_fechada]], ".", ","))*0.1,"--")</f>
        <v>436.09100000000001</v>
      </c>
      <c r="L3" s="22" t="str">
        <f>_xlfn.XLOOKUP($B3,tbl_de_massas[id_massa],tbl_de_massas[status],"--",0,1)</f>
        <v>inadimplente</v>
      </c>
    </row>
    <row r="4" spans="1:12" x14ac:dyDescent="0.25">
      <c r="A4" s="2" t="s">
        <v>2363</v>
      </c>
      <c r="B4" t="str">
        <f>_xlfn.XLOOKUP($A4,TBL_CENARIOS[ID_CENARIO],TBL_CENARIOS[ID_MASSA],"--",0,1)</f>
        <v>0001</v>
      </c>
      <c r="C4" s="1" t="str">
        <f>_xlfn.XLOOKUP($A4,TBL_CENARIOS[ID_CENARIO],TBL_CENARIOS[CPF],"--",0,1)</f>
        <v>33333333333</v>
      </c>
      <c r="D4" s="27">
        <f>_xlfn.XLOOKUP($B4,tbl_de_massas[id_massa],tbl_de_massas[saldo_conta],"--",0,1)</f>
        <v>1500</v>
      </c>
      <c r="E4" s="27">
        <f>_xlfn.XLOOKUP($B4,tbl_de_massas[id_massa],tbl_de_massas[limite_utilizado],"--",0,1)</f>
        <v>5706.32</v>
      </c>
      <c r="F4" s="27">
        <f>_xlfn.XLOOKUP($B4,tbl_de_massas[id_massa],tbl_de_massas[limite_disponivel],"--",0,1)</f>
        <v>-706.32</v>
      </c>
      <c r="G4" s="27">
        <f>_xlfn.XLOOKUP($B4,tbl_de_massas[id_massa],tbl_de_massas[fatura_fechada],"--",0,1)</f>
        <v>4360.91</v>
      </c>
      <c r="H4" s="27">
        <f>_xlfn.XLOOKUP($B4,tbl_de_massas[id_massa],tbl_de_massas[fatura_aberta],"--",0,1)</f>
        <v>5706.32</v>
      </c>
      <c r="I4" t="str">
        <f>_xlfn.XLOOKUP($B4,tbl_de_massas[id_massa],tbl_de_massas[dias_atraso],"--",0,1)</f>
        <v>59</v>
      </c>
      <c r="J4" s="27">
        <f>IFERROR(VALUE(SUBSTITUTE(TBL_CENARIOS6[[#This Row],[fatura_fechada]], ".", ",")),"--")</f>
        <v>4360.91</v>
      </c>
      <c r="K4" s="27">
        <f>IFERROR(VALUE(SUBSTITUTE(TBL_CENARIOS6[[#This Row],[fatura_fechada]], ".", ","))*0.1,"--")</f>
        <v>436.09100000000001</v>
      </c>
      <c r="L4" s="22" t="str">
        <f>_xlfn.XLOOKUP($B4,tbl_de_massas[id_massa],tbl_de_massas[status],"--",0,1)</f>
        <v>inadimplente</v>
      </c>
    </row>
    <row r="5" spans="1:12" x14ac:dyDescent="0.25">
      <c r="A5" s="2" t="s">
        <v>2509</v>
      </c>
      <c r="B5" t="str">
        <f>_xlfn.XLOOKUP($A5,TBL_CENARIOS[ID_CENARIO],TBL_CENARIOS[ID_MASSA],"--",0,1)</f>
        <v>--</v>
      </c>
      <c r="C5" s="26" t="str">
        <f>_xlfn.XLOOKUP($A5,TBL_CENARIOS[ID_CENARIO],TBL_CENARIOS[CPF],"--",0,1)</f>
        <v>--</v>
      </c>
      <c r="D5" s="27" t="str">
        <f>_xlfn.XLOOKUP($B5,tbl_de_massas[id_massa],tbl_de_massas[saldo_conta],"--",0,1)</f>
        <v>--</v>
      </c>
      <c r="E5" s="27" t="str">
        <f>_xlfn.XLOOKUP($B5,tbl_de_massas[id_massa],tbl_de_massas[limite_utilizado],"--",0,1)</f>
        <v>--</v>
      </c>
      <c r="F5" s="27" t="str">
        <f>_xlfn.XLOOKUP($B5,tbl_de_massas[id_massa],tbl_de_massas[limite_disponivel],"--",0,1)</f>
        <v>--</v>
      </c>
      <c r="G5" s="27" t="str">
        <f>_xlfn.XLOOKUP($B5,tbl_de_massas[id_massa],tbl_de_massas[fatura_fechada],"--",0,1)</f>
        <v>--</v>
      </c>
      <c r="H5" s="27" t="str">
        <f>_xlfn.XLOOKUP($B5,tbl_de_massas[id_massa],tbl_de_massas[fatura_aberta],"--",0,1)</f>
        <v>--</v>
      </c>
      <c r="I5" t="str">
        <f>_xlfn.XLOOKUP($B5,tbl_de_massas[id_massa],tbl_de_massas[dias_atraso],"--",0,1)</f>
        <v>--</v>
      </c>
      <c r="J5" s="27" t="str">
        <f>IFERROR(VALUE(SUBSTITUTE(TBL_CENARIOS6[[#This Row],[fatura_fechada]], ".", ",")),"--")</f>
        <v>--</v>
      </c>
      <c r="K5" s="27" t="str">
        <f>IFERROR(VALUE(SUBSTITUTE(TBL_CENARIOS6[[#This Row],[fatura_fechada]], ".", ","))*0.1,"--")</f>
        <v>--</v>
      </c>
      <c r="L5" s="22" t="str">
        <f>_xlfn.XLOOKUP($B5,tbl_de_massas[id_massa],tbl_de_massas[status],"--",0,1)</f>
        <v>--</v>
      </c>
    </row>
    <row r="6" spans="1:12" x14ac:dyDescent="0.25">
      <c r="A6" s="2" t="s">
        <v>2510</v>
      </c>
      <c r="B6" t="str">
        <f>_xlfn.XLOOKUP($A6,TBL_CENARIOS[ID_CENARIO],TBL_CENARIOS[ID_MASSA],"--",0,1)</f>
        <v>--</v>
      </c>
      <c r="C6" s="25" t="str">
        <f>_xlfn.XLOOKUP($A6,TBL_CENARIOS[ID_CENARIO],TBL_CENARIOS[CPF],"--",0,1)</f>
        <v>--</v>
      </c>
      <c r="D6" s="27" t="str">
        <f>_xlfn.XLOOKUP($B6,tbl_de_massas[id_massa],tbl_de_massas[saldo_conta],"--",0,1)</f>
        <v>--</v>
      </c>
      <c r="E6" s="27" t="str">
        <f>_xlfn.XLOOKUP($B6,tbl_de_massas[id_massa],tbl_de_massas[limite_utilizado],"--",0,1)</f>
        <v>--</v>
      </c>
      <c r="F6" s="27" t="str">
        <f>_xlfn.XLOOKUP($B6,tbl_de_massas[id_massa],tbl_de_massas[limite_disponivel],"--",0,1)</f>
        <v>--</v>
      </c>
      <c r="G6" s="27" t="str">
        <f>_xlfn.XLOOKUP($B6,tbl_de_massas[id_massa],tbl_de_massas[fatura_fechada],"--",0,1)</f>
        <v>--</v>
      </c>
      <c r="H6" s="27" t="str">
        <f>_xlfn.XLOOKUP($B6,tbl_de_massas[id_massa],tbl_de_massas[fatura_aberta],"--",0,1)</f>
        <v>--</v>
      </c>
      <c r="I6" t="str">
        <f>_xlfn.XLOOKUP($B6,tbl_de_massas[id_massa],tbl_de_massas[dias_atraso],"--",0,1)</f>
        <v>--</v>
      </c>
      <c r="J6" s="27" t="str">
        <f>IFERROR(VALUE(SUBSTITUTE(TBL_CENARIOS6[[#This Row],[fatura_fechada]], ".", ",")),"--")</f>
        <v>--</v>
      </c>
      <c r="K6" s="27" t="str">
        <f>IFERROR(VALUE(SUBSTITUTE(TBL_CENARIOS6[[#This Row],[fatura_fechada]], ".", ","))*0.1,"--")</f>
        <v>--</v>
      </c>
      <c r="L6" s="22" t="str">
        <f>_xlfn.XLOOKUP($B6,tbl_de_massas[id_massa],tbl_de_massas[status],"--",0,1)</f>
        <v>--</v>
      </c>
    </row>
    <row r="7" spans="1:12" x14ac:dyDescent="0.25">
      <c r="A7" s="2" t="s">
        <v>2511</v>
      </c>
      <c r="B7" t="str">
        <f>_xlfn.XLOOKUP($A7,TBL_CENARIOS[ID_CENARIO],TBL_CENARIOS[ID_MASSA],"--",0,1)</f>
        <v>--</v>
      </c>
      <c r="C7" s="1" t="str">
        <f>_xlfn.XLOOKUP($A7,TBL_CENARIOS[ID_CENARIO],TBL_CENARIOS[CPF],"--",0,1)</f>
        <v>--</v>
      </c>
      <c r="D7" s="27" t="str">
        <f>_xlfn.XLOOKUP($B7,tbl_de_massas[id_massa],tbl_de_massas[saldo_conta],"--",0,1)</f>
        <v>--</v>
      </c>
      <c r="E7" s="27" t="str">
        <f>_xlfn.XLOOKUP($B7,tbl_de_massas[id_massa],tbl_de_massas[limite_utilizado],"--",0,1)</f>
        <v>--</v>
      </c>
      <c r="F7" s="27" t="str">
        <f>_xlfn.XLOOKUP($B7,tbl_de_massas[id_massa],tbl_de_massas[limite_disponivel],"--",0,1)</f>
        <v>--</v>
      </c>
      <c r="G7" s="27" t="str">
        <f>_xlfn.XLOOKUP($B7,tbl_de_massas[id_massa],tbl_de_massas[fatura_fechada],"--",0,1)</f>
        <v>--</v>
      </c>
      <c r="H7" s="27" t="str">
        <f>_xlfn.XLOOKUP($B7,tbl_de_massas[id_massa],tbl_de_massas[fatura_aberta],"--",0,1)</f>
        <v>--</v>
      </c>
      <c r="I7" t="str">
        <f>_xlfn.XLOOKUP($B7,tbl_de_massas[id_massa],tbl_de_massas[dias_atraso],"--",0,1)</f>
        <v>--</v>
      </c>
      <c r="J7" s="27" t="str">
        <f>IFERROR(VALUE(SUBSTITUTE(TBL_CENARIOS6[[#This Row],[fatura_fechada]], ".", ",")),"--")</f>
        <v>--</v>
      </c>
      <c r="K7" s="27" t="str">
        <f>IFERROR(VALUE(SUBSTITUTE(TBL_CENARIOS6[[#This Row],[fatura_fechada]], ".", ","))*0.1,"--")</f>
        <v>--</v>
      </c>
      <c r="L7" s="22" t="str">
        <f>_xlfn.XLOOKUP($B7,tbl_de_massas[id_massa],tbl_de_massas[status],"--",0,1)</f>
        <v>--</v>
      </c>
    </row>
    <row r="8" spans="1:12" x14ac:dyDescent="0.25">
      <c r="A8" s="2" t="s">
        <v>2512</v>
      </c>
      <c r="B8" t="str">
        <f>_xlfn.XLOOKUP($A8,TBL_CENARIOS[ID_CENARIO],TBL_CENARIOS[ID_MASSA],"--",0,1)</f>
        <v>--</v>
      </c>
      <c r="C8" s="26" t="str">
        <f>_xlfn.XLOOKUP($A8,TBL_CENARIOS[ID_CENARIO],TBL_CENARIOS[CPF],"--",0,1)</f>
        <v>--</v>
      </c>
      <c r="D8" s="27" t="str">
        <f>_xlfn.XLOOKUP($B8,tbl_de_massas[id_massa],tbl_de_massas[saldo_conta],"--",0,1)</f>
        <v>--</v>
      </c>
      <c r="E8" s="27" t="str">
        <f>_xlfn.XLOOKUP($B8,tbl_de_massas[id_massa],tbl_de_massas[limite_utilizado],"--",0,1)</f>
        <v>--</v>
      </c>
      <c r="F8" s="27" t="str">
        <f>_xlfn.XLOOKUP($B8,tbl_de_massas[id_massa],tbl_de_massas[limite_disponivel],"--",0,1)</f>
        <v>--</v>
      </c>
      <c r="G8" s="27" t="str">
        <f>_xlfn.XLOOKUP($B8,tbl_de_massas[id_massa],tbl_de_massas[fatura_fechada],"--",0,1)</f>
        <v>--</v>
      </c>
      <c r="H8" s="27" t="str">
        <f>_xlfn.XLOOKUP($B8,tbl_de_massas[id_massa],tbl_de_massas[fatura_aberta],"--",0,1)</f>
        <v>--</v>
      </c>
      <c r="I8" t="str">
        <f>_xlfn.XLOOKUP($B8,tbl_de_massas[id_massa],tbl_de_massas[dias_atraso],"--",0,1)</f>
        <v>--</v>
      </c>
      <c r="J8" s="27" t="str">
        <f>IFERROR(VALUE(SUBSTITUTE(TBL_CENARIOS6[[#This Row],[fatura_fechada]], ".", ",")),"--")</f>
        <v>--</v>
      </c>
      <c r="K8" s="27" t="str">
        <f>IFERROR(VALUE(SUBSTITUTE(TBL_CENARIOS6[[#This Row],[fatura_fechada]], ".", ","))*0.1,"--")</f>
        <v>--</v>
      </c>
      <c r="L8" s="22" t="str">
        <f>_xlfn.XLOOKUP($B8,tbl_de_massas[id_massa],tbl_de_massas[status],"--",0,1)</f>
        <v>--</v>
      </c>
    </row>
    <row r="9" spans="1:12" x14ac:dyDescent="0.25">
      <c r="A9" s="2" t="s">
        <v>2513</v>
      </c>
      <c r="B9" t="str">
        <f>_xlfn.XLOOKUP($A9,TBL_CENARIOS[ID_CENARIO],TBL_CENARIOS[ID_MASSA],"--",0,1)</f>
        <v>--</v>
      </c>
      <c r="C9" s="25" t="str">
        <f>_xlfn.XLOOKUP($A9,TBL_CENARIOS[ID_CENARIO],TBL_CENARIOS[CPF],"--",0,1)</f>
        <v>--</v>
      </c>
      <c r="D9" s="27" t="str">
        <f>_xlfn.XLOOKUP($B9,tbl_de_massas[id_massa],tbl_de_massas[saldo_conta],"--",0,1)</f>
        <v>--</v>
      </c>
      <c r="E9" s="27" t="str">
        <f>_xlfn.XLOOKUP($B9,tbl_de_massas[id_massa],tbl_de_massas[limite_utilizado],"--",0,1)</f>
        <v>--</v>
      </c>
      <c r="F9" s="27" t="str">
        <f>_xlfn.XLOOKUP($B9,tbl_de_massas[id_massa],tbl_de_massas[limite_disponivel],"--",0,1)</f>
        <v>--</v>
      </c>
      <c r="G9" s="27" t="str">
        <f>_xlfn.XLOOKUP($B9,tbl_de_massas[id_massa],tbl_de_massas[fatura_fechada],"--",0,1)</f>
        <v>--</v>
      </c>
      <c r="H9" s="27" t="str">
        <f>_xlfn.XLOOKUP($B9,tbl_de_massas[id_massa],tbl_de_massas[fatura_aberta],"--",0,1)</f>
        <v>--</v>
      </c>
      <c r="I9" t="str">
        <f>_xlfn.XLOOKUP($B9,tbl_de_massas[id_massa],tbl_de_massas[dias_atraso],"--",0,1)</f>
        <v>--</v>
      </c>
      <c r="J9" s="27" t="str">
        <f>IFERROR(VALUE(SUBSTITUTE(TBL_CENARIOS6[[#This Row],[fatura_fechada]], ".", ",")),"--")</f>
        <v>--</v>
      </c>
      <c r="K9" s="27" t="str">
        <f>IFERROR(VALUE(SUBSTITUTE(TBL_CENARIOS6[[#This Row],[fatura_fechada]], ".", ","))*0.1,"--")</f>
        <v>--</v>
      </c>
      <c r="L9" s="22" t="str">
        <f>_xlfn.XLOOKUP($B9,tbl_de_massas[id_massa],tbl_de_massas[status],"--",0,1)</f>
        <v>--</v>
      </c>
    </row>
  </sheetData>
  <phoneticPr fontId="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4F781-78D1-43C2-8D57-8915094D15CD}">
  <dimension ref="A1:F11"/>
  <sheetViews>
    <sheetView zoomScale="140" zoomScaleNormal="140" workbookViewId="0">
      <selection activeCell="B10" sqref="B10"/>
    </sheetView>
  </sheetViews>
  <sheetFormatPr defaultRowHeight="15.75" x14ac:dyDescent="0.25"/>
  <cols>
    <col min="1" max="1" width="13.125" bestFit="1" customWidth="1"/>
    <col min="2" max="2" width="13.375" bestFit="1" customWidth="1"/>
    <col min="3" max="3" width="11.625" style="2" bestFit="1" customWidth="1"/>
    <col min="4" max="4" width="18.75" bestFit="1" customWidth="1"/>
    <col min="5" max="5" width="8.625" bestFit="1" customWidth="1"/>
    <col min="6" max="6" width="14.625" bestFit="1" customWidth="1"/>
  </cols>
  <sheetData>
    <row r="1" spans="1:6" s="12" customFormat="1" ht="53.45" customHeight="1" x14ac:dyDescent="0.25">
      <c r="A1" s="11" t="s">
        <v>1</v>
      </c>
      <c r="B1" s="13" t="s">
        <v>4</v>
      </c>
      <c r="C1" s="12" t="s">
        <v>5</v>
      </c>
      <c r="D1" s="15" t="s">
        <v>2270</v>
      </c>
      <c r="E1" s="15" t="s">
        <v>2271</v>
      </c>
      <c r="F1" s="15" t="s">
        <v>2272</v>
      </c>
    </row>
    <row r="2" spans="1:6" x14ac:dyDescent="0.25">
      <c r="A2" t="s">
        <v>7</v>
      </c>
      <c r="B2" s="2" t="s">
        <v>21</v>
      </c>
      <c r="C2" s="4" t="e" cm="1">
        <f t="array" ref="C2">_xlfn.XLOOKUP(TBL_CENARIOS678[[#This Row],[ID_MASSA]]&amp;"",#REF!&amp;"",#REF!&amp;"","--",0,1)</f>
        <v>#REF!</v>
      </c>
      <c r="D2" t="s">
        <v>2273</v>
      </c>
    </row>
    <row r="3" spans="1:6" x14ac:dyDescent="0.25">
      <c r="A3" t="s">
        <v>13</v>
      </c>
      <c r="B3" s="2" t="s">
        <v>24</v>
      </c>
      <c r="C3" s="4" t="e" cm="1">
        <f t="array" ref="C3">_xlfn.XLOOKUP(TBL_CENARIOS678[[#This Row],[ID_MASSA]]&amp;"",#REF!&amp;"",#REF!&amp;"","--",0,1)</f>
        <v>#REF!</v>
      </c>
      <c r="D3" t="s">
        <v>2273</v>
      </c>
    </row>
    <row r="4" spans="1:6" x14ac:dyDescent="0.25">
      <c r="A4" t="s">
        <v>16</v>
      </c>
      <c r="B4" s="2" t="s">
        <v>27</v>
      </c>
      <c r="C4" s="4" t="e" cm="1">
        <f t="array" ref="C4">_xlfn.XLOOKUP(TBL_CENARIOS678[[#This Row],[ID_MASSA]]&amp;"",#REF!&amp;"",#REF!&amp;"","--",0,1)</f>
        <v>#REF!</v>
      </c>
      <c r="D4" t="s">
        <v>2273</v>
      </c>
    </row>
    <row r="5" spans="1:6" x14ac:dyDescent="0.25">
      <c r="A5" t="s">
        <v>19</v>
      </c>
      <c r="B5" s="2" t="s">
        <v>610</v>
      </c>
      <c r="C5" s="4" t="e" cm="1">
        <f t="array" ref="C5">_xlfn.XLOOKUP(TBL_CENARIOS678[[#This Row],[ID_MASSA]]&amp;"",#REF!&amp;"",#REF!&amp;"","--",0,1)</f>
        <v>#REF!</v>
      </c>
      <c r="D5" t="s">
        <v>2273</v>
      </c>
    </row>
    <row r="6" spans="1:6" x14ac:dyDescent="0.25">
      <c r="A6" t="s">
        <v>22</v>
      </c>
      <c r="B6" s="2" t="s">
        <v>611</v>
      </c>
      <c r="C6" s="4" t="e" cm="1">
        <f t="array" ref="C6">_xlfn.XLOOKUP(TBL_CENARIOS678[[#This Row],[ID_MASSA]]&amp;"",#REF!&amp;"",#REF!&amp;"","--",0,1)</f>
        <v>#REF!</v>
      </c>
      <c r="D6" t="s">
        <v>2273</v>
      </c>
    </row>
    <row r="7" spans="1:6" x14ac:dyDescent="0.25">
      <c r="A7" t="s">
        <v>25</v>
      </c>
      <c r="B7" s="2" t="s">
        <v>613</v>
      </c>
      <c r="C7" s="4" t="e" cm="1">
        <f t="array" ref="C7">_xlfn.XLOOKUP(TBL_CENARIOS678[[#This Row],[ID_MASSA]]&amp;"",#REF!&amp;"",#REF!&amp;"","--",0,1)</f>
        <v>#REF!</v>
      </c>
      <c r="D7" t="s">
        <v>2273</v>
      </c>
    </row>
    <row r="8" spans="1:6" x14ac:dyDescent="0.25">
      <c r="A8" t="s">
        <v>28</v>
      </c>
      <c r="B8" s="2" t="s">
        <v>615</v>
      </c>
      <c r="C8" s="4" t="e" cm="1">
        <f t="array" ref="C8">_xlfn.XLOOKUP(TBL_CENARIOS678[[#This Row],[ID_MASSA]]&amp;"",#REF!&amp;"",#REF!&amp;"","--",0,1)</f>
        <v>#REF!</v>
      </c>
      <c r="D8" t="s">
        <v>2273</v>
      </c>
    </row>
    <row r="9" spans="1:6" x14ac:dyDescent="0.25">
      <c r="A9" t="s">
        <v>2142</v>
      </c>
      <c r="B9" s="2" t="s">
        <v>18</v>
      </c>
      <c r="C9" s="4" t="e" cm="1">
        <f t="array" ref="C9">_xlfn.XLOOKUP(TBL_CENARIOS678[[#This Row],[ID_MASSA]]&amp;"",#REF!&amp;"",#REF!&amp;"","--",0,1)</f>
        <v>#REF!</v>
      </c>
      <c r="D9" t="s">
        <v>2273</v>
      </c>
    </row>
    <row r="10" spans="1:6" x14ac:dyDescent="0.25">
      <c r="A10" t="s">
        <v>2357</v>
      </c>
      <c r="B10" t="s">
        <v>18</v>
      </c>
      <c r="C10" t="s">
        <v>180</v>
      </c>
      <c r="D10" t="s">
        <v>2273</v>
      </c>
    </row>
    <row r="11" spans="1:6" x14ac:dyDescent="0.25">
      <c r="A11" t="s">
        <v>2360</v>
      </c>
      <c r="B11" t="s">
        <v>18</v>
      </c>
      <c r="C11" t="s">
        <v>180</v>
      </c>
      <c r="D11" t="s">
        <v>2273</v>
      </c>
    </row>
  </sheetData>
  <phoneticPr fontId="6" type="noConversion"/>
  <conditionalFormatting sqref="D1:F1">
    <cfRule type="duplicateValues" dxfId="9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97"/>
  <sheetViews>
    <sheetView workbookViewId="0">
      <selection sqref="A1:XFD1048576"/>
    </sheetView>
  </sheetViews>
  <sheetFormatPr defaultRowHeight="15.75" x14ac:dyDescent="0.25"/>
  <cols>
    <col min="1" max="1" width="9.25" bestFit="1" customWidth="1"/>
    <col min="2" max="2" width="18.5" bestFit="1" customWidth="1"/>
    <col min="3" max="3" width="18.125" bestFit="1" customWidth="1"/>
    <col min="4" max="4" width="29.75" bestFit="1" customWidth="1"/>
    <col min="6" max="6" width="11.875" bestFit="1" customWidth="1"/>
    <col min="7" max="7" width="13" bestFit="1" customWidth="1"/>
    <col min="8" max="8" width="8.875" bestFit="1" customWidth="1"/>
    <col min="9" max="9" width="20.375" bestFit="1" customWidth="1"/>
    <col min="10" max="10" width="8.375" bestFit="1" customWidth="1"/>
    <col min="11" max="11" width="18.625" bestFit="1" customWidth="1"/>
    <col min="12" max="12" width="24.875" bestFit="1" customWidth="1"/>
    <col min="13" max="13" width="7.5" bestFit="1" customWidth="1"/>
    <col min="14" max="14" width="5.5" bestFit="1" customWidth="1"/>
    <col min="15" max="15" width="17.5" bestFit="1" customWidth="1"/>
    <col min="16" max="16" width="17.375" bestFit="1" customWidth="1"/>
    <col min="17" max="17" width="12.125" bestFit="1" customWidth="1"/>
    <col min="18" max="18" width="15.875" bestFit="1" customWidth="1"/>
    <col min="19" max="19" width="22.375" bestFit="1" customWidth="1"/>
    <col min="20" max="20" width="13.375" bestFit="1" customWidth="1"/>
    <col min="21" max="21" width="11.875" bestFit="1" customWidth="1"/>
    <col min="22" max="22" width="12.375" bestFit="1" customWidth="1"/>
    <col min="23" max="23" width="10.5" bestFit="1" customWidth="1"/>
  </cols>
  <sheetData>
    <row r="1" spans="1:23" x14ac:dyDescent="0.25">
      <c r="A1" t="s">
        <v>4</v>
      </c>
      <c r="B1" t="s">
        <v>31</v>
      </c>
      <c r="C1" t="s">
        <v>32</v>
      </c>
      <c r="D1" t="s">
        <v>33</v>
      </c>
      <c r="E1" t="s">
        <v>6</v>
      </c>
      <c r="F1" t="s">
        <v>5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</row>
    <row r="2" spans="1:23" x14ac:dyDescent="0.25">
      <c r="A2" t="s">
        <v>51</v>
      </c>
      <c r="B2" t="s">
        <v>52</v>
      </c>
      <c r="C2" t="s">
        <v>53</v>
      </c>
      <c r="D2" t="s">
        <v>54</v>
      </c>
      <c r="E2" t="s">
        <v>12</v>
      </c>
      <c r="F2" t="s">
        <v>11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 t="s">
        <v>61</v>
      </c>
      <c r="N2" t="s">
        <v>62</v>
      </c>
      <c r="O2" t="s">
        <v>63</v>
      </c>
      <c r="P2" t="s">
        <v>64</v>
      </c>
      <c r="Q2" t="s">
        <v>65</v>
      </c>
      <c r="R2">
        <v>10</v>
      </c>
      <c r="S2" t="s">
        <v>66</v>
      </c>
      <c r="T2" t="s">
        <v>67</v>
      </c>
      <c r="U2" t="s">
        <v>11</v>
      </c>
      <c r="V2" t="s">
        <v>68</v>
      </c>
      <c r="W2" t="s">
        <v>68</v>
      </c>
    </row>
    <row r="3" spans="1:23" x14ac:dyDescent="0.25">
      <c r="A3" t="s">
        <v>69</v>
      </c>
      <c r="B3" t="s">
        <v>70</v>
      </c>
      <c r="C3" t="s">
        <v>71</v>
      </c>
      <c r="D3" t="s">
        <v>72</v>
      </c>
      <c r="E3" t="s">
        <v>12</v>
      </c>
      <c r="F3" t="s">
        <v>73</v>
      </c>
      <c r="G3" t="s">
        <v>74</v>
      </c>
      <c r="H3" t="s">
        <v>75</v>
      </c>
      <c r="I3" t="s">
        <v>76</v>
      </c>
      <c r="J3" t="s">
        <v>77</v>
      </c>
      <c r="K3" t="s">
        <v>78</v>
      </c>
      <c r="L3" t="s">
        <v>79</v>
      </c>
      <c r="M3" t="s">
        <v>80</v>
      </c>
      <c r="N3" t="s">
        <v>62</v>
      </c>
      <c r="O3" t="s">
        <v>81</v>
      </c>
      <c r="P3" t="s">
        <v>82</v>
      </c>
      <c r="Q3" t="s">
        <v>83</v>
      </c>
      <c r="R3">
        <v>20</v>
      </c>
      <c r="S3" t="s">
        <v>84</v>
      </c>
      <c r="T3" t="s">
        <v>85</v>
      </c>
      <c r="U3" t="s">
        <v>73</v>
      </c>
      <c r="V3" t="s">
        <v>68</v>
      </c>
      <c r="W3" t="s">
        <v>68</v>
      </c>
    </row>
    <row r="4" spans="1:23" x14ac:dyDescent="0.25">
      <c r="A4" t="s">
        <v>86</v>
      </c>
      <c r="B4" t="s">
        <v>87</v>
      </c>
      <c r="C4" t="s">
        <v>88</v>
      </c>
      <c r="D4" t="s">
        <v>89</v>
      </c>
      <c r="E4" t="s">
        <v>12</v>
      </c>
      <c r="F4" t="s">
        <v>90</v>
      </c>
      <c r="G4" t="s">
        <v>91</v>
      </c>
      <c r="H4" t="s">
        <v>92</v>
      </c>
      <c r="I4" t="s">
        <v>93</v>
      </c>
      <c r="J4" t="s">
        <v>94</v>
      </c>
      <c r="K4" t="s">
        <v>95</v>
      </c>
      <c r="L4" t="s">
        <v>96</v>
      </c>
      <c r="M4" t="s">
        <v>97</v>
      </c>
      <c r="N4" t="s">
        <v>62</v>
      </c>
      <c r="O4" t="s">
        <v>98</v>
      </c>
      <c r="P4" t="s">
        <v>82</v>
      </c>
      <c r="Q4" t="s">
        <v>99</v>
      </c>
      <c r="R4">
        <v>15</v>
      </c>
      <c r="S4" t="s">
        <v>100</v>
      </c>
      <c r="T4" t="s">
        <v>67</v>
      </c>
      <c r="U4" t="s">
        <v>90</v>
      </c>
      <c r="V4" t="s">
        <v>68</v>
      </c>
      <c r="W4" t="s">
        <v>68</v>
      </c>
    </row>
    <row r="5" spans="1:23" x14ac:dyDescent="0.25">
      <c r="A5" t="s">
        <v>101</v>
      </c>
      <c r="B5" t="s">
        <v>102</v>
      </c>
      <c r="C5" t="s">
        <v>103</v>
      </c>
      <c r="D5" t="s">
        <v>104</v>
      </c>
      <c r="E5" t="s">
        <v>12</v>
      </c>
      <c r="F5" t="s">
        <v>105</v>
      </c>
      <c r="G5" t="s">
        <v>106</v>
      </c>
      <c r="H5" t="s">
        <v>107</v>
      </c>
      <c r="I5" t="s">
        <v>108</v>
      </c>
      <c r="J5" t="s">
        <v>109</v>
      </c>
      <c r="K5" t="s">
        <v>110</v>
      </c>
      <c r="L5" t="s">
        <v>111</v>
      </c>
      <c r="M5" t="s">
        <v>112</v>
      </c>
      <c r="N5" t="s">
        <v>62</v>
      </c>
      <c r="O5" t="s">
        <v>113</v>
      </c>
      <c r="P5" t="s">
        <v>114</v>
      </c>
      <c r="Q5" t="s">
        <v>65</v>
      </c>
      <c r="R5">
        <v>20</v>
      </c>
      <c r="S5" t="s">
        <v>115</v>
      </c>
      <c r="T5" t="s">
        <v>85</v>
      </c>
      <c r="U5" t="s">
        <v>105</v>
      </c>
      <c r="V5" t="s">
        <v>68</v>
      </c>
      <c r="W5" t="s">
        <v>68</v>
      </c>
    </row>
    <row r="6" spans="1:23" x14ac:dyDescent="0.25">
      <c r="A6" t="s">
        <v>116</v>
      </c>
      <c r="B6" t="s">
        <v>117</v>
      </c>
      <c r="C6" t="s">
        <v>118</v>
      </c>
      <c r="D6" t="s">
        <v>119</v>
      </c>
      <c r="E6" t="s">
        <v>12</v>
      </c>
      <c r="F6" t="s">
        <v>120</v>
      </c>
      <c r="G6" t="s">
        <v>121</v>
      </c>
      <c r="H6" t="s">
        <v>122</v>
      </c>
      <c r="I6" t="s">
        <v>123</v>
      </c>
      <c r="J6" t="s">
        <v>124</v>
      </c>
      <c r="K6" t="s">
        <v>125</v>
      </c>
      <c r="L6" t="s">
        <v>126</v>
      </c>
      <c r="M6" t="s">
        <v>127</v>
      </c>
      <c r="N6" t="s">
        <v>62</v>
      </c>
      <c r="O6" t="s">
        <v>128</v>
      </c>
      <c r="P6" t="s">
        <v>64</v>
      </c>
      <c r="Q6" t="s">
        <v>99</v>
      </c>
      <c r="R6">
        <v>10</v>
      </c>
      <c r="S6" t="s">
        <v>129</v>
      </c>
      <c r="T6" t="s">
        <v>85</v>
      </c>
      <c r="U6" t="s">
        <v>120</v>
      </c>
      <c r="V6" t="s">
        <v>68</v>
      </c>
      <c r="W6" t="s">
        <v>68</v>
      </c>
    </row>
    <row r="7" spans="1:23" x14ac:dyDescent="0.25">
      <c r="A7" t="s">
        <v>130</v>
      </c>
      <c r="B7" t="s">
        <v>131</v>
      </c>
      <c r="C7" t="s">
        <v>132</v>
      </c>
      <c r="D7" t="s">
        <v>133</v>
      </c>
      <c r="E7" t="s">
        <v>12</v>
      </c>
      <c r="F7" t="s">
        <v>134</v>
      </c>
      <c r="G7" t="s">
        <v>135</v>
      </c>
      <c r="H7" t="s">
        <v>136</v>
      </c>
      <c r="I7" t="s">
        <v>137</v>
      </c>
      <c r="J7" t="s">
        <v>138</v>
      </c>
      <c r="K7" t="s">
        <v>139</v>
      </c>
      <c r="L7" t="s">
        <v>140</v>
      </c>
      <c r="M7" t="s">
        <v>141</v>
      </c>
      <c r="N7" t="s">
        <v>62</v>
      </c>
      <c r="O7" t="s">
        <v>142</v>
      </c>
      <c r="P7" t="s">
        <v>143</v>
      </c>
      <c r="Q7" t="s">
        <v>144</v>
      </c>
      <c r="R7">
        <v>15</v>
      </c>
      <c r="S7" t="s">
        <v>145</v>
      </c>
      <c r="T7" t="s">
        <v>85</v>
      </c>
      <c r="U7" t="s">
        <v>134</v>
      </c>
      <c r="V7" t="s">
        <v>68</v>
      </c>
      <c r="W7" t="s">
        <v>68</v>
      </c>
    </row>
    <row r="8" spans="1:23" x14ac:dyDescent="0.25">
      <c r="A8" t="s">
        <v>146</v>
      </c>
      <c r="B8" t="s">
        <v>147</v>
      </c>
      <c r="C8" t="s">
        <v>148</v>
      </c>
      <c r="D8" t="s">
        <v>149</v>
      </c>
      <c r="E8" t="s">
        <v>12</v>
      </c>
      <c r="F8" t="s">
        <v>150</v>
      </c>
      <c r="G8" t="s">
        <v>151</v>
      </c>
      <c r="H8" t="s">
        <v>152</v>
      </c>
      <c r="I8" t="s">
        <v>153</v>
      </c>
      <c r="J8" t="s">
        <v>154</v>
      </c>
      <c r="K8" t="s">
        <v>155</v>
      </c>
      <c r="L8" t="s">
        <v>156</v>
      </c>
      <c r="M8" t="s">
        <v>157</v>
      </c>
      <c r="N8" t="s">
        <v>62</v>
      </c>
      <c r="O8" t="s">
        <v>158</v>
      </c>
      <c r="P8" t="s">
        <v>143</v>
      </c>
      <c r="Q8" t="s">
        <v>83</v>
      </c>
      <c r="R8">
        <v>25</v>
      </c>
      <c r="S8" t="s">
        <v>159</v>
      </c>
      <c r="T8" t="s">
        <v>160</v>
      </c>
      <c r="U8" t="s">
        <v>150</v>
      </c>
      <c r="V8" t="s">
        <v>68</v>
      </c>
      <c r="W8" t="s">
        <v>68</v>
      </c>
    </row>
    <row r="9" spans="1:23" x14ac:dyDescent="0.25">
      <c r="A9" t="s">
        <v>161</v>
      </c>
      <c r="B9" t="s">
        <v>162</v>
      </c>
      <c r="C9" t="s">
        <v>163</v>
      </c>
      <c r="D9" t="s">
        <v>164</v>
      </c>
      <c r="E9" t="s">
        <v>12</v>
      </c>
      <c r="F9" t="s">
        <v>165</v>
      </c>
      <c r="G9" t="s">
        <v>166</v>
      </c>
      <c r="H9" t="s">
        <v>167</v>
      </c>
      <c r="I9" t="s">
        <v>168</v>
      </c>
      <c r="J9" t="s">
        <v>169</v>
      </c>
      <c r="K9" t="s">
        <v>170</v>
      </c>
      <c r="L9" t="s">
        <v>171</v>
      </c>
      <c r="M9" t="s">
        <v>172</v>
      </c>
      <c r="N9" t="s">
        <v>62</v>
      </c>
      <c r="O9" t="s">
        <v>173</v>
      </c>
      <c r="P9" t="s">
        <v>174</v>
      </c>
      <c r="Q9" t="s">
        <v>83</v>
      </c>
      <c r="R9">
        <v>25</v>
      </c>
      <c r="S9" t="s">
        <v>175</v>
      </c>
      <c r="T9" t="s">
        <v>67</v>
      </c>
      <c r="U9" t="s">
        <v>165</v>
      </c>
      <c r="V9" t="s">
        <v>68</v>
      </c>
      <c r="W9" t="s">
        <v>68</v>
      </c>
    </row>
    <row r="10" spans="1:23" x14ac:dyDescent="0.25">
      <c r="A10" t="s">
        <v>176</v>
      </c>
      <c r="B10" t="s">
        <v>177</v>
      </c>
      <c r="C10" t="s">
        <v>178</v>
      </c>
      <c r="D10" t="s">
        <v>179</v>
      </c>
      <c r="E10" t="s">
        <v>12</v>
      </c>
      <c r="F10" t="s">
        <v>180</v>
      </c>
      <c r="G10" t="s">
        <v>181</v>
      </c>
      <c r="H10" t="s">
        <v>182</v>
      </c>
      <c r="I10" t="s">
        <v>183</v>
      </c>
      <c r="J10" t="s">
        <v>184</v>
      </c>
      <c r="K10" t="s">
        <v>185</v>
      </c>
      <c r="L10" t="s">
        <v>186</v>
      </c>
      <c r="M10" t="s">
        <v>187</v>
      </c>
      <c r="N10" t="s">
        <v>62</v>
      </c>
      <c r="O10" t="s">
        <v>188</v>
      </c>
      <c r="P10" t="s">
        <v>82</v>
      </c>
      <c r="Q10" t="s">
        <v>83</v>
      </c>
      <c r="R10">
        <v>25</v>
      </c>
      <c r="S10" t="s">
        <v>189</v>
      </c>
      <c r="T10" t="s">
        <v>85</v>
      </c>
      <c r="U10" t="s">
        <v>180</v>
      </c>
      <c r="V10" t="s">
        <v>68</v>
      </c>
      <c r="W10" t="s">
        <v>68</v>
      </c>
    </row>
    <row r="11" spans="1:23" x14ac:dyDescent="0.25">
      <c r="A11" t="s">
        <v>190</v>
      </c>
      <c r="B11" t="s">
        <v>191</v>
      </c>
      <c r="C11" t="s">
        <v>192</v>
      </c>
      <c r="D11" t="s">
        <v>193</v>
      </c>
      <c r="E11" t="s">
        <v>12</v>
      </c>
      <c r="F11" t="s">
        <v>194</v>
      </c>
      <c r="G11" t="s">
        <v>195</v>
      </c>
      <c r="H11" t="s">
        <v>196</v>
      </c>
      <c r="I11" t="s">
        <v>197</v>
      </c>
      <c r="J11" t="s">
        <v>198</v>
      </c>
      <c r="K11" t="s">
        <v>139</v>
      </c>
      <c r="L11" t="s">
        <v>199</v>
      </c>
      <c r="M11" t="s">
        <v>200</v>
      </c>
      <c r="N11" t="s">
        <v>62</v>
      </c>
      <c r="O11" t="s">
        <v>201</v>
      </c>
      <c r="P11" t="s">
        <v>64</v>
      </c>
      <c r="Q11" t="s">
        <v>65</v>
      </c>
      <c r="R11">
        <v>25</v>
      </c>
      <c r="S11" t="s">
        <v>202</v>
      </c>
      <c r="T11" t="s">
        <v>85</v>
      </c>
      <c r="U11" t="s">
        <v>194</v>
      </c>
      <c r="V11" t="s">
        <v>68</v>
      </c>
      <c r="W11" t="s">
        <v>68</v>
      </c>
    </row>
    <row r="12" spans="1:23" x14ac:dyDescent="0.25">
      <c r="A12" t="s">
        <v>203</v>
      </c>
      <c r="B12" t="s">
        <v>204</v>
      </c>
      <c r="C12" t="s">
        <v>205</v>
      </c>
      <c r="D12" t="s">
        <v>206</v>
      </c>
      <c r="E12" t="s">
        <v>12</v>
      </c>
      <c r="F12" t="s">
        <v>207</v>
      </c>
      <c r="G12" t="s">
        <v>208</v>
      </c>
      <c r="H12" t="s">
        <v>209</v>
      </c>
      <c r="I12" t="s">
        <v>210</v>
      </c>
      <c r="J12" t="s">
        <v>211</v>
      </c>
      <c r="K12" t="s">
        <v>212</v>
      </c>
      <c r="L12" t="s">
        <v>213</v>
      </c>
      <c r="M12" t="s">
        <v>214</v>
      </c>
      <c r="N12" t="s">
        <v>62</v>
      </c>
      <c r="O12" t="s">
        <v>215</v>
      </c>
      <c r="P12" t="s">
        <v>143</v>
      </c>
      <c r="Q12" t="s">
        <v>83</v>
      </c>
      <c r="R12">
        <v>15</v>
      </c>
      <c r="S12" t="s">
        <v>216</v>
      </c>
      <c r="T12" t="s">
        <v>85</v>
      </c>
      <c r="U12" t="s">
        <v>207</v>
      </c>
      <c r="V12" t="s">
        <v>68</v>
      </c>
      <c r="W12" t="s">
        <v>68</v>
      </c>
    </row>
    <row r="13" spans="1:23" x14ac:dyDescent="0.25">
      <c r="A13" t="s">
        <v>217</v>
      </c>
      <c r="B13" t="s">
        <v>218</v>
      </c>
      <c r="C13" t="s">
        <v>219</v>
      </c>
      <c r="D13" t="s">
        <v>220</v>
      </c>
      <c r="E13" t="s">
        <v>12</v>
      </c>
      <c r="F13" t="s">
        <v>221</v>
      </c>
      <c r="G13" t="s">
        <v>222</v>
      </c>
      <c r="H13" t="s">
        <v>223</v>
      </c>
      <c r="I13" t="s">
        <v>224</v>
      </c>
      <c r="J13" t="s">
        <v>225</v>
      </c>
      <c r="K13" t="s">
        <v>226</v>
      </c>
      <c r="L13" t="s">
        <v>227</v>
      </c>
      <c r="M13" t="s">
        <v>228</v>
      </c>
      <c r="N13" t="s">
        <v>62</v>
      </c>
      <c r="O13" t="s">
        <v>229</v>
      </c>
      <c r="P13" t="s">
        <v>143</v>
      </c>
      <c r="Q13" t="s">
        <v>99</v>
      </c>
      <c r="R13">
        <v>20</v>
      </c>
      <c r="S13" t="s">
        <v>230</v>
      </c>
      <c r="T13" t="s">
        <v>67</v>
      </c>
      <c r="U13" t="s">
        <v>221</v>
      </c>
      <c r="V13" t="s">
        <v>68</v>
      </c>
      <c r="W13" t="s">
        <v>68</v>
      </c>
    </row>
    <row r="14" spans="1:23" x14ac:dyDescent="0.25">
      <c r="A14" t="s">
        <v>231</v>
      </c>
      <c r="B14" t="s">
        <v>232</v>
      </c>
      <c r="C14" t="s">
        <v>233</v>
      </c>
      <c r="D14" t="s">
        <v>234</v>
      </c>
      <c r="E14" t="s">
        <v>12</v>
      </c>
      <c r="F14" t="s">
        <v>235</v>
      </c>
      <c r="G14" t="s">
        <v>236</v>
      </c>
      <c r="H14" t="s">
        <v>237</v>
      </c>
      <c r="I14" t="s">
        <v>238</v>
      </c>
      <c r="J14" t="s">
        <v>239</v>
      </c>
      <c r="K14" t="s">
        <v>240</v>
      </c>
      <c r="L14" t="s">
        <v>241</v>
      </c>
      <c r="M14" t="s">
        <v>242</v>
      </c>
      <c r="N14" t="s">
        <v>62</v>
      </c>
      <c r="O14" t="s">
        <v>243</v>
      </c>
      <c r="P14" t="s">
        <v>114</v>
      </c>
      <c r="Q14" t="s">
        <v>99</v>
      </c>
      <c r="R14">
        <v>25</v>
      </c>
      <c r="S14" t="s">
        <v>244</v>
      </c>
      <c r="T14" t="s">
        <v>85</v>
      </c>
      <c r="U14" t="s">
        <v>235</v>
      </c>
      <c r="V14" t="s">
        <v>68</v>
      </c>
      <c r="W14" t="s">
        <v>68</v>
      </c>
    </row>
    <row r="15" spans="1:23" x14ac:dyDescent="0.25">
      <c r="A15" t="s">
        <v>245</v>
      </c>
      <c r="B15" t="s">
        <v>246</v>
      </c>
      <c r="C15" t="s">
        <v>247</v>
      </c>
      <c r="D15" t="s">
        <v>248</v>
      </c>
      <c r="E15" t="s">
        <v>12</v>
      </c>
      <c r="F15" t="s">
        <v>249</v>
      </c>
      <c r="G15" t="s">
        <v>250</v>
      </c>
      <c r="H15" t="s">
        <v>251</v>
      </c>
      <c r="I15" t="s">
        <v>252</v>
      </c>
      <c r="J15" t="s">
        <v>253</v>
      </c>
      <c r="K15" t="s">
        <v>254</v>
      </c>
      <c r="L15" t="s">
        <v>255</v>
      </c>
      <c r="M15" t="s">
        <v>80</v>
      </c>
      <c r="N15" t="s">
        <v>62</v>
      </c>
      <c r="O15" t="s">
        <v>256</v>
      </c>
      <c r="P15" t="s">
        <v>64</v>
      </c>
      <c r="Q15" t="s">
        <v>144</v>
      </c>
      <c r="R15">
        <v>20</v>
      </c>
      <c r="S15" t="s">
        <v>257</v>
      </c>
      <c r="T15" t="s">
        <v>85</v>
      </c>
      <c r="U15" t="s">
        <v>249</v>
      </c>
      <c r="V15" t="s">
        <v>68</v>
      </c>
      <c r="W15" t="s">
        <v>68</v>
      </c>
    </row>
    <row r="16" spans="1:23" x14ac:dyDescent="0.25">
      <c r="A16" t="s">
        <v>258</v>
      </c>
      <c r="B16" t="s">
        <v>259</v>
      </c>
      <c r="C16" t="s">
        <v>260</v>
      </c>
      <c r="D16" t="s">
        <v>261</v>
      </c>
      <c r="E16" t="s">
        <v>12</v>
      </c>
      <c r="F16" t="s">
        <v>262</v>
      </c>
      <c r="G16" t="s">
        <v>263</v>
      </c>
      <c r="H16" t="s">
        <v>264</v>
      </c>
      <c r="I16" t="s">
        <v>265</v>
      </c>
      <c r="J16" t="s">
        <v>266</v>
      </c>
      <c r="K16" t="s">
        <v>185</v>
      </c>
      <c r="L16" t="s">
        <v>267</v>
      </c>
      <c r="M16" t="s">
        <v>268</v>
      </c>
      <c r="N16" t="s">
        <v>62</v>
      </c>
      <c r="O16" t="s">
        <v>269</v>
      </c>
      <c r="P16" t="s">
        <v>64</v>
      </c>
      <c r="Q16" t="s">
        <v>65</v>
      </c>
      <c r="R16">
        <v>10</v>
      </c>
      <c r="S16" t="s">
        <v>270</v>
      </c>
      <c r="T16" t="s">
        <v>85</v>
      </c>
      <c r="U16" t="s">
        <v>262</v>
      </c>
      <c r="V16" t="s">
        <v>68</v>
      </c>
      <c r="W16" t="s">
        <v>68</v>
      </c>
    </row>
    <row r="17" spans="1:23" x14ac:dyDescent="0.25">
      <c r="A17" t="s">
        <v>271</v>
      </c>
      <c r="B17" t="s">
        <v>272</v>
      </c>
      <c r="C17" t="s">
        <v>273</v>
      </c>
      <c r="D17" t="s">
        <v>274</v>
      </c>
      <c r="E17" t="s">
        <v>12</v>
      </c>
      <c r="F17" t="s">
        <v>275</v>
      </c>
      <c r="G17" t="s">
        <v>276</v>
      </c>
      <c r="H17" t="s">
        <v>277</v>
      </c>
      <c r="I17" t="s">
        <v>278</v>
      </c>
      <c r="J17" t="s">
        <v>279</v>
      </c>
      <c r="K17" t="s">
        <v>280</v>
      </c>
      <c r="L17" t="s">
        <v>281</v>
      </c>
      <c r="M17" t="s">
        <v>172</v>
      </c>
      <c r="N17" t="s">
        <v>62</v>
      </c>
      <c r="O17" t="s">
        <v>282</v>
      </c>
      <c r="P17" t="s">
        <v>114</v>
      </c>
      <c r="Q17" t="s">
        <v>65</v>
      </c>
      <c r="R17">
        <v>20</v>
      </c>
      <c r="S17" t="s">
        <v>283</v>
      </c>
      <c r="T17" t="s">
        <v>67</v>
      </c>
      <c r="U17" t="s">
        <v>275</v>
      </c>
      <c r="V17" t="s">
        <v>68</v>
      </c>
      <c r="W17" t="s">
        <v>68</v>
      </c>
    </row>
    <row r="18" spans="1:23" x14ac:dyDescent="0.25">
      <c r="A18" t="s">
        <v>284</v>
      </c>
      <c r="B18" t="s">
        <v>285</v>
      </c>
      <c r="C18" t="s">
        <v>286</v>
      </c>
      <c r="D18" t="s">
        <v>287</v>
      </c>
      <c r="E18" t="s">
        <v>12</v>
      </c>
      <c r="F18" t="s">
        <v>288</v>
      </c>
      <c r="G18" t="s">
        <v>289</v>
      </c>
      <c r="H18" t="s">
        <v>290</v>
      </c>
      <c r="I18" t="s">
        <v>291</v>
      </c>
      <c r="J18" t="s">
        <v>292</v>
      </c>
      <c r="K18" t="s">
        <v>293</v>
      </c>
      <c r="L18" t="s">
        <v>294</v>
      </c>
      <c r="M18" t="s">
        <v>141</v>
      </c>
      <c r="N18" t="s">
        <v>62</v>
      </c>
      <c r="O18" t="s">
        <v>295</v>
      </c>
      <c r="P18" t="s">
        <v>82</v>
      </c>
      <c r="Q18" t="s">
        <v>65</v>
      </c>
      <c r="R18">
        <v>10</v>
      </c>
      <c r="S18" t="s">
        <v>296</v>
      </c>
      <c r="T18" t="s">
        <v>85</v>
      </c>
      <c r="U18" t="s">
        <v>288</v>
      </c>
      <c r="V18" t="s">
        <v>68</v>
      </c>
      <c r="W18" t="s">
        <v>68</v>
      </c>
    </row>
    <row r="19" spans="1:23" x14ac:dyDescent="0.25">
      <c r="A19" t="s">
        <v>297</v>
      </c>
      <c r="B19" t="s">
        <v>298</v>
      </c>
      <c r="C19" t="s">
        <v>299</v>
      </c>
      <c r="D19" t="s">
        <v>300</v>
      </c>
      <c r="E19" t="s">
        <v>12</v>
      </c>
      <c r="F19" t="s">
        <v>301</v>
      </c>
      <c r="G19" t="s">
        <v>302</v>
      </c>
      <c r="H19" t="s">
        <v>303</v>
      </c>
      <c r="I19" t="s">
        <v>304</v>
      </c>
      <c r="J19" t="s">
        <v>305</v>
      </c>
      <c r="K19" t="s">
        <v>306</v>
      </c>
      <c r="L19" t="s">
        <v>307</v>
      </c>
      <c r="M19" t="s">
        <v>157</v>
      </c>
      <c r="N19" t="s">
        <v>62</v>
      </c>
      <c r="O19" t="s">
        <v>308</v>
      </c>
      <c r="P19" t="s">
        <v>82</v>
      </c>
      <c r="Q19" t="s">
        <v>144</v>
      </c>
      <c r="R19">
        <v>25</v>
      </c>
      <c r="S19" t="s">
        <v>309</v>
      </c>
      <c r="T19" t="s">
        <v>160</v>
      </c>
      <c r="U19" t="s">
        <v>301</v>
      </c>
      <c r="V19" t="s">
        <v>68</v>
      </c>
      <c r="W19" t="s">
        <v>68</v>
      </c>
    </row>
    <row r="20" spans="1:23" x14ac:dyDescent="0.25">
      <c r="A20" t="s">
        <v>310</v>
      </c>
      <c r="B20" t="s">
        <v>311</v>
      </c>
      <c r="C20" t="s">
        <v>312</v>
      </c>
      <c r="D20" t="s">
        <v>313</v>
      </c>
      <c r="E20" t="s">
        <v>12</v>
      </c>
      <c r="F20" t="s">
        <v>314</v>
      </c>
      <c r="G20" t="s">
        <v>315</v>
      </c>
      <c r="H20" t="s">
        <v>316</v>
      </c>
      <c r="I20" t="s">
        <v>317</v>
      </c>
      <c r="J20" t="s">
        <v>318</v>
      </c>
      <c r="K20" t="s">
        <v>319</v>
      </c>
      <c r="L20" t="s">
        <v>320</v>
      </c>
      <c r="M20" t="s">
        <v>321</v>
      </c>
      <c r="N20" t="s">
        <v>62</v>
      </c>
      <c r="O20" t="s">
        <v>322</v>
      </c>
      <c r="P20" t="s">
        <v>82</v>
      </c>
      <c r="Q20" t="s">
        <v>83</v>
      </c>
      <c r="R20">
        <v>15</v>
      </c>
      <c r="S20" t="s">
        <v>323</v>
      </c>
      <c r="T20" t="s">
        <v>160</v>
      </c>
      <c r="U20" t="s">
        <v>314</v>
      </c>
      <c r="V20" t="s">
        <v>68</v>
      </c>
      <c r="W20" t="s">
        <v>68</v>
      </c>
    </row>
    <row r="21" spans="1:23" x14ac:dyDescent="0.25">
      <c r="A21" t="s">
        <v>324</v>
      </c>
      <c r="B21" t="s">
        <v>325</v>
      </c>
      <c r="C21" t="s">
        <v>326</v>
      </c>
      <c r="D21" t="s">
        <v>327</v>
      </c>
      <c r="E21" t="s">
        <v>12</v>
      </c>
      <c r="F21" t="s">
        <v>328</v>
      </c>
      <c r="G21" t="s">
        <v>329</v>
      </c>
      <c r="H21" t="s">
        <v>330</v>
      </c>
      <c r="I21" t="s">
        <v>331</v>
      </c>
      <c r="J21" t="s">
        <v>332</v>
      </c>
      <c r="K21" t="s">
        <v>333</v>
      </c>
      <c r="L21" t="s">
        <v>334</v>
      </c>
      <c r="M21" t="s">
        <v>268</v>
      </c>
      <c r="N21" t="s">
        <v>62</v>
      </c>
      <c r="O21" t="s">
        <v>335</v>
      </c>
      <c r="P21" t="s">
        <v>174</v>
      </c>
      <c r="Q21" t="s">
        <v>83</v>
      </c>
      <c r="R21">
        <v>20</v>
      </c>
      <c r="S21" t="s">
        <v>336</v>
      </c>
      <c r="T21" t="s">
        <v>85</v>
      </c>
      <c r="U21" t="s">
        <v>328</v>
      </c>
      <c r="V21" t="s">
        <v>68</v>
      </c>
      <c r="W21" t="s">
        <v>68</v>
      </c>
    </row>
    <row r="22" spans="1:23" x14ac:dyDescent="0.25">
      <c r="A22" t="s">
        <v>337</v>
      </c>
      <c r="B22" t="s">
        <v>338</v>
      </c>
      <c r="C22" t="s">
        <v>339</v>
      </c>
      <c r="D22" t="s">
        <v>340</v>
      </c>
      <c r="E22" t="s">
        <v>12</v>
      </c>
      <c r="F22" t="s">
        <v>341</v>
      </c>
      <c r="G22" t="s">
        <v>342</v>
      </c>
      <c r="H22" t="s">
        <v>343</v>
      </c>
      <c r="I22" t="s">
        <v>344</v>
      </c>
      <c r="J22" t="s">
        <v>345</v>
      </c>
      <c r="K22" t="s">
        <v>346</v>
      </c>
      <c r="L22" t="s">
        <v>347</v>
      </c>
      <c r="M22" t="s">
        <v>348</v>
      </c>
      <c r="N22" t="s">
        <v>62</v>
      </c>
      <c r="O22" t="s">
        <v>349</v>
      </c>
      <c r="P22" t="s">
        <v>114</v>
      </c>
      <c r="Q22" t="s">
        <v>99</v>
      </c>
      <c r="R22">
        <v>20</v>
      </c>
      <c r="S22" t="s">
        <v>350</v>
      </c>
      <c r="T22" t="s">
        <v>67</v>
      </c>
      <c r="U22" t="s">
        <v>341</v>
      </c>
      <c r="V22" t="s">
        <v>68</v>
      </c>
      <c r="W22" t="s">
        <v>68</v>
      </c>
    </row>
    <row r="23" spans="1:23" x14ac:dyDescent="0.25">
      <c r="A23" t="s">
        <v>351</v>
      </c>
      <c r="B23" t="s">
        <v>352</v>
      </c>
      <c r="C23" t="s">
        <v>353</v>
      </c>
      <c r="D23" t="s">
        <v>354</v>
      </c>
      <c r="E23" t="s">
        <v>12</v>
      </c>
      <c r="F23" t="s">
        <v>355</v>
      </c>
      <c r="G23" t="s">
        <v>356</v>
      </c>
      <c r="H23" t="s">
        <v>357</v>
      </c>
      <c r="I23" t="s">
        <v>358</v>
      </c>
      <c r="J23" t="s">
        <v>359</v>
      </c>
      <c r="K23" t="s">
        <v>360</v>
      </c>
      <c r="L23" t="s">
        <v>361</v>
      </c>
      <c r="M23" t="s">
        <v>362</v>
      </c>
      <c r="N23" t="s">
        <v>62</v>
      </c>
      <c r="O23" t="s">
        <v>363</v>
      </c>
      <c r="P23" t="s">
        <v>143</v>
      </c>
      <c r="Q23" t="s">
        <v>65</v>
      </c>
      <c r="R23">
        <v>20</v>
      </c>
      <c r="S23" t="s">
        <v>364</v>
      </c>
      <c r="T23" t="s">
        <v>160</v>
      </c>
      <c r="U23" t="s">
        <v>355</v>
      </c>
      <c r="V23" t="s">
        <v>68</v>
      </c>
      <c r="W23" t="s">
        <v>68</v>
      </c>
    </row>
    <row r="24" spans="1:23" x14ac:dyDescent="0.25">
      <c r="A24" t="s">
        <v>365</v>
      </c>
      <c r="B24" t="s">
        <v>366</v>
      </c>
      <c r="C24" t="s">
        <v>367</v>
      </c>
      <c r="D24" t="s">
        <v>368</v>
      </c>
      <c r="E24" t="s">
        <v>12</v>
      </c>
      <c r="F24" t="s">
        <v>369</v>
      </c>
      <c r="G24" t="s">
        <v>370</v>
      </c>
      <c r="H24" t="s">
        <v>371</v>
      </c>
      <c r="I24" t="s">
        <v>372</v>
      </c>
      <c r="J24" t="s">
        <v>373</v>
      </c>
      <c r="K24" t="s">
        <v>374</v>
      </c>
      <c r="L24" t="s">
        <v>375</v>
      </c>
      <c r="M24" t="s">
        <v>268</v>
      </c>
      <c r="N24" t="s">
        <v>62</v>
      </c>
      <c r="O24" t="s">
        <v>376</v>
      </c>
      <c r="P24" t="s">
        <v>174</v>
      </c>
      <c r="Q24" t="s">
        <v>144</v>
      </c>
      <c r="R24">
        <v>25</v>
      </c>
      <c r="S24" t="s">
        <v>377</v>
      </c>
      <c r="T24" t="s">
        <v>85</v>
      </c>
      <c r="U24" t="s">
        <v>369</v>
      </c>
      <c r="V24" t="s">
        <v>68</v>
      </c>
      <c r="W24" t="s">
        <v>68</v>
      </c>
    </row>
    <row r="25" spans="1:23" x14ac:dyDescent="0.25">
      <c r="A25" t="s">
        <v>378</v>
      </c>
      <c r="B25" t="s">
        <v>379</v>
      </c>
      <c r="C25" t="s">
        <v>380</v>
      </c>
      <c r="D25" t="s">
        <v>381</v>
      </c>
      <c r="E25" t="s">
        <v>12</v>
      </c>
      <c r="F25" t="s">
        <v>382</v>
      </c>
      <c r="G25" t="s">
        <v>383</v>
      </c>
      <c r="H25" t="s">
        <v>384</v>
      </c>
      <c r="I25" t="s">
        <v>385</v>
      </c>
      <c r="J25" t="s">
        <v>386</v>
      </c>
      <c r="K25" t="s">
        <v>387</v>
      </c>
      <c r="L25" t="s">
        <v>388</v>
      </c>
      <c r="M25" t="s">
        <v>389</v>
      </c>
      <c r="N25" t="s">
        <v>62</v>
      </c>
      <c r="O25" t="s">
        <v>390</v>
      </c>
      <c r="P25" t="s">
        <v>82</v>
      </c>
      <c r="Q25" t="s">
        <v>144</v>
      </c>
      <c r="R25">
        <v>25</v>
      </c>
      <c r="S25" t="s">
        <v>391</v>
      </c>
      <c r="T25" t="s">
        <v>85</v>
      </c>
      <c r="U25" t="s">
        <v>382</v>
      </c>
      <c r="V25" t="s">
        <v>68</v>
      </c>
      <c r="W25" t="s">
        <v>68</v>
      </c>
    </row>
    <row r="26" spans="1:23" x14ac:dyDescent="0.25">
      <c r="A26" t="s">
        <v>10</v>
      </c>
      <c r="B26" t="s">
        <v>392</v>
      </c>
      <c r="C26" t="s">
        <v>393</v>
      </c>
      <c r="D26" t="s">
        <v>394</v>
      </c>
      <c r="E26" t="s">
        <v>12</v>
      </c>
      <c r="F26" t="s">
        <v>395</v>
      </c>
      <c r="G26" t="s">
        <v>396</v>
      </c>
      <c r="H26" t="s">
        <v>397</v>
      </c>
      <c r="I26" t="s">
        <v>398</v>
      </c>
      <c r="J26" t="s">
        <v>399</v>
      </c>
      <c r="K26" t="s">
        <v>400</v>
      </c>
      <c r="L26" t="s">
        <v>401</v>
      </c>
      <c r="M26" t="s">
        <v>242</v>
      </c>
      <c r="N26" t="s">
        <v>62</v>
      </c>
      <c r="O26" t="s">
        <v>402</v>
      </c>
      <c r="P26" t="s">
        <v>174</v>
      </c>
      <c r="Q26" t="s">
        <v>99</v>
      </c>
      <c r="R26">
        <v>15</v>
      </c>
      <c r="S26" t="s">
        <v>403</v>
      </c>
      <c r="T26" t="s">
        <v>85</v>
      </c>
      <c r="U26" t="s">
        <v>395</v>
      </c>
      <c r="V26" t="s">
        <v>68</v>
      </c>
      <c r="W26" t="s">
        <v>68</v>
      </c>
    </row>
    <row r="27" spans="1:23" x14ac:dyDescent="0.25">
      <c r="A27" t="s">
        <v>404</v>
      </c>
      <c r="B27" t="s">
        <v>285</v>
      </c>
      <c r="C27" t="s">
        <v>286</v>
      </c>
      <c r="D27" t="s">
        <v>405</v>
      </c>
      <c r="E27" t="s">
        <v>12</v>
      </c>
      <c r="F27" t="s">
        <v>406</v>
      </c>
      <c r="G27" t="s">
        <v>407</v>
      </c>
      <c r="H27" t="s">
        <v>408</v>
      </c>
      <c r="I27" t="s">
        <v>409</v>
      </c>
      <c r="J27" t="s">
        <v>410</v>
      </c>
      <c r="K27" t="s">
        <v>374</v>
      </c>
      <c r="L27" t="s">
        <v>411</v>
      </c>
      <c r="M27" t="s">
        <v>412</v>
      </c>
      <c r="N27" t="s">
        <v>62</v>
      </c>
      <c r="O27" t="s">
        <v>413</v>
      </c>
      <c r="P27" t="s">
        <v>82</v>
      </c>
      <c r="Q27" t="s">
        <v>99</v>
      </c>
      <c r="R27">
        <v>15</v>
      </c>
      <c r="S27" t="s">
        <v>296</v>
      </c>
      <c r="T27" t="s">
        <v>67</v>
      </c>
      <c r="U27" t="s">
        <v>406</v>
      </c>
      <c r="V27" t="s">
        <v>68</v>
      </c>
      <c r="W27" t="s">
        <v>68</v>
      </c>
    </row>
    <row r="28" spans="1:23" x14ac:dyDescent="0.25">
      <c r="A28" t="s">
        <v>414</v>
      </c>
      <c r="B28" t="s">
        <v>415</v>
      </c>
      <c r="C28" t="s">
        <v>416</v>
      </c>
      <c r="D28" t="s">
        <v>417</v>
      </c>
      <c r="E28" t="s">
        <v>12</v>
      </c>
      <c r="F28" t="s">
        <v>418</v>
      </c>
      <c r="G28" t="s">
        <v>419</v>
      </c>
      <c r="H28" t="s">
        <v>420</v>
      </c>
      <c r="I28" t="s">
        <v>421</v>
      </c>
      <c r="J28" t="s">
        <v>422</v>
      </c>
      <c r="K28" t="s">
        <v>423</v>
      </c>
      <c r="L28" t="s">
        <v>424</v>
      </c>
      <c r="M28" t="s">
        <v>348</v>
      </c>
      <c r="N28" t="s">
        <v>62</v>
      </c>
      <c r="O28" t="s">
        <v>425</v>
      </c>
      <c r="P28" t="s">
        <v>143</v>
      </c>
      <c r="Q28" t="s">
        <v>99</v>
      </c>
      <c r="R28">
        <v>15</v>
      </c>
      <c r="S28" t="s">
        <v>426</v>
      </c>
      <c r="T28" t="s">
        <v>67</v>
      </c>
      <c r="U28" t="s">
        <v>418</v>
      </c>
      <c r="V28" t="s">
        <v>68</v>
      </c>
      <c r="W28" t="s">
        <v>68</v>
      </c>
    </row>
    <row r="29" spans="1:23" x14ac:dyDescent="0.25">
      <c r="A29" t="s">
        <v>427</v>
      </c>
      <c r="B29" t="s">
        <v>428</v>
      </c>
      <c r="C29" t="s">
        <v>429</v>
      </c>
      <c r="D29" t="s">
        <v>430</v>
      </c>
      <c r="E29" t="s">
        <v>12</v>
      </c>
      <c r="F29" t="s">
        <v>431</v>
      </c>
      <c r="G29" t="s">
        <v>432</v>
      </c>
      <c r="H29" t="s">
        <v>433</v>
      </c>
      <c r="I29" t="s">
        <v>434</v>
      </c>
      <c r="J29" t="s">
        <v>435</v>
      </c>
      <c r="K29" t="s">
        <v>319</v>
      </c>
      <c r="L29" t="s">
        <v>436</v>
      </c>
      <c r="M29" t="s">
        <v>437</v>
      </c>
      <c r="N29" t="s">
        <v>62</v>
      </c>
      <c r="O29" t="s">
        <v>438</v>
      </c>
      <c r="P29" t="s">
        <v>114</v>
      </c>
      <c r="Q29" t="s">
        <v>83</v>
      </c>
      <c r="R29">
        <v>15</v>
      </c>
      <c r="S29" t="s">
        <v>439</v>
      </c>
      <c r="T29" t="s">
        <v>85</v>
      </c>
      <c r="U29" t="s">
        <v>431</v>
      </c>
      <c r="V29" t="s">
        <v>68</v>
      </c>
      <c r="W29" t="s">
        <v>68</v>
      </c>
    </row>
    <row r="30" spans="1:23" x14ac:dyDescent="0.25">
      <c r="A30" t="s">
        <v>440</v>
      </c>
      <c r="B30" t="s">
        <v>441</v>
      </c>
      <c r="C30" t="s">
        <v>442</v>
      </c>
      <c r="D30" t="s">
        <v>443</v>
      </c>
      <c r="E30" t="s">
        <v>12</v>
      </c>
      <c r="F30" t="s">
        <v>444</v>
      </c>
      <c r="G30" t="s">
        <v>445</v>
      </c>
      <c r="H30" t="s">
        <v>446</v>
      </c>
      <c r="I30" t="s">
        <v>447</v>
      </c>
      <c r="J30" t="s">
        <v>448</v>
      </c>
      <c r="K30" t="s">
        <v>449</v>
      </c>
      <c r="L30" t="s">
        <v>450</v>
      </c>
      <c r="M30" t="s">
        <v>451</v>
      </c>
      <c r="N30" t="s">
        <v>62</v>
      </c>
      <c r="O30" t="s">
        <v>452</v>
      </c>
      <c r="P30" t="s">
        <v>174</v>
      </c>
      <c r="Q30" t="s">
        <v>99</v>
      </c>
      <c r="R30">
        <v>15</v>
      </c>
      <c r="S30" t="s">
        <v>453</v>
      </c>
      <c r="T30" t="s">
        <v>160</v>
      </c>
      <c r="U30" t="s">
        <v>444</v>
      </c>
      <c r="V30" t="s">
        <v>68</v>
      </c>
      <c r="W30" t="s">
        <v>68</v>
      </c>
    </row>
    <row r="31" spans="1:23" x14ac:dyDescent="0.25">
      <c r="A31" t="s">
        <v>454</v>
      </c>
      <c r="B31" t="s">
        <v>455</v>
      </c>
      <c r="C31" t="s">
        <v>456</v>
      </c>
      <c r="D31" t="s">
        <v>457</v>
      </c>
      <c r="E31" t="s">
        <v>12</v>
      </c>
      <c r="F31" t="s">
        <v>458</v>
      </c>
      <c r="G31" t="s">
        <v>459</v>
      </c>
      <c r="H31" t="s">
        <v>460</v>
      </c>
      <c r="I31" t="s">
        <v>461</v>
      </c>
      <c r="J31" t="s">
        <v>462</v>
      </c>
      <c r="K31" t="s">
        <v>95</v>
      </c>
      <c r="L31" t="s">
        <v>463</v>
      </c>
      <c r="M31" t="s">
        <v>348</v>
      </c>
      <c r="N31" t="s">
        <v>62</v>
      </c>
      <c r="O31" t="s">
        <v>464</v>
      </c>
      <c r="P31" t="s">
        <v>174</v>
      </c>
      <c r="Q31" t="s">
        <v>83</v>
      </c>
      <c r="R31">
        <v>25</v>
      </c>
      <c r="S31" t="s">
        <v>465</v>
      </c>
      <c r="T31" t="s">
        <v>85</v>
      </c>
      <c r="U31" t="s">
        <v>458</v>
      </c>
      <c r="V31" t="s">
        <v>68</v>
      </c>
      <c r="W31" t="s">
        <v>68</v>
      </c>
    </row>
    <row r="32" spans="1:23" x14ac:dyDescent="0.25">
      <c r="A32" t="s">
        <v>466</v>
      </c>
      <c r="B32" t="s">
        <v>467</v>
      </c>
      <c r="C32" t="s">
        <v>468</v>
      </c>
      <c r="D32" t="s">
        <v>469</v>
      </c>
      <c r="E32" t="s">
        <v>12</v>
      </c>
      <c r="F32" t="s">
        <v>470</v>
      </c>
      <c r="G32" t="s">
        <v>471</v>
      </c>
      <c r="H32" t="s">
        <v>472</v>
      </c>
      <c r="I32" t="s">
        <v>473</v>
      </c>
      <c r="J32" t="s">
        <v>474</v>
      </c>
      <c r="K32" t="s">
        <v>475</v>
      </c>
      <c r="L32" t="s">
        <v>476</v>
      </c>
      <c r="M32" t="s">
        <v>157</v>
      </c>
      <c r="N32" t="s">
        <v>62</v>
      </c>
      <c r="O32" t="s">
        <v>477</v>
      </c>
      <c r="P32" t="s">
        <v>114</v>
      </c>
      <c r="Q32" t="s">
        <v>83</v>
      </c>
      <c r="R32">
        <v>25</v>
      </c>
      <c r="S32" t="s">
        <v>478</v>
      </c>
      <c r="T32" t="s">
        <v>85</v>
      </c>
      <c r="U32" t="s">
        <v>470</v>
      </c>
      <c r="V32" t="s">
        <v>68</v>
      </c>
      <c r="W32" t="s">
        <v>68</v>
      </c>
    </row>
    <row r="33" spans="1:23" x14ac:dyDescent="0.25">
      <c r="A33" t="s">
        <v>479</v>
      </c>
      <c r="B33" t="s">
        <v>480</v>
      </c>
      <c r="C33" t="s">
        <v>481</v>
      </c>
      <c r="D33" t="s">
        <v>482</v>
      </c>
      <c r="E33" t="s">
        <v>12</v>
      </c>
      <c r="F33" t="s">
        <v>483</v>
      </c>
      <c r="G33" t="s">
        <v>484</v>
      </c>
      <c r="H33" t="s">
        <v>485</v>
      </c>
      <c r="I33" t="s">
        <v>486</v>
      </c>
      <c r="J33" t="s">
        <v>487</v>
      </c>
      <c r="K33" t="s">
        <v>306</v>
      </c>
      <c r="L33" t="s">
        <v>488</v>
      </c>
      <c r="M33" t="s">
        <v>451</v>
      </c>
      <c r="N33" t="s">
        <v>62</v>
      </c>
      <c r="O33" t="s">
        <v>489</v>
      </c>
      <c r="P33" t="s">
        <v>82</v>
      </c>
      <c r="Q33" t="s">
        <v>99</v>
      </c>
      <c r="R33">
        <v>10</v>
      </c>
      <c r="S33" t="s">
        <v>490</v>
      </c>
      <c r="T33" t="s">
        <v>85</v>
      </c>
      <c r="U33" t="s">
        <v>483</v>
      </c>
      <c r="V33" t="s">
        <v>68</v>
      </c>
      <c r="W33" t="s">
        <v>68</v>
      </c>
    </row>
    <row r="34" spans="1:23" x14ac:dyDescent="0.25">
      <c r="A34" t="s">
        <v>491</v>
      </c>
      <c r="B34" t="s">
        <v>492</v>
      </c>
      <c r="C34" t="s">
        <v>493</v>
      </c>
      <c r="D34" t="s">
        <v>494</v>
      </c>
      <c r="E34" t="s">
        <v>12</v>
      </c>
      <c r="F34" t="s">
        <v>495</v>
      </c>
      <c r="G34" t="s">
        <v>496</v>
      </c>
      <c r="H34" t="s">
        <v>497</v>
      </c>
      <c r="I34" t="s">
        <v>498</v>
      </c>
      <c r="J34" t="s">
        <v>499</v>
      </c>
      <c r="K34" t="s">
        <v>500</v>
      </c>
      <c r="L34" t="s">
        <v>501</v>
      </c>
      <c r="M34" t="s">
        <v>268</v>
      </c>
      <c r="N34" t="s">
        <v>62</v>
      </c>
      <c r="O34" t="s">
        <v>502</v>
      </c>
      <c r="P34" t="s">
        <v>64</v>
      </c>
      <c r="Q34" t="s">
        <v>144</v>
      </c>
      <c r="R34">
        <v>10</v>
      </c>
      <c r="S34" t="s">
        <v>503</v>
      </c>
      <c r="T34" t="s">
        <v>160</v>
      </c>
      <c r="U34" t="s">
        <v>495</v>
      </c>
      <c r="V34" t="s">
        <v>68</v>
      </c>
      <c r="W34" t="s">
        <v>68</v>
      </c>
    </row>
    <row r="35" spans="1:23" x14ac:dyDescent="0.25">
      <c r="A35" t="s">
        <v>504</v>
      </c>
      <c r="B35" t="s">
        <v>505</v>
      </c>
      <c r="C35" t="s">
        <v>506</v>
      </c>
      <c r="D35" t="s">
        <v>507</v>
      </c>
      <c r="E35" t="s">
        <v>12</v>
      </c>
      <c r="F35" t="s">
        <v>508</v>
      </c>
      <c r="G35" t="s">
        <v>509</v>
      </c>
      <c r="H35" t="s">
        <v>510</v>
      </c>
      <c r="I35" t="s">
        <v>511</v>
      </c>
      <c r="J35" t="s">
        <v>512</v>
      </c>
      <c r="K35" t="s">
        <v>513</v>
      </c>
      <c r="L35" t="s">
        <v>514</v>
      </c>
      <c r="M35" t="s">
        <v>515</v>
      </c>
      <c r="N35" t="s">
        <v>62</v>
      </c>
      <c r="O35" t="s">
        <v>516</v>
      </c>
      <c r="P35" t="s">
        <v>82</v>
      </c>
      <c r="Q35" t="s">
        <v>83</v>
      </c>
      <c r="R35">
        <v>15</v>
      </c>
      <c r="S35" t="s">
        <v>517</v>
      </c>
      <c r="T35" t="s">
        <v>85</v>
      </c>
      <c r="U35" t="s">
        <v>508</v>
      </c>
      <c r="V35" t="s">
        <v>68</v>
      </c>
      <c r="W35" t="s">
        <v>68</v>
      </c>
    </row>
    <row r="36" spans="1:23" x14ac:dyDescent="0.25">
      <c r="A36" t="s">
        <v>518</v>
      </c>
      <c r="B36" t="s">
        <v>519</v>
      </c>
      <c r="C36" t="s">
        <v>520</v>
      </c>
      <c r="D36" t="s">
        <v>521</v>
      </c>
      <c r="E36" t="s">
        <v>12</v>
      </c>
      <c r="F36" t="s">
        <v>522</v>
      </c>
      <c r="G36" t="s">
        <v>523</v>
      </c>
      <c r="H36" t="s">
        <v>524</v>
      </c>
      <c r="I36" t="s">
        <v>344</v>
      </c>
      <c r="J36" t="s">
        <v>525</v>
      </c>
      <c r="K36" t="s">
        <v>526</v>
      </c>
      <c r="L36" t="s">
        <v>527</v>
      </c>
      <c r="M36" t="s">
        <v>141</v>
      </c>
      <c r="N36" t="s">
        <v>62</v>
      </c>
      <c r="O36" t="s">
        <v>528</v>
      </c>
      <c r="P36" t="s">
        <v>64</v>
      </c>
      <c r="Q36" t="s">
        <v>65</v>
      </c>
      <c r="R36">
        <v>25</v>
      </c>
      <c r="S36" t="s">
        <v>529</v>
      </c>
      <c r="T36" t="s">
        <v>160</v>
      </c>
      <c r="U36" t="s">
        <v>522</v>
      </c>
      <c r="V36" t="s">
        <v>68</v>
      </c>
      <c r="W36" t="s">
        <v>68</v>
      </c>
    </row>
    <row r="37" spans="1:23" x14ac:dyDescent="0.25">
      <c r="A37" t="s">
        <v>530</v>
      </c>
      <c r="B37" t="s">
        <v>531</v>
      </c>
      <c r="C37" t="s">
        <v>532</v>
      </c>
      <c r="D37" t="s">
        <v>533</v>
      </c>
      <c r="E37" t="s">
        <v>12</v>
      </c>
      <c r="F37" t="s">
        <v>534</v>
      </c>
      <c r="G37" t="s">
        <v>535</v>
      </c>
      <c r="H37" t="s">
        <v>536</v>
      </c>
      <c r="I37" t="s">
        <v>537</v>
      </c>
      <c r="J37" t="s">
        <v>538</v>
      </c>
      <c r="K37" t="s">
        <v>539</v>
      </c>
      <c r="L37" t="s">
        <v>540</v>
      </c>
      <c r="M37" t="s">
        <v>127</v>
      </c>
      <c r="N37" t="s">
        <v>62</v>
      </c>
      <c r="O37" t="s">
        <v>541</v>
      </c>
      <c r="P37" t="s">
        <v>114</v>
      </c>
      <c r="Q37" t="s">
        <v>99</v>
      </c>
      <c r="R37">
        <v>25</v>
      </c>
      <c r="S37" t="s">
        <v>542</v>
      </c>
      <c r="T37" t="s">
        <v>67</v>
      </c>
      <c r="U37" t="s">
        <v>534</v>
      </c>
      <c r="V37" t="s">
        <v>68</v>
      </c>
      <c r="W37" t="s">
        <v>68</v>
      </c>
    </row>
    <row r="38" spans="1:23" x14ac:dyDescent="0.25">
      <c r="A38" t="s">
        <v>543</v>
      </c>
      <c r="B38" t="s">
        <v>544</v>
      </c>
      <c r="C38" t="s">
        <v>545</v>
      </c>
      <c r="D38" t="s">
        <v>546</v>
      </c>
      <c r="E38" t="s">
        <v>12</v>
      </c>
      <c r="F38" t="s">
        <v>547</v>
      </c>
      <c r="G38" t="s">
        <v>548</v>
      </c>
      <c r="H38" t="s">
        <v>549</v>
      </c>
      <c r="I38" t="s">
        <v>550</v>
      </c>
      <c r="J38" t="s">
        <v>551</v>
      </c>
      <c r="K38" t="s">
        <v>552</v>
      </c>
      <c r="L38" t="s">
        <v>553</v>
      </c>
      <c r="M38" t="s">
        <v>97</v>
      </c>
      <c r="N38" t="s">
        <v>62</v>
      </c>
      <c r="O38" t="s">
        <v>554</v>
      </c>
      <c r="P38" t="s">
        <v>143</v>
      </c>
      <c r="Q38" t="s">
        <v>83</v>
      </c>
      <c r="R38">
        <v>10</v>
      </c>
      <c r="S38" t="s">
        <v>555</v>
      </c>
      <c r="T38" t="s">
        <v>67</v>
      </c>
      <c r="U38" t="s">
        <v>547</v>
      </c>
      <c r="V38" t="s">
        <v>68</v>
      </c>
      <c r="W38" t="s">
        <v>68</v>
      </c>
    </row>
    <row r="39" spans="1:23" x14ac:dyDescent="0.25">
      <c r="A39" t="s">
        <v>556</v>
      </c>
      <c r="B39" t="s">
        <v>557</v>
      </c>
      <c r="C39" t="s">
        <v>558</v>
      </c>
      <c r="D39" t="s">
        <v>559</v>
      </c>
      <c r="E39" t="s">
        <v>12</v>
      </c>
      <c r="F39" t="s">
        <v>560</v>
      </c>
      <c r="G39" t="s">
        <v>561</v>
      </c>
      <c r="H39" t="s">
        <v>562</v>
      </c>
      <c r="I39" t="s">
        <v>563</v>
      </c>
      <c r="J39" t="s">
        <v>564</v>
      </c>
      <c r="K39" t="s">
        <v>423</v>
      </c>
      <c r="L39" t="s">
        <v>565</v>
      </c>
      <c r="M39" t="s">
        <v>389</v>
      </c>
      <c r="N39" t="s">
        <v>62</v>
      </c>
      <c r="O39" t="s">
        <v>566</v>
      </c>
      <c r="P39" t="s">
        <v>143</v>
      </c>
      <c r="Q39" t="s">
        <v>83</v>
      </c>
      <c r="R39">
        <v>25</v>
      </c>
      <c r="S39" t="s">
        <v>567</v>
      </c>
      <c r="T39" t="s">
        <v>85</v>
      </c>
      <c r="U39" t="s">
        <v>560</v>
      </c>
      <c r="V39" t="s">
        <v>68</v>
      </c>
      <c r="W39" t="s">
        <v>68</v>
      </c>
    </row>
    <row r="40" spans="1:23" x14ac:dyDescent="0.25">
      <c r="A40" t="s">
        <v>568</v>
      </c>
      <c r="B40" t="s">
        <v>569</v>
      </c>
      <c r="C40" t="s">
        <v>570</v>
      </c>
      <c r="D40" t="s">
        <v>571</v>
      </c>
      <c r="E40" t="s">
        <v>12</v>
      </c>
      <c r="F40" t="s">
        <v>572</v>
      </c>
      <c r="G40" t="s">
        <v>573</v>
      </c>
      <c r="H40" t="s">
        <v>574</v>
      </c>
      <c r="I40" t="s">
        <v>575</v>
      </c>
      <c r="J40" t="s">
        <v>576</v>
      </c>
      <c r="K40" t="s">
        <v>125</v>
      </c>
      <c r="L40" t="s">
        <v>577</v>
      </c>
      <c r="M40" t="s">
        <v>578</v>
      </c>
      <c r="N40" t="s">
        <v>62</v>
      </c>
      <c r="O40" t="s">
        <v>579</v>
      </c>
      <c r="P40" t="s">
        <v>143</v>
      </c>
      <c r="Q40" t="s">
        <v>83</v>
      </c>
      <c r="R40">
        <v>15</v>
      </c>
      <c r="S40" t="s">
        <v>580</v>
      </c>
      <c r="T40" t="s">
        <v>160</v>
      </c>
      <c r="U40" t="s">
        <v>572</v>
      </c>
      <c r="V40" t="s">
        <v>68</v>
      </c>
      <c r="W40" t="s">
        <v>68</v>
      </c>
    </row>
    <row r="41" spans="1:23" x14ac:dyDescent="0.25">
      <c r="A41" t="s">
        <v>581</v>
      </c>
      <c r="B41" t="s">
        <v>582</v>
      </c>
      <c r="C41" t="s">
        <v>583</v>
      </c>
      <c r="D41" t="s">
        <v>584</v>
      </c>
      <c r="E41" t="s">
        <v>12</v>
      </c>
      <c r="F41" t="s">
        <v>585</v>
      </c>
      <c r="G41" t="s">
        <v>586</v>
      </c>
      <c r="H41" t="s">
        <v>587</v>
      </c>
      <c r="I41" t="s">
        <v>588</v>
      </c>
      <c r="J41" t="s">
        <v>589</v>
      </c>
      <c r="K41" t="s">
        <v>590</v>
      </c>
      <c r="L41" t="s">
        <v>591</v>
      </c>
      <c r="M41" t="s">
        <v>362</v>
      </c>
      <c r="N41" t="s">
        <v>62</v>
      </c>
      <c r="O41" t="s">
        <v>592</v>
      </c>
      <c r="P41" t="s">
        <v>143</v>
      </c>
      <c r="Q41" t="s">
        <v>99</v>
      </c>
      <c r="R41">
        <v>20</v>
      </c>
      <c r="S41" t="s">
        <v>593</v>
      </c>
      <c r="T41" t="s">
        <v>67</v>
      </c>
      <c r="U41" t="s">
        <v>585</v>
      </c>
      <c r="V41" t="s">
        <v>68</v>
      </c>
      <c r="W41" t="s">
        <v>68</v>
      </c>
    </row>
    <row r="42" spans="1:23" x14ac:dyDescent="0.25">
      <c r="A42" t="s">
        <v>594</v>
      </c>
      <c r="B42" t="s">
        <v>595</v>
      </c>
      <c r="C42" t="s">
        <v>596</v>
      </c>
      <c r="D42" t="s">
        <v>597</v>
      </c>
      <c r="E42" t="s">
        <v>12</v>
      </c>
      <c r="F42" t="s">
        <v>598</v>
      </c>
      <c r="G42" t="s">
        <v>599</v>
      </c>
      <c r="H42" t="s">
        <v>600</v>
      </c>
      <c r="I42" t="s">
        <v>601</v>
      </c>
      <c r="J42" t="s">
        <v>602</v>
      </c>
      <c r="K42" t="s">
        <v>603</v>
      </c>
      <c r="L42" t="s">
        <v>604</v>
      </c>
      <c r="M42" t="s">
        <v>348</v>
      </c>
      <c r="N42" t="s">
        <v>62</v>
      </c>
      <c r="O42" t="s">
        <v>605</v>
      </c>
      <c r="P42" t="s">
        <v>82</v>
      </c>
      <c r="Q42" t="s">
        <v>65</v>
      </c>
      <c r="R42" t="s">
        <v>606</v>
      </c>
      <c r="S42" t="s">
        <v>607</v>
      </c>
      <c r="T42" t="s">
        <v>160</v>
      </c>
      <c r="U42" t="s">
        <v>598</v>
      </c>
      <c r="V42" t="s">
        <v>68</v>
      </c>
      <c r="W42" t="s">
        <v>68</v>
      </c>
    </row>
    <row r="43" spans="1:23" x14ac:dyDescent="0.25">
      <c r="A43" t="s">
        <v>621</v>
      </c>
      <c r="B43" t="s">
        <v>622</v>
      </c>
      <c r="C43" t="s">
        <v>623</v>
      </c>
      <c r="D43" t="s">
        <v>624</v>
      </c>
      <c r="E43" t="s">
        <v>12</v>
      </c>
      <c r="F43" t="s">
        <v>625</v>
      </c>
      <c r="G43" t="s">
        <v>626</v>
      </c>
      <c r="H43" t="s">
        <v>627</v>
      </c>
      <c r="I43" t="s">
        <v>628</v>
      </c>
      <c r="J43" t="s">
        <v>629</v>
      </c>
      <c r="K43" t="s">
        <v>319</v>
      </c>
      <c r="L43" t="s">
        <v>630</v>
      </c>
      <c r="M43" t="s">
        <v>214</v>
      </c>
      <c r="N43" t="s">
        <v>62</v>
      </c>
      <c r="O43" t="s">
        <v>631</v>
      </c>
      <c r="P43" t="s">
        <v>82</v>
      </c>
      <c r="Q43" t="s">
        <v>99</v>
      </c>
      <c r="R43" t="s">
        <v>606</v>
      </c>
      <c r="S43" t="s">
        <v>632</v>
      </c>
      <c r="T43" t="s">
        <v>160</v>
      </c>
      <c r="U43" t="s">
        <v>625</v>
      </c>
    </row>
    <row r="44" spans="1:23" x14ac:dyDescent="0.25">
      <c r="A44" t="s">
        <v>633</v>
      </c>
      <c r="B44" t="s">
        <v>634</v>
      </c>
      <c r="C44" t="s">
        <v>635</v>
      </c>
      <c r="D44" t="s">
        <v>636</v>
      </c>
      <c r="E44" t="s">
        <v>12</v>
      </c>
      <c r="F44" t="s">
        <v>637</v>
      </c>
      <c r="G44" t="s">
        <v>638</v>
      </c>
      <c r="H44" t="s">
        <v>639</v>
      </c>
      <c r="I44" t="s">
        <v>640</v>
      </c>
      <c r="J44" t="s">
        <v>641</v>
      </c>
      <c r="K44" t="s">
        <v>642</v>
      </c>
      <c r="L44" t="s">
        <v>643</v>
      </c>
      <c r="M44" t="s">
        <v>578</v>
      </c>
      <c r="N44" t="s">
        <v>62</v>
      </c>
      <c r="O44" t="s">
        <v>644</v>
      </c>
      <c r="P44" t="s">
        <v>174</v>
      </c>
      <c r="Q44" t="s">
        <v>65</v>
      </c>
      <c r="R44" t="s">
        <v>612</v>
      </c>
      <c r="S44" t="s">
        <v>645</v>
      </c>
      <c r="T44" t="s">
        <v>85</v>
      </c>
      <c r="U44" t="s">
        <v>637</v>
      </c>
    </row>
    <row r="45" spans="1:23" x14ac:dyDescent="0.25">
      <c r="A45" t="s">
        <v>646</v>
      </c>
      <c r="B45" t="s">
        <v>647</v>
      </c>
      <c r="C45" t="s">
        <v>648</v>
      </c>
      <c r="D45" t="s">
        <v>649</v>
      </c>
      <c r="E45" t="s">
        <v>12</v>
      </c>
      <c r="F45" t="s">
        <v>650</v>
      </c>
      <c r="G45" t="s">
        <v>651</v>
      </c>
      <c r="H45" t="s">
        <v>652</v>
      </c>
      <c r="I45" t="s">
        <v>653</v>
      </c>
      <c r="J45" t="s">
        <v>654</v>
      </c>
      <c r="K45" t="s">
        <v>655</v>
      </c>
      <c r="L45" t="s">
        <v>199</v>
      </c>
      <c r="M45" t="s">
        <v>656</v>
      </c>
      <c r="N45" t="s">
        <v>62</v>
      </c>
      <c r="O45" t="s">
        <v>657</v>
      </c>
      <c r="P45" t="s">
        <v>174</v>
      </c>
      <c r="Q45" t="s">
        <v>99</v>
      </c>
      <c r="R45" t="s">
        <v>606</v>
      </c>
      <c r="S45" t="s">
        <v>658</v>
      </c>
      <c r="T45" t="s">
        <v>85</v>
      </c>
      <c r="U45" t="s">
        <v>650</v>
      </c>
    </row>
    <row r="46" spans="1:23" x14ac:dyDescent="0.25">
      <c r="A46" t="s">
        <v>659</v>
      </c>
      <c r="B46" t="s">
        <v>660</v>
      </c>
      <c r="C46" t="s">
        <v>661</v>
      </c>
      <c r="D46" t="s">
        <v>662</v>
      </c>
      <c r="E46" t="s">
        <v>12</v>
      </c>
      <c r="F46" t="s">
        <v>663</v>
      </c>
      <c r="G46" t="s">
        <v>664</v>
      </c>
      <c r="H46" t="s">
        <v>665</v>
      </c>
      <c r="I46" t="s">
        <v>666</v>
      </c>
      <c r="J46" t="s">
        <v>667</v>
      </c>
      <c r="K46" t="s">
        <v>500</v>
      </c>
      <c r="L46" t="s">
        <v>668</v>
      </c>
      <c r="M46" t="s">
        <v>214</v>
      </c>
      <c r="N46" t="s">
        <v>62</v>
      </c>
      <c r="O46" t="s">
        <v>669</v>
      </c>
      <c r="P46" t="s">
        <v>143</v>
      </c>
      <c r="Q46" t="s">
        <v>144</v>
      </c>
      <c r="R46" t="s">
        <v>606</v>
      </c>
      <c r="S46" t="s">
        <v>670</v>
      </c>
      <c r="T46" t="s">
        <v>160</v>
      </c>
      <c r="U46" t="s">
        <v>663</v>
      </c>
    </row>
    <row r="47" spans="1:23" x14ac:dyDescent="0.25">
      <c r="A47" t="s">
        <v>671</v>
      </c>
      <c r="B47" t="s">
        <v>672</v>
      </c>
      <c r="C47" t="s">
        <v>673</v>
      </c>
      <c r="D47" t="s">
        <v>674</v>
      </c>
      <c r="E47" t="s">
        <v>12</v>
      </c>
      <c r="F47" t="s">
        <v>675</v>
      </c>
      <c r="G47" t="s">
        <v>676</v>
      </c>
      <c r="H47" t="s">
        <v>677</v>
      </c>
      <c r="I47" t="s">
        <v>653</v>
      </c>
      <c r="J47" t="s">
        <v>678</v>
      </c>
      <c r="K47" t="s">
        <v>679</v>
      </c>
      <c r="L47" t="s">
        <v>126</v>
      </c>
      <c r="M47" t="s">
        <v>412</v>
      </c>
      <c r="N47" t="s">
        <v>62</v>
      </c>
      <c r="O47" t="s">
        <v>680</v>
      </c>
      <c r="P47" t="s">
        <v>174</v>
      </c>
      <c r="Q47" t="s">
        <v>83</v>
      </c>
      <c r="R47" t="s">
        <v>608</v>
      </c>
      <c r="S47" t="s">
        <v>681</v>
      </c>
      <c r="T47" t="s">
        <v>67</v>
      </c>
      <c r="U47" t="s">
        <v>675</v>
      </c>
    </row>
    <row r="48" spans="1:23" x14ac:dyDescent="0.25">
      <c r="A48" t="s">
        <v>682</v>
      </c>
      <c r="B48" t="s">
        <v>683</v>
      </c>
      <c r="C48" t="s">
        <v>684</v>
      </c>
      <c r="D48" t="s">
        <v>685</v>
      </c>
      <c r="E48" t="s">
        <v>12</v>
      </c>
      <c r="F48" t="s">
        <v>686</v>
      </c>
      <c r="G48" t="s">
        <v>687</v>
      </c>
      <c r="H48" t="s">
        <v>688</v>
      </c>
      <c r="I48" t="s">
        <v>689</v>
      </c>
      <c r="J48" t="s">
        <v>690</v>
      </c>
      <c r="K48" t="s">
        <v>423</v>
      </c>
      <c r="L48" t="s">
        <v>691</v>
      </c>
      <c r="M48" t="s">
        <v>127</v>
      </c>
      <c r="N48" t="s">
        <v>62</v>
      </c>
      <c r="O48" t="s">
        <v>692</v>
      </c>
      <c r="P48" t="s">
        <v>114</v>
      </c>
      <c r="Q48" t="s">
        <v>144</v>
      </c>
      <c r="R48" t="s">
        <v>608</v>
      </c>
      <c r="S48" t="s">
        <v>693</v>
      </c>
      <c r="T48" t="s">
        <v>67</v>
      </c>
      <c r="U48" t="s">
        <v>686</v>
      </c>
    </row>
    <row r="49" spans="1:21" x14ac:dyDescent="0.25">
      <c r="A49" t="s">
        <v>694</v>
      </c>
      <c r="B49" t="s">
        <v>695</v>
      </c>
      <c r="C49" t="s">
        <v>696</v>
      </c>
      <c r="D49" t="s">
        <v>697</v>
      </c>
      <c r="E49" t="s">
        <v>12</v>
      </c>
      <c r="F49" t="s">
        <v>698</v>
      </c>
      <c r="G49" t="s">
        <v>699</v>
      </c>
      <c r="H49" t="s">
        <v>700</v>
      </c>
      <c r="I49" t="s">
        <v>701</v>
      </c>
      <c r="J49" t="s">
        <v>702</v>
      </c>
      <c r="K49" t="s">
        <v>703</v>
      </c>
      <c r="L49" t="s">
        <v>704</v>
      </c>
      <c r="M49" t="s">
        <v>187</v>
      </c>
      <c r="N49" t="s">
        <v>62</v>
      </c>
      <c r="O49" t="s">
        <v>705</v>
      </c>
      <c r="P49" t="s">
        <v>114</v>
      </c>
      <c r="Q49" t="s">
        <v>83</v>
      </c>
      <c r="R49" t="s">
        <v>606</v>
      </c>
      <c r="S49" t="s">
        <v>706</v>
      </c>
      <c r="T49" t="s">
        <v>67</v>
      </c>
      <c r="U49" t="s">
        <v>698</v>
      </c>
    </row>
    <row r="50" spans="1:21" x14ac:dyDescent="0.25">
      <c r="A50" t="s">
        <v>707</v>
      </c>
      <c r="B50" t="s">
        <v>708</v>
      </c>
      <c r="C50" t="s">
        <v>709</v>
      </c>
      <c r="D50" t="s">
        <v>710</v>
      </c>
      <c r="E50" t="s">
        <v>12</v>
      </c>
      <c r="F50" t="s">
        <v>711</v>
      </c>
      <c r="G50" t="s">
        <v>712</v>
      </c>
      <c r="H50" t="s">
        <v>713</v>
      </c>
      <c r="I50" t="s">
        <v>714</v>
      </c>
      <c r="J50" t="s">
        <v>715</v>
      </c>
      <c r="K50" t="s">
        <v>716</v>
      </c>
      <c r="L50" t="s">
        <v>717</v>
      </c>
      <c r="M50" t="s">
        <v>157</v>
      </c>
      <c r="N50" t="s">
        <v>62</v>
      </c>
      <c r="O50" t="s">
        <v>718</v>
      </c>
      <c r="P50" t="s">
        <v>64</v>
      </c>
      <c r="Q50" t="s">
        <v>99</v>
      </c>
      <c r="R50" t="s">
        <v>606</v>
      </c>
      <c r="S50" t="s">
        <v>719</v>
      </c>
      <c r="T50" t="s">
        <v>85</v>
      </c>
      <c r="U50" t="s">
        <v>711</v>
      </c>
    </row>
    <row r="51" spans="1:21" x14ac:dyDescent="0.25">
      <c r="A51" t="s">
        <v>720</v>
      </c>
      <c r="B51" t="s">
        <v>721</v>
      </c>
      <c r="C51" t="s">
        <v>722</v>
      </c>
      <c r="D51" t="s">
        <v>723</v>
      </c>
      <c r="E51" t="s">
        <v>12</v>
      </c>
      <c r="F51" t="s">
        <v>724</v>
      </c>
      <c r="G51" t="s">
        <v>725</v>
      </c>
      <c r="H51" t="s">
        <v>726</v>
      </c>
      <c r="I51" t="s">
        <v>727</v>
      </c>
      <c r="J51" t="s">
        <v>728</v>
      </c>
      <c r="K51" t="s">
        <v>78</v>
      </c>
      <c r="L51" t="s">
        <v>729</v>
      </c>
      <c r="M51" t="s">
        <v>214</v>
      </c>
      <c r="N51" t="s">
        <v>62</v>
      </c>
      <c r="O51" t="s">
        <v>730</v>
      </c>
      <c r="P51" t="s">
        <v>143</v>
      </c>
      <c r="Q51" t="s">
        <v>83</v>
      </c>
      <c r="R51" t="s">
        <v>606</v>
      </c>
      <c r="S51" t="s">
        <v>731</v>
      </c>
      <c r="T51" t="s">
        <v>85</v>
      </c>
      <c r="U51" t="s">
        <v>724</v>
      </c>
    </row>
    <row r="52" spans="1:21" x14ac:dyDescent="0.25">
      <c r="A52" t="s">
        <v>732</v>
      </c>
      <c r="B52" t="s">
        <v>733</v>
      </c>
      <c r="C52" t="s">
        <v>734</v>
      </c>
      <c r="D52" t="s">
        <v>735</v>
      </c>
      <c r="E52" t="s">
        <v>12</v>
      </c>
      <c r="F52" t="s">
        <v>736</v>
      </c>
      <c r="G52" t="s">
        <v>737</v>
      </c>
      <c r="H52" t="s">
        <v>738</v>
      </c>
      <c r="I52" t="s">
        <v>739</v>
      </c>
      <c r="J52" t="s">
        <v>740</v>
      </c>
      <c r="K52" t="s">
        <v>741</v>
      </c>
      <c r="L52" t="s">
        <v>742</v>
      </c>
      <c r="M52" t="s">
        <v>141</v>
      </c>
      <c r="N52" t="s">
        <v>62</v>
      </c>
      <c r="O52" t="s">
        <v>743</v>
      </c>
      <c r="P52" t="s">
        <v>174</v>
      </c>
      <c r="Q52" t="s">
        <v>99</v>
      </c>
      <c r="R52" t="s">
        <v>609</v>
      </c>
      <c r="S52" t="s">
        <v>744</v>
      </c>
      <c r="T52" t="s">
        <v>67</v>
      </c>
      <c r="U52" t="s">
        <v>736</v>
      </c>
    </row>
    <row r="53" spans="1:21" x14ac:dyDescent="0.25">
      <c r="A53" t="s">
        <v>745</v>
      </c>
      <c r="B53" t="s">
        <v>746</v>
      </c>
      <c r="C53" t="s">
        <v>747</v>
      </c>
      <c r="D53" t="s">
        <v>748</v>
      </c>
      <c r="E53" t="s">
        <v>12</v>
      </c>
      <c r="F53" t="s">
        <v>749</v>
      </c>
      <c r="G53" t="s">
        <v>750</v>
      </c>
      <c r="H53" t="s">
        <v>751</v>
      </c>
      <c r="I53" t="s">
        <v>752</v>
      </c>
      <c r="J53" t="s">
        <v>753</v>
      </c>
      <c r="K53" t="s">
        <v>293</v>
      </c>
      <c r="L53" t="s">
        <v>754</v>
      </c>
      <c r="M53" t="s">
        <v>214</v>
      </c>
      <c r="N53" t="s">
        <v>62</v>
      </c>
      <c r="O53" t="s">
        <v>755</v>
      </c>
      <c r="P53" t="s">
        <v>114</v>
      </c>
      <c r="Q53" t="s">
        <v>83</v>
      </c>
      <c r="R53" t="s">
        <v>609</v>
      </c>
      <c r="S53" t="s">
        <v>756</v>
      </c>
      <c r="T53" t="s">
        <v>160</v>
      </c>
      <c r="U53" t="s">
        <v>749</v>
      </c>
    </row>
    <row r="54" spans="1:21" x14ac:dyDescent="0.25">
      <c r="A54" t="s">
        <v>757</v>
      </c>
      <c r="B54" t="s">
        <v>758</v>
      </c>
      <c r="C54" t="s">
        <v>759</v>
      </c>
      <c r="D54" t="s">
        <v>760</v>
      </c>
      <c r="E54" t="s">
        <v>12</v>
      </c>
      <c r="F54" t="s">
        <v>761</v>
      </c>
      <c r="G54" t="s">
        <v>762</v>
      </c>
      <c r="H54" t="s">
        <v>763</v>
      </c>
      <c r="I54" t="s">
        <v>764</v>
      </c>
      <c r="J54" t="s">
        <v>765</v>
      </c>
      <c r="K54" t="s">
        <v>766</v>
      </c>
      <c r="L54" t="s">
        <v>140</v>
      </c>
      <c r="M54" t="s">
        <v>321</v>
      </c>
      <c r="N54" t="s">
        <v>62</v>
      </c>
      <c r="O54" t="s">
        <v>767</v>
      </c>
      <c r="P54" t="s">
        <v>143</v>
      </c>
      <c r="Q54" t="s">
        <v>144</v>
      </c>
      <c r="R54" t="s">
        <v>608</v>
      </c>
      <c r="S54" t="s">
        <v>768</v>
      </c>
      <c r="T54" t="s">
        <v>85</v>
      </c>
      <c r="U54" t="s">
        <v>761</v>
      </c>
    </row>
    <row r="55" spans="1:21" x14ac:dyDescent="0.25">
      <c r="A55" t="s">
        <v>769</v>
      </c>
      <c r="B55" t="s">
        <v>770</v>
      </c>
      <c r="C55" t="s">
        <v>771</v>
      </c>
      <c r="D55" t="s">
        <v>772</v>
      </c>
      <c r="E55" t="s">
        <v>12</v>
      </c>
      <c r="F55" t="s">
        <v>773</v>
      </c>
      <c r="G55" t="s">
        <v>774</v>
      </c>
      <c r="H55" t="s">
        <v>775</v>
      </c>
      <c r="I55" t="s">
        <v>776</v>
      </c>
      <c r="J55" t="s">
        <v>777</v>
      </c>
      <c r="K55" t="s">
        <v>741</v>
      </c>
      <c r="L55" t="s">
        <v>778</v>
      </c>
      <c r="M55" t="s">
        <v>157</v>
      </c>
      <c r="N55" t="s">
        <v>62</v>
      </c>
      <c r="O55" t="s">
        <v>779</v>
      </c>
      <c r="P55" t="s">
        <v>143</v>
      </c>
      <c r="Q55" t="s">
        <v>83</v>
      </c>
      <c r="R55" t="s">
        <v>606</v>
      </c>
      <c r="S55" t="s">
        <v>780</v>
      </c>
      <c r="T55" t="s">
        <v>160</v>
      </c>
      <c r="U55" t="s">
        <v>773</v>
      </c>
    </row>
    <row r="56" spans="1:21" x14ac:dyDescent="0.25">
      <c r="A56" t="s">
        <v>781</v>
      </c>
      <c r="B56" t="s">
        <v>782</v>
      </c>
      <c r="C56" t="s">
        <v>783</v>
      </c>
      <c r="D56" t="s">
        <v>784</v>
      </c>
      <c r="E56" t="s">
        <v>12</v>
      </c>
      <c r="F56" t="s">
        <v>785</v>
      </c>
      <c r="G56" t="s">
        <v>786</v>
      </c>
      <c r="H56" t="s">
        <v>787</v>
      </c>
      <c r="I56" t="s">
        <v>788</v>
      </c>
      <c r="J56" t="s">
        <v>789</v>
      </c>
      <c r="K56" t="s">
        <v>790</v>
      </c>
      <c r="L56" t="s">
        <v>791</v>
      </c>
      <c r="M56" t="s">
        <v>792</v>
      </c>
      <c r="N56" t="s">
        <v>62</v>
      </c>
      <c r="O56" t="s">
        <v>793</v>
      </c>
      <c r="P56" t="s">
        <v>82</v>
      </c>
      <c r="Q56" t="s">
        <v>99</v>
      </c>
      <c r="R56" t="s">
        <v>608</v>
      </c>
      <c r="S56" t="s">
        <v>794</v>
      </c>
      <c r="T56" t="s">
        <v>67</v>
      </c>
      <c r="U56" t="s">
        <v>785</v>
      </c>
    </row>
    <row r="57" spans="1:21" x14ac:dyDescent="0.25">
      <c r="A57" t="s">
        <v>795</v>
      </c>
      <c r="B57" t="s">
        <v>796</v>
      </c>
      <c r="C57" t="s">
        <v>797</v>
      </c>
      <c r="D57" t="s">
        <v>798</v>
      </c>
      <c r="E57" t="s">
        <v>12</v>
      </c>
      <c r="F57" t="s">
        <v>799</v>
      </c>
      <c r="G57" t="s">
        <v>800</v>
      </c>
      <c r="H57" t="s">
        <v>801</v>
      </c>
      <c r="I57" t="s">
        <v>802</v>
      </c>
      <c r="J57" t="s">
        <v>803</v>
      </c>
      <c r="K57" t="s">
        <v>804</v>
      </c>
      <c r="L57" t="s">
        <v>805</v>
      </c>
      <c r="M57" t="s">
        <v>321</v>
      </c>
      <c r="N57" t="s">
        <v>62</v>
      </c>
      <c r="O57" t="s">
        <v>806</v>
      </c>
      <c r="P57" t="s">
        <v>114</v>
      </c>
      <c r="Q57" t="s">
        <v>65</v>
      </c>
      <c r="R57" t="s">
        <v>608</v>
      </c>
      <c r="S57" t="s">
        <v>807</v>
      </c>
      <c r="T57" t="s">
        <v>160</v>
      </c>
      <c r="U57" t="s">
        <v>799</v>
      </c>
    </row>
    <row r="58" spans="1:21" x14ac:dyDescent="0.25">
      <c r="A58" t="s">
        <v>808</v>
      </c>
      <c r="B58" t="s">
        <v>809</v>
      </c>
      <c r="C58" t="s">
        <v>810</v>
      </c>
      <c r="D58" t="s">
        <v>811</v>
      </c>
      <c r="E58" t="s">
        <v>12</v>
      </c>
      <c r="F58" t="s">
        <v>812</v>
      </c>
      <c r="G58" t="s">
        <v>813</v>
      </c>
      <c r="H58" t="s">
        <v>814</v>
      </c>
      <c r="I58" t="s">
        <v>815</v>
      </c>
      <c r="J58" t="s">
        <v>816</v>
      </c>
      <c r="K58" t="s">
        <v>817</v>
      </c>
      <c r="L58" t="s">
        <v>818</v>
      </c>
      <c r="M58" t="s">
        <v>141</v>
      </c>
      <c r="N58" t="s">
        <v>62</v>
      </c>
      <c r="O58" t="s">
        <v>819</v>
      </c>
      <c r="P58" t="s">
        <v>114</v>
      </c>
      <c r="Q58" t="s">
        <v>65</v>
      </c>
      <c r="R58" t="s">
        <v>608</v>
      </c>
      <c r="S58" t="s">
        <v>820</v>
      </c>
      <c r="T58" t="s">
        <v>67</v>
      </c>
      <c r="U58" t="s">
        <v>812</v>
      </c>
    </row>
    <row r="59" spans="1:21" x14ac:dyDescent="0.25">
      <c r="A59" t="s">
        <v>821</v>
      </c>
      <c r="B59" t="s">
        <v>822</v>
      </c>
      <c r="C59" t="s">
        <v>823</v>
      </c>
      <c r="D59" t="s">
        <v>824</v>
      </c>
      <c r="E59" t="s">
        <v>12</v>
      </c>
      <c r="F59" t="s">
        <v>825</v>
      </c>
      <c r="G59" t="s">
        <v>826</v>
      </c>
      <c r="H59" t="s">
        <v>827</v>
      </c>
      <c r="I59" t="s">
        <v>776</v>
      </c>
      <c r="J59" t="s">
        <v>828</v>
      </c>
      <c r="K59" t="s">
        <v>829</v>
      </c>
      <c r="L59" t="s">
        <v>830</v>
      </c>
      <c r="M59" t="s">
        <v>578</v>
      </c>
      <c r="N59" t="s">
        <v>62</v>
      </c>
      <c r="O59" t="s">
        <v>831</v>
      </c>
      <c r="P59" t="s">
        <v>143</v>
      </c>
      <c r="Q59" t="s">
        <v>83</v>
      </c>
      <c r="R59" t="s">
        <v>608</v>
      </c>
      <c r="S59" t="s">
        <v>832</v>
      </c>
      <c r="T59" t="s">
        <v>67</v>
      </c>
      <c r="U59" t="s">
        <v>825</v>
      </c>
    </row>
    <row r="60" spans="1:21" x14ac:dyDescent="0.25">
      <c r="A60" t="s">
        <v>833</v>
      </c>
      <c r="B60" t="s">
        <v>834</v>
      </c>
      <c r="C60" t="s">
        <v>835</v>
      </c>
      <c r="D60" t="s">
        <v>836</v>
      </c>
      <c r="E60" t="s">
        <v>12</v>
      </c>
      <c r="F60" t="s">
        <v>837</v>
      </c>
      <c r="G60" t="s">
        <v>838</v>
      </c>
      <c r="H60" t="s">
        <v>839</v>
      </c>
      <c r="I60" t="s">
        <v>840</v>
      </c>
      <c r="J60" t="s">
        <v>841</v>
      </c>
      <c r="K60" t="s">
        <v>842</v>
      </c>
      <c r="L60" t="s">
        <v>843</v>
      </c>
      <c r="M60" t="s">
        <v>437</v>
      </c>
      <c r="N60" t="s">
        <v>62</v>
      </c>
      <c r="O60" t="s">
        <v>844</v>
      </c>
      <c r="P60" t="s">
        <v>64</v>
      </c>
      <c r="Q60" t="s">
        <v>83</v>
      </c>
      <c r="R60" t="s">
        <v>609</v>
      </c>
      <c r="S60" t="s">
        <v>845</v>
      </c>
      <c r="T60" t="s">
        <v>160</v>
      </c>
      <c r="U60" t="s">
        <v>837</v>
      </c>
    </row>
    <row r="61" spans="1:21" x14ac:dyDescent="0.25">
      <c r="A61" t="s">
        <v>846</v>
      </c>
      <c r="B61" t="s">
        <v>847</v>
      </c>
      <c r="C61" t="s">
        <v>848</v>
      </c>
      <c r="D61" t="s">
        <v>849</v>
      </c>
      <c r="E61" t="s">
        <v>12</v>
      </c>
      <c r="F61" t="s">
        <v>850</v>
      </c>
      <c r="G61" t="s">
        <v>851</v>
      </c>
      <c r="H61" t="s">
        <v>852</v>
      </c>
      <c r="I61" t="s">
        <v>853</v>
      </c>
      <c r="J61" t="s">
        <v>854</v>
      </c>
      <c r="K61" t="s">
        <v>855</v>
      </c>
      <c r="L61" t="s">
        <v>856</v>
      </c>
      <c r="M61" t="s">
        <v>412</v>
      </c>
      <c r="N61" t="s">
        <v>62</v>
      </c>
      <c r="O61" t="s">
        <v>857</v>
      </c>
      <c r="P61" t="s">
        <v>114</v>
      </c>
      <c r="Q61" t="s">
        <v>83</v>
      </c>
      <c r="R61" t="s">
        <v>609</v>
      </c>
      <c r="S61" t="s">
        <v>858</v>
      </c>
      <c r="T61" t="s">
        <v>85</v>
      </c>
      <c r="U61" t="s">
        <v>850</v>
      </c>
    </row>
    <row r="62" spans="1:21" x14ac:dyDescent="0.25">
      <c r="A62" t="s">
        <v>859</v>
      </c>
      <c r="B62" t="s">
        <v>860</v>
      </c>
      <c r="C62" t="s">
        <v>861</v>
      </c>
      <c r="D62" t="s">
        <v>862</v>
      </c>
      <c r="E62" t="s">
        <v>12</v>
      </c>
      <c r="F62" t="s">
        <v>863</v>
      </c>
      <c r="G62" t="s">
        <v>864</v>
      </c>
      <c r="H62" t="s">
        <v>865</v>
      </c>
      <c r="I62" t="s">
        <v>866</v>
      </c>
      <c r="J62" t="s">
        <v>867</v>
      </c>
      <c r="K62" t="s">
        <v>868</v>
      </c>
      <c r="L62" t="s">
        <v>704</v>
      </c>
      <c r="M62" t="s">
        <v>80</v>
      </c>
      <c r="N62" t="s">
        <v>62</v>
      </c>
      <c r="O62" t="s">
        <v>869</v>
      </c>
      <c r="P62" t="s">
        <v>64</v>
      </c>
      <c r="Q62" t="s">
        <v>144</v>
      </c>
      <c r="R62" t="s">
        <v>606</v>
      </c>
      <c r="S62" t="s">
        <v>870</v>
      </c>
      <c r="T62" t="s">
        <v>160</v>
      </c>
      <c r="U62" t="s">
        <v>863</v>
      </c>
    </row>
    <row r="63" spans="1:21" x14ac:dyDescent="0.25">
      <c r="A63" t="s">
        <v>871</v>
      </c>
      <c r="B63" t="s">
        <v>872</v>
      </c>
      <c r="C63" t="s">
        <v>873</v>
      </c>
      <c r="D63" t="s">
        <v>874</v>
      </c>
      <c r="E63" t="s">
        <v>12</v>
      </c>
      <c r="F63" t="s">
        <v>875</v>
      </c>
      <c r="G63" t="s">
        <v>876</v>
      </c>
      <c r="H63" t="s">
        <v>877</v>
      </c>
      <c r="I63" t="s">
        <v>878</v>
      </c>
      <c r="J63" t="s">
        <v>879</v>
      </c>
      <c r="K63" t="s">
        <v>293</v>
      </c>
      <c r="L63" t="s">
        <v>880</v>
      </c>
      <c r="M63" t="s">
        <v>881</v>
      </c>
      <c r="N63" t="s">
        <v>62</v>
      </c>
      <c r="O63" t="s">
        <v>882</v>
      </c>
      <c r="P63" t="s">
        <v>64</v>
      </c>
      <c r="Q63" t="s">
        <v>65</v>
      </c>
      <c r="R63" t="s">
        <v>609</v>
      </c>
      <c r="S63" t="s">
        <v>883</v>
      </c>
      <c r="T63" t="s">
        <v>85</v>
      </c>
      <c r="U63" t="s">
        <v>875</v>
      </c>
    </row>
    <row r="64" spans="1:21" x14ac:dyDescent="0.25">
      <c r="A64" t="s">
        <v>884</v>
      </c>
      <c r="B64" t="s">
        <v>885</v>
      </c>
      <c r="C64" t="s">
        <v>886</v>
      </c>
      <c r="D64" t="s">
        <v>887</v>
      </c>
      <c r="E64" t="s">
        <v>12</v>
      </c>
      <c r="F64" t="s">
        <v>888</v>
      </c>
      <c r="G64" t="s">
        <v>889</v>
      </c>
      <c r="H64" t="s">
        <v>890</v>
      </c>
      <c r="I64" t="s">
        <v>891</v>
      </c>
      <c r="J64" t="s">
        <v>892</v>
      </c>
      <c r="K64" t="s">
        <v>139</v>
      </c>
      <c r="L64" t="s">
        <v>843</v>
      </c>
      <c r="M64" t="s">
        <v>112</v>
      </c>
      <c r="N64" t="s">
        <v>62</v>
      </c>
      <c r="O64" t="s">
        <v>893</v>
      </c>
      <c r="P64" t="s">
        <v>174</v>
      </c>
      <c r="Q64" t="s">
        <v>65</v>
      </c>
      <c r="R64" t="s">
        <v>606</v>
      </c>
      <c r="S64" t="s">
        <v>894</v>
      </c>
      <c r="T64" t="s">
        <v>67</v>
      </c>
      <c r="U64" t="s">
        <v>888</v>
      </c>
    </row>
    <row r="65" spans="1:21" x14ac:dyDescent="0.25">
      <c r="A65" t="s">
        <v>895</v>
      </c>
      <c r="B65" t="s">
        <v>896</v>
      </c>
      <c r="C65" t="s">
        <v>897</v>
      </c>
      <c r="D65" t="s">
        <v>898</v>
      </c>
      <c r="E65" t="s">
        <v>12</v>
      </c>
      <c r="F65" t="s">
        <v>899</v>
      </c>
      <c r="G65" t="s">
        <v>900</v>
      </c>
      <c r="H65" t="s">
        <v>901</v>
      </c>
      <c r="I65" t="s">
        <v>902</v>
      </c>
      <c r="J65" t="s">
        <v>903</v>
      </c>
      <c r="K65" t="s">
        <v>904</v>
      </c>
      <c r="L65" t="s">
        <v>905</v>
      </c>
      <c r="M65" t="s">
        <v>80</v>
      </c>
      <c r="N65" t="s">
        <v>62</v>
      </c>
      <c r="O65" t="s">
        <v>906</v>
      </c>
      <c r="P65" t="s">
        <v>143</v>
      </c>
      <c r="Q65" t="s">
        <v>83</v>
      </c>
      <c r="R65" t="s">
        <v>608</v>
      </c>
      <c r="S65" t="s">
        <v>907</v>
      </c>
      <c r="T65" t="s">
        <v>85</v>
      </c>
      <c r="U65" t="s">
        <v>899</v>
      </c>
    </row>
    <row r="66" spans="1:21" x14ac:dyDescent="0.25">
      <c r="A66" t="s">
        <v>908</v>
      </c>
      <c r="B66" t="s">
        <v>909</v>
      </c>
      <c r="C66" t="s">
        <v>910</v>
      </c>
      <c r="D66" t="s">
        <v>911</v>
      </c>
      <c r="E66" t="s">
        <v>12</v>
      </c>
      <c r="F66" t="s">
        <v>912</v>
      </c>
      <c r="G66" t="s">
        <v>913</v>
      </c>
      <c r="H66" t="s">
        <v>914</v>
      </c>
      <c r="I66" t="s">
        <v>915</v>
      </c>
      <c r="J66" t="s">
        <v>916</v>
      </c>
      <c r="K66" t="s">
        <v>513</v>
      </c>
      <c r="L66" t="s">
        <v>917</v>
      </c>
      <c r="M66" t="s">
        <v>656</v>
      </c>
      <c r="N66" t="s">
        <v>62</v>
      </c>
      <c r="O66" t="s">
        <v>918</v>
      </c>
      <c r="P66" t="s">
        <v>114</v>
      </c>
      <c r="Q66" t="s">
        <v>65</v>
      </c>
      <c r="R66" t="s">
        <v>612</v>
      </c>
      <c r="S66" t="s">
        <v>919</v>
      </c>
      <c r="T66" t="s">
        <v>160</v>
      </c>
      <c r="U66" t="s">
        <v>912</v>
      </c>
    </row>
    <row r="67" spans="1:21" x14ac:dyDescent="0.25">
      <c r="A67" t="s">
        <v>920</v>
      </c>
      <c r="B67" t="s">
        <v>921</v>
      </c>
      <c r="C67" t="s">
        <v>922</v>
      </c>
      <c r="D67" t="s">
        <v>923</v>
      </c>
      <c r="E67" t="s">
        <v>12</v>
      </c>
      <c r="F67" t="s">
        <v>924</v>
      </c>
      <c r="G67" t="s">
        <v>925</v>
      </c>
      <c r="H67" t="s">
        <v>926</v>
      </c>
      <c r="I67" t="s">
        <v>927</v>
      </c>
      <c r="J67" t="s">
        <v>928</v>
      </c>
      <c r="K67" t="s">
        <v>125</v>
      </c>
      <c r="L67" t="s">
        <v>929</v>
      </c>
      <c r="M67" t="s">
        <v>200</v>
      </c>
      <c r="N67" t="s">
        <v>62</v>
      </c>
      <c r="O67" t="s">
        <v>930</v>
      </c>
      <c r="P67" t="s">
        <v>114</v>
      </c>
      <c r="Q67" t="s">
        <v>144</v>
      </c>
      <c r="R67" t="s">
        <v>606</v>
      </c>
      <c r="S67" t="s">
        <v>931</v>
      </c>
      <c r="T67" t="s">
        <v>85</v>
      </c>
      <c r="U67" t="s">
        <v>924</v>
      </c>
    </row>
    <row r="68" spans="1:21" x14ac:dyDescent="0.25">
      <c r="A68" t="s">
        <v>932</v>
      </c>
      <c r="B68" t="s">
        <v>933</v>
      </c>
      <c r="C68" t="s">
        <v>934</v>
      </c>
      <c r="D68" t="s">
        <v>935</v>
      </c>
      <c r="E68" t="s">
        <v>12</v>
      </c>
      <c r="F68" t="s">
        <v>936</v>
      </c>
      <c r="G68" t="s">
        <v>937</v>
      </c>
      <c r="H68" t="s">
        <v>938</v>
      </c>
      <c r="I68" t="s">
        <v>168</v>
      </c>
      <c r="J68" t="s">
        <v>939</v>
      </c>
      <c r="K68" t="s">
        <v>940</v>
      </c>
      <c r="L68" t="s">
        <v>941</v>
      </c>
      <c r="M68" t="s">
        <v>792</v>
      </c>
      <c r="N68" t="s">
        <v>62</v>
      </c>
      <c r="O68" t="s">
        <v>942</v>
      </c>
      <c r="P68" t="s">
        <v>64</v>
      </c>
      <c r="Q68" t="s">
        <v>144</v>
      </c>
      <c r="R68" t="s">
        <v>608</v>
      </c>
      <c r="S68" t="s">
        <v>943</v>
      </c>
      <c r="T68" t="s">
        <v>160</v>
      </c>
      <c r="U68" t="s">
        <v>936</v>
      </c>
    </row>
    <row r="69" spans="1:21" x14ac:dyDescent="0.25">
      <c r="A69" t="s">
        <v>944</v>
      </c>
      <c r="B69" t="s">
        <v>945</v>
      </c>
      <c r="C69" t="s">
        <v>946</v>
      </c>
      <c r="D69" t="s">
        <v>947</v>
      </c>
      <c r="E69" t="s">
        <v>12</v>
      </c>
      <c r="F69" t="s">
        <v>948</v>
      </c>
      <c r="G69" t="s">
        <v>949</v>
      </c>
      <c r="H69" t="s">
        <v>950</v>
      </c>
      <c r="I69" t="s">
        <v>951</v>
      </c>
      <c r="J69" t="s">
        <v>952</v>
      </c>
      <c r="K69" t="s">
        <v>953</v>
      </c>
      <c r="L69" t="s">
        <v>954</v>
      </c>
      <c r="M69" t="s">
        <v>412</v>
      </c>
      <c r="N69" t="s">
        <v>62</v>
      </c>
      <c r="O69" t="s">
        <v>955</v>
      </c>
      <c r="P69" t="s">
        <v>64</v>
      </c>
      <c r="Q69" t="s">
        <v>99</v>
      </c>
      <c r="R69" t="s">
        <v>608</v>
      </c>
      <c r="S69" t="s">
        <v>956</v>
      </c>
      <c r="T69" t="s">
        <v>160</v>
      </c>
      <c r="U69" t="s">
        <v>948</v>
      </c>
    </row>
    <row r="70" spans="1:21" x14ac:dyDescent="0.25">
      <c r="A70" t="s">
        <v>957</v>
      </c>
      <c r="B70" t="s">
        <v>958</v>
      </c>
      <c r="C70" t="s">
        <v>959</v>
      </c>
      <c r="D70" t="s">
        <v>960</v>
      </c>
      <c r="E70" t="s">
        <v>12</v>
      </c>
      <c r="F70" t="s">
        <v>961</v>
      </c>
      <c r="G70" t="s">
        <v>962</v>
      </c>
      <c r="H70" t="s">
        <v>963</v>
      </c>
      <c r="I70" t="s">
        <v>964</v>
      </c>
      <c r="J70" t="s">
        <v>965</v>
      </c>
      <c r="K70" t="s">
        <v>240</v>
      </c>
      <c r="L70" t="s">
        <v>577</v>
      </c>
      <c r="M70" t="s">
        <v>412</v>
      </c>
      <c r="N70" t="s">
        <v>62</v>
      </c>
      <c r="O70" t="s">
        <v>966</v>
      </c>
      <c r="P70" t="s">
        <v>64</v>
      </c>
      <c r="Q70" t="s">
        <v>83</v>
      </c>
      <c r="R70" t="s">
        <v>612</v>
      </c>
      <c r="S70" t="s">
        <v>967</v>
      </c>
      <c r="T70" t="s">
        <v>85</v>
      </c>
      <c r="U70" t="s">
        <v>961</v>
      </c>
    </row>
    <row r="71" spans="1:21" x14ac:dyDescent="0.25">
      <c r="A71" t="s">
        <v>968</v>
      </c>
      <c r="B71" t="s">
        <v>969</v>
      </c>
      <c r="C71" t="s">
        <v>970</v>
      </c>
      <c r="D71" t="s">
        <v>971</v>
      </c>
      <c r="E71" t="s">
        <v>12</v>
      </c>
      <c r="F71" t="s">
        <v>972</v>
      </c>
      <c r="G71" t="s">
        <v>973</v>
      </c>
      <c r="H71" t="s">
        <v>974</v>
      </c>
      <c r="I71" t="s">
        <v>975</v>
      </c>
      <c r="J71" t="s">
        <v>976</v>
      </c>
      <c r="K71" t="s">
        <v>125</v>
      </c>
      <c r="L71" t="s">
        <v>977</v>
      </c>
      <c r="M71" t="s">
        <v>187</v>
      </c>
      <c r="N71" t="s">
        <v>62</v>
      </c>
      <c r="O71" t="s">
        <v>978</v>
      </c>
      <c r="P71" t="s">
        <v>114</v>
      </c>
      <c r="Q71" t="s">
        <v>65</v>
      </c>
      <c r="R71" t="s">
        <v>608</v>
      </c>
      <c r="S71" t="s">
        <v>979</v>
      </c>
      <c r="T71" t="s">
        <v>85</v>
      </c>
      <c r="U71" t="s">
        <v>972</v>
      </c>
    </row>
    <row r="72" spans="1:21" x14ac:dyDescent="0.25">
      <c r="A72" t="s">
        <v>980</v>
      </c>
      <c r="B72" t="s">
        <v>981</v>
      </c>
      <c r="C72" t="s">
        <v>982</v>
      </c>
      <c r="D72" t="s">
        <v>983</v>
      </c>
      <c r="E72" t="s">
        <v>12</v>
      </c>
      <c r="F72" t="s">
        <v>984</v>
      </c>
      <c r="G72" t="s">
        <v>985</v>
      </c>
      <c r="H72" t="s">
        <v>986</v>
      </c>
      <c r="I72" t="s">
        <v>987</v>
      </c>
      <c r="J72" t="s">
        <v>988</v>
      </c>
      <c r="K72" t="s">
        <v>989</v>
      </c>
      <c r="L72" t="s">
        <v>990</v>
      </c>
      <c r="M72" t="s">
        <v>141</v>
      </c>
      <c r="N72" t="s">
        <v>62</v>
      </c>
      <c r="O72" t="s">
        <v>991</v>
      </c>
      <c r="P72" t="s">
        <v>143</v>
      </c>
      <c r="Q72" t="s">
        <v>99</v>
      </c>
      <c r="R72" t="s">
        <v>608</v>
      </c>
      <c r="S72" t="s">
        <v>992</v>
      </c>
      <c r="T72" t="s">
        <v>160</v>
      </c>
      <c r="U72" t="s">
        <v>984</v>
      </c>
    </row>
    <row r="73" spans="1:21" x14ac:dyDescent="0.25">
      <c r="A73" t="s">
        <v>993</v>
      </c>
      <c r="B73" t="s">
        <v>994</v>
      </c>
      <c r="C73" t="s">
        <v>995</v>
      </c>
      <c r="D73" t="s">
        <v>996</v>
      </c>
      <c r="E73" t="s">
        <v>12</v>
      </c>
      <c r="F73" t="s">
        <v>997</v>
      </c>
      <c r="G73" t="s">
        <v>998</v>
      </c>
      <c r="H73" t="s">
        <v>999</v>
      </c>
      <c r="I73" t="s">
        <v>1000</v>
      </c>
      <c r="J73" t="s">
        <v>1001</v>
      </c>
      <c r="K73" t="s">
        <v>1002</v>
      </c>
      <c r="L73" t="s">
        <v>463</v>
      </c>
      <c r="M73" t="s">
        <v>127</v>
      </c>
      <c r="N73" t="s">
        <v>62</v>
      </c>
      <c r="O73" t="s">
        <v>1003</v>
      </c>
      <c r="P73" t="s">
        <v>114</v>
      </c>
      <c r="Q73" t="s">
        <v>99</v>
      </c>
      <c r="R73" t="s">
        <v>608</v>
      </c>
      <c r="S73" t="s">
        <v>1004</v>
      </c>
      <c r="T73" t="s">
        <v>85</v>
      </c>
      <c r="U73" t="s">
        <v>997</v>
      </c>
    </row>
    <row r="74" spans="1:21" x14ac:dyDescent="0.25">
      <c r="A74" t="s">
        <v>1005</v>
      </c>
      <c r="B74" t="s">
        <v>1006</v>
      </c>
      <c r="C74" t="s">
        <v>1007</v>
      </c>
      <c r="D74" t="s">
        <v>1008</v>
      </c>
      <c r="E74" t="s">
        <v>12</v>
      </c>
      <c r="F74" t="s">
        <v>1009</v>
      </c>
      <c r="G74" t="s">
        <v>1010</v>
      </c>
      <c r="H74" t="s">
        <v>1011</v>
      </c>
      <c r="I74" t="s">
        <v>1012</v>
      </c>
      <c r="J74" t="s">
        <v>1013</v>
      </c>
      <c r="K74" t="s">
        <v>170</v>
      </c>
      <c r="L74" t="s">
        <v>1014</v>
      </c>
      <c r="M74" t="s">
        <v>157</v>
      </c>
      <c r="N74" t="s">
        <v>62</v>
      </c>
      <c r="O74" t="s">
        <v>1015</v>
      </c>
      <c r="P74" t="s">
        <v>174</v>
      </c>
      <c r="Q74" t="s">
        <v>83</v>
      </c>
      <c r="R74" t="s">
        <v>606</v>
      </c>
      <c r="S74" t="s">
        <v>1016</v>
      </c>
      <c r="T74" t="s">
        <v>67</v>
      </c>
      <c r="U74" t="s">
        <v>1009</v>
      </c>
    </row>
    <row r="75" spans="1:21" x14ac:dyDescent="0.25">
      <c r="A75" t="s">
        <v>1017</v>
      </c>
      <c r="B75" t="s">
        <v>1018</v>
      </c>
      <c r="C75" t="s">
        <v>1019</v>
      </c>
      <c r="D75" t="s">
        <v>1020</v>
      </c>
      <c r="E75" t="s">
        <v>12</v>
      </c>
      <c r="F75" t="s">
        <v>1021</v>
      </c>
      <c r="G75" t="s">
        <v>1022</v>
      </c>
      <c r="H75" t="s">
        <v>1023</v>
      </c>
      <c r="I75" t="s">
        <v>1024</v>
      </c>
      <c r="J75" t="s">
        <v>1025</v>
      </c>
      <c r="K75" t="s">
        <v>125</v>
      </c>
      <c r="L75" t="s">
        <v>1026</v>
      </c>
      <c r="M75" t="s">
        <v>112</v>
      </c>
      <c r="N75" t="s">
        <v>62</v>
      </c>
      <c r="O75" t="s">
        <v>1027</v>
      </c>
      <c r="P75" t="s">
        <v>82</v>
      </c>
      <c r="Q75" t="s">
        <v>65</v>
      </c>
      <c r="R75" t="s">
        <v>606</v>
      </c>
      <c r="S75" t="s">
        <v>1028</v>
      </c>
      <c r="T75" t="s">
        <v>67</v>
      </c>
      <c r="U75" t="s">
        <v>1021</v>
      </c>
    </row>
    <row r="76" spans="1:21" x14ac:dyDescent="0.25">
      <c r="A76" t="s">
        <v>1029</v>
      </c>
      <c r="B76" t="s">
        <v>1030</v>
      </c>
      <c r="C76" t="s">
        <v>1031</v>
      </c>
      <c r="D76" t="s">
        <v>1032</v>
      </c>
      <c r="E76" t="s">
        <v>12</v>
      </c>
      <c r="F76" t="s">
        <v>1033</v>
      </c>
      <c r="G76" t="s">
        <v>1034</v>
      </c>
      <c r="H76" t="s">
        <v>1035</v>
      </c>
      <c r="I76" t="s">
        <v>1036</v>
      </c>
      <c r="J76" t="s">
        <v>1037</v>
      </c>
      <c r="K76" t="s">
        <v>155</v>
      </c>
      <c r="L76" t="s">
        <v>1038</v>
      </c>
      <c r="M76" t="s">
        <v>515</v>
      </c>
      <c r="N76" t="s">
        <v>62</v>
      </c>
      <c r="O76" t="s">
        <v>1039</v>
      </c>
      <c r="P76" t="s">
        <v>114</v>
      </c>
      <c r="Q76" t="s">
        <v>99</v>
      </c>
      <c r="R76" t="s">
        <v>609</v>
      </c>
      <c r="S76" t="s">
        <v>1040</v>
      </c>
      <c r="T76" t="s">
        <v>85</v>
      </c>
      <c r="U76" t="s">
        <v>1033</v>
      </c>
    </row>
    <row r="77" spans="1:21" x14ac:dyDescent="0.25">
      <c r="A77" t="s">
        <v>1041</v>
      </c>
      <c r="B77" t="s">
        <v>1042</v>
      </c>
      <c r="C77" t="s">
        <v>1043</v>
      </c>
      <c r="D77" t="s">
        <v>1044</v>
      </c>
      <c r="E77" t="s">
        <v>12</v>
      </c>
      <c r="F77" t="s">
        <v>1045</v>
      </c>
      <c r="G77" t="s">
        <v>1046</v>
      </c>
      <c r="H77" t="s">
        <v>1047</v>
      </c>
      <c r="I77" t="s">
        <v>1048</v>
      </c>
      <c r="J77" t="s">
        <v>1049</v>
      </c>
      <c r="K77" t="s">
        <v>1050</v>
      </c>
      <c r="L77" t="s">
        <v>1051</v>
      </c>
      <c r="M77" t="s">
        <v>348</v>
      </c>
      <c r="N77" t="s">
        <v>62</v>
      </c>
      <c r="O77" t="s">
        <v>1052</v>
      </c>
      <c r="P77" t="s">
        <v>174</v>
      </c>
      <c r="Q77" t="s">
        <v>83</v>
      </c>
      <c r="R77" t="s">
        <v>608</v>
      </c>
      <c r="S77" t="s">
        <v>1053</v>
      </c>
      <c r="T77" t="s">
        <v>85</v>
      </c>
      <c r="U77" t="s">
        <v>1045</v>
      </c>
    </row>
    <row r="78" spans="1:21" x14ac:dyDescent="0.25">
      <c r="A78" t="s">
        <v>1054</v>
      </c>
      <c r="B78" t="s">
        <v>1055</v>
      </c>
      <c r="C78" t="s">
        <v>1056</v>
      </c>
      <c r="D78" t="s">
        <v>1057</v>
      </c>
      <c r="E78" t="s">
        <v>12</v>
      </c>
      <c r="F78" t="s">
        <v>1058</v>
      </c>
      <c r="G78" t="s">
        <v>1059</v>
      </c>
      <c r="H78" t="s">
        <v>1060</v>
      </c>
      <c r="I78" t="s">
        <v>1061</v>
      </c>
      <c r="J78" t="s">
        <v>1062</v>
      </c>
      <c r="K78" t="s">
        <v>293</v>
      </c>
      <c r="L78" t="s">
        <v>1063</v>
      </c>
      <c r="M78" t="s">
        <v>578</v>
      </c>
      <c r="N78" t="s">
        <v>62</v>
      </c>
      <c r="O78" t="s">
        <v>1064</v>
      </c>
      <c r="P78" t="s">
        <v>114</v>
      </c>
      <c r="Q78" t="s">
        <v>99</v>
      </c>
      <c r="R78" t="s">
        <v>608</v>
      </c>
      <c r="S78" t="s">
        <v>1065</v>
      </c>
      <c r="T78" t="s">
        <v>67</v>
      </c>
      <c r="U78" t="s">
        <v>1058</v>
      </c>
    </row>
    <row r="79" spans="1:21" x14ac:dyDescent="0.25">
      <c r="A79" t="s">
        <v>1066</v>
      </c>
      <c r="B79" t="s">
        <v>1067</v>
      </c>
      <c r="C79" t="s">
        <v>1068</v>
      </c>
      <c r="D79" t="s">
        <v>1069</v>
      </c>
      <c r="E79" t="s">
        <v>12</v>
      </c>
      <c r="F79" t="s">
        <v>1070</v>
      </c>
      <c r="G79" t="s">
        <v>1071</v>
      </c>
      <c r="H79" t="s">
        <v>1072</v>
      </c>
      <c r="I79" t="s">
        <v>461</v>
      </c>
      <c r="J79" t="s">
        <v>1073</v>
      </c>
      <c r="K79" t="s">
        <v>59</v>
      </c>
      <c r="L79" t="s">
        <v>1074</v>
      </c>
      <c r="M79" t="s">
        <v>157</v>
      </c>
      <c r="N79" t="s">
        <v>62</v>
      </c>
      <c r="O79" t="s">
        <v>1075</v>
      </c>
      <c r="P79" t="s">
        <v>174</v>
      </c>
      <c r="Q79" t="s">
        <v>65</v>
      </c>
      <c r="R79" t="s">
        <v>606</v>
      </c>
      <c r="S79" t="s">
        <v>1076</v>
      </c>
      <c r="T79" t="s">
        <v>160</v>
      </c>
      <c r="U79" t="s">
        <v>1070</v>
      </c>
    </row>
    <row r="80" spans="1:21" x14ac:dyDescent="0.25">
      <c r="A80" t="s">
        <v>1077</v>
      </c>
      <c r="B80" t="s">
        <v>1078</v>
      </c>
      <c r="C80" t="s">
        <v>1079</v>
      </c>
      <c r="D80" t="s">
        <v>1080</v>
      </c>
      <c r="E80" t="s">
        <v>12</v>
      </c>
      <c r="F80" t="s">
        <v>1081</v>
      </c>
      <c r="G80" t="s">
        <v>1082</v>
      </c>
      <c r="H80" t="s">
        <v>1083</v>
      </c>
      <c r="I80" t="s">
        <v>1084</v>
      </c>
      <c r="J80" t="s">
        <v>1085</v>
      </c>
      <c r="K80" t="s">
        <v>280</v>
      </c>
      <c r="L80" t="s">
        <v>1086</v>
      </c>
      <c r="M80" t="s">
        <v>881</v>
      </c>
      <c r="N80" t="s">
        <v>62</v>
      </c>
      <c r="O80" t="s">
        <v>1087</v>
      </c>
      <c r="P80" t="s">
        <v>174</v>
      </c>
      <c r="Q80" t="s">
        <v>144</v>
      </c>
      <c r="R80" t="s">
        <v>608</v>
      </c>
      <c r="S80" t="s">
        <v>1088</v>
      </c>
      <c r="T80" t="s">
        <v>85</v>
      </c>
      <c r="U80" t="s">
        <v>1081</v>
      </c>
    </row>
    <row r="81" spans="1:21" x14ac:dyDescent="0.25">
      <c r="A81" t="s">
        <v>1089</v>
      </c>
      <c r="B81" t="s">
        <v>1090</v>
      </c>
      <c r="C81" t="s">
        <v>1091</v>
      </c>
      <c r="D81" t="s">
        <v>1092</v>
      </c>
      <c r="E81" t="s">
        <v>12</v>
      </c>
      <c r="F81" t="s">
        <v>1093</v>
      </c>
      <c r="G81" t="s">
        <v>1094</v>
      </c>
      <c r="H81" t="s">
        <v>1095</v>
      </c>
      <c r="I81" t="s">
        <v>1096</v>
      </c>
      <c r="J81" t="s">
        <v>1097</v>
      </c>
      <c r="K81" t="s">
        <v>387</v>
      </c>
      <c r="L81" t="s">
        <v>1098</v>
      </c>
      <c r="M81" t="s">
        <v>157</v>
      </c>
      <c r="N81" t="s">
        <v>62</v>
      </c>
      <c r="O81" t="s">
        <v>1099</v>
      </c>
      <c r="P81" t="s">
        <v>174</v>
      </c>
      <c r="Q81" t="s">
        <v>99</v>
      </c>
      <c r="R81" t="s">
        <v>612</v>
      </c>
      <c r="S81" t="s">
        <v>1100</v>
      </c>
      <c r="T81" t="s">
        <v>160</v>
      </c>
      <c r="U81" t="s">
        <v>1093</v>
      </c>
    </row>
    <row r="82" spans="1:21" x14ac:dyDescent="0.25">
      <c r="A82" t="s">
        <v>1101</v>
      </c>
      <c r="B82" t="s">
        <v>1102</v>
      </c>
      <c r="C82" t="s">
        <v>1103</v>
      </c>
      <c r="D82" t="s">
        <v>1104</v>
      </c>
      <c r="E82" t="s">
        <v>12</v>
      </c>
      <c r="F82" t="s">
        <v>1105</v>
      </c>
      <c r="G82" t="s">
        <v>1106</v>
      </c>
      <c r="H82" t="s">
        <v>1107</v>
      </c>
      <c r="I82" t="s">
        <v>1108</v>
      </c>
      <c r="J82" t="s">
        <v>1109</v>
      </c>
      <c r="K82" t="s">
        <v>1110</v>
      </c>
      <c r="L82" t="s">
        <v>1111</v>
      </c>
      <c r="M82" t="s">
        <v>881</v>
      </c>
      <c r="N82" t="s">
        <v>62</v>
      </c>
      <c r="O82" t="s">
        <v>1112</v>
      </c>
      <c r="P82" t="s">
        <v>114</v>
      </c>
      <c r="Q82" t="s">
        <v>83</v>
      </c>
      <c r="R82" t="s">
        <v>606</v>
      </c>
      <c r="S82" t="s">
        <v>1113</v>
      </c>
      <c r="T82" t="s">
        <v>160</v>
      </c>
      <c r="U82" t="s">
        <v>1105</v>
      </c>
    </row>
    <row r="83" spans="1:21" x14ac:dyDescent="0.25">
      <c r="A83" t="s">
        <v>1114</v>
      </c>
      <c r="B83" t="s">
        <v>1115</v>
      </c>
      <c r="C83" t="s">
        <v>1116</v>
      </c>
      <c r="D83" t="s">
        <v>1117</v>
      </c>
      <c r="E83" t="s">
        <v>12</v>
      </c>
      <c r="F83" t="s">
        <v>1118</v>
      </c>
      <c r="G83" t="s">
        <v>1119</v>
      </c>
      <c r="H83" t="s">
        <v>1120</v>
      </c>
      <c r="I83" t="s">
        <v>1121</v>
      </c>
      <c r="J83" t="s">
        <v>1122</v>
      </c>
      <c r="K83" t="s">
        <v>1123</v>
      </c>
      <c r="L83" t="s">
        <v>704</v>
      </c>
      <c r="M83" t="s">
        <v>97</v>
      </c>
      <c r="N83" t="s">
        <v>62</v>
      </c>
      <c r="O83" t="s">
        <v>1124</v>
      </c>
      <c r="P83" t="s">
        <v>143</v>
      </c>
      <c r="Q83" t="s">
        <v>99</v>
      </c>
      <c r="R83" t="s">
        <v>612</v>
      </c>
      <c r="S83" t="s">
        <v>1125</v>
      </c>
      <c r="T83" t="s">
        <v>85</v>
      </c>
      <c r="U83" t="s">
        <v>1118</v>
      </c>
    </row>
    <row r="84" spans="1:21" x14ac:dyDescent="0.25">
      <c r="A84" t="s">
        <v>1126</v>
      </c>
      <c r="B84" t="s">
        <v>1127</v>
      </c>
      <c r="C84" t="s">
        <v>1128</v>
      </c>
      <c r="D84" t="s">
        <v>1129</v>
      </c>
      <c r="E84" t="s">
        <v>12</v>
      </c>
      <c r="F84" t="s">
        <v>1130</v>
      </c>
      <c r="G84" t="s">
        <v>1131</v>
      </c>
      <c r="H84" t="s">
        <v>1132</v>
      </c>
      <c r="I84" t="s">
        <v>1133</v>
      </c>
      <c r="J84" t="s">
        <v>1134</v>
      </c>
      <c r="K84" t="s">
        <v>170</v>
      </c>
      <c r="L84" t="s">
        <v>1135</v>
      </c>
      <c r="M84" t="s">
        <v>578</v>
      </c>
      <c r="N84" t="s">
        <v>62</v>
      </c>
      <c r="O84" t="s">
        <v>1136</v>
      </c>
      <c r="P84" t="s">
        <v>114</v>
      </c>
      <c r="Q84" t="s">
        <v>99</v>
      </c>
      <c r="R84" t="s">
        <v>612</v>
      </c>
      <c r="S84" t="s">
        <v>1137</v>
      </c>
      <c r="T84" t="s">
        <v>85</v>
      </c>
      <c r="U84" t="s">
        <v>1130</v>
      </c>
    </row>
    <row r="85" spans="1:21" x14ac:dyDescent="0.25">
      <c r="A85" t="s">
        <v>1138</v>
      </c>
      <c r="B85" t="s">
        <v>1139</v>
      </c>
      <c r="C85" t="s">
        <v>1140</v>
      </c>
      <c r="D85" t="s">
        <v>1141</v>
      </c>
      <c r="E85" t="s">
        <v>12</v>
      </c>
      <c r="F85" t="s">
        <v>1142</v>
      </c>
      <c r="G85" t="s">
        <v>1143</v>
      </c>
      <c r="H85" t="s">
        <v>1144</v>
      </c>
      <c r="I85" t="s">
        <v>1145</v>
      </c>
      <c r="J85" t="s">
        <v>1146</v>
      </c>
      <c r="K85" t="s">
        <v>423</v>
      </c>
      <c r="L85" t="s">
        <v>1147</v>
      </c>
      <c r="M85" t="s">
        <v>141</v>
      </c>
      <c r="N85" t="s">
        <v>62</v>
      </c>
      <c r="O85" t="s">
        <v>1148</v>
      </c>
      <c r="P85" t="s">
        <v>143</v>
      </c>
      <c r="Q85" t="s">
        <v>83</v>
      </c>
      <c r="R85" t="s">
        <v>612</v>
      </c>
      <c r="S85" t="s">
        <v>1149</v>
      </c>
      <c r="T85" t="s">
        <v>85</v>
      </c>
      <c r="U85" t="s">
        <v>1142</v>
      </c>
    </row>
    <row r="86" spans="1:21" x14ac:dyDescent="0.25">
      <c r="A86" t="s">
        <v>1150</v>
      </c>
      <c r="B86" t="s">
        <v>1151</v>
      </c>
      <c r="C86" t="s">
        <v>1152</v>
      </c>
      <c r="D86" t="s">
        <v>1153</v>
      </c>
      <c r="E86" t="s">
        <v>12</v>
      </c>
      <c r="F86" t="s">
        <v>1154</v>
      </c>
      <c r="G86" t="s">
        <v>1155</v>
      </c>
      <c r="H86" t="s">
        <v>1156</v>
      </c>
      <c r="I86" t="s">
        <v>1157</v>
      </c>
      <c r="J86" t="s">
        <v>1158</v>
      </c>
      <c r="K86" t="s">
        <v>1159</v>
      </c>
      <c r="L86" t="s">
        <v>856</v>
      </c>
      <c r="M86" t="s">
        <v>157</v>
      </c>
      <c r="N86" t="s">
        <v>62</v>
      </c>
      <c r="O86" t="s">
        <v>1160</v>
      </c>
      <c r="P86" t="s">
        <v>82</v>
      </c>
      <c r="Q86" t="s">
        <v>83</v>
      </c>
      <c r="R86" t="s">
        <v>612</v>
      </c>
      <c r="S86" t="s">
        <v>1161</v>
      </c>
      <c r="T86" t="s">
        <v>85</v>
      </c>
      <c r="U86" t="s">
        <v>1154</v>
      </c>
    </row>
    <row r="87" spans="1:21" x14ac:dyDescent="0.25">
      <c r="A87" t="s">
        <v>1162</v>
      </c>
      <c r="B87" t="s">
        <v>1163</v>
      </c>
      <c r="C87" t="s">
        <v>1164</v>
      </c>
      <c r="D87" t="s">
        <v>1165</v>
      </c>
      <c r="E87" t="s">
        <v>12</v>
      </c>
      <c r="F87" t="s">
        <v>1166</v>
      </c>
      <c r="G87" t="s">
        <v>1167</v>
      </c>
      <c r="H87" t="s">
        <v>1168</v>
      </c>
      <c r="I87" t="s">
        <v>1169</v>
      </c>
      <c r="J87" t="s">
        <v>1170</v>
      </c>
      <c r="K87" t="s">
        <v>1171</v>
      </c>
      <c r="L87" t="s">
        <v>941</v>
      </c>
      <c r="M87" t="s">
        <v>214</v>
      </c>
      <c r="N87" t="s">
        <v>62</v>
      </c>
      <c r="O87" t="s">
        <v>1172</v>
      </c>
      <c r="P87" t="s">
        <v>143</v>
      </c>
      <c r="Q87" t="s">
        <v>144</v>
      </c>
      <c r="R87" t="s">
        <v>609</v>
      </c>
      <c r="S87" t="s">
        <v>1173</v>
      </c>
      <c r="T87" t="s">
        <v>67</v>
      </c>
      <c r="U87" t="s">
        <v>1166</v>
      </c>
    </row>
    <row r="88" spans="1:21" x14ac:dyDescent="0.25">
      <c r="A88" t="s">
        <v>1174</v>
      </c>
      <c r="B88" t="s">
        <v>1175</v>
      </c>
      <c r="C88" t="s">
        <v>1176</v>
      </c>
      <c r="D88" t="s">
        <v>1177</v>
      </c>
      <c r="E88" t="s">
        <v>12</v>
      </c>
      <c r="F88" t="s">
        <v>1178</v>
      </c>
      <c r="G88" t="s">
        <v>1179</v>
      </c>
      <c r="H88" t="s">
        <v>1180</v>
      </c>
      <c r="I88" t="s">
        <v>1181</v>
      </c>
      <c r="J88" t="s">
        <v>1182</v>
      </c>
      <c r="K88" t="s">
        <v>953</v>
      </c>
      <c r="L88" t="s">
        <v>1183</v>
      </c>
      <c r="M88" t="s">
        <v>172</v>
      </c>
      <c r="N88" t="s">
        <v>62</v>
      </c>
      <c r="O88" t="s">
        <v>1184</v>
      </c>
      <c r="P88" t="s">
        <v>82</v>
      </c>
      <c r="Q88" t="s">
        <v>83</v>
      </c>
      <c r="R88" t="s">
        <v>609</v>
      </c>
      <c r="S88" t="s">
        <v>1185</v>
      </c>
      <c r="T88" t="s">
        <v>67</v>
      </c>
      <c r="U88" t="s">
        <v>1178</v>
      </c>
    </row>
    <row r="89" spans="1:21" x14ac:dyDescent="0.25">
      <c r="A89" t="s">
        <v>1186</v>
      </c>
      <c r="B89" t="s">
        <v>1187</v>
      </c>
      <c r="C89" t="s">
        <v>1188</v>
      </c>
      <c r="D89" t="s">
        <v>1189</v>
      </c>
      <c r="E89" t="s">
        <v>12</v>
      </c>
      <c r="F89" t="s">
        <v>1190</v>
      </c>
      <c r="G89" t="s">
        <v>1191</v>
      </c>
      <c r="H89" t="s">
        <v>1192</v>
      </c>
      <c r="I89" t="s">
        <v>1193</v>
      </c>
      <c r="J89" t="s">
        <v>1194</v>
      </c>
      <c r="K89" t="s">
        <v>1195</v>
      </c>
      <c r="L89" t="s">
        <v>267</v>
      </c>
      <c r="M89" t="s">
        <v>362</v>
      </c>
      <c r="N89" t="s">
        <v>62</v>
      </c>
      <c r="O89" t="s">
        <v>1196</v>
      </c>
      <c r="P89" t="s">
        <v>64</v>
      </c>
      <c r="Q89" t="s">
        <v>99</v>
      </c>
      <c r="R89" t="s">
        <v>609</v>
      </c>
      <c r="S89" t="s">
        <v>1197</v>
      </c>
      <c r="T89" t="s">
        <v>160</v>
      </c>
      <c r="U89" t="s">
        <v>1190</v>
      </c>
    </row>
    <row r="90" spans="1:21" x14ac:dyDescent="0.25">
      <c r="A90" t="s">
        <v>1198</v>
      </c>
      <c r="B90" t="s">
        <v>1199</v>
      </c>
      <c r="C90" t="s">
        <v>1200</v>
      </c>
      <c r="D90" t="s">
        <v>1201</v>
      </c>
      <c r="E90" t="s">
        <v>12</v>
      </c>
      <c r="F90" t="s">
        <v>1202</v>
      </c>
      <c r="G90" t="s">
        <v>1203</v>
      </c>
      <c r="H90" t="s">
        <v>1204</v>
      </c>
      <c r="I90" t="s">
        <v>1205</v>
      </c>
      <c r="J90" t="s">
        <v>1206</v>
      </c>
      <c r="K90" t="s">
        <v>1207</v>
      </c>
      <c r="L90" t="s">
        <v>1208</v>
      </c>
      <c r="M90" t="s">
        <v>127</v>
      </c>
      <c r="N90" t="s">
        <v>62</v>
      </c>
      <c r="O90" t="s">
        <v>1209</v>
      </c>
      <c r="P90" t="s">
        <v>64</v>
      </c>
      <c r="Q90" t="s">
        <v>83</v>
      </c>
      <c r="R90" t="s">
        <v>609</v>
      </c>
      <c r="S90" t="s">
        <v>1210</v>
      </c>
      <c r="T90" t="s">
        <v>67</v>
      </c>
      <c r="U90" t="s">
        <v>1202</v>
      </c>
    </row>
    <row r="91" spans="1:21" x14ac:dyDescent="0.25">
      <c r="A91" t="s">
        <v>1211</v>
      </c>
      <c r="B91" t="s">
        <v>1212</v>
      </c>
      <c r="C91" t="s">
        <v>1213</v>
      </c>
      <c r="D91" t="s">
        <v>1214</v>
      </c>
      <c r="E91" t="s">
        <v>12</v>
      </c>
      <c r="F91" t="s">
        <v>1215</v>
      </c>
      <c r="G91" t="s">
        <v>1216</v>
      </c>
      <c r="H91" t="s">
        <v>1217</v>
      </c>
      <c r="I91" t="s">
        <v>93</v>
      </c>
      <c r="J91" t="s">
        <v>1218</v>
      </c>
      <c r="K91" t="s">
        <v>1219</v>
      </c>
      <c r="L91" t="s">
        <v>1220</v>
      </c>
      <c r="M91" t="s">
        <v>412</v>
      </c>
      <c r="N91" t="s">
        <v>62</v>
      </c>
      <c r="O91" t="s">
        <v>1221</v>
      </c>
      <c r="P91" t="s">
        <v>82</v>
      </c>
      <c r="Q91" t="s">
        <v>83</v>
      </c>
      <c r="R91" t="s">
        <v>606</v>
      </c>
      <c r="S91" t="s">
        <v>1222</v>
      </c>
      <c r="T91" t="s">
        <v>67</v>
      </c>
      <c r="U91" t="s">
        <v>1215</v>
      </c>
    </row>
    <row r="92" spans="1:21" x14ac:dyDescent="0.25">
      <c r="A92" t="s">
        <v>1223</v>
      </c>
      <c r="B92" t="s">
        <v>1224</v>
      </c>
      <c r="C92" t="s">
        <v>1225</v>
      </c>
      <c r="D92" t="s">
        <v>1226</v>
      </c>
      <c r="E92" t="s">
        <v>12</v>
      </c>
      <c r="F92" t="s">
        <v>1227</v>
      </c>
      <c r="G92" t="s">
        <v>1228</v>
      </c>
      <c r="H92" t="s">
        <v>1229</v>
      </c>
      <c r="I92" t="s">
        <v>1230</v>
      </c>
      <c r="J92" t="s">
        <v>1231</v>
      </c>
      <c r="K92" t="s">
        <v>1232</v>
      </c>
      <c r="L92" t="s">
        <v>1233</v>
      </c>
      <c r="M92" t="s">
        <v>228</v>
      </c>
      <c r="N92" t="s">
        <v>62</v>
      </c>
      <c r="O92" t="s">
        <v>1234</v>
      </c>
      <c r="P92" t="s">
        <v>64</v>
      </c>
      <c r="Q92" t="s">
        <v>83</v>
      </c>
      <c r="R92" t="s">
        <v>606</v>
      </c>
      <c r="S92" t="s">
        <v>1235</v>
      </c>
      <c r="T92" t="s">
        <v>85</v>
      </c>
      <c r="U92" t="s">
        <v>1227</v>
      </c>
    </row>
    <row r="93" spans="1:21" x14ac:dyDescent="0.25">
      <c r="A93" t="s">
        <v>1236</v>
      </c>
      <c r="B93" t="s">
        <v>1237</v>
      </c>
      <c r="C93" t="s">
        <v>1238</v>
      </c>
      <c r="D93" t="s">
        <v>1239</v>
      </c>
      <c r="E93" t="s">
        <v>12</v>
      </c>
      <c r="F93" t="s">
        <v>1240</v>
      </c>
      <c r="G93" t="s">
        <v>1241</v>
      </c>
      <c r="H93" t="s">
        <v>1242</v>
      </c>
      <c r="I93" t="s">
        <v>1243</v>
      </c>
      <c r="J93" t="s">
        <v>1244</v>
      </c>
      <c r="K93" t="s">
        <v>590</v>
      </c>
      <c r="L93" t="s">
        <v>1245</v>
      </c>
      <c r="M93" t="s">
        <v>578</v>
      </c>
      <c r="N93" t="s">
        <v>62</v>
      </c>
      <c r="O93" t="s">
        <v>1246</v>
      </c>
      <c r="P93" t="s">
        <v>143</v>
      </c>
      <c r="Q93" t="s">
        <v>65</v>
      </c>
      <c r="R93" t="s">
        <v>606</v>
      </c>
      <c r="S93" t="s">
        <v>1247</v>
      </c>
      <c r="T93" t="s">
        <v>160</v>
      </c>
      <c r="U93" t="s">
        <v>1240</v>
      </c>
    </row>
    <row r="94" spans="1:21" x14ac:dyDescent="0.25">
      <c r="A94" t="s">
        <v>1248</v>
      </c>
      <c r="B94" t="s">
        <v>1249</v>
      </c>
      <c r="C94" t="s">
        <v>1250</v>
      </c>
      <c r="D94" t="s">
        <v>1251</v>
      </c>
      <c r="E94" t="s">
        <v>12</v>
      </c>
      <c r="F94" t="s">
        <v>1252</v>
      </c>
      <c r="G94" t="s">
        <v>1253</v>
      </c>
      <c r="H94" t="s">
        <v>1254</v>
      </c>
      <c r="I94" t="s">
        <v>1255</v>
      </c>
      <c r="J94" t="s">
        <v>1256</v>
      </c>
      <c r="K94" t="s">
        <v>1207</v>
      </c>
      <c r="L94" t="s">
        <v>1257</v>
      </c>
      <c r="M94" t="s">
        <v>881</v>
      </c>
      <c r="N94" t="s">
        <v>62</v>
      </c>
      <c r="O94" t="s">
        <v>1258</v>
      </c>
      <c r="P94" t="s">
        <v>114</v>
      </c>
      <c r="Q94" t="s">
        <v>99</v>
      </c>
      <c r="R94" t="s">
        <v>612</v>
      </c>
      <c r="S94" t="s">
        <v>1259</v>
      </c>
      <c r="T94" t="s">
        <v>160</v>
      </c>
      <c r="U94" t="s">
        <v>1252</v>
      </c>
    </row>
    <row r="95" spans="1:21" x14ac:dyDescent="0.25">
      <c r="A95" t="s">
        <v>1260</v>
      </c>
      <c r="B95" t="s">
        <v>1261</v>
      </c>
      <c r="C95" t="s">
        <v>1262</v>
      </c>
      <c r="D95" t="s">
        <v>1263</v>
      </c>
      <c r="E95" t="s">
        <v>12</v>
      </c>
      <c r="F95" t="s">
        <v>1264</v>
      </c>
      <c r="G95" t="s">
        <v>1265</v>
      </c>
      <c r="H95" t="s">
        <v>1266</v>
      </c>
      <c r="I95" t="s">
        <v>1267</v>
      </c>
      <c r="J95" t="s">
        <v>1268</v>
      </c>
      <c r="K95" t="s">
        <v>1110</v>
      </c>
      <c r="L95" t="s">
        <v>1269</v>
      </c>
      <c r="M95" t="s">
        <v>141</v>
      </c>
      <c r="N95" t="s">
        <v>62</v>
      </c>
      <c r="O95" t="s">
        <v>1270</v>
      </c>
      <c r="P95" t="s">
        <v>64</v>
      </c>
      <c r="Q95" t="s">
        <v>144</v>
      </c>
      <c r="R95" t="s">
        <v>606</v>
      </c>
      <c r="S95" t="s">
        <v>1271</v>
      </c>
      <c r="T95" t="s">
        <v>85</v>
      </c>
      <c r="U95" t="s">
        <v>1264</v>
      </c>
    </row>
    <row r="96" spans="1:21" x14ac:dyDescent="0.25">
      <c r="A96" t="s">
        <v>1272</v>
      </c>
      <c r="B96" t="s">
        <v>1273</v>
      </c>
      <c r="C96" t="s">
        <v>1274</v>
      </c>
      <c r="D96" t="s">
        <v>1275</v>
      </c>
      <c r="E96" t="s">
        <v>12</v>
      </c>
      <c r="F96" t="s">
        <v>1276</v>
      </c>
      <c r="G96" t="s">
        <v>1277</v>
      </c>
      <c r="H96" t="s">
        <v>1278</v>
      </c>
      <c r="I96" t="s">
        <v>1279</v>
      </c>
      <c r="J96" t="s">
        <v>1280</v>
      </c>
      <c r="K96" t="s">
        <v>1232</v>
      </c>
      <c r="L96" t="s">
        <v>1281</v>
      </c>
      <c r="M96" t="s">
        <v>656</v>
      </c>
      <c r="N96" t="s">
        <v>62</v>
      </c>
      <c r="O96" t="s">
        <v>1282</v>
      </c>
      <c r="P96" t="s">
        <v>174</v>
      </c>
      <c r="Q96" t="s">
        <v>65</v>
      </c>
      <c r="R96" t="s">
        <v>612</v>
      </c>
      <c r="S96" t="s">
        <v>1283</v>
      </c>
      <c r="T96" t="s">
        <v>67</v>
      </c>
      <c r="U96" t="s">
        <v>1276</v>
      </c>
    </row>
    <row r="97" spans="1:21" x14ac:dyDescent="0.25">
      <c r="A97" t="s">
        <v>1284</v>
      </c>
      <c r="B97" t="s">
        <v>519</v>
      </c>
      <c r="C97" t="s">
        <v>520</v>
      </c>
      <c r="D97" t="s">
        <v>1285</v>
      </c>
      <c r="E97" t="s">
        <v>12</v>
      </c>
      <c r="F97" t="s">
        <v>1286</v>
      </c>
      <c r="G97" t="s">
        <v>1287</v>
      </c>
      <c r="H97" t="s">
        <v>1288</v>
      </c>
      <c r="I97" t="s">
        <v>1289</v>
      </c>
      <c r="J97" t="s">
        <v>1290</v>
      </c>
      <c r="K97" t="s">
        <v>804</v>
      </c>
      <c r="L97" t="s">
        <v>1014</v>
      </c>
      <c r="M97" t="s">
        <v>127</v>
      </c>
      <c r="N97" t="s">
        <v>62</v>
      </c>
      <c r="O97" t="s">
        <v>1291</v>
      </c>
      <c r="P97" t="s">
        <v>114</v>
      </c>
      <c r="Q97" t="s">
        <v>65</v>
      </c>
      <c r="R97" t="s">
        <v>606</v>
      </c>
      <c r="S97" t="s">
        <v>529</v>
      </c>
      <c r="T97" t="s">
        <v>160</v>
      </c>
      <c r="U97" t="s">
        <v>1286</v>
      </c>
    </row>
  </sheetData>
  <pageMargins left="0.511811024" right="0.511811024" top="0.78740157499999996" bottom="0.78740157499999996" header="0.31496062000000002" footer="0.31496062000000002"/>
  <ignoredErrors>
    <ignoredError sqref="A1:W4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C2D9-BEBD-4127-9628-E66956AE3FBB}">
  <dimension ref="A1:P258"/>
  <sheetViews>
    <sheetView topLeftCell="A2" workbookViewId="0"/>
  </sheetViews>
  <sheetFormatPr defaultRowHeight="15.75" x14ac:dyDescent="0.25"/>
  <cols>
    <col min="1" max="1" width="10.5" bestFit="1" customWidth="1"/>
    <col min="2" max="2" width="11.875" bestFit="1" customWidth="1"/>
    <col min="3" max="3" width="15.875" bestFit="1" customWidth="1"/>
    <col min="4" max="4" width="20.75" bestFit="1" customWidth="1"/>
    <col min="5" max="5" width="12.625" bestFit="1" customWidth="1"/>
    <col min="6" max="6" width="15.5" bestFit="1" customWidth="1"/>
    <col min="7" max="7" width="16.75" bestFit="1" customWidth="1"/>
    <col min="8" max="8" width="15.25" bestFit="1" customWidth="1"/>
    <col min="9" max="9" width="13.75" bestFit="1" customWidth="1"/>
    <col min="10" max="10" width="12.125" bestFit="1" customWidth="1"/>
    <col min="11" max="11" width="11.625" bestFit="1" customWidth="1"/>
    <col min="12" max="12" width="20.625" bestFit="1" customWidth="1"/>
    <col min="13" max="13" width="17" bestFit="1" customWidth="1"/>
    <col min="14" max="14" width="21.25" bestFit="1" customWidth="1"/>
    <col min="15" max="15" width="17.625" bestFit="1" customWidth="1"/>
    <col min="16" max="16" width="15.125" bestFit="1" customWidth="1"/>
  </cols>
  <sheetData>
    <row r="1" spans="1:16" x14ac:dyDescent="0.25">
      <c r="A1" t="s">
        <v>2517</v>
      </c>
      <c r="B1" t="s">
        <v>1294</v>
      </c>
      <c r="C1" t="s">
        <v>2518</v>
      </c>
      <c r="D1" t="s">
        <v>2519</v>
      </c>
      <c r="E1" t="s">
        <v>1295</v>
      </c>
      <c r="F1" t="s">
        <v>1296</v>
      </c>
      <c r="G1" t="s">
        <v>1297</v>
      </c>
      <c r="H1" t="s">
        <v>1298</v>
      </c>
      <c r="I1" t="s">
        <v>1299</v>
      </c>
      <c r="J1" t="s">
        <v>1300</v>
      </c>
      <c r="K1" t="s">
        <v>2520</v>
      </c>
      <c r="L1" t="s">
        <v>1301</v>
      </c>
      <c r="M1" t="s">
        <v>1302</v>
      </c>
      <c r="N1" t="s">
        <v>1303</v>
      </c>
      <c r="O1" t="s">
        <v>1304</v>
      </c>
      <c r="P1" t="s">
        <v>2521</v>
      </c>
    </row>
    <row r="2" spans="1:16" x14ac:dyDescent="0.25">
      <c r="A2" s="22" t="s">
        <v>15</v>
      </c>
      <c r="B2" s="22" t="s">
        <v>1532</v>
      </c>
      <c r="C2" s="22" t="s">
        <v>608</v>
      </c>
      <c r="D2" s="22" t="s">
        <v>1529</v>
      </c>
      <c r="E2">
        <v>1500</v>
      </c>
      <c r="F2">
        <v>5706.32</v>
      </c>
      <c r="G2">
        <v>-706.32</v>
      </c>
      <c r="H2">
        <v>4360.91</v>
      </c>
      <c r="I2">
        <v>5706.32</v>
      </c>
      <c r="J2" s="22" t="s">
        <v>2522</v>
      </c>
      <c r="K2" s="22" t="s">
        <v>2523</v>
      </c>
      <c r="L2" s="22" t="s">
        <v>1533</v>
      </c>
      <c r="M2" s="22" t="s">
        <v>1343</v>
      </c>
      <c r="N2" s="22" t="s">
        <v>1534</v>
      </c>
      <c r="O2" s="22" t="s">
        <v>1535</v>
      </c>
      <c r="P2" s="23">
        <v>46201.06753403935</v>
      </c>
    </row>
    <row r="3" spans="1:16" x14ac:dyDescent="0.25">
      <c r="A3" s="22" t="s">
        <v>18</v>
      </c>
      <c r="B3" s="22" t="s">
        <v>1381</v>
      </c>
      <c r="C3" s="22" t="s">
        <v>608</v>
      </c>
      <c r="D3" s="22" t="s">
        <v>1382</v>
      </c>
      <c r="E3">
        <v>2000</v>
      </c>
      <c r="F3">
        <v>2500.73</v>
      </c>
      <c r="G3">
        <v>2499.27</v>
      </c>
      <c r="H3">
        <v>1231.95</v>
      </c>
      <c r="I3">
        <v>2500.73</v>
      </c>
      <c r="J3" s="22" t="s">
        <v>2524</v>
      </c>
      <c r="K3" s="22" t="s">
        <v>2523</v>
      </c>
      <c r="L3" s="22" t="s">
        <v>1383</v>
      </c>
      <c r="M3" s="22" t="s">
        <v>1384</v>
      </c>
      <c r="N3" s="22" t="s">
        <v>68</v>
      </c>
      <c r="O3" s="22" t="s">
        <v>68</v>
      </c>
      <c r="P3" s="23">
        <v>46207.108438657408</v>
      </c>
    </row>
    <row r="4" spans="1:16" x14ac:dyDescent="0.25">
      <c r="A4" s="22" t="s">
        <v>21</v>
      </c>
      <c r="B4" s="22" t="s">
        <v>1936</v>
      </c>
      <c r="C4" s="22" t="s">
        <v>608</v>
      </c>
      <c r="D4" s="22" t="s">
        <v>2525</v>
      </c>
      <c r="E4">
        <v>52000</v>
      </c>
      <c r="F4">
        <v>8111.79</v>
      </c>
      <c r="G4">
        <v>-3111.79</v>
      </c>
      <c r="H4">
        <v>5354.03</v>
      </c>
      <c r="I4">
        <v>8111.79</v>
      </c>
      <c r="J4" s="22" t="s">
        <v>2526</v>
      </c>
      <c r="K4" s="22" t="s">
        <v>2523</v>
      </c>
      <c r="L4" s="22" t="s">
        <v>1937</v>
      </c>
      <c r="M4" s="22" t="s">
        <v>1938</v>
      </c>
      <c r="N4" s="22" t="s">
        <v>68</v>
      </c>
      <c r="O4" s="22" t="s">
        <v>68</v>
      </c>
      <c r="P4" s="23">
        <v>46207.11388247685</v>
      </c>
    </row>
    <row r="5" spans="1:16" x14ac:dyDescent="0.25">
      <c r="A5" s="22" t="s">
        <v>24</v>
      </c>
      <c r="B5" s="22" t="s">
        <v>1777</v>
      </c>
      <c r="C5" s="22" t="s">
        <v>608</v>
      </c>
      <c r="D5" s="22" t="s">
        <v>1778</v>
      </c>
      <c r="E5">
        <v>13951.05</v>
      </c>
      <c r="F5">
        <v>5806.71</v>
      </c>
      <c r="G5">
        <v>-806.71</v>
      </c>
      <c r="H5">
        <v>4985.33</v>
      </c>
      <c r="I5">
        <v>16889.939999999999</v>
      </c>
      <c r="J5" s="22" t="s">
        <v>1307</v>
      </c>
      <c r="K5" s="22" t="s">
        <v>2527</v>
      </c>
      <c r="L5" s="22" t="s">
        <v>1779</v>
      </c>
      <c r="M5" s="22" t="s">
        <v>1780</v>
      </c>
      <c r="N5" s="22" t="s">
        <v>68</v>
      </c>
      <c r="O5" s="22" t="s">
        <v>68</v>
      </c>
      <c r="P5" s="23">
        <v>46207.114163935184</v>
      </c>
    </row>
    <row r="6" spans="1:16" x14ac:dyDescent="0.25">
      <c r="A6" s="22" t="s">
        <v>27</v>
      </c>
      <c r="B6" s="22" t="s">
        <v>1876</v>
      </c>
      <c r="C6" s="22" t="s">
        <v>608</v>
      </c>
      <c r="D6" s="22" t="s">
        <v>1877</v>
      </c>
      <c r="E6">
        <v>2000</v>
      </c>
      <c r="F6">
        <v>2643.49</v>
      </c>
      <c r="G6">
        <v>2356.5100000000002</v>
      </c>
      <c r="H6">
        <v>1353.73</v>
      </c>
      <c r="I6">
        <v>2643.49</v>
      </c>
      <c r="J6" s="22" t="s">
        <v>2524</v>
      </c>
      <c r="K6" s="22" t="s">
        <v>2523</v>
      </c>
      <c r="L6" s="22" t="s">
        <v>1878</v>
      </c>
      <c r="M6" s="22" t="s">
        <v>1879</v>
      </c>
      <c r="N6" s="22" t="s">
        <v>68</v>
      </c>
      <c r="O6" s="22" t="s">
        <v>68</v>
      </c>
      <c r="P6" s="23">
        <v>46207.114609317126</v>
      </c>
    </row>
    <row r="7" spans="1:16" x14ac:dyDescent="0.25">
      <c r="A7" s="22" t="s">
        <v>610</v>
      </c>
      <c r="B7" s="22" t="s">
        <v>2020</v>
      </c>
      <c r="C7" s="22" t="s">
        <v>608</v>
      </c>
      <c r="D7" s="22" t="s">
        <v>2021</v>
      </c>
      <c r="E7">
        <v>2000</v>
      </c>
      <c r="F7">
        <v>2925.82</v>
      </c>
      <c r="G7">
        <v>2074.1799999999998</v>
      </c>
      <c r="H7">
        <v>1594.15</v>
      </c>
      <c r="I7">
        <v>2925.82</v>
      </c>
      <c r="J7" s="22" t="s">
        <v>2524</v>
      </c>
      <c r="K7" s="22" t="s">
        <v>2523</v>
      </c>
      <c r="L7" s="22" t="s">
        <v>2022</v>
      </c>
      <c r="M7" s="22" t="s">
        <v>2023</v>
      </c>
      <c r="N7" s="22" t="s">
        <v>68</v>
      </c>
      <c r="O7" s="22" t="s">
        <v>68</v>
      </c>
      <c r="P7" s="23">
        <v>46207.114950717594</v>
      </c>
    </row>
    <row r="8" spans="1:16" x14ac:dyDescent="0.25">
      <c r="A8" s="22" t="s">
        <v>611</v>
      </c>
      <c r="B8" s="22" t="s">
        <v>2003</v>
      </c>
      <c r="C8" s="22" t="s">
        <v>608</v>
      </c>
      <c r="D8" s="22" t="s">
        <v>2004</v>
      </c>
      <c r="E8">
        <v>2000</v>
      </c>
      <c r="F8">
        <v>2760.55</v>
      </c>
      <c r="G8">
        <v>2239.4499999999998</v>
      </c>
      <c r="H8">
        <v>1453.29</v>
      </c>
      <c r="I8">
        <v>2760.55</v>
      </c>
      <c r="J8" s="22" t="s">
        <v>2524</v>
      </c>
      <c r="K8" s="22" t="s">
        <v>2523</v>
      </c>
      <c r="L8" s="22" t="s">
        <v>2005</v>
      </c>
      <c r="M8" s="22" t="s">
        <v>487</v>
      </c>
      <c r="N8" s="22" t="s">
        <v>68</v>
      </c>
      <c r="O8" s="22" t="s">
        <v>68</v>
      </c>
      <c r="P8" s="23">
        <v>46207.115591099537</v>
      </c>
    </row>
    <row r="9" spans="1:16" x14ac:dyDescent="0.25">
      <c r="A9" s="22" t="s">
        <v>613</v>
      </c>
      <c r="B9" s="22" t="s">
        <v>1972</v>
      </c>
      <c r="C9" s="22" t="s">
        <v>608</v>
      </c>
      <c r="D9" s="22" t="s">
        <v>1973</v>
      </c>
      <c r="E9">
        <v>2000</v>
      </c>
      <c r="F9">
        <v>3054.52</v>
      </c>
      <c r="G9">
        <v>1945.48</v>
      </c>
      <c r="H9">
        <v>1703.77</v>
      </c>
      <c r="I9">
        <v>3054.52</v>
      </c>
      <c r="J9" s="22" t="s">
        <v>2524</v>
      </c>
      <c r="K9" s="22" t="s">
        <v>2523</v>
      </c>
      <c r="L9" s="22" t="s">
        <v>1974</v>
      </c>
      <c r="M9" s="22" t="s">
        <v>1975</v>
      </c>
      <c r="N9" s="22" t="s">
        <v>68</v>
      </c>
      <c r="O9" s="22" t="s">
        <v>68</v>
      </c>
      <c r="P9" s="23">
        <v>46207.116051527781</v>
      </c>
    </row>
    <row r="10" spans="1:16" x14ac:dyDescent="0.25">
      <c r="A10" s="22" t="s">
        <v>615</v>
      </c>
      <c r="B10" s="22" t="s">
        <v>1518</v>
      </c>
      <c r="C10" s="22" t="s">
        <v>608</v>
      </c>
      <c r="D10" s="22" t="s">
        <v>1519</v>
      </c>
      <c r="E10">
        <v>2000</v>
      </c>
      <c r="F10">
        <v>2519.56</v>
      </c>
      <c r="G10">
        <v>2480.44</v>
      </c>
      <c r="H10">
        <v>1247.97</v>
      </c>
      <c r="I10">
        <v>2519.56</v>
      </c>
      <c r="J10" s="22" t="s">
        <v>2524</v>
      </c>
      <c r="K10" s="22" t="s">
        <v>2523</v>
      </c>
      <c r="L10" s="22" t="s">
        <v>1520</v>
      </c>
      <c r="M10" s="22" t="s">
        <v>1521</v>
      </c>
      <c r="N10" s="22" t="s">
        <v>68</v>
      </c>
      <c r="O10" s="22" t="s">
        <v>68</v>
      </c>
      <c r="P10" s="23">
        <v>46207.116757905096</v>
      </c>
    </row>
    <row r="11" spans="1:16" x14ac:dyDescent="0.25">
      <c r="A11" s="22" t="s">
        <v>614</v>
      </c>
      <c r="B11" s="22" t="s">
        <v>1965</v>
      </c>
      <c r="C11" s="22" t="s">
        <v>608</v>
      </c>
      <c r="D11" s="22" t="s">
        <v>1966</v>
      </c>
      <c r="E11">
        <v>2000</v>
      </c>
      <c r="F11">
        <v>2632.83</v>
      </c>
      <c r="G11">
        <v>2367.17</v>
      </c>
      <c r="H11">
        <v>1344.36</v>
      </c>
      <c r="I11">
        <v>2632.83</v>
      </c>
      <c r="J11" s="22" t="s">
        <v>2524</v>
      </c>
      <c r="K11" s="22" t="s">
        <v>2523</v>
      </c>
      <c r="L11" s="22" t="s">
        <v>1967</v>
      </c>
      <c r="M11" s="22" t="s">
        <v>1968</v>
      </c>
      <c r="N11" s="22" t="s">
        <v>68</v>
      </c>
      <c r="O11" s="22" t="s">
        <v>68</v>
      </c>
      <c r="P11" s="23">
        <v>46207.117185590279</v>
      </c>
    </row>
    <row r="12" spans="1:16" x14ac:dyDescent="0.25">
      <c r="A12" s="22" t="s">
        <v>616</v>
      </c>
      <c r="B12" s="22" t="s">
        <v>1701</v>
      </c>
      <c r="C12" s="22" t="s">
        <v>608</v>
      </c>
      <c r="D12" s="22" t="s">
        <v>1702</v>
      </c>
      <c r="E12">
        <v>2000</v>
      </c>
      <c r="F12">
        <v>8055.27</v>
      </c>
      <c r="G12">
        <v>-3055.27</v>
      </c>
      <c r="H12">
        <v>5297.51</v>
      </c>
      <c r="I12">
        <v>8055.27</v>
      </c>
      <c r="J12" s="22" t="s">
        <v>2526</v>
      </c>
      <c r="K12" s="22" t="s">
        <v>2523</v>
      </c>
      <c r="L12" s="22" t="s">
        <v>1703</v>
      </c>
      <c r="M12" s="22" t="s">
        <v>1704</v>
      </c>
      <c r="N12" s="22" t="s">
        <v>68</v>
      </c>
      <c r="O12" s="22" t="s">
        <v>68</v>
      </c>
      <c r="P12" s="23">
        <v>46207.117466516203</v>
      </c>
    </row>
    <row r="13" spans="1:16" x14ac:dyDescent="0.25">
      <c r="A13" s="22" t="s">
        <v>617</v>
      </c>
      <c r="B13" s="22" t="s">
        <v>1514</v>
      </c>
      <c r="C13" s="22" t="s">
        <v>608</v>
      </c>
      <c r="D13" s="22" t="s">
        <v>1515</v>
      </c>
      <c r="E13">
        <v>2000</v>
      </c>
      <c r="F13">
        <v>1181.25</v>
      </c>
      <c r="G13">
        <v>3818.75</v>
      </c>
      <c r="H13">
        <v>0</v>
      </c>
      <c r="I13">
        <v>126.2</v>
      </c>
      <c r="J13" s="22" t="s">
        <v>1307</v>
      </c>
      <c r="K13" s="22" t="s">
        <v>2527</v>
      </c>
      <c r="L13" s="22" t="s">
        <v>1516</v>
      </c>
      <c r="M13" s="22" t="s">
        <v>1517</v>
      </c>
      <c r="N13" s="22" t="s">
        <v>68</v>
      </c>
      <c r="O13" s="22" t="s">
        <v>68</v>
      </c>
      <c r="P13" s="23">
        <v>46207.118839374998</v>
      </c>
    </row>
    <row r="14" spans="1:16" x14ac:dyDescent="0.25">
      <c r="A14" s="22" t="s">
        <v>618</v>
      </c>
      <c r="B14" s="22" t="s">
        <v>1791</v>
      </c>
      <c r="C14" s="22" t="s">
        <v>608</v>
      </c>
      <c r="D14" s="22" t="s">
        <v>1792</v>
      </c>
      <c r="E14">
        <v>17000</v>
      </c>
      <c r="F14">
        <v>7473.74</v>
      </c>
      <c r="G14">
        <v>-2473.7399999999998</v>
      </c>
      <c r="H14">
        <v>4715.9799999999996</v>
      </c>
      <c r="I14">
        <v>7473.74</v>
      </c>
      <c r="J14" s="22" t="s">
        <v>2526</v>
      </c>
      <c r="K14" s="22" t="s">
        <v>2523</v>
      </c>
      <c r="L14" s="22" t="s">
        <v>1793</v>
      </c>
      <c r="M14" s="22" t="s">
        <v>1794</v>
      </c>
      <c r="N14" s="22" t="s">
        <v>68</v>
      </c>
      <c r="O14" s="22" t="s">
        <v>68</v>
      </c>
      <c r="P14" s="23">
        <v>46207.119121631942</v>
      </c>
    </row>
    <row r="15" spans="1:16" x14ac:dyDescent="0.25">
      <c r="A15" s="22" t="s">
        <v>619</v>
      </c>
      <c r="B15" s="22" t="s">
        <v>1883</v>
      </c>
      <c r="C15" s="22" t="s">
        <v>608</v>
      </c>
      <c r="D15" s="22" t="s">
        <v>1884</v>
      </c>
      <c r="E15">
        <v>2000</v>
      </c>
      <c r="F15">
        <v>8013.76</v>
      </c>
      <c r="G15">
        <v>-3013.76</v>
      </c>
      <c r="H15">
        <v>5256</v>
      </c>
      <c r="I15">
        <v>8013.76</v>
      </c>
      <c r="J15" s="22" t="s">
        <v>2526</v>
      </c>
      <c r="K15" s="22" t="s">
        <v>2523</v>
      </c>
      <c r="L15" s="22" t="s">
        <v>1885</v>
      </c>
      <c r="M15" s="22" t="s">
        <v>1886</v>
      </c>
      <c r="N15" s="22" t="s">
        <v>68</v>
      </c>
      <c r="O15" s="22" t="s">
        <v>68</v>
      </c>
      <c r="P15" s="23">
        <v>46207.11947766204</v>
      </c>
    </row>
    <row r="16" spans="1:16" x14ac:dyDescent="0.25">
      <c r="A16" s="22" t="s">
        <v>1292</v>
      </c>
      <c r="B16" s="22" t="s">
        <v>1359</v>
      </c>
      <c r="C16" s="22" t="s">
        <v>608</v>
      </c>
      <c r="D16" s="22" t="s">
        <v>2528</v>
      </c>
      <c r="E16">
        <v>2000</v>
      </c>
      <c r="F16">
        <v>2791.54</v>
      </c>
      <c r="G16">
        <v>2208.46</v>
      </c>
      <c r="H16">
        <v>1479.87</v>
      </c>
      <c r="I16">
        <v>2791.54</v>
      </c>
      <c r="J16" s="22" t="s">
        <v>2524</v>
      </c>
      <c r="K16" s="22" t="s">
        <v>2523</v>
      </c>
      <c r="L16" s="22" t="s">
        <v>1360</v>
      </c>
      <c r="M16" s="22" t="s">
        <v>1361</v>
      </c>
      <c r="N16" s="22" t="s">
        <v>68</v>
      </c>
      <c r="O16" s="22" t="s">
        <v>68</v>
      </c>
      <c r="P16" s="23">
        <v>46207.120921886577</v>
      </c>
    </row>
    <row r="17" spans="1:16" x14ac:dyDescent="0.25">
      <c r="A17" s="22" t="s">
        <v>2276</v>
      </c>
      <c r="B17" s="22" t="s">
        <v>1557</v>
      </c>
      <c r="C17" s="22" t="s">
        <v>608</v>
      </c>
      <c r="D17" s="22" t="s">
        <v>2529</v>
      </c>
      <c r="E17">
        <v>2000</v>
      </c>
      <c r="F17">
        <v>2411.84</v>
      </c>
      <c r="G17">
        <v>2588.16</v>
      </c>
      <c r="H17">
        <v>1156.21</v>
      </c>
      <c r="I17">
        <v>2411.84</v>
      </c>
      <c r="J17" s="22" t="s">
        <v>2524</v>
      </c>
      <c r="K17" s="22" t="s">
        <v>2523</v>
      </c>
      <c r="L17" s="22" t="s">
        <v>1558</v>
      </c>
      <c r="M17" s="22" t="s">
        <v>1559</v>
      </c>
      <c r="N17" s="22" t="s">
        <v>68</v>
      </c>
      <c r="O17" s="22" t="s">
        <v>68</v>
      </c>
      <c r="P17" s="23">
        <v>46207.121585393521</v>
      </c>
    </row>
    <row r="18" spans="1:16" x14ac:dyDescent="0.25">
      <c r="A18" s="22" t="s">
        <v>1293</v>
      </c>
      <c r="B18" s="22" t="s">
        <v>1355</v>
      </c>
      <c r="C18" s="22" t="s">
        <v>608</v>
      </c>
      <c r="D18" s="22" t="s">
        <v>1356</v>
      </c>
      <c r="E18">
        <v>706.15</v>
      </c>
      <c r="F18">
        <v>1279.71</v>
      </c>
      <c r="G18">
        <v>3720.29</v>
      </c>
      <c r="H18">
        <v>0</v>
      </c>
      <c r="I18">
        <v>224.66</v>
      </c>
      <c r="J18" s="22" t="s">
        <v>1307</v>
      </c>
      <c r="K18" s="22" t="s">
        <v>2527</v>
      </c>
      <c r="L18" s="22" t="s">
        <v>1357</v>
      </c>
      <c r="M18" s="22" t="s">
        <v>1358</v>
      </c>
      <c r="N18" s="22" t="s">
        <v>68</v>
      </c>
      <c r="O18" s="22" t="s">
        <v>68</v>
      </c>
      <c r="P18" s="23">
        <v>46207.122146226851</v>
      </c>
    </row>
    <row r="19" spans="1:16" x14ac:dyDescent="0.25">
      <c r="A19" s="22" t="s">
        <v>2277</v>
      </c>
      <c r="B19" s="22" t="s">
        <v>2012</v>
      </c>
      <c r="C19" s="22" t="s">
        <v>608</v>
      </c>
      <c r="D19" s="22" t="s">
        <v>2013</v>
      </c>
      <c r="E19">
        <v>2000</v>
      </c>
      <c r="F19">
        <v>7776.01</v>
      </c>
      <c r="G19">
        <v>-2776.01</v>
      </c>
      <c r="H19">
        <v>5018.25</v>
      </c>
      <c r="I19">
        <v>7776.01</v>
      </c>
      <c r="J19" s="22" t="s">
        <v>2526</v>
      </c>
      <c r="K19" s="22" t="s">
        <v>2523</v>
      </c>
      <c r="L19" s="22" t="s">
        <v>2014</v>
      </c>
      <c r="M19" s="22" t="s">
        <v>2015</v>
      </c>
      <c r="N19" s="22" t="s">
        <v>68</v>
      </c>
      <c r="O19" s="22" t="s">
        <v>68</v>
      </c>
      <c r="P19" s="23">
        <v>46207.12306140046</v>
      </c>
    </row>
    <row r="20" spans="1:16" x14ac:dyDescent="0.25">
      <c r="A20" s="22" t="s">
        <v>2278</v>
      </c>
      <c r="B20" s="22" t="s">
        <v>1473</v>
      </c>
      <c r="C20" s="22" t="s">
        <v>608</v>
      </c>
      <c r="D20" s="22" t="s">
        <v>2530</v>
      </c>
      <c r="E20">
        <v>700.08</v>
      </c>
      <c r="F20">
        <v>1280.6600000000001</v>
      </c>
      <c r="G20">
        <v>3719.34</v>
      </c>
      <c r="H20">
        <v>0</v>
      </c>
      <c r="I20">
        <v>225.61</v>
      </c>
      <c r="J20" s="22" t="s">
        <v>1307</v>
      </c>
      <c r="K20" s="22" t="s">
        <v>2527</v>
      </c>
      <c r="L20" s="22" t="s">
        <v>1474</v>
      </c>
      <c r="M20" s="22" t="s">
        <v>1475</v>
      </c>
      <c r="N20" s="22" t="s">
        <v>68</v>
      </c>
      <c r="O20" s="22" t="s">
        <v>68</v>
      </c>
      <c r="P20" s="23">
        <v>46207.124362291666</v>
      </c>
    </row>
    <row r="21" spans="1:16" x14ac:dyDescent="0.25">
      <c r="A21" s="22" t="s">
        <v>2279</v>
      </c>
      <c r="B21" s="22" t="s">
        <v>1753</v>
      </c>
      <c r="C21" s="22" t="s">
        <v>608</v>
      </c>
      <c r="D21" s="22" t="s">
        <v>2531</v>
      </c>
      <c r="E21">
        <v>2000</v>
      </c>
      <c r="F21">
        <v>2719.43</v>
      </c>
      <c r="G21">
        <v>2280.5700000000002</v>
      </c>
      <c r="H21">
        <v>1418.14</v>
      </c>
      <c r="I21">
        <v>2719.43</v>
      </c>
      <c r="J21" s="22" t="s">
        <v>2524</v>
      </c>
      <c r="K21" s="22" t="s">
        <v>2523</v>
      </c>
      <c r="L21" s="22" t="s">
        <v>1754</v>
      </c>
      <c r="M21" s="22" t="s">
        <v>1755</v>
      </c>
      <c r="N21" s="22" t="s">
        <v>68</v>
      </c>
      <c r="O21" s="22" t="s">
        <v>68</v>
      </c>
      <c r="P21" s="23">
        <v>46207.125125219907</v>
      </c>
    </row>
    <row r="22" spans="1:16" x14ac:dyDescent="0.25">
      <c r="A22" s="22" t="s">
        <v>2280</v>
      </c>
      <c r="B22" s="22" t="s">
        <v>1420</v>
      </c>
      <c r="C22" s="22" t="s">
        <v>608</v>
      </c>
      <c r="D22" s="22" t="s">
        <v>1421</v>
      </c>
      <c r="E22">
        <v>2000</v>
      </c>
      <c r="F22">
        <v>2776.73</v>
      </c>
      <c r="G22">
        <v>2223.27</v>
      </c>
      <c r="H22">
        <v>1466.99</v>
      </c>
      <c r="I22">
        <v>2776.73</v>
      </c>
      <c r="J22" s="22" t="s">
        <v>2524</v>
      </c>
      <c r="K22" s="22" t="s">
        <v>2523</v>
      </c>
      <c r="L22" s="22" t="s">
        <v>1422</v>
      </c>
      <c r="M22" s="22" t="s">
        <v>1423</v>
      </c>
      <c r="N22" s="22" t="s">
        <v>68</v>
      </c>
      <c r="O22" s="22" t="s">
        <v>68</v>
      </c>
      <c r="P22" s="23">
        <v>46207.127641354164</v>
      </c>
    </row>
    <row r="23" spans="1:16" x14ac:dyDescent="0.25">
      <c r="A23" s="22" t="s">
        <v>2281</v>
      </c>
      <c r="B23" s="22" t="s">
        <v>1385</v>
      </c>
      <c r="C23" s="22" t="s">
        <v>608</v>
      </c>
      <c r="D23" s="22" t="s">
        <v>1386</v>
      </c>
      <c r="E23">
        <v>2000</v>
      </c>
      <c r="F23">
        <v>2484.94</v>
      </c>
      <c r="G23">
        <v>2515.06</v>
      </c>
      <c r="H23">
        <v>1218.3699999999999</v>
      </c>
      <c r="I23">
        <v>2484.94</v>
      </c>
      <c r="J23" s="22" t="s">
        <v>2524</v>
      </c>
      <c r="K23" s="22" t="s">
        <v>2523</v>
      </c>
      <c r="L23" s="22" t="s">
        <v>1387</v>
      </c>
      <c r="M23" s="22" t="s">
        <v>1388</v>
      </c>
      <c r="N23" s="22" t="s">
        <v>68</v>
      </c>
      <c r="O23" s="22" t="s">
        <v>68</v>
      </c>
      <c r="P23" s="23">
        <v>46208.004672743053</v>
      </c>
    </row>
    <row r="24" spans="1:16" x14ac:dyDescent="0.25">
      <c r="A24" s="22" t="s">
        <v>2282</v>
      </c>
      <c r="B24" s="22" t="s">
        <v>1326</v>
      </c>
      <c r="C24" s="22" t="s">
        <v>608</v>
      </c>
      <c r="D24" s="22" t="s">
        <v>1327</v>
      </c>
      <c r="E24">
        <v>2000</v>
      </c>
      <c r="F24">
        <v>1104.78</v>
      </c>
      <c r="G24">
        <v>3895.22</v>
      </c>
      <c r="H24">
        <v>0</v>
      </c>
      <c r="I24">
        <v>49.73</v>
      </c>
      <c r="J24" s="22" t="s">
        <v>1307</v>
      </c>
      <c r="K24" s="22" t="s">
        <v>2527</v>
      </c>
      <c r="L24" s="22" t="s">
        <v>1328</v>
      </c>
      <c r="M24" s="22" t="s">
        <v>1329</v>
      </c>
      <c r="N24" s="22" t="s">
        <v>68</v>
      </c>
      <c r="O24" s="22" t="s">
        <v>68</v>
      </c>
      <c r="P24" s="23">
        <v>46208.0062434375</v>
      </c>
    </row>
    <row r="25" spans="1:16" x14ac:dyDescent="0.25">
      <c r="A25" s="22" t="s">
        <v>2283</v>
      </c>
      <c r="B25" s="22" t="s">
        <v>2095</v>
      </c>
      <c r="C25" s="22" t="s">
        <v>608</v>
      </c>
      <c r="D25" s="22" t="s">
        <v>2096</v>
      </c>
      <c r="E25">
        <v>4.2</v>
      </c>
      <c r="F25">
        <v>2468.4899999999998</v>
      </c>
      <c r="G25">
        <v>2531.5100000000002</v>
      </c>
      <c r="H25">
        <v>749.16</v>
      </c>
      <c r="I25">
        <v>2059.09</v>
      </c>
      <c r="J25" s="22" t="s">
        <v>2524</v>
      </c>
      <c r="K25" s="22" t="s">
        <v>2523</v>
      </c>
      <c r="L25" s="22" t="s">
        <v>2097</v>
      </c>
      <c r="M25" s="22" t="s">
        <v>2098</v>
      </c>
      <c r="N25" s="22" t="s">
        <v>68</v>
      </c>
      <c r="O25" s="22" t="s">
        <v>68</v>
      </c>
      <c r="P25" s="23">
        <v>46210.883103067128</v>
      </c>
    </row>
    <row r="26" spans="1:16" x14ac:dyDescent="0.25">
      <c r="A26" s="22" t="s">
        <v>620</v>
      </c>
      <c r="B26" s="22" t="s">
        <v>2104</v>
      </c>
      <c r="C26" s="22" t="s">
        <v>608</v>
      </c>
      <c r="D26" s="22" t="s">
        <v>2105</v>
      </c>
      <c r="E26">
        <v>2000</v>
      </c>
      <c r="F26">
        <v>8150.38</v>
      </c>
      <c r="G26">
        <v>-3150.38</v>
      </c>
      <c r="H26">
        <v>5392.62</v>
      </c>
      <c r="I26">
        <v>8150.38</v>
      </c>
      <c r="J26" s="22" t="s">
        <v>2526</v>
      </c>
      <c r="K26" s="22" t="s">
        <v>2523</v>
      </c>
      <c r="L26" s="22" t="s">
        <v>2106</v>
      </c>
      <c r="M26" s="22" t="s">
        <v>2107</v>
      </c>
      <c r="N26" s="22" t="s">
        <v>68</v>
      </c>
      <c r="O26" s="22" t="s">
        <v>68</v>
      </c>
      <c r="P26" s="23">
        <v>46210.912744687499</v>
      </c>
    </row>
    <row r="27" spans="1:16" x14ac:dyDescent="0.25">
      <c r="A27" s="22" t="s">
        <v>2284</v>
      </c>
      <c r="B27" s="22" t="s">
        <v>1958</v>
      </c>
      <c r="C27" s="22" t="s">
        <v>608</v>
      </c>
      <c r="D27" s="22" t="s">
        <v>1959</v>
      </c>
      <c r="E27">
        <v>2000</v>
      </c>
      <c r="F27">
        <v>2924.46</v>
      </c>
      <c r="G27">
        <v>2075.54</v>
      </c>
      <c r="H27">
        <v>1593.09</v>
      </c>
      <c r="I27">
        <v>2924.46</v>
      </c>
      <c r="J27" s="22" t="s">
        <v>2524</v>
      </c>
      <c r="K27" s="22" t="s">
        <v>2523</v>
      </c>
      <c r="L27" s="22" t="s">
        <v>1960</v>
      </c>
      <c r="M27" s="22" t="s">
        <v>1961</v>
      </c>
      <c r="N27" s="22" t="s">
        <v>68</v>
      </c>
      <c r="O27" s="22" t="s">
        <v>68</v>
      </c>
      <c r="P27" s="23">
        <v>46212.765254282407</v>
      </c>
    </row>
    <row r="28" spans="1:16" x14ac:dyDescent="0.25">
      <c r="A28" s="22" t="s">
        <v>2285</v>
      </c>
      <c r="B28" s="22" t="s">
        <v>1337</v>
      </c>
      <c r="C28" s="22" t="s">
        <v>608</v>
      </c>
      <c r="D28" s="22" t="s">
        <v>2532</v>
      </c>
      <c r="E28">
        <v>2000</v>
      </c>
      <c r="F28">
        <v>1210.45</v>
      </c>
      <c r="G28">
        <v>3789.55</v>
      </c>
      <c r="H28">
        <v>0</v>
      </c>
      <c r="I28">
        <v>155.4</v>
      </c>
      <c r="J28" s="22" t="s">
        <v>1307</v>
      </c>
      <c r="K28" s="22" t="s">
        <v>2527</v>
      </c>
      <c r="L28" s="22" t="s">
        <v>1338</v>
      </c>
      <c r="M28" s="22" t="s">
        <v>1339</v>
      </c>
      <c r="N28" s="22" t="s">
        <v>68</v>
      </c>
      <c r="O28" s="22" t="s">
        <v>68</v>
      </c>
      <c r="P28" s="23">
        <v>46212.766635023145</v>
      </c>
    </row>
    <row r="29" spans="1:16" x14ac:dyDescent="0.25">
      <c r="A29" s="22" t="s">
        <v>2286</v>
      </c>
      <c r="B29" s="22" t="s">
        <v>1408</v>
      </c>
      <c r="C29" s="22" t="s">
        <v>608</v>
      </c>
      <c r="D29" s="22" t="s">
        <v>1409</v>
      </c>
      <c r="E29">
        <v>2000</v>
      </c>
      <c r="F29">
        <v>2468.79</v>
      </c>
      <c r="G29">
        <v>2531.21</v>
      </c>
      <c r="H29">
        <v>1204.71</v>
      </c>
      <c r="I29">
        <v>2468.79</v>
      </c>
      <c r="J29" s="22" t="s">
        <v>2524</v>
      </c>
      <c r="K29" s="22" t="s">
        <v>2523</v>
      </c>
      <c r="L29" s="22" t="s">
        <v>1410</v>
      </c>
      <c r="M29" s="22" t="s">
        <v>1411</v>
      </c>
      <c r="N29" s="22" t="s">
        <v>68</v>
      </c>
      <c r="O29" s="22" t="s">
        <v>68</v>
      </c>
      <c r="P29" s="23">
        <v>46212.770143298614</v>
      </c>
    </row>
    <row r="30" spans="1:16" x14ac:dyDescent="0.25">
      <c r="A30" s="22" t="s">
        <v>2287</v>
      </c>
      <c r="B30" s="22" t="s">
        <v>2099</v>
      </c>
      <c r="C30" s="22" t="s">
        <v>608</v>
      </c>
      <c r="D30" s="22" t="s">
        <v>2096</v>
      </c>
      <c r="E30">
        <v>2000</v>
      </c>
      <c r="F30">
        <v>7886.61</v>
      </c>
      <c r="G30">
        <v>-2886.61</v>
      </c>
      <c r="H30">
        <v>5128.8500000000004</v>
      </c>
      <c r="I30">
        <v>7886.61</v>
      </c>
      <c r="J30" s="22" t="s">
        <v>2526</v>
      </c>
      <c r="K30" s="22" t="s">
        <v>2523</v>
      </c>
      <c r="L30" s="22" t="s">
        <v>2100</v>
      </c>
      <c r="M30" s="22" t="s">
        <v>1509</v>
      </c>
      <c r="N30" s="22" t="s">
        <v>68</v>
      </c>
      <c r="O30" s="22" t="s">
        <v>68</v>
      </c>
      <c r="P30" s="23">
        <v>46218.781982615743</v>
      </c>
    </row>
    <row r="31" spans="1:16" x14ac:dyDescent="0.25">
      <c r="A31" s="22" t="s">
        <v>2288</v>
      </c>
      <c r="B31" s="22" t="s">
        <v>1698</v>
      </c>
      <c r="C31" s="22" t="s">
        <v>608</v>
      </c>
      <c r="D31" s="22" t="s">
        <v>1695</v>
      </c>
      <c r="E31">
        <v>2000</v>
      </c>
      <c r="F31">
        <v>2791.22</v>
      </c>
      <c r="G31">
        <v>2208.7800000000002</v>
      </c>
      <c r="H31">
        <v>1479.56</v>
      </c>
      <c r="I31">
        <v>2791.22</v>
      </c>
      <c r="J31" s="22" t="s">
        <v>2524</v>
      </c>
      <c r="K31" s="22" t="s">
        <v>2523</v>
      </c>
      <c r="L31" s="22" t="s">
        <v>1699</v>
      </c>
      <c r="M31" s="22" t="s">
        <v>1700</v>
      </c>
      <c r="N31" s="22" t="s">
        <v>68</v>
      </c>
      <c r="O31" s="22" t="s">
        <v>68</v>
      </c>
      <c r="P31" s="23">
        <v>46218.892523483795</v>
      </c>
    </row>
    <row r="32" spans="1:16" x14ac:dyDescent="0.25">
      <c r="A32" s="22" t="s">
        <v>2289</v>
      </c>
      <c r="B32" s="22" t="s">
        <v>1694</v>
      </c>
      <c r="C32" s="22" t="s">
        <v>608</v>
      </c>
      <c r="D32" s="22" t="s">
        <v>1695</v>
      </c>
      <c r="E32">
        <v>2000</v>
      </c>
      <c r="F32">
        <v>1943.4</v>
      </c>
      <c r="G32">
        <v>3056.6</v>
      </c>
      <c r="H32">
        <v>757.2</v>
      </c>
      <c r="I32">
        <v>1943.4</v>
      </c>
      <c r="J32" s="22" t="s">
        <v>2524</v>
      </c>
      <c r="K32" s="22" t="s">
        <v>2523</v>
      </c>
      <c r="L32" s="22" t="s">
        <v>1696</v>
      </c>
      <c r="M32" s="22" t="s">
        <v>1697</v>
      </c>
      <c r="N32" s="22" t="s">
        <v>68</v>
      </c>
      <c r="O32" s="22" t="s">
        <v>68</v>
      </c>
      <c r="P32" s="23">
        <v>46218.896194224537</v>
      </c>
    </row>
    <row r="33" spans="1:16" x14ac:dyDescent="0.25">
      <c r="A33" s="22" t="s">
        <v>2290</v>
      </c>
      <c r="B33" s="22" t="s">
        <v>1684</v>
      </c>
      <c r="C33" s="22" t="s">
        <v>608</v>
      </c>
      <c r="D33" s="22" t="s">
        <v>1685</v>
      </c>
      <c r="E33">
        <v>2000</v>
      </c>
      <c r="F33">
        <v>2565.21</v>
      </c>
      <c r="G33">
        <v>2434.79</v>
      </c>
      <c r="H33">
        <v>1286.75</v>
      </c>
      <c r="I33">
        <v>2565.21</v>
      </c>
      <c r="J33" s="22" t="s">
        <v>2524</v>
      </c>
      <c r="K33" s="22" t="s">
        <v>2523</v>
      </c>
      <c r="L33" s="22" t="s">
        <v>1686</v>
      </c>
      <c r="M33" s="22" t="s">
        <v>1280</v>
      </c>
      <c r="N33" s="22" t="s">
        <v>68</v>
      </c>
      <c r="O33" s="22" t="s">
        <v>68</v>
      </c>
      <c r="P33" s="23">
        <v>46222.01283388889</v>
      </c>
    </row>
    <row r="34" spans="1:16" x14ac:dyDescent="0.25">
      <c r="A34" s="22" t="s">
        <v>2291</v>
      </c>
      <c r="B34" s="22" t="s">
        <v>1576</v>
      </c>
      <c r="C34" s="22" t="s">
        <v>608</v>
      </c>
      <c r="D34" s="22" t="s">
        <v>1577</v>
      </c>
      <c r="E34">
        <v>2000</v>
      </c>
      <c r="F34">
        <v>3201.47</v>
      </c>
      <c r="G34">
        <v>1798.53</v>
      </c>
      <c r="H34">
        <v>1829.11</v>
      </c>
      <c r="I34">
        <v>3201.47</v>
      </c>
      <c r="J34" s="22" t="s">
        <v>2524</v>
      </c>
      <c r="K34" s="22" t="s">
        <v>2523</v>
      </c>
      <c r="L34" s="22" t="s">
        <v>1578</v>
      </c>
      <c r="M34" s="22" t="s">
        <v>1579</v>
      </c>
      <c r="N34" s="22" t="s">
        <v>68</v>
      </c>
      <c r="O34" s="22" t="s">
        <v>68</v>
      </c>
      <c r="P34" s="23">
        <v>46222.024896759256</v>
      </c>
    </row>
    <row r="35" spans="1:16" x14ac:dyDescent="0.25">
      <c r="A35" s="22" t="s">
        <v>2292</v>
      </c>
      <c r="B35" s="22" t="s">
        <v>1330</v>
      </c>
      <c r="C35" s="22" t="s">
        <v>608</v>
      </c>
      <c r="D35" s="22" t="s">
        <v>1331</v>
      </c>
      <c r="E35">
        <v>2000</v>
      </c>
      <c r="F35">
        <v>3274.05</v>
      </c>
      <c r="G35">
        <v>1725.95</v>
      </c>
      <c r="H35">
        <v>1890.77</v>
      </c>
      <c r="I35">
        <v>3274.05</v>
      </c>
      <c r="J35" s="22" t="s">
        <v>2524</v>
      </c>
      <c r="K35" s="22" t="s">
        <v>2523</v>
      </c>
      <c r="L35" s="22" t="s">
        <v>1332</v>
      </c>
      <c r="M35" s="22" t="s">
        <v>1333</v>
      </c>
      <c r="N35" s="22" t="s">
        <v>68</v>
      </c>
      <c r="O35" s="22" t="s">
        <v>68</v>
      </c>
      <c r="P35" s="23">
        <v>46222.026214259262</v>
      </c>
    </row>
    <row r="36" spans="1:16" x14ac:dyDescent="0.25">
      <c r="A36" s="22" t="s">
        <v>2293</v>
      </c>
      <c r="B36" s="22" t="s">
        <v>1901</v>
      </c>
      <c r="C36" s="22" t="s">
        <v>608</v>
      </c>
      <c r="D36" s="22" t="s">
        <v>1902</v>
      </c>
      <c r="E36">
        <v>2000</v>
      </c>
      <c r="F36">
        <v>3100.05</v>
      </c>
      <c r="G36">
        <v>1899.95</v>
      </c>
      <c r="H36">
        <v>1742.71</v>
      </c>
      <c r="I36">
        <v>3100.05</v>
      </c>
      <c r="J36" s="22" t="s">
        <v>2524</v>
      </c>
      <c r="K36" s="22" t="s">
        <v>2523</v>
      </c>
      <c r="L36" s="22" t="s">
        <v>1903</v>
      </c>
      <c r="M36" s="22" t="s">
        <v>1904</v>
      </c>
      <c r="N36" s="22" t="s">
        <v>68</v>
      </c>
      <c r="O36" s="22" t="s">
        <v>68</v>
      </c>
      <c r="P36" s="23">
        <v>46222.026569004629</v>
      </c>
    </row>
    <row r="37" spans="1:16" x14ac:dyDescent="0.25">
      <c r="A37" s="22" t="s">
        <v>2294</v>
      </c>
      <c r="B37" s="22" t="s">
        <v>1389</v>
      </c>
      <c r="C37" s="22" t="s">
        <v>608</v>
      </c>
      <c r="D37" s="22" t="s">
        <v>1390</v>
      </c>
      <c r="E37">
        <v>2000</v>
      </c>
      <c r="F37">
        <v>2695.48</v>
      </c>
      <c r="G37">
        <v>2304.52</v>
      </c>
      <c r="H37">
        <v>1397.91</v>
      </c>
      <c r="I37">
        <v>2695.48</v>
      </c>
      <c r="J37" s="22" t="s">
        <v>2524</v>
      </c>
      <c r="K37" s="22" t="s">
        <v>2523</v>
      </c>
      <c r="L37" s="22" t="s">
        <v>1391</v>
      </c>
      <c r="M37" s="22" t="s">
        <v>1392</v>
      </c>
      <c r="N37" s="22" t="s">
        <v>68</v>
      </c>
      <c r="O37" s="22" t="s">
        <v>68</v>
      </c>
      <c r="P37" s="23">
        <v>46222.027201446763</v>
      </c>
    </row>
    <row r="38" spans="1:16" x14ac:dyDescent="0.25">
      <c r="A38" s="22" t="s">
        <v>2295</v>
      </c>
      <c r="B38" s="22" t="s">
        <v>1491</v>
      </c>
      <c r="C38" s="22" t="s">
        <v>608</v>
      </c>
      <c r="D38" s="22" t="s">
        <v>1492</v>
      </c>
      <c r="E38">
        <v>2000</v>
      </c>
      <c r="F38">
        <v>2760.76</v>
      </c>
      <c r="G38">
        <v>2239.2399999999998</v>
      </c>
      <c r="H38">
        <v>1453.5</v>
      </c>
      <c r="I38">
        <v>2760.76</v>
      </c>
      <c r="J38" s="22" t="s">
        <v>2524</v>
      </c>
      <c r="K38" s="22" t="s">
        <v>2523</v>
      </c>
      <c r="L38" s="22" t="s">
        <v>1493</v>
      </c>
      <c r="M38" s="22" t="s">
        <v>1494</v>
      </c>
      <c r="N38" s="22" t="s">
        <v>68</v>
      </c>
      <c r="O38" s="22" t="s">
        <v>68</v>
      </c>
      <c r="P38" s="23">
        <v>46222.283920752314</v>
      </c>
    </row>
    <row r="39" spans="1:16" x14ac:dyDescent="0.25">
      <c r="A39" s="22" t="s">
        <v>2296</v>
      </c>
      <c r="B39" s="22" t="s">
        <v>1476</v>
      </c>
      <c r="C39" s="22" t="s">
        <v>608</v>
      </c>
      <c r="D39" s="22" t="s">
        <v>1477</v>
      </c>
      <c r="E39">
        <v>2000</v>
      </c>
      <c r="F39">
        <v>2592.4299999999998</v>
      </c>
      <c r="G39">
        <v>2407.5700000000002</v>
      </c>
      <c r="H39">
        <v>1309.9100000000001</v>
      </c>
      <c r="I39">
        <v>2592.4299999999998</v>
      </c>
      <c r="J39" s="22" t="s">
        <v>2524</v>
      </c>
      <c r="K39" s="22" t="s">
        <v>2523</v>
      </c>
      <c r="L39" s="22" t="s">
        <v>1478</v>
      </c>
      <c r="M39" s="22" t="s">
        <v>1479</v>
      </c>
      <c r="N39" s="22" t="s">
        <v>68</v>
      </c>
      <c r="O39" s="22" t="s">
        <v>68</v>
      </c>
      <c r="P39" s="23">
        <v>46222.293015902775</v>
      </c>
    </row>
    <row r="40" spans="1:16" x14ac:dyDescent="0.25">
      <c r="A40" s="22" t="s">
        <v>2297</v>
      </c>
      <c r="B40" s="22" t="s">
        <v>1317</v>
      </c>
      <c r="C40" s="22" t="s">
        <v>608</v>
      </c>
      <c r="D40" s="22" t="s">
        <v>1318</v>
      </c>
      <c r="E40">
        <v>18661.18</v>
      </c>
      <c r="F40">
        <v>2757.76</v>
      </c>
      <c r="G40">
        <v>7242.24</v>
      </c>
      <c r="H40">
        <v>3870.86</v>
      </c>
      <c r="I40">
        <v>8006.58</v>
      </c>
      <c r="J40" s="22" t="s">
        <v>1307</v>
      </c>
      <c r="K40" s="22" t="s">
        <v>2527</v>
      </c>
      <c r="L40" s="22" t="s">
        <v>1320</v>
      </c>
      <c r="M40" s="22" t="s">
        <v>1321</v>
      </c>
      <c r="N40" s="22" t="s">
        <v>68</v>
      </c>
      <c r="O40" s="22" t="s">
        <v>68</v>
      </c>
      <c r="P40" s="23">
        <v>46222.294918333333</v>
      </c>
    </row>
    <row r="41" spans="1:16" x14ac:dyDescent="0.25">
      <c r="A41" s="22" t="s">
        <v>2298</v>
      </c>
      <c r="B41" s="22" t="s">
        <v>2024</v>
      </c>
      <c r="C41" s="22" t="s">
        <v>608</v>
      </c>
      <c r="D41" s="22" t="s">
        <v>2533</v>
      </c>
      <c r="E41">
        <v>2000</v>
      </c>
      <c r="F41">
        <v>8230.4500000000007</v>
      </c>
      <c r="G41">
        <v>-3230.45</v>
      </c>
      <c r="H41">
        <v>5472.69</v>
      </c>
      <c r="I41">
        <v>8230.4500000000007</v>
      </c>
      <c r="J41" s="22" t="s">
        <v>2526</v>
      </c>
      <c r="K41" s="22" t="s">
        <v>2523</v>
      </c>
      <c r="L41" s="22" t="s">
        <v>2025</v>
      </c>
      <c r="M41" s="22" t="s">
        <v>2026</v>
      </c>
      <c r="N41" s="22" t="s">
        <v>68</v>
      </c>
      <c r="O41" s="22" t="s">
        <v>68</v>
      </c>
      <c r="P41" s="23">
        <v>46222.298154641205</v>
      </c>
    </row>
    <row r="42" spans="1:16" x14ac:dyDescent="0.25">
      <c r="A42" s="22" t="s">
        <v>2299</v>
      </c>
      <c r="B42" s="22" t="s">
        <v>1305</v>
      </c>
      <c r="C42" s="22" t="s">
        <v>608</v>
      </c>
      <c r="D42" s="22" t="s">
        <v>1306</v>
      </c>
      <c r="E42">
        <v>737.33</v>
      </c>
      <c r="F42">
        <v>1250.82</v>
      </c>
      <c r="G42">
        <v>3749.18</v>
      </c>
      <c r="H42">
        <v>0</v>
      </c>
      <c r="I42">
        <v>195.77</v>
      </c>
      <c r="J42" s="22" t="s">
        <v>1307</v>
      </c>
      <c r="K42" s="22" t="s">
        <v>2527</v>
      </c>
      <c r="L42" s="22" t="s">
        <v>1308</v>
      </c>
      <c r="M42" s="22" t="s">
        <v>589</v>
      </c>
      <c r="N42" s="22" t="s">
        <v>68</v>
      </c>
      <c r="O42" s="22" t="s">
        <v>68</v>
      </c>
      <c r="P42" s="23">
        <v>46222.633200682867</v>
      </c>
    </row>
    <row r="43" spans="1:16" x14ac:dyDescent="0.25">
      <c r="A43" s="22" t="s">
        <v>2300</v>
      </c>
      <c r="B43" s="22" t="s">
        <v>1428</v>
      </c>
      <c r="C43" s="22" t="s">
        <v>608</v>
      </c>
      <c r="D43" s="22" t="s">
        <v>1429</v>
      </c>
      <c r="E43">
        <v>2000</v>
      </c>
      <c r="F43">
        <v>2724.77</v>
      </c>
      <c r="G43">
        <v>2275.23</v>
      </c>
      <c r="H43">
        <v>1422.82</v>
      </c>
      <c r="I43">
        <v>2724.77</v>
      </c>
      <c r="J43" s="22" t="s">
        <v>2524</v>
      </c>
      <c r="K43" s="22" t="s">
        <v>2523</v>
      </c>
      <c r="L43" s="22" t="s">
        <v>1430</v>
      </c>
      <c r="M43" s="22" t="s">
        <v>1431</v>
      </c>
      <c r="N43" s="22" t="s">
        <v>68</v>
      </c>
      <c r="O43" s="22" t="s">
        <v>68</v>
      </c>
      <c r="P43" s="23">
        <v>46222.954343935184</v>
      </c>
    </row>
    <row r="44" spans="1:16" x14ac:dyDescent="0.25">
      <c r="A44" s="22" t="s">
        <v>2301</v>
      </c>
      <c r="B44" s="22" t="s">
        <v>1969</v>
      </c>
      <c r="C44" s="22" t="s">
        <v>608</v>
      </c>
      <c r="D44" s="22" t="s">
        <v>1970</v>
      </c>
      <c r="E44">
        <v>2000</v>
      </c>
      <c r="F44">
        <v>2842.87</v>
      </c>
      <c r="G44">
        <v>2157.13</v>
      </c>
      <c r="H44">
        <v>1523.41</v>
      </c>
      <c r="I44">
        <v>2842.87</v>
      </c>
      <c r="J44" s="22" t="s">
        <v>2524</v>
      </c>
      <c r="K44" s="22" t="s">
        <v>2523</v>
      </c>
      <c r="L44" s="22" t="s">
        <v>1971</v>
      </c>
      <c r="M44" s="22" t="s">
        <v>1431</v>
      </c>
      <c r="N44" s="22" t="s">
        <v>68</v>
      </c>
      <c r="O44" s="22" t="s">
        <v>68</v>
      </c>
      <c r="P44" s="23">
        <v>46222.95762671296</v>
      </c>
    </row>
    <row r="45" spans="1:16" x14ac:dyDescent="0.25">
      <c r="A45" s="22" t="s">
        <v>2302</v>
      </c>
      <c r="B45" s="22" t="s">
        <v>1624</v>
      </c>
      <c r="C45" s="22" t="s">
        <v>608</v>
      </c>
      <c r="D45" s="22" t="s">
        <v>1625</v>
      </c>
      <c r="E45">
        <v>2000</v>
      </c>
      <c r="F45">
        <v>8049.34</v>
      </c>
      <c r="G45">
        <v>-3049.34</v>
      </c>
      <c r="H45">
        <v>5291.58</v>
      </c>
      <c r="I45">
        <v>8049.34</v>
      </c>
      <c r="J45" s="22" t="s">
        <v>2526</v>
      </c>
      <c r="K45" s="22" t="s">
        <v>2523</v>
      </c>
      <c r="L45" s="22" t="s">
        <v>1626</v>
      </c>
      <c r="M45" s="22" t="s">
        <v>1627</v>
      </c>
      <c r="N45" s="22" t="s">
        <v>68</v>
      </c>
      <c r="O45" s="22" t="s">
        <v>68</v>
      </c>
      <c r="P45" s="23">
        <v>46222.958520405089</v>
      </c>
    </row>
    <row r="46" spans="1:16" x14ac:dyDescent="0.25">
      <c r="A46" s="22" t="s">
        <v>2303</v>
      </c>
      <c r="B46" s="22" t="s">
        <v>1735</v>
      </c>
      <c r="C46" s="22" t="s">
        <v>608</v>
      </c>
      <c r="D46" s="22" t="s">
        <v>1736</v>
      </c>
      <c r="E46">
        <v>17000</v>
      </c>
      <c r="F46">
        <v>2543.06</v>
      </c>
      <c r="G46">
        <v>2456.94</v>
      </c>
      <c r="H46">
        <v>3870.86</v>
      </c>
      <c r="I46">
        <v>8008.47</v>
      </c>
      <c r="J46" s="22" t="s">
        <v>1307</v>
      </c>
      <c r="K46" s="22" t="s">
        <v>2527</v>
      </c>
      <c r="L46" s="22" t="s">
        <v>1737</v>
      </c>
      <c r="M46" s="22" t="s">
        <v>1738</v>
      </c>
      <c r="N46" s="22" t="s">
        <v>68</v>
      </c>
      <c r="O46" s="22" t="s">
        <v>68</v>
      </c>
      <c r="P46" s="23">
        <v>46222.961903750002</v>
      </c>
    </row>
    <row r="47" spans="1:16" x14ac:dyDescent="0.25">
      <c r="A47" s="22" t="s">
        <v>2304</v>
      </c>
      <c r="B47" s="22" t="s">
        <v>1939</v>
      </c>
      <c r="C47" s="22" t="s">
        <v>608</v>
      </c>
      <c r="D47" s="22" t="s">
        <v>1940</v>
      </c>
      <c r="E47">
        <v>2000</v>
      </c>
      <c r="F47">
        <v>7619.98</v>
      </c>
      <c r="G47">
        <v>-2619.98</v>
      </c>
      <c r="H47">
        <v>4862.22</v>
      </c>
      <c r="I47">
        <v>7619.98</v>
      </c>
      <c r="J47" s="22" t="s">
        <v>2526</v>
      </c>
      <c r="K47" s="22" t="s">
        <v>2523</v>
      </c>
      <c r="L47" s="22" t="s">
        <v>1941</v>
      </c>
      <c r="M47" s="22" t="s">
        <v>1942</v>
      </c>
      <c r="N47" s="22" t="s">
        <v>68</v>
      </c>
      <c r="O47" s="22" t="s">
        <v>68</v>
      </c>
      <c r="P47" s="23">
        <v>46223.032012002317</v>
      </c>
    </row>
    <row r="48" spans="1:16" x14ac:dyDescent="0.25">
      <c r="A48" s="22" t="s">
        <v>2305</v>
      </c>
      <c r="B48" s="22" t="s">
        <v>1377</v>
      </c>
      <c r="C48" s="22" t="s">
        <v>608</v>
      </c>
      <c r="D48" s="22" t="s">
        <v>1378</v>
      </c>
      <c r="E48">
        <v>16538.400000000001</v>
      </c>
      <c r="F48">
        <v>0</v>
      </c>
      <c r="G48">
        <v>5000</v>
      </c>
      <c r="H48">
        <v>3870.86</v>
      </c>
      <c r="I48">
        <v>7782.74</v>
      </c>
      <c r="J48" s="22" t="s">
        <v>1307</v>
      </c>
      <c r="K48" s="22" t="s">
        <v>2527</v>
      </c>
      <c r="L48" s="22" t="s">
        <v>1379</v>
      </c>
      <c r="M48" s="22" t="s">
        <v>1380</v>
      </c>
      <c r="N48" s="22" t="s">
        <v>68</v>
      </c>
      <c r="O48" s="22" t="s">
        <v>68</v>
      </c>
      <c r="P48" s="23">
        <v>46223.032287488422</v>
      </c>
    </row>
    <row r="49" spans="1:16" x14ac:dyDescent="0.25">
      <c r="A49" s="22" t="s">
        <v>2306</v>
      </c>
      <c r="B49" s="22" t="s">
        <v>1562</v>
      </c>
      <c r="C49" s="22" t="s">
        <v>608</v>
      </c>
      <c r="D49" s="22" t="s">
        <v>2534</v>
      </c>
      <c r="E49">
        <v>12029.37</v>
      </c>
      <c r="F49">
        <v>2757.76</v>
      </c>
      <c r="G49">
        <v>2242.2399999999998</v>
      </c>
      <c r="H49">
        <v>3870.86</v>
      </c>
      <c r="I49">
        <v>7728.39</v>
      </c>
      <c r="J49" s="22" t="s">
        <v>1307</v>
      </c>
      <c r="K49" s="22" t="s">
        <v>2527</v>
      </c>
      <c r="L49" s="22" t="s">
        <v>1563</v>
      </c>
      <c r="M49" s="22" t="s">
        <v>1564</v>
      </c>
      <c r="N49" s="22" t="s">
        <v>68</v>
      </c>
      <c r="O49" s="22" t="s">
        <v>68</v>
      </c>
      <c r="P49" s="23">
        <v>46223.07806832176</v>
      </c>
    </row>
    <row r="50" spans="1:16" x14ac:dyDescent="0.25">
      <c r="A50" s="22" t="s">
        <v>2307</v>
      </c>
      <c r="B50" s="22" t="s">
        <v>1667</v>
      </c>
      <c r="C50" s="22" t="s">
        <v>608</v>
      </c>
      <c r="D50" s="22" t="s">
        <v>1668</v>
      </c>
      <c r="E50">
        <v>2000</v>
      </c>
      <c r="F50">
        <v>1189.27</v>
      </c>
      <c r="G50">
        <v>3810.73</v>
      </c>
      <c r="H50">
        <v>0</v>
      </c>
      <c r="I50">
        <v>134.22</v>
      </c>
      <c r="J50" s="22" t="s">
        <v>1307</v>
      </c>
      <c r="K50" s="22" t="s">
        <v>2527</v>
      </c>
      <c r="L50" s="22" t="s">
        <v>1669</v>
      </c>
      <c r="M50" s="22" t="s">
        <v>1670</v>
      </c>
      <c r="N50" s="22" t="s">
        <v>68</v>
      </c>
      <c r="O50" s="22" t="s">
        <v>68</v>
      </c>
      <c r="P50" s="23">
        <v>46223.078328460651</v>
      </c>
    </row>
    <row r="51" spans="1:16" x14ac:dyDescent="0.25">
      <c r="A51" s="22" t="s">
        <v>2308</v>
      </c>
      <c r="B51" s="22" t="s">
        <v>1995</v>
      </c>
      <c r="C51" s="22" t="s">
        <v>608</v>
      </c>
      <c r="D51" s="22" t="s">
        <v>1996</v>
      </c>
      <c r="E51">
        <v>2000</v>
      </c>
      <c r="F51">
        <v>7893.64</v>
      </c>
      <c r="G51">
        <v>-2893.64</v>
      </c>
      <c r="H51">
        <v>5135.88</v>
      </c>
      <c r="I51">
        <v>7893.64</v>
      </c>
      <c r="J51" s="22" t="s">
        <v>2526</v>
      </c>
      <c r="K51" s="22" t="s">
        <v>2523</v>
      </c>
      <c r="L51" s="22" t="s">
        <v>1997</v>
      </c>
      <c r="M51" s="22" t="s">
        <v>1998</v>
      </c>
      <c r="N51" s="22" t="s">
        <v>68</v>
      </c>
      <c r="O51" s="22" t="s">
        <v>68</v>
      </c>
      <c r="P51" s="23">
        <v>46223.078510624997</v>
      </c>
    </row>
    <row r="52" spans="1:16" x14ac:dyDescent="0.25">
      <c r="A52" s="22" t="s">
        <v>2309</v>
      </c>
      <c r="B52" s="22" t="s">
        <v>1927</v>
      </c>
      <c r="C52" s="22" t="s">
        <v>608</v>
      </c>
      <c r="D52" s="22" t="s">
        <v>2535</v>
      </c>
      <c r="E52">
        <v>2000</v>
      </c>
      <c r="F52">
        <v>2605.4699999999998</v>
      </c>
      <c r="G52">
        <v>2394.5300000000002</v>
      </c>
      <c r="H52">
        <v>1321.07</v>
      </c>
      <c r="I52">
        <v>2605.4699999999998</v>
      </c>
      <c r="J52" s="22" t="s">
        <v>2524</v>
      </c>
      <c r="K52" s="22" t="s">
        <v>2523</v>
      </c>
      <c r="L52" s="22" t="s">
        <v>1928</v>
      </c>
      <c r="M52" s="22" t="s">
        <v>1929</v>
      </c>
      <c r="N52" s="22" t="s">
        <v>68</v>
      </c>
      <c r="O52" s="22" t="s">
        <v>68</v>
      </c>
      <c r="P52" s="23">
        <v>46223.092020543983</v>
      </c>
    </row>
    <row r="53" spans="1:16" x14ac:dyDescent="0.25">
      <c r="A53" s="22" t="s">
        <v>2310</v>
      </c>
      <c r="B53" s="22" t="s">
        <v>1718</v>
      </c>
      <c r="C53" s="22" t="s">
        <v>608</v>
      </c>
      <c r="D53" s="22" t="s">
        <v>1719</v>
      </c>
      <c r="E53">
        <v>2000</v>
      </c>
      <c r="F53">
        <v>7656.99</v>
      </c>
      <c r="G53">
        <v>-2656.99</v>
      </c>
      <c r="H53">
        <v>4899.2299999999996</v>
      </c>
      <c r="I53">
        <v>7656.99</v>
      </c>
      <c r="J53" s="22" t="s">
        <v>2526</v>
      </c>
      <c r="K53" s="22" t="s">
        <v>2523</v>
      </c>
      <c r="L53" s="22" t="s">
        <v>1720</v>
      </c>
      <c r="M53" s="22" t="s">
        <v>1721</v>
      </c>
      <c r="N53" s="22" t="s">
        <v>68</v>
      </c>
      <c r="O53" s="22" t="s">
        <v>68</v>
      </c>
      <c r="P53" s="23">
        <v>46223.603055925923</v>
      </c>
    </row>
    <row r="54" spans="1:16" x14ac:dyDescent="0.25">
      <c r="A54" s="22" t="s">
        <v>2311</v>
      </c>
      <c r="B54" s="22" t="s">
        <v>1309</v>
      </c>
      <c r="C54" s="22" t="s">
        <v>608</v>
      </c>
      <c r="D54" s="22" t="s">
        <v>1310</v>
      </c>
      <c r="E54">
        <v>2000</v>
      </c>
      <c r="F54">
        <v>2780.52</v>
      </c>
      <c r="G54">
        <v>2219.48</v>
      </c>
      <c r="H54">
        <v>1470.42</v>
      </c>
      <c r="I54">
        <v>2780.52</v>
      </c>
      <c r="J54" s="22" t="s">
        <v>2524</v>
      </c>
      <c r="K54" s="22" t="s">
        <v>2523</v>
      </c>
      <c r="L54" s="22" t="s">
        <v>1311</v>
      </c>
      <c r="M54" s="22" t="s">
        <v>1312</v>
      </c>
      <c r="N54" s="22" t="s">
        <v>68</v>
      </c>
      <c r="O54" s="22" t="s">
        <v>68</v>
      </c>
      <c r="P54" s="23">
        <v>46223.604026319445</v>
      </c>
    </row>
    <row r="55" spans="1:16" x14ac:dyDescent="0.25">
      <c r="A55" s="22" t="s">
        <v>2312</v>
      </c>
      <c r="B55" s="22" t="s">
        <v>1400</v>
      </c>
      <c r="C55" s="22" t="s">
        <v>608</v>
      </c>
      <c r="D55" s="22" t="s">
        <v>1401</v>
      </c>
      <c r="E55">
        <v>2000</v>
      </c>
      <c r="F55">
        <v>2648.72</v>
      </c>
      <c r="G55">
        <v>2351.2800000000002</v>
      </c>
      <c r="H55">
        <v>1358.04</v>
      </c>
      <c r="I55">
        <v>2648.72</v>
      </c>
      <c r="J55" s="22" t="s">
        <v>2524</v>
      </c>
      <c r="K55" s="22" t="s">
        <v>2523</v>
      </c>
      <c r="L55" s="22" t="s">
        <v>1402</v>
      </c>
      <c r="M55" s="22" t="s">
        <v>1403</v>
      </c>
      <c r="N55" s="22" t="s">
        <v>68</v>
      </c>
      <c r="O55" s="22" t="s">
        <v>68</v>
      </c>
      <c r="P55" s="23">
        <v>46223.646840092595</v>
      </c>
    </row>
    <row r="56" spans="1:16" x14ac:dyDescent="0.25">
      <c r="A56" s="22" t="s">
        <v>2313</v>
      </c>
      <c r="B56" s="22" t="s">
        <v>2101</v>
      </c>
      <c r="C56" s="22" t="s">
        <v>608</v>
      </c>
      <c r="D56" s="22" t="s">
        <v>2096</v>
      </c>
      <c r="E56">
        <v>2000</v>
      </c>
      <c r="F56">
        <v>1997.18</v>
      </c>
      <c r="G56">
        <v>3002.82</v>
      </c>
      <c r="H56">
        <v>802.61</v>
      </c>
      <c r="I56">
        <v>1997.18</v>
      </c>
      <c r="J56" s="22" t="s">
        <v>2524</v>
      </c>
      <c r="K56" s="22" t="s">
        <v>2523</v>
      </c>
      <c r="L56" s="22" t="s">
        <v>2102</v>
      </c>
      <c r="M56" s="22" t="s">
        <v>2103</v>
      </c>
      <c r="N56" s="22" t="s">
        <v>68</v>
      </c>
      <c r="O56" s="22" t="s">
        <v>68</v>
      </c>
      <c r="P56" s="23">
        <v>46223.674182013892</v>
      </c>
    </row>
    <row r="57" spans="1:16" x14ac:dyDescent="0.25">
      <c r="A57" s="22" t="s">
        <v>2314</v>
      </c>
      <c r="B57" s="22" t="s">
        <v>1396</v>
      </c>
      <c r="C57" s="22" t="s">
        <v>608</v>
      </c>
      <c r="D57" s="22" t="s">
        <v>1397</v>
      </c>
      <c r="E57">
        <v>2000</v>
      </c>
      <c r="F57">
        <v>7852.08</v>
      </c>
      <c r="G57">
        <v>-2852.08</v>
      </c>
      <c r="H57">
        <v>5094.32</v>
      </c>
      <c r="I57">
        <v>7852.08</v>
      </c>
      <c r="J57" s="22" t="s">
        <v>2526</v>
      </c>
      <c r="K57" s="22" t="s">
        <v>2523</v>
      </c>
      <c r="L57" s="22" t="s">
        <v>1398</v>
      </c>
      <c r="M57" s="22" t="s">
        <v>1399</v>
      </c>
      <c r="N57" s="22" t="s">
        <v>68</v>
      </c>
      <c r="O57" s="22" t="s">
        <v>68</v>
      </c>
      <c r="P57" s="23">
        <v>46223.893028692131</v>
      </c>
    </row>
    <row r="58" spans="1:16" x14ac:dyDescent="0.25">
      <c r="A58" s="22" t="s">
        <v>2315</v>
      </c>
      <c r="B58" s="22" t="s">
        <v>1985</v>
      </c>
      <c r="C58" s="22" t="s">
        <v>608</v>
      </c>
      <c r="D58" s="22" t="s">
        <v>2536</v>
      </c>
      <c r="E58">
        <v>2000</v>
      </c>
      <c r="F58">
        <v>2592.21</v>
      </c>
      <c r="G58">
        <v>2407.79</v>
      </c>
      <c r="H58">
        <v>1309.7</v>
      </c>
      <c r="I58">
        <v>2592.21</v>
      </c>
      <c r="J58" s="22" t="s">
        <v>2524</v>
      </c>
      <c r="K58" s="22" t="s">
        <v>2523</v>
      </c>
      <c r="L58" s="22" t="s">
        <v>1986</v>
      </c>
      <c r="M58" s="22" t="s">
        <v>1987</v>
      </c>
      <c r="N58" s="22" t="s">
        <v>68</v>
      </c>
      <c r="O58" s="22" t="s">
        <v>68</v>
      </c>
      <c r="P58" s="23">
        <v>46223.893318877315</v>
      </c>
    </row>
    <row r="59" spans="1:16" x14ac:dyDescent="0.25">
      <c r="A59" s="22" t="s">
        <v>2316</v>
      </c>
      <c r="B59" s="22" t="s">
        <v>1628</v>
      </c>
      <c r="C59" s="22" t="s">
        <v>608</v>
      </c>
      <c r="D59" s="22" t="s">
        <v>1629</v>
      </c>
      <c r="E59">
        <v>1786.35</v>
      </c>
      <c r="F59">
        <v>2091.86</v>
      </c>
      <c r="G59">
        <v>2908.14</v>
      </c>
      <c r="H59">
        <v>3870.86</v>
      </c>
      <c r="I59">
        <v>6231.89</v>
      </c>
      <c r="J59" s="22" t="s">
        <v>1307</v>
      </c>
      <c r="K59" s="22" t="s">
        <v>2527</v>
      </c>
      <c r="L59" s="22" t="s">
        <v>1630</v>
      </c>
      <c r="M59" s="22" t="s">
        <v>1631</v>
      </c>
      <c r="N59" s="22" t="s">
        <v>68</v>
      </c>
      <c r="O59" s="22" t="s">
        <v>68</v>
      </c>
      <c r="P59" s="23">
        <v>46224.075377824076</v>
      </c>
    </row>
    <row r="60" spans="1:16" x14ac:dyDescent="0.25">
      <c r="A60" s="22" t="s">
        <v>2317</v>
      </c>
      <c r="B60" s="22" t="s">
        <v>1599</v>
      </c>
      <c r="C60" s="22" t="s">
        <v>608</v>
      </c>
      <c r="D60" s="22" t="s">
        <v>1600</v>
      </c>
      <c r="E60">
        <v>22000</v>
      </c>
      <c r="F60">
        <v>5041.59</v>
      </c>
      <c r="G60">
        <v>16958.41</v>
      </c>
      <c r="H60">
        <v>3870.86</v>
      </c>
      <c r="I60">
        <v>12668.07</v>
      </c>
      <c r="J60" s="22" t="s">
        <v>1307</v>
      </c>
      <c r="K60" s="22" t="s">
        <v>2527</v>
      </c>
      <c r="L60" s="22" t="s">
        <v>1601</v>
      </c>
      <c r="M60" s="22" t="s">
        <v>1602</v>
      </c>
      <c r="N60" s="22" t="s">
        <v>68</v>
      </c>
      <c r="O60" s="22" t="s">
        <v>68</v>
      </c>
      <c r="P60" s="23">
        <v>46224.500176354166</v>
      </c>
    </row>
    <row r="61" spans="1:16" x14ac:dyDescent="0.25">
      <c r="A61" s="22" t="s">
        <v>2318</v>
      </c>
      <c r="B61" s="22" t="s">
        <v>2125</v>
      </c>
      <c r="C61" s="22" t="s">
        <v>608</v>
      </c>
      <c r="D61" s="22" t="s">
        <v>2126</v>
      </c>
      <c r="E61">
        <v>2000</v>
      </c>
      <c r="F61">
        <v>3093.61</v>
      </c>
      <c r="G61">
        <v>1906.39</v>
      </c>
      <c r="H61">
        <v>1737.21</v>
      </c>
      <c r="I61">
        <v>3093.61</v>
      </c>
      <c r="J61" s="22" t="s">
        <v>2524</v>
      </c>
      <c r="K61" s="22" t="s">
        <v>2523</v>
      </c>
      <c r="L61" s="22" t="s">
        <v>2127</v>
      </c>
      <c r="M61" s="22" t="s">
        <v>386</v>
      </c>
      <c r="N61" s="22" t="s">
        <v>68</v>
      </c>
      <c r="O61" s="22" t="s">
        <v>68</v>
      </c>
      <c r="P61" s="23">
        <v>46224.500339988423</v>
      </c>
    </row>
    <row r="62" spans="1:16" x14ac:dyDescent="0.25">
      <c r="A62" s="22" t="s">
        <v>2319</v>
      </c>
      <c r="B62" s="22" t="s">
        <v>1580</v>
      </c>
      <c r="C62" s="22" t="s">
        <v>608</v>
      </c>
      <c r="D62" s="22" t="s">
        <v>1581</v>
      </c>
      <c r="E62">
        <v>2000</v>
      </c>
      <c r="F62">
        <v>3114.05</v>
      </c>
      <c r="G62">
        <v>1885.95</v>
      </c>
      <c r="H62">
        <v>1754.79</v>
      </c>
      <c r="I62">
        <v>3114.05</v>
      </c>
      <c r="J62" s="22" t="s">
        <v>2524</v>
      </c>
      <c r="K62" s="22" t="s">
        <v>2523</v>
      </c>
      <c r="L62" s="22" t="s">
        <v>1582</v>
      </c>
      <c r="M62" s="22" t="s">
        <v>1583</v>
      </c>
      <c r="N62" s="22" t="s">
        <v>68</v>
      </c>
      <c r="O62" s="22" t="s">
        <v>68</v>
      </c>
      <c r="P62" s="23">
        <v>46224.50061751157</v>
      </c>
    </row>
    <row r="63" spans="1:16" x14ac:dyDescent="0.25">
      <c r="A63" s="22" t="s">
        <v>2320</v>
      </c>
      <c r="B63" s="22" t="s">
        <v>1446</v>
      </c>
      <c r="C63" s="22" t="s">
        <v>608</v>
      </c>
      <c r="D63" s="22" t="s">
        <v>1447</v>
      </c>
      <c r="E63">
        <v>2000</v>
      </c>
      <c r="F63">
        <v>7898.11</v>
      </c>
      <c r="G63">
        <v>-2898.11</v>
      </c>
      <c r="H63">
        <v>5140.3500000000004</v>
      </c>
      <c r="I63">
        <v>7898.11</v>
      </c>
      <c r="J63" s="22" t="s">
        <v>2526</v>
      </c>
      <c r="K63" s="22" t="s">
        <v>2523</v>
      </c>
      <c r="L63" s="22" t="s">
        <v>1448</v>
      </c>
      <c r="M63" s="22" t="s">
        <v>1449</v>
      </c>
      <c r="N63" s="22" t="s">
        <v>68</v>
      </c>
      <c r="O63" s="22" t="s">
        <v>68</v>
      </c>
      <c r="P63" s="23">
        <v>46225.041546111112</v>
      </c>
    </row>
    <row r="64" spans="1:16" x14ac:dyDescent="0.25">
      <c r="A64" s="22" t="s">
        <v>2321</v>
      </c>
      <c r="B64" s="22" t="s">
        <v>2016</v>
      </c>
      <c r="C64" s="22" t="s">
        <v>608</v>
      </c>
      <c r="D64" s="22" t="s">
        <v>2017</v>
      </c>
      <c r="E64">
        <v>27000</v>
      </c>
      <c r="F64">
        <v>7557.7</v>
      </c>
      <c r="G64">
        <v>-2557.6999999999998</v>
      </c>
      <c r="H64">
        <v>4799.9399999999996</v>
      </c>
      <c r="I64">
        <v>7557.7</v>
      </c>
      <c r="J64" s="22" t="s">
        <v>2526</v>
      </c>
      <c r="K64" s="22" t="s">
        <v>2523</v>
      </c>
      <c r="L64" s="22" t="s">
        <v>2018</v>
      </c>
      <c r="M64" s="22" t="s">
        <v>2019</v>
      </c>
      <c r="N64" s="22" t="s">
        <v>68</v>
      </c>
      <c r="O64" s="22" t="s">
        <v>68</v>
      </c>
      <c r="P64" s="23">
        <v>46225.044103229164</v>
      </c>
    </row>
    <row r="65" spans="1:16" x14ac:dyDescent="0.25">
      <c r="A65" s="22" t="s">
        <v>2322</v>
      </c>
      <c r="B65" s="22" t="s">
        <v>1851</v>
      </c>
      <c r="C65" s="22" t="s">
        <v>608</v>
      </c>
      <c r="D65" s="22" t="s">
        <v>1852</v>
      </c>
      <c r="E65">
        <v>2000</v>
      </c>
      <c r="F65">
        <v>2745.22</v>
      </c>
      <c r="G65">
        <v>2254.7800000000002</v>
      </c>
      <c r="H65">
        <v>1440.17</v>
      </c>
      <c r="I65">
        <v>2745.22</v>
      </c>
      <c r="J65" s="22" t="s">
        <v>2524</v>
      </c>
      <c r="K65" s="22" t="s">
        <v>2523</v>
      </c>
      <c r="L65" s="22" t="s">
        <v>1853</v>
      </c>
      <c r="M65" s="22" t="s">
        <v>1854</v>
      </c>
      <c r="N65" s="22" t="s">
        <v>68</v>
      </c>
      <c r="O65" s="22" t="s">
        <v>68</v>
      </c>
      <c r="P65" s="23">
        <v>46225.061685567132</v>
      </c>
    </row>
    <row r="66" spans="1:16" x14ac:dyDescent="0.25">
      <c r="A66" s="22" t="s">
        <v>2323</v>
      </c>
      <c r="B66" s="22" t="s">
        <v>1726</v>
      </c>
      <c r="C66" s="22" t="s">
        <v>608</v>
      </c>
      <c r="D66" s="22" t="s">
        <v>1727</v>
      </c>
      <c r="E66">
        <v>2000</v>
      </c>
      <c r="F66">
        <v>7625.26</v>
      </c>
      <c r="G66">
        <v>-2625.26</v>
      </c>
      <c r="H66">
        <v>4867.5</v>
      </c>
      <c r="I66">
        <v>7625.26</v>
      </c>
      <c r="J66" s="22" t="s">
        <v>2526</v>
      </c>
      <c r="K66" s="22" t="s">
        <v>2523</v>
      </c>
      <c r="L66" s="22" t="s">
        <v>1728</v>
      </c>
      <c r="M66" s="22" t="s">
        <v>1729</v>
      </c>
      <c r="N66" s="22" t="s">
        <v>68</v>
      </c>
      <c r="O66" s="22" t="s">
        <v>68</v>
      </c>
      <c r="P66" s="23">
        <v>46225.582451550923</v>
      </c>
    </row>
    <row r="67" spans="1:16" x14ac:dyDescent="0.25">
      <c r="A67" s="22" t="s">
        <v>2324</v>
      </c>
      <c r="B67" s="22" t="s">
        <v>1495</v>
      </c>
      <c r="C67" s="22" t="s">
        <v>608</v>
      </c>
      <c r="D67" s="22" t="s">
        <v>1496</v>
      </c>
      <c r="E67">
        <v>17500</v>
      </c>
      <c r="F67">
        <v>0</v>
      </c>
      <c r="G67">
        <v>5000</v>
      </c>
      <c r="H67">
        <v>3870.86</v>
      </c>
      <c r="I67">
        <v>7847.7</v>
      </c>
      <c r="J67" s="22" t="s">
        <v>1307</v>
      </c>
      <c r="K67" s="22" t="s">
        <v>2527</v>
      </c>
      <c r="L67" s="22" t="s">
        <v>1497</v>
      </c>
      <c r="M67" s="22" t="s">
        <v>1498</v>
      </c>
      <c r="N67" s="22" t="s">
        <v>68</v>
      </c>
      <c r="O67" s="22" t="s">
        <v>68</v>
      </c>
      <c r="P67" s="23">
        <v>46225.65426520833</v>
      </c>
    </row>
    <row r="68" spans="1:16" x14ac:dyDescent="0.25">
      <c r="A68" s="22" t="s">
        <v>2325</v>
      </c>
      <c r="B68" s="22" t="s">
        <v>1632</v>
      </c>
      <c r="C68" s="22" t="s">
        <v>608</v>
      </c>
      <c r="D68" s="22" t="s">
        <v>1633</v>
      </c>
      <c r="E68">
        <v>22227.39</v>
      </c>
      <c r="F68">
        <v>4663.95</v>
      </c>
      <c r="G68">
        <v>15336.05</v>
      </c>
      <c r="H68">
        <v>1356.53</v>
      </c>
      <c r="I68">
        <v>7220.48</v>
      </c>
      <c r="J68" s="22" t="s">
        <v>1307</v>
      </c>
      <c r="K68" s="22" t="s">
        <v>2527</v>
      </c>
      <c r="L68" s="22" t="s">
        <v>1634</v>
      </c>
      <c r="M68" s="22" t="s">
        <v>1635</v>
      </c>
      <c r="N68" s="22" t="s">
        <v>68</v>
      </c>
      <c r="O68" s="22" t="s">
        <v>68</v>
      </c>
      <c r="P68" s="23">
        <v>46225.682121967591</v>
      </c>
    </row>
    <row r="69" spans="1:16" x14ac:dyDescent="0.25">
      <c r="A69" s="22" t="s">
        <v>2326</v>
      </c>
      <c r="B69" s="22" t="s">
        <v>1487</v>
      </c>
      <c r="C69" s="22" t="s">
        <v>608</v>
      </c>
      <c r="D69" s="22" t="s">
        <v>1488</v>
      </c>
      <c r="E69">
        <v>2000</v>
      </c>
      <c r="F69">
        <v>2792.58</v>
      </c>
      <c r="G69">
        <v>2207.42</v>
      </c>
      <c r="H69">
        <v>1480.62</v>
      </c>
      <c r="I69">
        <v>2792.58</v>
      </c>
      <c r="J69" s="22" t="s">
        <v>2524</v>
      </c>
      <c r="K69" s="22" t="s">
        <v>2523</v>
      </c>
      <c r="L69" s="22" t="s">
        <v>1489</v>
      </c>
      <c r="M69" s="22" t="s">
        <v>1490</v>
      </c>
      <c r="N69" s="22" t="s">
        <v>68</v>
      </c>
      <c r="O69" s="22" t="s">
        <v>68</v>
      </c>
      <c r="P69" s="23">
        <v>46225.683542326391</v>
      </c>
    </row>
    <row r="70" spans="1:16" x14ac:dyDescent="0.25">
      <c r="A70" s="22" t="s">
        <v>2327</v>
      </c>
      <c r="B70" s="22" t="s">
        <v>1483</v>
      </c>
      <c r="C70" s="22" t="s">
        <v>608</v>
      </c>
      <c r="D70" s="22" t="s">
        <v>1484</v>
      </c>
      <c r="E70">
        <v>2000</v>
      </c>
      <c r="F70">
        <v>1188.58</v>
      </c>
      <c r="G70">
        <v>3811.42</v>
      </c>
      <c r="H70">
        <v>0</v>
      </c>
      <c r="I70">
        <v>133.53</v>
      </c>
      <c r="J70" s="22" t="s">
        <v>1307</v>
      </c>
      <c r="K70" s="22" t="s">
        <v>2527</v>
      </c>
      <c r="L70" s="22" t="s">
        <v>1485</v>
      </c>
      <c r="M70" s="22" t="s">
        <v>1486</v>
      </c>
      <c r="N70" s="22" t="s">
        <v>68</v>
      </c>
      <c r="O70" s="22" t="s">
        <v>68</v>
      </c>
      <c r="P70" s="23">
        <v>46225.968638969905</v>
      </c>
    </row>
    <row r="71" spans="1:16" x14ac:dyDescent="0.25">
      <c r="A71" s="22" t="s">
        <v>30</v>
      </c>
      <c r="B71" s="22" t="s">
        <v>1313</v>
      </c>
      <c r="C71" s="22" t="s">
        <v>608</v>
      </c>
      <c r="D71" s="22" t="s">
        <v>1314</v>
      </c>
      <c r="E71">
        <v>2000</v>
      </c>
      <c r="F71">
        <v>1179.9000000000001</v>
      </c>
      <c r="G71">
        <v>3820.1</v>
      </c>
      <c r="H71">
        <v>0</v>
      </c>
      <c r="I71">
        <v>124.85</v>
      </c>
      <c r="J71" s="22" t="s">
        <v>1307</v>
      </c>
      <c r="K71" s="22" t="s">
        <v>2527</v>
      </c>
      <c r="L71" s="22" t="s">
        <v>1315</v>
      </c>
      <c r="M71" s="22" t="s">
        <v>1316</v>
      </c>
      <c r="N71" s="22" t="s">
        <v>68</v>
      </c>
      <c r="O71" s="22" t="s">
        <v>68</v>
      </c>
      <c r="P71" s="23">
        <v>46225.96929335648</v>
      </c>
    </row>
    <row r="72" spans="1:16" x14ac:dyDescent="0.25">
      <c r="A72" s="22" t="s">
        <v>2328</v>
      </c>
      <c r="B72" s="22" t="s">
        <v>1976</v>
      </c>
      <c r="C72" s="22" t="s">
        <v>608</v>
      </c>
      <c r="D72" s="22" t="s">
        <v>1977</v>
      </c>
      <c r="E72">
        <v>2000</v>
      </c>
      <c r="F72">
        <v>2988.37</v>
      </c>
      <c r="G72">
        <v>2011.63</v>
      </c>
      <c r="H72">
        <v>1647.33</v>
      </c>
      <c r="I72">
        <v>2988.37</v>
      </c>
      <c r="J72" s="22" t="s">
        <v>2524</v>
      </c>
      <c r="K72" s="22" t="s">
        <v>2523</v>
      </c>
      <c r="L72" s="22" t="s">
        <v>1978</v>
      </c>
      <c r="M72" s="22" t="s">
        <v>1979</v>
      </c>
      <c r="N72" s="22" t="s">
        <v>68</v>
      </c>
      <c r="O72" s="22" t="s">
        <v>68</v>
      </c>
      <c r="P72" s="23">
        <v>46225.969936516201</v>
      </c>
    </row>
    <row r="73" spans="1:16" x14ac:dyDescent="0.25">
      <c r="A73" s="22" t="s">
        <v>2329</v>
      </c>
      <c r="B73" s="22" t="s">
        <v>1982</v>
      </c>
      <c r="C73" s="22" t="s">
        <v>608</v>
      </c>
      <c r="D73" s="22" t="s">
        <v>2537</v>
      </c>
      <c r="E73">
        <v>52000</v>
      </c>
      <c r="F73">
        <v>2521.59</v>
      </c>
      <c r="G73">
        <v>2478.41</v>
      </c>
      <c r="H73">
        <v>3870.86</v>
      </c>
      <c r="I73">
        <v>7821.71</v>
      </c>
      <c r="J73" s="22" t="s">
        <v>1307</v>
      </c>
      <c r="K73" s="22" t="s">
        <v>2527</v>
      </c>
      <c r="L73" s="22" t="s">
        <v>1983</v>
      </c>
      <c r="M73" s="22" t="s">
        <v>1984</v>
      </c>
      <c r="N73" s="22" t="s">
        <v>68</v>
      </c>
      <c r="O73" s="22" t="s">
        <v>68</v>
      </c>
      <c r="P73" s="23">
        <v>46225.999757199075</v>
      </c>
    </row>
    <row r="74" spans="1:16" x14ac:dyDescent="0.25">
      <c r="A74" s="22" t="s">
        <v>2330</v>
      </c>
      <c r="B74" s="22" t="s">
        <v>1467</v>
      </c>
      <c r="C74" s="22" t="s">
        <v>608</v>
      </c>
      <c r="D74" s="22" t="s">
        <v>1468</v>
      </c>
      <c r="E74">
        <v>10207.39</v>
      </c>
      <c r="F74">
        <v>1570.19</v>
      </c>
      <c r="G74">
        <v>12179.1</v>
      </c>
      <c r="H74">
        <v>1338.01</v>
      </c>
      <c r="I74">
        <v>1570.19</v>
      </c>
      <c r="J74" s="22" t="s">
        <v>2524</v>
      </c>
      <c r="K74" s="22" t="s">
        <v>2523</v>
      </c>
      <c r="L74" s="22" t="s">
        <v>1469</v>
      </c>
      <c r="M74" s="22" t="s">
        <v>1470</v>
      </c>
      <c r="N74" s="22" t="s">
        <v>68</v>
      </c>
      <c r="O74" s="22" t="s">
        <v>68</v>
      </c>
      <c r="P74" s="23">
        <v>46226.058801817133</v>
      </c>
    </row>
    <row r="75" spans="1:16" x14ac:dyDescent="0.25">
      <c r="A75" s="22" t="s">
        <v>2331</v>
      </c>
      <c r="B75" s="22" t="s">
        <v>1708</v>
      </c>
      <c r="C75" s="22" t="s">
        <v>608</v>
      </c>
      <c r="D75" s="22" t="s">
        <v>1709</v>
      </c>
      <c r="E75">
        <v>12429.42</v>
      </c>
      <c r="F75">
        <v>7186.39</v>
      </c>
      <c r="G75">
        <v>14015.99</v>
      </c>
      <c r="H75">
        <v>5483.68</v>
      </c>
      <c r="I75">
        <v>7186.39</v>
      </c>
      <c r="J75" s="22" t="s">
        <v>2526</v>
      </c>
      <c r="K75" s="22" t="s">
        <v>2523</v>
      </c>
      <c r="L75" s="22" t="s">
        <v>1710</v>
      </c>
      <c r="M75" s="22" t="s">
        <v>1711</v>
      </c>
      <c r="N75" s="22" t="s">
        <v>68</v>
      </c>
      <c r="O75" s="22" t="s">
        <v>68</v>
      </c>
      <c r="P75" s="23">
        <v>46226.059991377311</v>
      </c>
    </row>
    <row r="76" spans="1:16" x14ac:dyDescent="0.25">
      <c r="A76" s="22" t="s">
        <v>2332</v>
      </c>
      <c r="B76" s="22" t="s">
        <v>1887</v>
      </c>
      <c r="C76" s="22" t="s">
        <v>608</v>
      </c>
      <c r="D76" s="22" t="s">
        <v>1888</v>
      </c>
      <c r="E76">
        <v>7500</v>
      </c>
      <c r="F76">
        <v>1690.6</v>
      </c>
      <c r="G76">
        <v>10309.4</v>
      </c>
      <c r="H76">
        <v>1440.59</v>
      </c>
      <c r="I76">
        <v>1690.6</v>
      </c>
      <c r="J76" s="22" t="s">
        <v>2524</v>
      </c>
      <c r="K76" s="22" t="s">
        <v>2523</v>
      </c>
      <c r="L76" s="22" t="s">
        <v>1889</v>
      </c>
      <c r="M76" s="22" t="s">
        <v>1890</v>
      </c>
      <c r="N76" s="22" t="s">
        <v>68</v>
      </c>
      <c r="O76" s="22" t="s">
        <v>68</v>
      </c>
      <c r="P76" s="23">
        <v>46226.061586226853</v>
      </c>
    </row>
    <row r="77" spans="1:16" x14ac:dyDescent="0.25">
      <c r="A77" s="22" t="s">
        <v>2333</v>
      </c>
      <c r="B77" s="22" t="s">
        <v>1503</v>
      </c>
      <c r="C77" s="22" t="s">
        <v>608</v>
      </c>
      <c r="D77" s="22" t="s">
        <v>1504</v>
      </c>
      <c r="E77">
        <v>1087.55</v>
      </c>
      <c r="F77">
        <v>67.5</v>
      </c>
      <c r="G77">
        <v>14932.5</v>
      </c>
      <c r="H77">
        <v>3870.86</v>
      </c>
      <c r="I77">
        <v>17059.87</v>
      </c>
      <c r="J77" s="22" t="s">
        <v>1307</v>
      </c>
      <c r="K77" s="22" t="s">
        <v>2527</v>
      </c>
      <c r="L77" s="22" t="s">
        <v>1505</v>
      </c>
      <c r="M77" s="22" t="s">
        <v>1506</v>
      </c>
      <c r="N77" s="22" t="s">
        <v>68</v>
      </c>
      <c r="O77" s="22" t="s">
        <v>68</v>
      </c>
      <c r="P77" s="23">
        <v>46226.062685972225</v>
      </c>
    </row>
    <row r="78" spans="1:16" x14ac:dyDescent="0.25">
      <c r="A78" s="22" t="s">
        <v>2334</v>
      </c>
      <c r="B78" s="22" t="s">
        <v>1507</v>
      </c>
      <c r="C78" s="22" t="s">
        <v>608</v>
      </c>
      <c r="D78" s="22" t="s">
        <v>1504</v>
      </c>
      <c r="E78">
        <v>10000</v>
      </c>
      <c r="F78">
        <v>5931.72</v>
      </c>
      <c r="G78">
        <v>9068.2800000000007</v>
      </c>
      <c r="H78">
        <v>4229.01</v>
      </c>
      <c r="I78">
        <v>5931.72</v>
      </c>
      <c r="J78" s="22" t="s">
        <v>2526</v>
      </c>
      <c r="K78" s="22" t="s">
        <v>2523</v>
      </c>
      <c r="L78" s="22" t="s">
        <v>1508</v>
      </c>
      <c r="M78" s="22" t="s">
        <v>1509</v>
      </c>
      <c r="N78" s="22" t="s">
        <v>1510</v>
      </c>
      <c r="O78" s="22" t="s">
        <v>1509</v>
      </c>
      <c r="P78" s="23">
        <v>46226.063261261574</v>
      </c>
    </row>
    <row r="79" spans="1:16" x14ac:dyDescent="0.25">
      <c r="A79" s="22" t="s">
        <v>2335</v>
      </c>
      <c r="B79" s="22" t="s">
        <v>1499</v>
      </c>
      <c r="C79" s="22" t="s">
        <v>608</v>
      </c>
      <c r="D79" s="22" t="s">
        <v>1500</v>
      </c>
      <c r="E79">
        <v>25000</v>
      </c>
      <c r="F79">
        <v>833.59</v>
      </c>
      <c r="G79">
        <v>49166.41</v>
      </c>
      <c r="H79">
        <v>710.3</v>
      </c>
      <c r="I79">
        <v>833.59</v>
      </c>
      <c r="J79" s="22" t="s">
        <v>2524</v>
      </c>
      <c r="K79" s="22" t="s">
        <v>2523</v>
      </c>
      <c r="L79" s="22" t="s">
        <v>1501</v>
      </c>
      <c r="M79" s="22" t="s">
        <v>1347</v>
      </c>
      <c r="N79" s="22" t="s">
        <v>1502</v>
      </c>
      <c r="O79" s="22" t="s">
        <v>1347</v>
      </c>
      <c r="P79" s="23">
        <v>46226.070635497686</v>
      </c>
    </row>
    <row r="80" spans="1:16" x14ac:dyDescent="0.25">
      <c r="A80" s="22" t="s">
        <v>2336</v>
      </c>
      <c r="B80" s="22" t="s">
        <v>1636</v>
      </c>
      <c r="C80" s="22" t="s">
        <v>608</v>
      </c>
      <c r="D80" s="22" t="s">
        <v>1637</v>
      </c>
      <c r="E80">
        <v>8658.89</v>
      </c>
      <c r="F80">
        <v>1022.67</v>
      </c>
      <c r="G80">
        <v>7758.58</v>
      </c>
      <c r="H80">
        <v>871.52</v>
      </c>
      <c r="I80">
        <v>1022.67</v>
      </c>
      <c r="J80" s="22" t="s">
        <v>2524</v>
      </c>
      <c r="K80" s="22" t="s">
        <v>2523</v>
      </c>
      <c r="L80" s="22" t="s">
        <v>1638</v>
      </c>
      <c r="M80" s="22" t="s">
        <v>1343</v>
      </c>
      <c r="N80" s="22" t="s">
        <v>68</v>
      </c>
      <c r="O80" s="22" t="s">
        <v>68</v>
      </c>
      <c r="P80" s="23">
        <v>46226.08336178241</v>
      </c>
    </row>
    <row r="81" spans="1:16" x14ac:dyDescent="0.25">
      <c r="A81" s="22" t="s">
        <v>2337</v>
      </c>
      <c r="B81" s="22" t="s">
        <v>2032</v>
      </c>
      <c r="C81" s="22" t="s">
        <v>608</v>
      </c>
      <c r="D81" s="22" t="s">
        <v>2033</v>
      </c>
      <c r="E81">
        <v>18106.900000000001</v>
      </c>
      <c r="F81">
        <v>1273.31</v>
      </c>
      <c r="G81">
        <v>11528.34</v>
      </c>
      <c r="H81">
        <v>3870.86</v>
      </c>
      <c r="I81">
        <v>5509.78</v>
      </c>
      <c r="J81" s="22" t="s">
        <v>1307</v>
      </c>
      <c r="K81" s="22" t="s">
        <v>2527</v>
      </c>
      <c r="L81" s="22" t="s">
        <v>2034</v>
      </c>
      <c r="M81" s="22" t="s">
        <v>1343</v>
      </c>
      <c r="N81" s="22" t="s">
        <v>68</v>
      </c>
      <c r="O81" s="22" t="s">
        <v>68</v>
      </c>
      <c r="P81" s="23">
        <v>46226.08595177083</v>
      </c>
    </row>
    <row r="82" spans="1:16" x14ac:dyDescent="0.25">
      <c r="A82" s="22" t="s">
        <v>2338</v>
      </c>
      <c r="B82" s="22" t="s">
        <v>1799</v>
      </c>
      <c r="C82" s="22" t="s">
        <v>608</v>
      </c>
      <c r="D82" s="22" t="s">
        <v>1800</v>
      </c>
      <c r="E82">
        <v>2000</v>
      </c>
      <c r="F82">
        <v>7634.5</v>
      </c>
      <c r="G82">
        <v>-2634.5</v>
      </c>
      <c r="H82">
        <v>4876.74</v>
      </c>
      <c r="I82">
        <v>7634.5</v>
      </c>
      <c r="J82" s="22" t="s">
        <v>2526</v>
      </c>
      <c r="K82" s="22" t="s">
        <v>2523</v>
      </c>
      <c r="L82" s="22" t="s">
        <v>1801</v>
      </c>
      <c r="M82" s="22" t="s">
        <v>1802</v>
      </c>
      <c r="N82" s="22" t="s">
        <v>68</v>
      </c>
      <c r="O82" s="22" t="s">
        <v>68</v>
      </c>
      <c r="P82" s="23">
        <v>46227.003081932868</v>
      </c>
    </row>
    <row r="83" spans="1:16" x14ac:dyDescent="0.25">
      <c r="A83" s="22" t="s">
        <v>2339</v>
      </c>
      <c r="B83" s="22" t="s">
        <v>1894</v>
      </c>
      <c r="C83" s="22" t="s">
        <v>608</v>
      </c>
      <c r="D83" s="22" t="s">
        <v>1895</v>
      </c>
      <c r="E83">
        <v>2000</v>
      </c>
      <c r="F83">
        <v>1185.24</v>
      </c>
      <c r="G83">
        <v>3814.76</v>
      </c>
      <c r="H83">
        <v>0</v>
      </c>
      <c r="I83">
        <v>130.19</v>
      </c>
      <c r="J83" s="22" t="s">
        <v>1307</v>
      </c>
      <c r="K83" s="22" t="s">
        <v>2527</v>
      </c>
      <c r="L83" s="22" t="s">
        <v>1896</v>
      </c>
      <c r="M83" s="22" t="s">
        <v>1897</v>
      </c>
      <c r="N83" s="22" t="s">
        <v>68</v>
      </c>
      <c r="O83" s="22" t="s">
        <v>68</v>
      </c>
      <c r="P83" s="23">
        <v>46227.032733576387</v>
      </c>
    </row>
    <row r="84" spans="1:16" x14ac:dyDescent="0.25">
      <c r="A84" s="22" t="s">
        <v>2340</v>
      </c>
      <c r="B84" s="22" t="s">
        <v>1863</v>
      </c>
      <c r="C84" s="22" t="s">
        <v>608</v>
      </c>
      <c r="D84" s="22" t="s">
        <v>1864</v>
      </c>
      <c r="E84">
        <v>4954.18</v>
      </c>
      <c r="F84">
        <v>1008.97</v>
      </c>
      <c r="G84">
        <v>14611</v>
      </c>
      <c r="H84">
        <v>859.72</v>
      </c>
      <c r="I84">
        <v>1008.97</v>
      </c>
      <c r="J84" s="22" t="s">
        <v>2524</v>
      </c>
      <c r="K84" s="22" t="s">
        <v>2523</v>
      </c>
      <c r="L84" s="22" t="s">
        <v>1865</v>
      </c>
      <c r="M84" s="22" t="s">
        <v>1343</v>
      </c>
      <c r="N84" s="22" t="s">
        <v>68</v>
      </c>
      <c r="O84" s="22" t="s">
        <v>68</v>
      </c>
      <c r="P84" s="23">
        <v>46227.032754270833</v>
      </c>
    </row>
    <row r="85" spans="1:16" x14ac:dyDescent="0.25">
      <c r="A85" s="22" t="s">
        <v>2341</v>
      </c>
      <c r="B85" s="22" t="s">
        <v>1616</v>
      </c>
      <c r="C85" s="22" t="s">
        <v>608</v>
      </c>
      <c r="D85" s="22" t="s">
        <v>1617</v>
      </c>
      <c r="E85">
        <v>24617.68</v>
      </c>
      <c r="F85">
        <v>3098.35</v>
      </c>
      <c r="G85">
        <v>11901.65</v>
      </c>
      <c r="H85">
        <v>3870.86</v>
      </c>
      <c r="I85">
        <v>15715.28</v>
      </c>
      <c r="J85" s="22" t="s">
        <v>1307</v>
      </c>
      <c r="K85" s="22" t="s">
        <v>2527</v>
      </c>
      <c r="L85" s="22" t="s">
        <v>1618</v>
      </c>
      <c r="M85" s="22" t="s">
        <v>1619</v>
      </c>
      <c r="N85" s="22" t="s">
        <v>68</v>
      </c>
      <c r="O85" s="22" t="s">
        <v>68</v>
      </c>
      <c r="P85" s="23">
        <v>46227.043519270832</v>
      </c>
    </row>
    <row r="86" spans="1:16" x14ac:dyDescent="0.25">
      <c r="A86" s="22" t="s">
        <v>2342</v>
      </c>
      <c r="B86" s="22" t="s">
        <v>1648</v>
      </c>
      <c r="C86" s="22" t="s">
        <v>608</v>
      </c>
      <c r="D86" s="22" t="s">
        <v>1649</v>
      </c>
      <c r="E86">
        <v>951.53</v>
      </c>
      <c r="F86">
        <v>1340.77</v>
      </c>
      <c r="G86">
        <v>3659.23</v>
      </c>
      <c r="H86">
        <v>947.46</v>
      </c>
      <c r="I86">
        <v>3843.09</v>
      </c>
      <c r="J86" s="22" t="s">
        <v>1307</v>
      </c>
      <c r="K86" s="22" t="s">
        <v>2527</v>
      </c>
      <c r="L86" s="22" t="s">
        <v>1650</v>
      </c>
      <c r="M86" s="22" t="s">
        <v>1651</v>
      </c>
      <c r="N86" s="22" t="s">
        <v>68</v>
      </c>
      <c r="O86" s="22" t="s">
        <v>68</v>
      </c>
      <c r="P86" s="23">
        <v>46227.045257141202</v>
      </c>
    </row>
    <row r="87" spans="1:16" x14ac:dyDescent="0.25">
      <c r="A87" s="22" t="s">
        <v>2343</v>
      </c>
      <c r="B87" s="22" t="s">
        <v>1459</v>
      </c>
      <c r="C87" s="22" t="s">
        <v>608</v>
      </c>
      <c r="D87" s="22" t="s">
        <v>1460</v>
      </c>
      <c r="E87">
        <v>7110.18</v>
      </c>
      <c r="F87">
        <v>1509.48</v>
      </c>
      <c r="G87">
        <v>15607.96</v>
      </c>
      <c r="H87">
        <v>3870.86</v>
      </c>
      <c r="I87">
        <v>7087.06</v>
      </c>
      <c r="J87" s="22" t="s">
        <v>1307</v>
      </c>
      <c r="K87" s="22" t="s">
        <v>2527</v>
      </c>
      <c r="L87" s="22" t="s">
        <v>1461</v>
      </c>
      <c r="M87" s="22" t="s">
        <v>1343</v>
      </c>
      <c r="N87" s="22" t="s">
        <v>68</v>
      </c>
      <c r="O87" s="22" t="s">
        <v>68</v>
      </c>
      <c r="P87" s="23">
        <v>46227.091320914355</v>
      </c>
    </row>
    <row r="88" spans="1:16" x14ac:dyDescent="0.25">
      <c r="A88" s="22" t="s">
        <v>2344</v>
      </c>
      <c r="B88" s="22" t="s">
        <v>1768</v>
      </c>
      <c r="C88" s="22" t="s">
        <v>608</v>
      </c>
      <c r="D88" s="22" t="s">
        <v>1769</v>
      </c>
      <c r="E88">
        <v>5795.72</v>
      </c>
      <c r="F88">
        <v>1488.01</v>
      </c>
      <c r="G88">
        <v>7886.92</v>
      </c>
      <c r="H88">
        <v>3870.86</v>
      </c>
      <c r="I88">
        <v>6191.99</v>
      </c>
      <c r="J88" s="22" t="s">
        <v>1307</v>
      </c>
      <c r="K88" s="22" t="s">
        <v>2527</v>
      </c>
      <c r="L88" s="22" t="s">
        <v>1770</v>
      </c>
      <c r="M88" s="22" t="s">
        <v>1343</v>
      </c>
      <c r="N88" s="22" t="s">
        <v>68</v>
      </c>
      <c r="O88" s="22" t="s">
        <v>68</v>
      </c>
      <c r="P88" s="23">
        <v>46227.092144479167</v>
      </c>
    </row>
    <row r="89" spans="1:16" x14ac:dyDescent="0.25">
      <c r="A89" s="22" t="s">
        <v>2345</v>
      </c>
      <c r="B89" s="22" t="s">
        <v>1453</v>
      </c>
      <c r="C89" s="22" t="s">
        <v>608</v>
      </c>
      <c r="D89" s="22" t="s">
        <v>1451</v>
      </c>
      <c r="E89">
        <v>16123.99</v>
      </c>
      <c r="F89">
        <v>1273.31</v>
      </c>
      <c r="G89">
        <v>1953.8</v>
      </c>
      <c r="H89">
        <v>3870.86</v>
      </c>
      <c r="I89">
        <v>6396.46</v>
      </c>
      <c r="J89" s="22" t="s">
        <v>1307</v>
      </c>
      <c r="K89" s="22" t="s">
        <v>2527</v>
      </c>
      <c r="L89" s="22" t="s">
        <v>1454</v>
      </c>
      <c r="M89" s="22" t="s">
        <v>1343</v>
      </c>
      <c r="N89" s="22" t="s">
        <v>68</v>
      </c>
      <c r="O89" s="22" t="s">
        <v>68</v>
      </c>
      <c r="P89" s="23">
        <v>46227.092706481482</v>
      </c>
    </row>
    <row r="90" spans="1:16" x14ac:dyDescent="0.25">
      <c r="A90" s="22" t="s">
        <v>2346</v>
      </c>
      <c r="B90" s="22" t="s">
        <v>1819</v>
      </c>
      <c r="C90" s="22" t="s">
        <v>608</v>
      </c>
      <c r="D90" s="22" t="s">
        <v>1820</v>
      </c>
      <c r="E90">
        <v>11633.36</v>
      </c>
      <c r="F90">
        <v>1509.48</v>
      </c>
      <c r="G90">
        <v>12268.95</v>
      </c>
      <c r="H90">
        <v>3870.86</v>
      </c>
      <c r="I90">
        <v>6070.8</v>
      </c>
      <c r="J90" s="22" t="s">
        <v>1307</v>
      </c>
      <c r="K90" s="22" t="s">
        <v>2527</v>
      </c>
      <c r="L90" s="22" t="s">
        <v>1821</v>
      </c>
      <c r="M90" s="22" t="s">
        <v>1343</v>
      </c>
      <c r="N90" s="22" t="s">
        <v>68</v>
      </c>
      <c r="O90" s="22" t="s">
        <v>68</v>
      </c>
      <c r="P90" s="23">
        <v>46227.702812094911</v>
      </c>
    </row>
    <row r="91" spans="1:16" x14ac:dyDescent="0.25">
      <c r="A91" s="22" t="s">
        <v>2347</v>
      </c>
      <c r="B91" s="22" t="s">
        <v>2047</v>
      </c>
      <c r="C91" s="22" t="s">
        <v>606</v>
      </c>
      <c r="D91" s="22" t="s">
        <v>2048</v>
      </c>
      <c r="E91">
        <v>6872.92</v>
      </c>
      <c r="F91">
        <v>2466.79</v>
      </c>
      <c r="G91">
        <v>504.27</v>
      </c>
      <c r="H91">
        <v>0</v>
      </c>
      <c r="I91">
        <v>66.790000000000006</v>
      </c>
      <c r="J91" s="22" t="s">
        <v>1307</v>
      </c>
      <c r="K91" s="22" t="s">
        <v>2527</v>
      </c>
      <c r="L91" s="22" t="s">
        <v>2049</v>
      </c>
      <c r="M91" s="22" t="s">
        <v>1343</v>
      </c>
      <c r="N91" s="22" t="s">
        <v>68</v>
      </c>
      <c r="O91" s="22" t="s">
        <v>68</v>
      </c>
      <c r="P91" s="23">
        <v>46227.713644745367</v>
      </c>
    </row>
    <row r="92" spans="1:16" x14ac:dyDescent="0.25">
      <c r="A92" s="22" t="s">
        <v>2348</v>
      </c>
      <c r="B92" s="22" t="s">
        <v>1334</v>
      </c>
      <c r="C92" s="22" t="s">
        <v>606</v>
      </c>
      <c r="D92" s="22" t="s">
        <v>2538</v>
      </c>
      <c r="E92">
        <v>2000</v>
      </c>
      <c r="F92">
        <v>2050.5500000000002</v>
      </c>
      <c r="G92">
        <v>2949.45</v>
      </c>
      <c r="H92">
        <v>848.41</v>
      </c>
      <c r="I92">
        <v>2050.5500000000002</v>
      </c>
      <c r="J92" s="22" t="s">
        <v>2524</v>
      </c>
      <c r="K92" s="22" t="s">
        <v>2523</v>
      </c>
      <c r="L92" s="22" t="s">
        <v>1335</v>
      </c>
      <c r="M92" s="22" t="s">
        <v>1336</v>
      </c>
      <c r="N92" s="22" t="s">
        <v>68</v>
      </c>
      <c r="O92" s="22" t="s">
        <v>68</v>
      </c>
      <c r="P92" s="23">
        <v>46228.083944062499</v>
      </c>
    </row>
    <row r="93" spans="1:16" x14ac:dyDescent="0.25">
      <c r="A93" s="22" t="s">
        <v>2349</v>
      </c>
      <c r="B93" s="22" t="s">
        <v>1914</v>
      </c>
      <c r="C93" s="22" t="s">
        <v>608</v>
      </c>
      <c r="D93" s="22" t="s">
        <v>1915</v>
      </c>
      <c r="E93">
        <v>11042.91</v>
      </c>
      <c r="F93">
        <v>628.29999999999995</v>
      </c>
      <c r="G93">
        <v>9487.69</v>
      </c>
      <c r="H93">
        <v>607.6</v>
      </c>
      <c r="I93">
        <v>628.29999999999995</v>
      </c>
      <c r="J93" s="22" t="s">
        <v>1307</v>
      </c>
      <c r="K93" s="22" t="s">
        <v>2527</v>
      </c>
      <c r="L93" s="22" t="s">
        <v>1916</v>
      </c>
      <c r="M93" s="22" t="s">
        <v>1343</v>
      </c>
      <c r="N93" s="22" t="s">
        <v>68</v>
      </c>
      <c r="O93" s="22" t="s">
        <v>68</v>
      </c>
      <c r="P93" s="23">
        <v>46230.152296446759</v>
      </c>
    </row>
    <row r="94" spans="1:16" x14ac:dyDescent="0.25">
      <c r="A94" s="22" t="s">
        <v>2350</v>
      </c>
      <c r="B94" s="22" t="s">
        <v>1613</v>
      </c>
      <c r="C94" s="22" t="s">
        <v>609</v>
      </c>
      <c r="D94" s="22" t="s">
        <v>1614</v>
      </c>
      <c r="E94">
        <v>6756.02</v>
      </c>
      <c r="F94">
        <v>6320.79</v>
      </c>
      <c r="G94">
        <v>2470.69</v>
      </c>
      <c r="H94">
        <v>4514.22</v>
      </c>
      <c r="I94">
        <v>6320.79</v>
      </c>
      <c r="J94" s="22" t="s">
        <v>1319</v>
      </c>
      <c r="K94" s="22" t="s">
        <v>2523</v>
      </c>
      <c r="L94" s="22" t="s">
        <v>1615</v>
      </c>
      <c r="M94" s="22" t="s">
        <v>1343</v>
      </c>
      <c r="N94" s="22" t="s">
        <v>68</v>
      </c>
      <c r="O94" s="22" t="s">
        <v>68</v>
      </c>
      <c r="P94" s="23">
        <v>46230.152555451386</v>
      </c>
    </row>
    <row r="95" spans="1:16" x14ac:dyDescent="0.25">
      <c r="A95" s="22" t="s">
        <v>2351</v>
      </c>
      <c r="B95" s="22" t="s">
        <v>1898</v>
      </c>
      <c r="C95" s="22" t="s">
        <v>612</v>
      </c>
      <c r="D95" s="22" t="s">
        <v>1899</v>
      </c>
      <c r="E95">
        <v>11655.22</v>
      </c>
      <c r="F95">
        <v>762.84</v>
      </c>
      <c r="G95">
        <v>6626.56</v>
      </c>
      <c r="H95">
        <v>692.55</v>
      </c>
      <c r="I95">
        <v>762.84</v>
      </c>
      <c r="J95" s="22" t="s">
        <v>2539</v>
      </c>
      <c r="K95" s="22" t="s">
        <v>2523</v>
      </c>
      <c r="L95" s="22" t="s">
        <v>1900</v>
      </c>
      <c r="M95" s="22" t="s">
        <v>1343</v>
      </c>
      <c r="N95" s="22" t="s">
        <v>68</v>
      </c>
      <c r="O95" s="22" t="s">
        <v>68</v>
      </c>
      <c r="P95" s="23">
        <v>46232.992079490738</v>
      </c>
    </row>
    <row r="96" spans="1:16" x14ac:dyDescent="0.25">
      <c r="A96" s="22" t="s">
        <v>2352</v>
      </c>
      <c r="B96" s="22" t="s">
        <v>2108</v>
      </c>
      <c r="C96" s="22" t="s">
        <v>1418</v>
      </c>
      <c r="D96" s="22" t="s">
        <v>2109</v>
      </c>
      <c r="E96">
        <v>11627.15</v>
      </c>
      <c r="F96">
        <v>610.28</v>
      </c>
      <c r="G96">
        <v>19018.86</v>
      </c>
      <c r="H96">
        <v>519.51</v>
      </c>
      <c r="I96">
        <v>610.28</v>
      </c>
      <c r="J96" s="22" t="s">
        <v>2540</v>
      </c>
      <c r="K96" s="22" t="s">
        <v>2523</v>
      </c>
      <c r="L96" s="22" t="s">
        <v>2110</v>
      </c>
      <c r="M96" s="22" t="s">
        <v>1343</v>
      </c>
      <c r="N96" s="22" t="s">
        <v>68</v>
      </c>
      <c r="O96" s="22" t="s">
        <v>68</v>
      </c>
      <c r="P96" s="23">
        <v>46232.992214583333</v>
      </c>
    </row>
    <row r="97" spans="1:16" x14ac:dyDescent="0.25">
      <c r="A97" s="22" t="s">
        <v>2353</v>
      </c>
      <c r="B97" s="22" t="s">
        <v>1880</v>
      </c>
      <c r="C97" s="22" t="s">
        <v>609</v>
      </c>
      <c r="D97" s="22" t="s">
        <v>1881</v>
      </c>
      <c r="E97">
        <v>2913.49</v>
      </c>
      <c r="F97">
        <v>875.07</v>
      </c>
      <c r="G97">
        <v>4187.3</v>
      </c>
      <c r="H97">
        <v>782.67</v>
      </c>
      <c r="I97">
        <v>875.07</v>
      </c>
      <c r="J97" s="22" t="s">
        <v>2541</v>
      </c>
      <c r="K97" s="22" t="s">
        <v>2523</v>
      </c>
      <c r="L97" s="22" t="s">
        <v>1882</v>
      </c>
      <c r="M97" s="22" t="s">
        <v>1343</v>
      </c>
      <c r="N97" s="22" t="s">
        <v>68</v>
      </c>
      <c r="O97" s="22" t="s">
        <v>68</v>
      </c>
      <c r="P97" s="23">
        <v>46232.99238520833</v>
      </c>
    </row>
    <row r="98" spans="1:16" x14ac:dyDescent="0.25">
      <c r="A98" s="22" t="s">
        <v>2354</v>
      </c>
      <c r="B98" s="22" t="s">
        <v>1543</v>
      </c>
      <c r="C98" s="22" t="s">
        <v>609</v>
      </c>
      <c r="D98" s="22" t="s">
        <v>1541</v>
      </c>
      <c r="E98">
        <v>12495.7</v>
      </c>
      <c r="F98">
        <v>1071.6099999999999</v>
      </c>
      <c r="G98">
        <v>19628.93</v>
      </c>
      <c r="H98">
        <v>958.36</v>
      </c>
      <c r="I98">
        <v>1071.6099999999999</v>
      </c>
      <c r="J98" s="22" t="s">
        <v>2541</v>
      </c>
      <c r="K98" s="22" t="s">
        <v>2523</v>
      </c>
      <c r="L98" s="22" t="s">
        <v>1544</v>
      </c>
      <c r="M98" s="22" t="s">
        <v>1347</v>
      </c>
      <c r="N98" s="22" t="s">
        <v>68</v>
      </c>
      <c r="O98" s="22" t="s">
        <v>68</v>
      </c>
      <c r="P98" s="23">
        <v>46232.992877268516</v>
      </c>
    </row>
    <row r="99" spans="1:16" x14ac:dyDescent="0.25">
      <c r="A99" s="22" t="s">
        <v>2355</v>
      </c>
      <c r="B99" s="22" t="s">
        <v>1891</v>
      </c>
      <c r="C99" s="22" t="s">
        <v>1418</v>
      </c>
      <c r="D99" s="22" t="s">
        <v>1892</v>
      </c>
      <c r="E99">
        <v>64817.760000000002</v>
      </c>
      <c r="F99">
        <v>833.25</v>
      </c>
      <c r="G99">
        <v>1407.22</v>
      </c>
      <c r="H99">
        <v>4029.99</v>
      </c>
      <c r="I99">
        <v>4704.1099999999997</v>
      </c>
      <c r="J99" s="22" t="s">
        <v>2542</v>
      </c>
      <c r="K99" s="22" t="s">
        <v>2523</v>
      </c>
      <c r="L99" s="22" t="s">
        <v>1893</v>
      </c>
      <c r="M99" s="22" t="s">
        <v>1343</v>
      </c>
      <c r="N99" s="22" t="s">
        <v>68</v>
      </c>
      <c r="O99" s="22" t="s">
        <v>68</v>
      </c>
      <c r="P99" s="23">
        <v>46232.993164664353</v>
      </c>
    </row>
    <row r="100" spans="1:16" x14ac:dyDescent="0.25">
      <c r="A100" s="22" t="s">
        <v>2356</v>
      </c>
      <c r="B100" s="22" t="s">
        <v>1947</v>
      </c>
      <c r="C100" s="22" t="s">
        <v>1418</v>
      </c>
      <c r="D100" s="22" t="s">
        <v>1948</v>
      </c>
      <c r="E100">
        <v>13992.61</v>
      </c>
      <c r="F100">
        <v>5524.5</v>
      </c>
      <c r="G100">
        <v>15476.29</v>
      </c>
      <c r="H100">
        <v>3870.86</v>
      </c>
      <c r="I100">
        <v>14514.16</v>
      </c>
      <c r="J100" s="22" t="s">
        <v>1307</v>
      </c>
      <c r="K100" s="22" t="s">
        <v>2527</v>
      </c>
      <c r="L100" s="22" t="s">
        <v>1949</v>
      </c>
      <c r="M100" s="22" t="s">
        <v>1343</v>
      </c>
      <c r="N100" s="22" t="s">
        <v>68</v>
      </c>
      <c r="O100" s="22" t="s">
        <v>68</v>
      </c>
      <c r="P100" s="23">
        <v>46232.993239537034</v>
      </c>
    </row>
    <row r="101" spans="1:16" x14ac:dyDescent="0.25">
      <c r="A101" s="22" t="s">
        <v>2145</v>
      </c>
      <c r="B101" s="22" t="s">
        <v>1824</v>
      </c>
      <c r="C101" s="22" t="s">
        <v>1418</v>
      </c>
      <c r="D101" s="22" t="s">
        <v>1825</v>
      </c>
      <c r="E101">
        <v>6994.48</v>
      </c>
      <c r="F101">
        <v>2129.46</v>
      </c>
      <c r="G101">
        <v>2870.54</v>
      </c>
      <c r="H101">
        <v>3870.86</v>
      </c>
      <c r="I101">
        <v>8356.2099999999991</v>
      </c>
      <c r="J101" s="22" t="s">
        <v>1307</v>
      </c>
      <c r="K101" s="22" t="s">
        <v>2527</v>
      </c>
      <c r="L101" s="22" t="s">
        <v>1826</v>
      </c>
      <c r="M101" s="22" t="s">
        <v>1343</v>
      </c>
      <c r="N101" s="22" t="s">
        <v>68</v>
      </c>
      <c r="O101" s="22" t="s">
        <v>68</v>
      </c>
      <c r="P101" s="23">
        <v>46232.993319004629</v>
      </c>
    </row>
    <row r="102" spans="1:16" x14ac:dyDescent="0.25">
      <c r="A102" s="22" t="s">
        <v>2146</v>
      </c>
      <c r="B102" s="22" t="s">
        <v>1655</v>
      </c>
      <c r="C102" s="22" t="s">
        <v>608</v>
      </c>
      <c r="D102" s="22" t="s">
        <v>1653</v>
      </c>
      <c r="E102">
        <v>5744.79</v>
      </c>
      <c r="F102">
        <v>840.48</v>
      </c>
      <c r="G102">
        <v>7812.01</v>
      </c>
      <c r="H102">
        <v>733.7</v>
      </c>
      <c r="I102">
        <v>840.48</v>
      </c>
      <c r="J102" s="22" t="s">
        <v>2543</v>
      </c>
      <c r="K102" s="22" t="s">
        <v>2523</v>
      </c>
      <c r="L102" s="22" t="s">
        <v>1656</v>
      </c>
      <c r="M102" s="22" t="s">
        <v>1343</v>
      </c>
      <c r="N102" s="22" t="s">
        <v>68</v>
      </c>
      <c r="O102" s="22" t="s">
        <v>68</v>
      </c>
      <c r="P102" s="23">
        <v>46234.060672094907</v>
      </c>
    </row>
    <row r="103" spans="1:16" x14ac:dyDescent="0.25">
      <c r="A103" s="22" t="s">
        <v>2147</v>
      </c>
      <c r="B103" s="22" t="s">
        <v>2030</v>
      </c>
      <c r="C103" s="22" t="s">
        <v>1418</v>
      </c>
      <c r="D103" s="22" t="s">
        <v>2028</v>
      </c>
      <c r="E103">
        <v>10010.49</v>
      </c>
      <c r="F103">
        <v>1054.19</v>
      </c>
      <c r="G103">
        <v>7830.24</v>
      </c>
      <c r="H103">
        <v>896.87</v>
      </c>
      <c r="I103">
        <v>1054.19</v>
      </c>
      <c r="J103" s="22" t="s">
        <v>2540</v>
      </c>
      <c r="K103" s="22" t="s">
        <v>2523</v>
      </c>
      <c r="L103" s="22" t="s">
        <v>2031</v>
      </c>
      <c r="M103" s="22" t="s">
        <v>1343</v>
      </c>
      <c r="N103" s="22" t="s">
        <v>68</v>
      </c>
      <c r="O103" s="22" t="s">
        <v>68</v>
      </c>
      <c r="P103" s="23">
        <v>46234.060997615743</v>
      </c>
    </row>
    <row r="104" spans="1:16" x14ac:dyDescent="0.25">
      <c r="A104" s="22" t="s">
        <v>2148</v>
      </c>
      <c r="B104" s="22" t="s">
        <v>1786</v>
      </c>
      <c r="C104" s="22" t="s">
        <v>612</v>
      </c>
      <c r="D104" s="22" t="s">
        <v>1787</v>
      </c>
      <c r="E104">
        <v>7506</v>
      </c>
      <c r="F104">
        <v>5967.05</v>
      </c>
      <c r="G104">
        <v>6140.41</v>
      </c>
      <c r="H104">
        <v>4225.82</v>
      </c>
      <c r="I104">
        <v>5967.05</v>
      </c>
      <c r="J104" s="22" t="s">
        <v>2522</v>
      </c>
      <c r="K104" s="22" t="s">
        <v>2523</v>
      </c>
      <c r="L104" s="22" t="s">
        <v>1788</v>
      </c>
      <c r="M104" s="22" t="s">
        <v>1347</v>
      </c>
      <c r="N104" s="22" t="s">
        <v>68</v>
      </c>
      <c r="O104" s="22" t="s">
        <v>68</v>
      </c>
      <c r="P104" s="23">
        <v>46234.061213113426</v>
      </c>
    </row>
    <row r="105" spans="1:16" x14ac:dyDescent="0.25">
      <c r="A105" s="22" t="s">
        <v>2149</v>
      </c>
      <c r="B105" s="22" t="s">
        <v>1603</v>
      </c>
      <c r="C105" s="22" t="s">
        <v>609</v>
      </c>
      <c r="D105" s="22" t="s">
        <v>1604</v>
      </c>
      <c r="E105">
        <v>2477.81</v>
      </c>
      <c r="F105">
        <v>1023.8</v>
      </c>
      <c r="G105">
        <v>5376.7</v>
      </c>
      <c r="H105">
        <v>915.65</v>
      </c>
      <c r="I105">
        <v>1023.8</v>
      </c>
      <c r="J105" s="22" t="s">
        <v>2541</v>
      </c>
      <c r="K105" s="22" t="s">
        <v>2523</v>
      </c>
      <c r="L105" s="22" t="s">
        <v>1605</v>
      </c>
      <c r="M105" s="22" t="s">
        <v>1343</v>
      </c>
      <c r="N105" s="22" t="s">
        <v>68</v>
      </c>
      <c r="O105" s="22" t="s">
        <v>68</v>
      </c>
      <c r="P105" s="23">
        <v>46234.061284085648</v>
      </c>
    </row>
    <row r="106" spans="1:16" x14ac:dyDescent="0.25">
      <c r="A106" s="22" t="s">
        <v>2150</v>
      </c>
      <c r="B106" s="22" t="s">
        <v>2083</v>
      </c>
      <c r="C106" s="22" t="s">
        <v>609</v>
      </c>
      <c r="D106" s="22" t="s">
        <v>2084</v>
      </c>
      <c r="E106">
        <v>12340.51</v>
      </c>
      <c r="F106">
        <v>6226.52</v>
      </c>
      <c r="G106">
        <v>10533.47</v>
      </c>
      <c r="H106">
        <v>4485.29</v>
      </c>
      <c r="I106">
        <v>6226.52</v>
      </c>
      <c r="J106" s="22" t="s">
        <v>2522</v>
      </c>
      <c r="K106" s="22" t="s">
        <v>2523</v>
      </c>
      <c r="L106" s="22" t="s">
        <v>2085</v>
      </c>
      <c r="M106" s="22" t="s">
        <v>1343</v>
      </c>
      <c r="N106" s="22" t="s">
        <v>68</v>
      </c>
      <c r="O106" s="22" t="s">
        <v>68</v>
      </c>
      <c r="P106" s="23">
        <v>46234.061412268522</v>
      </c>
    </row>
    <row r="107" spans="1:16" x14ac:dyDescent="0.25">
      <c r="A107" s="22" t="s">
        <v>2151</v>
      </c>
      <c r="B107" s="22" t="s">
        <v>1432</v>
      </c>
      <c r="C107" s="22" t="s">
        <v>606</v>
      </c>
      <c r="D107" s="22" t="s">
        <v>1433</v>
      </c>
      <c r="E107">
        <v>2000</v>
      </c>
      <c r="F107">
        <v>1055.05</v>
      </c>
      <c r="G107">
        <v>3944.95</v>
      </c>
      <c r="H107">
        <v>0</v>
      </c>
      <c r="I107">
        <v>0</v>
      </c>
      <c r="J107" s="22" t="s">
        <v>1307</v>
      </c>
      <c r="K107" s="22" t="s">
        <v>2527</v>
      </c>
      <c r="L107" s="22" t="s">
        <v>1434</v>
      </c>
      <c r="M107" s="22" t="s">
        <v>1435</v>
      </c>
      <c r="N107" s="22" t="s">
        <v>68</v>
      </c>
      <c r="O107" s="22" t="s">
        <v>68</v>
      </c>
      <c r="P107" s="23">
        <v>46235.050194502313</v>
      </c>
    </row>
    <row r="108" spans="1:16" x14ac:dyDescent="0.25">
      <c r="A108" s="22" t="s">
        <v>2152</v>
      </c>
      <c r="B108" s="22" t="s">
        <v>1932</v>
      </c>
      <c r="C108" s="22" t="s">
        <v>606</v>
      </c>
      <c r="D108" s="22" t="s">
        <v>1933</v>
      </c>
      <c r="E108">
        <v>2000</v>
      </c>
      <c r="F108">
        <v>1055.05</v>
      </c>
      <c r="G108">
        <v>3944.95</v>
      </c>
      <c r="H108">
        <v>0</v>
      </c>
      <c r="I108">
        <v>0</v>
      </c>
      <c r="J108" s="22" t="s">
        <v>1307</v>
      </c>
      <c r="K108" s="22" t="s">
        <v>2527</v>
      </c>
      <c r="L108" s="22" t="s">
        <v>1934</v>
      </c>
      <c r="M108" s="22" t="s">
        <v>1935</v>
      </c>
      <c r="N108" s="22" t="s">
        <v>68</v>
      </c>
      <c r="O108" s="22" t="s">
        <v>68</v>
      </c>
      <c r="P108" s="23">
        <v>46235.05055547454</v>
      </c>
    </row>
    <row r="109" spans="1:16" x14ac:dyDescent="0.25">
      <c r="A109" s="22" t="s">
        <v>2153</v>
      </c>
      <c r="B109" s="22" t="s">
        <v>1322</v>
      </c>
      <c r="C109" s="22" t="s">
        <v>606</v>
      </c>
      <c r="D109" s="22" t="s">
        <v>1323</v>
      </c>
      <c r="E109">
        <v>2000</v>
      </c>
      <c r="F109">
        <v>1055.05</v>
      </c>
      <c r="G109">
        <v>3944.95</v>
      </c>
      <c r="H109">
        <v>0</v>
      </c>
      <c r="I109">
        <v>0</v>
      </c>
      <c r="J109" s="22" t="s">
        <v>1307</v>
      </c>
      <c r="K109" s="22" t="s">
        <v>2527</v>
      </c>
      <c r="L109" s="22" t="s">
        <v>1324</v>
      </c>
      <c r="M109" s="22" t="s">
        <v>1325</v>
      </c>
      <c r="N109" s="22" t="s">
        <v>68</v>
      </c>
      <c r="O109" s="22" t="s">
        <v>68</v>
      </c>
      <c r="P109" s="23">
        <v>46235.099009027777</v>
      </c>
    </row>
    <row r="110" spans="1:16" x14ac:dyDescent="0.25">
      <c r="A110" s="22" t="s">
        <v>2154</v>
      </c>
      <c r="B110" s="22" t="s">
        <v>1393</v>
      </c>
      <c r="C110" s="22" t="s">
        <v>612</v>
      </c>
      <c r="D110" s="22" t="s">
        <v>1394</v>
      </c>
      <c r="E110">
        <v>639.69000000000005</v>
      </c>
      <c r="F110">
        <v>619.13</v>
      </c>
      <c r="G110">
        <v>7050.18</v>
      </c>
      <c r="H110">
        <v>562.03</v>
      </c>
      <c r="I110">
        <v>619.13</v>
      </c>
      <c r="J110" s="22" t="s">
        <v>2539</v>
      </c>
      <c r="K110" s="22" t="s">
        <v>2523</v>
      </c>
      <c r="L110" s="22" t="s">
        <v>1395</v>
      </c>
      <c r="M110" s="22" t="s">
        <v>1343</v>
      </c>
      <c r="N110" s="22" t="s">
        <v>68</v>
      </c>
      <c r="O110" s="22" t="s">
        <v>68</v>
      </c>
      <c r="P110" s="23">
        <v>46235.110217638889</v>
      </c>
    </row>
    <row r="111" spans="1:16" x14ac:dyDescent="0.25">
      <c r="A111" s="22" t="s">
        <v>2155</v>
      </c>
      <c r="B111" s="22" t="s">
        <v>2139</v>
      </c>
      <c r="C111" s="22" t="s">
        <v>612</v>
      </c>
      <c r="D111" s="22" t="s">
        <v>2140</v>
      </c>
      <c r="E111">
        <v>9347.1200000000008</v>
      </c>
      <c r="F111">
        <v>546.41999999999996</v>
      </c>
      <c r="G111">
        <v>6844.47</v>
      </c>
      <c r="H111">
        <v>496.07</v>
      </c>
      <c r="I111">
        <v>546.41999999999996</v>
      </c>
      <c r="J111" s="22" t="s">
        <v>2539</v>
      </c>
      <c r="K111" s="22" t="s">
        <v>2523</v>
      </c>
      <c r="L111" s="22" t="s">
        <v>2141</v>
      </c>
      <c r="M111" s="22" t="s">
        <v>1343</v>
      </c>
      <c r="N111" s="22" t="s">
        <v>68</v>
      </c>
      <c r="O111" s="22" t="s">
        <v>68</v>
      </c>
      <c r="P111" s="23">
        <v>46235.110344675923</v>
      </c>
    </row>
    <row r="112" spans="1:16" x14ac:dyDescent="0.25">
      <c r="A112" s="22" t="s">
        <v>2156</v>
      </c>
      <c r="B112" s="22" t="s">
        <v>1642</v>
      </c>
      <c r="C112" s="22" t="s">
        <v>608</v>
      </c>
      <c r="D112" s="22" t="s">
        <v>1643</v>
      </c>
      <c r="E112">
        <v>1001.85</v>
      </c>
      <c r="F112">
        <v>5508.67</v>
      </c>
      <c r="G112">
        <v>3489.74</v>
      </c>
      <c r="H112">
        <v>4272.1499999999996</v>
      </c>
      <c r="I112">
        <v>5508.67</v>
      </c>
      <c r="J112" s="22" t="s">
        <v>2544</v>
      </c>
      <c r="K112" s="22" t="s">
        <v>2523</v>
      </c>
      <c r="L112" s="22" t="s">
        <v>1644</v>
      </c>
      <c r="M112" s="22" t="s">
        <v>1343</v>
      </c>
      <c r="N112" s="22" t="s">
        <v>68</v>
      </c>
      <c r="O112" s="22" t="s">
        <v>68</v>
      </c>
      <c r="P112" s="23">
        <v>46235.110576238425</v>
      </c>
    </row>
    <row r="113" spans="1:16" x14ac:dyDescent="0.25">
      <c r="A113" s="22" t="s">
        <v>2157</v>
      </c>
      <c r="B113" s="22" t="s">
        <v>1660</v>
      </c>
      <c r="C113" s="22" t="s">
        <v>612</v>
      </c>
      <c r="D113" s="22" t="s">
        <v>1658</v>
      </c>
      <c r="E113">
        <v>5305.35</v>
      </c>
      <c r="F113">
        <v>5948.42</v>
      </c>
      <c r="G113">
        <v>-1545.46</v>
      </c>
      <c r="H113">
        <v>4543</v>
      </c>
      <c r="I113">
        <v>5948.42</v>
      </c>
      <c r="J113" s="22" t="s">
        <v>2544</v>
      </c>
      <c r="K113" s="22" t="s">
        <v>2523</v>
      </c>
      <c r="L113" s="22" t="s">
        <v>1661</v>
      </c>
      <c r="M113" s="22" t="s">
        <v>1343</v>
      </c>
      <c r="N113" s="22" t="s">
        <v>68</v>
      </c>
      <c r="O113" s="22" t="s">
        <v>68</v>
      </c>
      <c r="P113" s="23">
        <v>46235.110649768518</v>
      </c>
    </row>
    <row r="114" spans="1:16" x14ac:dyDescent="0.25">
      <c r="A114" s="22" t="s">
        <v>2158</v>
      </c>
      <c r="B114" s="22" t="s">
        <v>1662</v>
      </c>
      <c r="C114" s="22" t="s">
        <v>609</v>
      </c>
      <c r="D114" s="22" t="s">
        <v>1663</v>
      </c>
      <c r="E114">
        <v>11798.26</v>
      </c>
      <c r="F114">
        <v>477</v>
      </c>
      <c r="G114">
        <v>18068.37</v>
      </c>
      <c r="H114">
        <v>426.73</v>
      </c>
      <c r="I114">
        <v>477</v>
      </c>
      <c r="J114" s="22" t="s">
        <v>2541</v>
      </c>
      <c r="K114" s="22" t="s">
        <v>2523</v>
      </c>
      <c r="L114" s="22" t="s">
        <v>1664</v>
      </c>
      <c r="M114" s="22" t="s">
        <v>1343</v>
      </c>
      <c r="N114" s="22" t="s">
        <v>68</v>
      </c>
      <c r="O114" s="22" t="s">
        <v>68</v>
      </c>
      <c r="P114" s="23">
        <v>46235.110796782406</v>
      </c>
    </row>
    <row r="115" spans="1:16" x14ac:dyDescent="0.25">
      <c r="A115" s="22" t="s">
        <v>2159</v>
      </c>
      <c r="B115" s="22" t="s">
        <v>1925</v>
      </c>
      <c r="C115" s="22" t="s">
        <v>608</v>
      </c>
      <c r="D115" s="22" t="s">
        <v>1923</v>
      </c>
      <c r="E115">
        <v>684.62</v>
      </c>
      <c r="F115">
        <v>5830.79</v>
      </c>
      <c r="G115">
        <v>10083.4</v>
      </c>
      <c r="H115">
        <v>4490.41</v>
      </c>
      <c r="I115">
        <v>5830.79</v>
      </c>
      <c r="J115" s="22" t="s">
        <v>2545</v>
      </c>
      <c r="K115" s="22" t="s">
        <v>2523</v>
      </c>
      <c r="L115" s="22" t="s">
        <v>1926</v>
      </c>
      <c r="M115" s="22" t="s">
        <v>1343</v>
      </c>
      <c r="N115" s="22" t="s">
        <v>68</v>
      </c>
      <c r="O115" s="22" t="s">
        <v>68</v>
      </c>
      <c r="P115" s="23">
        <v>46237.856307164351</v>
      </c>
    </row>
    <row r="116" spans="1:16" x14ac:dyDescent="0.25">
      <c r="A116" s="22" t="s">
        <v>2160</v>
      </c>
      <c r="B116" s="22" t="s">
        <v>2081</v>
      </c>
      <c r="C116" s="22" t="s">
        <v>609</v>
      </c>
      <c r="D116" s="22" t="s">
        <v>2079</v>
      </c>
      <c r="E116">
        <v>14741.68</v>
      </c>
      <c r="F116">
        <v>2711.04</v>
      </c>
      <c r="G116">
        <v>15544.68</v>
      </c>
      <c r="H116">
        <v>0</v>
      </c>
      <c r="I116">
        <v>2711.04</v>
      </c>
      <c r="J116" s="22" t="s">
        <v>1307</v>
      </c>
      <c r="K116" s="22" t="s">
        <v>2527</v>
      </c>
      <c r="L116" s="22" t="s">
        <v>2082</v>
      </c>
      <c r="M116" s="22" t="s">
        <v>1343</v>
      </c>
      <c r="N116" s="22" t="s">
        <v>68</v>
      </c>
      <c r="O116" s="22" t="s">
        <v>68</v>
      </c>
      <c r="P116" s="23">
        <v>46237.856593946759</v>
      </c>
    </row>
    <row r="117" spans="1:16" x14ac:dyDescent="0.25">
      <c r="A117" s="22" t="s">
        <v>2161</v>
      </c>
      <c r="B117" s="22" t="s">
        <v>1839</v>
      </c>
      <c r="C117" s="22" t="s">
        <v>612</v>
      </c>
      <c r="D117" s="22" t="s">
        <v>1840</v>
      </c>
      <c r="E117">
        <v>9296.61</v>
      </c>
      <c r="F117">
        <v>0</v>
      </c>
      <c r="G117">
        <v>16604.02</v>
      </c>
      <c r="H117">
        <v>0</v>
      </c>
      <c r="I117">
        <v>756.7</v>
      </c>
      <c r="J117" s="22" t="s">
        <v>1307</v>
      </c>
      <c r="K117" s="22" t="s">
        <v>2527</v>
      </c>
      <c r="L117" s="22" t="s">
        <v>1841</v>
      </c>
      <c r="M117" s="22" t="s">
        <v>1343</v>
      </c>
      <c r="N117" s="22" t="s">
        <v>68</v>
      </c>
      <c r="O117" s="22" t="s">
        <v>68</v>
      </c>
      <c r="P117" s="23">
        <v>46237.856802858798</v>
      </c>
    </row>
    <row r="118" spans="1:16" x14ac:dyDescent="0.25">
      <c r="A118" s="22" t="s">
        <v>2162</v>
      </c>
      <c r="B118" s="22" t="s">
        <v>1691</v>
      </c>
      <c r="C118" s="22" t="s">
        <v>1418</v>
      </c>
      <c r="D118" s="22" t="s">
        <v>1692</v>
      </c>
      <c r="E118">
        <v>8217.57</v>
      </c>
      <c r="F118">
        <v>5571.19</v>
      </c>
      <c r="G118">
        <v>9435.77</v>
      </c>
      <c r="H118">
        <v>4230.8100000000004</v>
      </c>
      <c r="I118">
        <v>5571.19</v>
      </c>
      <c r="J118" s="22" t="s">
        <v>2545</v>
      </c>
      <c r="K118" s="22" t="s">
        <v>2523</v>
      </c>
      <c r="L118" s="22" t="s">
        <v>1693</v>
      </c>
      <c r="M118" s="22" t="s">
        <v>1343</v>
      </c>
      <c r="N118" s="22" t="s">
        <v>68</v>
      </c>
      <c r="O118" s="22" t="s">
        <v>68</v>
      </c>
      <c r="P118" s="23">
        <v>46237.857035266206</v>
      </c>
    </row>
    <row r="119" spans="1:16" x14ac:dyDescent="0.25">
      <c r="A119" s="22" t="s">
        <v>2163</v>
      </c>
      <c r="B119" s="22" t="s">
        <v>1340</v>
      </c>
      <c r="C119" s="22" t="s">
        <v>1418</v>
      </c>
      <c r="D119" s="22" t="s">
        <v>1341</v>
      </c>
      <c r="E119">
        <v>8430.9699999999993</v>
      </c>
      <c r="F119">
        <v>5799.56</v>
      </c>
      <c r="G119">
        <v>9799.17</v>
      </c>
      <c r="H119">
        <v>4459.82</v>
      </c>
      <c r="I119">
        <v>5799.56</v>
      </c>
      <c r="J119" s="22" t="s">
        <v>2546</v>
      </c>
      <c r="K119" s="22" t="s">
        <v>2523</v>
      </c>
      <c r="L119" s="22" t="s">
        <v>1342</v>
      </c>
      <c r="M119" s="22" t="s">
        <v>1343</v>
      </c>
      <c r="N119" s="22" t="s">
        <v>68</v>
      </c>
      <c r="O119" s="22" t="s">
        <v>68</v>
      </c>
      <c r="P119" s="23">
        <v>46238.635651157405</v>
      </c>
    </row>
    <row r="120" spans="1:16" x14ac:dyDescent="0.25">
      <c r="A120" s="22" t="s">
        <v>2164</v>
      </c>
      <c r="B120" s="22" t="s">
        <v>2120</v>
      </c>
      <c r="C120" s="22" t="s">
        <v>606</v>
      </c>
      <c r="D120" s="22" t="s">
        <v>2121</v>
      </c>
      <c r="E120">
        <v>10406.83</v>
      </c>
      <c r="F120">
        <v>0</v>
      </c>
      <c r="G120">
        <v>7608.38</v>
      </c>
      <c r="H120">
        <v>0</v>
      </c>
      <c r="I120">
        <v>0</v>
      </c>
      <c r="J120" s="22" t="s">
        <v>1307</v>
      </c>
      <c r="K120" s="22" t="s">
        <v>2527</v>
      </c>
      <c r="L120" s="22" t="s">
        <v>2122</v>
      </c>
      <c r="M120" s="22" t="s">
        <v>1343</v>
      </c>
      <c r="N120" s="22" t="s">
        <v>68</v>
      </c>
      <c r="O120" s="22" t="s">
        <v>68</v>
      </c>
      <c r="P120" s="23">
        <v>46238.635910590281</v>
      </c>
    </row>
    <row r="121" spans="1:16" x14ac:dyDescent="0.25">
      <c r="A121" s="22" t="s">
        <v>2165</v>
      </c>
      <c r="B121" s="22" t="s">
        <v>2128</v>
      </c>
      <c r="C121" s="22" t="s">
        <v>606</v>
      </c>
      <c r="D121" s="22" t="s">
        <v>2129</v>
      </c>
      <c r="E121">
        <v>14183.32</v>
      </c>
      <c r="F121">
        <v>5920.02</v>
      </c>
      <c r="G121">
        <v>13376.81</v>
      </c>
      <c r="H121">
        <v>4580.28</v>
      </c>
      <c r="I121">
        <v>5920.02</v>
      </c>
      <c r="J121" s="22" t="s">
        <v>2546</v>
      </c>
      <c r="K121" s="22" t="s">
        <v>2523</v>
      </c>
      <c r="L121" s="22" t="s">
        <v>2130</v>
      </c>
      <c r="M121" s="22" t="s">
        <v>1343</v>
      </c>
      <c r="N121" s="22" t="s">
        <v>68</v>
      </c>
      <c r="O121" s="22" t="s">
        <v>68</v>
      </c>
      <c r="P121" s="23">
        <v>46238.819167268521</v>
      </c>
    </row>
    <row r="122" spans="1:16" x14ac:dyDescent="0.25">
      <c r="A122" s="22" t="s">
        <v>2166</v>
      </c>
      <c r="B122" s="22" t="s">
        <v>1416</v>
      </c>
      <c r="C122" s="22" t="s">
        <v>1418</v>
      </c>
      <c r="D122" s="22" t="s">
        <v>1417</v>
      </c>
      <c r="E122">
        <v>11765.4</v>
      </c>
      <c r="F122">
        <v>814.9</v>
      </c>
      <c r="G122">
        <v>7275.68</v>
      </c>
      <c r="H122">
        <v>766.9</v>
      </c>
      <c r="I122">
        <v>814.9</v>
      </c>
      <c r="J122" s="22" t="s">
        <v>2542</v>
      </c>
      <c r="K122" s="22" t="s">
        <v>2523</v>
      </c>
      <c r="L122" s="22" t="s">
        <v>1419</v>
      </c>
      <c r="M122" s="22" t="s">
        <v>1347</v>
      </c>
      <c r="N122" s="22" t="s">
        <v>68</v>
      </c>
      <c r="O122" s="22" t="s">
        <v>68</v>
      </c>
      <c r="P122" s="23">
        <v>46239.950234618052</v>
      </c>
    </row>
    <row r="123" spans="1:16" x14ac:dyDescent="0.25">
      <c r="A123" s="22" t="s">
        <v>2167</v>
      </c>
      <c r="B123" s="22" t="s">
        <v>1730</v>
      </c>
      <c r="C123" s="22" t="s">
        <v>608</v>
      </c>
      <c r="D123" s="22" t="s">
        <v>1731</v>
      </c>
      <c r="E123">
        <v>96.64</v>
      </c>
      <c r="F123">
        <v>1317.96</v>
      </c>
      <c r="G123">
        <v>1772.72</v>
      </c>
      <c r="H123">
        <v>3870.86</v>
      </c>
      <c r="I123">
        <v>5900.02</v>
      </c>
      <c r="J123" s="22" t="s">
        <v>1307</v>
      </c>
      <c r="K123" s="22" t="s">
        <v>2527</v>
      </c>
      <c r="L123" s="22" t="s">
        <v>1732</v>
      </c>
      <c r="M123" s="22" t="s">
        <v>1343</v>
      </c>
      <c r="N123" s="22" t="s">
        <v>68</v>
      </c>
      <c r="O123" s="22" t="s">
        <v>68</v>
      </c>
      <c r="P123" s="23">
        <v>46239.951312395831</v>
      </c>
    </row>
    <row r="124" spans="1:16" x14ac:dyDescent="0.25">
      <c r="A124" s="22" t="s">
        <v>2168</v>
      </c>
      <c r="B124" s="22" t="s">
        <v>2131</v>
      </c>
      <c r="C124" s="22" t="s">
        <v>606</v>
      </c>
      <c r="D124" s="22" t="s">
        <v>2132</v>
      </c>
      <c r="E124">
        <v>12216.95</v>
      </c>
      <c r="F124">
        <v>1001.75</v>
      </c>
      <c r="G124">
        <v>7920.04</v>
      </c>
      <c r="H124">
        <v>967.97</v>
      </c>
      <c r="I124">
        <v>1001.75</v>
      </c>
      <c r="J124" s="22" t="s">
        <v>2547</v>
      </c>
      <c r="K124" s="22" t="s">
        <v>2523</v>
      </c>
      <c r="L124" s="22" t="s">
        <v>2133</v>
      </c>
      <c r="M124" s="22" t="s">
        <v>1347</v>
      </c>
      <c r="N124" s="22" t="s">
        <v>68</v>
      </c>
      <c r="O124" s="22" t="s">
        <v>68</v>
      </c>
      <c r="P124" s="23">
        <v>46242.955038877313</v>
      </c>
    </row>
    <row r="125" spans="1:16" x14ac:dyDescent="0.25">
      <c r="A125" s="22" t="s">
        <v>2169</v>
      </c>
      <c r="B125" s="22" t="s">
        <v>2071</v>
      </c>
      <c r="C125" s="22" t="s">
        <v>608</v>
      </c>
      <c r="D125" s="22" t="s">
        <v>2072</v>
      </c>
      <c r="E125">
        <v>977.93</v>
      </c>
      <c r="F125">
        <v>390.31</v>
      </c>
      <c r="G125">
        <v>3858.35</v>
      </c>
      <c r="H125">
        <v>390.31</v>
      </c>
      <c r="I125">
        <v>390.31</v>
      </c>
      <c r="J125" s="22" t="s">
        <v>1307</v>
      </c>
      <c r="K125" s="22" t="s">
        <v>2527</v>
      </c>
      <c r="L125" s="22" t="s">
        <v>2073</v>
      </c>
      <c r="M125" s="22" t="s">
        <v>1343</v>
      </c>
      <c r="N125" s="22" t="s">
        <v>68</v>
      </c>
      <c r="O125" s="22" t="s">
        <v>68</v>
      </c>
      <c r="P125" s="23">
        <v>46242.955227025464</v>
      </c>
    </row>
    <row r="126" spans="1:16" x14ac:dyDescent="0.25">
      <c r="A126" s="22" t="s">
        <v>2170</v>
      </c>
      <c r="B126" s="22" t="s">
        <v>1764</v>
      </c>
      <c r="C126" s="22" t="s">
        <v>606</v>
      </c>
      <c r="D126" s="22" t="s">
        <v>1765</v>
      </c>
      <c r="E126">
        <v>1680.44</v>
      </c>
      <c r="F126">
        <v>5140.63</v>
      </c>
      <c r="G126">
        <v>12574.55</v>
      </c>
      <c r="H126">
        <v>4189.8</v>
      </c>
      <c r="I126">
        <v>5140.63</v>
      </c>
      <c r="J126" s="22" t="s">
        <v>2548</v>
      </c>
      <c r="K126" s="22" t="s">
        <v>2523</v>
      </c>
      <c r="L126" s="22" t="s">
        <v>1767</v>
      </c>
      <c r="M126" s="22" t="s">
        <v>1343</v>
      </c>
      <c r="N126" s="22" t="s">
        <v>68</v>
      </c>
      <c r="O126" s="22" t="s">
        <v>68</v>
      </c>
      <c r="P126" s="23">
        <v>46246.861578564814</v>
      </c>
    </row>
    <row r="127" spans="1:16" x14ac:dyDescent="0.25">
      <c r="A127" s="22" t="s">
        <v>2171</v>
      </c>
      <c r="B127" s="22" t="s">
        <v>2064</v>
      </c>
      <c r="C127" s="22" t="s">
        <v>609</v>
      </c>
      <c r="D127" s="22" t="s">
        <v>2065</v>
      </c>
      <c r="E127">
        <v>8713.15</v>
      </c>
      <c r="F127">
        <v>0</v>
      </c>
      <c r="G127">
        <v>15623.91</v>
      </c>
      <c r="H127">
        <v>0</v>
      </c>
      <c r="I127">
        <v>921.99</v>
      </c>
      <c r="J127" s="22" t="s">
        <v>1307</v>
      </c>
      <c r="K127" s="22" t="s">
        <v>2527</v>
      </c>
      <c r="L127" s="22" t="s">
        <v>2066</v>
      </c>
      <c r="M127" s="22" t="s">
        <v>1343</v>
      </c>
      <c r="N127" s="22" t="s">
        <v>68</v>
      </c>
      <c r="O127" s="22" t="s">
        <v>68</v>
      </c>
      <c r="P127" s="23">
        <v>46248.862783680554</v>
      </c>
    </row>
    <row r="128" spans="1:16" x14ac:dyDescent="0.25">
      <c r="A128" s="22" t="s">
        <v>2172</v>
      </c>
      <c r="B128" s="22" t="s">
        <v>1348</v>
      </c>
      <c r="C128" s="22" t="s">
        <v>609</v>
      </c>
      <c r="D128" s="22" t="s">
        <v>1345</v>
      </c>
      <c r="E128">
        <v>9293.26</v>
      </c>
      <c r="F128">
        <v>5243.8</v>
      </c>
      <c r="G128">
        <v>9383.89</v>
      </c>
      <c r="H128">
        <v>3870.86</v>
      </c>
      <c r="I128">
        <v>5243.8</v>
      </c>
      <c r="J128" s="22" t="s">
        <v>1766</v>
      </c>
      <c r="K128" s="22" t="s">
        <v>2523</v>
      </c>
      <c r="L128" s="22" t="s">
        <v>1350</v>
      </c>
      <c r="M128" s="22" t="s">
        <v>1343</v>
      </c>
      <c r="N128" s="22" t="s">
        <v>68</v>
      </c>
      <c r="O128" s="22" t="s">
        <v>68</v>
      </c>
      <c r="P128" s="23">
        <v>46248.863533020834</v>
      </c>
    </row>
    <row r="129" spans="1:16" x14ac:dyDescent="0.25">
      <c r="A129" s="22" t="s">
        <v>2173</v>
      </c>
      <c r="B129" s="22" t="s">
        <v>1808</v>
      </c>
      <c r="C129" s="22" t="s">
        <v>612</v>
      </c>
      <c r="D129" s="22" t="s">
        <v>1809</v>
      </c>
      <c r="E129">
        <v>2118.5500000000002</v>
      </c>
      <c r="F129">
        <v>0</v>
      </c>
      <c r="G129">
        <v>2164.63</v>
      </c>
      <c r="H129">
        <v>0</v>
      </c>
      <c r="I129">
        <v>712.92</v>
      </c>
      <c r="J129" s="22" t="s">
        <v>1307</v>
      </c>
      <c r="K129" s="22" t="s">
        <v>2527</v>
      </c>
      <c r="L129" s="22" t="s">
        <v>1810</v>
      </c>
      <c r="M129" s="22" t="s">
        <v>1343</v>
      </c>
      <c r="N129" s="22" t="s">
        <v>68</v>
      </c>
      <c r="O129" s="22" t="s">
        <v>68</v>
      </c>
      <c r="P129" s="23">
        <v>46248.906450787035</v>
      </c>
    </row>
    <row r="130" spans="1:16" x14ac:dyDescent="0.25">
      <c r="A130" s="22" t="s">
        <v>2174</v>
      </c>
      <c r="B130" s="22" t="s">
        <v>1645</v>
      </c>
      <c r="C130" s="22" t="s">
        <v>609</v>
      </c>
      <c r="D130" s="22" t="s">
        <v>1646</v>
      </c>
      <c r="E130">
        <v>8141.07</v>
      </c>
      <c r="F130">
        <v>1407.29</v>
      </c>
      <c r="G130">
        <v>6722.16</v>
      </c>
      <c r="H130">
        <v>0</v>
      </c>
      <c r="I130">
        <v>1407.29</v>
      </c>
      <c r="J130" s="22" t="s">
        <v>1307</v>
      </c>
      <c r="K130" s="22" t="s">
        <v>2527</v>
      </c>
      <c r="L130" s="22" t="s">
        <v>1647</v>
      </c>
      <c r="M130" s="22" t="s">
        <v>1343</v>
      </c>
      <c r="N130" s="22" t="s">
        <v>68</v>
      </c>
      <c r="O130" s="22" t="s">
        <v>68</v>
      </c>
      <c r="P130" s="23">
        <v>46248.906556458336</v>
      </c>
    </row>
    <row r="131" spans="1:16" x14ac:dyDescent="0.25">
      <c r="A131" s="22" t="s">
        <v>2175</v>
      </c>
      <c r="B131" s="22" t="s">
        <v>2052</v>
      </c>
      <c r="C131" s="22" t="s">
        <v>1418</v>
      </c>
      <c r="D131" s="22" t="s">
        <v>2053</v>
      </c>
      <c r="E131">
        <v>12510.46</v>
      </c>
      <c r="F131">
        <v>5222.8599999999997</v>
      </c>
      <c r="G131">
        <v>1169.8399999999999</v>
      </c>
      <c r="H131">
        <v>4314.97</v>
      </c>
      <c r="I131">
        <v>5222.8599999999997</v>
      </c>
      <c r="J131" s="22" t="s">
        <v>1766</v>
      </c>
      <c r="K131" s="22" t="s">
        <v>2523</v>
      </c>
      <c r="L131" s="22" t="s">
        <v>2054</v>
      </c>
      <c r="M131" s="22" t="s">
        <v>1347</v>
      </c>
      <c r="N131" s="22" t="s">
        <v>68</v>
      </c>
      <c r="O131" s="22" t="s">
        <v>68</v>
      </c>
      <c r="P131" s="23">
        <v>46248.906787442131</v>
      </c>
    </row>
    <row r="132" spans="1:16" x14ac:dyDescent="0.25">
      <c r="A132" s="22" t="s">
        <v>2176</v>
      </c>
      <c r="B132" s="22" t="s">
        <v>1988</v>
      </c>
      <c r="C132" s="22" t="s">
        <v>1418</v>
      </c>
      <c r="D132" s="22" t="s">
        <v>1989</v>
      </c>
      <c r="E132">
        <v>2556.0500000000002</v>
      </c>
      <c r="F132">
        <v>482.72</v>
      </c>
      <c r="G132">
        <v>7170.53</v>
      </c>
      <c r="H132">
        <v>454.26</v>
      </c>
      <c r="I132">
        <v>482.72</v>
      </c>
      <c r="J132" s="22" t="s">
        <v>2542</v>
      </c>
      <c r="K132" s="22" t="s">
        <v>2523</v>
      </c>
      <c r="L132" s="22" t="s">
        <v>1990</v>
      </c>
      <c r="M132" s="22" t="s">
        <v>1343</v>
      </c>
      <c r="N132" s="22" t="s">
        <v>68</v>
      </c>
      <c r="O132" s="22" t="s">
        <v>68</v>
      </c>
      <c r="P132" s="23">
        <v>46250.881448541666</v>
      </c>
    </row>
    <row r="133" spans="1:16" x14ac:dyDescent="0.25">
      <c r="A133" s="22" t="s">
        <v>2177</v>
      </c>
      <c r="B133" s="22" t="s">
        <v>2055</v>
      </c>
      <c r="C133" s="22" t="s">
        <v>612</v>
      </c>
      <c r="D133" s="22" t="s">
        <v>2056</v>
      </c>
      <c r="E133">
        <v>13270.67</v>
      </c>
      <c r="F133">
        <v>0</v>
      </c>
      <c r="G133">
        <v>19097.46</v>
      </c>
      <c r="H133">
        <v>0</v>
      </c>
      <c r="I133">
        <v>929.13</v>
      </c>
      <c r="J133" s="22" t="s">
        <v>1307</v>
      </c>
      <c r="K133" s="22" t="s">
        <v>2527</v>
      </c>
      <c r="L133" s="22" t="s">
        <v>2057</v>
      </c>
      <c r="M133" s="22" t="s">
        <v>1343</v>
      </c>
      <c r="N133" s="22" t="s">
        <v>68</v>
      </c>
      <c r="O133" s="22" t="s">
        <v>68</v>
      </c>
      <c r="P133" s="23">
        <v>46250.881584907409</v>
      </c>
    </row>
    <row r="134" spans="1:16" x14ac:dyDescent="0.25">
      <c r="A134" s="22" t="s">
        <v>2178</v>
      </c>
      <c r="B134" s="22" t="s">
        <v>1919</v>
      </c>
      <c r="C134" s="22" t="s">
        <v>608</v>
      </c>
      <c r="D134" s="22" t="s">
        <v>1920</v>
      </c>
      <c r="E134">
        <v>7549.73</v>
      </c>
      <c r="F134">
        <v>571.12</v>
      </c>
      <c r="G134">
        <v>18949.11</v>
      </c>
      <c r="H134">
        <v>571.12</v>
      </c>
      <c r="I134">
        <v>571.12</v>
      </c>
      <c r="J134" s="22" t="s">
        <v>1307</v>
      </c>
      <c r="K134" s="22" t="s">
        <v>2527</v>
      </c>
      <c r="L134" s="22" t="s">
        <v>1921</v>
      </c>
      <c r="M134" s="22" t="s">
        <v>1343</v>
      </c>
      <c r="N134" s="22" t="s">
        <v>68</v>
      </c>
      <c r="O134" s="22" t="s">
        <v>68</v>
      </c>
      <c r="P134" s="23">
        <v>46250.881724999999</v>
      </c>
    </row>
    <row r="135" spans="1:16" x14ac:dyDescent="0.25">
      <c r="A135" s="22" t="s">
        <v>2179</v>
      </c>
      <c r="B135" s="22" t="s">
        <v>1781</v>
      </c>
      <c r="C135" s="22" t="s">
        <v>606</v>
      </c>
      <c r="D135" s="22" t="s">
        <v>1782</v>
      </c>
      <c r="E135">
        <v>15039.88</v>
      </c>
      <c r="F135">
        <v>787.46</v>
      </c>
      <c r="G135">
        <v>15914.83</v>
      </c>
      <c r="H135">
        <v>760.93</v>
      </c>
      <c r="I135">
        <v>787.46</v>
      </c>
      <c r="J135" s="22" t="s">
        <v>2547</v>
      </c>
      <c r="K135" s="22" t="s">
        <v>2523</v>
      </c>
      <c r="L135" s="22" t="s">
        <v>1783</v>
      </c>
      <c r="M135" s="22" t="s">
        <v>1343</v>
      </c>
      <c r="N135" s="22" t="s">
        <v>68</v>
      </c>
      <c r="O135" s="22" t="s">
        <v>68</v>
      </c>
      <c r="P135" s="23">
        <v>46250.88215096065</v>
      </c>
    </row>
    <row r="136" spans="1:16" x14ac:dyDescent="0.25">
      <c r="A136" s="22" t="s">
        <v>2180</v>
      </c>
      <c r="B136" s="22" t="s">
        <v>1742</v>
      </c>
      <c r="C136" s="22" t="s">
        <v>609</v>
      </c>
      <c r="D136" s="22" t="s">
        <v>1743</v>
      </c>
      <c r="E136">
        <v>5972.53</v>
      </c>
      <c r="F136">
        <v>5287.34</v>
      </c>
      <c r="G136">
        <v>12194.92</v>
      </c>
      <c r="H136">
        <v>3870.86</v>
      </c>
      <c r="I136">
        <v>5287.34</v>
      </c>
      <c r="J136" s="22" t="s">
        <v>1349</v>
      </c>
      <c r="K136" s="22" t="s">
        <v>2523</v>
      </c>
      <c r="L136" s="22" t="s">
        <v>1744</v>
      </c>
      <c r="M136" s="22" t="s">
        <v>1343</v>
      </c>
      <c r="N136" s="22" t="s">
        <v>68</v>
      </c>
      <c r="O136" s="22" t="s">
        <v>68</v>
      </c>
      <c r="P136" s="23">
        <v>46250.882265671295</v>
      </c>
    </row>
    <row r="137" spans="1:16" x14ac:dyDescent="0.25">
      <c r="A137" s="22" t="s">
        <v>2181</v>
      </c>
      <c r="B137" s="22" t="s">
        <v>1739</v>
      </c>
      <c r="C137" s="22" t="s">
        <v>612</v>
      </c>
      <c r="D137" s="22" t="s">
        <v>1740</v>
      </c>
      <c r="E137">
        <v>10908.02</v>
      </c>
      <c r="F137">
        <v>0</v>
      </c>
      <c r="G137">
        <v>6130.04</v>
      </c>
      <c r="H137">
        <v>0</v>
      </c>
      <c r="I137">
        <v>475.5</v>
      </c>
      <c r="J137" s="22" t="s">
        <v>1307</v>
      </c>
      <c r="K137" s="22" t="s">
        <v>2527</v>
      </c>
      <c r="L137" s="22" t="s">
        <v>1741</v>
      </c>
      <c r="M137" s="22" t="s">
        <v>1343</v>
      </c>
      <c r="N137" s="22" t="s">
        <v>68</v>
      </c>
      <c r="O137" s="22" t="s">
        <v>68</v>
      </c>
      <c r="P137" s="23">
        <v>46250.882673796295</v>
      </c>
    </row>
    <row r="138" spans="1:16" x14ac:dyDescent="0.25">
      <c r="A138" s="22" t="s">
        <v>2182</v>
      </c>
      <c r="B138" s="22" t="s">
        <v>1462</v>
      </c>
      <c r="C138" s="22" t="s">
        <v>608</v>
      </c>
      <c r="D138" s="22" t="s">
        <v>1463</v>
      </c>
      <c r="E138">
        <v>1692.16</v>
      </c>
      <c r="F138">
        <v>5220.34</v>
      </c>
      <c r="G138">
        <v>-710.57</v>
      </c>
      <c r="H138">
        <v>4355.3900000000003</v>
      </c>
      <c r="I138">
        <v>5220.34</v>
      </c>
      <c r="J138" s="22" t="s">
        <v>1349</v>
      </c>
      <c r="K138" s="22" t="s">
        <v>2523</v>
      </c>
      <c r="L138" s="22" t="s">
        <v>1464</v>
      </c>
      <c r="M138" s="22" t="s">
        <v>1347</v>
      </c>
      <c r="N138" s="22" t="s">
        <v>68</v>
      </c>
      <c r="O138" s="22" t="s">
        <v>68</v>
      </c>
      <c r="P138" s="23">
        <v>46250.882918483796</v>
      </c>
    </row>
    <row r="139" spans="1:16" x14ac:dyDescent="0.25">
      <c r="A139" s="22" t="s">
        <v>2183</v>
      </c>
      <c r="B139" s="22" t="s">
        <v>1565</v>
      </c>
      <c r="C139" s="22" t="s">
        <v>608</v>
      </c>
      <c r="D139" s="22" t="s">
        <v>1566</v>
      </c>
      <c r="E139">
        <v>13274.23</v>
      </c>
      <c r="F139">
        <v>928.22</v>
      </c>
      <c r="G139">
        <v>17175.599999999999</v>
      </c>
      <c r="H139">
        <v>928.22</v>
      </c>
      <c r="I139">
        <v>928.22</v>
      </c>
      <c r="J139" s="22" t="s">
        <v>1307</v>
      </c>
      <c r="K139" s="22" t="s">
        <v>2527</v>
      </c>
      <c r="L139" s="22" t="s">
        <v>1567</v>
      </c>
      <c r="M139" s="22" t="s">
        <v>1343</v>
      </c>
      <c r="N139" s="22" t="s">
        <v>68</v>
      </c>
      <c r="O139" s="22" t="s">
        <v>68</v>
      </c>
      <c r="P139" s="23">
        <v>46250.883081793982</v>
      </c>
    </row>
    <row r="140" spans="1:16" x14ac:dyDescent="0.25">
      <c r="A140" s="22" t="s">
        <v>2184</v>
      </c>
      <c r="B140" s="22" t="s">
        <v>1756</v>
      </c>
      <c r="C140" s="22" t="s">
        <v>1418</v>
      </c>
      <c r="D140" s="22" t="s">
        <v>1757</v>
      </c>
      <c r="E140">
        <v>12333.89</v>
      </c>
      <c r="F140">
        <v>787.45</v>
      </c>
      <c r="G140">
        <v>1362.23</v>
      </c>
      <c r="H140">
        <v>741.04</v>
      </c>
      <c r="I140">
        <v>787.45</v>
      </c>
      <c r="J140" s="22" t="s">
        <v>2542</v>
      </c>
      <c r="K140" s="22" t="s">
        <v>2523</v>
      </c>
      <c r="L140" s="22" t="s">
        <v>1758</v>
      </c>
      <c r="M140" s="22" t="s">
        <v>1347</v>
      </c>
      <c r="N140" s="22" t="s">
        <v>68</v>
      </c>
      <c r="O140" s="22" t="s">
        <v>68</v>
      </c>
      <c r="P140" s="23">
        <v>46250.883168171298</v>
      </c>
    </row>
    <row r="141" spans="1:16" x14ac:dyDescent="0.25">
      <c r="A141" s="22" t="s">
        <v>2185</v>
      </c>
      <c r="B141" s="22" t="s">
        <v>2117</v>
      </c>
      <c r="C141" s="22" t="s">
        <v>1418</v>
      </c>
      <c r="D141" s="22" t="s">
        <v>2118</v>
      </c>
      <c r="E141">
        <v>5889.65</v>
      </c>
      <c r="F141">
        <v>5454.78</v>
      </c>
      <c r="G141">
        <v>12835.65</v>
      </c>
      <c r="H141">
        <v>4589.83</v>
      </c>
      <c r="I141">
        <v>5454.78</v>
      </c>
      <c r="J141" s="22" t="s">
        <v>1349</v>
      </c>
      <c r="K141" s="22" t="s">
        <v>2523</v>
      </c>
      <c r="L141" s="22" t="s">
        <v>2119</v>
      </c>
      <c r="M141" s="22" t="s">
        <v>1343</v>
      </c>
      <c r="N141" s="22" t="s">
        <v>68</v>
      </c>
      <c r="O141" s="22" t="s">
        <v>68</v>
      </c>
      <c r="P141" s="23">
        <v>46250.884165960648</v>
      </c>
    </row>
    <row r="142" spans="1:16" x14ac:dyDescent="0.25">
      <c r="A142" s="22" t="s">
        <v>2186</v>
      </c>
      <c r="B142" s="22" t="s">
        <v>1759</v>
      </c>
      <c r="C142" s="22" t="s">
        <v>609</v>
      </c>
      <c r="D142" s="22" t="s">
        <v>1760</v>
      </c>
      <c r="E142">
        <v>3035.55</v>
      </c>
      <c r="F142">
        <v>5310.57</v>
      </c>
      <c r="G142">
        <v>3212.06</v>
      </c>
      <c r="H142">
        <v>3870.86</v>
      </c>
      <c r="I142">
        <v>5310.57</v>
      </c>
      <c r="J142" s="22" t="s">
        <v>1349</v>
      </c>
      <c r="K142" s="22" t="s">
        <v>2523</v>
      </c>
      <c r="L142" s="22" t="s">
        <v>1761</v>
      </c>
      <c r="M142" s="22" t="s">
        <v>1343</v>
      </c>
      <c r="N142" s="22" t="s">
        <v>68</v>
      </c>
      <c r="O142" s="22" t="s">
        <v>68</v>
      </c>
      <c r="P142" s="23">
        <v>46250.897699745372</v>
      </c>
    </row>
    <row r="143" spans="1:16" x14ac:dyDescent="0.25">
      <c r="A143" s="22" t="s">
        <v>2187</v>
      </c>
      <c r="B143" s="22" t="s">
        <v>1803</v>
      </c>
      <c r="C143" s="22" t="s">
        <v>606</v>
      </c>
      <c r="D143" s="22" t="s">
        <v>1804</v>
      </c>
      <c r="E143">
        <v>8577.09</v>
      </c>
      <c r="F143">
        <v>843.37</v>
      </c>
      <c r="G143">
        <v>19065.62</v>
      </c>
      <c r="H143">
        <v>814.93</v>
      </c>
      <c r="I143">
        <v>843.37</v>
      </c>
      <c r="J143" s="22" t="s">
        <v>2547</v>
      </c>
      <c r="K143" s="22" t="s">
        <v>2523</v>
      </c>
      <c r="L143" s="22" t="s">
        <v>1805</v>
      </c>
      <c r="M143" s="22" t="s">
        <v>1343</v>
      </c>
      <c r="N143" s="22" t="s">
        <v>68</v>
      </c>
      <c r="O143" s="22" t="s">
        <v>68</v>
      </c>
      <c r="P143" s="23">
        <v>46250.898502719909</v>
      </c>
    </row>
    <row r="144" spans="1:16" x14ac:dyDescent="0.25">
      <c r="A144" s="22" t="s">
        <v>2188</v>
      </c>
      <c r="B144" s="22" t="s">
        <v>2134</v>
      </c>
      <c r="C144" s="22" t="s">
        <v>608</v>
      </c>
      <c r="D144" s="22" t="s">
        <v>2135</v>
      </c>
      <c r="E144">
        <v>13392.63</v>
      </c>
      <c r="F144">
        <v>5504.59</v>
      </c>
      <c r="G144">
        <v>1460.4</v>
      </c>
      <c r="H144">
        <v>4639.6400000000003</v>
      </c>
      <c r="I144">
        <v>5504.59</v>
      </c>
      <c r="J144" s="22" t="s">
        <v>1349</v>
      </c>
      <c r="K144" s="22" t="s">
        <v>2523</v>
      </c>
      <c r="L144" s="22" t="s">
        <v>2136</v>
      </c>
      <c r="M144" s="22" t="s">
        <v>1343</v>
      </c>
      <c r="N144" s="22" t="s">
        <v>68</v>
      </c>
      <c r="O144" s="22" t="s">
        <v>68</v>
      </c>
      <c r="P144" s="23">
        <v>46250.94605489583</v>
      </c>
    </row>
    <row r="145" spans="1:16" x14ac:dyDescent="0.25">
      <c r="A145" s="22" t="s">
        <v>2189</v>
      </c>
      <c r="B145" s="22" t="s">
        <v>1905</v>
      </c>
      <c r="C145" s="22" t="s">
        <v>1418</v>
      </c>
      <c r="D145" s="22" t="s">
        <v>1906</v>
      </c>
      <c r="E145">
        <v>3412.12</v>
      </c>
      <c r="F145">
        <v>5182.95</v>
      </c>
      <c r="G145">
        <v>-1275.74</v>
      </c>
      <c r="H145">
        <v>4403.88</v>
      </c>
      <c r="I145">
        <v>5182.95</v>
      </c>
      <c r="J145" s="22" t="s">
        <v>2540</v>
      </c>
      <c r="K145" s="22" t="s">
        <v>2523</v>
      </c>
      <c r="L145" s="22" t="s">
        <v>1907</v>
      </c>
      <c r="M145" s="22" t="s">
        <v>1343</v>
      </c>
      <c r="N145" s="22" t="s">
        <v>68</v>
      </c>
      <c r="O145" s="22" t="s">
        <v>68</v>
      </c>
      <c r="P145" s="23">
        <v>46254.905631608795</v>
      </c>
    </row>
    <row r="146" spans="1:16" x14ac:dyDescent="0.25">
      <c r="A146" s="22" t="s">
        <v>2190</v>
      </c>
      <c r="B146" s="22" t="s">
        <v>1594</v>
      </c>
      <c r="C146" s="22" t="s">
        <v>1418</v>
      </c>
      <c r="D146" s="22" t="s">
        <v>1595</v>
      </c>
      <c r="E146">
        <v>3690.43</v>
      </c>
      <c r="F146">
        <v>1057.47</v>
      </c>
      <c r="G146">
        <v>15206.46</v>
      </c>
      <c r="H146">
        <v>995.15</v>
      </c>
      <c r="I146">
        <v>1057.47</v>
      </c>
      <c r="J146" s="22" t="s">
        <v>2542</v>
      </c>
      <c r="K146" s="22" t="s">
        <v>2523</v>
      </c>
      <c r="L146" s="22" t="s">
        <v>1596</v>
      </c>
      <c r="M146" s="22" t="s">
        <v>1343</v>
      </c>
      <c r="N146" s="22" t="s">
        <v>68</v>
      </c>
      <c r="O146" s="22" t="s">
        <v>68</v>
      </c>
      <c r="P146" s="23">
        <v>46254.907106284722</v>
      </c>
    </row>
    <row r="147" spans="1:16" x14ac:dyDescent="0.25">
      <c r="A147" s="22" t="s">
        <v>2191</v>
      </c>
      <c r="B147" s="22" t="s">
        <v>1962</v>
      </c>
      <c r="C147" s="22" t="s">
        <v>1418</v>
      </c>
      <c r="D147" s="22" t="s">
        <v>1963</v>
      </c>
      <c r="E147">
        <v>1291.8900000000001</v>
      </c>
      <c r="F147">
        <v>4955.51</v>
      </c>
      <c r="G147">
        <v>6708.31</v>
      </c>
      <c r="H147">
        <v>4176.4399999999996</v>
      </c>
      <c r="I147">
        <v>4955.51</v>
      </c>
      <c r="J147" s="22" t="s">
        <v>2540</v>
      </c>
      <c r="K147" s="22" t="s">
        <v>2523</v>
      </c>
      <c r="L147" s="22" t="s">
        <v>1964</v>
      </c>
      <c r="M147" s="22" t="s">
        <v>1347</v>
      </c>
      <c r="N147" s="22" t="s">
        <v>68</v>
      </c>
      <c r="O147" s="22" t="s">
        <v>68</v>
      </c>
      <c r="P147" s="23">
        <v>46254.919112152777</v>
      </c>
    </row>
    <row r="148" spans="1:16" x14ac:dyDescent="0.25">
      <c r="A148" s="22" t="s">
        <v>2192</v>
      </c>
      <c r="B148" s="22" t="s">
        <v>1842</v>
      </c>
      <c r="C148" s="22" t="s">
        <v>612</v>
      </c>
      <c r="D148" s="22" t="s">
        <v>1840</v>
      </c>
      <c r="E148">
        <v>2559.06</v>
      </c>
      <c r="F148">
        <v>5183.03</v>
      </c>
      <c r="G148">
        <v>877.64</v>
      </c>
      <c r="H148">
        <v>3870.86</v>
      </c>
      <c r="I148">
        <v>5183.03</v>
      </c>
      <c r="J148" s="22" t="s">
        <v>2540</v>
      </c>
      <c r="K148" s="22" t="s">
        <v>2523</v>
      </c>
      <c r="L148" s="22" t="s">
        <v>1843</v>
      </c>
      <c r="M148" s="22" t="s">
        <v>1347</v>
      </c>
      <c r="N148" s="22" t="s">
        <v>68</v>
      </c>
      <c r="O148" s="22" t="s">
        <v>68</v>
      </c>
      <c r="P148" s="23">
        <v>46254.919206250001</v>
      </c>
    </row>
    <row r="149" spans="1:16" x14ac:dyDescent="0.25">
      <c r="A149" s="22" t="s">
        <v>2193</v>
      </c>
      <c r="B149" s="22" t="s">
        <v>1784</v>
      </c>
      <c r="C149" s="22" t="s">
        <v>1418</v>
      </c>
      <c r="D149" s="22" t="s">
        <v>1782</v>
      </c>
      <c r="E149">
        <v>1951.23</v>
      </c>
      <c r="F149">
        <v>4960.24</v>
      </c>
      <c r="G149">
        <v>-2259.84</v>
      </c>
      <c r="H149">
        <v>4181.17</v>
      </c>
      <c r="I149">
        <v>4960.24</v>
      </c>
      <c r="J149" s="22" t="s">
        <v>2540</v>
      </c>
      <c r="K149" s="22" t="s">
        <v>2523</v>
      </c>
      <c r="L149" s="22" t="s">
        <v>1785</v>
      </c>
      <c r="M149" s="22" t="s">
        <v>1343</v>
      </c>
      <c r="N149" s="22" t="s">
        <v>68</v>
      </c>
      <c r="O149" s="22" t="s">
        <v>68</v>
      </c>
      <c r="P149" s="23">
        <v>46254.9192621412</v>
      </c>
    </row>
    <row r="150" spans="1:16" x14ac:dyDescent="0.25">
      <c r="A150" s="22" t="s">
        <v>2194</v>
      </c>
      <c r="B150" s="22" t="s">
        <v>1665</v>
      </c>
      <c r="C150" s="22" t="s">
        <v>606</v>
      </c>
      <c r="D150" s="22" t="s">
        <v>1663</v>
      </c>
      <c r="E150">
        <v>3930.35</v>
      </c>
      <c r="F150">
        <v>4964.55</v>
      </c>
      <c r="G150">
        <v>-213.67</v>
      </c>
      <c r="H150">
        <v>4185.4799999999996</v>
      </c>
      <c r="I150">
        <v>4964.55</v>
      </c>
      <c r="J150" s="22" t="s">
        <v>2540</v>
      </c>
      <c r="K150" s="22" t="s">
        <v>2523</v>
      </c>
      <c r="L150" s="22" t="s">
        <v>1666</v>
      </c>
      <c r="M150" s="22" t="s">
        <v>1343</v>
      </c>
      <c r="N150" s="22" t="s">
        <v>68</v>
      </c>
      <c r="O150" s="22" t="s">
        <v>68</v>
      </c>
      <c r="P150" s="23">
        <v>46254.919327650467</v>
      </c>
    </row>
    <row r="151" spans="1:16" x14ac:dyDescent="0.25">
      <c r="A151" s="22" t="s">
        <v>2195</v>
      </c>
      <c r="B151" s="22" t="s">
        <v>1652</v>
      </c>
      <c r="C151" s="22" t="s">
        <v>1418</v>
      </c>
      <c r="D151" s="22" t="s">
        <v>1653</v>
      </c>
      <c r="E151">
        <v>11338.54</v>
      </c>
      <c r="F151">
        <v>5354.29</v>
      </c>
      <c r="G151">
        <v>7667.25</v>
      </c>
      <c r="H151">
        <v>4575.22</v>
      </c>
      <c r="I151">
        <v>5354.29</v>
      </c>
      <c r="J151" s="22" t="s">
        <v>2540</v>
      </c>
      <c r="K151" s="22" t="s">
        <v>2523</v>
      </c>
      <c r="L151" s="22" t="s">
        <v>1654</v>
      </c>
      <c r="M151" s="22" t="s">
        <v>1343</v>
      </c>
      <c r="N151" s="22" t="s">
        <v>68</v>
      </c>
      <c r="O151" s="22" t="s">
        <v>68</v>
      </c>
      <c r="P151" s="23">
        <v>46254.919455636576</v>
      </c>
    </row>
    <row r="152" spans="1:16" x14ac:dyDescent="0.25">
      <c r="A152" s="22" t="s">
        <v>2196</v>
      </c>
      <c r="B152" s="22" t="s">
        <v>1597</v>
      </c>
      <c r="C152" s="22" t="s">
        <v>609</v>
      </c>
      <c r="D152" s="22" t="s">
        <v>1595</v>
      </c>
      <c r="E152">
        <v>6831.36</v>
      </c>
      <c r="F152">
        <v>5292.99</v>
      </c>
      <c r="G152">
        <v>8577.3700000000008</v>
      </c>
      <c r="H152">
        <v>3870.86</v>
      </c>
      <c r="I152">
        <v>5292.99</v>
      </c>
      <c r="J152" s="22" t="s">
        <v>2540</v>
      </c>
      <c r="K152" s="22" t="s">
        <v>2523</v>
      </c>
      <c r="L152" s="22" t="s">
        <v>1598</v>
      </c>
      <c r="M152" s="22" t="s">
        <v>1343</v>
      </c>
      <c r="N152" s="22" t="s">
        <v>68</v>
      </c>
      <c r="O152" s="22" t="s">
        <v>68</v>
      </c>
      <c r="P152" s="23">
        <v>46254.91957283565</v>
      </c>
    </row>
    <row r="153" spans="1:16" x14ac:dyDescent="0.25">
      <c r="A153" s="22" t="s">
        <v>2197</v>
      </c>
      <c r="B153" s="22" t="s">
        <v>2123</v>
      </c>
      <c r="C153" s="22" t="s">
        <v>612</v>
      </c>
      <c r="D153" s="22" t="s">
        <v>2121</v>
      </c>
      <c r="E153">
        <v>3827.43</v>
      </c>
      <c r="F153">
        <v>332.88</v>
      </c>
      <c r="G153">
        <v>16418.41</v>
      </c>
      <c r="H153">
        <v>0</v>
      </c>
      <c r="I153">
        <v>748.99</v>
      </c>
      <c r="J153" s="22" t="s">
        <v>1307</v>
      </c>
      <c r="K153" s="22" t="s">
        <v>2527</v>
      </c>
      <c r="L153" s="22" t="s">
        <v>2124</v>
      </c>
      <c r="M153" s="22" t="s">
        <v>1347</v>
      </c>
      <c r="N153" s="22" t="s">
        <v>68</v>
      </c>
      <c r="O153" s="22" t="s">
        <v>68</v>
      </c>
      <c r="P153" s="23">
        <v>46254.919802245371</v>
      </c>
    </row>
    <row r="154" spans="1:16" x14ac:dyDescent="0.25">
      <c r="A154" s="22" t="s">
        <v>2198</v>
      </c>
      <c r="B154" s="22" t="s">
        <v>1471</v>
      </c>
      <c r="C154" s="22" t="s">
        <v>612</v>
      </c>
      <c r="D154" s="22" t="s">
        <v>1468</v>
      </c>
      <c r="E154">
        <v>1238.25</v>
      </c>
      <c r="F154">
        <v>5294.91</v>
      </c>
      <c r="G154">
        <v>-2281.2399999999998</v>
      </c>
      <c r="H154">
        <v>3870.86</v>
      </c>
      <c r="I154">
        <v>5294.91</v>
      </c>
      <c r="J154" s="22" t="s">
        <v>2540</v>
      </c>
      <c r="K154" s="22" t="s">
        <v>2523</v>
      </c>
      <c r="L154" s="22" t="s">
        <v>1472</v>
      </c>
      <c r="M154" s="22" t="s">
        <v>1347</v>
      </c>
      <c r="N154" s="22" t="s">
        <v>68</v>
      </c>
      <c r="O154" s="22" t="s">
        <v>68</v>
      </c>
      <c r="P154" s="23">
        <v>46254.919881412039</v>
      </c>
    </row>
    <row r="155" spans="1:16" x14ac:dyDescent="0.25">
      <c r="A155" s="22" t="s">
        <v>2199</v>
      </c>
      <c r="B155" s="22" t="s">
        <v>1762</v>
      </c>
      <c r="C155" s="22" t="s">
        <v>612</v>
      </c>
      <c r="D155" s="22" t="s">
        <v>1760</v>
      </c>
      <c r="E155">
        <v>7692.26</v>
      </c>
      <c r="F155">
        <v>5082.7</v>
      </c>
      <c r="G155">
        <v>10155.15</v>
      </c>
      <c r="H155">
        <v>3870.86</v>
      </c>
      <c r="I155">
        <v>5082.7</v>
      </c>
      <c r="J155" s="22" t="s">
        <v>2540</v>
      </c>
      <c r="K155" s="22" t="s">
        <v>2523</v>
      </c>
      <c r="L155" s="22" t="s">
        <v>1763</v>
      </c>
      <c r="M155" s="22" t="s">
        <v>1343</v>
      </c>
      <c r="N155" s="22" t="s">
        <v>68</v>
      </c>
      <c r="O155" s="22" t="s">
        <v>68</v>
      </c>
      <c r="P155" s="23">
        <v>46254.919977650461</v>
      </c>
    </row>
    <row r="156" spans="1:16" x14ac:dyDescent="0.25">
      <c r="A156" s="22" t="s">
        <v>2200</v>
      </c>
      <c r="B156" s="22" t="s">
        <v>1822</v>
      </c>
      <c r="C156" s="22" t="s">
        <v>609</v>
      </c>
      <c r="D156" s="22" t="s">
        <v>1820</v>
      </c>
      <c r="E156">
        <v>1941.99</v>
      </c>
      <c r="F156">
        <v>1384</v>
      </c>
      <c r="G156">
        <v>18409.82</v>
      </c>
      <c r="H156">
        <v>0</v>
      </c>
      <c r="I156">
        <v>1384</v>
      </c>
      <c r="J156" s="22" t="s">
        <v>1307</v>
      </c>
      <c r="K156" s="22" t="s">
        <v>2527</v>
      </c>
      <c r="L156" s="22" t="s">
        <v>1823</v>
      </c>
      <c r="M156" s="22" t="s">
        <v>1347</v>
      </c>
      <c r="N156" s="22" t="s">
        <v>68</v>
      </c>
      <c r="O156" s="22" t="s">
        <v>68</v>
      </c>
      <c r="P156" s="23">
        <v>46254.921526134262</v>
      </c>
    </row>
    <row r="157" spans="1:16" x14ac:dyDescent="0.25">
      <c r="A157" s="22" t="s">
        <v>2201</v>
      </c>
      <c r="B157" s="22" t="s">
        <v>2088</v>
      </c>
      <c r="C157" s="22" t="s">
        <v>606</v>
      </c>
      <c r="D157" s="22" t="s">
        <v>2089</v>
      </c>
      <c r="E157">
        <v>1000</v>
      </c>
      <c r="F157">
        <v>3646.93</v>
      </c>
      <c r="G157">
        <v>1353.07</v>
      </c>
      <c r="H157">
        <v>2235.64</v>
      </c>
      <c r="I157">
        <v>3646.93</v>
      </c>
      <c r="J157" s="22" t="s">
        <v>2547</v>
      </c>
      <c r="K157" s="22" t="s">
        <v>2523</v>
      </c>
      <c r="L157" s="22" t="s">
        <v>2090</v>
      </c>
      <c r="M157" s="22" t="s">
        <v>1343</v>
      </c>
      <c r="N157" s="22" t="s">
        <v>68</v>
      </c>
      <c r="O157" s="22" t="s">
        <v>68</v>
      </c>
      <c r="P157" s="23">
        <v>46254.958003009262</v>
      </c>
    </row>
    <row r="158" spans="1:16" x14ac:dyDescent="0.25">
      <c r="A158" s="22" t="s">
        <v>2202</v>
      </c>
      <c r="B158" s="22" t="s">
        <v>2061</v>
      </c>
      <c r="C158" s="22" t="s">
        <v>608</v>
      </c>
      <c r="D158" s="22" t="s">
        <v>2062</v>
      </c>
      <c r="E158">
        <v>500</v>
      </c>
      <c r="F158">
        <v>858.75</v>
      </c>
      <c r="G158">
        <v>2141.25</v>
      </c>
      <c r="H158">
        <v>858.75</v>
      </c>
      <c r="I158">
        <v>858.75</v>
      </c>
      <c r="J158" s="22" t="s">
        <v>1307</v>
      </c>
      <c r="K158" s="22" t="s">
        <v>2527</v>
      </c>
      <c r="L158" s="22" t="s">
        <v>2063</v>
      </c>
      <c r="M158" s="22" t="s">
        <v>1343</v>
      </c>
      <c r="N158" s="22" t="s">
        <v>68</v>
      </c>
      <c r="O158" s="22" t="s">
        <v>68</v>
      </c>
      <c r="P158" s="23">
        <v>46254.958762824077</v>
      </c>
    </row>
    <row r="159" spans="1:16" x14ac:dyDescent="0.25">
      <c r="A159" s="22" t="s">
        <v>2203</v>
      </c>
      <c r="B159" s="22" t="s">
        <v>2058</v>
      </c>
      <c r="C159" s="22" t="s">
        <v>609</v>
      </c>
      <c r="D159" s="22" t="s">
        <v>2059</v>
      </c>
      <c r="E159">
        <v>750</v>
      </c>
      <c r="F159">
        <v>5404.95</v>
      </c>
      <c r="G159">
        <v>-1404.95</v>
      </c>
      <c r="H159">
        <v>3870.86</v>
      </c>
      <c r="I159">
        <v>5404.95</v>
      </c>
      <c r="J159" s="22" t="s">
        <v>2540</v>
      </c>
      <c r="K159" s="22" t="s">
        <v>2523</v>
      </c>
      <c r="L159" s="22" t="s">
        <v>2060</v>
      </c>
      <c r="M159" s="22" t="s">
        <v>1347</v>
      </c>
      <c r="N159" s="22" t="s">
        <v>68</v>
      </c>
      <c r="O159" s="22" t="s">
        <v>68</v>
      </c>
      <c r="P159" s="23">
        <v>46254.961377581021</v>
      </c>
    </row>
    <row r="160" spans="1:16" x14ac:dyDescent="0.25">
      <c r="A160" s="22" t="s">
        <v>2204</v>
      </c>
      <c r="B160" s="22" t="s">
        <v>1511</v>
      </c>
      <c r="C160" s="22" t="s">
        <v>606</v>
      </c>
      <c r="D160" s="22" t="s">
        <v>1512</v>
      </c>
      <c r="E160">
        <v>2353</v>
      </c>
      <c r="F160">
        <v>6302.74</v>
      </c>
      <c r="G160">
        <v>13697.26</v>
      </c>
      <c r="H160">
        <v>3870.16</v>
      </c>
      <c r="I160">
        <v>6302.74</v>
      </c>
      <c r="J160" s="22" t="s">
        <v>2547</v>
      </c>
      <c r="K160" s="22" t="s">
        <v>2523</v>
      </c>
      <c r="L160" s="22" t="s">
        <v>1513</v>
      </c>
      <c r="M160" s="22" t="s">
        <v>1343</v>
      </c>
      <c r="N160" s="22" t="s">
        <v>68</v>
      </c>
      <c r="O160" s="22" t="s">
        <v>68</v>
      </c>
      <c r="P160" s="23">
        <v>46254.965238321762</v>
      </c>
    </row>
    <row r="161" spans="1:16" x14ac:dyDescent="0.25">
      <c r="A161" s="22" t="s">
        <v>2205</v>
      </c>
      <c r="B161" s="22" t="s">
        <v>1545</v>
      </c>
      <c r="C161" s="22" t="s">
        <v>606</v>
      </c>
      <c r="D161" s="22" t="s">
        <v>1546</v>
      </c>
      <c r="E161">
        <v>100</v>
      </c>
      <c r="F161">
        <v>984.55</v>
      </c>
      <c r="G161">
        <v>8015.45</v>
      </c>
      <c r="H161">
        <v>951.34</v>
      </c>
      <c r="I161">
        <v>984.55</v>
      </c>
      <c r="J161" s="22" t="s">
        <v>2547</v>
      </c>
      <c r="K161" s="22" t="s">
        <v>2523</v>
      </c>
      <c r="L161" s="22" t="s">
        <v>1547</v>
      </c>
      <c r="M161" s="22" t="s">
        <v>1343</v>
      </c>
      <c r="N161" s="22" t="s">
        <v>68</v>
      </c>
      <c r="O161" s="22" t="s">
        <v>68</v>
      </c>
      <c r="P161" s="23">
        <v>46254.971112581021</v>
      </c>
    </row>
    <row r="162" spans="1:16" x14ac:dyDescent="0.25">
      <c r="A162" s="22" t="s">
        <v>2206</v>
      </c>
      <c r="B162" s="22" t="s">
        <v>1404</v>
      </c>
      <c r="C162" s="22" t="s">
        <v>606</v>
      </c>
      <c r="D162" s="22" t="s">
        <v>1405</v>
      </c>
      <c r="E162">
        <v>2000</v>
      </c>
      <c r="F162">
        <v>1055.05</v>
      </c>
      <c r="G162">
        <v>3944.95</v>
      </c>
      <c r="H162">
        <v>0</v>
      </c>
      <c r="I162">
        <v>0</v>
      </c>
      <c r="J162" s="22" t="s">
        <v>1307</v>
      </c>
      <c r="K162" s="22" t="s">
        <v>2527</v>
      </c>
      <c r="L162" s="22" t="s">
        <v>1406</v>
      </c>
      <c r="M162" s="22" t="s">
        <v>1407</v>
      </c>
      <c r="N162" s="22" t="s">
        <v>68</v>
      </c>
      <c r="O162" s="22" t="s">
        <v>68</v>
      </c>
      <c r="P162" s="23">
        <v>46263.815067581018</v>
      </c>
    </row>
    <row r="163" spans="1:16" x14ac:dyDescent="0.25">
      <c r="A163" s="22" t="s">
        <v>2207</v>
      </c>
      <c r="B163" s="22" t="s">
        <v>1789</v>
      </c>
      <c r="C163" s="22" t="s">
        <v>1418</v>
      </c>
      <c r="D163" s="22" t="s">
        <v>1787</v>
      </c>
      <c r="E163">
        <v>4498.93</v>
      </c>
      <c r="F163">
        <v>5078.71</v>
      </c>
      <c r="G163">
        <v>8882.7000000000007</v>
      </c>
      <c r="H163">
        <v>4118.68</v>
      </c>
      <c r="I163">
        <v>4768.93</v>
      </c>
      <c r="J163" s="22" t="s">
        <v>2549</v>
      </c>
      <c r="K163" s="22" t="s">
        <v>2523</v>
      </c>
      <c r="L163" s="22" t="s">
        <v>1790</v>
      </c>
      <c r="M163" s="22" t="s">
        <v>1343</v>
      </c>
      <c r="N163" s="22" t="s">
        <v>68</v>
      </c>
      <c r="O163" s="22" t="s">
        <v>68</v>
      </c>
      <c r="P163" s="23">
        <v>46263.81759820602</v>
      </c>
    </row>
    <row r="164" spans="1:16" x14ac:dyDescent="0.25">
      <c r="A164" s="22" t="s">
        <v>2208</v>
      </c>
      <c r="B164" s="22" t="s">
        <v>2078</v>
      </c>
      <c r="C164" s="22" t="s">
        <v>612</v>
      </c>
      <c r="D164" s="22" t="s">
        <v>2079</v>
      </c>
      <c r="E164">
        <v>6839.28</v>
      </c>
      <c r="F164">
        <v>675.34</v>
      </c>
      <c r="G164">
        <v>2904.47</v>
      </c>
      <c r="H164">
        <v>0</v>
      </c>
      <c r="I164">
        <v>675.34</v>
      </c>
      <c r="J164" s="22" t="s">
        <v>1307</v>
      </c>
      <c r="K164" s="22" t="s">
        <v>2527</v>
      </c>
      <c r="L164" s="22" t="s">
        <v>2080</v>
      </c>
      <c r="M164" s="22" t="s">
        <v>1343</v>
      </c>
      <c r="N164" s="22" t="s">
        <v>68</v>
      </c>
      <c r="O164" s="22" t="s">
        <v>68</v>
      </c>
      <c r="P164" s="23">
        <v>46263.817697268518</v>
      </c>
    </row>
    <row r="165" spans="1:16" x14ac:dyDescent="0.25">
      <c r="A165" s="22" t="s">
        <v>2209</v>
      </c>
      <c r="B165" s="22" t="s">
        <v>1540</v>
      </c>
      <c r="C165" s="22" t="s">
        <v>608</v>
      </c>
      <c r="D165" s="22" t="s">
        <v>1541</v>
      </c>
      <c r="E165">
        <v>2650.74</v>
      </c>
      <c r="F165">
        <v>493.69</v>
      </c>
      <c r="G165">
        <v>16217.48</v>
      </c>
      <c r="H165">
        <v>493.69</v>
      </c>
      <c r="I165">
        <v>493.69</v>
      </c>
      <c r="J165" s="22" t="s">
        <v>1307</v>
      </c>
      <c r="K165" s="22" t="s">
        <v>2527</v>
      </c>
      <c r="L165" s="22" t="s">
        <v>1542</v>
      </c>
      <c r="M165" s="22" t="s">
        <v>1343</v>
      </c>
      <c r="N165" s="22" t="s">
        <v>68</v>
      </c>
      <c r="O165" s="22" t="s">
        <v>68</v>
      </c>
      <c r="P165" s="23">
        <v>46263.817762245373</v>
      </c>
    </row>
    <row r="166" spans="1:16" x14ac:dyDescent="0.25">
      <c r="A166" s="22" t="s">
        <v>2210</v>
      </c>
      <c r="B166" s="22" t="s">
        <v>2137</v>
      </c>
      <c r="C166" s="22" t="s">
        <v>606</v>
      </c>
      <c r="D166" s="22" t="s">
        <v>2135</v>
      </c>
      <c r="E166">
        <v>13562.06</v>
      </c>
      <c r="F166">
        <v>776.22</v>
      </c>
      <c r="G166">
        <v>13935.95</v>
      </c>
      <c r="H166">
        <v>315.68</v>
      </c>
      <c r="I166">
        <v>776.22</v>
      </c>
      <c r="J166" s="22" t="s">
        <v>2547</v>
      </c>
      <c r="K166" s="22" t="s">
        <v>2523</v>
      </c>
      <c r="L166" s="22" t="s">
        <v>2138</v>
      </c>
      <c r="M166" s="22" t="s">
        <v>1347</v>
      </c>
      <c r="N166" s="22" t="s">
        <v>68</v>
      </c>
      <c r="O166" s="22" t="s">
        <v>68</v>
      </c>
      <c r="P166" s="23">
        <v>46263.817832361114</v>
      </c>
    </row>
    <row r="167" spans="1:16" x14ac:dyDescent="0.25">
      <c r="A167" s="22" t="s">
        <v>2211</v>
      </c>
      <c r="B167" s="22" t="s">
        <v>1606</v>
      </c>
      <c r="C167" s="22" t="s">
        <v>609</v>
      </c>
      <c r="D167" s="22" t="s">
        <v>1604</v>
      </c>
      <c r="E167">
        <v>13854.97</v>
      </c>
      <c r="F167">
        <v>4885.3</v>
      </c>
      <c r="G167">
        <v>8902.2000000000007</v>
      </c>
      <c r="H167">
        <v>3870.86</v>
      </c>
      <c r="I167">
        <v>4885.3</v>
      </c>
      <c r="J167" s="22" t="s">
        <v>2549</v>
      </c>
      <c r="K167" s="22" t="s">
        <v>2523</v>
      </c>
      <c r="L167" s="22" t="s">
        <v>1608</v>
      </c>
      <c r="M167" s="22" t="s">
        <v>1347</v>
      </c>
      <c r="N167" s="22" t="s">
        <v>68</v>
      </c>
      <c r="O167" s="22" t="s">
        <v>68</v>
      </c>
      <c r="P167" s="23">
        <v>46263.817934525461</v>
      </c>
    </row>
    <row r="168" spans="1:16" x14ac:dyDescent="0.25">
      <c r="A168" s="22" t="s">
        <v>2212</v>
      </c>
      <c r="B168" s="22" t="s">
        <v>1450</v>
      </c>
      <c r="C168" s="22" t="s">
        <v>606</v>
      </c>
      <c r="D168" s="22" t="s">
        <v>1451</v>
      </c>
      <c r="E168">
        <v>5479.53</v>
      </c>
      <c r="F168">
        <v>568.4</v>
      </c>
      <c r="G168">
        <v>8475.33</v>
      </c>
      <c r="H168">
        <v>549.23</v>
      </c>
      <c r="I168">
        <v>568.4</v>
      </c>
      <c r="J168" s="22" t="s">
        <v>2547</v>
      </c>
      <c r="K168" s="22" t="s">
        <v>2523</v>
      </c>
      <c r="L168" s="22" t="s">
        <v>1452</v>
      </c>
      <c r="M168" s="22" t="s">
        <v>1343</v>
      </c>
      <c r="N168" s="22" t="s">
        <v>68</v>
      </c>
      <c r="O168" s="22" t="s">
        <v>68</v>
      </c>
      <c r="P168" s="23">
        <v>46263.817990162039</v>
      </c>
    </row>
    <row r="169" spans="1:16" x14ac:dyDescent="0.25">
      <c r="A169" s="22" t="s">
        <v>2213</v>
      </c>
      <c r="B169" s="22" t="s">
        <v>1950</v>
      </c>
      <c r="C169" s="22" t="s">
        <v>608</v>
      </c>
      <c r="D169" s="22" t="s">
        <v>1948</v>
      </c>
      <c r="E169">
        <v>13371.2</v>
      </c>
      <c r="F169">
        <v>4974.74</v>
      </c>
      <c r="G169">
        <v>-2401.17</v>
      </c>
      <c r="H169">
        <v>4324.49</v>
      </c>
      <c r="I169">
        <v>4974.74</v>
      </c>
      <c r="J169" s="22" t="s">
        <v>2549</v>
      </c>
      <c r="K169" s="22" t="s">
        <v>2523</v>
      </c>
      <c r="L169" s="22" t="s">
        <v>1951</v>
      </c>
      <c r="M169" s="22" t="s">
        <v>1343</v>
      </c>
      <c r="N169" s="22" t="s">
        <v>68</v>
      </c>
      <c r="O169" s="22" t="s">
        <v>68</v>
      </c>
      <c r="P169" s="23">
        <v>46263.81810571759</v>
      </c>
    </row>
    <row r="170" spans="1:16" x14ac:dyDescent="0.25">
      <c r="A170" s="22" t="s">
        <v>2214</v>
      </c>
      <c r="B170" s="22" t="s">
        <v>1657</v>
      </c>
      <c r="C170" s="22" t="s">
        <v>609</v>
      </c>
      <c r="D170" s="22" t="s">
        <v>1658</v>
      </c>
      <c r="E170">
        <v>4213.6400000000003</v>
      </c>
      <c r="F170">
        <v>890.61</v>
      </c>
      <c r="G170">
        <v>13227.52</v>
      </c>
      <c r="H170">
        <v>0</v>
      </c>
      <c r="I170">
        <v>890.61</v>
      </c>
      <c r="J170" s="22" t="s">
        <v>1307</v>
      </c>
      <c r="K170" s="22" t="s">
        <v>2527</v>
      </c>
      <c r="L170" s="22" t="s">
        <v>1659</v>
      </c>
      <c r="M170" s="22" t="s">
        <v>1343</v>
      </c>
      <c r="N170" s="22" t="s">
        <v>68</v>
      </c>
      <c r="O170" s="22" t="s">
        <v>68</v>
      </c>
      <c r="P170" s="23">
        <v>46263.8182103125</v>
      </c>
    </row>
    <row r="171" spans="1:16" x14ac:dyDescent="0.25">
      <c r="A171" s="22" t="s">
        <v>2215</v>
      </c>
      <c r="B171" s="22" t="s">
        <v>1866</v>
      </c>
      <c r="C171" s="22" t="s">
        <v>609</v>
      </c>
      <c r="D171" s="22" t="s">
        <v>1864</v>
      </c>
      <c r="E171">
        <v>5559.3</v>
      </c>
      <c r="F171">
        <v>639.19000000000005</v>
      </c>
      <c r="G171">
        <v>13634.83</v>
      </c>
      <c r="H171">
        <v>0</v>
      </c>
      <c r="I171">
        <v>639.19000000000005</v>
      </c>
      <c r="J171" s="22" t="s">
        <v>1307</v>
      </c>
      <c r="K171" s="22" t="s">
        <v>2527</v>
      </c>
      <c r="L171" s="22" t="s">
        <v>1867</v>
      </c>
      <c r="M171" s="22" t="s">
        <v>1347</v>
      </c>
      <c r="N171" s="22" t="s">
        <v>68</v>
      </c>
      <c r="O171" s="22" t="s">
        <v>68</v>
      </c>
      <c r="P171" s="23">
        <v>46263.81830392361</v>
      </c>
    </row>
    <row r="172" spans="1:16" x14ac:dyDescent="0.25">
      <c r="A172" s="22" t="s">
        <v>2216</v>
      </c>
      <c r="B172" s="22" t="s">
        <v>1412</v>
      </c>
      <c r="C172" s="22" t="s">
        <v>606</v>
      </c>
      <c r="D172" s="22" t="s">
        <v>1413</v>
      </c>
      <c r="E172">
        <v>2000</v>
      </c>
      <c r="F172">
        <v>1055.05</v>
      </c>
      <c r="G172">
        <v>3944.95</v>
      </c>
      <c r="H172">
        <v>0</v>
      </c>
      <c r="I172">
        <v>0</v>
      </c>
      <c r="J172" s="22" t="s">
        <v>1307</v>
      </c>
      <c r="K172" s="22" t="s">
        <v>2527</v>
      </c>
      <c r="L172" s="22" t="s">
        <v>1414</v>
      </c>
      <c r="M172" s="22" t="s">
        <v>1415</v>
      </c>
      <c r="N172" s="22" t="s">
        <v>68</v>
      </c>
      <c r="O172" s="22" t="s">
        <v>68</v>
      </c>
      <c r="P172" s="23">
        <v>46264.63551709491</v>
      </c>
    </row>
    <row r="173" spans="1:16" x14ac:dyDescent="0.25">
      <c r="A173" s="22" t="s">
        <v>2217</v>
      </c>
      <c r="B173" s="22" t="s">
        <v>1639</v>
      </c>
      <c r="C173" s="22" t="s">
        <v>606</v>
      </c>
      <c r="D173" s="22" t="s">
        <v>2550</v>
      </c>
      <c r="E173">
        <v>2000</v>
      </c>
      <c r="F173">
        <v>1055.05</v>
      </c>
      <c r="G173">
        <v>3944.95</v>
      </c>
      <c r="H173">
        <v>0</v>
      </c>
      <c r="I173">
        <v>0</v>
      </c>
      <c r="J173" s="22" t="s">
        <v>1307</v>
      </c>
      <c r="K173" s="22" t="s">
        <v>2527</v>
      </c>
      <c r="L173" s="22" t="s">
        <v>1640</v>
      </c>
      <c r="M173" s="22" t="s">
        <v>1641</v>
      </c>
      <c r="N173" s="22" t="s">
        <v>68</v>
      </c>
      <c r="O173" s="22" t="s">
        <v>68</v>
      </c>
      <c r="P173" s="23">
        <v>46264.636143495372</v>
      </c>
    </row>
    <row r="174" spans="1:16" x14ac:dyDescent="0.25">
      <c r="A174" s="22" t="s">
        <v>2218</v>
      </c>
      <c r="B174" s="22" t="s">
        <v>1687</v>
      </c>
      <c r="C174" s="22" t="s">
        <v>606</v>
      </c>
      <c r="D174" s="22" t="s">
        <v>1688</v>
      </c>
      <c r="E174">
        <v>2000</v>
      </c>
      <c r="F174">
        <v>1055.05</v>
      </c>
      <c r="G174">
        <v>3944.95</v>
      </c>
      <c r="H174">
        <v>0</v>
      </c>
      <c r="I174">
        <v>0</v>
      </c>
      <c r="J174" s="22" t="s">
        <v>1307</v>
      </c>
      <c r="K174" s="22" t="s">
        <v>2527</v>
      </c>
      <c r="L174" s="22" t="s">
        <v>1689</v>
      </c>
      <c r="M174" s="22" t="s">
        <v>1690</v>
      </c>
      <c r="N174" s="22" t="s">
        <v>68</v>
      </c>
      <c r="O174" s="22" t="s">
        <v>68</v>
      </c>
      <c r="P174" s="23">
        <v>46264.795068796295</v>
      </c>
    </row>
    <row r="175" spans="1:16" x14ac:dyDescent="0.25">
      <c r="A175" s="22" t="s">
        <v>2219</v>
      </c>
      <c r="B175" s="22" t="s">
        <v>1560</v>
      </c>
      <c r="C175" s="22" t="s">
        <v>606</v>
      </c>
      <c r="D175" s="22" t="s">
        <v>2551</v>
      </c>
      <c r="E175">
        <v>2000</v>
      </c>
      <c r="F175">
        <v>1055.05</v>
      </c>
      <c r="G175">
        <v>3944.95</v>
      </c>
      <c r="H175">
        <v>0</v>
      </c>
      <c r="I175">
        <v>0</v>
      </c>
      <c r="J175" s="22" t="s">
        <v>1307</v>
      </c>
      <c r="K175" s="22" t="s">
        <v>2527</v>
      </c>
      <c r="L175" s="22" t="s">
        <v>1561</v>
      </c>
      <c r="M175" s="22" t="s">
        <v>462</v>
      </c>
      <c r="N175" s="22" t="s">
        <v>68</v>
      </c>
      <c r="O175" s="22" t="s">
        <v>68</v>
      </c>
      <c r="P175" s="23">
        <v>46264.795742962961</v>
      </c>
    </row>
    <row r="176" spans="1:16" x14ac:dyDescent="0.25">
      <c r="A176" s="22" t="s">
        <v>2220</v>
      </c>
      <c r="B176" s="22" t="s">
        <v>2035</v>
      </c>
      <c r="C176" s="22" t="s">
        <v>606</v>
      </c>
      <c r="D176" s="22" t="s">
        <v>2036</v>
      </c>
      <c r="E176">
        <v>2000</v>
      </c>
      <c r="F176">
        <v>1055.05</v>
      </c>
      <c r="G176">
        <v>3944.95</v>
      </c>
      <c r="H176">
        <v>0</v>
      </c>
      <c r="I176">
        <v>0</v>
      </c>
      <c r="J176" s="22" t="s">
        <v>1307</v>
      </c>
      <c r="K176" s="22" t="s">
        <v>2527</v>
      </c>
      <c r="L176" s="22" t="s">
        <v>2037</v>
      </c>
      <c r="M176" s="22" t="s">
        <v>2038</v>
      </c>
      <c r="N176" s="22" t="s">
        <v>68</v>
      </c>
      <c r="O176" s="22" t="s">
        <v>68</v>
      </c>
      <c r="P176" s="23">
        <v>46264.796442465275</v>
      </c>
    </row>
    <row r="177" spans="1:16" x14ac:dyDescent="0.25">
      <c r="A177" s="22" t="s">
        <v>2221</v>
      </c>
      <c r="B177" s="22" t="s">
        <v>1620</v>
      </c>
      <c r="C177" s="22" t="s">
        <v>606</v>
      </c>
      <c r="D177" s="22" t="s">
        <v>1621</v>
      </c>
      <c r="E177">
        <v>2000</v>
      </c>
      <c r="F177">
        <v>1055.05</v>
      </c>
      <c r="G177">
        <v>3944.95</v>
      </c>
      <c r="H177">
        <v>0</v>
      </c>
      <c r="I177">
        <v>0</v>
      </c>
      <c r="J177" s="22" t="s">
        <v>1307</v>
      </c>
      <c r="K177" s="22" t="s">
        <v>2527</v>
      </c>
      <c r="L177" s="22" t="s">
        <v>1622</v>
      </c>
      <c r="M177" s="22" t="s">
        <v>1623</v>
      </c>
      <c r="N177" s="22" t="s">
        <v>68</v>
      </c>
      <c r="O177" s="22" t="s">
        <v>68</v>
      </c>
      <c r="P177" s="23">
        <v>46264.798346006944</v>
      </c>
    </row>
    <row r="178" spans="1:16" x14ac:dyDescent="0.25">
      <c r="A178" s="22" t="s">
        <v>2222</v>
      </c>
      <c r="B178" s="22" t="s">
        <v>1954</v>
      </c>
      <c r="C178" s="22" t="s">
        <v>606</v>
      </c>
      <c r="D178" s="22" t="s">
        <v>1955</v>
      </c>
      <c r="E178">
        <v>2000</v>
      </c>
      <c r="F178">
        <v>1055.05</v>
      </c>
      <c r="G178">
        <v>3944.95</v>
      </c>
      <c r="H178">
        <v>0</v>
      </c>
      <c r="I178">
        <v>0</v>
      </c>
      <c r="J178" s="22" t="s">
        <v>1307</v>
      </c>
      <c r="K178" s="22" t="s">
        <v>2527</v>
      </c>
      <c r="L178" s="22" t="s">
        <v>1956</v>
      </c>
      <c r="M178" s="22" t="s">
        <v>1957</v>
      </c>
      <c r="N178" s="22" t="s">
        <v>68</v>
      </c>
      <c r="O178" s="22" t="s">
        <v>68</v>
      </c>
      <c r="P178" s="23">
        <v>46264.798953275465</v>
      </c>
    </row>
    <row r="179" spans="1:16" x14ac:dyDescent="0.25">
      <c r="A179" s="22" t="s">
        <v>2223</v>
      </c>
      <c r="B179" s="22" t="s">
        <v>1908</v>
      </c>
      <c r="C179" s="22" t="s">
        <v>1418</v>
      </c>
      <c r="D179" s="22" t="s">
        <v>1906</v>
      </c>
      <c r="E179">
        <v>12565.02</v>
      </c>
      <c r="F179">
        <v>5044.5200000000004</v>
      </c>
      <c r="G179">
        <v>13328.3</v>
      </c>
      <c r="H179">
        <v>3870.86</v>
      </c>
      <c r="I179">
        <v>5044.5200000000004</v>
      </c>
      <c r="J179" s="22" t="s">
        <v>1607</v>
      </c>
      <c r="K179" s="22" t="s">
        <v>2523</v>
      </c>
      <c r="L179" s="22" t="s">
        <v>1909</v>
      </c>
      <c r="M179" s="22" t="s">
        <v>1343</v>
      </c>
      <c r="N179" s="22" t="s">
        <v>68</v>
      </c>
      <c r="O179" s="22" t="s">
        <v>68</v>
      </c>
      <c r="P179" s="23">
        <v>46265.874030509258</v>
      </c>
    </row>
    <row r="180" spans="1:16" x14ac:dyDescent="0.25">
      <c r="A180" s="22" t="s">
        <v>2224</v>
      </c>
      <c r="B180" s="22" t="s">
        <v>1480</v>
      </c>
      <c r="C180" s="22" t="s">
        <v>1418</v>
      </c>
      <c r="D180" s="22" t="s">
        <v>1481</v>
      </c>
      <c r="E180">
        <v>14784.02</v>
      </c>
      <c r="F180">
        <v>527.91</v>
      </c>
      <c r="G180">
        <v>19062.259999999998</v>
      </c>
      <c r="H180">
        <v>0</v>
      </c>
      <c r="I180">
        <v>0</v>
      </c>
      <c r="J180" s="22" t="s">
        <v>1307</v>
      </c>
      <c r="K180" s="22" t="s">
        <v>2527</v>
      </c>
      <c r="L180" s="22" t="s">
        <v>1482</v>
      </c>
      <c r="M180" s="22" t="s">
        <v>1343</v>
      </c>
      <c r="N180" s="22" t="s">
        <v>68</v>
      </c>
      <c r="O180" s="22" t="s">
        <v>68</v>
      </c>
      <c r="P180" s="23">
        <v>46265.874098020831</v>
      </c>
    </row>
    <row r="181" spans="1:16" x14ac:dyDescent="0.25">
      <c r="A181" s="22" t="s">
        <v>2225</v>
      </c>
      <c r="B181" s="22" t="s">
        <v>1344</v>
      </c>
      <c r="C181" s="22" t="s">
        <v>608</v>
      </c>
      <c r="D181" s="22" t="s">
        <v>1345</v>
      </c>
      <c r="E181">
        <v>1839.67</v>
      </c>
      <c r="F181">
        <v>5053.95</v>
      </c>
      <c r="G181">
        <v>1989.45</v>
      </c>
      <c r="H181">
        <v>4446.6400000000003</v>
      </c>
      <c r="I181">
        <v>5053.95</v>
      </c>
      <c r="J181" s="22" t="s">
        <v>1607</v>
      </c>
      <c r="K181" s="22" t="s">
        <v>2523</v>
      </c>
      <c r="L181" s="22" t="s">
        <v>1346</v>
      </c>
      <c r="M181" s="22" t="s">
        <v>1347</v>
      </c>
      <c r="N181" s="22" t="s">
        <v>68</v>
      </c>
      <c r="O181" s="22" t="s">
        <v>68</v>
      </c>
      <c r="P181" s="23">
        <v>46265.874172430558</v>
      </c>
    </row>
    <row r="182" spans="1:16" x14ac:dyDescent="0.25">
      <c r="A182" s="22" t="s">
        <v>2226</v>
      </c>
      <c r="B182" s="22" t="s">
        <v>1465</v>
      </c>
      <c r="C182" s="22" t="s">
        <v>612</v>
      </c>
      <c r="D182" s="22" t="s">
        <v>1463</v>
      </c>
      <c r="E182">
        <v>5549.45</v>
      </c>
      <c r="F182">
        <v>5210.24</v>
      </c>
      <c r="G182">
        <v>2978.71</v>
      </c>
      <c r="H182">
        <v>3870.86</v>
      </c>
      <c r="I182">
        <v>5210.24</v>
      </c>
      <c r="J182" s="22" t="s">
        <v>1607</v>
      </c>
      <c r="K182" s="22" t="s">
        <v>2523</v>
      </c>
      <c r="L182" s="22" t="s">
        <v>1466</v>
      </c>
      <c r="M182" s="22" t="s">
        <v>1343</v>
      </c>
      <c r="N182" s="22" t="s">
        <v>68</v>
      </c>
      <c r="O182" s="22" t="s">
        <v>68</v>
      </c>
      <c r="P182" s="23">
        <v>46265.874232997689</v>
      </c>
    </row>
    <row r="183" spans="1:16" x14ac:dyDescent="0.25">
      <c r="A183" s="22" t="s">
        <v>2227</v>
      </c>
      <c r="B183" s="22" t="s">
        <v>2027</v>
      </c>
      <c r="C183" s="22" t="s">
        <v>612</v>
      </c>
      <c r="D183" s="22" t="s">
        <v>2028</v>
      </c>
      <c r="E183">
        <v>1868.22</v>
      </c>
      <c r="F183">
        <v>5172.58</v>
      </c>
      <c r="G183">
        <v>6447.43</v>
      </c>
      <c r="H183">
        <v>3870.86</v>
      </c>
      <c r="I183">
        <v>5172.58</v>
      </c>
      <c r="J183" s="22" t="s">
        <v>1607</v>
      </c>
      <c r="K183" s="22" t="s">
        <v>2523</v>
      </c>
      <c r="L183" s="22" t="s">
        <v>2029</v>
      </c>
      <c r="M183" s="22" t="s">
        <v>1347</v>
      </c>
      <c r="N183" s="22" t="s">
        <v>68</v>
      </c>
      <c r="O183" s="22" t="s">
        <v>68</v>
      </c>
      <c r="P183" s="23">
        <v>46265.874414398146</v>
      </c>
    </row>
    <row r="184" spans="1:16" x14ac:dyDescent="0.25">
      <c r="A184" s="22" t="s">
        <v>2228</v>
      </c>
      <c r="B184" s="22" t="s">
        <v>1806</v>
      </c>
      <c r="C184" s="22" t="s">
        <v>1418</v>
      </c>
      <c r="D184" s="22" t="s">
        <v>1804</v>
      </c>
      <c r="E184">
        <v>14464.33</v>
      </c>
      <c r="F184">
        <v>5100.47</v>
      </c>
      <c r="G184">
        <v>100.57</v>
      </c>
      <c r="H184">
        <v>3870.86</v>
      </c>
      <c r="I184">
        <v>5100.47</v>
      </c>
      <c r="J184" s="22" t="s">
        <v>1607</v>
      </c>
      <c r="K184" s="22" t="s">
        <v>2523</v>
      </c>
      <c r="L184" s="22" t="s">
        <v>1807</v>
      </c>
      <c r="M184" s="22" t="s">
        <v>1347</v>
      </c>
      <c r="N184" s="22" t="s">
        <v>68</v>
      </c>
      <c r="O184" s="22" t="s">
        <v>68</v>
      </c>
      <c r="P184" s="23">
        <v>46265.874484560183</v>
      </c>
    </row>
    <row r="185" spans="1:16" x14ac:dyDescent="0.25">
      <c r="A185" s="22" t="s">
        <v>2229</v>
      </c>
      <c r="B185" s="22" t="s">
        <v>1922</v>
      </c>
      <c r="C185" s="22" t="s">
        <v>1418</v>
      </c>
      <c r="D185" s="22" t="s">
        <v>1923</v>
      </c>
      <c r="E185">
        <v>566.49</v>
      </c>
      <c r="F185">
        <v>4842.92</v>
      </c>
      <c r="G185">
        <v>6224.13</v>
      </c>
      <c r="H185">
        <v>4154.55</v>
      </c>
      <c r="I185">
        <v>4761.8599999999997</v>
      </c>
      <c r="J185" s="22" t="s">
        <v>1607</v>
      </c>
      <c r="K185" s="22" t="s">
        <v>2523</v>
      </c>
      <c r="L185" s="22" t="s">
        <v>1924</v>
      </c>
      <c r="M185" s="22" t="s">
        <v>1343</v>
      </c>
      <c r="N185" s="22" t="s">
        <v>68</v>
      </c>
      <c r="O185" s="22" t="s">
        <v>68</v>
      </c>
      <c r="P185" s="23">
        <v>46265.874572245368</v>
      </c>
    </row>
    <row r="186" spans="1:16" x14ac:dyDescent="0.25">
      <c r="A186" s="22" t="s">
        <v>2230</v>
      </c>
      <c r="B186" s="22" t="s">
        <v>1733</v>
      </c>
      <c r="C186" s="22" t="s">
        <v>1418</v>
      </c>
      <c r="D186" s="22" t="s">
        <v>1731</v>
      </c>
      <c r="E186">
        <v>3146.26</v>
      </c>
      <c r="F186">
        <v>948.95</v>
      </c>
      <c r="G186">
        <v>18613.490000000002</v>
      </c>
      <c r="H186">
        <v>3870.86</v>
      </c>
      <c r="I186">
        <v>4639.55</v>
      </c>
      <c r="J186" s="22" t="s">
        <v>1307</v>
      </c>
      <c r="K186" s="22" t="s">
        <v>2527</v>
      </c>
      <c r="L186" s="22" t="s">
        <v>1734</v>
      </c>
      <c r="M186" s="22" t="s">
        <v>1343</v>
      </c>
      <c r="N186" s="22" t="s">
        <v>68</v>
      </c>
      <c r="O186" s="22" t="s">
        <v>68</v>
      </c>
      <c r="P186" s="23">
        <v>46265.874654282408</v>
      </c>
    </row>
    <row r="187" spans="1:16" x14ac:dyDescent="0.25">
      <c r="A187" s="22" t="s">
        <v>2231</v>
      </c>
      <c r="B187" s="22" t="s">
        <v>1917</v>
      </c>
      <c r="C187" s="22" t="s">
        <v>612</v>
      </c>
      <c r="D187" s="22" t="s">
        <v>1915</v>
      </c>
      <c r="E187">
        <v>6259.59</v>
      </c>
      <c r="F187">
        <v>4892.88</v>
      </c>
      <c r="G187">
        <v>12924.04</v>
      </c>
      <c r="H187">
        <v>3870.86</v>
      </c>
      <c r="I187">
        <v>4892.88</v>
      </c>
      <c r="J187" s="22" t="s">
        <v>1607</v>
      </c>
      <c r="K187" s="22" t="s">
        <v>2523</v>
      </c>
      <c r="L187" s="22" t="s">
        <v>1918</v>
      </c>
      <c r="M187" s="22" t="s">
        <v>1343</v>
      </c>
      <c r="N187" s="22" t="s">
        <v>68</v>
      </c>
      <c r="O187" s="22" t="s">
        <v>68</v>
      </c>
      <c r="P187" s="23">
        <v>46265.874700925924</v>
      </c>
    </row>
    <row r="188" spans="1:16" x14ac:dyDescent="0.25">
      <c r="A188" s="22" t="s">
        <v>2232</v>
      </c>
      <c r="B188" s="22" t="s">
        <v>1536</v>
      </c>
      <c r="C188" s="22" t="s">
        <v>606</v>
      </c>
      <c r="D188" s="22" t="s">
        <v>1537</v>
      </c>
      <c r="E188">
        <v>2000</v>
      </c>
      <c r="F188">
        <v>1055.05</v>
      </c>
      <c r="G188">
        <v>3944.95</v>
      </c>
      <c r="H188">
        <v>0</v>
      </c>
      <c r="I188">
        <v>0</v>
      </c>
      <c r="J188" s="22" t="s">
        <v>1307</v>
      </c>
      <c r="K188" s="22" t="s">
        <v>2527</v>
      </c>
      <c r="L188" s="22" t="s">
        <v>1538</v>
      </c>
      <c r="M188" s="22" t="s">
        <v>1539</v>
      </c>
      <c r="N188" s="22" t="s">
        <v>68</v>
      </c>
      <c r="O188" s="22" t="s">
        <v>68</v>
      </c>
      <c r="P188" s="23">
        <v>46266.010815474539</v>
      </c>
    </row>
    <row r="189" spans="1:16" x14ac:dyDescent="0.25">
      <c r="A189" s="22" t="s">
        <v>2233</v>
      </c>
      <c r="B189" s="22" t="s">
        <v>1677</v>
      </c>
      <c r="C189" s="22" t="s">
        <v>606</v>
      </c>
      <c r="D189" s="22" t="s">
        <v>1678</v>
      </c>
      <c r="E189">
        <v>2000</v>
      </c>
      <c r="F189">
        <v>1055.05</v>
      </c>
      <c r="G189">
        <v>3944.95</v>
      </c>
      <c r="H189">
        <v>0</v>
      </c>
      <c r="I189">
        <v>1055.05</v>
      </c>
      <c r="J189" s="22" t="s">
        <v>1307</v>
      </c>
      <c r="K189" s="22" t="s">
        <v>2527</v>
      </c>
      <c r="L189" s="22" t="s">
        <v>1679</v>
      </c>
      <c r="M189" s="22" t="s">
        <v>1680</v>
      </c>
      <c r="N189" s="22" t="s">
        <v>68</v>
      </c>
      <c r="O189" s="22" t="s">
        <v>68</v>
      </c>
      <c r="P189" s="23">
        <v>46272.518815370371</v>
      </c>
    </row>
    <row r="190" spans="1:16" x14ac:dyDescent="0.25">
      <c r="A190" s="22" t="s">
        <v>2234</v>
      </c>
      <c r="B190" s="22" t="s">
        <v>1910</v>
      </c>
      <c r="C190" s="22" t="s">
        <v>606</v>
      </c>
      <c r="D190" s="22" t="s">
        <v>1911</v>
      </c>
      <c r="E190">
        <v>2000</v>
      </c>
      <c r="F190">
        <v>1055.05</v>
      </c>
      <c r="G190">
        <v>3944.95</v>
      </c>
      <c r="H190">
        <v>0</v>
      </c>
      <c r="I190">
        <v>1055.05</v>
      </c>
      <c r="J190" s="22" t="s">
        <v>1307</v>
      </c>
      <c r="K190" s="22" t="s">
        <v>2527</v>
      </c>
      <c r="L190" s="22" t="s">
        <v>1912</v>
      </c>
      <c r="M190" s="22" t="s">
        <v>1913</v>
      </c>
      <c r="N190" s="22" t="s">
        <v>68</v>
      </c>
      <c r="O190" s="22" t="s">
        <v>68</v>
      </c>
      <c r="P190" s="23">
        <v>46272.519735844908</v>
      </c>
    </row>
    <row r="191" spans="1:16" x14ac:dyDescent="0.25">
      <c r="A191" s="22" t="s">
        <v>2235</v>
      </c>
      <c r="B191" s="22" t="s">
        <v>1572</v>
      </c>
      <c r="C191" s="22" t="s">
        <v>606</v>
      </c>
      <c r="D191" s="22" t="s">
        <v>1573</v>
      </c>
      <c r="E191">
        <v>2000</v>
      </c>
      <c r="F191">
        <v>1055.05</v>
      </c>
      <c r="G191">
        <v>3944.95</v>
      </c>
      <c r="H191">
        <v>0</v>
      </c>
      <c r="I191">
        <v>1055.05</v>
      </c>
      <c r="J191" s="22" t="s">
        <v>1307</v>
      </c>
      <c r="K191" s="22" t="s">
        <v>2527</v>
      </c>
      <c r="L191" s="22" t="s">
        <v>1574</v>
      </c>
      <c r="M191" s="22" t="s">
        <v>1575</v>
      </c>
      <c r="N191" s="22" t="s">
        <v>68</v>
      </c>
      <c r="O191" s="22" t="s">
        <v>68</v>
      </c>
      <c r="P191" s="23">
        <v>46272.522888356485</v>
      </c>
    </row>
    <row r="192" spans="1:16" x14ac:dyDescent="0.25">
      <c r="A192" s="22" t="s">
        <v>2236</v>
      </c>
      <c r="B192" s="22" t="s">
        <v>1548</v>
      </c>
      <c r="C192" s="22" t="s">
        <v>606</v>
      </c>
      <c r="D192" s="22" t="s">
        <v>1549</v>
      </c>
      <c r="E192">
        <v>2000</v>
      </c>
      <c r="F192">
        <v>1055.05</v>
      </c>
      <c r="G192">
        <v>3944.95</v>
      </c>
      <c r="H192">
        <v>0</v>
      </c>
      <c r="I192">
        <v>1055.05</v>
      </c>
      <c r="J192" s="22" t="s">
        <v>1307</v>
      </c>
      <c r="K192" s="22" t="s">
        <v>2527</v>
      </c>
      <c r="L192" s="22" t="s">
        <v>1550</v>
      </c>
      <c r="M192" s="22" t="s">
        <v>1551</v>
      </c>
      <c r="N192" s="22" t="s">
        <v>68</v>
      </c>
      <c r="O192" s="22" t="s">
        <v>68</v>
      </c>
      <c r="P192" s="23">
        <v>46272.523915081016</v>
      </c>
    </row>
    <row r="193" spans="1:16" x14ac:dyDescent="0.25">
      <c r="A193" s="22" t="s">
        <v>2237</v>
      </c>
      <c r="B193" s="22" t="s">
        <v>2111</v>
      </c>
      <c r="C193" s="22" t="s">
        <v>606</v>
      </c>
      <c r="D193" s="22" t="s">
        <v>2112</v>
      </c>
      <c r="E193">
        <v>2000</v>
      </c>
      <c r="F193">
        <v>1055.05</v>
      </c>
      <c r="G193">
        <v>3944.95</v>
      </c>
      <c r="H193">
        <v>0</v>
      </c>
      <c r="I193">
        <v>1055.05</v>
      </c>
      <c r="J193" s="22" t="s">
        <v>1307</v>
      </c>
      <c r="K193" s="22" t="s">
        <v>2527</v>
      </c>
      <c r="L193" s="22" t="s">
        <v>2113</v>
      </c>
      <c r="M193" s="22" t="s">
        <v>2114</v>
      </c>
      <c r="N193" s="22" t="s">
        <v>68</v>
      </c>
      <c r="O193" s="22" t="s">
        <v>68</v>
      </c>
      <c r="P193" s="23">
        <v>46272.525327083335</v>
      </c>
    </row>
    <row r="194" spans="1:16" x14ac:dyDescent="0.25">
      <c r="A194" s="22" t="s">
        <v>2238</v>
      </c>
      <c r="B194" s="22" t="s">
        <v>1722</v>
      </c>
      <c r="C194" s="22" t="s">
        <v>606</v>
      </c>
      <c r="D194" s="22" t="s">
        <v>1723</v>
      </c>
      <c r="E194">
        <v>2000</v>
      </c>
      <c r="F194">
        <v>1055.05</v>
      </c>
      <c r="G194">
        <v>3944.95</v>
      </c>
      <c r="H194">
        <v>0</v>
      </c>
      <c r="I194">
        <v>1055.05</v>
      </c>
      <c r="J194" s="22" t="s">
        <v>1307</v>
      </c>
      <c r="K194" s="22" t="s">
        <v>2527</v>
      </c>
      <c r="L194" s="22" t="s">
        <v>1724</v>
      </c>
      <c r="M194" s="22" t="s">
        <v>1725</v>
      </c>
      <c r="N194" s="22" t="s">
        <v>68</v>
      </c>
      <c r="O194" s="22" t="s">
        <v>68</v>
      </c>
      <c r="P194" s="23">
        <v>46272.52654914352</v>
      </c>
    </row>
    <row r="195" spans="1:16" x14ac:dyDescent="0.25">
      <c r="A195" s="22" t="s">
        <v>2239</v>
      </c>
      <c r="B195" s="22" t="s">
        <v>1584</v>
      </c>
      <c r="C195" s="22" t="s">
        <v>606</v>
      </c>
      <c r="D195" s="22" t="s">
        <v>1585</v>
      </c>
      <c r="E195">
        <v>2000</v>
      </c>
      <c r="F195">
        <v>1055.05</v>
      </c>
      <c r="G195">
        <v>3944.95</v>
      </c>
      <c r="H195">
        <v>0</v>
      </c>
      <c r="I195">
        <v>1055.05</v>
      </c>
      <c r="J195" s="22" t="s">
        <v>1307</v>
      </c>
      <c r="K195" s="22" t="s">
        <v>2527</v>
      </c>
      <c r="L195" s="22" t="s">
        <v>1586</v>
      </c>
      <c r="M195" s="22" t="s">
        <v>1587</v>
      </c>
      <c r="N195" s="22" t="s">
        <v>68</v>
      </c>
      <c r="O195" s="22" t="s">
        <v>68</v>
      </c>
      <c r="P195" s="23">
        <v>46272.529768668981</v>
      </c>
    </row>
    <row r="196" spans="1:16" x14ac:dyDescent="0.25">
      <c r="A196" s="22" t="s">
        <v>2240</v>
      </c>
      <c r="B196" s="22" t="s">
        <v>1455</v>
      </c>
      <c r="C196" s="22" t="s">
        <v>606</v>
      </c>
      <c r="D196" s="22" t="s">
        <v>1456</v>
      </c>
      <c r="E196">
        <v>2000</v>
      </c>
      <c r="F196">
        <v>1055.05</v>
      </c>
      <c r="G196">
        <v>3944.95</v>
      </c>
      <c r="H196">
        <v>0</v>
      </c>
      <c r="I196">
        <v>1055.05</v>
      </c>
      <c r="J196" s="22" t="s">
        <v>1307</v>
      </c>
      <c r="K196" s="22" t="s">
        <v>2527</v>
      </c>
      <c r="L196" s="22" t="s">
        <v>1457</v>
      </c>
      <c r="M196" s="22" t="s">
        <v>1458</v>
      </c>
      <c r="N196" s="22" t="s">
        <v>68</v>
      </c>
      <c r="O196" s="22" t="s">
        <v>68</v>
      </c>
      <c r="P196" s="23">
        <v>46272.531179363425</v>
      </c>
    </row>
    <row r="197" spans="1:16" x14ac:dyDescent="0.25">
      <c r="A197" s="22" t="s">
        <v>2241</v>
      </c>
      <c r="B197" s="22" t="s">
        <v>1524</v>
      </c>
      <c r="C197" s="22" t="s">
        <v>606</v>
      </c>
      <c r="D197" s="22" t="s">
        <v>1525</v>
      </c>
      <c r="E197">
        <v>2000</v>
      </c>
      <c r="F197">
        <v>1055.05</v>
      </c>
      <c r="G197">
        <v>3944.95</v>
      </c>
      <c r="H197">
        <v>0</v>
      </c>
      <c r="I197">
        <v>1055.05</v>
      </c>
      <c r="J197" s="22" t="s">
        <v>1307</v>
      </c>
      <c r="K197" s="22" t="s">
        <v>2527</v>
      </c>
      <c r="L197" s="22" t="s">
        <v>1526</v>
      </c>
      <c r="M197" s="22" t="s">
        <v>1527</v>
      </c>
      <c r="N197" s="22" t="s">
        <v>68</v>
      </c>
      <c r="O197" s="22" t="s">
        <v>68</v>
      </c>
      <c r="P197" s="23">
        <v>46272.532392349538</v>
      </c>
    </row>
    <row r="198" spans="1:16" x14ac:dyDescent="0.25">
      <c r="A198" s="22" t="s">
        <v>2242</v>
      </c>
      <c r="B198" s="22" t="s">
        <v>1811</v>
      </c>
      <c r="C198" s="22" t="s">
        <v>606</v>
      </c>
      <c r="D198" s="22" t="s">
        <v>1812</v>
      </c>
      <c r="E198">
        <v>2000</v>
      </c>
      <c r="F198">
        <v>1055.05</v>
      </c>
      <c r="G198">
        <v>3944.95</v>
      </c>
      <c r="H198">
        <v>0</v>
      </c>
      <c r="I198">
        <v>1055.05</v>
      </c>
      <c r="J198" s="22" t="s">
        <v>1307</v>
      </c>
      <c r="K198" s="22" t="s">
        <v>2527</v>
      </c>
      <c r="L198" s="22" t="s">
        <v>1813</v>
      </c>
      <c r="M198" s="22" t="s">
        <v>1814</v>
      </c>
      <c r="N198" s="22" t="s">
        <v>68</v>
      </c>
      <c r="O198" s="22" t="s">
        <v>68</v>
      </c>
      <c r="P198" s="23">
        <v>46272.54458483796</v>
      </c>
    </row>
    <row r="199" spans="1:16" x14ac:dyDescent="0.25">
      <c r="A199" s="22" t="s">
        <v>2243</v>
      </c>
      <c r="B199" s="22" t="s">
        <v>1369</v>
      </c>
      <c r="C199" s="22" t="s">
        <v>606</v>
      </c>
      <c r="D199" s="22" t="s">
        <v>1370</v>
      </c>
      <c r="E199">
        <v>2000</v>
      </c>
      <c r="F199">
        <v>1055.05</v>
      </c>
      <c r="G199">
        <v>3944.95</v>
      </c>
      <c r="H199">
        <v>0</v>
      </c>
      <c r="I199">
        <v>1055.05</v>
      </c>
      <c r="J199" s="22" t="s">
        <v>1307</v>
      </c>
      <c r="K199" s="22" t="s">
        <v>2527</v>
      </c>
      <c r="L199" s="22" t="s">
        <v>1371</v>
      </c>
      <c r="M199" s="22" t="s">
        <v>1372</v>
      </c>
      <c r="N199" s="22" t="s">
        <v>68</v>
      </c>
      <c r="O199" s="22" t="s">
        <v>68</v>
      </c>
      <c r="P199" s="23">
        <v>46272.553600127314</v>
      </c>
    </row>
    <row r="200" spans="1:16" x14ac:dyDescent="0.25">
      <c r="A200" s="22" t="s">
        <v>2244</v>
      </c>
      <c r="B200" s="22" t="s">
        <v>1844</v>
      </c>
      <c r="C200" s="22" t="s">
        <v>606</v>
      </c>
      <c r="D200" s="22" t="s">
        <v>1845</v>
      </c>
      <c r="E200">
        <v>2000</v>
      </c>
      <c r="F200">
        <v>1055.05</v>
      </c>
      <c r="G200">
        <v>3944.95</v>
      </c>
      <c r="H200">
        <v>0</v>
      </c>
      <c r="I200">
        <v>1055.05</v>
      </c>
      <c r="J200" s="22" t="s">
        <v>1307</v>
      </c>
      <c r="K200" s="22" t="s">
        <v>2527</v>
      </c>
      <c r="L200" s="22" t="s">
        <v>1846</v>
      </c>
      <c r="M200" s="22" t="s">
        <v>1847</v>
      </c>
      <c r="N200" s="22" t="s">
        <v>68</v>
      </c>
      <c r="O200" s="22" t="s">
        <v>68</v>
      </c>
      <c r="P200" s="23">
        <v>46272.556713078702</v>
      </c>
    </row>
    <row r="201" spans="1:16" x14ac:dyDescent="0.25">
      <c r="A201" s="22" t="s">
        <v>2245</v>
      </c>
      <c r="B201" s="22" t="s">
        <v>1745</v>
      </c>
      <c r="C201" s="22" t="s">
        <v>606</v>
      </c>
      <c r="D201" s="22" t="s">
        <v>1746</v>
      </c>
      <c r="E201">
        <v>2000</v>
      </c>
      <c r="F201">
        <v>1055.05</v>
      </c>
      <c r="G201">
        <v>3944.95</v>
      </c>
      <c r="H201">
        <v>0</v>
      </c>
      <c r="I201">
        <v>1055.05</v>
      </c>
      <c r="J201" s="22" t="s">
        <v>1307</v>
      </c>
      <c r="K201" s="22" t="s">
        <v>2527</v>
      </c>
      <c r="L201" s="22" t="s">
        <v>1747</v>
      </c>
      <c r="M201" s="22" t="s">
        <v>1748</v>
      </c>
      <c r="N201" s="22" t="s">
        <v>68</v>
      </c>
      <c r="O201" s="22" t="s">
        <v>68</v>
      </c>
      <c r="P201" s="23">
        <v>46272.557428182874</v>
      </c>
    </row>
    <row r="202" spans="1:16" x14ac:dyDescent="0.25">
      <c r="A202" s="22" t="s">
        <v>2246</v>
      </c>
      <c r="B202" s="22" t="s">
        <v>1705</v>
      </c>
      <c r="C202" s="22" t="s">
        <v>606</v>
      </c>
      <c r="D202" s="22" t="s">
        <v>1706</v>
      </c>
      <c r="E202">
        <v>2000</v>
      </c>
      <c r="F202">
        <v>1055.05</v>
      </c>
      <c r="G202">
        <v>3944.95</v>
      </c>
      <c r="H202">
        <v>0</v>
      </c>
      <c r="I202">
        <v>1055.05</v>
      </c>
      <c r="J202" s="22" t="s">
        <v>1307</v>
      </c>
      <c r="K202" s="22" t="s">
        <v>2527</v>
      </c>
      <c r="L202" s="22" t="s">
        <v>1707</v>
      </c>
      <c r="M202" s="22" t="s">
        <v>1651</v>
      </c>
      <c r="N202" s="22" t="s">
        <v>68</v>
      </c>
      <c r="O202" s="22" t="s">
        <v>68</v>
      </c>
      <c r="P202" s="23">
        <v>46272.587850706019</v>
      </c>
    </row>
    <row r="203" spans="1:16" x14ac:dyDescent="0.25">
      <c r="A203" s="22" t="s">
        <v>2247</v>
      </c>
      <c r="B203" s="22" t="s">
        <v>2067</v>
      </c>
      <c r="C203" s="22" t="s">
        <v>606</v>
      </c>
      <c r="D203" s="22" t="s">
        <v>2068</v>
      </c>
      <c r="E203">
        <v>2000</v>
      </c>
      <c r="F203">
        <v>1055.05</v>
      </c>
      <c r="G203">
        <v>3944.95</v>
      </c>
      <c r="H203">
        <v>0</v>
      </c>
      <c r="I203">
        <v>1055.05</v>
      </c>
      <c r="J203" s="22" t="s">
        <v>1307</v>
      </c>
      <c r="K203" s="22" t="s">
        <v>2527</v>
      </c>
      <c r="L203" s="22" t="s">
        <v>2069</v>
      </c>
      <c r="M203" s="22" t="s">
        <v>2070</v>
      </c>
      <c r="N203" s="22" t="s">
        <v>68</v>
      </c>
      <c r="O203" s="22" t="s">
        <v>68</v>
      </c>
      <c r="P203" s="23">
        <v>46272.609908946761</v>
      </c>
    </row>
    <row r="204" spans="1:16" x14ac:dyDescent="0.25">
      <c r="A204" s="22" t="s">
        <v>2248</v>
      </c>
      <c r="B204" s="22" t="s">
        <v>1795</v>
      </c>
      <c r="C204" s="22" t="s">
        <v>606</v>
      </c>
      <c r="D204" s="22" t="s">
        <v>1796</v>
      </c>
      <c r="E204">
        <v>2000</v>
      </c>
      <c r="F204">
        <v>1055.05</v>
      </c>
      <c r="G204">
        <v>3944.95</v>
      </c>
      <c r="H204">
        <v>0</v>
      </c>
      <c r="I204">
        <v>1055.05</v>
      </c>
      <c r="J204" s="22" t="s">
        <v>1307</v>
      </c>
      <c r="K204" s="22" t="s">
        <v>2527</v>
      </c>
      <c r="L204" s="22" t="s">
        <v>1797</v>
      </c>
      <c r="M204" s="22" t="s">
        <v>1798</v>
      </c>
      <c r="N204" s="22" t="s">
        <v>68</v>
      </c>
      <c r="O204" s="22" t="s">
        <v>68</v>
      </c>
      <c r="P204" s="23">
        <v>46272.613215127312</v>
      </c>
    </row>
    <row r="205" spans="1:16" x14ac:dyDescent="0.25">
      <c r="A205" s="22" t="s">
        <v>2249</v>
      </c>
      <c r="B205" s="22" t="s">
        <v>1848</v>
      </c>
      <c r="C205" s="22" t="s">
        <v>606</v>
      </c>
      <c r="D205" s="22" t="s">
        <v>1849</v>
      </c>
      <c r="E205">
        <v>2000</v>
      </c>
      <c r="F205">
        <v>1055.05</v>
      </c>
      <c r="G205">
        <v>3944.95</v>
      </c>
      <c r="H205">
        <v>0</v>
      </c>
      <c r="I205">
        <v>1055.05</v>
      </c>
      <c r="J205" s="22" t="s">
        <v>1307</v>
      </c>
      <c r="K205" s="22" t="s">
        <v>2527</v>
      </c>
      <c r="L205" s="22" t="s">
        <v>1850</v>
      </c>
      <c r="M205" s="22" t="s">
        <v>551</v>
      </c>
      <c r="N205" s="22" t="s">
        <v>68</v>
      </c>
      <c r="O205" s="22" t="s">
        <v>68</v>
      </c>
      <c r="P205" s="23">
        <v>46272.64908116898</v>
      </c>
    </row>
    <row r="206" spans="1:16" x14ac:dyDescent="0.25">
      <c r="A206" s="22" t="s">
        <v>2250</v>
      </c>
      <c r="B206" s="22" t="s">
        <v>1673</v>
      </c>
      <c r="C206" s="22" t="s">
        <v>606</v>
      </c>
      <c r="D206" s="22" t="s">
        <v>1674</v>
      </c>
      <c r="E206">
        <v>2000</v>
      </c>
      <c r="F206">
        <v>1055.05</v>
      </c>
      <c r="G206">
        <v>3944.95</v>
      </c>
      <c r="H206">
        <v>0</v>
      </c>
      <c r="I206">
        <v>1055.05</v>
      </c>
      <c r="J206" s="22" t="s">
        <v>1307</v>
      </c>
      <c r="K206" s="22" t="s">
        <v>2527</v>
      </c>
      <c r="L206" s="22" t="s">
        <v>1675</v>
      </c>
      <c r="M206" s="22" t="s">
        <v>1676</v>
      </c>
      <c r="N206" s="22" t="s">
        <v>68</v>
      </c>
      <c r="O206" s="22" t="s">
        <v>68</v>
      </c>
      <c r="P206" s="23">
        <v>46272.677135370373</v>
      </c>
    </row>
    <row r="207" spans="1:16" x14ac:dyDescent="0.25">
      <c r="A207" s="22" t="s">
        <v>2251</v>
      </c>
      <c r="B207" s="22" t="s">
        <v>1999</v>
      </c>
      <c r="C207" s="22" t="s">
        <v>606</v>
      </c>
      <c r="D207" s="22" t="s">
        <v>2000</v>
      </c>
      <c r="E207">
        <v>2000</v>
      </c>
      <c r="F207">
        <v>1055.05</v>
      </c>
      <c r="G207">
        <v>3944.95</v>
      </c>
      <c r="H207">
        <v>0</v>
      </c>
      <c r="I207">
        <v>1055.05</v>
      </c>
      <c r="J207" s="22" t="s">
        <v>1307</v>
      </c>
      <c r="K207" s="22" t="s">
        <v>2527</v>
      </c>
      <c r="L207" s="22" t="s">
        <v>2001</v>
      </c>
      <c r="M207" s="22" t="s">
        <v>2002</v>
      </c>
      <c r="N207" s="22" t="s">
        <v>68</v>
      </c>
      <c r="O207" s="22" t="s">
        <v>68</v>
      </c>
      <c r="P207" s="23">
        <v>46272.678136273149</v>
      </c>
    </row>
    <row r="208" spans="1:16" x14ac:dyDescent="0.25">
      <c r="A208" s="22" t="s">
        <v>2252</v>
      </c>
      <c r="B208" s="22" t="s">
        <v>1991</v>
      </c>
      <c r="C208" s="22" t="s">
        <v>606</v>
      </c>
      <c r="D208" s="22" t="s">
        <v>1992</v>
      </c>
      <c r="E208">
        <v>2000</v>
      </c>
      <c r="F208">
        <v>1055.05</v>
      </c>
      <c r="G208">
        <v>3944.95</v>
      </c>
      <c r="H208">
        <v>0</v>
      </c>
      <c r="I208">
        <v>1055.05</v>
      </c>
      <c r="J208" s="22" t="s">
        <v>1307</v>
      </c>
      <c r="K208" s="22" t="s">
        <v>2527</v>
      </c>
      <c r="L208" s="22" t="s">
        <v>1993</v>
      </c>
      <c r="M208" s="22" t="s">
        <v>1994</v>
      </c>
      <c r="N208" s="22" t="s">
        <v>68</v>
      </c>
      <c r="O208" s="22" t="s">
        <v>68</v>
      </c>
      <c r="P208" s="23">
        <v>46272.679381967595</v>
      </c>
    </row>
    <row r="209" spans="1:16" x14ac:dyDescent="0.25">
      <c r="A209" s="22" t="s">
        <v>2253</v>
      </c>
      <c r="B209" s="22" t="s">
        <v>2006</v>
      </c>
      <c r="C209" s="22" t="s">
        <v>606</v>
      </c>
      <c r="D209" s="22" t="s">
        <v>2007</v>
      </c>
      <c r="E209">
        <v>2000</v>
      </c>
      <c r="F209">
        <v>1055.05</v>
      </c>
      <c r="G209">
        <v>3944.95</v>
      </c>
      <c r="H209">
        <v>0</v>
      </c>
      <c r="I209">
        <v>1055.05</v>
      </c>
      <c r="J209" s="22" t="s">
        <v>1307</v>
      </c>
      <c r="K209" s="22" t="s">
        <v>2527</v>
      </c>
      <c r="L209" s="22" t="s">
        <v>2008</v>
      </c>
      <c r="M209" s="22" t="s">
        <v>2009</v>
      </c>
      <c r="N209" s="22" t="s">
        <v>68</v>
      </c>
      <c r="O209" s="22" t="s">
        <v>68</v>
      </c>
      <c r="P209" s="23">
        <v>46272.679894479166</v>
      </c>
    </row>
    <row r="210" spans="1:16" x14ac:dyDescent="0.25">
      <c r="A210" s="22" t="s">
        <v>2254</v>
      </c>
      <c r="B210" s="22" t="s">
        <v>1552</v>
      </c>
      <c r="C210" s="22" t="s">
        <v>606</v>
      </c>
      <c r="D210" s="22" t="s">
        <v>1553</v>
      </c>
      <c r="E210">
        <v>2000</v>
      </c>
      <c r="F210">
        <v>1055.05</v>
      </c>
      <c r="G210">
        <v>3944.95</v>
      </c>
      <c r="H210">
        <v>0</v>
      </c>
      <c r="I210">
        <v>1055.05</v>
      </c>
      <c r="J210" s="22" t="s">
        <v>1307</v>
      </c>
      <c r="K210" s="22" t="s">
        <v>2527</v>
      </c>
      <c r="L210" s="22" t="s">
        <v>1554</v>
      </c>
      <c r="M210" s="22" t="s">
        <v>1555</v>
      </c>
      <c r="N210" s="22" t="s">
        <v>68</v>
      </c>
      <c r="O210" s="22" t="s">
        <v>68</v>
      </c>
      <c r="P210" s="23">
        <v>46272.690495277777</v>
      </c>
    </row>
    <row r="211" spans="1:16" x14ac:dyDescent="0.25">
      <c r="A211" s="22" t="s">
        <v>2255</v>
      </c>
      <c r="B211" s="22" t="s">
        <v>1373</v>
      </c>
      <c r="C211" s="22" t="s">
        <v>606</v>
      </c>
      <c r="D211" s="22" t="s">
        <v>1374</v>
      </c>
      <c r="E211">
        <v>2000</v>
      </c>
      <c r="F211">
        <v>1055.05</v>
      </c>
      <c r="G211">
        <v>3944.95</v>
      </c>
      <c r="H211">
        <v>0</v>
      </c>
      <c r="I211">
        <v>1055.05</v>
      </c>
      <c r="J211" s="22" t="s">
        <v>1307</v>
      </c>
      <c r="K211" s="22" t="s">
        <v>2527</v>
      </c>
      <c r="L211" s="22" t="s">
        <v>1375</v>
      </c>
      <c r="M211" s="22" t="s">
        <v>1376</v>
      </c>
      <c r="N211" s="22" t="s">
        <v>68</v>
      </c>
      <c r="O211" s="22" t="s">
        <v>68</v>
      </c>
      <c r="P211" s="23">
        <v>46272.699782256946</v>
      </c>
    </row>
    <row r="212" spans="1:16" x14ac:dyDescent="0.25">
      <c r="A212" s="22" t="s">
        <v>2256</v>
      </c>
      <c r="B212" s="22" t="s">
        <v>1568</v>
      </c>
      <c r="C212" s="22" t="s">
        <v>606</v>
      </c>
      <c r="D212" s="22" t="s">
        <v>1569</v>
      </c>
      <c r="E212">
        <v>2000</v>
      </c>
      <c r="F212">
        <v>1055.05</v>
      </c>
      <c r="G212">
        <v>3944.95</v>
      </c>
      <c r="H212">
        <v>0</v>
      </c>
      <c r="I212">
        <v>1055.05</v>
      </c>
      <c r="J212" s="22" t="s">
        <v>1307</v>
      </c>
      <c r="K212" s="22" t="s">
        <v>2527</v>
      </c>
      <c r="L212" s="22" t="s">
        <v>1570</v>
      </c>
      <c r="M212" s="22" t="s">
        <v>1571</v>
      </c>
      <c r="N212" s="22" t="s">
        <v>68</v>
      </c>
      <c r="O212" s="22" t="s">
        <v>68</v>
      </c>
      <c r="P212" s="23">
        <v>46272.70552596065</v>
      </c>
    </row>
    <row r="213" spans="1:16" x14ac:dyDescent="0.25">
      <c r="A213" s="22" t="s">
        <v>2257</v>
      </c>
      <c r="B213" s="22" t="s">
        <v>2043</v>
      </c>
      <c r="C213" s="22" t="s">
        <v>606</v>
      </c>
      <c r="D213" s="22" t="s">
        <v>2044</v>
      </c>
      <c r="E213">
        <v>2000</v>
      </c>
      <c r="F213">
        <v>1055.05</v>
      </c>
      <c r="G213">
        <v>3944.95</v>
      </c>
      <c r="H213">
        <v>0</v>
      </c>
      <c r="I213">
        <v>1055.05</v>
      </c>
      <c r="J213" s="22" t="s">
        <v>1307</v>
      </c>
      <c r="K213" s="22" t="s">
        <v>2527</v>
      </c>
      <c r="L213" s="22" t="s">
        <v>2045</v>
      </c>
      <c r="M213" s="22" t="s">
        <v>2046</v>
      </c>
      <c r="N213" s="22" t="s">
        <v>68</v>
      </c>
      <c r="O213" s="22" t="s">
        <v>68</v>
      </c>
      <c r="P213" s="23">
        <v>46272.706366319442</v>
      </c>
    </row>
    <row r="214" spans="1:16" x14ac:dyDescent="0.25">
      <c r="A214" s="22" t="s">
        <v>2258</v>
      </c>
      <c r="B214" s="22" t="s">
        <v>1856</v>
      </c>
      <c r="C214" s="22" t="s">
        <v>606</v>
      </c>
      <c r="D214" s="22" t="s">
        <v>1857</v>
      </c>
      <c r="E214">
        <v>2000</v>
      </c>
      <c r="F214">
        <v>1055.05</v>
      </c>
      <c r="G214">
        <v>3944.95</v>
      </c>
      <c r="H214">
        <v>0</v>
      </c>
      <c r="I214">
        <v>1055.05</v>
      </c>
      <c r="J214" s="22" t="s">
        <v>1307</v>
      </c>
      <c r="K214" s="22" t="s">
        <v>2527</v>
      </c>
      <c r="L214" s="22" t="s">
        <v>1858</v>
      </c>
      <c r="M214" s="22" t="s">
        <v>1859</v>
      </c>
      <c r="N214" s="22" t="s">
        <v>68</v>
      </c>
      <c r="O214" s="22" t="s">
        <v>68</v>
      </c>
      <c r="P214" s="23">
        <v>46272.709627638891</v>
      </c>
    </row>
    <row r="215" spans="1:16" x14ac:dyDescent="0.25">
      <c r="A215" s="22" t="s">
        <v>2259</v>
      </c>
      <c r="B215" s="22" t="s">
        <v>1831</v>
      </c>
      <c r="C215" s="22" t="s">
        <v>606</v>
      </c>
      <c r="D215" s="22" t="s">
        <v>1832</v>
      </c>
      <c r="E215">
        <v>2000</v>
      </c>
      <c r="F215">
        <v>1055.05</v>
      </c>
      <c r="G215">
        <v>3944.95</v>
      </c>
      <c r="H215">
        <v>0</v>
      </c>
      <c r="I215">
        <v>1055.05</v>
      </c>
      <c r="J215" s="22" t="s">
        <v>1307</v>
      </c>
      <c r="K215" s="22" t="s">
        <v>2527</v>
      </c>
      <c r="L215" s="22" t="s">
        <v>1833</v>
      </c>
      <c r="M215" s="22" t="s">
        <v>1834</v>
      </c>
      <c r="N215" s="22" t="s">
        <v>68</v>
      </c>
      <c r="O215" s="22" t="s">
        <v>68</v>
      </c>
      <c r="P215" s="23">
        <v>46272.715459259256</v>
      </c>
    </row>
    <row r="216" spans="1:16" x14ac:dyDescent="0.25">
      <c r="A216" s="22" t="s">
        <v>2260</v>
      </c>
      <c r="B216" s="22" t="s">
        <v>1860</v>
      </c>
      <c r="C216" s="22" t="s">
        <v>606</v>
      </c>
      <c r="D216" s="22" t="s">
        <v>1861</v>
      </c>
      <c r="E216">
        <v>2000</v>
      </c>
      <c r="F216">
        <v>1055.05</v>
      </c>
      <c r="G216">
        <v>3944.95</v>
      </c>
      <c r="H216">
        <v>0</v>
      </c>
      <c r="I216">
        <v>1055.05</v>
      </c>
      <c r="J216" s="22" t="s">
        <v>1307</v>
      </c>
      <c r="K216" s="22" t="s">
        <v>2527</v>
      </c>
      <c r="L216" s="22" t="s">
        <v>1862</v>
      </c>
      <c r="M216" s="22" t="s">
        <v>1690</v>
      </c>
      <c r="N216" s="22" t="s">
        <v>68</v>
      </c>
      <c r="O216" s="22" t="s">
        <v>68</v>
      </c>
      <c r="P216" s="23">
        <v>46272.718173333335</v>
      </c>
    </row>
    <row r="217" spans="1:16" x14ac:dyDescent="0.25">
      <c r="A217" s="22" t="s">
        <v>2261</v>
      </c>
      <c r="B217" s="22" t="s">
        <v>1424</v>
      </c>
      <c r="C217" s="22" t="s">
        <v>606</v>
      </c>
      <c r="D217" s="22" t="s">
        <v>1425</v>
      </c>
      <c r="E217">
        <v>2000</v>
      </c>
      <c r="F217">
        <v>1055.05</v>
      </c>
      <c r="G217">
        <v>3944.95</v>
      </c>
      <c r="H217">
        <v>0</v>
      </c>
      <c r="I217">
        <v>1055.05</v>
      </c>
      <c r="J217" s="22" t="s">
        <v>1307</v>
      </c>
      <c r="K217" s="22" t="s">
        <v>2527</v>
      </c>
      <c r="L217" s="22" t="s">
        <v>1426</v>
      </c>
      <c r="M217" s="22" t="s">
        <v>1427</v>
      </c>
      <c r="N217" s="22" t="s">
        <v>68</v>
      </c>
      <c r="O217" s="22" t="s">
        <v>68</v>
      </c>
      <c r="P217" s="23">
        <v>46272.739803796299</v>
      </c>
    </row>
    <row r="218" spans="1:16" x14ac:dyDescent="0.25">
      <c r="A218" s="22" t="s">
        <v>2262</v>
      </c>
      <c r="B218" s="22" t="s">
        <v>1712</v>
      </c>
      <c r="C218" s="22" t="s">
        <v>606</v>
      </c>
      <c r="D218" s="22" t="s">
        <v>1713</v>
      </c>
      <c r="E218">
        <v>2000</v>
      </c>
      <c r="F218">
        <v>1055.05</v>
      </c>
      <c r="G218">
        <v>3944.95</v>
      </c>
      <c r="H218">
        <v>0</v>
      </c>
      <c r="I218">
        <v>1055.05</v>
      </c>
      <c r="J218" s="22" t="s">
        <v>1307</v>
      </c>
      <c r="K218" s="22" t="s">
        <v>2527</v>
      </c>
      <c r="L218" s="22" t="s">
        <v>1714</v>
      </c>
      <c r="M218" s="22" t="s">
        <v>1715</v>
      </c>
      <c r="N218" s="22" t="s">
        <v>68</v>
      </c>
      <c r="O218" s="22" t="s">
        <v>68</v>
      </c>
      <c r="P218" s="23">
        <v>46272.742951898152</v>
      </c>
    </row>
    <row r="219" spans="1:16" x14ac:dyDescent="0.25">
      <c r="A219" s="22" t="s">
        <v>2263</v>
      </c>
      <c r="B219" s="22" t="s">
        <v>1609</v>
      </c>
      <c r="C219" s="22" t="s">
        <v>606</v>
      </c>
      <c r="D219" s="22" t="s">
        <v>1610</v>
      </c>
      <c r="E219">
        <v>2000</v>
      </c>
      <c r="F219">
        <v>1055.05</v>
      </c>
      <c r="G219">
        <v>3944.95</v>
      </c>
      <c r="H219">
        <v>0</v>
      </c>
      <c r="I219">
        <v>1055.05</v>
      </c>
      <c r="J219" s="22" t="s">
        <v>1307</v>
      </c>
      <c r="K219" s="22" t="s">
        <v>2527</v>
      </c>
      <c r="L219" s="22" t="s">
        <v>1611</v>
      </c>
      <c r="M219" s="22" t="s">
        <v>1612</v>
      </c>
      <c r="N219" s="22" t="s">
        <v>68</v>
      </c>
      <c r="O219" s="22" t="s">
        <v>68</v>
      </c>
      <c r="P219" s="23">
        <v>46272.764313194442</v>
      </c>
    </row>
    <row r="220" spans="1:16" x14ac:dyDescent="0.25">
      <c r="A220" s="22" t="s">
        <v>2264</v>
      </c>
      <c r="B220" s="22" t="s">
        <v>1835</v>
      </c>
      <c r="C220" s="22" t="s">
        <v>606</v>
      </c>
      <c r="D220" s="22" t="s">
        <v>1836</v>
      </c>
      <c r="E220">
        <v>2000</v>
      </c>
      <c r="F220">
        <v>1055.05</v>
      </c>
      <c r="G220">
        <v>3944.95</v>
      </c>
      <c r="H220">
        <v>0</v>
      </c>
      <c r="I220">
        <v>1055.05</v>
      </c>
      <c r="J220" s="22" t="s">
        <v>1307</v>
      </c>
      <c r="K220" s="22" t="s">
        <v>2527</v>
      </c>
      <c r="L220" s="22" t="s">
        <v>1837</v>
      </c>
      <c r="M220" s="22" t="s">
        <v>1838</v>
      </c>
      <c r="N220" s="22" t="s">
        <v>68</v>
      </c>
      <c r="O220" s="22" t="s">
        <v>68</v>
      </c>
      <c r="P220" s="23">
        <v>46272.765182291667</v>
      </c>
    </row>
    <row r="221" spans="1:16" x14ac:dyDescent="0.25">
      <c r="A221" s="22" t="s">
        <v>2265</v>
      </c>
      <c r="B221" s="22" t="s">
        <v>1749</v>
      </c>
      <c r="C221" s="22" t="s">
        <v>606</v>
      </c>
      <c r="D221" s="22" t="s">
        <v>1750</v>
      </c>
      <c r="E221">
        <v>2000</v>
      </c>
      <c r="F221">
        <v>1055.05</v>
      </c>
      <c r="G221">
        <v>3944.95</v>
      </c>
      <c r="H221">
        <v>0</v>
      </c>
      <c r="I221">
        <v>1055.05</v>
      </c>
      <c r="J221" s="22" t="s">
        <v>1307</v>
      </c>
      <c r="K221" s="22" t="s">
        <v>2527</v>
      </c>
      <c r="L221" s="22" t="s">
        <v>1751</v>
      </c>
      <c r="M221" s="22" t="s">
        <v>1752</v>
      </c>
      <c r="N221" s="22" t="s">
        <v>68</v>
      </c>
      <c r="O221" s="22" t="s">
        <v>68</v>
      </c>
      <c r="P221" s="23">
        <v>46272.768547766202</v>
      </c>
    </row>
    <row r="222" spans="1:16" x14ac:dyDescent="0.25">
      <c r="A222" s="22" t="s">
        <v>2266</v>
      </c>
      <c r="B222" s="22" t="s">
        <v>1815</v>
      </c>
      <c r="C222" s="22" t="s">
        <v>606</v>
      </c>
      <c r="D222" s="22" t="s">
        <v>1816</v>
      </c>
      <c r="E222">
        <v>2000</v>
      </c>
      <c r="F222">
        <v>1055.05</v>
      </c>
      <c r="G222">
        <v>3944.95</v>
      </c>
      <c r="H222">
        <v>0</v>
      </c>
      <c r="I222">
        <v>1055.05</v>
      </c>
      <c r="J222" s="22" t="s">
        <v>1307</v>
      </c>
      <c r="K222" s="22" t="s">
        <v>2527</v>
      </c>
      <c r="L222" s="22" t="s">
        <v>1817</v>
      </c>
      <c r="M222" s="22" t="s">
        <v>1818</v>
      </c>
      <c r="N222" s="22" t="s">
        <v>68</v>
      </c>
      <c r="O222" s="22" t="s">
        <v>68</v>
      </c>
      <c r="P222" s="23">
        <v>46272.778767337964</v>
      </c>
    </row>
    <row r="223" spans="1:16" x14ac:dyDescent="0.25">
      <c r="A223" s="22" t="s">
        <v>2506</v>
      </c>
      <c r="B223" s="22" t="s">
        <v>1588</v>
      </c>
      <c r="C223" s="22" t="s">
        <v>606</v>
      </c>
      <c r="D223" s="22" t="s">
        <v>1589</v>
      </c>
      <c r="E223">
        <v>2000</v>
      </c>
      <c r="F223">
        <v>1055.05</v>
      </c>
      <c r="G223">
        <v>3944.95</v>
      </c>
      <c r="H223">
        <v>0</v>
      </c>
      <c r="I223">
        <v>1055.05</v>
      </c>
      <c r="J223" s="22" t="s">
        <v>1307</v>
      </c>
      <c r="K223" s="22" t="s">
        <v>2527</v>
      </c>
      <c r="L223" s="22" t="s">
        <v>1590</v>
      </c>
      <c r="M223" s="22" t="s">
        <v>1591</v>
      </c>
      <c r="N223" s="22" t="s">
        <v>68</v>
      </c>
      <c r="O223" s="22" t="s">
        <v>68</v>
      </c>
      <c r="P223" s="23">
        <v>46272.787845439816</v>
      </c>
    </row>
    <row r="224" spans="1:16" x14ac:dyDescent="0.25">
      <c r="A224" s="22" t="s">
        <v>2507</v>
      </c>
      <c r="B224" s="22" t="s">
        <v>1827</v>
      </c>
      <c r="C224" s="22" t="s">
        <v>606</v>
      </c>
      <c r="D224" s="22" t="s">
        <v>1828</v>
      </c>
      <c r="E224">
        <v>2000</v>
      </c>
      <c r="F224">
        <v>1055.05</v>
      </c>
      <c r="G224">
        <v>3944.95</v>
      </c>
      <c r="H224">
        <v>0</v>
      </c>
      <c r="I224">
        <v>1055.05</v>
      </c>
      <c r="J224" s="22" t="s">
        <v>1307</v>
      </c>
      <c r="K224" s="22" t="s">
        <v>2527</v>
      </c>
      <c r="L224" s="22" t="s">
        <v>1829</v>
      </c>
      <c r="M224" s="22" t="s">
        <v>1830</v>
      </c>
      <c r="N224" s="22" t="s">
        <v>68</v>
      </c>
      <c r="O224" s="22" t="s">
        <v>68</v>
      </c>
      <c r="P224" s="23">
        <v>46272.789627905091</v>
      </c>
    </row>
    <row r="225" spans="1:16" x14ac:dyDescent="0.25">
      <c r="A225" s="22" t="s">
        <v>2508</v>
      </c>
      <c r="B225" s="22" t="s">
        <v>1528</v>
      </c>
      <c r="C225" s="22" t="s">
        <v>606</v>
      </c>
      <c r="D225" s="22" t="s">
        <v>1529</v>
      </c>
      <c r="E225">
        <v>2000</v>
      </c>
      <c r="F225">
        <v>1055.05</v>
      </c>
      <c r="G225">
        <v>3944.95</v>
      </c>
      <c r="H225">
        <v>0</v>
      </c>
      <c r="I225">
        <v>1055.05</v>
      </c>
      <c r="J225" s="22" t="s">
        <v>1307</v>
      </c>
      <c r="K225" s="22" t="s">
        <v>2527</v>
      </c>
      <c r="L225" s="22" t="s">
        <v>1530</v>
      </c>
      <c r="M225" s="22" t="s">
        <v>1531</v>
      </c>
      <c r="N225" s="22" t="s">
        <v>68</v>
      </c>
      <c r="O225" s="22" t="s">
        <v>68</v>
      </c>
      <c r="P225" s="23">
        <v>46272.801445324076</v>
      </c>
    </row>
    <row r="226" spans="1:16" x14ac:dyDescent="0.25">
      <c r="A226" s="22" t="s">
        <v>2552</v>
      </c>
      <c r="B226" s="22" t="s">
        <v>2074</v>
      </c>
      <c r="C226" s="22" t="s">
        <v>606</v>
      </c>
      <c r="D226" s="22" t="s">
        <v>2075</v>
      </c>
      <c r="E226">
        <v>2000</v>
      </c>
      <c r="F226">
        <v>1055.05</v>
      </c>
      <c r="G226">
        <v>3944.95</v>
      </c>
      <c r="H226">
        <v>0</v>
      </c>
      <c r="I226">
        <v>1055.05</v>
      </c>
      <c r="J226" s="22" t="s">
        <v>1307</v>
      </c>
      <c r="K226" s="22" t="s">
        <v>2527</v>
      </c>
      <c r="L226" s="22" t="s">
        <v>2076</v>
      </c>
      <c r="M226" s="22" t="s">
        <v>2077</v>
      </c>
      <c r="N226" s="22" t="s">
        <v>68</v>
      </c>
      <c r="O226" s="22" t="s">
        <v>68</v>
      </c>
      <c r="P226" s="23">
        <v>46272.807084409724</v>
      </c>
    </row>
    <row r="227" spans="1:16" x14ac:dyDescent="0.25">
      <c r="A227" s="22" t="s">
        <v>2553</v>
      </c>
      <c r="B227" s="22" t="s">
        <v>1872</v>
      </c>
      <c r="C227" s="22" t="s">
        <v>606</v>
      </c>
      <c r="D227" s="22" t="s">
        <v>1873</v>
      </c>
      <c r="E227">
        <v>2000</v>
      </c>
      <c r="F227">
        <v>1055.05</v>
      </c>
      <c r="G227">
        <v>3944.95</v>
      </c>
      <c r="H227">
        <v>0</v>
      </c>
      <c r="I227">
        <v>1055.05</v>
      </c>
      <c r="J227" s="22" t="s">
        <v>1307</v>
      </c>
      <c r="K227" s="22" t="s">
        <v>2527</v>
      </c>
      <c r="L227" s="22" t="s">
        <v>1874</v>
      </c>
      <c r="M227" s="22" t="s">
        <v>1875</v>
      </c>
      <c r="N227" s="22" t="s">
        <v>68</v>
      </c>
      <c r="O227" s="22" t="s">
        <v>68</v>
      </c>
      <c r="P227" s="23">
        <v>46272.843128946763</v>
      </c>
    </row>
    <row r="228" spans="1:16" x14ac:dyDescent="0.25">
      <c r="A228" s="22" t="s">
        <v>2554</v>
      </c>
      <c r="B228" s="22" t="s">
        <v>1868</v>
      </c>
      <c r="C228" s="22" t="s">
        <v>606</v>
      </c>
      <c r="D228" s="22" t="s">
        <v>1869</v>
      </c>
      <c r="E228">
        <v>2000</v>
      </c>
      <c r="F228">
        <v>1055.05</v>
      </c>
      <c r="G228">
        <v>3944.95</v>
      </c>
      <c r="H228">
        <v>0</v>
      </c>
      <c r="I228">
        <v>1055.05</v>
      </c>
      <c r="J228" s="22" t="s">
        <v>1307</v>
      </c>
      <c r="K228" s="22" t="s">
        <v>2527</v>
      </c>
      <c r="L228" s="22" t="s">
        <v>1870</v>
      </c>
      <c r="M228" s="22" t="s">
        <v>1871</v>
      </c>
      <c r="N228" s="22" t="s">
        <v>68</v>
      </c>
      <c r="O228" s="22" t="s">
        <v>68</v>
      </c>
      <c r="P228" s="23">
        <v>46272.851136805555</v>
      </c>
    </row>
    <row r="229" spans="1:16" x14ac:dyDescent="0.25">
      <c r="A229" s="22" t="s">
        <v>2555</v>
      </c>
      <c r="B229" s="22" t="s">
        <v>1681</v>
      </c>
      <c r="C229" s="22" t="s">
        <v>606</v>
      </c>
      <c r="D229" s="22" t="s">
        <v>1682</v>
      </c>
      <c r="E229">
        <v>2000</v>
      </c>
      <c r="F229">
        <v>1055.05</v>
      </c>
      <c r="G229">
        <v>3944.95</v>
      </c>
      <c r="H229">
        <v>0</v>
      </c>
      <c r="I229">
        <v>1055.05</v>
      </c>
      <c r="J229" s="22" t="s">
        <v>1307</v>
      </c>
      <c r="K229" s="22" t="s">
        <v>2527</v>
      </c>
      <c r="L229" s="22" t="s">
        <v>1683</v>
      </c>
      <c r="M229" s="22" t="s">
        <v>1363</v>
      </c>
      <c r="N229" s="22" t="s">
        <v>68</v>
      </c>
      <c r="O229" s="22" t="s">
        <v>68</v>
      </c>
      <c r="P229" s="23">
        <v>46272.855130405092</v>
      </c>
    </row>
    <row r="230" spans="1:16" x14ac:dyDescent="0.25">
      <c r="A230" s="22" t="s">
        <v>2556</v>
      </c>
      <c r="B230" s="22" t="s">
        <v>1351</v>
      </c>
      <c r="C230" s="22" t="s">
        <v>606</v>
      </c>
      <c r="D230" s="22" t="s">
        <v>1352</v>
      </c>
      <c r="E230">
        <v>2000</v>
      </c>
      <c r="F230">
        <v>1055.05</v>
      </c>
      <c r="G230">
        <v>3944.95</v>
      </c>
      <c r="H230">
        <v>0</v>
      </c>
      <c r="I230">
        <v>1055.05</v>
      </c>
      <c r="J230" s="22" t="s">
        <v>1307</v>
      </c>
      <c r="K230" s="22" t="s">
        <v>2527</v>
      </c>
      <c r="L230" s="22" t="s">
        <v>1353</v>
      </c>
      <c r="M230" s="22" t="s">
        <v>1354</v>
      </c>
      <c r="N230" s="22" t="s">
        <v>68</v>
      </c>
      <c r="O230" s="22" t="s">
        <v>68</v>
      </c>
      <c r="P230" s="23">
        <v>46272.859991053243</v>
      </c>
    </row>
    <row r="231" spans="1:16" x14ac:dyDescent="0.25">
      <c r="A231" s="22" t="s">
        <v>2557</v>
      </c>
      <c r="B231" s="22" t="s">
        <v>1365</v>
      </c>
      <c r="C231" s="22" t="s">
        <v>606</v>
      </c>
      <c r="D231" s="22" t="s">
        <v>1366</v>
      </c>
      <c r="E231">
        <v>2000</v>
      </c>
      <c r="F231">
        <v>1055.05</v>
      </c>
      <c r="G231">
        <v>3944.95</v>
      </c>
      <c r="H231">
        <v>0</v>
      </c>
      <c r="I231">
        <v>1055.05</v>
      </c>
      <c r="J231" s="22" t="s">
        <v>1307</v>
      </c>
      <c r="K231" s="22" t="s">
        <v>2527</v>
      </c>
      <c r="L231" s="22" t="s">
        <v>1367</v>
      </c>
      <c r="M231" s="22" t="s">
        <v>1368</v>
      </c>
      <c r="N231" s="22" t="s">
        <v>68</v>
      </c>
      <c r="O231" s="22" t="s">
        <v>68</v>
      </c>
      <c r="P231" s="23">
        <v>46272.880725960647</v>
      </c>
    </row>
    <row r="232" spans="1:16" x14ac:dyDescent="0.25">
      <c r="A232" s="22" t="s">
        <v>2558</v>
      </c>
      <c r="B232" s="22" t="s">
        <v>1943</v>
      </c>
      <c r="C232" s="22" t="s">
        <v>606</v>
      </c>
      <c r="D232" s="22" t="s">
        <v>1944</v>
      </c>
      <c r="E232">
        <v>2000</v>
      </c>
      <c r="F232">
        <v>1055.05</v>
      </c>
      <c r="G232">
        <v>3944.95</v>
      </c>
      <c r="H232">
        <v>0</v>
      </c>
      <c r="I232">
        <v>1055.05</v>
      </c>
      <c r="J232" s="22" t="s">
        <v>1307</v>
      </c>
      <c r="K232" s="22" t="s">
        <v>2527</v>
      </c>
      <c r="L232" s="22" t="s">
        <v>1945</v>
      </c>
      <c r="M232" s="22" t="s">
        <v>1946</v>
      </c>
      <c r="N232" s="22" t="s">
        <v>68</v>
      </c>
      <c r="O232" s="22" t="s">
        <v>68</v>
      </c>
      <c r="P232" s="23">
        <v>46272.882913842594</v>
      </c>
    </row>
    <row r="233" spans="1:16" x14ac:dyDescent="0.25">
      <c r="A233" s="22" t="s">
        <v>2559</v>
      </c>
      <c r="B233" s="22" t="s">
        <v>1773</v>
      </c>
      <c r="C233" s="22" t="s">
        <v>606</v>
      </c>
      <c r="D233" s="22" t="s">
        <v>1774</v>
      </c>
      <c r="E233">
        <v>2000</v>
      </c>
      <c r="F233">
        <v>1055.05</v>
      </c>
      <c r="G233">
        <v>3944.95</v>
      </c>
      <c r="H233">
        <v>0</v>
      </c>
      <c r="I233">
        <v>1055.05</v>
      </c>
      <c r="J233" s="22" t="s">
        <v>1307</v>
      </c>
      <c r="K233" s="22" t="s">
        <v>2527</v>
      </c>
      <c r="L233" s="22" t="s">
        <v>1775</v>
      </c>
      <c r="M233" s="22" t="s">
        <v>1776</v>
      </c>
      <c r="N233" s="22" t="s">
        <v>68</v>
      </c>
      <c r="O233" s="22" t="s">
        <v>68</v>
      </c>
      <c r="P233" s="23">
        <v>46272.888164814816</v>
      </c>
    </row>
    <row r="234" spans="1:16" x14ac:dyDescent="0.25">
      <c r="A234" s="22" t="s">
        <v>2560</v>
      </c>
      <c r="B234" s="22" t="s">
        <v>2091</v>
      </c>
      <c r="C234" s="22" t="s">
        <v>606</v>
      </c>
      <c r="D234" s="22" t="s">
        <v>2092</v>
      </c>
      <c r="E234">
        <v>2000</v>
      </c>
      <c r="F234">
        <v>1055.05</v>
      </c>
      <c r="G234">
        <v>3944.95</v>
      </c>
      <c r="H234">
        <v>0</v>
      </c>
      <c r="I234">
        <v>1055.05</v>
      </c>
      <c r="J234" s="22" t="s">
        <v>1307</v>
      </c>
      <c r="K234" s="22" t="s">
        <v>2527</v>
      </c>
      <c r="L234" s="22" t="s">
        <v>2093</v>
      </c>
      <c r="M234" s="22" t="s">
        <v>2094</v>
      </c>
      <c r="N234" s="22" t="s">
        <v>68</v>
      </c>
      <c r="O234" s="22" t="s">
        <v>68</v>
      </c>
      <c r="P234" s="23">
        <v>46274.128464710651</v>
      </c>
    </row>
    <row r="235" spans="1:16" x14ac:dyDescent="0.25">
      <c r="A235" s="22" t="s">
        <v>2561</v>
      </c>
      <c r="B235" s="22" t="s">
        <v>1440</v>
      </c>
      <c r="C235" s="22" t="s">
        <v>606</v>
      </c>
      <c r="D235" s="22" t="s">
        <v>1437</v>
      </c>
      <c r="E235">
        <v>1800.4</v>
      </c>
      <c r="F235">
        <v>1614.25</v>
      </c>
      <c r="G235">
        <v>3385.75</v>
      </c>
      <c r="H235">
        <v>0</v>
      </c>
      <c r="I235">
        <v>1614.25</v>
      </c>
      <c r="J235" s="22" t="s">
        <v>1307</v>
      </c>
      <c r="K235" s="22" t="s">
        <v>2527</v>
      </c>
      <c r="L235" s="22" t="s">
        <v>1441</v>
      </c>
      <c r="M235" s="22" t="s">
        <v>1442</v>
      </c>
      <c r="N235" s="22" t="s">
        <v>68</v>
      </c>
      <c r="O235" s="22" t="s">
        <v>68</v>
      </c>
      <c r="P235" s="23">
        <v>46274.654943888891</v>
      </c>
    </row>
    <row r="236" spans="1:16" x14ac:dyDescent="0.25">
      <c r="A236" s="22" t="s">
        <v>2562</v>
      </c>
      <c r="B236" s="22" t="s">
        <v>1436</v>
      </c>
      <c r="C236" s="22" t="s">
        <v>606</v>
      </c>
      <c r="D236" s="22" t="s">
        <v>1437</v>
      </c>
      <c r="E236">
        <v>1850.3</v>
      </c>
      <c r="F236">
        <v>1564.35</v>
      </c>
      <c r="G236">
        <v>3435.65</v>
      </c>
      <c r="H236">
        <v>0</v>
      </c>
      <c r="I236">
        <v>1564.35</v>
      </c>
      <c r="J236" s="22" t="s">
        <v>1307</v>
      </c>
      <c r="K236" s="22" t="s">
        <v>2527</v>
      </c>
      <c r="L236" s="22" t="s">
        <v>1438</v>
      </c>
      <c r="M236" s="22" t="s">
        <v>1439</v>
      </c>
      <c r="N236" s="22" t="s">
        <v>68</v>
      </c>
      <c r="O236" s="22" t="s">
        <v>68</v>
      </c>
      <c r="P236" s="23">
        <v>46274.659754328706</v>
      </c>
    </row>
    <row r="237" spans="1:16" x14ac:dyDescent="0.25">
      <c r="A237" s="22" t="s">
        <v>2563</v>
      </c>
      <c r="B237" s="22" t="s">
        <v>1443</v>
      </c>
      <c r="C237" s="22" t="s">
        <v>606</v>
      </c>
      <c r="D237" s="22" t="s">
        <v>1437</v>
      </c>
      <c r="E237">
        <v>1850.3</v>
      </c>
      <c r="F237">
        <v>1474.45</v>
      </c>
      <c r="G237">
        <v>3525.55</v>
      </c>
      <c r="H237">
        <v>0</v>
      </c>
      <c r="I237">
        <v>1474.45</v>
      </c>
      <c r="J237" s="22" t="s">
        <v>1307</v>
      </c>
      <c r="K237" s="22" t="s">
        <v>2527</v>
      </c>
      <c r="L237" s="22" t="s">
        <v>1444</v>
      </c>
      <c r="M237" s="22" t="s">
        <v>1445</v>
      </c>
      <c r="N237" s="22" t="s">
        <v>68</v>
      </c>
      <c r="O237" s="22" t="s">
        <v>68</v>
      </c>
      <c r="P237" s="23">
        <v>46274.661077430559</v>
      </c>
    </row>
    <row r="238" spans="1:16" x14ac:dyDescent="0.25">
      <c r="A238" s="22" t="s">
        <v>2564</v>
      </c>
      <c r="B238" s="22" t="s">
        <v>11</v>
      </c>
      <c r="C238" s="22" t="s">
        <v>606</v>
      </c>
      <c r="D238" s="22" t="s">
        <v>52</v>
      </c>
      <c r="E238">
        <v>2000</v>
      </c>
      <c r="F238">
        <v>1055.05</v>
      </c>
      <c r="G238">
        <v>3944.95</v>
      </c>
      <c r="H238">
        <v>0</v>
      </c>
      <c r="I238">
        <v>1055.05</v>
      </c>
      <c r="J238" s="22" t="s">
        <v>1307</v>
      </c>
      <c r="K238" s="22" t="s">
        <v>2527</v>
      </c>
      <c r="L238" s="22" t="s">
        <v>1671</v>
      </c>
      <c r="M238" s="22" t="s">
        <v>1672</v>
      </c>
      <c r="N238" s="22" t="s">
        <v>68</v>
      </c>
      <c r="O238" s="22" t="s">
        <v>68</v>
      </c>
      <c r="P238" s="23">
        <v>46274.817525347222</v>
      </c>
    </row>
    <row r="239" spans="1:16" x14ac:dyDescent="0.25">
      <c r="A239" s="22" t="s">
        <v>2565</v>
      </c>
      <c r="B239" s="22" t="s">
        <v>73</v>
      </c>
      <c r="C239" s="22" t="s">
        <v>606</v>
      </c>
      <c r="D239" s="22" t="s">
        <v>70</v>
      </c>
      <c r="E239">
        <v>1898.39</v>
      </c>
      <c r="F239">
        <v>1055.05</v>
      </c>
      <c r="G239">
        <v>3944.95</v>
      </c>
      <c r="H239">
        <v>0</v>
      </c>
      <c r="I239">
        <v>1055.05</v>
      </c>
      <c r="J239" s="22" t="s">
        <v>1307</v>
      </c>
      <c r="K239" s="22" t="s">
        <v>2527</v>
      </c>
      <c r="L239" s="22" t="s">
        <v>1522</v>
      </c>
      <c r="M239" s="22" t="s">
        <v>1523</v>
      </c>
      <c r="N239" s="22" t="s">
        <v>68</v>
      </c>
      <c r="O239" s="22" t="s">
        <v>68</v>
      </c>
      <c r="P239" s="23">
        <v>46274.835714768516</v>
      </c>
    </row>
    <row r="240" spans="1:16" x14ac:dyDescent="0.25">
      <c r="A240" s="22" t="s">
        <v>2566</v>
      </c>
      <c r="B240" s="22" t="s">
        <v>90</v>
      </c>
      <c r="C240" s="22" t="s">
        <v>606</v>
      </c>
      <c r="D240" s="22" t="s">
        <v>87</v>
      </c>
      <c r="E240">
        <v>1993.94</v>
      </c>
      <c r="F240">
        <v>1384.45</v>
      </c>
      <c r="G240">
        <v>3615.55</v>
      </c>
      <c r="H240">
        <v>0</v>
      </c>
      <c r="I240">
        <v>1384.45</v>
      </c>
      <c r="J240" s="22" t="s">
        <v>1307</v>
      </c>
      <c r="K240" s="22" t="s">
        <v>2527</v>
      </c>
      <c r="L240" s="22" t="s">
        <v>1980</v>
      </c>
      <c r="M240" s="22" t="s">
        <v>1981</v>
      </c>
      <c r="N240" s="22" t="s">
        <v>68</v>
      </c>
      <c r="O240" s="22" t="s">
        <v>68</v>
      </c>
      <c r="P240" s="23">
        <v>46274.844761261571</v>
      </c>
    </row>
    <row r="241" spans="1:16" x14ac:dyDescent="0.25">
      <c r="A241" s="22" t="s">
        <v>2567</v>
      </c>
      <c r="B241" s="22" t="s">
        <v>105</v>
      </c>
      <c r="C241" s="22" t="s">
        <v>606</v>
      </c>
      <c r="D241" s="22" t="s">
        <v>102</v>
      </c>
      <c r="E241">
        <v>2000</v>
      </c>
      <c r="F241">
        <v>1144.75</v>
      </c>
      <c r="G241">
        <v>3855.25</v>
      </c>
      <c r="H241">
        <v>0</v>
      </c>
      <c r="I241">
        <v>1144.75</v>
      </c>
      <c r="J241" s="22" t="s">
        <v>1307</v>
      </c>
      <c r="K241" s="22" t="s">
        <v>2527</v>
      </c>
      <c r="L241" s="22" t="s">
        <v>1592</v>
      </c>
      <c r="M241" s="22" t="s">
        <v>1593</v>
      </c>
      <c r="N241" s="22" t="s">
        <v>68</v>
      </c>
      <c r="O241" s="22" t="s">
        <v>68</v>
      </c>
      <c r="P241" s="23">
        <v>46274.852203518516</v>
      </c>
    </row>
    <row r="242" spans="1:16" x14ac:dyDescent="0.25">
      <c r="A242" s="22" t="s">
        <v>2568</v>
      </c>
      <c r="B242" s="22" t="s">
        <v>120</v>
      </c>
      <c r="C242" s="22" t="s">
        <v>606</v>
      </c>
      <c r="D242" s="22" t="s">
        <v>117</v>
      </c>
      <c r="E242">
        <v>2000</v>
      </c>
      <c r="F242">
        <v>1324.75</v>
      </c>
      <c r="G242">
        <v>3675.25</v>
      </c>
      <c r="H242">
        <v>0</v>
      </c>
      <c r="I242">
        <v>1324.75</v>
      </c>
      <c r="J242" s="22" t="s">
        <v>1307</v>
      </c>
      <c r="K242" s="22" t="s">
        <v>2527</v>
      </c>
      <c r="L242" s="22" t="s">
        <v>2115</v>
      </c>
      <c r="M242" s="22" t="s">
        <v>2116</v>
      </c>
      <c r="N242" s="22" t="s">
        <v>68</v>
      </c>
      <c r="O242" s="22" t="s">
        <v>68</v>
      </c>
      <c r="P242" s="23">
        <v>46274.85621189815</v>
      </c>
    </row>
    <row r="243" spans="1:16" x14ac:dyDescent="0.25">
      <c r="A243" s="22" t="s">
        <v>2569</v>
      </c>
      <c r="B243" s="22" t="s">
        <v>134</v>
      </c>
      <c r="C243" s="22" t="s">
        <v>606</v>
      </c>
      <c r="D243" s="22" t="s">
        <v>131</v>
      </c>
      <c r="E243">
        <v>2000</v>
      </c>
      <c r="F243">
        <v>1055.05</v>
      </c>
      <c r="G243">
        <v>3944.95</v>
      </c>
      <c r="H243">
        <v>0</v>
      </c>
      <c r="I243">
        <v>1055.05</v>
      </c>
      <c r="J243" s="22" t="s">
        <v>1307</v>
      </c>
      <c r="K243" s="22" t="s">
        <v>2527</v>
      </c>
      <c r="L243" s="22" t="s">
        <v>1771</v>
      </c>
      <c r="M243" s="22" t="s">
        <v>1772</v>
      </c>
      <c r="N243" s="22" t="s">
        <v>68</v>
      </c>
      <c r="O243" s="22" t="s">
        <v>68</v>
      </c>
      <c r="P243" s="23">
        <v>46274.86301922454</v>
      </c>
    </row>
    <row r="244" spans="1:16" x14ac:dyDescent="0.25">
      <c r="A244" s="22" t="s">
        <v>2570</v>
      </c>
      <c r="B244" s="22" t="s">
        <v>150</v>
      </c>
      <c r="C244" s="22" t="s">
        <v>606</v>
      </c>
      <c r="D244" s="22" t="s">
        <v>147</v>
      </c>
      <c r="E244">
        <v>1850.3</v>
      </c>
      <c r="F244">
        <v>1204.75</v>
      </c>
      <c r="G244">
        <v>3795.25</v>
      </c>
      <c r="H244">
        <v>0</v>
      </c>
      <c r="I244">
        <v>1204.75</v>
      </c>
      <c r="J244" s="22" t="s">
        <v>1307</v>
      </c>
      <c r="K244" s="22" t="s">
        <v>2527</v>
      </c>
      <c r="L244" s="22" t="s">
        <v>1930</v>
      </c>
      <c r="M244" s="22" t="s">
        <v>1931</v>
      </c>
      <c r="N244" s="22" t="s">
        <v>68</v>
      </c>
      <c r="O244" s="22" t="s">
        <v>68</v>
      </c>
      <c r="P244" s="23">
        <v>46274.866391550924</v>
      </c>
    </row>
    <row r="245" spans="1:16" x14ac:dyDescent="0.25">
      <c r="A245" s="22" t="s">
        <v>2571</v>
      </c>
      <c r="B245" s="22" t="s">
        <v>165</v>
      </c>
      <c r="C245" s="22" t="s">
        <v>606</v>
      </c>
      <c r="D245" s="22" t="s">
        <v>162</v>
      </c>
      <c r="E245">
        <v>1940.3</v>
      </c>
      <c r="F245">
        <v>1114.75</v>
      </c>
      <c r="G245">
        <v>3885.25</v>
      </c>
      <c r="H245">
        <v>0</v>
      </c>
      <c r="I245">
        <v>1114.75</v>
      </c>
      <c r="J245" s="22" t="s">
        <v>1307</v>
      </c>
      <c r="K245" s="22" t="s">
        <v>2527</v>
      </c>
      <c r="L245" s="22" t="s">
        <v>2086</v>
      </c>
      <c r="M245" s="22" t="s">
        <v>2087</v>
      </c>
      <c r="N245" s="22" t="s">
        <v>68</v>
      </c>
      <c r="O245" s="22" t="s">
        <v>68</v>
      </c>
      <c r="P245" s="23">
        <v>46274.874759479164</v>
      </c>
    </row>
    <row r="246" spans="1:16" x14ac:dyDescent="0.25">
      <c r="A246" s="22" t="s">
        <v>2572</v>
      </c>
      <c r="B246" s="22" t="s">
        <v>194</v>
      </c>
      <c r="C246" s="22" t="s">
        <v>606</v>
      </c>
      <c r="D246" s="22" t="s">
        <v>191</v>
      </c>
      <c r="E246">
        <v>2047.97</v>
      </c>
      <c r="F246">
        <v>1144.75</v>
      </c>
      <c r="G246">
        <v>3855.25</v>
      </c>
      <c r="H246">
        <v>0</v>
      </c>
      <c r="I246">
        <v>1144.75</v>
      </c>
      <c r="J246" s="22" t="s">
        <v>1307</v>
      </c>
      <c r="K246" s="22" t="s">
        <v>2527</v>
      </c>
      <c r="L246" s="22" t="s">
        <v>2050</v>
      </c>
      <c r="M246" s="22" t="s">
        <v>2051</v>
      </c>
      <c r="N246" s="22" t="s">
        <v>68</v>
      </c>
      <c r="O246" s="22" t="s">
        <v>68</v>
      </c>
      <c r="P246" s="23">
        <v>46274.880745706017</v>
      </c>
    </row>
    <row r="247" spans="1:16" x14ac:dyDescent="0.25">
      <c r="A247" s="22" t="s">
        <v>2573</v>
      </c>
      <c r="B247" s="22" t="s">
        <v>180</v>
      </c>
      <c r="C247" s="22" t="s">
        <v>606</v>
      </c>
      <c r="D247" s="22" t="s">
        <v>177</v>
      </c>
      <c r="E247">
        <v>2321.84</v>
      </c>
      <c r="F247">
        <v>1055.05</v>
      </c>
      <c r="G247">
        <v>3944.95</v>
      </c>
      <c r="H247">
        <v>0</v>
      </c>
      <c r="I247">
        <v>1055.05</v>
      </c>
      <c r="J247" s="22" t="s">
        <v>1307</v>
      </c>
      <c r="K247" s="22" t="s">
        <v>2527</v>
      </c>
      <c r="L247" s="22" t="s">
        <v>1364</v>
      </c>
      <c r="M247" s="22" t="s">
        <v>1329</v>
      </c>
      <c r="N247" s="22" t="s">
        <v>68</v>
      </c>
      <c r="O247" s="22" t="s">
        <v>68</v>
      </c>
      <c r="P247" s="23">
        <v>46274.901166759257</v>
      </c>
    </row>
    <row r="248" spans="1:16" x14ac:dyDescent="0.25">
      <c r="A248" s="22" t="s">
        <v>2574</v>
      </c>
      <c r="B248" s="22" t="s">
        <v>207</v>
      </c>
      <c r="C248" s="22" t="s">
        <v>606</v>
      </c>
      <c r="D248" s="22" t="s">
        <v>204</v>
      </c>
      <c r="E248">
        <v>2000</v>
      </c>
      <c r="F248">
        <v>1055.05</v>
      </c>
      <c r="G248">
        <v>3944.95</v>
      </c>
      <c r="H248">
        <v>0</v>
      </c>
      <c r="I248">
        <v>1055.05</v>
      </c>
      <c r="J248" s="22" t="s">
        <v>1307</v>
      </c>
      <c r="K248" s="22" t="s">
        <v>2527</v>
      </c>
      <c r="L248" s="22" t="s">
        <v>1855</v>
      </c>
      <c r="M248" s="22" t="s">
        <v>1458</v>
      </c>
      <c r="N248" s="22" t="s">
        <v>68</v>
      </c>
      <c r="O248" s="22" t="s">
        <v>68</v>
      </c>
      <c r="P248" s="23">
        <v>46274.922464618059</v>
      </c>
    </row>
    <row r="249" spans="1:16" x14ac:dyDescent="0.25">
      <c r="A249" s="22" t="s">
        <v>2575</v>
      </c>
      <c r="B249" s="22" t="s">
        <v>221</v>
      </c>
      <c r="C249" s="22" t="s">
        <v>606</v>
      </c>
      <c r="D249" s="22" t="s">
        <v>218</v>
      </c>
      <c r="E249">
        <v>1940.3</v>
      </c>
      <c r="F249">
        <v>1384.45</v>
      </c>
      <c r="G249">
        <v>3615.55</v>
      </c>
      <c r="H249">
        <v>0</v>
      </c>
      <c r="I249">
        <v>1384.45</v>
      </c>
      <c r="J249" s="22" t="s">
        <v>1307</v>
      </c>
      <c r="K249" s="22" t="s">
        <v>2527</v>
      </c>
      <c r="L249" s="22" t="s">
        <v>2039</v>
      </c>
      <c r="M249" s="22" t="s">
        <v>2040</v>
      </c>
      <c r="N249" s="22" t="s">
        <v>2041</v>
      </c>
      <c r="O249" s="22" t="s">
        <v>2042</v>
      </c>
      <c r="P249" s="23">
        <v>46274.944994768521</v>
      </c>
    </row>
    <row r="250" spans="1:16" x14ac:dyDescent="0.25">
      <c r="A250" s="22" t="s">
        <v>2576</v>
      </c>
      <c r="B250" s="22" t="s">
        <v>235</v>
      </c>
      <c r="C250" s="22" t="s">
        <v>606</v>
      </c>
      <c r="D250" s="22" t="s">
        <v>232</v>
      </c>
      <c r="E250">
        <v>2000</v>
      </c>
      <c r="F250">
        <v>1324.75</v>
      </c>
      <c r="G250">
        <v>3675.25</v>
      </c>
      <c r="H250">
        <v>0</v>
      </c>
      <c r="I250">
        <v>1324.75</v>
      </c>
      <c r="J250" s="22" t="s">
        <v>1307</v>
      </c>
      <c r="K250" s="22" t="s">
        <v>2527</v>
      </c>
      <c r="L250" s="22" t="s">
        <v>1952</v>
      </c>
      <c r="M250" s="22" t="s">
        <v>1953</v>
      </c>
      <c r="N250" s="22" t="s">
        <v>68</v>
      </c>
      <c r="O250" s="22" t="s">
        <v>68</v>
      </c>
      <c r="P250" s="23">
        <v>46274.949902511573</v>
      </c>
    </row>
    <row r="251" spans="1:16" x14ac:dyDescent="0.25">
      <c r="A251" s="22" t="s">
        <v>2577</v>
      </c>
      <c r="B251" s="22" t="s">
        <v>249</v>
      </c>
      <c r="C251" s="22" t="s">
        <v>606</v>
      </c>
      <c r="D251" s="22" t="s">
        <v>246</v>
      </c>
      <c r="E251">
        <v>1678.16</v>
      </c>
      <c r="F251">
        <v>755.05</v>
      </c>
      <c r="G251">
        <v>4244.95</v>
      </c>
      <c r="H251">
        <v>0</v>
      </c>
      <c r="I251">
        <v>755.05</v>
      </c>
      <c r="J251" s="22" t="s">
        <v>1307</v>
      </c>
      <c r="K251" s="22" t="s">
        <v>2527</v>
      </c>
      <c r="L251" s="22" t="s">
        <v>1362</v>
      </c>
      <c r="M251" s="22" t="s">
        <v>1363</v>
      </c>
      <c r="N251" s="22" t="s">
        <v>68</v>
      </c>
      <c r="O251" s="22" t="s">
        <v>68</v>
      </c>
      <c r="P251" s="23">
        <v>46274.973782199071</v>
      </c>
    </row>
    <row r="252" spans="1:16" x14ac:dyDescent="0.25">
      <c r="A252" s="22" t="s">
        <v>2578</v>
      </c>
      <c r="B252" s="22" t="s">
        <v>395</v>
      </c>
      <c r="C252" s="22" t="s">
        <v>606</v>
      </c>
      <c r="D252" s="22" t="s">
        <v>392</v>
      </c>
      <c r="E252">
        <v>2000</v>
      </c>
      <c r="F252">
        <v>1024.75</v>
      </c>
      <c r="G252">
        <v>3975.25</v>
      </c>
      <c r="H252">
        <v>0</v>
      </c>
      <c r="I252">
        <v>1024.75</v>
      </c>
      <c r="J252" s="22" t="s">
        <v>1307</v>
      </c>
      <c r="K252" s="22" t="s">
        <v>2527</v>
      </c>
      <c r="L252" s="22" t="s">
        <v>2010</v>
      </c>
      <c r="M252" s="22" t="s">
        <v>2011</v>
      </c>
      <c r="N252" s="22" t="s">
        <v>68</v>
      </c>
      <c r="O252" s="22" t="s">
        <v>68</v>
      </c>
      <c r="P252" s="23">
        <v>46274.981324664353</v>
      </c>
    </row>
    <row r="253" spans="1:16" x14ac:dyDescent="0.25">
      <c r="A253" s="22" t="s">
        <v>2579</v>
      </c>
      <c r="B253" s="22" t="s">
        <v>262</v>
      </c>
      <c r="C253" s="22" t="s">
        <v>606</v>
      </c>
      <c r="D253" s="22" t="s">
        <v>259</v>
      </c>
      <c r="E253">
        <v>2000</v>
      </c>
      <c r="F253">
        <v>240.71</v>
      </c>
      <c r="G253">
        <v>4759.29</v>
      </c>
      <c r="H253">
        <v>0</v>
      </c>
      <c r="I253">
        <v>240.71</v>
      </c>
      <c r="J253" s="22" t="s">
        <v>1307</v>
      </c>
      <c r="K253" s="22" t="s">
        <v>2527</v>
      </c>
      <c r="L253" s="22" t="s">
        <v>1716</v>
      </c>
      <c r="M253" s="22" t="s">
        <v>1717</v>
      </c>
      <c r="N253" s="22" t="s">
        <v>68</v>
      </c>
      <c r="O253" s="22" t="s">
        <v>68</v>
      </c>
      <c r="P253" s="23">
        <v>46274.991066493058</v>
      </c>
    </row>
    <row r="254" spans="1:16" x14ac:dyDescent="0.25">
      <c r="A254" s="22" t="s">
        <v>2580</v>
      </c>
      <c r="B254" s="22" t="s">
        <v>275</v>
      </c>
      <c r="C254" s="22" t="s">
        <v>606</v>
      </c>
      <c r="D254" s="22" t="s">
        <v>272</v>
      </c>
      <c r="E254">
        <v>2000</v>
      </c>
      <c r="F254">
        <v>59.8</v>
      </c>
      <c r="G254">
        <v>4940.2</v>
      </c>
      <c r="H254">
        <v>0</v>
      </c>
      <c r="I254">
        <v>59.8</v>
      </c>
      <c r="J254" s="22" t="s">
        <v>1307</v>
      </c>
      <c r="K254" s="22" t="s">
        <v>2527</v>
      </c>
      <c r="L254" s="22" t="s">
        <v>2581</v>
      </c>
      <c r="M254" s="22" t="s">
        <v>2582</v>
      </c>
      <c r="N254" s="22" t="s">
        <v>68</v>
      </c>
      <c r="O254" s="22" t="s">
        <v>68</v>
      </c>
      <c r="P254" s="23">
        <v>46275.50468607639</v>
      </c>
    </row>
    <row r="255" spans="1:16" x14ac:dyDescent="0.25">
      <c r="A255" s="22" t="s">
        <v>2583</v>
      </c>
      <c r="B255" s="22" t="s">
        <v>288</v>
      </c>
      <c r="C255" s="22" t="s">
        <v>606</v>
      </c>
      <c r="D255" s="22" t="s">
        <v>285</v>
      </c>
      <c r="E255">
        <v>2000</v>
      </c>
      <c r="F255">
        <v>59.8</v>
      </c>
      <c r="G255">
        <v>4940.2</v>
      </c>
      <c r="H255">
        <v>0</v>
      </c>
      <c r="I255">
        <v>59.8</v>
      </c>
      <c r="J255" s="22" t="s">
        <v>1307</v>
      </c>
      <c r="K255" s="22" t="s">
        <v>2527</v>
      </c>
      <c r="L255" s="22" t="s">
        <v>2584</v>
      </c>
      <c r="M255" s="22" t="s">
        <v>2585</v>
      </c>
      <c r="N255" s="22" t="s">
        <v>68</v>
      </c>
      <c r="O255" s="22" t="s">
        <v>68</v>
      </c>
      <c r="P255" s="23">
        <v>46275.511498888889</v>
      </c>
    </row>
    <row r="256" spans="1:16" x14ac:dyDescent="0.25">
      <c r="A256" s="22" t="s">
        <v>2586</v>
      </c>
      <c r="B256" s="22" t="s">
        <v>328</v>
      </c>
      <c r="C256" s="22" t="s">
        <v>606</v>
      </c>
      <c r="D256" s="22" t="s">
        <v>325</v>
      </c>
      <c r="E256">
        <v>2000</v>
      </c>
      <c r="F256">
        <v>0</v>
      </c>
      <c r="G256">
        <v>5000</v>
      </c>
      <c r="H256">
        <v>0</v>
      </c>
      <c r="I256">
        <v>0</v>
      </c>
      <c r="J256" s="22" t="s">
        <v>1307</v>
      </c>
      <c r="K256" s="22" t="s">
        <v>2527</v>
      </c>
      <c r="L256" s="22" t="s">
        <v>68</v>
      </c>
      <c r="M256" s="22" t="s">
        <v>68</v>
      </c>
      <c r="N256" s="22" t="s">
        <v>68</v>
      </c>
      <c r="O256" s="22" t="s">
        <v>68</v>
      </c>
      <c r="P256" s="23">
        <v>46276.623914490738</v>
      </c>
    </row>
    <row r="257" spans="1:16" x14ac:dyDescent="0.25">
      <c r="A257" s="22" t="s">
        <v>2587</v>
      </c>
      <c r="B257" s="22" t="s">
        <v>301</v>
      </c>
      <c r="C257" s="22" t="s">
        <v>606</v>
      </c>
      <c r="D257" s="22" t="s">
        <v>298</v>
      </c>
      <c r="E257">
        <v>1950.1</v>
      </c>
      <c r="F257">
        <v>49.9</v>
      </c>
      <c r="G257">
        <v>4950.1000000000004</v>
      </c>
      <c r="H257">
        <v>0</v>
      </c>
      <c r="I257">
        <v>49.9</v>
      </c>
      <c r="J257" s="22" t="s">
        <v>1307</v>
      </c>
      <c r="K257" s="22" t="s">
        <v>2527</v>
      </c>
      <c r="L257" s="22" t="s">
        <v>68</v>
      </c>
      <c r="M257" s="22" t="s">
        <v>68</v>
      </c>
      <c r="N257" s="22" t="s">
        <v>68</v>
      </c>
      <c r="O257" s="22" t="s">
        <v>68</v>
      </c>
      <c r="P257" s="23">
        <v>46276.628953796295</v>
      </c>
    </row>
    <row r="258" spans="1:16" x14ac:dyDescent="0.25">
      <c r="A258" s="22" t="s">
        <v>2588</v>
      </c>
      <c r="B258" s="22" t="s">
        <v>2589</v>
      </c>
      <c r="C258" s="22" t="s">
        <v>606</v>
      </c>
      <c r="D258" s="22" t="s">
        <v>2590</v>
      </c>
      <c r="E258">
        <v>2000</v>
      </c>
      <c r="F258">
        <v>4231.18</v>
      </c>
      <c r="G258">
        <v>15768.82</v>
      </c>
      <c r="H258">
        <v>3870.86</v>
      </c>
      <c r="I258">
        <v>4645.26</v>
      </c>
      <c r="J258" s="22" t="s">
        <v>608</v>
      </c>
      <c r="K258" s="22" t="s">
        <v>2523</v>
      </c>
      <c r="L258" s="22" t="s">
        <v>2591</v>
      </c>
      <c r="M258" s="22" t="s">
        <v>1343</v>
      </c>
      <c r="N258" s="22" t="s">
        <v>68</v>
      </c>
      <c r="O258" s="22" t="s">
        <v>68</v>
      </c>
      <c r="P258" s="23">
        <v>46277.580545358796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0D4612-CB62-426F-ADBD-0E746D8D79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TBL_CENARIOS</vt:lpstr>
      <vt:lpstr>TBL_USUARIOS</vt:lpstr>
      <vt:lpstr>TBL_PIX</vt:lpstr>
      <vt:lpstr>TBL_FATURA</vt:lpstr>
      <vt:lpstr>TBL_USUARIOS_SECUNDARIOS</vt:lpstr>
      <vt:lpstr>TBL_CADASTRO</vt:lpstr>
      <vt:lpstr>tbl_de_massas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Gilvan Sousa</dc:creator>
  <cp:lastModifiedBy>Gilvan Sousa</cp:lastModifiedBy>
  <dcterms:created xsi:type="dcterms:W3CDTF">2024-06-13T16:50:06Z</dcterms:created>
  <dcterms:modified xsi:type="dcterms:W3CDTF">2026-09-14T02:16:50Z</dcterms:modified>
</cp:coreProperties>
</file>